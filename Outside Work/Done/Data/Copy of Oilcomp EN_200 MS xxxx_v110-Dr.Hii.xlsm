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d.docs.live.net/a3525adfc2a427b1/Git hub/Python/"/>
    </mc:Choice>
  </mc:AlternateContent>
  <xr:revisionPtr revIDLastSave="29" documentId="14_{596BF2C3-BC61-4DAC-B32E-3F5C65B395C7}" xr6:coauthVersionLast="47" xr6:coauthVersionMax="47" xr10:uidLastSave="{1A0A6DEA-2F2E-417F-A1DE-E2119533254C}"/>
  <bookViews>
    <workbookView xWindow="-103" yWindow="-103" windowWidth="22149" windowHeight="11829" firstSheet="3" activeTab="4" xr2:uid="{00000000-000D-0000-FFFF-FFFF00000000}"/>
  </bookViews>
  <sheets>
    <sheet name="Compounds" sheetId="1" r:id="rId1"/>
    <sheet name="Database" sheetId="2" r:id="rId2"/>
    <sheet name="Database ratios" sheetId="3" r:id="rId3"/>
    <sheet name="Data sheet" sheetId="4" r:id="rId4"/>
    <sheet name="Comp Eval BS10" sheetId="5" r:id="rId5"/>
    <sheet name="Comp Eval phy" sheetId="6" r:id="rId6"/>
    <sheet name="Comp Eval hopane" sheetId="7" r:id="rId7"/>
  </sheets>
  <definedNames>
    <definedName name="af" localSheetId="4">#REF!</definedName>
    <definedName name="af" localSheetId="6">#REF!</definedName>
    <definedName name="af" localSheetId="5">#REF!</definedName>
    <definedName name="af" localSheetId="1">#REF!</definedName>
    <definedName name="af">#REF!</definedName>
    <definedName name="_xlnm.Print_Area" localSheetId="3">'Data sheet'!$A$5:$D$153</definedName>
    <definedName name="_xlnm.Print_Area" localSheetId="1">Database!$A:$C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8" i="5" l="1"/>
  <c r="AJ8" i="6"/>
  <c r="L49" i="5"/>
  <c r="P144" i="5"/>
  <c r="L91" i="5" s="1"/>
  <c r="P17" i="5"/>
  <c r="P34" i="5"/>
  <c r="L75" i="5" s="1"/>
  <c r="S11" i="5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S184" i="7"/>
  <c r="A184" i="7"/>
  <c r="A183" i="7"/>
  <c r="S182" i="7"/>
  <c r="A182" i="7"/>
  <c r="S181" i="7"/>
  <c r="A181" i="7"/>
  <c r="S180" i="7"/>
  <c r="A180" i="7"/>
  <c r="S179" i="7"/>
  <c r="A179" i="7"/>
  <c r="S178" i="7"/>
  <c r="O178" i="7"/>
  <c r="A178" i="7"/>
  <c r="S177" i="7"/>
  <c r="O177" i="7"/>
  <c r="A177" i="7"/>
  <c r="S176" i="7"/>
  <c r="O176" i="7"/>
  <c r="A176" i="7"/>
  <c r="O175" i="7"/>
  <c r="A175" i="7"/>
  <c r="S174" i="7"/>
  <c r="O174" i="7"/>
  <c r="A174" i="7"/>
  <c r="S173" i="7"/>
  <c r="O173" i="7"/>
  <c r="A173" i="7"/>
  <c r="S172" i="7"/>
  <c r="O172" i="7"/>
  <c r="A172" i="7"/>
  <c r="S171" i="7"/>
  <c r="O171" i="7"/>
  <c r="A171" i="7"/>
  <c r="S170" i="7"/>
  <c r="A170" i="7"/>
  <c r="S169" i="7"/>
  <c r="A169" i="7"/>
  <c r="S168" i="7"/>
  <c r="A168" i="7"/>
  <c r="S167" i="7"/>
  <c r="A167" i="7"/>
  <c r="L166" i="7"/>
  <c r="A166" i="7"/>
  <c r="S165" i="7"/>
  <c r="A165" i="7"/>
  <c r="S164" i="7"/>
  <c r="A164" i="7"/>
  <c r="S163" i="7"/>
  <c r="A163" i="7"/>
  <c r="A162" i="7"/>
  <c r="A161" i="7"/>
  <c r="A160" i="7"/>
  <c r="A159" i="7"/>
  <c r="A158" i="7"/>
  <c r="A157" i="7"/>
  <c r="L156" i="7"/>
  <c r="A156" i="7"/>
  <c r="P155" i="7"/>
  <c r="A155" i="7"/>
  <c r="P154" i="7"/>
  <c r="A154" i="7"/>
  <c r="P153" i="7"/>
  <c r="A153" i="7"/>
  <c r="P152" i="7"/>
  <c r="A152" i="7"/>
  <c r="P151" i="7"/>
  <c r="A151" i="7"/>
  <c r="P150" i="7"/>
  <c r="A150" i="7"/>
  <c r="P149" i="7"/>
  <c r="A149" i="7"/>
  <c r="P148" i="7"/>
  <c r="P147" i="7"/>
  <c r="L131" i="7" s="1"/>
  <c r="P146" i="7"/>
  <c r="L146" i="7"/>
  <c r="P145" i="7"/>
  <c r="P144" i="7"/>
  <c r="P143" i="7"/>
  <c r="P142" i="7"/>
  <c r="P141" i="7"/>
  <c r="L157" i="7" s="1"/>
  <c r="P140" i="7"/>
  <c r="P139" i="7"/>
  <c r="L169" i="7" s="1"/>
  <c r="P138" i="7"/>
  <c r="L82" i="7" s="1"/>
  <c r="P137" i="7"/>
  <c r="L168" i="7" s="1"/>
  <c r="P136" i="7"/>
  <c r="L163" i="7" s="1"/>
  <c r="P135" i="7"/>
  <c r="P134" i="7"/>
  <c r="L178" i="7" s="1"/>
  <c r="P133" i="7"/>
  <c r="L155" i="7" s="1"/>
  <c r="P132" i="7"/>
  <c r="L177" i="7" s="1"/>
  <c r="P131" i="7"/>
  <c r="L154" i="7" s="1"/>
  <c r="P130" i="7"/>
  <c r="L153" i="7" s="1"/>
  <c r="L130" i="7"/>
  <c r="P129" i="7"/>
  <c r="L129" i="7"/>
  <c r="P128" i="7"/>
  <c r="L176" i="7" s="1"/>
  <c r="P127" i="7"/>
  <c r="L175" i="7" s="1"/>
  <c r="P126" i="7"/>
  <c r="L162" i="7" s="1"/>
  <c r="P125" i="7"/>
  <c r="L152" i="7" s="1"/>
  <c r="L125" i="7"/>
  <c r="P124" i="7"/>
  <c r="L151" i="7" s="1"/>
  <c r="L124" i="7"/>
  <c r="P123" i="7"/>
  <c r="L150" i="7" s="1"/>
  <c r="P122" i="7"/>
  <c r="L174" i="7" s="1"/>
  <c r="P121" i="7"/>
  <c r="L121" i="7"/>
  <c r="P120" i="7"/>
  <c r="L110" i="7" s="1"/>
  <c r="L120" i="7"/>
  <c r="P119" i="7"/>
  <c r="L119" i="7" s="1"/>
  <c r="P118" i="7"/>
  <c r="P117" i="7"/>
  <c r="L149" i="7" s="1"/>
  <c r="P116" i="7"/>
  <c r="P115" i="7"/>
  <c r="L173" i="7" s="1"/>
  <c r="P114" i="7"/>
  <c r="P113" i="7"/>
  <c r="L148" i="7" s="1"/>
  <c r="P112" i="7"/>
  <c r="P111" i="7"/>
  <c r="L118" i="7" s="1"/>
  <c r="P110" i="7"/>
  <c r="P109" i="7"/>
  <c r="L147" i="7" s="1"/>
  <c r="P108" i="7"/>
  <c r="P107" i="7"/>
  <c r="P106" i="7"/>
  <c r="L172" i="7" s="1"/>
  <c r="P105" i="7"/>
  <c r="P104" i="7"/>
  <c r="L117" i="7" s="1"/>
  <c r="L104" i="7"/>
  <c r="P103" i="7"/>
  <c r="L103" i="7"/>
  <c r="P102" i="7"/>
  <c r="L145" i="7" s="1"/>
  <c r="L102" i="7"/>
  <c r="P101" i="7"/>
  <c r="L101" i="7"/>
  <c r="P100" i="7"/>
  <c r="L116" i="7" s="1"/>
  <c r="L100" i="7"/>
  <c r="P99" i="7"/>
  <c r="L99" i="7"/>
  <c r="P98" i="7"/>
  <c r="L161" i="7" s="1"/>
  <c r="P97" i="7"/>
  <c r="P96" i="7"/>
  <c r="L144" i="7" s="1"/>
  <c r="L96" i="7"/>
  <c r="P95" i="7"/>
  <c r="L143" i="7" s="1"/>
  <c r="L95" i="7"/>
  <c r="P94" i="7"/>
  <c r="L43" i="7" s="1"/>
  <c r="L94" i="7"/>
  <c r="P93" i="7"/>
  <c r="L115" i="7" s="1"/>
  <c r="L93" i="7"/>
  <c r="P92" i="7"/>
  <c r="L92" i="7"/>
  <c r="P91" i="7"/>
  <c r="L114" i="7" s="1"/>
  <c r="L91" i="7"/>
  <c r="P90" i="7"/>
  <c r="L142" i="7" s="1"/>
  <c r="L90" i="7"/>
  <c r="P89" i="7"/>
  <c r="P88" i="7"/>
  <c r="P87" i="7"/>
  <c r="P86" i="7"/>
  <c r="P85" i="7"/>
  <c r="P84" i="7"/>
  <c r="L128" i="7" s="1"/>
  <c r="P83" i="7"/>
  <c r="L63" i="7" s="1"/>
  <c r="P82" i="7"/>
  <c r="L123" i="7" s="1"/>
  <c r="P81" i="7"/>
  <c r="L62" i="7" s="1"/>
  <c r="L81" i="7"/>
  <c r="P80" i="7"/>
  <c r="L55" i="7" s="1"/>
  <c r="P79" i="7"/>
  <c r="P78" i="7"/>
  <c r="L78" i="7"/>
  <c r="P77" i="7"/>
  <c r="L77" i="7"/>
  <c r="P76" i="7"/>
  <c r="L89" i="7" s="1"/>
  <c r="L76" i="7"/>
  <c r="P75" i="7"/>
  <c r="L167" i="7" s="1"/>
  <c r="P74" i="7"/>
  <c r="L88" i="7" s="1"/>
  <c r="L74" i="7"/>
  <c r="P73" i="7"/>
  <c r="L87" i="7" s="1"/>
  <c r="P72" i="7"/>
  <c r="L86" i="7" s="1"/>
  <c r="P71" i="7"/>
  <c r="P70" i="7"/>
  <c r="L85" i="7" s="1"/>
  <c r="P69" i="7"/>
  <c r="L98" i="7" s="1"/>
  <c r="P68" i="7"/>
  <c r="L165" i="7" s="1"/>
  <c r="P67" i="7"/>
  <c r="L84" i="7" s="1"/>
  <c r="L67" i="7"/>
  <c r="P66" i="7"/>
  <c r="L164" i="7" s="1"/>
  <c r="L66" i="7"/>
  <c r="P65" i="7"/>
  <c r="L83" i="7" s="1"/>
  <c r="L65" i="7"/>
  <c r="P64" i="7"/>
  <c r="L97" i="7" s="1"/>
  <c r="L64" i="7"/>
  <c r="AH63" i="7"/>
  <c r="P63" i="7"/>
  <c r="L109" i="7" s="1"/>
  <c r="AL62" i="7"/>
  <c r="AK62" i="7"/>
  <c r="AJ62" i="7"/>
  <c r="AI62" i="7"/>
  <c r="AH62" i="7"/>
  <c r="P62" i="7"/>
  <c r="L80" i="7" s="1"/>
  <c r="AL61" i="7"/>
  <c r="AK61" i="7"/>
  <c r="AI61" i="7"/>
  <c r="AH61" i="7"/>
  <c r="AJ61" i="7" s="1"/>
  <c r="P61" i="7"/>
  <c r="L79" i="7" s="1"/>
  <c r="L61" i="7"/>
  <c r="AL60" i="7"/>
  <c r="AK60" i="7"/>
  <c r="AJ60" i="7"/>
  <c r="AI60" i="7"/>
  <c r="AH60" i="7"/>
  <c r="P60" i="7"/>
  <c r="L141" i="7" s="1"/>
  <c r="AH59" i="7"/>
  <c r="AJ59" i="7" s="1"/>
  <c r="P59" i="7"/>
  <c r="L140" i="7" s="1"/>
  <c r="L59" i="7"/>
  <c r="AK58" i="7"/>
  <c r="AJ58" i="7"/>
  <c r="AH58" i="7"/>
  <c r="AL58" i="7" s="1"/>
  <c r="P58" i="7"/>
  <c r="L139" i="7" s="1"/>
  <c r="AH57" i="7"/>
  <c r="P57" i="7"/>
  <c r="L138" i="7" s="1"/>
  <c r="AH56" i="7"/>
  <c r="P56" i="7"/>
  <c r="L127" i="7" s="1"/>
  <c r="L56" i="7"/>
  <c r="AH55" i="7"/>
  <c r="AK55" i="7" s="1"/>
  <c r="P55" i="7"/>
  <c r="L108" i="7" s="1"/>
  <c r="AK54" i="7"/>
  <c r="AH54" i="7"/>
  <c r="AL54" i="7" s="1"/>
  <c r="P54" i="7"/>
  <c r="L137" i="7" s="1"/>
  <c r="L54" i="7"/>
  <c r="AL53" i="7"/>
  <c r="AK53" i="7"/>
  <c r="AJ53" i="7"/>
  <c r="AI53" i="7"/>
  <c r="AH53" i="7"/>
  <c r="P53" i="7"/>
  <c r="L171" i="7" s="1"/>
  <c r="AL52" i="7"/>
  <c r="AK52" i="7"/>
  <c r="AJ52" i="7"/>
  <c r="AI52" i="7"/>
  <c r="AH52" i="7"/>
  <c r="P52" i="7"/>
  <c r="L136" i="7" s="1"/>
  <c r="L52" i="7"/>
  <c r="AL51" i="7"/>
  <c r="AJ51" i="7"/>
  <c r="AI51" i="7"/>
  <c r="AH51" i="7"/>
  <c r="AK51" i="7" s="1"/>
  <c r="P51" i="7"/>
  <c r="L160" i="7" s="1"/>
  <c r="AL50" i="7"/>
  <c r="AJ50" i="7"/>
  <c r="AH50" i="7"/>
  <c r="P50" i="7"/>
  <c r="L135" i="7" s="1"/>
  <c r="L50" i="7"/>
  <c r="AH49" i="7"/>
  <c r="P49" i="7"/>
  <c r="L170" i="7" s="1"/>
  <c r="L49" i="7"/>
  <c r="AJ48" i="7"/>
  <c r="AH48" i="7"/>
  <c r="P48" i="7"/>
  <c r="L134" i="7" s="1"/>
  <c r="L48" i="7"/>
  <c r="AK47" i="7"/>
  <c r="AJ47" i="7"/>
  <c r="AI47" i="7"/>
  <c r="AH47" i="7"/>
  <c r="AL47" i="7" s="1"/>
  <c r="P47" i="7"/>
  <c r="L159" i="7" s="1"/>
  <c r="L47" i="7"/>
  <c r="AH46" i="7"/>
  <c r="P46" i="7"/>
  <c r="AH45" i="7"/>
  <c r="P45" i="7"/>
  <c r="L46" i="7" s="1"/>
  <c r="AH44" i="7"/>
  <c r="P44" i="7"/>
  <c r="L158" i="7" s="1"/>
  <c r="L44" i="7"/>
  <c r="AK43" i="7"/>
  <c r="AJ43" i="7"/>
  <c r="AI43" i="7"/>
  <c r="AH43" i="7"/>
  <c r="AL43" i="7" s="1"/>
  <c r="P43" i="7"/>
  <c r="AH42" i="7"/>
  <c r="AI42" i="7" s="1"/>
  <c r="P42" i="7"/>
  <c r="L42" i="7"/>
  <c r="AH41" i="7"/>
  <c r="AK41" i="7" s="1"/>
  <c r="P41" i="7"/>
  <c r="L51" i="7" s="1"/>
  <c r="L41" i="7"/>
  <c r="AL40" i="7"/>
  <c r="AK40" i="7"/>
  <c r="AH40" i="7"/>
  <c r="AJ40" i="7" s="1"/>
  <c r="P40" i="7"/>
  <c r="L40" i="7"/>
  <c r="AL39" i="7"/>
  <c r="AK39" i="7"/>
  <c r="AJ39" i="7"/>
  <c r="AI39" i="7"/>
  <c r="AH39" i="7"/>
  <c r="P39" i="7"/>
  <c r="AL38" i="7"/>
  <c r="AK38" i="7"/>
  <c r="AH38" i="7"/>
  <c r="AJ38" i="7" s="1"/>
  <c r="P38" i="7"/>
  <c r="L107" i="7" s="1"/>
  <c r="L38" i="7"/>
  <c r="AL37" i="7"/>
  <c r="AK37" i="7"/>
  <c r="AJ37" i="7"/>
  <c r="AI37" i="7"/>
  <c r="AH37" i="7"/>
  <c r="P37" i="7"/>
  <c r="L113" i="7" s="1"/>
  <c r="L37" i="7"/>
  <c r="AL36" i="7"/>
  <c r="AK36" i="7"/>
  <c r="AH36" i="7"/>
  <c r="AJ36" i="7" s="1"/>
  <c r="P36" i="7"/>
  <c r="L36" i="7"/>
  <c r="AK35" i="7"/>
  <c r="AJ35" i="7"/>
  <c r="AH35" i="7"/>
  <c r="P35" i="7"/>
  <c r="L112" i="7" s="1"/>
  <c r="L35" i="7"/>
  <c r="AK34" i="7"/>
  <c r="AI34" i="7"/>
  <c r="AH34" i="7"/>
  <c r="P34" i="7"/>
  <c r="L75" i="7" s="1"/>
  <c r="L34" i="7"/>
  <c r="AL33" i="7"/>
  <c r="AK33" i="7"/>
  <c r="AH33" i="7"/>
  <c r="AJ33" i="7" s="1"/>
  <c r="P33" i="7"/>
  <c r="L111" i="7" s="1"/>
  <c r="AL32" i="7"/>
  <c r="AK32" i="7"/>
  <c r="AJ32" i="7"/>
  <c r="AI32" i="7"/>
  <c r="AH32" i="7"/>
  <c r="P32" i="7"/>
  <c r="K32" i="7"/>
  <c r="AO31" i="7"/>
  <c r="AL31" i="7"/>
  <c r="AK31" i="7"/>
  <c r="AH31" i="7"/>
  <c r="AJ31" i="7" s="1"/>
  <c r="P31" i="7"/>
  <c r="L73" i="7" s="1"/>
  <c r="AL30" i="7"/>
  <c r="AK30" i="7"/>
  <c r="AJ30" i="7"/>
  <c r="AH30" i="7"/>
  <c r="AI30" i="7" s="1"/>
  <c r="P30" i="7"/>
  <c r="AH29" i="7"/>
  <c r="P29" i="7"/>
  <c r="L72" i="7" s="1"/>
  <c r="AL28" i="7"/>
  <c r="AH28" i="7"/>
  <c r="P28" i="7"/>
  <c r="L71" i="7" s="1"/>
  <c r="AK27" i="7"/>
  <c r="AH27" i="7"/>
  <c r="P27" i="7"/>
  <c r="L70" i="7" s="1"/>
  <c r="AL26" i="7"/>
  <c r="AK26" i="7"/>
  <c r="AI26" i="7"/>
  <c r="AJ26" i="7" s="1"/>
  <c r="AH26" i="7"/>
  <c r="P26" i="7"/>
  <c r="L45" i="7" s="1"/>
  <c r="AH25" i="7"/>
  <c r="P25" i="7"/>
  <c r="L133" i="7" s="1"/>
  <c r="AH24" i="7"/>
  <c r="AL24" i="7" s="1"/>
  <c r="P24" i="7"/>
  <c r="L132" i="7" s="1"/>
  <c r="AH23" i="7"/>
  <c r="AL23" i="7" s="1"/>
  <c r="P23" i="7"/>
  <c r="L126" i="7" s="1"/>
  <c r="AL22" i="7"/>
  <c r="AK22" i="7"/>
  <c r="AI22" i="7"/>
  <c r="AJ22" i="7" s="1"/>
  <c r="AH22" i="7"/>
  <c r="P22" i="7"/>
  <c r="L106" i="7" s="1"/>
  <c r="AL21" i="7"/>
  <c r="AK21" i="7"/>
  <c r="AH21" i="7"/>
  <c r="P21" i="7"/>
  <c r="L69" i="7" s="1"/>
  <c r="AL20" i="7"/>
  <c r="AK20" i="7"/>
  <c r="AH20" i="7"/>
  <c r="AI20" i="7" s="1"/>
  <c r="AJ20" i="7" s="1"/>
  <c r="P20" i="7"/>
  <c r="L53" i="7" s="1"/>
  <c r="AL19" i="7"/>
  <c r="AK19" i="7"/>
  <c r="AI19" i="7"/>
  <c r="AJ19" i="7" s="1"/>
  <c r="AH19" i="7"/>
  <c r="P19" i="7"/>
  <c r="L68" i="7" s="1"/>
  <c r="AL18" i="7"/>
  <c r="AK18" i="7"/>
  <c r="AH18" i="7"/>
  <c r="P18" i="7"/>
  <c r="L60" i="7" s="1"/>
  <c r="AL17" i="7"/>
  <c r="AK17" i="7"/>
  <c r="AJ17" i="7"/>
  <c r="AH17" i="7"/>
  <c r="AI17" i="7" s="1"/>
  <c r="P17" i="7"/>
  <c r="L39" i="7" s="1"/>
  <c r="AH16" i="7"/>
  <c r="AK16" i="7" s="1"/>
  <c r="P16" i="7"/>
  <c r="L105" i="7" s="1"/>
  <c r="AH15" i="7"/>
  <c r="P15" i="7"/>
  <c r="AL14" i="7"/>
  <c r="AK14" i="7"/>
  <c r="AJ14" i="7"/>
  <c r="AI14" i="7"/>
  <c r="AH14" i="7"/>
  <c r="P14" i="7"/>
  <c r="L122" i="7" s="1"/>
  <c r="AH13" i="7"/>
  <c r="P13" i="7"/>
  <c r="AH12" i="7"/>
  <c r="AL12" i="7" s="1"/>
  <c r="P12" i="7"/>
  <c r="L58" i="7" s="1"/>
  <c r="AL11" i="7"/>
  <c r="AK11" i="7"/>
  <c r="AJ11" i="7"/>
  <c r="AI11" i="7"/>
  <c r="AH11" i="7"/>
  <c r="P11" i="7"/>
  <c r="L57" i="7" s="1"/>
  <c r="AL10" i="7"/>
  <c r="AH10" i="7"/>
  <c r="AK10" i="7" s="1"/>
  <c r="AJ9" i="7"/>
  <c r="AH9" i="7"/>
  <c r="O9" i="7"/>
  <c r="AL8" i="7"/>
  <c r="AK8" i="7"/>
  <c r="AJ8" i="7"/>
  <c r="AI8" i="7"/>
  <c r="AH8" i="7"/>
  <c r="T8" i="7"/>
  <c r="S7" i="7"/>
  <c r="R6" i="7"/>
  <c r="Q6" i="7"/>
  <c r="J4" i="7"/>
  <c r="J3" i="7"/>
  <c r="J2" i="7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S184" i="6"/>
  <c r="A184" i="6"/>
  <c r="A183" i="6"/>
  <c r="S182" i="6"/>
  <c r="A182" i="6"/>
  <c r="S181" i="6"/>
  <c r="A181" i="6"/>
  <c r="S180" i="6"/>
  <c r="A180" i="6"/>
  <c r="S179" i="6"/>
  <c r="A179" i="6"/>
  <c r="S178" i="6"/>
  <c r="O178" i="6"/>
  <c r="A178" i="6"/>
  <c r="S177" i="6"/>
  <c r="O177" i="6"/>
  <c r="A177" i="6"/>
  <c r="S176" i="6"/>
  <c r="O176" i="6"/>
  <c r="A176" i="6"/>
  <c r="O175" i="6"/>
  <c r="A175" i="6"/>
  <c r="S174" i="6"/>
  <c r="O174" i="6"/>
  <c r="A174" i="6"/>
  <c r="S173" i="6"/>
  <c r="O173" i="6"/>
  <c r="A173" i="6"/>
  <c r="S172" i="6"/>
  <c r="O172" i="6"/>
  <c r="A172" i="6"/>
  <c r="S171" i="6"/>
  <c r="O171" i="6"/>
  <c r="A171" i="6"/>
  <c r="S170" i="6"/>
  <c r="A170" i="6"/>
  <c r="S169" i="6"/>
  <c r="A169" i="6"/>
  <c r="S168" i="6"/>
  <c r="A168" i="6"/>
  <c r="S167" i="6"/>
  <c r="A167" i="6"/>
  <c r="A166" i="6"/>
  <c r="S165" i="6"/>
  <c r="A165" i="6"/>
  <c r="S164" i="6"/>
  <c r="A164" i="6"/>
  <c r="S163" i="6"/>
  <c r="L163" i="6"/>
  <c r="A163" i="6"/>
  <c r="A162" i="6"/>
  <c r="A161" i="6"/>
  <c r="A160" i="6"/>
  <c r="A159" i="6"/>
  <c r="A158" i="6"/>
  <c r="L157" i="6"/>
  <c r="A157" i="6"/>
  <c r="A156" i="6"/>
  <c r="P155" i="6"/>
  <c r="L155" i="6"/>
  <c r="A155" i="6"/>
  <c r="P154" i="6"/>
  <c r="A154" i="6"/>
  <c r="P153" i="6"/>
  <c r="A153" i="6"/>
  <c r="P152" i="6"/>
  <c r="A152" i="6"/>
  <c r="P151" i="6"/>
  <c r="A151" i="6"/>
  <c r="P150" i="6"/>
  <c r="A150" i="6"/>
  <c r="P149" i="6"/>
  <c r="A149" i="6"/>
  <c r="P148" i="6"/>
  <c r="P147" i="6"/>
  <c r="L131" i="6" s="1"/>
  <c r="P146" i="6"/>
  <c r="P145" i="6"/>
  <c r="L145" i="6"/>
  <c r="P144" i="6"/>
  <c r="L144" i="6"/>
  <c r="P143" i="6"/>
  <c r="P142" i="6"/>
  <c r="P141" i="6"/>
  <c r="P140" i="6"/>
  <c r="P139" i="6"/>
  <c r="L169" i="6" s="1"/>
  <c r="P138" i="6"/>
  <c r="P137" i="6"/>
  <c r="L168" i="6" s="1"/>
  <c r="P136" i="6"/>
  <c r="P135" i="6"/>
  <c r="L156" i="6" s="1"/>
  <c r="P134" i="6"/>
  <c r="L178" i="6" s="1"/>
  <c r="P133" i="6"/>
  <c r="P132" i="6"/>
  <c r="L177" i="6" s="1"/>
  <c r="P131" i="6"/>
  <c r="L154" i="6" s="1"/>
  <c r="P130" i="6"/>
  <c r="L153" i="6" s="1"/>
  <c r="L130" i="6"/>
  <c r="P129" i="6"/>
  <c r="P128" i="6"/>
  <c r="L176" i="6" s="1"/>
  <c r="P127" i="6"/>
  <c r="L175" i="6" s="1"/>
  <c r="P126" i="6"/>
  <c r="L162" i="6" s="1"/>
  <c r="P125" i="6"/>
  <c r="L152" i="6" s="1"/>
  <c r="P124" i="6"/>
  <c r="L151" i="6" s="1"/>
  <c r="P123" i="6"/>
  <c r="L150" i="6" s="1"/>
  <c r="P122" i="6"/>
  <c r="L174" i="6" s="1"/>
  <c r="P121" i="6"/>
  <c r="L121" i="6"/>
  <c r="P120" i="6"/>
  <c r="L120" i="6"/>
  <c r="P119" i="6"/>
  <c r="L119" i="6"/>
  <c r="P118" i="6"/>
  <c r="P117" i="6"/>
  <c r="L149" i="6" s="1"/>
  <c r="P116" i="6"/>
  <c r="P115" i="6"/>
  <c r="L173" i="6" s="1"/>
  <c r="P114" i="6"/>
  <c r="L125" i="6" s="1"/>
  <c r="P113" i="6"/>
  <c r="L148" i="6" s="1"/>
  <c r="P112" i="6"/>
  <c r="L124" i="6" s="1"/>
  <c r="P111" i="6"/>
  <c r="L118" i="6" s="1"/>
  <c r="P110" i="6"/>
  <c r="L110" i="6"/>
  <c r="P109" i="6"/>
  <c r="L147" i="6" s="1"/>
  <c r="L109" i="6"/>
  <c r="P108" i="6"/>
  <c r="L146" i="6" s="1"/>
  <c r="P107" i="6"/>
  <c r="P106" i="6"/>
  <c r="L172" i="6" s="1"/>
  <c r="P105" i="6"/>
  <c r="L77" i="6" s="1"/>
  <c r="P104" i="6"/>
  <c r="L117" i="6" s="1"/>
  <c r="L104" i="6"/>
  <c r="P103" i="6"/>
  <c r="L103" i="6"/>
  <c r="P102" i="6"/>
  <c r="L102" i="6"/>
  <c r="P101" i="6"/>
  <c r="L48" i="6" s="1"/>
  <c r="L101" i="6"/>
  <c r="P100" i="6"/>
  <c r="L116" i="6" s="1"/>
  <c r="L100" i="6"/>
  <c r="P99" i="6"/>
  <c r="L129" i="6" s="1"/>
  <c r="L99" i="6"/>
  <c r="P98" i="6"/>
  <c r="L161" i="6" s="1"/>
  <c r="P97" i="6"/>
  <c r="P96" i="6"/>
  <c r="L96" i="6"/>
  <c r="P95" i="6"/>
  <c r="L143" i="6" s="1"/>
  <c r="L95" i="6"/>
  <c r="P94" i="6"/>
  <c r="L94" i="6"/>
  <c r="P93" i="6"/>
  <c r="L115" i="6" s="1"/>
  <c r="L93" i="6"/>
  <c r="P92" i="6"/>
  <c r="L92" i="6"/>
  <c r="P91" i="6"/>
  <c r="L114" i="6" s="1"/>
  <c r="L91" i="6"/>
  <c r="P90" i="6"/>
  <c r="L142" i="6" s="1"/>
  <c r="P89" i="6"/>
  <c r="L89" i="6"/>
  <c r="P88" i="6"/>
  <c r="L88" i="6"/>
  <c r="P87" i="6"/>
  <c r="P86" i="6"/>
  <c r="P85" i="6"/>
  <c r="L85" i="6"/>
  <c r="P84" i="6"/>
  <c r="L128" i="6" s="1"/>
  <c r="P83" i="6"/>
  <c r="L83" i="6"/>
  <c r="P82" i="6"/>
  <c r="L123" i="6" s="1"/>
  <c r="L82" i="6"/>
  <c r="P81" i="6"/>
  <c r="L81" i="6"/>
  <c r="P80" i="6"/>
  <c r="P79" i="6"/>
  <c r="L61" i="6" s="1"/>
  <c r="P78" i="6"/>
  <c r="L78" i="6"/>
  <c r="P77" i="6"/>
  <c r="L90" i="6" s="1"/>
  <c r="P76" i="6"/>
  <c r="L76" i="6"/>
  <c r="P75" i="6"/>
  <c r="L167" i="6" s="1"/>
  <c r="P74" i="6"/>
  <c r="P73" i="6"/>
  <c r="L87" i="6" s="1"/>
  <c r="P72" i="6"/>
  <c r="L86" i="6" s="1"/>
  <c r="P71" i="6"/>
  <c r="L166" i="6" s="1"/>
  <c r="P70" i="6"/>
  <c r="P69" i="6"/>
  <c r="L98" i="6" s="1"/>
  <c r="P68" i="6"/>
  <c r="L165" i="6" s="1"/>
  <c r="P67" i="6"/>
  <c r="L84" i="6" s="1"/>
  <c r="L67" i="6"/>
  <c r="P66" i="6"/>
  <c r="L164" i="6" s="1"/>
  <c r="L66" i="6"/>
  <c r="P65" i="6"/>
  <c r="L65" i="6"/>
  <c r="P64" i="6"/>
  <c r="L97" i="6" s="1"/>
  <c r="L64" i="6"/>
  <c r="AK63" i="6"/>
  <c r="AI63" i="6"/>
  <c r="AH63" i="6"/>
  <c r="AL63" i="6" s="1"/>
  <c r="P63" i="6"/>
  <c r="L63" i="6"/>
  <c r="AH62" i="6"/>
  <c r="AL62" i="6" s="1"/>
  <c r="P62" i="6"/>
  <c r="L80" i="6" s="1"/>
  <c r="L62" i="6"/>
  <c r="AH61" i="6"/>
  <c r="P61" i="6"/>
  <c r="L79" i="6" s="1"/>
  <c r="AL60" i="6"/>
  <c r="AK60" i="6"/>
  <c r="AJ60" i="6"/>
  <c r="AI60" i="6"/>
  <c r="AH60" i="6"/>
  <c r="P60" i="6"/>
  <c r="L141" i="6" s="1"/>
  <c r="AL59" i="6"/>
  <c r="AI59" i="6"/>
  <c r="AH59" i="6"/>
  <c r="AJ59" i="6" s="1"/>
  <c r="P59" i="6"/>
  <c r="L140" i="6" s="1"/>
  <c r="AL58" i="6"/>
  <c r="AK58" i="6"/>
  <c r="AJ58" i="6"/>
  <c r="AI58" i="6"/>
  <c r="AH58" i="6"/>
  <c r="P58" i="6"/>
  <c r="L139" i="6" s="1"/>
  <c r="AL57" i="6"/>
  <c r="AK57" i="6"/>
  <c r="AI57" i="6"/>
  <c r="AH57" i="6"/>
  <c r="AJ57" i="6" s="1"/>
  <c r="P57" i="6"/>
  <c r="L138" i="6" s="1"/>
  <c r="L57" i="6"/>
  <c r="AH56" i="6"/>
  <c r="AL56" i="6" s="1"/>
  <c r="P56" i="6"/>
  <c r="L127" i="6" s="1"/>
  <c r="L56" i="6"/>
  <c r="AH55" i="6"/>
  <c r="AL55" i="6" s="1"/>
  <c r="P55" i="6"/>
  <c r="L108" i="6" s="1"/>
  <c r="L55" i="6"/>
  <c r="AK54" i="6"/>
  <c r="AI54" i="6"/>
  <c r="AH54" i="6"/>
  <c r="AL54" i="6" s="1"/>
  <c r="P54" i="6"/>
  <c r="L137" i="6" s="1"/>
  <c r="L54" i="6"/>
  <c r="AI53" i="6"/>
  <c r="AH53" i="6"/>
  <c r="P53" i="6"/>
  <c r="L171" i="6" s="1"/>
  <c r="AL52" i="6"/>
  <c r="AK52" i="6"/>
  <c r="AJ52" i="6"/>
  <c r="AI52" i="6"/>
  <c r="AH52" i="6"/>
  <c r="P52" i="6"/>
  <c r="L136" i="6" s="1"/>
  <c r="L52" i="6"/>
  <c r="AH51" i="6"/>
  <c r="P51" i="6"/>
  <c r="L160" i="6" s="1"/>
  <c r="AL50" i="6"/>
  <c r="AK50" i="6"/>
  <c r="AI50" i="6"/>
  <c r="AH50" i="6"/>
  <c r="AJ50" i="6" s="1"/>
  <c r="P50" i="6"/>
  <c r="L135" i="6" s="1"/>
  <c r="L50" i="6"/>
  <c r="AH49" i="6"/>
  <c r="P49" i="6"/>
  <c r="L170" i="6" s="1"/>
  <c r="L49" i="6"/>
  <c r="AK48" i="6"/>
  <c r="AI48" i="6"/>
  <c r="AH48" i="6"/>
  <c r="P48" i="6"/>
  <c r="L134" i="6" s="1"/>
  <c r="AH47" i="6"/>
  <c r="P47" i="6"/>
  <c r="L159" i="6" s="1"/>
  <c r="L47" i="6"/>
  <c r="AH46" i="6"/>
  <c r="P46" i="6"/>
  <c r="L46" i="6"/>
  <c r="AL45" i="6"/>
  <c r="AK45" i="6"/>
  <c r="AJ45" i="6"/>
  <c r="AH45" i="6"/>
  <c r="AI45" i="6" s="1"/>
  <c r="P45" i="6"/>
  <c r="L45" i="6"/>
  <c r="AL44" i="6"/>
  <c r="AH44" i="6"/>
  <c r="AK44" i="6" s="1"/>
  <c r="P44" i="6"/>
  <c r="L158" i="6" s="1"/>
  <c r="L44" i="6"/>
  <c r="AL43" i="6"/>
  <c r="AK43" i="6"/>
  <c r="AJ43" i="6"/>
  <c r="AH43" i="6"/>
  <c r="AI43" i="6" s="1"/>
  <c r="P43" i="6"/>
  <c r="L42" i="6" s="1"/>
  <c r="L43" i="6"/>
  <c r="AL42" i="6"/>
  <c r="AK42" i="6"/>
  <c r="AI42" i="6"/>
  <c r="AH42" i="6"/>
  <c r="AJ42" i="6" s="1"/>
  <c r="P42" i="6"/>
  <c r="L36" i="6" s="1"/>
  <c r="AL41" i="6"/>
  <c r="AK41" i="6"/>
  <c r="AJ41" i="6"/>
  <c r="AI41" i="6"/>
  <c r="AH41" i="6"/>
  <c r="P41" i="6"/>
  <c r="L51" i="6" s="1"/>
  <c r="L41" i="6"/>
  <c r="AK40" i="6"/>
  <c r="AH40" i="6"/>
  <c r="P40" i="6"/>
  <c r="L40" i="6"/>
  <c r="AL39" i="6"/>
  <c r="AI39" i="6"/>
  <c r="AH39" i="6"/>
  <c r="AK39" i="6" s="1"/>
  <c r="P39" i="6"/>
  <c r="L35" i="6" s="1"/>
  <c r="AH38" i="6"/>
  <c r="P38" i="6"/>
  <c r="L107" i="6" s="1"/>
  <c r="AH37" i="6"/>
  <c r="P37" i="6"/>
  <c r="L113" i="6" s="1"/>
  <c r="L37" i="6"/>
  <c r="AL36" i="6"/>
  <c r="AJ36" i="6"/>
  <c r="AI36" i="6"/>
  <c r="AH36" i="6"/>
  <c r="AK36" i="6" s="1"/>
  <c r="P36" i="6"/>
  <c r="AK35" i="6"/>
  <c r="AH35" i="6"/>
  <c r="AL35" i="6" s="1"/>
  <c r="P35" i="6"/>
  <c r="L112" i="6" s="1"/>
  <c r="AL34" i="6"/>
  <c r="AK34" i="6"/>
  <c r="AJ34" i="6"/>
  <c r="AI34" i="6"/>
  <c r="AH34" i="6"/>
  <c r="P34" i="6"/>
  <c r="L75" i="6" s="1"/>
  <c r="AL33" i="6"/>
  <c r="AK33" i="6"/>
  <c r="AJ33" i="6"/>
  <c r="AI33" i="6"/>
  <c r="AH33" i="6"/>
  <c r="P33" i="6"/>
  <c r="L111" i="6" s="1"/>
  <c r="AH32" i="6"/>
  <c r="P32" i="6"/>
  <c r="L74" i="6" s="1"/>
  <c r="AK31" i="6"/>
  <c r="AH31" i="6"/>
  <c r="AL31" i="6" s="1"/>
  <c r="P31" i="6"/>
  <c r="L73" i="6" s="1"/>
  <c r="AJ30" i="6"/>
  <c r="AH30" i="6"/>
  <c r="P30" i="6"/>
  <c r="L34" i="6" s="1"/>
  <c r="AH29" i="6"/>
  <c r="P29" i="6"/>
  <c r="L72" i="6" s="1"/>
  <c r="AJ28" i="6"/>
  <c r="AH28" i="6"/>
  <c r="P28" i="6"/>
  <c r="L71" i="6" s="1"/>
  <c r="AI27" i="6"/>
  <c r="AH27" i="6"/>
  <c r="P27" i="6"/>
  <c r="L70" i="6" s="1"/>
  <c r="AK26" i="6"/>
  <c r="AH26" i="6"/>
  <c r="P26" i="6"/>
  <c r="AL25" i="6"/>
  <c r="AK25" i="6"/>
  <c r="AI25" i="6"/>
  <c r="AH25" i="6"/>
  <c r="AJ25" i="6" s="1"/>
  <c r="P25" i="6"/>
  <c r="L133" i="6" s="1"/>
  <c r="AL24" i="6"/>
  <c r="AJ24" i="6"/>
  <c r="AH24" i="6"/>
  <c r="AI24" i="6" s="1"/>
  <c r="P24" i="6"/>
  <c r="L132" i="6" s="1"/>
  <c r="AL23" i="6"/>
  <c r="AK23" i="6"/>
  <c r="AJ23" i="6"/>
  <c r="AI23" i="6"/>
  <c r="AH23" i="6"/>
  <c r="P23" i="6"/>
  <c r="L126" i="6" s="1"/>
  <c r="AL22" i="6"/>
  <c r="AK22" i="6"/>
  <c r="AJ22" i="6"/>
  <c r="AI22" i="6"/>
  <c r="AH22" i="6"/>
  <c r="P22" i="6"/>
  <c r="L106" i="6" s="1"/>
  <c r="AH21" i="6"/>
  <c r="P21" i="6"/>
  <c r="L69" i="6" s="1"/>
  <c r="AH20" i="6"/>
  <c r="AL20" i="6" s="1"/>
  <c r="P20" i="6"/>
  <c r="L53" i="6" s="1"/>
  <c r="AL19" i="6"/>
  <c r="AK19" i="6"/>
  <c r="AI19" i="6"/>
  <c r="AH19" i="6"/>
  <c r="AJ19" i="6" s="1"/>
  <c r="P19" i="6"/>
  <c r="L68" i="6" s="1"/>
  <c r="AL18" i="6"/>
  <c r="AI18" i="6"/>
  <c r="AH18" i="6"/>
  <c r="P18" i="6"/>
  <c r="L60" i="6" s="1"/>
  <c r="AL17" i="6"/>
  <c r="AK17" i="6"/>
  <c r="AJ17" i="6"/>
  <c r="AH17" i="6"/>
  <c r="AI17" i="6" s="1"/>
  <c r="P17" i="6"/>
  <c r="L39" i="6" s="1"/>
  <c r="AH16" i="6"/>
  <c r="P16" i="6"/>
  <c r="L105" i="6" s="1"/>
  <c r="AH15" i="6"/>
  <c r="AJ15" i="6" s="1"/>
  <c r="P15" i="6"/>
  <c r="L59" i="6" s="1"/>
  <c r="AJ14" i="6"/>
  <c r="AH14" i="6"/>
  <c r="P14" i="6"/>
  <c r="L122" i="6" s="1"/>
  <c r="AK13" i="6"/>
  <c r="AI13" i="6"/>
  <c r="AH13" i="6"/>
  <c r="P13" i="6"/>
  <c r="L38" i="6" s="1"/>
  <c r="AL12" i="6"/>
  <c r="AK12" i="6"/>
  <c r="AI12" i="6"/>
  <c r="AJ12" i="6" s="1"/>
  <c r="AH12" i="6"/>
  <c r="P12" i="6"/>
  <c r="L58" i="6" s="1"/>
  <c r="AH11" i="6"/>
  <c r="P11" i="6"/>
  <c r="AL10" i="6"/>
  <c r="AK10" i="6"/>
  <c r="AI10" i="6"/>
  <c r="AJ10" i="6" s="1"/>
  <c r="AH10" i="6"/>
  <c r="AL9" i="6"/>
  <c r="AK9" i="6"/>
  <c r="AI9" i="6"/>
  <c r="AH9" i="6"/>
  <c r="AH8" i="6"/>
  <c r="AL8" i="6" s="1"/>
  <c r="S7" i="6"/>
  <c r="R6" i="6"/>
  <c r="Q6" i="6"/>
  <c r="J3" i="6" s="1"/>
  <c r="J4" i="6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S184" i="5"/>
  <c r="A184" i="5"/>
  <c r="A183" i="5"/>
  <c r="S182" i="5"/>
  <c r="A182" i="5"/>
  <c r="S181" i="5"/>
  <c r="A181" i="5"/>
  <c r="S180" i="5"/>
  <c r="A180" i="5"/>
  <c r="S179" i="5"/>
  <c r="A179" i="5"/>
  <c r="S178" i="5"/>
  <c r="O178" i="5"/>
  <c r="A178" i="5"/>
  <c r="S177" i="5"/>
  <c r="O177" i="5"/>
  <c r="A177" i="5"/>
  <c r="S176" i="5"/>
  <c r="O176" i="5"/>
  <c r="L176" i="5"/>
  <c r="A176" i="5"/>
  <c r="O175" i="5"/>
  <c r="L175" i="5"/>
  <c r="A175" i="5"/>
  <c r="S174" i="5"/>
  <c r="O174" i="5"/>
  <c r="A174" i="5"/>
  <c r="S173" i="5"/>
  <c r="O173" i="5"/>
  <c r="L173" i="5"/>
  <c r="A173" i="5"/>
  <c r="S172" i="5"/>
  <c r="O172" i="5"/>
  <c r="A172" i="5"/>
  <c r="S171" i="5"/>
  <c r="O171" i="5"/>
  <c r="A171" i="5"/>
  <c r="S170" i="5"/>
  <c r="A170" i="5"/>
  <c r="S169" i="5"/>
  <c r="A169" i="5"/>
  <c r="S168" i="5"/>
  <c r="A168" i="5"/>
  <c r="S167" i="5"/>
  <c r="A167" i="5"/>
  <c r="A166" i="5"/>
  <c r="S165" i="5"/>
  <c r="A165" i="5"/>
  <c r="S164" i="5"/>
  <c r="A164" i="5"/>
  <c r="S163" i="5"/>
  <c r="L163" i="5"/>
  <c r="A163" i="5"/>
  <c r="L162" i="5"/>
  <c r="A162" i="5"/>
  <c r="A161" i="5"/>
  <c r="A160" i="5"/>
  <c r="L159" i="5"/>
  <c r="A159" i="5"/>
  <c r="A158" i="5"/>
  <c r="A157" i="5"/>
  <c r="A156" i="5"/>
  <c r="P155" i="5"/>
  <c r="A155" i="5"/>
  <c r="P154" i="5"/>
  <c r="A154" i="5"/>
  <c r="P153" i="5"/>
  <c r="A153" i="5"/>
  <c r="P152" i="5"/>
  <c r="L104" i="5" s="1"/>
  <c r="A152" i="5"/>
  <c r="P151" i="5"/>
  <c r="A151" i="5"/>
  <c r="P150" i="5"/>
  <c r="L150" i="5"/>
  <c r="A150" i="5"/>
  <c r="P149" i="5"/>
  <c r="L149" i="5"/>
  <c r="A149" i="5"/>
  <c r="P148" i="5"/>
  <c r="P147" i="5"/>
  <c r="L131" i="5" s="1"/>
  <c r="L147" i="5"/>
  <c r="P146" i="5"/>
  <c r="L130" i="5" s="1"/>
  <c r="P145" i="5"/>
  <c r="P143" i="5"/>
  <c r="P142" i="5"/>
  <c r="L99" i="5" s="1"/>
  <c r="L142" i="5"/>
  <c r="P141" i="5"/>
  <c r="L157" i="5" s="1"/>
  <c r="P140" i="5"/>
  <c r="P139" i="5"/>
  <c r="L169" i="5" s="1"/>
  <c r="L139" i="5"/>
  <c r="P138" i="5"/>
  <c r="P137" i="5"/>
  <c r="L168" i="5" s="1"/>
  <c r="P136" i="5"/>
  <c r="P135" i="5"/>
  <c r="L156" i="5" s="1"/>
  <c r="P134" i="5"/>
  <c r="L178" i="5" s="1"/>
  <c r="P133" i="5"/>
  <c r="L155" i="5" s="1"/>
  <c r="P132" i="5"/>
  <c r="L177" i="5" s="1"/>
  <c r="P131" i="5"/>
  <c r="L154" i="5" s="1"/>
  <c r="P130" i="5"/>
  <c r="L153" i="5" s="1"/>
  <c r="P129" i="5"/>
  <c r="P128" i="5"/>
  <c r="P127" i="5"/>
  <c r="P126" i="5"/>
  <c r="P125" i="5"/>
  <c r="L152" i="5" s="1"/>
  <c r="L125" i="5"/>
  <c r="P124" i="5"/>
  <c r="L151" i="5" s="1"/>
  <c r="P123" i="5"/>
  <c r="P122" i="5"/>
  <c r="L174" i="5" s="1"/>
  <c r="P121" i="5"/>
  <c r="L120" i="5" s="1"/>
  <c r="L121" i="5"/>
  <c r="P120" i="5"/>
  <c r="L110" i="5" s="1"/>
  <c r="P119" i="5"/>
  <c r="L119" i="5"/>
  <c r="P118" i="5"/>
  <c r="P117" i="5"/>
  <c r="L117" i="5"/>
  <c r="P116" i="5"/>
  <c r="P115" i="5"/>
  <c r="L115" i="5"/>
  <c r="P114" i="5"/>
  <c r="L114" i="5"/>
  <c r="P113" i="5"/>
  <c r="L148" i="5" s="1"/>
  <c r="P112" i="5"/>
  <c r="L124" i="5" s="1"/>
  <c r="P111" i="5"/>
  <c r="L118" i="5" s="1"/>
  <c r="P110" i="5"/>
  <c r="P109" i="5"/>
  <c r="P108" i="5"/>
  <c r="L146" i="5" s="1"/>
  <c r="P107" i="5"/>
  <c r="L78" i="5" s="1"/>
  <c r="P106" i="5"/>
  <c r="L172" i="5" s="1"/>
  <c r="P105" i="5"/>
  <c r="P104" i="5"/>
  <c r="P103" i="5"/>
  <c r="L103" i="5"/>
  <c r="P102" i="5"/>
  <c r="L145" i="5" s="1"/>
  <c r="L102" i="5"/>
  <c r="P101" i="5"/>
  <c r="L101" i="5"/>
  <c r="P100" i="5"/>
  <c r="L116" i="5" s="1"/>
  <c r="L100" i="5"/>
  <c r="P99" i="5"/>
  <c r="L129" i="5" s="1"/>
  <c r="P98" i="5"/>
  <c r="L161" i="5" s="1"/>
  <c r="P97" i="5"/>
  <c r="L97" i="5"/>
  <c r="P96" i="5"/>
  <c r="L144" i="5" s="1"/>
  <c r="L96" i="5"/>
  <c r="P95" i="5"/>
  <c r="L143" i="5" s="1"/>
  <c r="L95" i="5"/>
  <c r="P94" i="5"/>
  <c r="L94" i="5"/>
  <c r="P93" i="5"/>
  <c r="L93" i="5"/>
  <c r="P92" i="5"/>
  <c r="L47" i="5" s="1"/>
  <c r="L92" i="5"/>
  <c r="P91" i="5"/>
  <c r="P90" i="5"/>
  <c r="P89" i="5"/>
  <c r="L67" i="5" s="1"/>
  <c r="P88" i="5"/>
  <c r="L66" i="5" s="1"/>
  <c r="P87" i="5"/>
  <c r="L56" i="5" s="1"/>
  <c r="P86" i="5"/>
  <c r="L65" i="5" s="1"/>
  <c r="P85" i="5"/>
  <c r="L64" i="5" s="1"/>
  <c r="L85" i="5"/>
  <c r="P84" i="5"/>
  <c r="L128" i="5" s="1"/>
  <c r="P83" i="5"/>
  <c r="L63" i="5" s="1"/>
  <c r="P82" i="5"/>
  <c r="L123" i="5" s="1"/>
  <c r="L82" i="5"/>
  <c r="P81" i="5"/>
  <c r="L81" i="5"/>
  <c r="P80" i="5"/>
  <c r="L55" i="5" s="1"/>
  <c r="P79" i="5"/>
  <c r="L61" i="5" s="1"/>
  <c r="L79" i="5"/>
  <c r="P78" i="5"/>
  <c r="P77" i="5"/>
  <c r="L90" i="5" s="1"/>
  <c r="L77" i="5"/>
  <c r="P76" i="5"/>
  <c r="L89" i="5" s="1"/>
  <c r="L76" i="5"/>
  <c r="P75" i="5"/>
  <c r="L167" i="5" s="1"/>
  <c r="P74" i="5"/>
  <c r="L88" i="5" s="1"/>
  <c r="P73" i="5"/>
  <c r="L87" i="5" s="1"/>
  <c r="P72" i="5"/>
  <c r="L86" i="5" s="1"/>
  <c r="L72" i="5"/>
  <c r="P71" i="5"/>
  <c r="L166" i="5" s="1"/>
  <c r="P70" i="5"/>
  <c r="L70" i="5"/>
  <c r="P69" i="5"/>
  <c r="L98" i="5" s="1"/>
  <c r="L69" i="5"/>
  <c r="P68" i="5"/>
  <c r="L165" i="5" s="1"/>
  <c r="P67" i="5"/>
  <c r="L84" i="5" s="1"/>
  <c r="P66" i="5"/>
  <c r="L164" i="5" s="1"/>
  <c r="P65" i="5"/>
  <c r="L83" i="5" s="1"/>
  <c r="P64" i="5"/>
  <c r="AH63" i="5"/>
  <c r="P63" i="5"/>
  <c r="L109" i="5" s="1"/>
  <c r="AL62" i="5"/>
  <c r="AK62" i="5"/>
  <c r="AJ62" i="5"/>
  <c r="AI62" i="5"/>
  <c r="AH62" i="5"/>
  <c r="P62" i="5"/>
  <c r="L80" i="5" s="1"/>
  <c r="L62" i="5"/>
  <c r="AI61" i="5"/>
  <c r="AH61" i="5"/>
  <c r="AJ61" i="5" s="1"/>
  <c r="P61" i="5"/>
  <c r="AL60" i="5"/>
  <c r="AK60" i="5"/>
  <c r="AJ60" i="5"/>
  <c r="AI60" i="5"/>
  <c r="AH60" i="5"/>
  <c r="P60" i="5"/>
  <c r="L141" i="5" s="1"/>
  <c r="L60" i="5"/>
  <c r="AL59" i="5"/>
  <c r="AK59" i="5"/>
  <c r="AI59" i="5"/>
  <c r="AH59" i="5"/>
  <c r="AJ59" i="5" s="1"/>
  <c r="P59" i="5"/>
  <c r="L140" i="5" s="1"/>
  <c r="L59" i="5"/>
  <c r="AK58" i="5"/>
  <c r="AH58" i="5"/>
  <c r="AL58" i="5" s="1"/>
  <c r="P58" i="5"/>
  <c r="AI57" i="5"/>
  <c r="AH57" i="5"/>
  <c r="P57" i="5"/>
  <c r="L138" i="5" s="1"/>
  <c r="AK56" i="5"/>
  <c r="AJ56" i="5"/>
  <c r="AI56" i="5"/>
  <c r="AH56" i="5"/>
  <c r="AL56" i="5" s="1"/>
  <c r="P56" i="5"/>
  <c r="L127" i="5" s="1"/>
  <c r="AH55" i="5"/>
  <c r="AL55" i="5" s="1"/>
  <c r="P55" i="5"/>
  <c r="L108" i="5" s="1"/>
  <c r="AL54" i="5"/>
  <c r="AK54" i="5"/>
  <c r="AI54" i="5"/>
  <c r="AH54" i="5"/>
  <c r="AJ54" i="5" s="1"/>
  <c r="P54" i="5"/>
  <c r="L137" i="5" s="1"/>
  <c r="L54" i="5"/>
  <c r="AH53" i="5"/>
  <c r="P53" i="5"/>
  <c r="L171" i="5" s="1"/>
  <c r="L53" i="5"/>
  <c r="AL52" i="5"/>
  <c r="AK52" i="5"/>
  <c r="AJ52" i="5"/>
  <c r="AI52" i="5"/>
  <c r="AH52" i="5"/>
  <c r="P52" i="5"/>
  <c r="L136" i="5" s="1"/>
  <c r="L52" i="5"/>
  <c r="AL51" i="5"/>
  <c r="AJ51" i="5"/>
  <c r="AI51" i="5"/>
  <c r="AH51" i="5"/>
  <c r="AK51" i="5" s="1"/>
  <c r="P51" i="5"/>
  <c r="L160" i="5" s="1"/>
  <c r="AI50" i="5"/>
  <c r="AH50" i="5"/>
  <c r="P50" i="5"/>
  <c r="L135" i="5" s="1"/>
  <c r="L50" i="5"/>
  <c r="AH49" i="5"/>
  <c r="P49" i="5"/>
  <c r="L170" i="5" s="1"/>
  <c r="AH48" i="5"/>
  <c r="P48" i="5"/>
  <c r="L134" i="5" s="1"/>
  <c r="L48" i="5"/>
  <c r="AH47" i="5"/>
  <c r="P47" i="5"/>
  <c r="AJ46" i="5"/>
  <c r="AI46" i="5"/>
  <c r="AH46" i="5"/>
  <c r="AL46" i="5" s="1"/>
  <c r="P46" i="5"/>
  <c r="AL45" i="5"/>
  <c r="AH45" i="5"/>
  <c r="AI45" i="5" s="1"/>
  <c r="P45" i="5"/>
  <c r="L46" i="5" s="1"/>
  <c r="L45" i="5"/>
  <c r="AL44" i="5"/>
  <c r="AJ44" i="5"/>
  <c r="AI44" i="5"/>
  <c r="AH44" i="5"/>
  <c r="AK44" i="5" s="1"/>
  <c r="P44" i="5"/>
  <c r="L158" i="5" s="1"/>
  <c r="L44" i="5"/>
  <c r="AL43" i="5"/>
  <c r="AH43" i="5"/>
  <c r="P43" i="5"/>
  <c r="L42" i="5" s="1"/>
  <c r="L43" i="5"/>
  <c r="AI42" i="5"/>
  <c r="AH42" i="5"/>
  <c r="P42" i="5"/>
  <c r="AH41" i="5"/>
  <c r="P41" i="5"/>
  <c r="L51" i="5" s="1"/>
  <c r="L41" i="5"/>
  <c r="AH40" i="5"/>
  <c r="AL40" i="5" s="1"/>
  <c r="P40" i="5"/>
  <c r="AK39" i="5"/>
  <c r="AH39" i="5"/>
  <c r="AL39" i="5" s="1"/>
  <c r="P39" i="5"/>
  <c r="L35" i="5" s="1"/>
  <c r="AL38" i="5"/>
  <c r="AK38" i="5"/>
  <c r="AI38" i="5"/>
  <c r="AH38" i="5"/>
  <c r="AJ38" i="5" s="1"/>
  <c r="P38" i="5"/>
  <c r="L107" i="5" s="1"/>
  <c r="AL37" i="5"/>
  <c r="AK37" i="5"/>
  <c r="AJ37" i="5"/>
  <c r="AH37" i="5"/>
  <c r="AI37" i="5" s="1"/>
  <c r="P37" i="5"/>
  <c r="L113" i="5" s="1"/>
  <c r="L37" i="5"/>
  <c r="AL36" i="5"/>
  <c r="AK36" i="5"/>
  <c r="AJ36" i="5"/>
  <c r="AI36" i="5"/>
  <c r="AH36" i="5"/>
  <c r="P36" i="5"/>
  <c r="L40" i="5" s="1"/>
  <c r="L36" i="5"/>
  <c r="AL35" i="5"/>
  <c r="AK35" i="5"/>
  <c r="AH35" i="5"/>
  <c r="AJ35" i="5" s="1"/>
  <c r="P35" i="5"/>
  <c r="L112" i="5" s="1"/>
  <c r="AK34" i="5"/>
  <c r="AJ34" i="5"/>
  <c r="AI34" i="5"/>
  <c r="AH34" i="5"/>
  <c r="AL34" i="5" s="1"/>
  <c r="AL33" i="5"/>
  <c r="AK33" i="5"/>
  <c r="AJ33" i="5"/>
  <c r="AI33" i="5"/>
  <c r="AH33" i="5"/>
  <c r="P33" i="5"/>
  <c r="L111" i="5" s="1"/>
  <c r="AH32" i="5"/>
  <c r="P32" i="5"/>
  <c r="L74" i="5" s="1"/>
  <c r="AI31" i="5"/>
  <c r="AH31" i="5"/>
  <c r="AL31" i="5" s="1"/>
  <c r="P31" i="5"/>
  <c r="L73" i="5" s="1"/>
  <c r="AK30" i="5"/>
  <c r="AH30" i="5"/>
  <c r="AL30" i="5" s="1"/>
  <c r="P30" i="5"/>
  <c r="L34" i="5" s="1"/>
  <c r="AL29" i="5"/>
  <c r="AK29" i="5"/>
  <c r="AJ29" i="5"/>
  <c r="AI29" i="5"/>
  <c r="AH29" i="5"/>
  <c r="P29" i="5"/>
  <c r="AL28" i="5"/>
  <c r="AK28" i="5"/>
  <c r="AJ28" i="5"/>
  <c r="AH28" i="5"/>
  <c r="AI28" i="5" s="1"/>
  <c r="P28" i="5"/>
  <c r="L71" i="5" s="1"/>
  <c r="AI27" i="5"/>
  <c r="AJ27" i="5" s="1"/>
  <c r="AH27" i="5"/>
  <c r="P27" i="5"/>
  <c r="AK26" i="5"/>
  <c r="AL26" i="5" s="1"/>
  <c r="AJ26" i="5"/>
  <c r="AI26" i="5"/>
  <c r="AH26" i="5"/>
  <c r="P26" i="5"/>
  <c r="AH25" i="5"/>
  <c r="AK25" i="5" s="1"/>
  <c r="P25" i="5"/>
  <c r="L133" i="5" s="1"/>
  <c r="AI24" i="5"/>
  <c r="AH24" i="5"/>
  <c r="P24" i="5"/>
  <c r="L132" i="5" s="1"/>
  <c r="AH23" i="5"/>
  <c r="P23" i="5"/>
  <c r="L126" i="5" s="1"/>
  <c r="AJ22" i="5"/>
  <c r="AI22" i="5"/>
  <c r="AH22" i="5"/>
  <c r="AK22" i="5" s="1"/>
  <c r="AL22" i="5" s="1"/>
  <c r="P22" i="5"/>
  <c r="L106" i="5" s="1"/>
  <c r="AH21" i="5"/>
  <c r="P21" i="5"/>
  <c r="AK20" i="5"/>
  <c r="AL20" i="5" s="1"/>
  <c r="AJ20" i="5"/>
  <c r="AI20" i="5"/>
  <c r="AH20" i="5"/>
  <c r="P20" i="5"/>
  <c r="AH19" i="5"/>
  <c r="P19" i="5"/>
  <c r="L68" i="5" s="1"/>
  <c r="AJ18" i="5"/>
  <c r="AI18" i="5"/>
  <c r="AH18" i="5"/>
  <c r="AK18" i="5" s="1"/>
  <c r="AL18" i="5" s="1"/>
  <c r="P18" i="5"/>
  <c r="AK17" i="5"/>
  <c r="AL17" i="5" s="1"/>
  <c r="AI17" i="5"/>
  <c r="AJ17" i="5" s="1"/>
  <c r="AH17" i="5"/>
  <c r="L39" i="5"/>
  <c r="AK16" i="5"/>
  <c r="AI16" i="5"/>
  <c r="AJ16" i="5" s="1"/>
  <c r="AH16" i="5"/>
  <c r="AL16" i="5" s="1"/>
  <c r="P16" i="5"/>
  <c r="L105" i="5" s="1"/>
  <c r="AH15" i="5"/>
  <c r="P15" i="5"/>
  <c r="AH14" i="5"/>
  <c r="P14" i="5"/>
  <c r="L122" i="5" s="1"/>
  <c r="AJ13" i="5"/>
  <c r="AI13" i="5"/>
  <c r="AH13" i="5"/>
  <c r="AK13" i="5" s="1"/>
  <c r="P13" i="5"/>
  <c r="L38" i="5" s="1"/>
  <c r="AK12" i="5"/>
  <c r="AH12" i="5"/>
  <c r="P12" i="5"/>
  <c r="L58" i="5" s="1"/>
  <c r="AL11" i="5"/>
  <c r="AJ11" i="5"/>
  <c r="AI11" i="5"/>
  <c r="AH11" i="5"/>
  <c r="AK11" i="5" s="1"/>
  <c r="P11" i="5"/>
  <c r="L57" i="5" s="1"/>
  <c r="AH10" i="5"/>
  <c r="AL9" i="5"/>
  <c r="AK9" i="5"/>
  <c r="AJ9" i="5"/>
  <c r="AH9" i="5"/>
  <c r="AI9" i="5" s="1"/>
  <c r="O9" i="5"/>
  <c r="AL8" i="5"/>
  <c r="AI8" i="5"/>
  <c r="AH8" i="5"/>
  <c r="AK8" i="5" s="1"/>
  <c r="S7" i="5"/>
  <c r="R6" i="5"/>
  <c r="T8" i="5" s="1"/>
  <c r="Q6" i="5"/>
  <c r="P172" i="5" s="1"/>
  <c r="J4" i="5"/>
  <c r="J2" i="5"/>
  <c r="D153" i="4"/>
  <c r="Y153" i="4" s="1"/>
  <c r="D152" i="4"/>
  <c r="D151" i="4"/>
  <c r="Y151" i="4" s="1"/>
  <c r="Y150" i="4"/>
  <c r="D150" i="4"/>
  <c r="Y149" i="4"/>
  <c r="D149" i="4"/>
  <c r="Y148" i="4"/>
  <c r="D148" i="4"/>
  <c r="Y147" i="4"/>
  <c r="D147" i="4"/>
  <c r="D146" i="4"/>
  <c r="Y145" i="4"/>
  <c r="D145" i="4"/>
  <c r="D144" i="4"/>
  <c r="Y143" i="4"/>
  <c r="D143" i="4"/>
  <c r="Y142" i="4"/>
  <c r="D142" i="4"/>
  <c r="D141" i="4"/>
  <c r="Y140" i="4"/>
  <c r="D140" i="4"/>
  <c r="Y139" i="4"/>
  <c r="D139" i="4"/>
  <c r="D138" i="4"/>
  <c r="Y138" i="4" s="1"/>
  <c r="D137" i="4"/>
  <c r="Y136" i="4"/>
  <c r="D136" i="4"/>
  <c r="Y135" i="4"/>
  <c r="D135" i="4"/>
  <c r="D134" i="4"/>
  <c r="Y134" i="4" s="1"/>
  <c r="D133" i="4"/>
  <c r="D132" i="4"/>
  <c r="D131" i="4"/>
  <c r="Y131" i="4" s="1"/>
  <c r="Y130" i="4"/>
  <c r="D130" i="4"/>
  <c r="Y129" i="4"/>
  <c r="D129" i="4"/>
  <c r="Y128" i="4"/>
  <c r="D128" i="4"/>
  <c r="D127" i="4"/>
  <c r="Y127" i="4" s="1"/>
  <c r="D126" i="4"/>
  <c r="Y125" i="4"/>
  <c r="D125" i="4"/>
  <c r="Y124" i="4"/>
  <c r="D124" i="4"/>
  <c r="D123" i="4"/>
  <c r="Y123" i="4" s="1"/>
  <c r="D122" i="4"/>
  <c r="Y122" i="4" s="1"/>
  <c r="D121" i="4"/>
  <c r="Y121" i="4" s="1"/>
  <c r="Y120" i="4"/>
  <c r="D120" i="4"/>
  <c r="Y119" i="4"/>
  <c r="D119" i="4"/>
  <c r="Y118" i="4"/>
  <c r="D118" i="4"/>
  <c r="D117" i="4"/>
  <c r="D116" i="4"/>
  <c r="D115" i="4"/>
  <c r="Y115" i="4" s="1"/>
  <c r="Y114" i="4"/>
  <c r="D114" i="4"/>
  <c r="D113" i="4"/>
  <c r="Y113" i="4" s="1"/>
  <c r="Y112" i="4"/>
  <c r="D112" i="4"/>
  <c r="D111" i="4"/>
  <c r="Y111" i="4" s="1"/>
  <c r="D110" i="4"/>
  <c r="Y109" i="4"/>
  <c r="D109" i="4"/>
  <c r="D108" i="4"/>
  <c r="D107" i="4"/>
  <c r="Y106" i="4"/>
  <c r="D106" i="4"/>
  <c r="D105" i="4"/>
  <c r="D104" i="4"/>
  <c r="Y103" i="4"/>
  <c r="D103" i="4"/>
  <c r="E102" i="4"/>
  <c r="D102" i="4"/>
  <c r="D101" i="4"/>
  <c r="Y100" i="4"/>
  <c r="D100" i="4"/>
  <c r="D99" i="4"/>
  <c r="Y98" i="4"/>
  <c r="D98" i="4"/>
  <c r="D97" i="4"/>
  <c r="Y97" i="4" s="1"/>
  <c r="Y96" i="4"/>
  <c r="D96" i="4"/>
  <c r="Y95" i="4"/>
  <c r="D95" i="4"/>
  <c r="D94" i="4"/>
  <c r="D93" i="4"/>
  <c r="Y93" i="4" s="1"/>
  <c r="D92" i="4"/>
  <c r="Y91" i="4"/>
  <c r="D91" i="4"/>
  <c r="Y90" i="4"/>
  <c r="D90" i="4"/>
  <c r="E89" i="4"/>
  <c r="D89" i="4"/>
  <c r="Y88" i="4"/>
  <c r="D88" i="4"/>
  <c r="D87" i="4"/>
  <c r="D86" i="4"/>
  <c r="Y85" i="4"/>
  <c r="D85" i="4"/>
  <c r="Y84" i="4"/>
  <c r="D84" i="4"/>
  <c r="D83" i="4"/>
  <c r="Y82" i="4"/>
  <c r="D82" i="4"/>
  <c r="D81" i="4"/>
  <c r="Y80" i="4"/>
  <c r="D80" i="4"/>
  <c r="Y79" i="4"/>
  <c r="D79" i="4"/>
  <c r="D78" i="4"/>
  <c r="Y78" i="4" s="1"/>
  <c r="Y77" i="4"/>
  <c r="D77" i="4"/>
  <c r="D76" i="4"/>
  <c r="AR75" i="4"/>
  <c r="Y75" i="4"/>
  <c r="D75" i="4"/>
  <c r="D74" i="4"/>
  <c r="Y74" i="4" s="1"/>
  <c r="Y73" i="4"/>
  <c r="D73" i="4"/>
  <c r="E72" i="4"/>
  <c r="D72" i="4"/>
  <c r="Y72" i="4" s="1"/>
  <c r="D71" i="4"/>
  <c r="Y70" i="4"/>
  <c r="D70" i="4"/>
  <c r="D69" i="4"/>
  <c r="Y69" i="4" s="1"/>
  <c r="Y68" i="4"/>
  <c r="D68" i="4"/>
  <c r="Y67" i="4"/>
  <c r="D67" i="4"/>
  <c r="D66" i="4"/>
  <c r="Y65" i="4"/>
  <c r="D65" i="4"/>
  <c r="D64" i="4"/>
  <c r="D63" i="4"/>
  <c r="Y62" i="4"/>
  <c r="D62" i="4"/>
  <c r="Y61" i="4"/>
  <c r="D61" i="4"/>
  <c r="D60" i="4"/>
  <c r="D59" i="4"/>
  <c r="E58" i="4"/>
  <c r="D58" i="4"/>
  <c r="Y58" i="4" s="1"/>
  <c r="D57" i="4"/>
  <c r="Y56" i="4"/>
  <c r="D56" i="4"/>
  <c r="E55" i="4"/>
  <c r="D55" i="4"/>
  <c r="Y54" i="4"/>
  <c r="D54" i="4"/>
  <c r="Y53" i="4"/>
  <c r="D53" i="4"/>
  <c r="D52" i="4"/>
  <c r="Y51" i="4"/>
  <c r="D51" i="4"/>
  <c r="Y50" i="4"/>
  <c r="D50" i="4"/>
  <c r="D49" i="4"/>
  <c r="Y49" i="4" s="1"/>
  <c r="Y48" i="4"/>
  <c r="D48" i="4"/>
  <c r="D47" i="4"/>
  <c r="Y46" i="4"/>
  <c r="D46" i="4"/>
  <c r="Y45" i="4"/>
  <c r="D45" i="4"/>
  <c r="Y44" i="4"/>
  <c r="D44" i="4"/>
  <c r="Y43" i="4"/>
  <c r="D43" i="4"/>
  <c r="D42" i="4"/>
  <c r="Y42" i="4" s="1"/>
  <c r="D41" i="4"/>
  <c r="Y40" i="4"/>
  <c r="D40" i="4"/>
  <c r="Y39" i="4"/>
  <c r="D39" i="4"/>
  <c r="Y38" i="4"/>
  <c r="D38" i="4"/>
  <c r="Y37" i="4"/>
  <c r="E37" i="4"/>
  <c r="D37" i="4"/>
  <c r="G36" i="4"/>
  <c r="E36" i="4"/>
  <c r="D36" i="4"/>
  <c r="Y36" i="4" s="1"/>
  <c r="D35" i="4"/>
  <c r="Y35" i="4" s="1"/>
  <c r="D34" i="4"/>
  <c r="Y33" i="4"/>
  <c r="D33" i="4"/>
  <c r="E32" i="4"/>
  <c r="D32" i="4"/>
  <c r="Y31" i="4"/>
  <c r="E31" i="4"/>
  <c r="D31" i="4"/>
  <c r="Y30" i="4"/>
  <c r="E30" i="4"/>
  <c r="D30" i="4"/>
  <c r="E29" i="4"/>
  <c r="D29" i="4"/>
  <c r="Y29" i="4" s="1"/>
  <c r="Y28" i="4"/>
  <c r="D28" i="4"/>
  <c r="Y27" i="4"/>
  <c r="E27" i="4"/>
  <c r="D27" i="4"/>
  <c r="E26" i="4"/>
  <c r="D26" i="4"/>
  <c r="Y26" i="4" s="1"/>
  <c r="Y25" i="4"/>
  <c r="D25" i="4"/>
  <c r="Y24" i="4"/>
  <c r="D24" i="4"/>
  <c r="D23" i="4"/>
  <c r="Y23" i="4" s="1"/>
  <c r="Y22" i="4"/>
  <c r="D22" i="4"/>
  <c r="Y21" i="4"/>
  <c r="D21" i="4"/>
  <c r="D20" i="4"/>
  <c r="Y20" i="4" s="1"/>
  <c r="G19" i="4"/>
  <c r="F19" i="4"/>
  <c r="D19" i="4"/>
  <c r="Y19" i="4" s="1"/>
  <c r="F18" i="4"/>
  <c r="Z18" i="4" s="1"/>
  <c r="D18" i="4"/>
  <c r="Y17" i="4"/>
  <c r="D17" i="4"/>
  <c r="G16" i="4"/>
  <c r="D16" i="4"/>
  <c r="Y16" i="4" s="1"/>
  <c r="D15" i="4"/>
  <c r="Y15" i="4" s="1"/>
  <c r="E14" i="4"/>
  <c r="D14" i="4"/>
  <c r="Y14" i="4" s="1"/>
  <c r="E13" i="4"/>
  <c r="D13" i="4"/>
  <c r="Y13" i="4" s="1"/>
  <c r="D12" i="4"/>
  <c r="Y12" i="4" s="1"/>
  <c r="Y11" i="4"/>
  <c r="G11" i="4"/>
  <c r="F11" i="4"/>
  <c r="AO11" i="4" s="1"/>
  <c r="D11" i="4"/>
  <c r="AP10" i="4"/>
  <c r="AO10" i="4"/>
  <c r="Z10" i="4"/>
  <c r="G10" i="4"/>
  <c r="F10" i="4"/>
  <c r="O12" i="5" s="1"/>
  <c r="J58" i="5" s="1"/>
  <c r="E10" i="4"/>
  <c r="D10" i="4"/>
  <c r="Y10" i="4" s="1"/>
  <c r="F9" i="4"/>
  <c r="Z9" i="4" s="1"/>
  <c r="E9" i="4"/>
  <c r="D9" i="4"/>
  <c r="E8" i="4"/>
  <c r="E6" i="4"/>
  <c r="AV5" i="4"/>
  <c r="AT5" i="4"/>
  <c r="AR5" i="4"/>
  <c r="AP5" i="4"/>
  <c r="G3" i="4"/>
  <c r="G6" i="4" s="1"/>
  <c r="AP6" i="4" s="1"/>
  <c r="E3" i="4"/>
  <c r="E20" i="4" s="1"/>
  <c r="G2" i="4"/>
  <c r="F13" i="4" s="1"/>
  <c r="Z13" i="4" s="1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GT171" i="3"/>
  <c r="GS171" i="3"/>
  <c r="GR171" i="3"/>
  <c r="GQ171" i="3"/>
  <c r="GP171" i="3"/>
  <c r="GO171" i="3"/>
  <c r="GN171" i="3"/>
  <c r="GM171" i="3"/>
  <c r="GL171" i="3"/>
  <c r="GK171" i="3"/>
  <c r="GJ171" i="3"/>
  <c r="GI171" i="3"/>
  <c r="GH171" i="3"/>
  <c r="GG171" i="3"/>
  <c r="GF171" i="3"/>
  <c r="GE171" i="3"/>
  <c r="GD171" i="3"/>
  <c r="GC171" i="3"/>
  <c r="GB171" i="3"/>
  <c r="GA171" i="3"/>
  <c r="FZ171" i="3"/>
  <c r="FY171" i="3"/>
  <c r="FX171" i="3"/>
  <c r="FW171" i="3"/>
  <c r="FV171" i="3"/>
  <c r="FU171" i="3"/>
  <c r="FT171" i="3"/>
  <c r="FS171" i="3"/>
  <c r="FR171" i="3"/>
  <c r="FQ171" i="3"/>
  <c r="FP171" i="3"/>
  <c r="FO171" i="3"/>
  <c r="FN171" i="3"/>
  <c r="FM171" i="3"/>
  <c r="FL171" i="3"/>
  <c r="FK171" i="3"/>
  <c r="FJ171" i="3"/>
  <c r="FI171" i="3"/>
  <c r="FH171" i="3"/>
  <c r="FG171" i="3"/>
  <c r="FF171" i="3"/>
  <c r="FE171" i="3"/>
  <c r="FD171" i="3"/>
  <c r="FC171" i="3"/>
  <c r="FB171" i="3"/>
  <c r="FA171" i="3"/>
  <c r="EZ171" i="3"/>
  <c r="EY171" i="3"/>
  <c r="EX171" i="3"/>
  <c r="EW171" i="3"/>
  <c r="EV171" i="3"/>
  <c r="EU171" i="3"/>
  <c r="ET171" i="3"/>
  <c r="ES171" i="3"/>
  <c r="ER171" i="3"/>
  <c r="EQ171" i="3"/>
  <c r="EP171" i="3"/>
  <c r="EO171" i="3"/>
  <c r="EN171" i="3"/>
  <c r="EM171" i="3"/>
  <c r="EL171" i="3"/>
  <c r="EK171" i="3"/>
  <c r="EJ171" i="3"/>
  <c r="EI171" i="3"/>
  <c r="EH171" i="3"/>
  <c r="EG171" i="3"/>
  <c r="EF171" i="3"/>
  <c r="EE171" i="3"/>
  <c r="ED171" i="3"/>
  <c r="EC171" i="3"/>
  <c r="EB171" i="3"/>
  <c r="EA171" i="3"/>
  <c r="DZ171" i="3"/>
  <c r="DY171" i="3"/>
  <c r="DX171" i="3"/>
  <c r="DW171" i="3"/>
  <c r="DV171" i="3"/>
  <c r="DU171" i="3"/>
  <c r="DT171" i="3"/>
  <c r="DS171" i="3"/>
  <c r="DR171" i="3"/>
  <c r="DQ171" i="3"/>
  <c r="DP171" i="3"/>
  <c r="DO171" i="3"/>
  <c r="DN171" i="3"/>
  <c r="DM171" i="3"/>
  <c r="DL171" i="3"/>
  <c r="DK171" i="3"/>
  <c r="DJ171" i="3"/>
  <c r="DI171" i="3"/>
  <c r="DH171" i="3"/>
  <c r="DG171" i="3"/>
  <c r="DF171" i="3"/>
  <c r="DE171" i="3"/>
  <c r="DD171" i="3"/>
  <c r="DC171" i="3"/>
  <c r="DB171" i="3"/>
  <c r="DA171" i="3"/>
  <c r="CZ171" i="3"/>
  <c r="CY171" i="3"/>
  <c r="CX171" i="3"/>
  <c r="CW171" i="3"/>
  <c r="CV171" i="3"/>
  <c r="CU171" i="3"/>
  <c r="CT171" i="3"/>
  <c r="CS171" i="3"/>
  <c r="CR171" i="3"/>
  <c r="CQ171" i="3"/>
  <c r="CP171" i="3"/>
  <c r="CO171" i="3"/>
  <c r="CN171" i="3"/>
  <c r="CM171" i="3"/>
  <c r="CL171" i="3"/>
  <c r="CK171" i="3"/>
  <c r="CJ171" i="3"/>
  <c r="CI171" i="3"/>
  <c r="CH171" i="3"/>
  <c r="CG171" i="3"/>
  <c r="CF171" i="3"/>
  <c r="CE171" i="3"/>
  <c r="CD171" i="3"/>
  <c r="CC171" i="3"/>
  <c r="CB171" i="3"/>
  <c r="CA171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D86" i="3" s="1"/>
  <c r="E171" i="3"/>
  <c r="D171" i="3"/>
  <c r="C171" i="3"/>
  <c r="C86" i="3" s="1"/>
  <c r="GT170" i="3"/>
  <c r="GS170" i="3"/>
  <c r="GR170" i="3"/>
  <c r="GQ170" i="3"/>
  <c r="GP170" i="3"/>
  <c r="GO170" i="3"/>
  <c r="GN170" i="3"/>
  <c r="GM170" i="3"/>
  <c r="GL170" i="3"/>
  <c r="GK170" i="3"/>
  <c r="GJ170" i="3"/>
  <c r="GI170" i="3"/>
  <c r="GH170" i="3"/>
  <c r="GG170" i="3"/>
  <c r="GF170" i="3"/>
  <c r="GE170" i="3"/>
  <c r="GD170" i="3"/>
  <c r="GC170" i="3"/>
  <c r="GB170" i="3"/>
  <c r="GA170" i="3"/>
  <c r="FZ170" i="3"/>
  <c r="FY170" i="3"/>
  <c r="FX170" i="3"/>
  <c r="FW170" i="3"/>
  <c r="FV170" i="3"/>
  <c r="FU170" i="3"/>
  <c r="FT170" i="3"/>
  <c r="FS170" i="3"/>
  <c r="FR170" i="3"/>
  <c r="FQ170" i="3"/>
  <c r="FP170" i="3"/>
  <c r="FO170" i="3"/>
  <c r="FN170" i="3"/>
  <c r="FM170" i="3"/>
  <c r="FL170" i="3"/>
  <c r="FK170" i="3"/>
  <c r="FJ170" i="3"/>
  <c r="FI170" i="3"/>
  <c r="FH170" i="3"/>
  <c r="FG170" i="3"/>
  <c r="FF170" i="3"/>
  <c r="FE170" i="3"/>
  <c r="FD170" i="3"/>
  <c r="FC170" i="3"/>
  <c r="FB170" i="3"/>
  <c r="FA170" i="3"/>
  <c r="EZ170" i="3"/>
  <c r="EY170" i="3"/>
  <c r="EX170" i="3"/>
  <c r="EW170" i="3"/>
  <c r="EV170" i="3"/>
  <c r="EU170" i="3"/>
  <c r="ET170" i="3"/>
  <c r="ES170" i="3"/>
  <c r="ER170" i="3"/>
  <c r="EQ170" i="3"/>
  <c r="EP170" i="3"/>
  <c r="EO170" i="3"/>
  <c r="EN170" i="3"/>
  <c r="EM170" i="3"/>
  <c r="EL170" i="3"/>
  <c r="EK170" i="3"/>
  <c r="EJ170" i="3"/>
  <c r="EI170" i="3"/>
  <c r="EH170" i="3"/>
  <c r="EG170" i="3"/>
  <c r="EF170" i="3"/>
  <c r="EE170" i="3"/>
  <c r="ED170" i="3"/>
  <c r="EC170" i="3"/>
  <c r="EB170" i="3"/>
  <c r="EA170" i="3"/>
  <c r="DZ170" i="3"/>
  <c r="DY170" i="3"/>
  <c r="DX170" i="3"/>
  <c r="DW170" i="3"/>
  <c r="DV170" i="3"/>
  <c r="DU170" i="3"/>
  <c r="DT170" i="3"/>
  <c r="DS170" i="3"/>
  <c r="DR170" i="3"/>
  <c r="DQ170" i="3"/>
  <c r="DP170" i="3"/>
  <c r="DO170" i="3"/>
  <c r="DN170" i="3"/>
  <c r="DM170" i="3"/>
  <c r="DL170" i="3"/>
  <c r="DK170" i="3"/>
  <c r="DJ170" i="3"/>
  <c r="DI170" i="3"/>
  <c r="DH170" i="3"/>
  <c r="DG170" i="3"/>
  <c r="DF170" i="3"/>
  <c r="DE170" i="3"/>
  <c r="DD170" i="3"/>
  <c r="DC170" i="3"/>
  <c r="DB170" i="3"/>
  <c r="DA170" i="3"/>
  <c r="CZ170" i="3"/>
  <c r="CY170" i="3"/>
  <c r="CX170" i="3"/>
  <c r="CW170" i="3"/>
  <c r="CV170" i="3"/>
  <c r="CU170" i="3"/>
  <c r="CT170" i="3"/>
  <c r="CS170" i="3"/>
  <c r="CR170" i="3"/>
  <c r="CQ170" i="3"/>
  <c r="CP170" i="3"/>
  <c r="CO170" i="3"/>
  <c r="CN170" i="3"/>
  <c r="CM170" i="3"/>
  <c r="CL170" i="3"/>
  <c r="CK170" i="3"/>
  <c r="CJ170" i="3"/>
  <c r="CI170" i="3"/>
  <c r="CH170" i="3"/>
  <c r="CG170" i="3"/>
  <c r="CF170" i="3"/>
  <c r="CE170" i="3"/>
  <c r="CD170" i="3"/>
  <c r="CC170" i="3"/>
  <c r="CB170" i="3"/>
  <c r="CA170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D84" i="3" s="1"/>
  <c r="E169" i="3"/>
  <c r="D169" i="3"/>
  <c r="C169" i="3"/>
  <c r="C84" i="3" s="1"/>
  <c r="GT168" i="3"/>
  <c r="GS168" i="3"/>
  <c r="GR168" i="3"/>
  <c r="GQ168" i="3"/>
  <c r="GP168" i="3"/>
  <c r="GO168" i="3"/>
  <c r="GN168" i="3"/>
  <c r="GM168" i="3"/>
  <c r="GL168" i="3"/>
  <c r="GK168" i="3"/>
  <c r="GJ168" i="3"/>
  <c r="GI168" i="3"/>
  <c r="GH168" i="3"/>
  <c r="GG168" i="3"/>
  <c r="GF168" i="3"/>
  <c r="GE168" i="3"/>
  <c r="GD168" i="3"/>
  <c r="GC168" i="3"/>
  <c r="GB168" i="3"/>
  <c r="GA168" i="3"/>
  <c r="FZ168" i="3"/>
  <c r="FY168" i="3"/>
  <c r="FX168" i="3"/>
  <c r="FW168" i="3"/>
  <c r="FV168" i="3"/>
  <c r="FU168" i="3"/>
  <c r="FT168" i="3"/>
  <c r="FS168" i="3"/>
  <c r="FR168" i="3"/>
  <c r="FQ168" i="3"/>
  <c r="FP168" i="3"/>
  <c r="FO168" i="3"/>
  <c r="FN168" i="3"/>
  <c r="FM168" i="3"/>
  <c r="FL168" i="3"/>
  <c r="FK168" i="3"/>
  <c r="FJ168" i="3"/>
  <c r="FI168" i="3"/>
  <c r="FH168" i="3"/>
  <c r="FG168" i="3"/>
  <c r="FF168" i="3"/>
  <c r="FE168" i="3"/>
  <c r="FD168" i="3"/>
  <c r="FC168" i="3"/>
  <c r="FB168" i="3"/>
  <c r="FA168" i="3"/>
  <c r="EZ168" i="3"/>
  <c r="EY168" i="3"/>
  <c r="EX168" i="3"/>
  <c r="EW168" i="3"/>
  <c r="EV168" i="3"/>
  <c r="EU168" i="3"/>
  <c r="ET168" i="3"/>
  <c r="ES168" i="3"/>
  <c r="ER168" i="3"/>
  <c r="EQ168" i="3"/>
  <c r="EP168" i="3"/>
  <c r="EO168" i="3"/>
  <c r="EN168" i="3"/>
  <c r="EM168" i="3"/>
  <c r="EL168" i="3"/>
  <c r="EK168" i="3"/>
  <c r="EJ168" i="3"/>
  <c r="EI168" i="3"/>
  <c r="EH168" i="3"/>
  <c r="EG168" i="3"/>
  <c r="EF168" i="3"/>
  <c r="EE168" i="3"/>
  <c r="ED168" i="3"/>
  <c r="EC168" i="3"/>
  <c r="EB168" i="3"/>
  <c r="EA168" i="3"/>
  <c r="DZ168" i="3"/>
  <c r="DY168" i="3"/>
  <c r="DX168" i="3"/>
  <c r="DW168" i="3"/>
  <c r="DV168" i="3"/>
  <c r="DU168" i="3"/>
  <c r="DT168" i="3"/>
  <c r="DS168" i="3"/>
  <c r="DR168" i="3"/>
  <c r="DQ168" i="3"/>
  <c r="DP168" i="3"/>
  <c r="DO168" i="3"/>
  <c r="DN168" i="3"/>
  <c r="DM168" i="3"/>
  <c r="DL168" i="3"/>
  <c r="DK168" i="3"/>
  <c r="DJ168" i="3"/>
  <c r="DI168" i="3"/>
  <c r="DH168" i="3"/>
  <c r="DG168" i="3"/>
  <c r="DF168" i="3"/>
  <c r="DE168" i="3"/>
  <c r="DD168" i="3"/>
  <c r="DC168" i="3"/>
  <c r="DB168" i="3"/>
  <c r="DA168" i="3"/>
  <c r="CZ168" i="3"/>
  <c r="CY168" i="3"/>
  <c r="CX168" i="3"/>
  <c r="CW168" i="3"/>
  <c r="CV168" i="3"/>
  <c r="CU168" i="3"/>
  <c r="CT168" i="3"/>
  <c r="CS168" i="3"/>
  <c r="CR168" i="3"/>
  <c r="CQ168" i="3"/>
  <c r="CP168" i="3"/>
  <c r="CO168" i="3"/>
  <c r="CN168" i="3"/>
  <c r="CM168" i="3"/>
  <c r="CL168" i="3"/>
  <c r="CK168" i="3"/>
  <c r="CJ168" i="3"/>
  <c r="CI168" i="3"/>
  <c r="CH168" i="3"/>
  <c r="CG168" i="3"/>
  <c r="CF168" i="3"/>
  <c r="CE168" i="3"/>
  <c r="CD168" i="3"/>
  <c r="CC168" i="3"/>
  <c r="CB168" i="3"/>
  <c r="CA168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GT167" i="3"/>
  <c r="GS167" i="3"/>
  <c r="GR167" i="3"/>
  <c r="GQ167" i="3"/>
  <c r="GP167" i="3"/>
  <c r="GO167" i="3"/>
  <c r="GN167" i="3"/>
  <c r="GM167" i="3"/>
  <c r="GL167" i="3"/>
  <c r="GK167" i="3"/>
  <c r="GJ167" i="3"/>
  <c r="GI167" i="3"/>
  <c r="GH167" i="3"/>
  <c r="GG167" i="3"/>
  <c r="GF167" i="3"/>
  <c r="GE167" i="3"/>
  <c r="GD167" i="3"/>
  <c r="GC167" i="3"/>
  <c r="GB167" i="3"/>
  <c r="GA167" i="3"/>
  <c r="FZ167" i="3"/>
  <c r="FY167" i="3"/>
  <c r="FX167" i="3"/>
  <c r="FW167" i="3"/>
  <c r="FV167" i="3"/>
  <c r="FU167" i="3"/>
  <c r="FT167" i="3"/>
  <c r="FS167" i="3"/>
  <c r="FR167" i="3"/>
  <c r="FQ167" i="3"/>
  <c r="FP167" i="3"/>
  <c r="FO167" i="3"/>
  <c r="FN167" i="3"/>
  <c r="FM167" i="3"/>
  <c r="FL167" i="3"/>
  <c r="FK167" i="3"/>
  <c r="FJ167" i="3"/>
  <c r="FI167" i="3"/>
  <c r="FH167" i="3"/>
  <c r="FG167" i="3"/>
  <c r="FF167" i="3"/>
  <c r="FE167" i="3"/>
  <c r="FD167" i="3"/>
  <c r="FC167" i="3"/>
  <c r="FB167" i="3"/>
  <c r="FA167" i="3"/>
  <c r="EZ167" i="3"/>
  <c r="EY167" i="3"/>
  <c r="EX167" i="3"/>
  <c r="EW167" i="3"/>
  <c r="EV167" i="3"/>
  <c r="EU167" i="3"/>
  <c r="ET167" i="3"/>
  <c r="ES167" i="3"/>
  <c r="ER167" i="3"/>
  <c r="EQ167" i="3"/>
  <c r="EP167" i="3"/>
  <c r="EO167" i="3"/>
  <c r="EN167" i="3"/>
  <c r="EM167" i="3"/>
  <c r="EL167" i="3"/>
  <c r="EK167" i="3"/>
  <c r="EJ167" i="3"/>
  <c r="EI167" i="3"/>
  <c r="EH167" i="3"/>
  <c r="EG167" i="3"/>
  <c r="EF167" i="3"/>
  <c r="EE167" i="3"/>
  <c r="ED167" i="3"/>
  <c r="EC167" i="3"/>
  <c r="EB167" i="3"/>
  <c r="EA167" i="3"/>
  <c r="DZ167" i="3"/>
  <c r="DY167" i="3"/>
  <c r="DX167" i="3"/>
  <c r="DW167" i="3"/>
  <c r="DV167" i="3"/>
  <c r="DU167" i="3"/>
  <c r="DT167" i="3"/>
  <c r="DS167" i="3"/>
  <c r="DR167" i="3"/>
  <c r="DQ167" i="3"/>
  <c r="DP167" i="3"/>
  <c r="DO167" i="3"/>
  <c r="DN167" i="3"/>
  <c r="DM167" i="3"/>
  <c r="DL167" i="3"/>
  <c r="DK167" i="3"/>
  <c r="DJ167" i="3"/>
  <c r="DI167" i="3"/>
  <c r="DH167" i="3"/>
  <c r="DG167" i="3"/>
  <c r="DF167" i="3"/>
  <c r="DE167" i="3"/>
  <c r="DD167" i="3"/>
  <c r="DC167" i="3"/>
  <c r="DB167" i="3"/>
  <c r="DA167" i="3"/>
  <c r="CZ167" i="3"/>
  <c r="CY167" i="3"/>
  <c r="CX167" i="3"/>
  <c r="CW167" i="3"/>
  <c r="CV167" i="3"/>
  <c r="CU167" i="3"/>
  <c r="CT167" i="3"/>
  <c r="CS167" i="3"/>
  <c r="CR167" i="3"/>
  <c r="CQ167" i="3"/>
  <c r="CP167" i="3"/>
  <c r="CO167" i="3"/>
  <c r="CN167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D82" i="3" s="1"/>
  <c r="E167" i="3"/>
  <c r="D167" i="3"/>
  <c r="C167" i="3"/>
  <c r="C82" i="3" s="1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GT165" i="3"/>
  <c r="GS165" i="3"/>
  <c r="GR165" i="3"/>
  <c r="GQ165" i="3"/>
  <c r="GP165" i="3"/>
  <c r="GO165" i="3"/>
  <c r="GN165" i="3"/>
  <c r="GM165" i="3"/>
  <c r="GL165" i="3"/>
  <c r="GK165" i="3"/>
  <c r="GJ165" i="3"/>
  <c r="GI165" i="3"/>
  <c r="GH165" i="3"/>
  <c r="GG165" i="3"/>
  <c r="GF165" i="3"/>
  <c r="GE165" i="3"/>
  <c r="GD165" i="3"/>
  <c r="GC165" i="3"/>
  <c r="GB165" i="3"/>
  <c r="GA165" i="3"/>
  <c r="FZ165" i="3"/>
  <c r="FY165" i="3"/>
  <c r="FX165" i="3"/>
  <c r="FW165" i="3"/>
  <c r="FV165" i="3"/>
  <c r="FU165" i="3"/>
  <c r="FT165" i="3"/>
  <c r="FS165" i="3"/>
  <c r="FR165" i="3"/>
  <c r="FQ165" i="3"/>
  <c r="FP165" i="3"/>
  <c r="FO165" i="3"/>
  <c r="FN165" i="3"/>
  <c r="FM165" i="3"/>
  <c r="FL165" i="3"/>
  <c r="FK165" i="3"/>
  <c r="FJ165" i="3"/>
  <c r="FI165" i="3"/>
  <c r="FH165" i="3"/>
  <c r="FG165" i="3"/>
  <c r="FF165" i="3"/>
  <c r="FE165" i="3"/>
  <c r="FD165" i="3"/>
  <c r="FC165" i="3"/>
  <c r="FB165" i="3"/>
  <c r="FA165" i="3"/>
  <c r="EZ165" i="3"/>
  <c r="EY165" i="3"/>
  <c r="EX165" i="3"/>
  <c r="EW165" i="3"/>
  <c r="EV165" i="3"/>
  <c r="EU165" i="3"/>
  <c r="ET165" i="3"/>
  <c r="ES165" i="3"/>
  <c r="ER165" i="3"/>
  <c r="EQ165" i="3"/>
  <c r="EP165" i="3"/>
  <c r="EO165" i="3"/>
  <c r="EN165" i="3"/>
  <c r="EM165" i="3"/>
  <c r="EL165" i="3"/>
  <c r="EK165" i="3"/>
  <c r="EJ165" i="3"/>
  <c r="EI165" i="3"/>
  <c r="EH165" i="3"/>
  <c r="EG165" i="3"/>
  <c r="EF165" i="3"/>
  <c r="EE165" i="3"/>
  <c r="ED165" i="3"/>
  <c r="EC165" i="3"/>
  <c r="EB165" i="3"/>
  <c r="EA165" i="3"/>
  <c r="DZ165" i="3"/>
  <c r="DY165" i="3"/>
  <c r="DX165" i="3"/>
  <c r="DW165" i="3"/>
  <c r="DV165" i="3"/>
  <c r="DU165" i="3"/>
  <c r="DT165" i="3"/>
  <c r="DS165" i="3"/>
  <c r="DR165" i="3"/>
  <c r="DQ165" i="3"/>
  <c r="DP165" i="3"/>
  <c r="DO165" i="3"/>
  <c r="DN165" i="3"/>
  <c r="DM165" i="3"/>
  <c r="DL165" i="3"/>
  <c r="DK165" i="3"/>
  <c r="DJ165" i="3"/>
  <c r="DI165" i="3"/>
  <c r="DH165" i="3"/>
  <c r="DG165" i="3"/>
  <c r="DF165" i="3"/>
  <c r="DE165" i="3"/>
  <c r="DD165" i="3"/>
  <c r="DC165" i="3"/>
  <c r="DB165" i="3"/>
  <c r="DA165" i="3"/>
  <c r="CZ165" i="3"/>
  <c r="CY165" i="3"/>
  <c r="CX165" i="3"/>
  <c r="CW165" i="3"/>
  <c r="CV165" i="3"/>
  <c r="CU165" i="3"/>
  <c r="CT165" i="3"/>
  <c r="CS165" i="3"/>
  <c r="CR165" i="3"/>
  <c r="CQ165" i="3"/>
  <c r="CP165" i="3"/>
  <c r="CO165" i="3"/>
  <c r="CN165" i="3"/>
  <c r="CM165" i="3"/>
  <c r="CL165" i="3"/>
  <c r="CK165" i="3"/>
  <c r="CJ165" i="3"/>
  <c r="CI165" i="3"/>
  <c r="CH165" i="3"/>
  <c r="CG165" i="3"/>
  <c r="CF165" i="3"/>
  <c r="CE165" i="3"/>
  <c r="CD165" i="3"/>
  <c r="CC165" i="3"/>
  <c r="CB165" i="3"/>
  <c r="CA165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D80" i="3" s="1"/>
  <c r="E165" i="3"/>
  <c r="D165" i="3"/>
  <c r="C165" i="3"/>
  <c r="GT164" i="3"/>
  <c r="GS164" i="3"/>
  <c r="GR164" i="3"/>
  <c r="GQ164" i="3"/>
  <c r="GP164" i="3"/>
  <c r="GO164" i="3"/>
  <c r="GN164" i="3"/>
  <c r="GM164" i="3"/>
  <c r="GL164" i="3"/>
  <c r="GK164" i="3"/>
  <c r="GJ164" i="3"/>
  <c r="GI164" i="3"/>
  <c r="GH164" i="3"/>
  <c r="GG164" i="3"/>
  <c r="GF164" i="3"/>
  <c r="GE164" i="3"/>
  <c r="GD164" i="3"/>
  <c r="GC164" i="3"/>
  <c r="GB164" i="3"/>
  <c r="GA164" i="3"/>
  <c r="FZ164" i="3"/>
  <c r="FY164" i="3"/>
  <c r="FX164" i="3"/>
  <c r="FW164" i="3"/>
  <c r="FV164" i="3"/>
  <c r="FU164" i="3"/>
  <c r="FT164" i="3"/>
  <c r="FS164" i="3"/>
  <c r="FR164" i="3"/>
  <c r="FQ164" i="3"/>
  <c r="FP164" i="3"/>
  <c r="FO164" i="3"/>
  <c r="FN164" i="3"/>
  <c r="FM164" i="3"/>
  <c r="FL164" i="3"/>
  <c r="FK164" i="3"/>
  <c r="FJ164" i="3"/>
  <c r="FI164" i="3"/>
  <c r="FH164" i="3"/>
  <c r="FG164" i="3"/>
  <c r="FF164" i="3"/>
  <c r="FE164" i="3"/>
  <c r="FD164" i="3"/>
  <c r="FC164" i="3"/>
  <c r="FB164" i="3"/>
  <c r="FA164" i="3"/>
  <c r="EZ164" i="3"/>
  <c r="EY164" i="3"/>
  <c r="EX164" i="3"/>
  <c r="EW164" i="3"/>
  <c r="EV164" i="3"/>
  <c r="EU164" i="3"/>
  <c r="ET164" i="3"/>
  <c r="ES164" i="3"/>
  <c r="ER164" i="3"/>
  <c r="EQ164" i="3"/>
  <c r="EP164" i="3"/>
  <c r="EO164" i="3"/>
  <c r="EN164" i="3"/>
  <c r="EM164" i="3"/>
  <c r="EL164" i="3"/>
  <c r="EK164" i="3"/>
  <c r="EJ164" i="3"/>
  <c r="EI164" i="3"/>
  <c r="EH164" i="3"/>
  <c r="EG164" i="3"/>
  <c r="EF164" i="3"/>
  <c r="EE164" i="3"/>
  <c r="ED164" i="3"/>
  <c r="EC164" i="3"/>
  <c r="EB164" i="3"/>
  <c r="EA164" i="3"/>
  <c r="DZ164" i="3"/>
  <c r="DY164" i="3"/>
  <c r="DX164" i="3"/>
  <c r="DW164" i="3"/>
  <c r="DV164" i="3"/>
  <c r="DU164" i="3"/>
  <c r="DT164" i="3"/>
  <c r="DS164" i="3"/>
  <c r="DR164" i="3"/>
  <c r="DQ164" i="3"/>
  <c r="DP164" i="3"/>
  <c r="DO164" i="3"/>
  <c r="DN164" i="3"/>
  <c r="DM164" i="3"/>
  <c r="DL164" i="3"/>
  <c r="DK164" i="3"/>
  <c r="DJ164" i="3"/>
  <c r="DI164" i="3"/>
  <c r="DH164" i="3"/>
  <c r="DG164" i="3"/>
  <c r="DF164" i="3"/>
  <c r="DE164" i="3"/>
  <c r="DD164" i="3"/>
  <c r="DC164" i="3"/>
  <c r="DB164" i="3"/>
  <c r="DA164" i="3"/>
  <c r="CZ164" i="3"/>
  <c r="CY164" i="3"/>
  <c r="CX164" i="3"/>
  <c r="CW164" i="3"/>
  <c r="CV164" i="3"/>
  <c r="CU164" i="3"/>
  <c r="CT164" i="3"/>
  <c r="CS164" i="3"/>
  <c r="CR164" i="3"/>
  <c r="CQ164" i="3"/>
  <c r="CP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GT162" i="3"/>
  <c r="GS162" i="3"/>
  <c r="GR162" i="3"/>
  <c r="GQ162" i="3"/>
  <c r="GP162" i="3"/>
  <c r="GO162" i="3"/>
  <c r="GN162" i="3"/>
  <c r="GM162" i="3"/>
  <c r="GL162" i="3"/>
  <c r="GK162" i="3"/>
  <c r="GJ162" i="3"/>
  <c r="GI162" i="3"/>
  <c r="GH162" i="3"/>
  <c r="GG162" i="3"/>
  <c r="GF162" i="3"/>
  <c r="GE162" i="3"/>
  <c r="GD162" i="3"/>
  <c r="GC162" i="3"/>
  <c r="GB162" i="3"/>
  <c r="GA162" i="3"/>
  <c r="FZ162" i="3"/>
  <c r="FY162" i="3"/>
  <c r="FX162" i="3"/>
  <c r="FW162" i="3"/>
  <c r="FV162" i="3"/>
  <c r="FU162" i="3"/>
  <c r="FT162" i="3"/>
  <c r="FS162" i="3"/>
  <c r="FR162" i="3"/>
  <c r="FQ162" i="3"/>
  <c r="FP162" i="3"/>
  <c r="FO162" i="3"/>
  <c r="FN162" i="3"/>
  <c r="FM162" i="3"/>
  <c r="FL162" i="3"/>
  <c r="FK162" i="3"/>
  <c r="FJ162" i="3"/>
  <c r="FI162" i="3"/>
  <c r="FH162" i="3"/>
  <c r="FG162" i="3"/>
  <c r="FF162" i="3"/>
  <c r="FE162" i="3"/>
  <c r="FD162" i="3"/>
  <c r="FC162" i="3"/>
  <c r="FB162" i="3"/>
  <c r="FA162" i="3"/>
  <c r="EZ162" i="3"/>
  <c r="EY162" i="3"/>
  <c r="EX162" i="3"/>
  <c r="EW162" i="3"/>
  <c r="EV162" i="3"/>
  <c r="EU162" i="3"/>
  <c r="ET162" i="3"/>
  <c r="ES162" i="3"/>
  <c r="ER162" i="3"/>
  <c r="EQ162" i="3"/>
  <c r="EP162" i="3"/>
  <c r="EO162" i="3"/>
  <c r="EN162" i="3"/>
  <c r="EM162" i="3"/>
  <c r="EL162" i="3"/>
  <c r="EK162" i="3"/>
  <c r="EJ162" i="3"/>
  <c r="EI162" i="3"/>
  <c r="EH162" i="3"/>
  <c r="EG162" i="3"/>
  <c r="EF162" i="3"/>
  <c r="EE162" i="3"/>
  <c r="ED162" i="3"/>
  <c r="EC162" i="3"/>
  <c r="EB162" i="3"/>
  <c r="EA162" i="3"/>
  <c r="DZ162" i="3"/>
  <c r="DY162" i="3"/>
  <c r="DX162" i="3"/>
  <c r="DW162" i="3"/>
  <c r="DV162" i="3"/>
  <c r="DU162" i="3"/>
  <c r="DT162" i="3"/>
  <c r="DS162" i="3"/>
  <c r="DR162" i="3"/>
  <c r="DQ162" i="3"/>
  <c r="DP162" i="3"/>
  <c r="DO162" i="3"/>
  <c r="DN162" i="3"/>
  <c r="DM162" i="3"/>
  <c r="DL162" i="3"/>
  <c r="DK162" i="3"/>
  <c r="DJ162" i="3"/>
  <c r="DI162" i="3"/>
  <c r="DH162" i="3"/>
  <c r="DG162" i="3"/>
  <c r="DF162" i="3"/>
  <c r="DE162" i="3"/>
  <c r="DD162" i="3"/>
  <c r="DC162" i="3"/>
  <c r="DB162" i="3"/>
  <c r="DA162" i="3"/>
  <c r="CZ162" i="3"/>
  <c r="CY162" i="3"/>
  <c r="CX162" i="3"/>
  <c r="CW162" i="3"/>
  <c r="CV162" i="3"/>
  <c r="CU162" i="3"/>
  <c r="CT162" i="3"/>
  <c r="CS162" i="3"/>
  <c r="CR162" i="3"/>
  <c r="CQ162" i="3"/>
  <c r="CP162" i="3"/>
  <c r="CO162" i="3"/>
  <c r="CN162" i="3"/>
  <c r="CM162" i="3"/>
  <c r="CL162" i="3"/>
  <c r="CK162" i="3"/>
  <c r="CJ162" i="3"/>
  <c r="CI162" i="3"/>
  <c r="CH162" i="3"/>
  <c r="CG162" i="3"/>
  <c r="CF162" i="3"/>
  <c r="CE162" i="3"/>
  <c r="CD162" i="3"/>
  <c r="CC162" i="3"/>
  <c r="CB162" i="3"/>
  <c r="CA162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GT161" i="3"/>
  <c r="GS161" i="3"/>
  <c r="GR161" i="3"/>
  <c r="GQ161" i="3"/>
  <c r="GP161" i="3"/>
  <c r="GO161" i="3"/>
  <c r="GN161" i="3"/>
  <c r="GM161" i="3"/>
  <c r="GL161" i="3"/>
  <c r="GK161" i="3"/>
  <c r="GJ161" i="3"/>
  <c r="GI161" i="3"/>
  <c r="GH161" i="3"/>
  <c r="GG161" i="3"/>
  <c r="GF161" i="3"/>
  <c r="GE161" i="3"/>
  <c r="GD161" i="3"/>
  <c r="GC161" i="3"/>
  <c r="GB161" i="3"/>
  <c r="GA161" i="3"/>
  <c r="FZ161" i="3"/>
  <c r="FY161" i="3"/>
  <c r="FX161" i="3"/>
  <c r="FW161" i="3"/>
  <c r="FV161" i="3"/>
  <c r="FU161" i="3"/>
  <c r="FT161" i="3"/>
  <c r="FS161" i="3"/>
  <c r="FR161" i="3"/>
  <c r="FQ161" i="3"/>
  <c r="FP161" i="3"/>
  <c r="FO161" i="3"/>
  <c r="FN161" i="3"/>
  <c r="FM161" i="3"/>
  <c r="FL161" i="3"/>
  <c r="FK161" i="3"/>
  <c r="FJ161" i="3"/>
  <c r="FI161" i="3"/>
  <c r="FH161" i="3"/>
  <c r="FG161" i="3"/>
  <c r="FF161" i="3"/>
  <c r="FE161" i="3"/>
  <c r="FD161" i="3"/>
  <c r="FC161" i="3"/>
  <c r="FB161" i="3"/>
  <c r="FA161" i="3"/>
  <c r="EZ161" i="3"/>
  <c r="EY161" i="3"/>
  <c r="EX161" i="3"/>
  <c r="EW161" i="3"/>
  <c r="EV161" i="3"/>
  <c r="EU161" i="3"/>
  <c r="ET161" i="3"/>
  <c r="ES161" i="3"/>
  <c r="ER161" i="3"/>
  <c r="EQ161" i="3"/>
  <c r="EP161" i="3"/>
  <c r="EO161" i="3"/>
  <c r="EN161" i="3"/>
  <c r="EM161" i="3"/>
  <c r="EL161" i="3"/>
  <c r="EK161" i="3"/>
  <c r="EJ161" i="3"/>
  <c r="EI161" i="3"/>
  <c r="EH161" i="3"/>
  <c r="EG161" i="3"/>
  <c r="EF161" i="3"/>
  <c r="EE161" i="3"/>
  <c r="ED161" i="3"/>
  <c r="EC161" i="3"/>
  <c r="EB161" i="3"/>
  <c r="EA161" i="3"/>
  <c r="DZ161" i="3"/>
  <c r="DY161" i="3"/>
  <c r="DX161" i="3"/>
  <c r="DW161" i="3"/>
  <c r="DV161" i="3"/>
  <c r="DU161" i="3"/>
  <c r="DT161" i="3"/>
  <c r="DS161" i="3"/>
  <c r="DR161" i="3"/>
  <c r="DQ161" i="3"/>
  <c r="DP161" i="3"/>
  <c r="DO161" i="3"/>
  <c r="DN161" i="3"/>
  <c r="DM161" i="3"/>
  <c r="DL161" i="3"/>
  <c r="DK161" i="3"/>
  <c r="DJ161" i="3"/>
  <c r="DI161" i="3"/>
  <c r="DH161" i="3"/>
  <c r="DG161" i="3"/>
  <c r="DF161" i="3"/>
  <c r="DE161" i="3"/>
  <c r="DD161" i="3"/>
  <c r="DC161" i="3"/>
  <c r="DB161" i="3"/>
  <c r="DA161" i="3"/>
  <c r="CZ161" i="3"/>
  <c r="CY161" i="3"/>
  <c r="CX161" i="3"/>
  <c r="CW161" i="3"/>
  <c r="CV161" i="3"/>
  <c r="CU161" i="3"/>
  <c r="CT161" i="3"/>
  <c r="CS161" i="3"/>
  <c r="CR161" i="3"/>
  <c r="CQ161" i="3"/>
  <c r="CP161" i="3"/>
  <c r="CO161" i="3"/>
  <c r="CN161" i="3"/>
  <c r="CM161" i="3"/>
  <c r="CL161" i="3"/>
  <c r="CK161" i="3"/>
  <c r="CJ161" i="3"/>
  <c r="CI161" i="3"/>
  <c r="CH161" i="3"/>
  <c r="CG161" i="3"/>
  <c r="CF161" i="3"/>
  <c r="CE161" i="3"/>
  <c r="CD161" i="3"/>
  <c r="CC161" i="3"/>
  <c r="CB161" i="3"/>
  <c r="CA161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C76" i="3" s="1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GT159" i="3"/>
  <c r="GS159" i="3"/>
  <c r="GR159" i="3"/>
  <c r="GQ159" i="3"/>
  <c r="GP159" i="3"/>
  <c r="GO159" i="3"/>
  <c r="GN159" i="3"/>
  <c r="GM159" i="3"/>
  <c r="GL159" i="3"/>
  <c r="GK159" i="3"/>
  <c r="GJ159" i="3"/>
  <c r="GI159" i="3"/>
  <c r="GH159" i="3"/>
  <c r="GG159" i="3"/>
  <c r="GF159" i="3"/>
  <c r="GE159" i="3"/>
  <c r="GD159" i="3"/>
  <c r="GC159" i="3"/>
  <c r="GB159" i="3"/>
  <c r="GA159" i="3"/>
  <c r="FZ159" i="3"/>
  <c r="FY159" i="3"/>
  <c r="FX159" i="3"/>
  <c r="FW159" i="3"/>
  <c r="FV159" i="3"/>
  <c r="FU159" i="3"/>
  <c r="FT159" i="3"/>
  <c r="FS159" i="3"/>
  <c r="FR159" i="3"/>
  <c r="FQ159" i="3"/>
  <c r="FP159" i="3"/>
  <c r="FO159" i="3"/>
  <c r="FN159" i="3"/>
  <c r="FM159" i="3"/>
  <c r="FL159" i="3"/>
  <c r="FK159" i="3"/>
  <c r="FJ159" i="3"/>
  <c r="FI159" i="3"/>
  <c r="FH159" i="3"/>
  <c r="FG159" i="3"/>
  <c r="FF159" i="3"/>
  <c r="FE159" i="3"/>
  <c r="FD159" i="3"/>
  <c r="FC159" i="3"/>
  <c r="FB159" i="3"/>
  <c r="FA159" i="3"/>
  <c r="EZ159" i="3"/>
  <c r="EY159" i="3"/>
  <c r="EX159" i="3"/>
  <c r="EW159" i="3"/>
  <c r="EV159" i="3"/>
  <c r="EU159" i="3"/>
  <c r="ET159" i="3"/>
  <c r="ES159" i="3"/>
  <c r="ER159" i="3"/>
  <c r="EQ159" i="3"/>
  <c r="EP159" i="3"/>
  <c r="EO159" i="3"/>
  <c r="EN159" i="3"/>
  <c r="EM159" i="3"/>
  <c r="EL159" i="3"/>
  <c r="EK159" i="3"/>
  <c r="EJ159" i="3"/>
  <c r="EI159" i="3"/>
  <c r="EH159" i="3"/>
  <c r="EG159" i="3"/>
  <c r="EF159" i="3"/>
  <c r="EE159" i="3"/>
  <c r="ED159" i="3"/>
  <c r="EC159" i="3"/>
  <c r="EB159" i="3"/>
  <c r="EA159" i="3"/>
  <c r="DZ159" i="3"/>
  <c r="DY159" i="3"/>
  <c r="DX159" i="3"/>
  <c r="DW159" i="3"/>
  <c r="DV159" i="3"/>
  <c r="DU159" i="3"/>
  <c r="DT159" i="3"/>
  <c r="DS159" i="3"/>
  <c r="DR159" i="3"/>
  <c r="DQ159" i="3"/>
  <c r="DP159" i="3"/>
  <c r="DO159" i="3"/>
  <c r="DN159" i="3"/>
  <c r="DM159" i="3"/>
  <c r="DL159" i="3"/>
  <c r="DK159" i="3"/>
  <c r="DJ159" i="3"/>
  <c r="DI159" i="3"/>
  <c r="DH159" i="3"/>
  <c r="DG159" i="3"/>
  <c r="DF159" i="3"/>
  <c r="DE159" i="3"/>
  <c r="DD159" i="3"/>
  <c r="DC159" i="3"/>
  <c r="DB159" i="3"/>
  <c r="DA159" i="3"/>
  <c r="CZ159" i="3"/>
  <c r="CY159" i="3"/>
  <c r="CX159" i="3"/>
  <c r="CW159" i="3"/>
  <c r="CV159" i="3"/>
  <c r="CU159" i="3"/>
  <c r="CT159" i="3"/>
  <c r="CS159" i="3"/>
  <c r="CR159" i="3"/>
  <c r="CQ159" i="3"/>
  <c r="CP159" i="3"/>
  <c r="CO159" i="3"/>
  <c r="CN159" i="3"/>
  <c r="CM159" i="3"/>
  <c r="CL159" i="3"/>
  <c r="CK159" i="3"/>
  <c r="CJ159" i="3"/>
  <c r="CI159" i="3"/>
  <c r="CH159" i="3"/>
  <c r="CG159" i="3"/>
  <c r="CF159" i="3"/>
  <c r="CE159" i="3"/>
  <c r="CD159" i="3"/>
  <c r="CC159" i="3"/>
  <c r="CB159" i="3"/>
  <c r="CA159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C74" i="3" s="1"/>
  <c r="GT158" i="3"/>
  <c r="GS158" i="3"/>
  <c r="GR158" i="3"/>
  <c r="GQ158" i="3"/>
  <c r="GP158" i="3"/>
  <c r="GO158" i="3"/>
  <c r="GN158" i="3"/>
  <c r="GM158" i="3"/>
  <c r="GL158" i="3"/>
  <c r="GK158" i="3"/>
  <c r="GJ158" i="3"/>
  <c r="GI158" i="3"/>
  <c r="GH158" i="3"/>
  <c r="GG158" i="3"/>
  <c r="GF158" i="3"/>
  <c r="GE158" i="3"/>
  <c r="GD158" i="3"/>
  <c r="GC158" i="3"/>
  <c r="GB158" i="3"/>
  <c r="GA158" i="3"/>
  <c r="FZ158" i="3"/>
  <c r="FY158" i="3"/>
  <c r="FX158" i="3"/>
  <c r="FW158" i="3"/>
  <c r="FV158" i="3"/>
  <c r="FU158" i="3"/>
  <c r="FT158" i="3"/>
  <c r="FS158" i="3"/>
  <c r="FR158" i="3"/>
  <c r="FQ158" i="3"/>
  <c r="FP158" i="3"/>
  <c r="FO158" i="3"/>
  <c r="FN158" i="3"/>
  <c r="FM158" i="3"/>
  <c r="FL158" i="3"/>
  <c r="FK158" i="3"/>
  <c r="FJ158" i="3"/>
  <c r="FI158" i="3"/>
  <c r="FH158" i="3"/>
  <c r="FG158" i="3"/>
  <c r="FF158" i="3"/>
  <c r="FE158" i="3"/>
  <c r="FD158" i="3"/>
  <c r="FC158" i="3"/>
  <c r="FB158" i="3"/>
  <c r="FA158" i="3"/>
  <c r="EZ158" i="3"/>
  <c r="EY158" i="3"/>
  <c r="EX158" i="3"/>
  <c r="EW158" i="3"/>
  <c r="EV158" i="3"/>
  <c r="EU158" i="3"/>
  <c r="ET158" i="3"/>
  <c r="ES158" i="3"/>
  <c r="ER158" i="3"/>
  <c r="EQ158" i="3"/>
  <c r="EP158" i="3"/>
  <c r="EO158" i="3"/>
  <c r="EN158" i="3"/>
  <c r="EM158" i="3"/>
  <c r="EL158" i="3"/>
  <c r="EK158" i="3"/>
  <c r="EJ158" i="3"/>
  <c r="EI158" i="3"/>
  <c r="EH158" i="3"/>
  <c r="EG158" i="3"/>
  <c r="EF158" i="3"/>
  <c r="EE158" i="3"/>
  <c r="ED158" i="3"/>
  <c r="EC158" i="3"/>
  <c r="EB158" i="3"/>
  <c r="EA158" i="3"/>
  <c r="DZ158" i="3"/>
  <c r="DY158" i="3"/>
  <c r="DX158" i="3"/>
  <c r="DW158" i="3"/>
  <c r="DV158" i="3"/>
  <c r="DU158" i="3"/>
  <c r="DT158" i="3"/>
  <c r="DS158" i="3"/>
  <c r="DR158" i="3"/>
  <c r="DQ158" i="3"/>
  <c r="DP158" i="3"/>
  <c r="DO158" i="3"/>
  <c r="DN158" i="3"/>
  <c r="DM158" i="3"/>
  <c r="DL158" i="3"/>
  <c r="DK158" i="3"/>
  <c r="DJ158" i="3"/>
  <c r="DI158" i="3"/>
  <c r="DH158" i="3"/>
  <c r="DG158" i="3"/>
  <c r="DF158" i="3"/>
  <c r="DE158" i="3"/>
  <c r="DD158" i="3"/>
  <c r="DC158" i="3"/>
  <c r="DB158" i="3"/>
  <c r="DA158" i="3"/>
  <c r="CZ158" i="3"/>
  <c r="CY158" i="3"/>
  <c r="CX158" i="3"/>
  <c r="CW158" i="3"/>
  <c r="CV158" i="3"/>
  <c r="CU158" i="3"/>
  <c r="CT158" i="3"/>
  <c r="CS158" i="3"/>
  <c r="CR158" i="3"/>
  <c r="CQ158" i="3"/>
  <c r="CP158" i="3"/>
  <c r="CO158" i="3"/>
  <c r="CN158" i="3"/>
  <c r="CM158" i="3"/>
  <c r="CL158" i="3"/>
  <c r="CK158" i="3"/>
  <c r="CJ158" i="3"/>
  <c r="CI158" i="3"/>
  <c r="CH158" i="3"/>
  <c r="CG158" i="3"/>
  <c r="CF158" i="3"/>
  <c r="CE158" i="3"/>
  <c r="CD158" i="3"/>
  <c r="CC158" i="3"/>
  <c r="CB158" i="3"/>
  <c r="CA158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D72" i="3" s="1"/>
  <c r="E157" i="3"/>
  <c r="D157" i="3"/>
  <c r="C157" i="3"/>
  <c r="C72" i="3" s="1"/>
  <c r="GT156" i="3"/>
  <c r="GS156" i="3"/>
  <c r="GR156" i="3"/>
  <c r="GQ156" i="3"/>
  <c r="GP156" i="3"/>
  <c r="GO156" i="3"/>
  <c r="GN156" i="3"/>
  <c r="GM156" i="3"/>
  <c r="GL156" i="3"/>
  <c r="GK156" i="3"/>
  <c r="GJ156" i="3"/>
  <c r="GI156" i="3"/>
  <c r="GH156" i="3"/>
  <c r="GG156" i="3"/>
  <c r="GF156" i="3"/>
  <c r="GE156" i="3"/>
  <c r="GD156" i="3"/>
  <c r="GC156" i="3"/>
  <c r="GB156" i="3"/>
  <c r="GA156" i="3"/>
  <c r="FZ156" i="3"/>
  <c r="FY156" i="3"/>
  <c r="FX156" i="3"/>
  <c r="FW156" i="3"/>
  <c r="FV156" i="3"/>
  <c r="FU156" i="3"/>
  <c r="FT156" i="3"/>
  <c r="FS156" i="3"/>
  <c r="FR156" i="3"/>
  <c r="FQ156" i="3"/>
  <c r="FP156" i="3"/>
  <c r="FO156" i="3"/>
  <c r="FN156" i="3"/>
  <c r="FM156" i="3"/>
  <c r="FL156" i="3"/>
  <c r="FK156" i="3"/>
  <c r="FJ156" i="3"/>
  <c r="FI156" i="3"/>
  <c r="FH156" i="3"/>
  <c r="FG156" i="3"/>
  <c r="FF156" i="3"/>
  <c r="FE156" i="3"/>
  <c r="FD156" i="3"/>
  <c r="FC156" i="3"/>
  <c r="FB156" i="3"/>
  <c r="FA156" i="3"/>
  <c r="EZ156" i="3"/>
  <c r="EY156" i="3"/>
  <c r="EX156" i="3"/>
  <c r="EW156" i="3"/>
  <c r="EV156" i="3"/>
  <c r="EU156" i="3"/>
  <c r="ET156" i="3"/>
  <c r="ES156" i="3"/>
  <c r="ER156" i="3"/>
  <c r="EQ156" i="3"/>
  <c r="EP156" i="3"/>
  <c r="EO156" i="3"/>
  <c r="EN156" i="3"/>
  <c r="EM156" i="3"/>
  <c r="EL156" i="3"/>
  <c r="EK156" i="3"/>
  <c r="EJ156" i="3"/>
  <c r="EI156" i="3"/>
  <c r="EH156" i="3"/>
  <c r="EG156" i="3"/>
  <c r="EF156" i="3"/>
  <c r="EE156" i="3"/>
  <c r="ED156" i="3"/>
  <c r="EC156" i="3"/>
  <c r="EB156" i="3"/>
  <c r="EA156" i="3"/>
  <c r="DZ156" i="3"/>
  <c r="DY156" i="3"/>
  <c r="DX156" i="3"/>
  <c r="DW156" i="3"/>
  <c r="DV156" i="3"/>
  <c r="DU156" i="3"/>
  <c r="DT156" i="3"/>
  <c r="DS156" i="3"/>
  <c r="DR156" i="3"/>
  <c r="DQ156" i="3"/>
  <c r="DP156" i="3"/>
  <c r="DO156" i="3"/>
  <c r="DN156" i="3"/>
  <c r="DM156" i="3"/>
  <c r="DL156" i="3"/>
  <c r="DK156" i="3"/>
  <c r="DJ156" i="3"/>
  <c r="DI156" i="3"/>
  <c r="DH156" i="3"/>
  <c r="DG156" i="3"/>
  <c r="DF156" i="3"/>
  <c r="DE156" i="3"/>
  <c r="DD156" i="3"/>
  <c r="DC156" i="3"/>
  <c r="DB156" i="3"/>
  <c r="DA156" i="3"/>
  <c r="CZ156" i="3"/>
  <c r="CY156" i="3"/>
  <c r="CX156" i="3"/>
  <c r="CW156" i="3"/>
  <c r="CV156" i="3"/>
  <c r="CU156" i="3"/>
  <c r="CT156" i="3"/>
  <c r="CS156" i="3"/>
  <c r="CR156" i="3"/>
  <c r="CQ156" i="3"/>
  <c r="CP156" i="3"/>
  <c r="CO156" i="3"/>
  <c r="CN156" i="3"/>
  <c r="CM156" i="3"/>
  <c r="CL156" i="3"/>
  <c r="CK156" i="3"/>
  <c r="CJ156" i="3"/>
  <c r="CI156" i="3"/>
  <c r="CH156" i="3"/>
  <c r="CG156" i="3"/>
  <c r="CF156" i="3"/>
  <c r="CE156" i="3"/>
  <c r="CD156" i="3"/>
  <c r="CC156" i="3"/>
  <c r="CB156" i="3"/>
  <c r="CA156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GT155" i="3"/>
  <c r="GS155" i="3"/>
  <c r="GR155" i="3"/>
  <c r="GQ155" i="3"/>
  <c r="GP155" i="3"/>
  <c r="GO155" i="3"/>
  <c r="GN155" i="3"/>
  <c r="GM155" i="3"/>
  <c r="GL155" i="3"/>
  <c r="GK155" i="3"/>
  <c r="GJ155" i="3"/>
  <c r="GI155" i="3"/>
  <c r="GH155" i="3"/>
  <c r="GG155" i="3"/>
  <c r="GF155" i="3"/>
  <c r="GE155" i="3"/>
  <c r="GD155" i="3"/>
  <c r="GC155" i="3"/>
  <c r="GB155" i="3"/>
  <c r="GA155" i="3"/>
  <c r="FZ155" i="3"/>
  <c r="FY155" i="3"/>
  <c r="FX155" i="3"/>
  <c r="FW155" i="3"/>
  <c r="FV155" i="3"/>
  <c r="FU155" i="3"/>
  <c r="FT155" i="3"/>
  <c r="FS155" i="3"/>
  <c r="FR155" i="3"/>
  <c r="FQ155" i="3"/>
  <c r="FP155" i="3"/>
  <c r="FO155" i="3"/>
  <c r="FN155" i="3"/>
  <c r="FM155" i="3"/>
  <c r="FL155" i="3"/>
  <c r="FK155" i="3"/>
  <c r="FJ155" i="3"/>
  <c r="FI155" i="3"/>
  <c r="FH155" i="3"/>
  <c r="FG155" i="3"/>
  <c r="FF155" i="3"/>
  <c r="FE155" i="3"/>
  <c r="FD155" i="3"/>
  <c r="FC155" i="3"/>
  <c r="FB155" i="3"/>
  <c r="FA155" i="3"/>
  <c r="EZ155" i="3"/>
  <c r="EY155" i="3"/>
  <c r="EX155" i="3"/>
  <c r="EW155" i="3"/>
  <c r="EV155" i="3"/>
  <c r="EU155" i="3"/>
  <c r="ET155" i="3"/>
  <c r="ES155" i="3"/>
  <c r="ER155" i="3"/>
  <c r="EQ155" i="3"/>
  <c r="EP155" i="3"/>
  <c r="EO155" i="3"/>
  <c r="EN155" i="3"/>
  <c r="EM155" i="3"/>
  <c r="EL155" i="3"/>
  <c r="EK155" i="3"/>
  <c r="EJ155" i="3"/>
  <c r="EI155" i="3"/>
  <c r="EH155" i="3"/>
  <c r="EG155" i="3"/>
  <c r="EF155" i="3"/>
  <c r="EE155" i="3"/>
  <c r="ED155" i="3"/>
  <c r="EC155" i="3"/>
  <c r="EB155" i="3"/>
  <c r="EA155" i="3"/>
  <c r="DZ155" i="3"/>
  <c r="DY155" i="3"/>
  <c r="DX155" i="3"/>
  <c r="DW155" i="3"/>
  <c r="DV155" i="3"/>
  <c r="DU155" i="3"/>
  <c r="DT155" i="3"/>
  <c r="DS155" i="3"/>
  <c r="DR155" i="3"/>
  <c r="DQ155" i="3"/>
  <c r="DP155" i="3"/>
  <c r="DO155" i="3"/>
  <c r="DN155" i="3"/>
  <c r="DM155" i="3"/>
  <c r="DL155" i="3"/>
  <c r="DK155" i="3"/>
  <c r="DJ155" i="3"/>
  <c r="DI155" i="3"/>
  <c r="DH155" i="3"/>
  <c r="DG155" i="3"/>
  <c r="DF155" i="3"/>
  <c r="DE155" i="3"/>
  <c r="DD155" i="3"/>
  <c r="DC155" i="3"/>
  <c r="DB155" i="3"/>
  <c r="DA155" i="3"/>
  <c r="CZ155" i="3"/>
  <c r="CY155" i="3"/>
  <c r="CX155" i="3"/>
  <c r="CW155" i="3"/>
  <c r="CV155" i="3"/>
  <c r="CU155" i="3"/>
  <c r="CT155" i="3"/>
  <c r="CS155" i="3"/>
  <c r="CR155" i="3"/>
  <c r="CQ155" i="3"/>
  <c r="CP155" i="3"/>
  <c r="CO155" i="3"/>
  <c r="CN155" i="3"/>
  <c r="CM155" i="3"/>
  <c r="CL155" i="3"/>
  <c r="CK155" i="3"/>
  <c r="CJ155" i="3"/>
  <c r="CI155" i="3"/>
  <c r="CH155" i="3"/>
  <c r="CG155" i="3"/>
  <c r="CF155" i="3"/>
  <c r="CE155" i="3"/>
  <c r="CD155" i="3"/>
  <c r="CC155" i="3"/>
  <c r="CB155" i="3"/>
  <c r="CA155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D70" i="3" s="1"/>
  <c r="E155" i="3"/>
  <c r="D155" i="3"/>
  <c r="C155" i="3"/>
  <c r="C70" i="3" s="1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GT153" i="3"/>
  <c r="GS153" i="3"/>
  <c r="GR153" i="3"/>
  <c r="GQ153" i="3"/>
  <c r="GP153" i="3"/>
  <c r="GO153" i="3"/>
  <c r="GN153" i="3"/>
  <c r="GM153" i="3"/>
  <c r="GL153" i="3"/>
  <c r="GK153" i="3"/>
  <c r="GJ153" i="3"/>
  <c r="GI153" i="3"/>
  <c r="GH153" i="3"/>
  <c r="GG153" i="3"/>
  <c r="GF153" i="3"/>
  <c r="GE153" i="3"/>
  <c r="GD153" i="3"/>
  <c r="GC153" i="3"/>
  <c r="GB153" i="3"/>
  <c r="GA153" i="3"/>
  <c r="FZ153" i="3"/>
  <c r="FY153" i="3"/>
  <c r="FX153" i="3"/>
  <c r="FW153" i="3"/>
  <c r="FV153" i="3"/>
  <c r="FU153" i="3"/>
  <c r="FT153" i="3"/>
  <c r="FS153" i="3"/>
  <c r="FR153" i="3"/>
  <c r="FQ153" i="3"/>
  <c r="FP153" i="3"/>
  <c r="FO153" i="3"/>
  <c r="FN153" i="3"/>
  <c r="FM153" i="3"/>
  <c r="FL153" i="3"/>
  <c r="FK153" i="3"/>
  <c r="FJ153" i="3"/>
  <c r="FI153" i="3"/>
  <c r="FH153" i="3"/>
  <c r="FG153" i="3"/>
  <c r="FF153" i="3"/>
  <c r="FE153" i="3"/>
  <c r="FD153" i="3"/>
  <c r="FC153" i="3"/>
  <c r="FB153" i="3"/>
  <c r="FA153" i="3"/>
  <c r="EZ153" i="3"/>
  <c r="EY153" i="3"/>
  <c r="EX153" i="3"/>
  <c r="EW153" i="3"/>
  <c r="EV153" i="3"/>
  <c r="EU153" i="3"/>
  <c r="ET153" i="3"/>
  <c r="ES153" i="3"/>
  <c r="ER153" i="3"/>
  <c r="EQ153" i="3"/>
  <c r="EP153" i="3"/>
  <c r="EO153" i="3"/>
  <c r="EN153" i="3"/>
  <c r="EM153" i="3"/>
  <c r="EL153" i="3"/>
  <c r="EK153" i="3"/>
  <c r="EJ153" i="3"/>
  <c r="EI153" i="3"/>
  <c r="EH153" i="3"/>
  <c r="EG153" i="3"/>
  <c r="EF153" i="3"/>
  <c r="EE153" i="3"/>
  <c r="ED153" i="3"/>
  <c r="EC153" i="3"/>
  <c r="EB153" i="3"/>
  <c r="EA153" i="3"/>
  <c r="DZ153" i="3"/>
  <c r="DY153" i="3"/>
  <c r="DX153" i="3"/>
  <c r="DW153" i="3"/>
  <c r="DV153" i="3"/>
  <c r="DU153" i="3"/>
  <c r="DT153" i="3"/>
  <c r="DS153" i="3"/>
  <c r="DR153" i="3"/>
  <c r="DQ153" i="3"/>
  <c r="DP153" i="3"/>
  <c r="DO153" i="3"/>
  <c r="DN153" i="3"/>
  <c r="DM153" i="3"/>
  <c r="DL153" i="3"/>
  <c r="DK153" i="3"/>
  <c r="DJ153" i="3"/>
  <c r="DI153" i="3"/>
  <c r="DH153" i="3"/>
  <c r="DG153" i="3"/>
  <c r="DF153" i="3"/>
  <c r="DE153" i="3"/>
  <c r="DD153" i="3"/>
  <c r="DC153" i="3"/>
  <c r="DB153" i="3"/>
  <c r="DA153" i="3"/>
  <c r="CZ153" i="3"/>
  <c r="CY153" i="3"/>
  <c r="CX153" i="3"/>
  <c r="CW153" i="3"/>
  <c r="CV153" i="3"/>
  <c r="CU153" i="3"/>
  <c r="CT153" i="3"/>
  <c r="CS153" i="3"/>
  <c r="CR153" i="3"/>
  <c r="CQ153" i="3"/>
  <c r="CP153" i="3"/>
  <c r="CO153" i="3"/>
  <c r="CN153" i="3"/>
  <c r="CM153" i="3"/>
  <c r="CL153" i="3"/>
  <c r="CK153" i="3"/>
  <c r="CJ153" i="3"/>
  <c r="CI153" i="3"/>
  <c r="CH153" i="3"/>
  <c r="CG153" i="3"/>
  <c r="CF153" i="3"/>
  <c r="CE153" i="3"/>
  <c r="CD153" i="3"/>
  <c r="CC153" i="3"/>
  <c r="CB153" i="3"/>
  <c r="CA153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D68" i="3" s="1"/>
  <c r="E153" i="3"/>
  <c r="D153" i="3"/>
  <c r="C153" i="3"/>
  <c r="C68" i="3" s="1"/>
  <c r="GT152" i="3"/>
  <c r="GS152" i="3"/>
  <c r="GR152" i="3"/>
  <c r="GQ152" i="3"/>
  <c r="GP152" i="3"/>
  <c r="GO152" i="3"/>
  <c r="GN152" i="3"/>
  <c r="GM152" i="3"/>
  <c r="GL152" i="3"/>
  <c r="GK152" i="3"/>
  <c r="GJ152" i="3"/>
  <c r="GI152" i="3"/>
  <c r="GH152" i="3"/>
  <c r="GG152" i="3"/>
  <c r="GF152" i="3"/>
  <c r="GE152" i="3"/>
  <c r="GD152" i="3"/>
  <c r="GC152" i="3"/>
  <c r="GB152" i="3"/>
  <c r="GA152" i="3"/>
  <c r="FZ152" i="3"/>
  <c r="FY152" i="3"/>
  <c r="FX152" i="3"/>
  <c r="FW152" i="3"/>
  <c r="FV152" i="3"/>
  <c r="FU152" i="3"/>
  <c r="FT152" i="3"/>
  <c r="FS152" i="3"/>
  <c r="FR152" i="3"/>
  <c r="FQ152" i="3"/>
  <c r="FP152" i="3"/>
  <c r="FO152" i="3"/>
  <c r="FN152" i="3"/>
  <c r="FM152" i="3"/>
  <c r="FL152" i="3"/>
  <c r="FK152" i="3"/>
  <c r="FJ152" i="3"/>
  <c r="FI152" i="3"/>
  <c r="FH152" i="3"/>
  <c r="FG152" i="3"/>
  <c r="FF152" i="3"/>
  <c r="FE152" i="3"/>
  <c r="FD152" i="3"/>
  <c r="FC152" i="3"/>
  <c r="FB152" i="3"/>
  <c r="FA152" i="3"/>
  <c r="EZ152" i="3"/>
  <c r="EY152" i="3"/>
  <c r="EX152" i="3"/>
  <c r="EW152" i="3"/>
  <c r="EV152" i="3"/>
  <c r="EU152" i="3"/>
  <c r="ET152" i="3"/>
  <c r="ES152" i="3"/>
  <c r="ER152" i="3"/>
  <c r="EQ152" i="3"/>
  <c r="EP152" i="3"/>
  <c r="EO152" i="3"/>
  <c r="EN152" i="3"/>
  <c r="EM152" i="3"/>
  <c r="EL152" i="3"/>
  <c r="EK152" i="3"/>
  <c r="EJ152" i="3"/>
  <c r="EI152" i="3"/>
  <c r="EH152" i="3"/>
  <c r="EG152" i="3"/>
  <c r="EF152" i="3"/>
  <c r="EE152" i="3"/>
  <c r="ED152" i="3"/>
  <c r="EC152" i="3"/>
  <c r="EB152" i="3"/>
  <c r="EA152" i="3"/>
  <c r="DZ152" i="3"/>
  <c r="DY152" i="3"/>
  <c r="DX152" i="3"/>
  <c r="DW152" i="3"/>
  <c r="DV152" i="3"/>
  <c r="DU152" i="3"/>
  <c r="DT152" i="3"/>
  <c r="DS152" i="3"/>
  <c r="DR152" i="3"/>
  <c r="DQ152" i="3"/>
  <c r="DP152" i="3"/>
  <c r="DO152" i="3"/>
  <c r="DN152" i="3"/>
  <c r="DM152" i="3"/>
  <c r="DL152" i="3"/>
  <c r="DK152" i="3"/>
  <c r="DJ152" i="3"/>
  <c r="DI152" i="3"/>
  <c r="DH152" i="3"/>
  <c r="DG152" i="3"/>
  <c r="DF152" i="3"/>
  <c r="DE152" i="3"/>
  <c r="DD152" i="3"/>
  <c r="DC152" i="3"/>
  <c r="DB152" i="3"/>
  <c r="DA152" i="3"/>
  <c r="CZ152" i="3"/>
  <c r="CY152" i="3"/>
  <c r="CX152" i="3"/>
  <c r="CW152" i="3"/>
  <c r="CV152" i="3"/>
  <c r="CU152" i="3"/>
  <c r="CT152" i="3"/>
  <c r="CS152" i="3"/>
  <c r="CR152" i="3"/>
  <c r="CQ152" i="3"/>
  <c r="CP152" i="3"/>
  <c r="CO152" i="3"/>
  <c r="CN152" i="3"/>
  <c r="CM152" i="3"/>
  <c r="CL152" i="3"/>
  <c r="CK152" i="3"/>
  <c r="CJ152" i="3"/>
  <c r="CI152" i="3"/>
  <c r="CH152" i="3"/>
  <c r="CG152" i="3"/>
  <c r="CF152" i="3"/>
  <c r="CE152" i="3"/>
  <c r="CD152" i="3"/>
  <c r="CC152" i="3"/>
  <c r="CB152" i="3"/>
  <c r="CA152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D66" i="3" s="1"/>
  <c r="E151" i="3"/>
  <c r="D151" i="3"/>
  <c r="C151" i="3"/>
  <c r="C66" i="3" s="1"/>
  <c r="GT150" i="3"/>
  <c r="GS150" i="3"/>
  <c r="GR150" i="3"/>
  <c r="GQ150" i="3"/>
  <c r="GP150" i="3"/>
  <c r="GO150" i="3"/>
  <c r="GN150" i="3"/>
  <c r="GM150" i="3"/>
  <c r="GL150" i="3"/>
  <c r="GK150" i="3"/>
  <c r="GJ150" i="3"/>
  <c r="GI150" i="3"/>
  <c r="GH150" i="3"/>
  <c r="GG150" i="3"/>
  <c r="GF150" i="3"/>
  <c r="GE150" i="3"/>
  <c r="GD150" i="3"/>
  <c r="GC150" i="3"/>
  <c r="GB150" i="3"/>
  <c r="GA150" i="3"/>
  <c r="FZ150" i="3"/>
  <c r="FY150" i="3"/>
  <c r="FX150" i="3"/>
  <c r="FW150" i="3"/>
  <c r="FV150" i="3"/>
  <c r="FU150" i="3"/>
  <c r="FT150" i="3"/>
  <c r="FS150" i="3"/>
  <c r="FR150" i="3"/>
  <c r="FQ150" i="3"/>
  <c r="FP150" i="3"/>
  <c r="FO150" i="3"/>
  <c r="FN150" i="3"/>
  <c r="FM150" i="3"/>
  <c r="FL150" i="3"/>
  <c r="FK150" i="3"/>
  <c r="FJ150" i="3"/>
  <c r="FI150" i="3"/>
  <c r="FH150" i="3"/>
  <c r="FG150" i="3"/>
  <c r="FF150" i="3"/>
  <c r="FE150" i="3"/>
  <c r="FD150" i="3"/>
  <c r="FC150" i="3"/>
  <c r="FB150" i="3"/>
  <c r="FA150" i="3"/>
  <c r="EZ150" i="3"/>
  <c r="EY150" i="3"/>
  <c r="EX150" i="3"/>
  <c r="EW150" i="3"/>
  <c r="EV150" i="3"/>
  <c r="EU150" i="3"/>
  <c r="ET150" i="3"/>
  <c r="ES150" i="3"/>
  <c r="ER150" i="3"/>
  <c r="EQ150" i="3"/>
  <c r="EP150" i="3"/>
  <c r="EO150" i="3"/>
  <c r="EN150" i="3"/>
  <c r="EM150" i="3"/>
  <c r="EL150" i="3"/>
  <c r="EK150" i="3"/>
  <c r="EJ150" i="3"/>
  <c r="EI150" i="3"/>
  <c r="EH150" i="3"/>
  <c r="EG150" i="3"/>
  <c r="EF150" i="3"/>
  <c r="EE150" i="3"/>
  <c r="ED150" i="3"/>
  <c r="EC150" i="3"/>
  <c r="EB150" i="3"/>
  <c r="EA150" i="3"/>
  <c r="DZ150" i="3"/>
  <c r="DY150" i="3"/>
  <c r="DX150" i="3"/>
  <c r="DW150" i="3"/>
  <c r="DV150" i="3"/>
  <c r="DU150" i="3"/>
  <c r="DT150" i="3"/>
  <c r="DS150" i="3"/>
  <c r="DR150" i="3"/>
  <c r="DQ150" i="3"/>
  <c r="DP150" i="3"/>
  <c r="DO150" i="3"/>
  <c r="DN150" i="3"/>
  <c r="DM150" i="3"/>
  <c r="DL150" i="3"/>
  <c r="DK150" i="3"/>
  <c r="DJ150" i="3"/>
  <c r="DI150" i="3"/>
  <c r="DH150" i="3"/>
  <c r="DG150" i="3"/>
  <c r="DF150" i="3"/>
  <c r="DE150" i="3"/>
  <c r="DD150" i="3"/>
  <c r="DC150" i="3"/>
  <c r="DB150" i="3"/>
  <c r="DA150" i="3"/>
  <c r="CZ150" i="3"/>
  <c r="CY150" i="3"/>
  <c r="CX150" i="3"/>
  <c r="CW150" i="3"/>
  <c r="CV150" i="3"/>
  <c r="CU150" i="3"/>
  <c r="CT150" i="3"/>
  <c r="CS150" i="3"/>
  <c r="CR150" i="3"/>
  <c r="CQ150" i="3"/>
  <c r="CP150" i="3"/>
  <c r="CO150" i="3"/>
  <c r="CN150" i="3"/>
  <c r="CM150" i="3"/>
  <c r="CL150" i="3"/>
  <c r="CK150" i="3"/>
  <c r="CJ150" i="3"/>
  <c r="CI150" i="3"/>
  <c r="CH150" i="3"/>
  <c r="CG150" i="3"/>
  <c r="CF150" i="3"/>
  <c r="CE150" i="3"/>
  <c r="CD150" i="3"/>
  <c r="CC150" i="3"/>
  <c r="CB150" i="3"/>
  <c r="CA150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GT149" i="3"/>
  <c r="GS149" i="3"/>
  <c r="GR149" i="3"/>
  <c r="GQ149" i="3"/>
  <c r="GP149" i="3"/>
  <c r="GO149" i="3"/>
  <c r="GN149" i="3"/>
  <c r="GM149" i="3"/>
  <c r="GL149" i="3"/>
  <c r="GK149" i="3"/>
  <c r="GJ149" i="3"/>
  <c r="GI149" i="3"/>
  <c r="GH149" i="3"/>
  <c r="GG149" i="3"/>
  <c r="GF149" i="3"/>
  <c r="GE149" i="3"/>
  <c r="GD149" i="3"/>
  <c r="GC149" i="3"/>
  <c r="GB149" i="3"/>
  <c r="GA149" i="3"/>
  <c r="FZ149" i="3"/>
  <c r="FY149" i="3"/>
  <c r="FX149" i="3"/>
  <c r="FW149" i="3"/>
  <c r="FV149" i="3"/>
  <c r="FU149" i="3"/>
  <c r="FT149" i="3"/>
  <c r="FS149" i="3"/>
  <c r="FR149" i="3"/>
  <c r="FQ149" i="3"/>
  <c r="FP149" i="3"/>
  <c r="FO149" i="3"/>
  <c r="FN149" i="3"/>
  <c r="FM149" i="3"/>
  <c r="FL149" i="3"/>
  <c r="FK149" i="3"/>
  <c r="FJ149" i="3"/>
  <c r="FI149" i="3"/>
  <c r="FH149" i="3"/>
  <c r="FG149" i="3"/>
  <c r="FF149" i="3"/>
  <c r="FE149" i="3"/>
  <c r="FD149" i="3"/>
  <c r="FC149" i="3"/>
  <c r="FB149" i="3"/>
  <c r="FA149" i="3"/>
  <c r="EZ149" i="3"/>
  <c r="EY149" i="3"/>
  <c r="EX149" i="3"/>
  <c r="EW149" i="3"/>
  <c r="EV149" i="3"/>
  <c r="EU149" i="3"/>
  <c r="ET149" i="3"/>
  <c r="ES149" i="3"/>
  <c r="ER149" i="3"/>
  <c r="EQ149" i="3"/>
  <c r="EP149" i="3"/>
  <c r="EO149" i="3"/>
  <c r="EN149" i="3"/>
  <c r="EM149" i="3"/>
  <c r="EL149" i="3"/>
  <c r="EK149" i="3"/>
  <c r="EJ149" i="3"/>
  <c r="EI149" i="3"/>
  <c r="EH149" i="3"/>
  <c r="EG149" i="3"/>
  <c r="EF149" i="3"/>
  <c r="EE149" i="3"/>
  <c r="ED149" i="3"/>
  <c r="EC149" i="3"/>
  <c r="EB149" i="3"/>
  <c r="EA149" i="3"/>
  <c r="DZ149" i="3"/>
  <c r="DY149" i="3"/>
  <c r="DX149" i="3"/>
  <c r="DW149" i="3"/>
  <c r="DV149" i="3"/>
  <c r="DU149" i="3"/>
  <c r="DT149" i="3"/>
  <c r="DS149" i="3"/>
  <c r="DR149" i="3"/>
  <c r="DQ149" i="3"/>
  <c r="DP149" i="3"/>
  <c r="DO149" i="3"/>
  <c r="DN149" i="3"/>
  <c r="DM149" i="3"/>
  <c r="DL149" i="3"/>
  <c r="DK149" i="3"/>
  <c r="DJ149" i="3"/>
  <c r="DI149" i="3"/>
  <c r="DH149" i="3"/>
  <c r="DG149" i="3"/>
  <c r="DF149" i="3"/>
  <c r="DE149" i="3"/>
  <c r="DD149" i="3"/>
  <c r="DC149" i="3"/>
  <c r="DB149" i="3"/>
  <c r="DA149" i="3"/>
  <c r="CZ149" i="3"/>
  <c r="CY149" i="3"/>
  <c r="CX149" i="3"/>
  <c r="CW149" i="3"/>
  <c r="CV149" i="3"/>
  <c r="CU149" i="3"/>
  <c r="CT149" i="3"/>
  <c r="CS149" i="3"/>
  <c r="CR149" i="3"/>
  <c r="CQ149" i="3"/>
  <c r="CP149" i="3"/>
  <c r="CO149" i="3"/>
  <c r="CN149" i="3"/>
  <c r="CM149" i="3"/>
  <c r="CL149" i="3"/>
  <c r="CK149" i="3"/>
  <c r="CJ149" i="3"/>
  <c r="CI149" i="3"/>
  <c r="CH149" i="3"/>
  <c r="CG149" i="3"/>
  <c r="CF149" i="3"/>
  <c r="CE149" i="3"/>
  <c r="CD149" i="3"/>
  <c r="CC149" i="3"/>
  <c r="CB149" i="3"/>
  <c r="CA149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D64" i="3" s="1"/>
  <c r="E149" i="3"/>
  <c r="D149" i="3"/>
  <c r="C149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GT147" i="3"/>
  <c r="GS147" i="3"/>
  <c r="GR147" i="3"/>
  <c r="GQ147" i="3"/>
  <c r="GP147" i="3"/>
  <c r="GO147" i="3"/>
  <c r="GN147" i="3"/>
  <c r="GM147" i="3"/>
  <c r="GL147" i="3"/>
  <c r="GK147" i="3"/>
  <c r="GJ147" i="3"/>
  <c r="GI147" i="3"/>
  <c r="GH147" i="3"/>
  <c r="GG147" i="3"/>
  <c r="GF147" i="3"/>
  <c r="GE147" i="3"/>
  <c r="GD147" i="3"/>
  <c r="GC147" i="3"/>
  <c r="GB147" i="3"/>
  <c r="GA147" i="3"/>
  <c r="FZ147" i="3"/>
  <c r="FY147" i="3"/>
  <c r="FX147" i="3"/>
  <c r="FW147" i="3"/>
  <c r="FV147" i="3"/>
  <c r="FU147" i="3"/>
  <c r="FT147" i="3"/>
  <c r="FS147" i="3"/>
  <c r="FR147" i="3"/>
  <c r="FQ147" i="3"/>
  <c r="FP147" i="3"/>
  <c r="FO147" i="3"/>
  <c r="FN147" i="3"/>
  <c r="FM147" i="3"/>
  <c r="FL147" i="3"/>
  <c r="FK147" i="3"/>
  <c r="FJ147" i="3"/>
  <c r="FI147" i="3"/>
  <c r="FH147" i="3"/>
  <c r="FG147" i="3"/>
  <c r="FF147" i="3"/>
  <c r="FE147" i="3"/>
  <c r="FD147" i="3"/>
  <c r="FC147" i="3"/>
  <c r="FB147" i="3"/>
  <c r="FA147" i="3"/>
  <c r="EZ147" i="3"/>
  <c r="EY147" i="3"/>
  <c r="EX147" i="3"/>
  <c r="EW147" i="3"/>
  <c r="EV147" i="3"/>
  <c r="EU147" i="3"/>
  <c r="ET147" i="3"/>
  <c r="ES147" i="3"/>
  <c r="ER147" i="3"/>
  <c r="EQ147" i="3"/>
  <c r="EP147" i="3"/>
  <c r="EO147" i="3"/>
  <c r="EN147" i="3"/>
  <c r="EM147" i="3"/>
  <c r="EL147" i="3"/>
  <c r="EK147" i="3"/>
  <c r="EJ147" i="3"/>
  <c r="EI147" i="3"/>
  <c r="EH147" i="3"/>
  <c r="EG147" i="3"/>
  <c r="EF147" i="3"/>
  <c r="EE147" i="3"/>
  <c r="ED147" i="3"/>
  <c r="EC147" i="3"/>
  <c r="EB147" i="3"/>
  <c r="EA147" i="3"/>
  <c r="DZ147" i="3"/>
  <c r="DY147" i="3"/>
  <c r="DX147" i="3"/>
  <c r="DW147" i="3"/>
  <c r="DV147" i="3"/>
  <c r="DU147" i="3"/>
  <c r="DT147" i="3"/>
  <c r="DS147" i="3"/>
  <c r="DR147" i="3"/>
  <c r="DQ147" i="3"/>
  <c r="DP147" i="3"/>
  <c r="DO147" i="3"/>
  <c r="DN147" i="3"/>
  <c r="DM147" i="3"/>
  <c r="DL147" i="3"/>
  <c r="DK147" i="3"/>
  <c r="DJ147" i="3"/>
  <c r="DI147" i="3"/>
  <c r="DH147" i="3"/>
  <c r="DG147" i="3"/>
  <c r="DF147" i="3"/>
  <c r="DE147" i="3"/>
  <c r="DD147" i="3"/>
  <c r="DC147" i="3"/>
  <c r="DB147" i="3"/>
  <c r="DA147" i="3"/>
  <c r="CZ147" i="3"/>
  <c r="CY147" i="3"/>
  <c r="CX147" i="3"/>
  <c r="CW147" i="3"/>
  <c r="CV147" i="3"/>
  <c r="CU147" i="3"/>
  <c r="CT147" i="3"/>
  <c r="CS147" i="3"/>
  <c r="CR147" i="3"/>
  <c r="CQ147" i="3"/>
  <c r="CP147" i="3"/>
  <c r="CO147" i="3"/>
  <c r="CN147" i="3"/>
  <c r="CM147" i="3"/>
  <c r="CL147" i="3"/>
  <c r="CK147" i="3"/>
  <c r="CJ147" i="3"/>
  <c r="CI147" i="3"/>
  <c r="CH147" i="3"/>
  <c r="CG147" i="3"/>
  <c r="CF147" i="3"/>
  <c r="CE147" i="3"/>
  <c r="CD147" i="3"/>
  <c r="CC147" i="3"/>
  <c r="CB147" i="3"/>
  <c r="CA147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C62" i="3" s="1"/>
  <c r="GT146" i="3"/>
  <c r="GS146" i="3"/>
  <c r="GR146" i="3"/>
  <c r="GQ146" i="3"/>
  <c r="GP146" i="3"/>
  <c r="GO146" i="3"/>
  <c r="GN146" i="3"/>
  <c r="GM146" i="3"/>
  <c r="GL146" i="3"/>
  <c r="GK146" i="3"/>
  <c r="GJ146" i="3"/>
  <c r="GI146" i="3"/>
  <c r="GH146" i="3"/>
  <c r="GG146" i="3"/>
  <c r="GF146" i="3"/>
  <c r="GE146" i="3"/>
  <c r="GD146" i="3"/>
  <c r="GC146" i="3"/>
  <c r="GB146" i="3"/>
  <c r="GA146" i="3"/>
  <c r="FZ146" i="3"/>
  <c r="FY146" i="3"/>
  <c r="FX146" i="3"/>
  <c r="FW146" i="3"/>
  <c r="FV146" i="3"/>
  <c r="FU146" i="3"/>
  <c r="FT146" i="3"/>
  <c r="FS146" i="3"/>
  <c r="FR146" i="3"/>
  <c r="FQ146" i="3"/>
  <c r="FP146" i="3"/>
  <c r="FO146" i="3"/>
  <c r="FN146" i="3"/>
  <c r="FM146" i="3"/>
  <c r="FL146" i="3"/>
  <c r="FK146" i="3"/>
  <c r="FJ146" i="3"/>
  <c r="FI146" i="3"/>
  <c r="FH146" i="3"/>
  <c r="FG146" i="3"/>
  <c r="FF146" i="3"/>
  <c r="FE146" i="3"/>
  <c r="FD146" i="3"/>
  <c r="FC146" i="3"/>
  <c r="FB146" i="3"/>
  <c r="FA146" i="3"/>
  <c r="EZ146" i="3"/>
  <c r="EY146" i="3"/>
  <c r="EX146" i="3"/>
  <c r="EW146" i="3"/>
  <c r="EV146" i="3"/>
  <c r="EU146" i="3"/>
  <c r="ET146" i="3"/>
  <c r="ES146" i="3"/>
  <c r="ER146" i="3"/>
  <c r="EQ146" i="3"/>
  <c r="EP146" i="3"/>
  <c r="EO146" i="3"/>
  <c r="EN146" i="3"/>
  <c r="EM146" i="3"/>
  <c r="EL146" i="3"/>
  <c r="EK146" i="3"/>
  <c r="EJ146" i="3"/>
  <c r="EI146" i="3"/>
  <c r="EH146" i="3"/>
  <c r="EG146" i="3"/>
  <c r="EF146" i="3"/>
  <c r="EE146" i="3"/>
  <c r="ED146" i="3"/>
  <c r="EC146" i="3"/>
  <c r="EB146" i="3"/>
  <c r="EA146" i="3"/>
  <c r="DZ146" i="3"/>
  <c r="DY146" i="3"/>
  <c r="DX146" i="3"/>
  <c r="DW146" i="3"/>
  <c r="DV146" i="3"/>
  <c r="DU146" i="3"/>
  <c r="DT146" i="3"/>
  <c r="DS146" i="3"/>
  <c r="DR146" i="3"/>
  <c r="DQ146" i="3"/>
  <c r="DP146" i="3"/>
  <c r="DO146" i="3"/>
  <c r="DN146" i="3"/>
  <c r="DM146" i="3"/>
  <c r="DL146" i="3"/>
  <c r="DK146" i="3"/>
  <c r="DJ146" i="3"/>
  <c r="DI146" i="3"/>
  <c r="DH146" i="3"/>
  <c r="DG146" i="3"/>
  <c r="DF146" i="3"/>
  <c r="DE146" i="3"/>
  <c r="DD146" i="3"/>
  <c r="DC146" i="3"/>
  <c r="DB146" i="3"/>
  <c r="DA146" i="3"/>
  <c r="CZ146" i="3"/>
  <c r="CY146" i="3"/>
  <c r="CX146" i="3"/>
  <c r="CW146" i="3"/>
  <c r="CV146" i="3"/>
  <c r="CU146" i="3"/>
  <c r="CT146" i="3"/>
  <c r="CS146" i="3"/>
  <c r="CR146" i="3"/>
  <c r="CQ146" i="3"/>
  <c r="CP146" i="3"/>
  <c r="CO146" i="3"/>
  <c r="CN146" i="3"/>
  <c r="CM146" i="3"/>
  <c r="CL146" i="3"/>
  <c r="CK146" i="3"/>
  <c r="CJ146" i="3"/>
  <c r="CI146" i="3"/>
  <c r="CH146" i="3"/>
  <c r="CG146" i="3"/>
  <c r="CF146" i="3"/>
  <c r="CE146" i="3"/>
  <c r="CD146" i="3"/>
  <c r="CC146" i="3"/>
  <c r="CB146" i="3"/>
  <c r="CA146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D60" i="3" s="1"/>
  <c r="E145" i="3"/>
  <c r="D145" i="3"/>
  <c r="C145" i="3"/>
  <c r="C60" i="3" s="1"/>
  <c r="GT144" i="3"/>
  <c r="GS144" i="3"/>
  <c r="GR144" i="3"/>
  <c r="GQ144" i="3"/>
  <c r="GP144" i="3"/>
  <c r="GO144" i="3"/>
  <c r="GN144" i="3"/>
  <c r="GM144" i="3"/>
  <c r="GL144" i="3"/>
  <c r="GK144" i="3"/>
  <c r="GJ144" i="3"/>
  <c r="GI144" i="3"/>
  <c r="GH144" i="3"/>
  <c r="GG144" i="3"/>
  <c r="GF144" i="3"/>
  <c r="GE144" i="3"/>
  <c r="GD144" i="3"/>
  <c r="GC144" i="3"/>
  <c r="GB144" i="3"/>
  <c r="GA144" i="3"/>
  <c r="FZ144" i="3"/>
  <c r="FY144" i="3"/>
  <c r="FX144" i="3"/>
  <c r="FW144" i="3"/>
  <c r="FV144" i="3"/>
  <c r="FU144" i="3"/>
  <c r="FT144" i="3"/>
  <c r="FS144" i="3"/>
  <c r="FR144" i="3"/>
  <c r="FQ144" i="3"/>
  <c r="FP144" i="3"/>
  <c r="FO144" i="3"/>
  <c r="FN144" i="3"/>
  <c r="FM144" i="3"/>
  <c r="FL144" i="3"/>
  <c r="FK144" i="3"/>
  <c r="FJ144" i="3"/>
  <c r="FI144" i="3"/>
  <c r="FH144" i="3"/>
  <c r="FG144" i="3"/>
  <c r="FF144" i="3"/>
  <c r="FE144" i="3"/>
  <c r="FD144" i="3"/>
  <c r="FC144" i="3"/>
  <c r="FB144" i="3"/>
  <c r="FA144" i="3"/>
  <c r="EZ144" i="3"/>
  <c r="EY144" i="3"/>
  <c r="EX144" i="3"/>
  <c r="EW144" i="3"/>
  <c r="EV144" i="3"/>
  <c r="EU144" i="3"/>
  <c r="ET144" i="3"/>
  <c r="ES144" i="3"/>
  <c r="ER144" i="3"/>
  <c r="EQ144" i="3"/>
  <c r="EP144" i="3"/>
  <c r="EO144" i="3"/>
  <c r="EN144" i="3"/>
  <c r="EM144" i="3"/>
  <c r="EL144" i="3"/>
  <c r="EK144" i="3"/>
  <c r="EJ144" i="3"/>
  <c r="EI144" i="3"/>
  <c r="EH144" i="3"/>
  <c r="EG144" i="3"/>
  <c r="EF144" i="3"/>
  <c r="EE144" i="3"/>
  <c r="ED144" i="3"/>
  <c r="EC144" i="3"/>
  <c r="EB144" i="3"/>
  <c r="EA144" i="3"/>
  <c r="DZ144" i="3"/>
  <c r="DY144" i="3"/>
  <c r="DX144" i="3"/>
  <c r="DW144" i="3"/>
  <c r="DV144" i="3"/>
  <c r="DU144" i="3"/>
  <c r="DT144" i="3"/>
  <c r="DS144" i="3"/>
  <c r="DR144" i="3"/>
  <c r="DQ144" i="3"/>
  <c r="DP144" i="3"/>
  <c r="DO144" i="3"/>
  <c r="DN144" i="3"/>
  <c r="DM144" i="3"/>
  <c r="DL144" i="3"/>
  <c r="DK144" i="3"/>
  <c r="DJ144" i="3"/>
  <c r="DI144" i="3"/>
  <c r="DH144" i="3"/>
  <c r="DG144" i="3"/>
  <c r="DF144" i="3"/>
  <c r="DE144" i="3"/>
  <c r="DD144" i="3"/>
  <c r="DC144" i="3"/>
  <c r="DB144" i="3"/>
  <c r="DA144" i="3"/>
  <c r="CZ144" i="3"/>
  <c r="CY144" i="3"/>
  <c r="CX144" i="3"/>
  <c r="CW144" i="3"/>
  <c r="CV144" i="3"/>
  <c r="CU144" i="3"/>
  <c r="CT144" i="3"/>
  <c r="CS144" i="3"/>
  <c r="CR144" i="3"/>
  <c r="CQ144" i="3"/>
  <c r="CP144" i="3"/>
  <c r="CO144" i="3"/>
  <c r="CN144" i="3"/>
  <c r="CM144" i="3"/>
  <c r="CL144" i="3"/>
  <c r="CK144" i="3"/>
  <c r="CJ144" i="3"/>
  <c r="CI144" i="3"/>
  <c r="CH144" i="3"/>
  <c r="CG144" i="3"/>
  <c r="CF144" i="3"/>
  <c r="CE144" i="3"/>
  <c r="CD144" i="3"/>
  <c r="CC144" i="3"/>
  <c r="CB144" i="3"/>
  <c r="CA144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GT143" i="3"/>
  <c r="GS143" i="3"/>
  <c r="GR143" i="3"/>
  <c r="GQ143" i="3"/>
  <c r="GP143" i="3"/>
  <c r="GO143" i="3"/>
  <c r="GN143" i="3"/>
  <c r="GM143" i="3"/>
  <c r="GL143" i="3"/>
  <c r="GK143" i="3"/>
  <c r="GJ143" i="3"/>
  <c r="GI143" i="3"/>
  <c r="GH143" i="3"/>
  <c r="GG143" i="3"/>
  <c r="GF143" i="3"/>
  <c r="GE143" i="3"/>
  <c r="GD143" i="3"/>
  <c r="GC143" i="3"/>
  <c r="GB143" i="3"/>
  <c r="GA143" i="3"/>
  <c r="FZ143" i="3"/>
  <c r="FY143" i="3"/>
  <c r="FX143" i="3"/>
  <c r="FW143" i="3"/>
  <c r="FV143" i="3"/>
  <c r="FU143" i="3"/>
  <c r="FT143" i="3"/>
  <c r="FS143" i="3"/>
  <c r="FR143" i="3"/>
  <c r="FQ143" i="3"/>
  <c r="FP143" i="3"/>
  <c r="FO143" i="3"/>
  <c r="FN143" i="3"/>
  <c r="FM143" i="3"/>
  <c r="FL143" i="3"/>
  <c r="FK143" i="3"/>
  <c r="FJ143" i="3"/>
  <c r="FI143" i="3"/>
  <c r="FH143" i="3"/>
  <c r="FG143" i="3"/>
  <c r="FF143" i="3"/>
  <c r="FE143" i="3"/>
  <c r="FD143" i="3"/>
  <c r="FC143" i="3"/>
  <c r="FB143" i="3"/>
  <c r="FA143" i="3"/>
  <c r="EZ143" i="3"/>
  <c r="EY143" i="3"/>
  <c r="EX143" i="3"/>
  <c r="EW143" i="3"/>
  <c r="EV143" i="3"/>
  <c r="EU143" i="3"/>
  <c r="ET143" i="3"/>
  <c r="ES143" i="3"/>
  <c r="ER143" i="3"/>
  <c r="EQ143" i="3"/>
  <c r="EP143" i="3"/>
  <c r="EO143" i="3"/>
  <c r="EN143" i="3"/>
  <c r="EM143" i="3"/>
  <c r="EL143" i="3"/>
  <c r="EK143" i="3"/>
  <c r="EJ143" i="3"/>
  <c r="EI143" i="3"/>
  <c r="EH143" i="3"/>
  <c r="EG143" i="3"/>
  <c r="EF143" i="3"/>
  <c r="EE143" i="3"/>
  <c r="ED143" i="3"/>
  <c r="EC143" i="3"/>
  <c r="EB143" i="3"/>
  <c r="EA143" i="3"/>
  <c r="DZ143" i="3"/>
  <c r="DY143" i="3"/>
  <c r="DX143" i="3"/>
  <c r="DW143" i="3"/>
  <c r="DV143" i="3"/>
  <c r="DU143" i="3"/>
  <c r="DT143" i="3"/>
  <c r="DS143" i="3"/>
  <c r="DR143" i="3"/>
  <c r="DQ143" i="3"/>
  <c r="DP143" i="3"/>
  <c r="DO143" i="3"/>
  <c r="DN143" i="3"/>
  <c r="DM143" i="3"/>
  <c r="DL143" i="3"/>
  <c r="DK143" i="3"/>
  <c r="DJ143" i="3"/>
  <c r="DI143" i="3"/>
  <c r="DH143" i="3"/>
  <c r="DG143" i="3"/>
  <c r="DF143" i="3"/>
  <c r="DE143" i="3"/>
  <c r="DD143" i="3"/>
  <c r="DC143" i="3"/>
  <c r="DB143" i="3"/>
  <c r="DA143" i="3"/>
  <c r="CZ143" i="3"/>
  <c r="CY143" i="3"/>
  <c r="CX143" i="3"/>
  <c r="CW143" i="3"/>
  <c r="CV143" i="3"/>
  <c r="CU143" i="3"/>
  <c r="CT143" i="3"/>
  <c r="CS143" i="3"/>
  <c r="CR143" i="3"/>
  <c r="CQ143" i="3"/>
  <c r="CP143" i="3"/>
  <c r="CO143" i="3"/>
  <c r="CN143" i="3"/>
  <c r="CM143" i="3"/>
  <c r="CL143" i="3"/>
  <c r="CK143" i="3"/>
  <c r="CJ143" i="3"/>
  <c r="CI143" i="3"/>
  <c r="CH143" i="3"/>
  <c r="CG143" i="3"/>
  <c r="CF143" i="3"/>
  <c r="CE143" i="3"/>
  <c r="CD143" i="3"/>
  <c r="CC143" i="3"/>
  <c r="CB143" i="3"/>
  <c r="CA143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C58" i="3" s="1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GT141" i="3"/>
  <c r="GS141" i="3"/>
  <c r="GR141" i="3"/>
  <c r="GQ141" i="3"/>
  <c r="GP141" i="3"/>
  <c r="GO141" i="3"/>
  <c r="GN141" i="3"/>
  <c r="GM141" i="3"/>
  <c r="GL141" i="3"/>
  <c r="GK141" i="3"/>
  <c r="GJ141" i="3"/>
  <c r="GI141" i="3"/>
  <c r="GH141" i="3"/>
  <c r="GG141" i="3"/>
  <c r="GF141" i="3"/>
  <c r="GE141" i="3"/>
  <c r="GD141" i="3"/>
  <c r="GC141" i="3"/>
  <c r="GB141" i="3"/>
  <c r="GA141" i="3"/>
  <c r="FZ141" i="3"/>
  <c r="FY141" i="3"/>
  <c r="FX141" i="3"/>
  <c r="FW141" i="3"/>
  <c r="FV141" i="3"/>
  <c r="FU141" i="3"/>
  <c r="FT141" i="3"/>
  <c r="FS141" i="3"/>
  <c r="FR141" i="3"/>
  <c r="FQ141" i="3"/>
  <c r="FP141" i="3"/>
  <c r="FO141" i="3"/>
  <c r="FN141" i="3"/>
  <c r="FM141" i="3"/>
  <c r="FL141" i="3"/>
  <c r="FK141" i="3"/>
  <c r="FJ141" i="3"/>
  <c r="FI141" i="3"/>
  <c r="FH141" i="3"/>
  <c r="FG141" i="3"/>
  <c r="FF141" i="3"/>
  <c r="FE141" i="3"/>
  <c r="FD141" i="3"/>
  <c r="FC141" i="3"/>
  <c r="FB141" i="3"/>
  <c r="FA141" i="3"/>
  <c r="EZ141" i="3"/>
  <c r="EY141" i="3"/>
  <c r="EX141" i="3"/>
  <c r="EW141" i="3"/>
  <c r="EV141" i="3"/>
  <c r="EU141" i="3"/>
  <c r="ET141" i="3"/>
  <c r="ES141" i="3"/>
  <c r="ER141" i="3"/>
  <c r="EQ141" i="3"/>
  <c r="EP141" i="3"/>
  <c r="EO141" i="3"/>
  <c r="EN141" i="3"/>
  <c r="EM141" i="3"/>
  <c r="EL141" i="3"/>
  <c r="EK141" i="3"/>
  <c r="EJ141" i="3"/>
  <c r="EI141" i="3"/>
  <c r="EH141" i="3"/>
  <c r="EG141" i="3"/>
  <c r="EF141" i="3"/>
  <c r="EE141" i="3"/>
  <c r="ED141" i="3"/>
  <c r="EC141" i="3"/>
  <c r="EB141" i="3"/>
  <c r="EA141" i="3"/>
  <c r="DZ141" i="3"/>
  <c r="DY141" i="3"/>
  <c r="DX141" i="3"/>
  <c r="DW141" i="3"/>
  <c r="DV141" i="3"/>
  <c r="DU141" i="3"/>
  <c r="DT141" i="3"/>
  <c r="DS141" i="3"/>
  <c r="DR141" i="3"/>
  <c r="DQ141" i="3"/>
  <c r="DP141" i="3"/>
  <c r="DO141" i="3"/>
  <c r="DN141" i="3"/>
  <c r="DM141" i="3"/>
  <c r="DL141" i="3"/>
  <c r="DK141" i="3"/>
  <c r="DJ141" i="3"/>
  <c r="DI141" i="3"/>
  <c r="DH141" i="3"/>
  <c r="DG141" i="3"/>
  <c r="DF141" i="3"/>
  <c r="DE141" i="3"/>
  <c r="DD141" i="3"/>
  <c r="DC141" i="3"/>
  <c r="DB141" i="3"/>
  <c r="DA141" i="3"/>
  <c r="CZ141" i="3"/>
  <c r="CY141" i="3"/>
  <c r="CX141" i="3"/>
  <c r="CW141" i="3"/>
  <c r="CV141" i="3"/>
  <c r="CU141" i="3"/>
  <c r="CT141" i="3"/>
  <c r="CS141" i="3"/>
  <c r="CR141" i="3"/>
  <c r="CQ141" i="3"/>
  <c r="CP141" i="3"/>
  <c r="CO141" i="3"/>
  <c r="CN141" i="3"/>
  <c r="CM141" i="3"/>
  <c r="CL141" i="3"/>
  <c r="CK141" i="3"/>
  <c r="CJ141" i="3"/>
  <c r="CI141" i="3"/>
  <c r="CH141" i="3"/>
  <c r="CG141" i="3"/>
  <c r="CF141" i="3"/>
  <c r="CE141" i="3"/>
  <c r="CD141" i="3"/>
  <c r="CC141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D56" i="3" s="1"/>
  <c r="E141" i="3"/>
  <c r="D141" i="3"/>
  <c r="C141" i="3"/>
  <c r="C56" i="3" s="1"/>
  <c r="GT140" i="3"/>
  <c r="GS140" i="3"/>
  <c r="GR140" i="3"/>
  <c r="GQ140" i="3"/>
  <c r="GP140" i="3"/>
  <c r="GO140" i="3"/>
  <c r="GN140" i="3"/>
  <c r="GM140" i="3"/>
  <c r="GL140" i="3"/>
  <c r="GK140" i="3"/>
  <c r="GJ140" i="3"/>
  <c r="GI140" i="3"/>
  <c r="GH140" i="3"/>
  <c r="GG140" i="3"/>
  <c r="GF140" i="3"/>
  <c r="GE140" i="3"/>
  <c r="GD140" i="3"/>
  <c r="GC140" i="3"/>
  <c r="GB140" i="3"/>
  <c r="GA140" i="3"/>
  <c r="FZ140" i="3"/>
  <c r="FY140" i="3"/>
  <c r="FX140" i="3"/>
  <c r="FW140" i="3"/>
  <c r="FV140" i="3"/>
  <c r="FU140" i="3"/>
  <c r="FT140" i="3"/>
  <c r="FS140" i="3"/>
  <c r="FR140" i="3"/>
  <c r="FQ140" i="3"/>
  <c r="FP140" i="3"/>
  <c r="FO140" i="3"/>
  <c r="FN140" i="3"/>
  <c r="FM140" i="3"/>
  <c r="FL140" i="3"/>
  <c r="FK140" i="3"/>
  <c r="FJ140" i="3"/>
  <c r="FI140" i="3"/>
  <c r="FH140" i="3"/>
  <c r="FG140" i="3"/>
  <c r="FF140" i="3"/>
  <c r="FE140" i="3"/>
  <c r="FD140" i="3"/>
  <c r="FC140" i="3"/>
  <c r="FB140" i="3"/>
  <c r="FA140" i="3"/>
  <c r="EZ140" i="3"/>
  <c r="EY140" i="3"/>
  <c r="EX140" i="3"/>
  <c r="EW140" i="3"/>
  <c r="EV140" i="3"/>
  <c r="EU140" i="3"/>
  <c r="ET140" i="3"/>
  <c r="ES140" i="3"/>
  <c r="ER140" i="3"/>
  <c r="EQ140" i="3"/>
  <c r="EP140" i="3"/>
  <c r="EO140" i="3"/>
  <c r="EN140" i="3"/>
  <c r="EM140" i="3"/>
  <c r="EL140" i="3"/>
  <c r="EK140" i="3"/>
  <c r="EJ140" i="3"/>
  <c r="EI140" i="3"/>
  <c r="EH140" i="3"/>
  <c r="EG140" i="3"/>
  <c r="EF140" i="3"/>
  <c r="EE140" i="3"/>
  <c r="ED140" i="3"/>
  <c r="EC140" i="3"/>
  <c r="EB140" i="3"/>
  <c r="EA140" i="3"/>
  <c r="DZ140" i="3"/>
  <c r="DY140" i="3"/>
  <c r="DX140" i="3"/>
  <c r="DW140" i="3"/>
  <c r="DV140" i="3"/>
  <c r="DU140" i="3"/>
  <c r="DT140" i="3"/>
  <c r="DS140" i="3"/>
  <c r="DR140" i="3"/>
  <c r="DQ140" i="3"/>
  <c r="DP140" i="3"/>
  <c r="DO140" i="3"/>
  <c r="DN140" i="3"/>
  <c r="DM140" i="3"/>
  <c r="DL140" i="3"/>
  <c r="DK140" i="3"/>
  <c r="DJ140" i="3"/>
  <c r="DI140" i="3"/>
  <c r="DH140" i="3"/>
  <c r="DG140" i="3"/>
  <c r="DF140" i="3"/>
  <c r="DE140" i="3"/>
  <c r="DD140" i="3"/>
  <c r="DC140" i="3"/>
  <c r="DB140" i="3"/>
  <c r="DA140" i="3"/>
  <c r="CZ140" i="3"/>
  <c r="CY140" i="3"/>
  <c r="CX140" i="3"/>
  <c r="CW140" i="3"/>
  <c r="CV140" i="3"/>
  <c r="CU140" i="3"/>
  <c r="CT140" i="3"/>
  <c r="CS140" i="3"/>
  <c r="CR140" i="3"/>
  <c r="CQ140" i="3"/>
  <c r="CP140" i="3"/>
  <c r="CO140" i="3"/>
  <c r="CN140" i="3"/>
  <c r="CM140" i="3"/>
  <c r="CL140" i="3"/>
  <c r="CK140" i="3"/>
  <c r="CJ140" i="3"/>
  <c r="CI140" i="3"/>
  <c r="CH140" i="3"/>
  <c r="CG140" i="3"/>
  <c r="CF140" i="3"/>
  <c r="CE140" i="3"/>
  <c r="CD140" i="3"/>
  <c r="CC140" i="3"/>
  <c r="CB140" i="3"/>
  <c r="CA140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D54" i="3" s="1"/>
  <c r="E139" i="3"/>
  <c r="D139" i="3"/>
  <c r="C139" i="3"/>
  <c r="C54" i="3" s="1"/>
  <c r="GT138" i="3"/>
  <c r="GS138" i="3"/>
  <c r="GR138" i="3"/>
  <c r="GQ138" i="3"/>
  <c r="GP138" i="3"/>
  <c r="GO138" i="3"/>
  <c r="GN138" i="3"/>
  <c r="GM138" i="3"/>
  <c r="GL138" i="3"/>
  <c r="GK138" i="3"/>
  <c r="GJ138" i="3"/>
  <c r="GI138" i="3"/>
  <c r="GH138" i="3"/>
  <c r="GG138" i="3"/>
  <c r="GF138" i="3"/>
  <c r="GE138" i="3"/>
  <c r="GD138" i="3"/>
  <c r="GC138" i="3"/>
  <c r="GB138" i="3"/>
  <c r="GA138" i="3"/>
  <c r="FZ138" i="3"/>
  <c r="FY138" i="3"/>
  <c r="FX138" i="3"/>
  <c r="FW138" i="3"/>
  <c r="FV138" i="3"/>
  <c r="FU138" i="3"/>
  <c r="FT138" i="3"/>
  <c r="FS138" i="3"/>
  <c r="FR138" i="3"/>
  <c r="FQ138" i="3"/>
  <c r="FP138" i="3"/>
  <c r="FO138" i="3"/>
  <c r="FN138" i="3"/>
  <c r="FM138" i="3"/>
  <c r="FL138" i="3"/>
  <c r="FK138" i="3"/>
  <c r="FJ138" i="3"/>
  <c r="FI138" i="3"/>
  <c r="FH138" i="3"/>
  <c r="FG138" i="3"/>
  <c r="FF138" i="3"/>
  <c r="FE138" i="3"/>
  <c r="FD138" i="3"/>
  <c r="FC138" i="3"/>
  <c r="FB138" i="3"/>
  <c r="FA138" i="3"/>
  <c r="EZ138" i="3"/>
  <c r="EY138" i="3"/>
  <c r="EX138" i="3"/>
  <c r="EW138" i="3"/>
  <c r="EV138" i="3"/>
  <c r="EU138" i="3"/>
  <c r="ET138" i="3"/>
  <c r="ES138" i="3"/>
  <c r="ER138" i="3"/>
  <c r="EQ138" i="3"/>
  <c r="EP138" i="3"/>
  <c r="EO138" i="3"/>
  <c r="EN138" i="3"/>
  <c r="EM138" i="3"/>
  <c r="EL138" i="3"/>
  <c r="EK138" i="3"/>
  <c r="EJ138" i="3"/>
  <c r="EI138" i="3"/>
  <c r="EH138" i="3"/>
  <c r="EG138" i="3"/>
  <c r="EF138" i="3"/>
  <c r="EE138" i="3"/>
  <c r="ED138" i="3"/>
  <c r="EC138" i="3"/>
  <c r="EB138" i="3"/>
  <c r="EA138" i="3"/>
  <c r="DZ138" i="3"/>
  <c r="DY138" i="3"/>
  <c r="DX138" i="3"/>
  <c r="DW138" i="3"/>
  <c r="DV138" i="3"/>
  <c r="DU138" i="3"/>
  <c r="DT138" i="3"/>
  <c r="DS138" i="3"/>
  <c r="DR138" i="3"/>
  <c r="DQ138" i="3"/>
  <c r="DP138" i="3"/>
  <c r="DO138" i="3"/>
  <c r="DN138" i="3"/>
  <c r="DM138" i="3"/>
  <c r="DL138" i="3"/>
  <c r="DK138" i="3"/>
  <c r="DJ138" i="3"/>
  <c r="DI138" i="3"/>
  <c r="DH138" i="3"/>
  <c r="DG138" i="3"/>
  <c r="DF138" i="3"/>
  <c r="DE138" i="3"/>
  <c r="DD138" i="3"/>
  <c r="DC138" i="3"/>
  <c r="DB138" i="3"/>
  <c r="DA138" i="3"/>
  <c r="CZ138" i="3"/>
  <c r="CY138" i="3"/>
  <c r="CX138" i="3"/>
  <c r="CW138" i="3"/>
  <c r="CV138" i="3"/>
  <c r="CU138" i="3"/>
  <c r="CT138" i="3"/>
  <c r="CS138" i="3"/>
  <c r="CR138" i="3"/>
  <c r="CQ138" i="3"/>
  <c r="CP138" i="3"/>
  <c r="CO138" i="3"/>
  <c r="CN138" i="3"/>
  <c r="CM138" i="3"/>
  <c r="CL138" i="3"/>
  <c r="CK138" i="3"/>
  <c r="CJ138" i="3"/>
  <c r="CI138" i="3"/>
  <c r="CH138" i="3"/>
  <c r="CG138" i="3"/>
  <c r="CF138" i="3"/>
  <c r="CE138" i="3"/>
  <c r="CD138" i="3"/>
  <c r="CC138" i="3"/>
  <c r="CB138" i="3"/>
  <c r="CA138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GT137" i="3"/>
  <c r="GS137" i="3"/>
  <c r="GR137" i="3"/>
  <c r="GQ137" i="3"/>
  <c r="GP137" i="3"/>
  <c r="GO137" i="3"/>
  <c r="GN137" i="3"/>
  <c r="GM137" i="3"/>
  <c r="GL137" i="3"/>
  <c r="GK137" i="3"/>
  <c r="GJ137" i="3"/>
  <c r="GI137" i="3"/>
  <c r="GH137" i="3"/>
  <c r="GG137" i="3"/>
  <c r="GF137" i="3"/>
  <c r="GE137" i="3"/>
  <c r="GD137" i="3"/>
  <c r="GC137" i="3"/>
  <c r="GB137" i="3"/>
  <c r="GA137" i="3"/>
  <c r="FZ137" i="3"/>
  <c r="FY137" i="3"/>
  <c r="FX137" i="3"/>
  <c r="FW137" i="3"/>
  <c r="FV137" i="3"/>
  <c r="FU137" i="3"/>
  <c r="FT137" i="3"/>
  <c r="FS137" i="3"/>
  <c r="FR137" i="3"/>
  <c r="FQ137" i="3"/>
  <c r="FP137" i="3"/>
  <c r="FO137" i="3"/>
  <c r="FN137" i="3"/>
  <c r="FM137" i="3"/>
  <c r="FL137" i="3"/>
  <c r="FK137" i="3"/>
  <c r="FJ137" i="3"/>
  <c r="FI137" i="3"/>
  <c r="FH137" i="3"/>
  <c r="FG137" i="3"/>
  <c r="FF137" i="3"/>
  <c r="FE137" i="3"/>
  <c r="FD137" i="3"/>
  <c r="FC137" i="3"/>
  <c r="FB137" i="3"/>
  <c r="FA137" i="3"/>
  <c r="EZ137" i="3"/>
  <c r="EY137" i="3"/>
  <c r="EX137" i="3"/>
  <c r="EW137" i="3"/>
  <c r="EV137" i="3"/>
  <c r="EU137" i="3"/>
  <c r="ET137" i="3"/>
  <c r="ES137" i="3"/>
  <c r="ER137" i="3"/>
  <c r="EQ137" i="3"/>
  <c r="EP137" i="3"/>
  <c r="EO137" i="3"/>
  <c r="EN137" i="3"/>
  <c r="EM137" i="3"/>
  <c r="EL137" i="3"/>
  <c r="EK137" i="3"/>
  <c r="EJ137" i="3"/>
  <c r="EI137" i="3"/>
  <c r="EH137" i="3"/>
  <c r="EG137" i="3"/>
  <c r="EF137" i="3"/>
  <c r="EE137" i="3"/>
  <c r="ED137" i="3"/>
  <c r="EC137" i="3"/>
  <c r="EB137" i="3"/>
  <c r="EA137" i="3"/>
  <c r="DZ137" i="3"/>
  <c r="DY137" i="3"/>
  <c r="DX137" i="3"/>
  <c r="DW137" i="3"/>
  <c r="DV137" i="3"/>
  <c r="DU137" i="3"/>
  <c r="DT137" i="3"/>
  <c r="DS137" i="3"/>
  <c r="DR137" i="3"/>
  <c r="DQ137" i="3"/>
  <c r="DP137" i="3"/>
  <c r="DO137" i="3"/>
  <c r="DN137" i="3"/>
  <c r="DM137" i="3"/>
  <c r="DL137" i="3"/>
  <c r="DK137" i="3"/>
  <c r="DJ137" i="3"/>
  <c r="DI137" i="3"/>
  <c r="DH137" i="3"/>
  <c r="DG137" i="3"/>
  <c r="DF137" i="3"/>
  <c r="DE137" i="3"/>
  <c r="DD137" i="3"/>
  <c r="DC137" i="3"/>
  <c r="DB137" i="3"/>
  <c r="DA137" i="3"/>
  <c r="CZ137" i="3"/>
  <c r="CY137" i="3"/>
  <c r="CX137" i="3"/>
  <c r="CW137" i="3"/>
  <c r="CV137" i="3"/>
  <c r="CU137" i="3"/>
  <c r="CT137" i="3"/>
  <c r="CS137" i="3"/>
  <c r="CR137" i="3"/>
  <c r="CQ137" i="3"/>
  <c r="CP137" i="3"/>
  <c r="CO137" i="3"/>
  <c r="CN137" i="3"/>
  <c r="CM137" i="3"/>
  <c r="CL137" i="3"/>
  <c r="CK137" i="3"/>
  <c r="CJ137" i="3"/>
  <c r="CI137" i="3"/>
  <c r="CH137" i="3"/>
  <c r="CG137" i="3"/>
  <c r="CF137" i="3"/>
  <c r="CE137" i="3"/>
  <c r="CD137" i="3"/>
  <c r="CC137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D52" i="3" s="1"/>
  <c r="E137" i="3"/>
  <c r="D137" i="3"/>
  <c r="C137" i="3"/>
  <c r="C52" i="3" s="1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GT135" i="3"/>
  <c r="GS135" i="3"/>
  <c r="GR135" i="3"/>
  <c r="GQ135" i="3"/>
  <c r="GP135" i="3"/>
  <c r="GO135" i="3"/>
  <c r="GN135" i="3"/>
  <c r="GM135" i="3"/>
  <c r="GL135" i="3"/>
  <c r="GK135" i="3"/>
  <c r="GJ135" i="3"/>
  <c r="GI135" i="3"/>
  <c r="GH135" i="3"/>
  <c r="GG135" i="3"/>
  <c r="GF135" i="3"/>
  <c r="GE135" i="3"/>
  <c r="GD135" i="3"/>
  <c r="GC135" i="3"/>
  <c r="GB135" i="3"/>
  <c r="GA135" i="3"/>
  <c r="FZ135" i="3"/>
  <c r="FY135" i="3"/>
  <c r="FX135" i="3"/>
  <c r="FW135" i="3"/>
  <c r="FV135" i="3"/>
  <c r="FU135" i="3"/>
  <c r="FT135" i="3"/>
  <c r="FS135" i="3"/>
  <c r="FR135" i="3"/>
  <c r="FQ135" i="3"/>
  <c r="FP135" i="3"/>
  <c r="FO135" i="3"/>
  <c r="FN135" i="3"/>
  <c r="FM135" i="3"/>
  <c r="FL135" i="3"/>
  <c r="FK135" i="3"/>
  <c r="FJ135" i="3"/>
  <c r="FI135" i="3"/>
  <c r="FH135" i="3"/>
  <c r="FG135" i="3"/>
  <c r="FF135" i="3"/>
  <c r="FE135" i="3"/>
  <c r="FD135" i="3"/>
  <c r="FC135" i="3"/>
  <c r="FB135" i="3"/>
  <c r="FA135" i="3"/>
  <c r="EZ135" i="3"/>
  <c r="EY135" i="3"/>
  <c r="EX135" i="3"/>
  <c r="EW135" i="3"/>
  <c r="EV135" i="3"/>
  <c r="EU135" i="3"/>
  <c r="ET135" i="3"/>
  <c r="ES135" i="3"/>
  <c r="ER135" i="3"/>
  <c r="EQ135" i="3"/>
  <c r="EP135" i="3"/>
  <c r="EO135" i="3"/>
  <c r="EN135" i="3"/>
  <c r="EM135" i="3"/>
  <c r="EL135" i="3"/>
  <c r="EK135" i="3"/>
  <c r="EJ135" i="3"/>
  <c r="EI135" i="3"/>
  <c r="EH135" i="3"/>
  <c r="EG135" i="3"/>
  <c r="EF135" i="3"/>
  <c r="EE135" i="3"/>
  <c r="ED135" i="3"/>
  <c r="EC135" i="3"/>
  <c r="EB135" i="3"/>
  <c r="EA135" i="3"/>
  <c r="DZ135" i="3"/>
  <c r="DY135" i="3"/>
  <c r="DX135" i="3"/>
  <c r="DW135" i="3"/>
  <c r="DV135" i="3"/>
  <c r="DU135" i="3"/>
  <c r="DT135" i="3"/>
  <c r="DS135" i="3"/>
  <c r="DR135" i="3"/>
  <c r="DQ135" i="3"/>
  <c r="DP135" i="3"/>
  <c r="DO135" i="3"/>
  <c r="DN135" i="3"/>
  <c r="DM135" i="3"/>
  <c r="DL135" i="3"/>
  <c r="DK135" i="3"/>
  <c r="DJ135" i="3"/>
  <c r="DI135" i="3"/>
  <c r="DH135" i="3"/>
  <c r="DG135" i="3"/>
  <c r="DF135" i="3"/>
  <c r="DE135" i="3"/>
  <c r="DD135" i="3"/>
  <c r="DC135" i="3"/>
  <c r="DB135" i="3"/>
  <c r="DA135" i="3"/>
  <c r="CZ135" i="3"/>
  <c r="CY135" i="3"/>
  <c r="CX135" i="3"/>
  <c r="CW135" i="3"/>
  <c r="CV135" i="3"/>
  <c r="CU135" i="3"/>
  <c r="CT135" i="3"/>
  <c r="CS135" i="3"/>
  <c r="CR135" i="3"/>
  <c r="CQ135" i="3"/>
  <c r="CP135" i="3"/>
  <c r="CO135" i="3"/>
  <c r="CN135" i="3"/>
  <c r="CM135" i="3"/>
  <c r="CL135" i="3"/>
  <c r="CK135" i="3"/>
  <c r="CJ135" i="3"/>
  <c r="CI135" i="3"/>
  <c r="CH135" i="3"/>
  <c r="CG135" i="3"/>
  <c r="CF135" i="3"/>
  <c r="CE135" i="3"/>
  <c r="CD135" i="3"/>
  <c r="CC135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D50" i="3" s="1"/>
  <c r="E135" i="3"/>
  <c r="D135" i="3"/>
  <c r="C135" i="3"/>
  <c r="C50" i="3" s="1"/>
  <c r="GT134" i="3"/>
  <c r="GS134" i="3"/>
  <c r="GR134" i="3"/>
  <c r="GQ134" i="3"/>
  <c r="GP134" i="3"/>
  <c r="GO134" i="3"/>
  <c r="GN134" i="3"/>
  <c r="GM134" i="3"/>
  <c r="GL134" i="3"/>
  <c r="GK134" i="3"/>
  <c r="GJ134" i="3"/>
  <c r="GI134" i="3"/>
  <c r="GH134" i="3"/>
  <c r="GG134" i="3"/>
  <c r="GF134" i="3"/>
  <c r="GE134" i="3"/>
  <c r="GD134" i="3"/>
  <c r="GC134" i="3"/>
  <c r="GB134" i="3"/>
  <c r="GA134" i="3"/>
  <c r="FZ134" i="3"/>
  <c r="FY134" i="3"/>
  <c r="FX134" i="3"/>
  <c r="FW134" i="3"/>
  <c r="FV134" i="3"/>
  <c r="FU134" i="3"/>
  <c r="FT134" i="3"/>
  <c r="FS134" i="3"/>
  <c r="FR134" i="3"/>
  <c r="FQ134" i="3"/>
  <c r="FP134" i="3"/>
  <c r="FO134" i="3"/>
  <c r="FN134" i="3"/>
  <c r="FM134" i="3"/>
  <c r="FL134" i="3"/>
  <c r="FK134" i="3"/>
  <c r="FJ134" i="3"/>
  <c r="FI134" i="3"/>
  <c r="FH134" i="3"/>
  <c r="FG134" i="3"/>
  <c r="FF134" i="3"/>
  <c r="FE134" i="3"/>
  <c r="FD134" i="3"/>
  <c r="FC134" i="3"/>
  <c r="FB134" i="3"/>
  <c r="FA134" i="3"/>
  <c r="EZ134" i="3"/>
  <c r="EY134" i="3"/>
  <c r="EX134" i="3"/>
  <c r="EW134" i="3"/>
  <c r="EV134" i="3"/>
  <c r="EU134" i="3"/>
  <c r="ET134" i="3"/>
  <c r="ES134" i="3"/>
  <c r="ER134" i="3"/>
  <c r="EQ134" i="3"/>
  <c r="EP134" i="3"/>
  <c r="EO134" i="3"/>
  <c r="EN134" i="3"/>
  <c r="EM134" i="3"/>
  <c r="EL134" i="3"/>
  <c r="EK134" i="3"/>
  <c r="EJ134" i="3"/>
  <c r="EI134" i="3"/>
  <c r="EH134" i="3"/>
  <c r="EG134" i="3"/>
  <c r="EF134" i="3"/>
  <c r="EE134" i="3"/>
  <c r="ED134" i="3"/>
  <c r="EC134" i="3"/>
  <c r="EB134" i="3"/>
  <c r="EA134" i="3"/>
  <c r="DZ134" i="3"/>
  <c r="DY134" i="3"/>
  <c r="DX134" i="3"/>
  <c r="DW134" i="3"/>
  <c r="DV134" i="3"/>
  <c r="DU134" i="3"/>
  <c r="DT134" i="3"/>
  <c r="DS134" i="3"/>
  <c r="DR134" i="3"/>
  <c r="DQ134" i="3"/>
  <c r="DP134" i="3"/>
  <c r="DO134" i="3"/>
  <c r="DN134" i="3"/>
  <c r="DM134" i="3"/>
  <c r="DL134" i="3"/>
  <c r="DK134" i="3"/>
  <c r="DJ134" i="3"/>
  <c r="DI134" i="3"/>
  <c r="DH134" i="3"/>
  <c r="DG134" i="3"/>
  <c r="DF134" i="3"/>
  <c r="DE134" i="3"/>
  <c r="DD134" i="3"/>
  <c r="DC134" i="3"/>
  <c r="DB134" i="3"/>
  <c r="DA134" i="3"/>
  <c r="CZ134" i="3"/>
  <c r="CY134" i="3"/>
  <c r="CX134" i="3"/>
  <c r="CW134" i="3"/>
  <c r="CV134" i="3"/>
  <c r="CU134" i="3"/>
  <c r="CT134" i="3"/>
  <c r="CS134" i="3"/>
  <c r="CR134" i="3"/>
  <c r="CQ134" i="3"/>
  <c r="CP134" i="3"/>
  <c r="CO134" i="3"/>
  <c r="CN134" i="3"/>
  <c r="CM134" i="3"/>
  <c r="CL134" i="3"/>
  <c r="CK134" i="3"/>
  <c r="CJ134" i="3"/>
  <c r="CI134" i="3"/>
  <c r="CH134" i="3"/>
  <c r="CG134" i="3"/>
  <c r="CF134" i="3"/>
  <c r="CE134" i="3"/>
  <c r="CD134" i="3"/>
  <c r="CC134" i="3"/>
  <c r="CB134" i="3"/>
  <c r="CA134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D48" i="3" s="1"/>
  <c r="E133" i="3"/>
  <c r="D133" i="3"/>
  <c r="C133" i="3"/>
  <c r="C53" i="3" s="1"/>
  <c r="GT132" i="3"/>
  <c r="GS132" i="3"/>
  <c r="GR132" i="3"/>
  <c r="GQ132" i="3"/>
  <c r="GP132" i="3"/>
  <c r="GO132" i="3"/>
  <c r="GN132" i="3"/>
  <c r="GM132" i="3"/>
  <c r="GL132" i="3"/>
  <c r="GK132" i="3"/>
  <c r="GJ132" i="3"/>
  <c r="GI132" i="3"/>
  <c r="GH132" i="3"/>
  <c r="GG132" i="3"/>
  <c r="GF132" i="3"/>
  <c r="GE132" i="3"/>
  <c r="GD132" i="3"/>
  <c r="GC132" i="3"/>
  <c r="GB132" i="3"/>
  <c r="GA132" i="3"/>
  <c r="FZ132" i="3"/>
  <c r="FY132" i="3"/>
  <c r="FX132" i="3"/>
  <c r="FW132" i="3"/>
  <c r="FV132" i="3"/>
  <c r="FU132" i="3"/>
  <c r="FT132" i="3"/>
  <c r="FS132" i="3"/>
  <c r="FR132" i="3"/>
  <c r="FQ132" i="3"/>
  <c r="FP132" i="3"/>
  <c r="FO132" i="3"/>
  <c r="FN132" i="3"/>
  <c r="FM132" i="3"/>
  <c r="FL132" i="3"/>
  <c r="FK132" i="3"/>
  <c r="FJ132" i="3"/>
  <c r="FI132" i="3"/>
  <c r="FH132" i="3"/>
  <c r="FG132" i="3"/>
  <c r="FF132" i="3"/>
  <c r="FE132" i="3"/>
  <c r="FD132" i="3"/>
  <c r="FC132" i="3"/>
  <c r="FB132" i="3"/>
  <c r="FA132" i="3"/>
  <c r="EZ132" i="3"/>
  <c r="EY132" i="3"/>
  <c r="EX132" i="3"/>
  <c r="EW132" i="3"/>
  <c r="EV132" i="3"/>
  <c r="EU132" i="3"/>
  <c r="ET132" i="3"/>
  <c r="ES132" i="3"/>
  <c r="ER132" i="3"/>
  <c r="EQ132" i="3"/>
  <c r="EP132" i="3"/>
  <c r="EO132" i="3"/>
  <c r="EN132" i="3"/>
  <c r="EM132" i="3"/>
  <c r="EL132" i="3"/>
  <c r="EK132" i="3"/>
  <c r="EJ132" i="3"/>
  <c r="EI132" i="3"/>
  <c r="EH132" i="3"/>
  <c r="EG132" i="3"/>
  <c r="EF132" i="3"/>
  <c r="EE132" i="3"/>
  <c r="ED132" i="3"/>
  <c r="EC132" i="3"/>
  <c r="EB132" i="3"/>
  <c r="EA132" i="3"/>
  <c r="DZ132" i="3"/>
  <c r="DY132" i="3"/>
  <c r="DX132" i="3"/>
  <c r="DW132" i="3"/>
  <c r="DV132" i="3"/>
  <c r="DU132" i="3"/>
  <c r="DT132" i="3"/>
  <c r="DS132" i="3"/>
  <c r="DR132" i="3"/>
  <c r="DQ132" i="3"/>
  <c r="DP132" i="3"/>
  <c r="DO132" i="3"/>
  <c r="DN132" i="3"/>
  <c r="DM132" i="3"/>
  <c r="DL132" i="3"/>
  <c r="DK132" i="3"/>
  <c r="DJ132" i="3"/>
  <c r="DI132" i="3"/>
  <c r="DH132" i="3"/>
  <c r="DG132" i="3"/>
  <c r="DF132" i="3"/>
  <c r="DE132" i="3"/>
  <c r="DD132" i="3"/>
  <c r="DC132" i="3"/>
  <c r="DB132" i="3"/>
  <c r="DA132" i="3"/>
  <c r="CZ132" i="3"/>
  <c r="CY132" i="3"/>
  <c r="CX132" i="3"/>
  <c r="CW132" i="3"/>
  <c r="CV132" i="3"/>
  <c r="CU132" i="3"/>
  <c r="CT132" i="3"/>
  <c r="CS132" i="3"/>
  <c r="CR132" i="3"/>
  <c r="CQ132" i="3"/>
  <c r="CP132" i="3"/>
  <c r="CO132" i="3"/>
  <c r="CN132" i="3"/>
  <c r="CM132" i="3"/>
  <c r="CL132" i="3"/>
  <c r="CK132" i="3"/>
  <c r="CJ132" i="3"/>
  <c r="CI132" i="3"/>
  <c r="CH132" i="3"/>
  <c r="CG132" i="3"/>
  <c r="CF132" i="3"/>
  <c r="CE132" i="3"/>
  <c r="CD132" i="3"/>
  <c r="CC132" i="3"/>
  <c r="CB132" i="3"/>
  <c r="CA132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GT131" i="3"/>
  <c r="GS131" i="3"/>
  <c r="GR131" i="3"/>
  <c r="GQ131" i="3"/>
  <c r="GP131" i="3"/>
  <c r="GO131" i="3"/>
  <c r="GN131" i="3"/>
  <c r="GM131" i="3"/>
  <c r="GL131" i="3"/>
  <c r="GK131" i="3"/>
  <c r="GJ131" i="3"/>
  <c r="GI131" i="3"/>
  <c r="GH131" i="3"/>
  <c r="GG131" i="3"/>
  <c r="GF131" i="3"/>
  <c r="GE131" i="3"/>
  <c r="GD131" i="3"/>
  <c r="GC131" i="3"/>
  <c r="GB131" i="3"/>
  <c r="GA131" i="3"/>
  <c r="FZ131" i="3"/>
  <c r="FY131" i="3"/>
  <c r="FX131" i="3"/>
  <c r="FW131" i="3"/>
  <c r="FV131" i="3"/>
  <c r="FU131" i="3"/>
  <c r="FT131" i="3"/>
  <c r="FS131" i="3"/>
  <c r="FR131" i="3"/>
  <c r="FQ131" i="3"/>
  <c r="FP131" i="3"/>
  <c r="FO131" i="3"/>
  <c r="FN131" i="3"/>
  <c r="FM131" i="3"/>
  <c r="FL131" i="3"/>
  <c r="FK131" i="3"/>
  <c r="FJ131" i="3"/>
  <c r="FI131" i="3"/>
  <c r="FH131" i="3"/>
  <c r="FG131" i="3"/>
  <c r="FF131" i="3"/>
  <c r="FE131" i="3"/>
  <c r="FD131" i="3"/>
  <c r="FC131" i="3"/>
  <c r="FB131" i="3"/>
  <c r="FA131" i="3"/>
  <c r="EZ131" i="3"/>
  <c r="EY131" i="3"/>
  <c r="EX131" i="3"/>
  <c r="EW131" i="3"/>
  <c r="EV131" i="3"/>
  <c r="EU131" i="3"/>
  <c r="ET131" i="3"/>
  <c r="ES131" i="3"/>
  <c r="ER131" i="3"/>
  <c r="EQ131" i="3"/>
  <c r="EP131" i="3"/>
  <c r="EO131" i="3"/>
  <c r="EN131" i="3"/>
  <c r="EM131" i="3"/>
  <c r="EL131" i="3"/>
  <c r="EK131" i="3"/>
  <c r="EJ131" i="3"/>
  <c r="EI131" i="3"/>
  <c r="EH131" i="3"/>
  <c r="EG131" i="3"/>
  <c r="EF131" i="3"/>
  <c r="EE131" i="3"/>
  <c r="ED131" i="3"/>
  <c r="EC131" i="3"/>
  <c r="EB131" i="3"/>
  <c r="EA131" i="3"/>
  <c r="DZ131" i="3"/>
  <c r="DY131" i="3"/>
  <c r="DX131" i="3"/>
  <c r="DW131" i="3"/>
  <c r="DV131" i="3"/>
  <c r="DU131" i="3"/>
  <c r="DT131" i="3"/>
  <c r="DS131" i="3"/>
  <c r="DR131" i="3"/>
  <c r="DQ131" i="3"/>
  <c r="DP131" i="3"/>
  <c r="DO131" i="3"/>
  <c r="DN131" i="3"/>
  <c r="DM131" i="3"/>
  <c r="DL131" i="3"/>
  <c r="DK131" i="3"/>
  <c r="DJ131" i="3"/>
  <c r="DI131" i="3"/>
  <c r="DH131" i="3"/>
  <c r="DG131" i="3"/>
  <c r="DF131" i="3"/>
  <c r="DE131" i="3"/>
  <c r="DD131" i="3"/>
  <c r="DC131" i="3"/>
  <c r="DB131" i="3"/>
  <c r="DA131" i="3"/>
  <c r="CZ131" i="3"/>
  <c r="CY131" i="3"/>
  <c r="CX131" i="3"/>
  <c r="CW131" i="3"/>
  <c r="CV131" i="3"/>
  <c r="CU131" i="3"/>
  <c r="CT131" i="3"/>
  <c r="CS131" i="3"/>
  <c r="CR131" i="3"/>
  <c r="CQ131" i="3"/>
  <c r="CP131" i="3"/>
  <c r="CO131" i="3"/>
  <c r="CN131" i="3"/>
  <c r="CM131" i="3"/>
  <c r="CL131" i="3"/>
  <c r="CK131" i="3"/>
  <c r="CJ131" i="3"/>
  <c r="CI131" i="3"/>
  <c r="CH131" i="3"/>
  <c r="CG131" i="3"/>
  <c r="CF131" i="3"/>
  <c r="CE131" i="3"/>
  <c r="CD131" i="3"/>
  <c r="CC131" i="3"/>
  <c r="CB131" i="3"/>
  <c r="CA131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C46" i="3" s="1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GT129" i="3"/>
  <c r="GS129" i="3"/>
  <c r="GR129" i="3"/>
  <c r="GQ129" i="3"/>
  <c r="GP129" i="3"/>
  <c r="GO129" i="3"/>
  <c r="GN129" i="3"/>
  <c r="GM129" i="3"/>
  <c r="GL129" i="3"/>
  <c r="GK129" i="3"/>
  <c r="GJ129" i="3"/>
  <c r="GI129" i="3"/>
  <c r="GH129" i="3"/>
  <c r="GG129" i="3"/>
  <c r="GF129" i="3"/>
  <c r="GE129" i="3"/>
  <c r="GD129" i="3"/>
  <c r="GC129" i="3"/>
  <c r="GB129" i="3"/>
  <c r="GA129" i="3"/>
  <c r="FZ129" i="3"/>
  <c r="FY129" i="3"/>
  <c r="FX129" i="3"/>
  <c r="FW129" i="3"/>
  <c r="FV129" i="3"/>
  <c r="FU129" i="3"/>
  <c r="FT129" i="3"/>
  <c r="FS129" i="3"/>
  <c r="FR129" i="3"/>
  <c r="FQ129" i="3"/>
  <c r="FP129" i="3"/>
  <c r="FO129" i="3"/>
  <c r="FN129" i="3"/>
  <c r="FM129" i="3"/>
  <c r="FL129" i="3"/>
  <c r="FK129" i="3"/>
  <c r="FJ129" i="3"/>
  <c r="FI129" i="3"/>
  <c r="FH129" i="3"/>
  <c r="FG129" i="3"/>
  <c r="FF129" i="3"/>
  <c r="FE129" i="3"/>
  <c r="FD129" i="3"/>
  <c r="FC129" i="3"/>
  <c r="FB129" i="3"/>
  <c r="FA129" i="3"/>
  <c r="EZ129" i="3"/>
  <c r="EY129" i="3"/>
  <c r="EX129" i="3"/>
  <c r="EW129" i="3"/>
  <c r="EV129" i="3"/>
  <c r="EU129" i="3"/>
  <c r="ET129" i="3"/>
  <c r="ES129" i="3"/>
  <c r="ER129" i="3"/>
  <c r="EQ129" i="3"/>
  <c r="EP129" i="3"/>
  <c r="EO129" i="3"/>
  <c r="EN129" i="3"/>
  <c r="EM129" i="3"/>
  <c r="EL129" i="3"/>
  <c r="EK129" i="3"/>
  <c r="EJ129" i="3"/>
  <c r="EI129" i="3"/>
  <c r="EH129" i="3"/>
  <c r="EG129" i="3"/>
  <c r="EF129" i="3"/>
  <c r="EE129" i="3"/>
  <c r="ED129" i="3"/>
  <c r="EC129" i="3"/>
  <c r="EB129" i="3"/>
  <c r="EA129" i="3"/>
  <c r="DZ129" i="3"/>
  <c r="DY129" i="3"/>
  <c r="DX129" i="3"/>
  <c r="DW129" i="3"/>
  <c r="DV129" i="3"/>
  <c r="DU129" i="3"/>
  <c r="DT129" i="3"/>
  <c r="DS129" i="3"/>
  <c r="DR129" i="3"/>
  <c r="DQ129" i="3"/>
  <c r="DP129" i="3"/>
  <c r="DO129" i="3"/>
  <c r="DN129" i="3"/>
  <c r="DM129" i="3"/>
  <c r="DL129" i="3"/>
  <c r="DK129" i="3"/>
  <c r="DJ129" i="3"/>
  <c r="DI129" i="3"/>
  <c r="DH129" i="3"/>
  <c r="DG129" i="3"/>
  <c r="DF129" i="3"/>
  <c r="DE129" i="3"/>
  <c r="DD129" i="3"/>
  <c r="DC129" i="3"/>
  <c r="DB129" i="3"/>
  <c r="DA129" i="3"/>
  <c r="CZ129" i="3"/>
  <c r="CY129" i="3"/>
  <c r="CX129" i="3"/>
  <c r="CW129" i="3"/>
  <c r="CV129" i="3"/>
  <c r="CU129" i="3"/>
  <c r="CT129" i="3"/>
  <c r="CS129" i="3"/>
  <c r="CR129" i="3"/>
  <c r="CQ129" i="3"/>
  <c r="CP129" i="3"/>
  <c r="CO129" i="3"/>
  <c r="CN129" i="3"/>
  <c r="CM129" i="3"/>
  <c r="CL129" i="3"/>
  <c r="CK129" i="3"/>
  <c r="CJ129" i="3"/>
  <c r="CI129" i="3"/>
  <c r="CH129" i="3"/>
  <c r="CG129" i="3"/>
  <c r="CF129" i="3"/>
  <c r="CE129" i="3"/>
  <c r="CD129" i="3"/>
  <c r="CC129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D44" i="3" s="1"/>
  <c r="E129" i="3"/>
  <c r="D129" i="3"/>
  <c r="C129" i="3"/>
  <c r="C44" i="3" s="1"/>
  <c r="GT128" i="3"/>
  <c r="GS128" i="3"/>
  <c r="GR128" i="3"/>
  <c r="GQ128" i="3"/>
  <c r="GP128" i="3"/>
  <c r="GO128" i="3"/>
  <c r="GN128" i="3"/>
  <c r="GM128" i="3"/>
  <c r="GL128" i="3"/>
  <c r="GK128" i="3"/>
  <c r="GJ128" i="3"/>
  <c r="GI128" i="3"/>
  <c r="GH128" i="3"/>
  <c r="GG128" i="3"/>
  <c r="GF128" i="3"/>
  <c r="GE128" i="3"/>
  <c r="GD128" i="3"/>
  <c r="GC128" i="3"/>
  <c r="GB128" i="3"/>
  <c r="GA128" i="3"/>
  <c r="FZ128" i="3"/>
  <c r="FY128" i="3"/>
  <c r="FX128" i="3"/>
  <c r="FW128" i="3"/>
  <c r="FV128" i="3"/>
  <c r="FU128" i="3"/>
  <c r="FT128" i="3"/>
  <c r="FS128" i="3"/>
  <c r="FR128" i="3"/>
  <c r="FQ128" i="3"/>
  <c r="FP128" i="3"/>
  <c r="FO128" i="3"/>
  <c r="FN128" i="3"/>
  <c r="FM128" i="3"/>
  <c r="FL128" i="3"/>
  <c r="FK128" i="3"/>
  <c r="FJ128" i="3"/>
  <c r="FI128" i="3"/>
  <c r="FH128" i="3"/>
  <c r="FG128" i="3"/>
  <c r="FF128" i="3"/>
  <c r="FE128" i="3"/>
  <c r="FD128" i="3"/>
  <c r="FC128" i="3"/>
  <c r="FB128" i="3"/>
  <c r="FA128" i="3"/>
  <c r="EZ128" i="3"/>
  <c r="EY128" i="3"/>
  <c r="EX128" i="3"/>
  <c r="EW128" i="3"/>
  <c r="EV128" i="3"/>
  <c r="EU128" i="3"/>
  <c r="ET128" i="3"/>
  <c r="ES128" i="3"/>
  <c r="ER128" i="3"/>
  <c r="EQ128" i="3"/>
  <c r="EP128" i="3"/>
  <c r="EO128" i="3"/>
  <c r="EN128" i="3"/>
  <c r="EM128" i="3"/>
  <c r="EL128" i="3"/>
  <c r="EK128" i="3"/>
  <c r="EJ128" i="3"/>
  <c r="EI128" i="3"/>
  <c r="EH128" i="3"/>
  <c r="EG128" i="3"/>
  <c r="EF128" i="3"/>
  <c r="EE128" i="3"/>
  <c r="ED128" i="3"/>
  <c r="EC128" i="3"/>
  <c r="EB128" i="3"/>
  <c r="EA128" i="3"/>
  <c r="DZ128" i="3"/>
  <c r="DY128" i="3"/>
  <c r="DX128" i="3"/>
  <c r="DW128" i="3"/>
  <c r="DV128" i="3"/>
  <c r="DU128" i="3"/>
  <c r="DT128" i="3"/>
  <c r="DS128" i="3"/>
  <c r="DR128" i="3"/>
  <c r="DQ128" i="3"/>
  <c r="DP128" i="3"/>
  <c r="DO128" i="3"/>
  <c r="DN128" i="3"/>
  <c r="DM128" i="3"/>
  <c r="DL128" i="3"/>
  <c r="DK128" i="3"/>
  <c r="DJ128" i="3"/>
  <c r="DI128" i="3"/>
  <c r="DH128" i="3"/>
  <c r="DG128" i="3"/>
  <c r="DF128" i="3"/>
  <c r="DE128" i="3"/>
  <c r="DD128" i="3"/>
  <c r="DC128" i="3"/>
  <c r="DB128" i="3"/>
  <c r="DA128" i="3"/>
  <c r="CZ128" i="3"/>
  <c r="CY128" i="3"/>
  <c r="CX128" i="3"/>
  <c r="CW128" i="3"/>
  <c r="CV128" i="3"/>
  <c r="CU128" i="3"/>
  <c r="CT128" i="3"/>
  <c r="CS128" i="3"/>
  <c r="CR128" i="3"/>
  <c r="CQ128" i="3"/>
  <c r="CP128" i="3"/>
  <c r="CO128" i="3"/>
  <c r="CN128" i="3"/>
  <c r="CM128" i="3"/>
  <c r="CL128" i="3"/>
  <c r="CK128" i="3"/>
  <c r="CJ128" i="3"/>
  <c r="CI128" i="3"/>
  <c r="CH128" i="3"/>
  <c r="CG128" i="3"/>
  <c r="CF128" i="3"/>
  <c r="CE128" i="3"/>
  <c r="CD128" i="3"/>
  <c r="CC128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C42" i="3" s="1"/>
  <c r="GT126" i="3"/>
  <c r="GS126" i="3"/>
  <c r="GR126" i="3"/>
  <c r="GQ126" i="3"/>
  <c r="GP126" i="3"/>
  <c r="GO126" i="3"/>
  <c r="GN126" i="3"/>
  <c r="GM126" i="3"/>
  <c r="GL126" i="3"/>
  <c r="GK126" i="3"/>
  <c r="GJ126" i="3"/>
  <c r="GI126" i="3"/>
  <c r="GH126" i="3"/>
  <c r="GG126" i="3"/>
  <c r="GF126" i="3"/>
  <c r="GE126" i="3"/>
  <c r="GD126" i="3"/>
  <c r="GC126" i="3"/>
  <c r="GB126" i="3"/>
  <c r="GA126" i="3"/>
  <c r="FZ126" i="3"/>
  <c r="FY126" i="3"/>
  <c r="FX126" i="3"/>
  <c r="FW126" i="3"/>
  <c r="FV126" i="3"/>
  <c r="FU126" i="3"/>
  <c r="FT126" i="3"/>
  <c r="FS126" i="3"/>
  <c r="FR126" i="3"/>
  <c r="FQ126" i="3"/>
  <c r="FP126" i="3"/>
  <c r="FO126" i="3"/>
  <c r="FN126" i="3"/>
  <c r="FM126" i="3"/>
  <c r="FL126" i="3"/>
  <c r="FK126" i="3"/>
  <c r="FJ126" i="3"/>
  <c r="FI126" i="3"/>
  <c r="FH126" i="3"/>
  <c r="FG126" i="3"/>
  <c r="FF126" i="3"/>
  <c r="FE126" i="3"/>
  <c r="FD126" i="3"/>
  <c r="FC126" i="3"/>
  <c r="FB126" i="3"/>
  <c r="FA126" i="3"/>
  <c r="EZ126" i="3"/>
  <c r="EY126" i="3"/>
  <c r="EX126" i="3"/>
  <c r="EW126" i="3"/>
  <c r="EV126" i="3"/>
  <c r="EU126" i="3"/>
  <c r="ET126" i="3"/>
  <c r="ES126" i="3"/>
  <c r="ER126" i="3"/>
  <c r="EQ126" i="3"/>
  <c r="EP126" i="3"/>
  <c r="EO126" i="3"/>
  <c r="EN126" i="3"/>
  <c r="EM126" i="3"/>
  <c r="EL126" i="3"/>
  <c r="EK126" i="3"/>
  <c r="EJ126" i="3"/>
  <c r="EI126" i="3"/>
  <c r="EH126" i="3"/>
  <c r="EG126" i="3"/>
  <c r="EF126" i="3"/>
  <c r="EE126" i="3"/>
  <c r="ED126" i="3"/>
  <c r="EC126" i="3"/>
  <c r="EB126" i="3"/>
  <c r="EA126" i="3"/>
  <c r="DZ126" i="3"/>
  <c r="DY126" i="3"/>
  <c r="DX126" i="3"/>
  <c r="DW126" i="3"/>
  <c r="DV126" i="3"/>
  <c r="DU126" i="3"/>
  <c r="DT126" i="3"/>
  <c r="DS126" i="3"/>
  <c r="DR126" i="3"/>
  <c r="DQ126" i="3"/>
  <c r="DP126" i="3"/>
  <c r="DO126" i="3"/>
  <c r="DN126" i="3"/>
  <c r="DM126" i="3"/>
  <c r="DL126" i="3"/>
  <c r="DK126" i="3"/>
  <c r="DJ126" i="3"/>
  <c r="DI126" i="3"/>
  <c r="DH126" i="3"/>
  <c r="DG126" i="3"/>
  <c r="DF126" i="3"/>
  <c r="DE126" i="3"/>
  <c r="DD126" i="3"/>
  <c r="DC126" i="3"/>
  <c r="DB126" i="3"/>
  <c r="DA126" i="3"/>
  <c r="CZ126" i="3"/>
  <c r="CY126" i="3"/>
  <c r="CX126" i="3"/>
  <c r="CW126" i="3"/>
  <c r="CV126" i="3"/>
  <c r="CU126" i="3"/>
  <c r="CT126" i="3"/>
  <c r="CS126" i="3"/>
  <c r="CR126" i="3"/>
  <c r="CQ126" i="3"/>
  <c r="CP126" i="3"/>
  <c r="CO126" i="3"/>
  <c r="CN126" i="3"/>
  <c r="CM126" i="3"/>
  <c r="CL126" i="3"/>
  <c r="CK126" i="3"/>
  <c r="CJ126" i="3"/>
  <c r="CI126" i="3"/>
  <c r="CH126" i="3"/>
  <c r="CG126" i="3"/>
  <c r="CF126" i="3"/>
  <c r="CE126" i="3"/>
  <c r="CD126" i="3"/>
  <c r="CC126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GT125" i="3"/>
  <c r="GS125" i="3"/>
  <c r="GR125" i="3"/>
  <c r="GQ125" i="3"/>
  <c r="GP125" i="3"/>
  <c r="GO125" i="3"/>
  <c r="GN125" i="3"/>
  <c r="GM125" i="3"/>
  <c r="GL125" i="3"/>
  <c r="GK125" i="3"/>
  <c r="GJ125" i="3"/>
  <c r="GI125" i="3"/>
  <c r="GH125" i="3"/>
  <c r="GG125" i="3"/>
  <c r="GF125" i="3"/>
  <c r="GE125" i="3"/>
  <c r="GD125" i="3"/>
  <c r="GC125" i="3"/>
  <c r="GB125" i="3"/>
  <c r="GA125" i="3"/>
  <c r="FZ125" i="3"/>
  <c r="FY125" i="3"/>
  <c r="FX125" i="3"/>
  <c r="FW125" i="3"/>
  <c r="FV125" i="3"/>
  <c r="FU125" i="3"/>
  <c r="FT125" i="3"/>
  <c r="FS125" i="3"/>
  <c r="FR125" i="3"/>
  <c r="FQ125" i="3"/>
  <c r="FP125" i="3"/>
  <c r="FO125" i="3"/>
  <c r="FN125" i="3"/>
  <c r="FM125" i="3"/>
  <c r="FL125" i="3"/>
  <c r="FK125" i="3"/>
  <c r="FJ125" i="3"/>
  <c r="FI125" i="3"/>
  <c r="FH125" i="3"/>
  <c r="FG125" i="3"/>
  <c r="FF125" i="3"/>
  <c r="FE125" i="3"/>
  <c r="FD125" i="3"/>
  <c r="FC125" i="3"/>
  <c r="FB125" i="3"/>
  <c r="FA125" i="3"/>
  <c r="EZ125" i="3"/>
  <c r="EY125" i="3"/>
  <c r="EX125" i="3"/>
  <c r="EW125" i="3"/>
  <c r="EV125" i="3"/>
  <c r="EU125" i="3"/>
  <c r="ET125" i="3"/>
  <c r="ES125" i="3"/>
  <c r="ER125" i="3"/>
  <c r="EQ125" i="3"/>
  <c r="EP125" i="3"/>
  <c r="EO125" i="3"/>
  <c r="EN125" i="3"/>
  <c r="EM125" i="3"/>
  <c r="EL125" i="3"/>
  <c r="EK125" i="3"/>
  <c r="EJ125" i="3"/>
  <c r="EI125" i="3"/>
  <c r="EH125" i="3"/>
  <c r="EG125" i="3"/>
  <c r="EF125" i="3"/>
  <c r="EE125" i="3"/>
  <c r="ED125" i="3"/>
  <c r="EC125" i="3"/>
  <c r="EB125" i="3"/>
  <c r="EA125" i="3"/>
  <c r="DZ125" i="3"/>
  <c r="DY125" i="3"/>
  <c r="DX125" i="3"/>
  <c r="DW125" i="3"/>
  <c r="DV125" i="3"/>
  <c r="DU125" i="3"/>
  <c r="DT125" i="3"/>
  <c r="DS125" i="3"/>
  <c r="DR125" i="3"/>
  <c r="DQ125" i="3"/>
  <c r="DP125" i="3"/>
  <c r="DO125" i="3"/>
  <c r="DN125" i="3"/>
  <c r="DM125" i="3"/>
  <c r="DL125" i="3"/>
  <c r="DK125" i="3"/>
  <c r="DJ125" i="3"/>
  <c r="DI125" i="3"/>
  <c r="DH125" i="3"/>
  <c r="DG125" i="3"/>
  <c r="DF125" i="3"/>
  <c r="DE125" i="3"/>
  <c r="DD125" i="3"/>
  <c r="DC125" i="3"/>
  <c r="DB125" i="3"/>
  <c r="DA125" i="3"/>
  <c r="CZ125" i="3"/>
  <c r="CY125" i="3"/>
  <c r="CX125" i="3"/>
  <c r="CW125" i="3"/>
  <c r="CV125" i="3"/>
  <c r="CU125" i="3"/>
  <c r="CT125" i="3"/>
  <c r="CS125" i="3"/>
  <c r="CR125" i="3"/>
  <c r="CQ125" i="3"/>
  <c r="CP125" i="3"/>
  <c r="CO125" i="3"/>
  <c r="CN125" i="3"/>
  <c r="CM125" i="3"/>
  <c r="CL125" i="3"/>
  <c r="CK125" i="3"/>
  <c r="CJ125" i="3"/>
  <c r="CI125" i="3"/>
  <c r="CH125" i="3"/>
  <c r="CG125" i="3"/>
  <c r="CF125" i="3"/>
  <c r="CE125" i="3"/>
  <c r="CD125" i="3"/>
  <c r="CC125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D40" i="3" s="1"/>
  <c r="E125" i="3"/>
  <c r="D125" i="3"/>
  <c r="C125" i="3"/>
  <c r="C40" i="3" s="1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GT123" i="3"/>
  <c r="GS123" i="3"/>
  <c r="GR123" i="3"/>
  <c r="GQ123" i="3"/>
  <c r="GP123" i="3"/>
  <c r="GO123" i="3"/>
  <c r="GN123" i="3"/>
  <c r="GM123" i="3"/>
  <c r="GL123" i="3"/>
  <c r="GK123" i="3"/>
  <c r="GJ123" i="3"/>
  <c r="GI123" i="3"/>
  <c r="GH123" i="3"/>
  <c r="GG123" i="3"/>
  <c r="GF123" i="3"/>
  <c r="GE123" i="3"/>
  <c r="GD123" i="3"/>
  <c r="GC123" i="3"/>
  <c r="GB123" i="3"/>
  <c r="GA123" i="3"/>
  <c r="FZ123" i="3"/>
  <c r="FY123" i="3"/>
  <c r="FX123" i="3"/>
  <c r="FW123" i="3"/>
  <c r="FV123" i="3"/>
  <c r="FU123" i="3"/>
  <c r="FT123" i="3"/>
  <c r="FS123" i="3"/>
  <c r="FR123" i="3"/>
  <c r="FQ123" i="3"/>
  <c r="FP123" i="3"/>
  <c r="FO123" i="3"/>
  <c r="FN123" i="3"/>
  <c r="FM123" i="3"/>
  <c r="FL123" i="3"/>
  <c r="FK123" i="3"/>
  <c r="FJ123" i="3"/>
  <c r="FI123" i="3"/>
  <c r="FH123" i="3"/>
  <c r="FG123" i="3"/>
  <c r="FF123" i="3"/>
  <c r="FE123" i="3"/>
  <c r="FD123" i="3"/>
  <c r="FC123" i="3"/>
  <c r="FB123" i="3"/>
  <c r="FA123" i="3"/>
  <c r="EZ123" i="3"/>
  <c r="EY123" i="3"/>
  <c r="EX123" i="3"/>
  <c r="EW123" i="3"/>
  <c r="EV123" i="3"/>
  <c r="EU123" i="3"/>
  <c r="ET123" i="3"/>
  <c r="ES123" i="3"/>
  <c r="ER123" i="3"/>
  <c r="EQ123" i="3"/>
  <c r="EP123" i="3"/>
  <c r="EO123" i="3"/>
  <c r="EN123" i="3"/>
  <c r="EM123" i="3"/>
  <c r="EL123" i="3"/>
  <c r="EK123" i="3"/>
  <c r="EJ123" i="3"/>
  <c r="EI123" i="3"/>
  <c r="EH123" i="3"/>
  <c r="EG123" i="3"/>
  <c r="EF123" i="3"/>
  <c r="EE123" i="3"/>
  <c r="ED123" i="3"/>
  <c r="EC123" i="3"/>
  <c r="EB123" i="3"/>
  <c r="EA123" i="3"/>
  <c r="DZ123" i="3"/>
  <c r="DY123" i="3"/>
  <c r="DX123" i="3"/>
  <c r="DW123" i="3"/>
  <c r="DV123" i="3"/>
  <c r="DU123" i="3"/>
  <c r="DT123" i="3"/>
  <c r="DS123" i="3"/>
  <c r="DR123" i="3"/>
  <c r="DQ123" i="3"/>
  <c r="DP123" i="3"/>
  <c r="DO123" i="3"/>
  <c r="DN123" i="3"/>
  <c r="DM123" i="3"/>
  <c r="DL123" i="3"/>
  <c r="DK123" i="3"/>
  <c r="DJ123" i="3"/>
  <c r="DI123" i="3"/>
  <c r="DH123" i="3"/>
  <c r="DG123" i="3"/>
  <c r="DF123" i="3"/>
  <c r="DE123" i="3"/>
  <c r="DD123" i="3"/>
  <c r="DC123" i="3"/>
  <c r="DB123" i="3"/>
  <c r="DA123" i="3"/>
  <c r="CZ123" i="3"/>
  <c r="CY123" i="3"/>
  <c r="CX123" i="3"/>
  <c r="CW123" i="3"/>
  <c r="CV123" i="3"/>
  <c r="CU123" i="3"/>
  <c r="CT123" i="3"/>
  <c r="CS123" i="3"/>
  <c r="CR123" i="3"/>
  <c r="CQ123" i="3"/>
  <c r="CP123" i="3"/>
  <c r="CO123" i="3"/>
  <c r="CN123" i="3"/>
  <c r="CM123" i="3"/>
  <c r="CL123" i="3"/>
  <c r="CK123" i="3"/>
  <c r="CJ123" i="3"/>
  <c r="CI123" i="3"/>
  <c r="CH123" i="3"/>
  <c r="CG123" i="3"/>
  <c r="CF123" i="3"/>
  <c r="CE123" i="3"/>
  <c r="CD123" i="3"/>
  <c r="CC123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D38" i="3" s="1"/>
  <c r="E123" i="3"/>
  <c r="D123" i="3"/>
  <c r="C123" i="3"/>
  <c r="C38" i="3" s="1"/>
  <c r="GT122" i="3"/>
  <c r="GS122" i="3"/>
  <c r="GR122" i="3"/>
  <c r="GQ122" i="3"/>
  <c r="GP122" i="3"/>
  <c r="GO122" i="3"/>
  <c r="GN122" i="3"/>
  <c r="GM122" i="3"/>
  <c r="GL122" i="3"/>
  <c r="GK122" i="3"/>
  <c r="GJ122" i="3"/>
  <c r="GI122" i="3"/>
  <c r="GH122" i="3"/>
  <c r="GG122" i="3"/>
  <c r="GF122" i="3"/>
  <c r="GE122" i="3"/>
  <c r="GD122" i="3"/>
  <c r="GC122" i="3"/>
  <c r="GB122" i="3"/>
  <c r="GA122" i="3"/>
  <c r="FZ122" i="3"/>
  <c r="FY122" i="3"/>
  <c r="FX122" i="3"/>
  <c r="FW122" i="3"/>
  <c r="FV122" i="3"/>
  <c r="FU122" i="3"/>
  <c r="FT122" i="3"/>
  <c r="FS122" i="3"/>
  <c r="FR122" i="3"/>
  <c r="FQ122" i="3"/>
  <c r="FP122" i="3"/>
  <c r="FO122" i="3"/>
  <c r="FN122" i="3"/>
  <c r="FM122" i="3"/>
  <c r="FL122" i="3"/>
  <c r="FK122" i="3"/>
  <c r="FJ122" i="3"/>
  <c r="FI122" i="3"/>
  <c r="FH122" i="3"/>
  <c r="FG122" i="3"/>
  <c r="FF122" i="3"/>
  <c r="FE122" i="3"/>
  <c r="FD122" i="3"/>
  <c r="FC122" i="3"/>
  <c r="FB122" i="3"/>
  <c r="FA122" i="3"/>
  <c r="EZ122" i="3"/>
  <c r="EY122" i="3"/>
  <c r="EX122" i="3"/>
  <c r="EW122" i="3"/>
  <c r="EV122" i="3"/>
  <c r="EU122" i="3"/>
  <c r="ET122" i="3"/>
  <c r="ES122" i="3"/>
  <c r="ER122" i="3"/>
  <c r="EQ122" i="3"/>
  <c r="EP122" i="3"/>
  <c r="EO122" i="3"/>
  <c r="EN122" i="3"/>
  <c r="EM122" i="3"/>
  <c r="EL122" i="3"/>
  <c r="EK122" i="3"/>
  <c r="EJ122" i="3"/>
  <c r="EI122" i="3"/>
  <c r="EH122" i="3"/>
  <c r="EG122" i="3"/>
  <c r="EF122" i="3"/>
  <c r="EE122" i="3"/>
  <c r="ED122" i="3"/>
  <c r="EC122" i="3"/>
  <c r="EB122" i="3"/>
  <c r="EA122" i="3"/>
  <c r="DZ122" i="3"/>
  <c r="DY122" i="3"/>
  <c r="DX122" i="3"/>
  <c r="DW122" i="3"/>
  <c r="DV122" i="3"/>
  <c r="DU122" i="3"/>
  <c r="DT122" i="3"/>
  <c r="DS122" i="3"/>
  <c r="DR122" i="3"/>
  <c r="DQ122" i="3"/>
  <c r="DP122" i="3"/>
  <c r="DO122" i="3"/>
  <c r="DN122" i="3"/>
  <c r="DM122" i="3"/>
  <c r="DL122" i="3"/>
  <c r="DK122" i="3"/>
  <c r="DJ12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D36" i="3" s="1"/>
  <c r="E121" i="3"/>
  <c r="D121" i="3"/>
  <c r="C121" i="3"/>
  <c r="C36" i="3" s="1"/>
  <c r="GT120" i="3"/>
  <c r="GS120" i="3"/>
  <c r="GR120" i="3"/>
  <c r="GQ120" i="3"/>
  <c r="GP120" i="3"/>
  <c r="GO120" i="3"/>
  <c r="GN120" i="3"/>
  <c r="GM120" i="3"/>
  <c r="GL120" i="3"/>
  <c r="GK120" i="3"/>
  <c r="GJ120" i="3"/>
  <c r="GI120" i="3"/>
  <c r="GH120" i="3"/>
  <c r="GG120" i="3"/>
  <c r="GF120" i="3"/>
  <c r="GE120" i="3"/>
  <c r="GD120" i="3"/>
  <c r="GC120" i="3"/>
  <c r="GB120" i="3"/>
  <c r="GA120" i="3"/>
  <c r="FZ120" i="3"/>
  <c r="FY120" i="3"/>
  <c r="FX120" i="3"/>
  <c r="FW120" i="3"/>
  <c r="FV120" i="3"/>
  <c r="FU120" i="3"/>
  <c r="FT120" i="3"/>
  <c r="FS120" i="3"/>
  <c r="FR120" i="3"/>
  <c r="FQ120" i="3"/>
  <c r="FP120" i="3"/>
  <c r="FO120" i="3"/>
  <c r="FN120" i="3"/>
  <c r="FM120" i="3"/>
  <c r="FL120" i="3"/>
  <c r="FK120" i="3"/>
  <c r="FJ120" i="3"/>
  <c r="FI120" i="3"/>
  <c r="FH120" i="3"/>
  <c r="FG120" i="3"/>
  <c r="FF120" i="3"/>
  <c r="FE120" i="3"/>
  <c r="FD120" i="3"/>
  <c r="FC120" i="3"/>
  <c r="FB120" i="3"/>
  <c r="FA120" i="3"/>
  <c r="EZ120" i="3"/>
  <c r="EY120" i="3"/>
  <c r="EX120" i="3"/>
  <c r="EW120" i="3"/>
  <c r="EV120" i="3"/>
  <c r="EU120" i="3"/>
  <c r="ET120" i="3"/>
  <c r="ES120" i="3"/>
  <c r="ER120" i="3"/>
  <c r="EQ120" i="3"/>
  <c r="EP120" i="3"/>
  <c r="EO120" i="3"/>
  <c r="EN120" i="3"/>
  <c r="EM120" i="3"/>
  <c r="EL120" i="3"/>
  <c r="EK120" i="3"/>
  <c r="EJ120" i="3"/>
  <c r="EI120" i="3"/>
  <c r="EH120" i="3"/>
  <c r="EG120" i="3"/>
  <c r="EF120" i="3"/>
  <c r="EE120" i="3"/>
  <c r="ED120" i="3"/>
  <c r="EC120" i="3"/>
  <c r="EB120" i="3"/>
  <c r="EA120" i="3"/>
  <c r="DZ120" i="3"/>
  <c r="DY120" i="3"/>
  <c r="DX120" i="3"/>
  <c r="DW120" i="3"/>
  <c r="DV120" i="3"/>
  <c r="DU120" i="3"/>
  <c r="DT120" i="3"/>
  <c r="DS120" i="3"/>
  <c r="DR120" i="3"/>
  <c r="DQ120" i="3"/>
  <c r="DP120" i="3"/>
  <c r="DO120" i="3"/>
  <c r="DN120" i="3"/>
  <c r="DM120" i="3"/>
  <c r="DL120" i="3"/>
  <c r="DK120" i="3"/>
  <c r="DJ120" i="3"/>
  <c r="DI120" i="3"/>
  <c r="DH120" i="3"/>
  <c r="DG120" i="3"/>
  <c r="DF120" i="3"/>
  <c r="DE120" i="3"/>
  <c r="DD120" i="3"/>
  <c r="DC120" i="3"/>
  <c r="DB120" i="3"/>
  <c r="DA120" i="3"/>
  <c r="CZ120" i="3"/>
  <c r="CY120" i="3"/>
  <c r="CX120" i="3"/>
  <c r="CW120" i="3"/>
  <c r="CV120" i="3"/>
  <c r="CU120" i="3"/>
  <c r="CT120" i="3"/>
  <c r="CS120" i="3"/>
  <c r="CR120" i="3"/>
  <c r="CQ120" i="3"/>
  <c r="CP120" i="3"/>
  <c r="CO120" i="3"/>
  <c r="CN120" i="3"/>
  <c r="CM120" i="3"/>
  <c r="CL120" i="3"/>
  <c r="CK120" i="3"/>
  <c r="CJ120" i="3"/>
  <c r="CI120" i="3"/>
  <c r="CH120" i="3"/>
  <c r="CG120" i="3"/>
  <c r="CF120" i="3"/>
  <c r="CE120" i="3"/>
  <c r="CD120" i="3"/>
  <c r="CC120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GT119" i="3"/>
  <c r="GS119" i="3"/>
  <c r="GR119" i="3"/>
  <c r="GQ119" i="3"/>
  <c r="GP119" i="3"/>
  <c r="GO119" i="3"/>
  <c r="GN119" i="3"/>
  <c r="GM119" i="3"/>
  <c r="GL119" i="3"/>
  <c r="GK119" i="3"/>
  <c r="GJ119" i="3"/>
  <c r="GI119" i="3"/>
  <c r="GH119" i="3"/>
  <c r="GG119" i="3"/>
  <c r="GF119" i="3"/>
  <c r="GE119" i="3"/>
  <c r="GD119" i="3"/>
  <c r="GC119" i="3"/>
  <c r="GB119" i="3"/>
  <c r="GA119" i="3"/>
  <c r="FZ119" i="3"/>
  <c r="FY119" i="3"/>
  <c r="FX119" i="3"/>
  <c r="FW119" i="3"/>
  <c r="FV119" i="3"/>
  <c r="FU119" i="3"/>
  <c r="FT119" i="3"/>
  <c r="FS119" i="3"/>
  <c r="FR119" i="3"/>
  <c r="FQ119" i="3"/>
  <c r="FP119" i="3"/>
  <c r="FO119" i="3"/>
  <c r="FN119" i="3"/>
  <c r="FM119" i="3"/>
  <c r="FL119" i="3"/>
  <c r="FK119" i="3"/>
  <c r="FJ119" i="3"/>
  <c r="FI119" i="3"/>
  <c r="FH119" i="3"/>
  <c r="FG119" i="3"/>
  <c r="FF119" i="3"/>
  <c r="FE119" i="3"/>
  <c r="FD119" i="3"/>
  <c r="FC119" i="3"/>
  <c r="FB119" i="3"/>
  <c r="FA119" i="3"/>
  <c r="EZ119" i="3"/>
  <c r="EY119" i="3"/>
  <c r="EX119" i="3"/>
  <c r="EW119" i="3"/>
  <c r="EV119" i="3"/>
  <c r="EU119" i="3"/>
  <c r="ET119" i="3"/>
  <c r="ES119" i="3"/>
  <c r="ER119" i="3"/>
  <c r="EQ119" i="3"/>
  <c r="EP119" i="3"/>
  <c r="EO119" i="3"/>
  <c r="EN119" i="3"/>
  <c r="EM119" i="3"/>
  <c r="EL119" i="3"/>
  <c r="EK119" i="3"/>
  <c r="EJ119" i="3"/>
  <c r="EI119" i="3"/>
  <c r="EH119" i="3"/>
  <c r="EG119" i="3"/>
  <c r="EF119" i="3"/>
  <c r="EE119" i="3"/>
  <c r="ED119" i="3"/>
  <c r="EC119" i="3"/>
  <c r="EB119" i="3"/>
  <c r="EA119" i="3"/>
  <c r="DZ119" i="3"/>
  <c r="DY119" i="3"/>
  <c r="DX119" i="3"/>
  <c r="DW119" i="3"/>
  <c r="DV119" i="3"/>
  <c r="DU119" i="3"/>
  <c r="DT119" i="3"/>
  <c r="DS119" i="3"/>
  <c r="DR119" i="3"/>
  <c r="DQ119" i="3"/>
  <c r="DP119" i="3"/>
  <c r="DO119" i="3"/>
  <c r="DN119" i="3"/>
  <c r="DM119" i="3"/>
  <c r="DL119" i="3"/>
  <c r="DK119" i="3"/>
  <c r="DJ119" i="3"/>
  <c r="DI119" i="3"/>
  <c r="DH119" i="3"/>
  <c r="DG119" i="3"/>
  <c r="DF119" i="3"/>
  <c r="DE119" i="3"/>
  <c r="DD119" i="3"/>
  <c r="DC119" i="3"/>
  <c r="DB119" i="3"/>
  <c r="DA119" i="3"/>
  <c r="CZ119" i="3"/>
  <c r="CY119" i="3"/>
  <c r="CX119" i="3"/>
  <c r="CW119" i="3"/>
  <c r="CV119" i="3"/>
  <c r="CU119" i="3"/>
  <c r="CT119" i="3"/>
  <c r="CS119" i="3"/>
  <c r="CR119" i="3"/>
  <c r="CQ119" i="3"/>
  <c r="CP119" i="3"/>
  <c r="CO119" i="3"/>
  <c r="CN119" i="3"/>
  <c r="CM119" i="3"/>
  <c r="CL119" i="3"/>
  <c r="CK119" i="3"/>
  <c r="CJ119" i="3"/>
  <c r="CI119" i="3"/>
  <c r="CH119" i="3"/>
  <c r="CG119" i="3"/>
  <c r="CF119" i="3"/>
  <c r="CE119" i="3"/>
  <c r="CD119" i="3"/>
  <c r="CC119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D34" i="3" s="1"/>
  <c r="E119" i="3"/>
  <c r="D119" i="3"/>
  <c r="C119" i="3"/>
  <c r="C34" i="3" s="1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GT117" i="3"/>
  <c r="GS117" i="3"/>
  <c r="GR117" i="3"/>
  <c r="GQ117" i="3"/>
  <c r="GP117" i="3"/>
  <c r="GO117" i="3"/>
  <c r="GN117" i="3"/>
  <c r="GM117" i="3"/>
  <c r="GL117" i="3"/>
  <c r="GK117" i="3"/>
  <c r="GJ117" i="3"/>
  <c r="GI117" i="3"/>
  <c r="GH117" i="3"/>
  <c r="GG117" i="3"/>
  <c r="GF117" i="3"/>
  <c r="GE117" i="3"/>
  <c r="GD117" i="3"/>
  <c r="GC117" i="3"/>
  <c r="GB117" i="3"/>
  <c r="GA117" i="3"/>
  <c r="FZ117" i="3"/>
  <c r="FY117" i="3"/>
  <c r="FX117" i="3"/>
  <c r="FW117" i="3"/>
  <c r="FV117" i="3"/>
  <c r="FU117" i="3"/>
  <c r="FT117" i="3"/>
  <c r="FS117" i="3"/>
  <c r="FR117" i="3"/>
  <c r="FQ117" i="3"/>
  <c r="FP117" i="3"/>
  <c r="FO117" i="3"/>
  <c r="FN117" i="3"/>
  <c r="FM117" i="3"/>
  <c r="FL117" i="3"/>
  <c r="FK117" i="3"/>
  <c r="FJ117" i="3"/>
  <c r="FI117" i="3"/>
  <c r="FH117" i="3"/>
  <c r="FG117" i="3"/>
  <c r="FF117" i="3"/>
  <c r="FE117" i="3"/>
  <c r="FD117" i="3"/>
  <c r="FC117" i="3"/>
  <c r="FB117" i="3"/>
  <c r="FA117" i="3"/>
  <c r="EZ117" i="3"/>
  <c r="EY117" i="3"/>
  <c r="EX117" i="3"/>
  <c r="EW117" i="3"/>
  <c r="EV117" i="3"/>
  <c r="EU117" i="3"/>
  <c r="ET117" i="3"/>
  <c r="ES117" i="3"/>
  <c r="ER117" i="3"/>
  <c r="EQ117" i="3"/>
  <c r="EP117" i="3"/>
  <c r="EO117" i="3"/>
  <c r="EN117" i="3"/>
  <c r="EM117" i="3"/>
  <c r="EL117" i="3"/>
  <c r="EK117" i="3"/>
  <c r="EJ117" i="3"/>
  <c r="EI117" i="3"/>
  <c r="EH117" i="3"/>
  <c r="EG117" i="3"/>
  <c r="EF117" i="3"/>
  <c r="EE117" i="3"/>
  <c r="ED117" i="3"/>
  <c r="EC117" i="3"/>
  <c r="EB117" i="3"/>
  <c r="EA117" i="3"/>
  <c r="DZ117" i="3"/>
  <c r="DY117" i="3"/>
  <c r="DX117" i="3"/>
  <c r="DW117" i="3"/>
  <c r="DV117" i="3"/>
  <c r="DU117" i="3"/>
  <c r="DT117" i="3"/>
  <c r="DS117" i="3"/>
  <c r="DR117" i="3"/>
  <c r="DQ117" i="3"/>
  <c r="DP117" i="3"/>
  <c r="DO117" i="3"/>
  <c r="DN117" i="3"/>
  <c r="DM117" i="3"/>
  <c r="DL117" i="3"/>
  <c r="DK117" i="3"/>
  <c r="DJ117" i="3"/>
  <c r="DI117" i="3"/>
  <c r="DH117" i="3"/>
  <c r="DG117" i="3"/>
  <c r="DF117" i="3"/>
  <c r="DE117" i="3"/>
  <c r="DD117" i="3"/>
  <c r="DC117" i="3"/>
  <c r="DB117" i="3"/>
  <c r="DA117" i="3"/>
  <c r="CZ117" i="3"/>
  <c r="CY117" i="3"/>
  <c r="CX117" i="3"/>
  <c r="CW117" i="3"/>
  <c r="CV117" i="3"/>
  <c r="CU117" i="3"/>
  <c r="CT117" i="3"/>
  <c r="CS117" i="3"/>
  <c r="CR117" i="3"/>
  <c r="CQ117" i="3"/>
  <c r="CP117" i="3"/>
  <c r="CO117" i="3"/>
  <c r="CN117" i="3"/>
  <c r="CM117" i="3"/>
  <c r="CL117" i="3"/>
  <c r="CK117" i="3"/>
  <c r="CJ117" i="3"/>
  <c r="CI117" i="3"/>
  <c r="CH117" i="3"/>
  <c r="CG117" i="3"/>
  <c r="CF117" i="3"/>
  <c r="CE117" i="3"/>
  <c r="CD117" i="3"/>
  <c r="CC117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D32" i="3" s="1"/>
  <c r="E117" i="3"/>
  <c r="D117" i="3"/>
  <c r="C117" i="3"/>
  <c r="GT116" i="3"/>
  <c r="GS116" i="3"/>
  <c r="GR116" i="3"/>
  <c r="GQ116" i="3"/>
  <c r="GP116" i="3"/>
  <c r="GO116" i="3"/>
  <c r="GN116" i="3"/>
  <c r="GM116" i="3"/>
  <c r="GL116" i="3"/>
  <c r="GK116" i="3"/>
  <c r="GJ116" i="3"/>
  <c r="GI116" i="3"/>
  <c r="GH116" i="3"/>
  <c r="GG116" i="3"/>
  <c r="GF116" i="3"/>
  <c r="GE116" i="3"/>
  <c r="GD116" i="3"/>
  <c r="GC116" i="3"/>
  <c r="GB116" i="3"/>
  <c r="GA116" i="3"/>
  <c r="FZ116" i="3"/>
  <c r="FY116" i="3"/>
  <c r="FX116" i="3"/>
  <c r="FW116" i="3"/>
  <c r="FV116" i="3"/>
  <c r="FU116" i="3"/>
  <c r="FT116" i="3"/>
  <c r="FS116" i="3"/>
  <c r="FR116" i="3"/>
  <c r="FQ116" i="3"/>
  <c r="FP116" i="3"/>
  <c r="FO116" i="3"/>
  <c r="FN116" i="3"/>
  <c r="FM116" i="3"/>
  <c r="FL116" i="3"/>
  <c r="FK116" i="3"/>
  <c r="FJ116" i="3"/>
  <c r="FI116" i="3"/>
  <c r="FH116" i="3"/>
  <c r="FG116" i="3"/>
  <c r="FF116" i="3"/>
  <c r="FE116" i="3"/>
  <c r="FD116" i="3"/>
  <c r="FC116" i="3"/>
  <c r="FB116" i="3"/>
  <c r="FA116" i="3"/>
  <c r="EZ116" i="3"/>
  <c r="EY116" i="3"/>
  <c r="EX116" i="3"/>
  <c r="EW116" i="3"/>
  <c r="EV116" i="3"/>
  <c r="EU116" i="3"/>
  <c r="ET116" i="3"/>
  <c r="ES116" i="3"/>
  <c r="ER116" i="3"/>
  <c r="EQ116" i="3"/>
  <c r="EP116" i="3"/>
  <c r="EO116" i="3"/>
  <c r="EN116" i="3"/>
  <c r="EM116" i="3"/>
  <c r="EL116" i="3"/>
  <c r="EK116" i="3"/>
  <c r="EJ116" i="3"/>
  <c r="EI116" i="3"/>
  <c r="EH116" i="3"/>
  <c r="EG116" i="3"/>
  <c r="EF116" i="3"/>
  <c r="EE116" i="3"/>
  <c r="ED116" i="3"/>
  <c r="EC116" i="3"/>
  <c r="EB116" i="3"/>
  <c r="EA116" i="3"/>
  <c r="DZ116" i="3"/>
  <c r="DY116" i="3"/>
  <c r="DX116" i="3"/>
  <c r="DW116" i="3"/>
  <c r="DV116" i="3"/>
  <c r="DU116" i="3"/>
  <c r="DT116" i="3"/>
  <c r="DS116" i="3"/>
  <c r="DR116" i="3"/>
  <c r="DQ116" i="3"/>
  <c r="DP116" i="3"/>
  <c r="DO116" i="3"/>
  <c r="DN116" i="3"/>
  <c r="DM116" i="3"/>
  <c r="DL116" i="3"/>
  <c r="DK116" i="3"/>
  <c r="DJ116" i="3"/>
  <c r="DI116" i="3"/>
  <c r="DH116" i="3"/>
  <c r="DG116" i="3"/>
  <c r="DF116" i="3"/>
  <c r="DE116" i="3"/>
  <c r="DD116" i="3"/>
  <c r="DC116" i="3"/>
  <c r="DB116" i="3"/>
  <c r="DA116" i="3"/>
  <c r="CZ116" i="3"/>
  <c r="CY116" i="3"/>
  <c r="CX116" i="3"/>
  <c r="CW116" i="3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F116" i="3"/>
  <c r="CE116" i="3"/>
  <c r="CD116" i="3"/>
  <c r="CC116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D30" i="3" s="1"/>
  <c r="E115" i="3"/>
  <c r="D115" i="3"/>
  <c r="C115" i="3"/>
  <c r="C30" i="3" s="1"/>
  <c r="GT114" i="3"/>
  <c r="GS114" i="3"/>
  <c r="GR114" i="3"/>
  <c r="GQ114" i="3"/>
  <c r="GP114" i="3"/>
  <c r="GO114" i="3"/>
  <c r="GN114" i="3"/>
  <c r="GM114" i="3"/>
  <c r="GL114" i="3"/>
  <c r="GK114" i="3"/>
  <c r="GJ114" i="3"/>
  <c r="GI114" i="3"/>
  <c r="GH114" i="3"/>
  <c r="GG114" i="3"/>
  <c r="GF114" i="3"/>
  <c r="GE114" i="3"/>
  <c r="GD114" i="3"/>
  <c r="GC114" i="3"/>
  <c r="GB114" i="3"/>
  <c r="GA114" i="3"/>
  <c r="FZ114" i="3"/>
  <c r="FY114" i="3"/>
  <c r="FX114" i="3"/>
  <c r="FW114" i="3"/>
  <c r="FV114" i="3"/>
  <c r="FU114" i="3"/>
  <c r="FT114" i="3"/>
  <c r="FS114" i="3"/>
  <c r="FR114" i="3"/>
  <c r="FQ114" i="3"/>
  <c r="FP114" i="3"/>
  <c r="FO114" i="3"/>
  <c r="FN114" i="3"/>
  <c r="FM114" i="3"/>
  <c r="FL114" i="3"/>
  <c r="FK114" i="3"/>
  <c r="FJ114" i="3"/>
  <c r="FI114" i="3"/>
  <c r="FH114" i="3"/>
  <c r="FG114" i="3"/>
  <c r="FF114" i="3"/>
  <c r="FE114" i="3"/>
  <c r="FD114" i="3"/>
  <c r="FC114" i="3"/>
  <c r="FB114" i="3"/>
  <c r="FA114" i="3"/>
  <c r="EZ114" i="3"/>
  <c r="EY114" i="3"/>
  <c r="EX114" i="3"/>
  <c r="EW114" i="3"/>
  <c r="EV114" i="3"/>
  <c r="EU114" i="3"/>
  <c r="ET114" i="3"/>
  <c r="ES114" i="3"/>
  <c r="ER114" i="3"/>
  <c r="EQ114" i="3"/>
  <c r="EP114" i="3"/>
  <c r="EO114" i="3"/>
  <c r="EN114" i="3"/>
  <c r="EM114" i="3"/>
  <c r="EL114" i="3"/>
  <c r="EK114" i="3"/>
  <c r="EJ114" i="3"/>
  <c r="EI114" i="3"/>
  <c r="EH114" i="3"/>
  <c r="EG114" i="3"/>
  <c r="EF114" i="3"/>
  <c r="EE114" i="3"/>
  <c r="ED114" i="3"/>
  <c r="EC114" i="3"/>
  <c r="EB114" i="3"/>
  <c r="EA114" i="3"/>
  <c r="DZ114" i="3"/>
  <c r="DY114" i="3"/>
  <c r="DX114" i="3"/>
  <c r="DW114" i="3"/>
  <c r="DV114" i="3"/>
  <c r="DU114" i="3"/>
  <c r="DT114" i="3"/>
  <c r="DS114" i="3"/>
  <c r="DR114" i="3"/>
  <c r="DQ114" i="3"/>
  <c r="DP114" i="3"/>
  <c r="DO114" i="3"/>
  <c r="DN114" i="3"/>
  <c r="DM114" i="3"/>
  <c r="DL114" i="3"/>
  <c r="DK114" i="3"/>
  <c r="DJ114" i="3"/>
  <c r="DI114" i="3"/>
  <c r="DH114" i="3"/>
  <c r="DG114" i="3"/>
  <c r="DF114" i="3"/>
  <c r="DE114" i="3"/>
  <c r="DD114" i="3"/>
  <c r="DC114" i="3"/>
  <c r="DB114" i="3"/>
  <c r="DA114" i="3"/>
  <c r="CZ114" i="3"/>
  <c r="CY114" i="3"/>
  <c r="CX114" i="3"/>
  <c r="CW114" i="3"/>
  <c r="CV114" i="3"/>
  <c r="CU114" i="3"/>
  <c r="CT114" i="3"/>
  <c r="CS114" i="3"/>
  <c r="CR114" i="3"/>
  <c r="CQ114" i="3"/>
  <c r="CP114" i="3"/>
  <c r="CO114" i="3"/>
  <c r="CN114" i="3"/>
  <c r="CM114" i="3"/>
  <c r="CL114" i="3"/>
  <c r="CK114" i="3"/>
  <c r="CJ114" i="3"/>
  <c r="CI114" i="3"/>
  <c r="CH114" i="3"/>
  <c r="CG114" i="3"/>
  <c r="CF114" i="3"/>
  <c r="CE114" i="3"/>
  <c r="CD114" i="3"/>
  <c r="CC114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GT113" i="3"/>
  <c r="GS113" i="3"/>
  <c r="GR113" i="3"/>
  <c r="GQ113" i="3"/>
  <c r="GP113" i="3"/>
  <c r="GO113" i="3"/>
  <c r="GN113" i="3"/>
  <c r="GM113" i="3"/>
  <c r="GL113" i="3"/>
  <c r="GK113" i="3"/>
  <c r="GJ113" i="3"/>
  <c r="GI113" i="3"/>
  <c r="GH113" i="3"/>
  <c r="GG113" i="3"/>
  <c r="GF113" i="3"/>
  <c r="GE113" i="3"/>
  <c r="GD113" i="3"/>
  <c r="GC113" i="3"/>
  <c r="GB113" i="3"/>
  <c r="GA113" i="3"/>
  <c r="FZ113" i="3"/>
  <c r="FY113" i="3"/>
  <c r="FX113" i="3"/>
  <c r="FW113" i="3"/>
  <c r="FV113" i="3"/>
  <c r="FU113" i="3"/>
  <c r="FT113" i="3"/>
  <c r="FS113" i="3"/>
  <c r="FR113" i="3"/>
  <c r="FQ113" i="3"/>
  <c r="FP113" i="3"/>
  <c r="FO113" i="3"/>
  <c r="FN113" i="3"/>
  <c r="FM113" i="3"/>
  <c r="FL113" i="3"/>
  <c r="FK113" i="3"/>
  <c r="FJ113" i="3"/>
  <c r="FI113" i="3"/>
  <c r="FH113" i="3"/>
  <c r="FG113" i="3"/>
  <c r="FF113" i="3"/>
  <c r="FE113" i="3"/>
  <c r="FD113" i="3"/>
  <c r="FC113" i="3"/>
  <c r="FB113" i="3"/>
  <c r="FA113" i="3"/>
  <c r="EZ113" i="3"/>
  <c r="EY113" i="3"/>
  <c r="EX113" i="3"/>
  <c r="EW113" i="3"/>
  <c r="EV113" i="3"/>
  <c r="EU113" i="3"/>
  <c r="ET113" i="3"/>
  <c r="ES113" i="3"/>
  <c r="ER113" i="3"/>
  <c r="EQ113" i="3"/>
  <c r="EP113" i="3"/>
  <c r="EO113" i="3"/>
  <c r="EN113" i="3"/>
  <c r="EM113" i="3"/>
  <c r="EL113" i="3"/>
  <c r="EK113" i="3"/>
  <c r="EJ113" i="3"/>
  <c r="EI113" i="3"/>
  <c r="EH113" i="3"/>
  <c r="EG113" i="3"/>
  <c r="EF113" i="3"/>
  <c r="EE113" i="3"/>
  <c r="ED113" i="3"/>
  <c r="EC113" i="3"/>
  <c r="EB113" i="3"/>
  <c r="EA113" i="3"/>
  <c r="DZ113" i="3"/>
  <c r="DY113" i="3"/>
  <c r="DX113" i="3"/>
  <c r="DW113" i="3"/>
  <c r="DV113" i="3"/>
  <c r="DU113" i="3"/>
  <c r="DT113" i="3"/>
  <c r="DS113" i="3"/>
  <c r="DR113" i="3"/>
  <c r="DQ113" i="3"/>
  <c r="DP113" i="3"/>
  <c r="DO113" i="3"/>
  <c r="DN113" i="3"/>
  <c r="DM113" i="3"/>
  <c r="DL113" i="3"/>
  <c r="DK113" i="3"/>
  <c r="DJ113" i="3"/>
  <c r="DI113" i="3"/>
  <c r="DH113" i="3"/>
  <c r="DG113" i="3"/>
  <c r="DF113" i="3"/>
  <c r="DE113" i="3"/>
  <c r="DD113" i="3"/>
  <c r="DC113" i="3"/>
  <c r="DB113" i="3"/>
  <c r="DA113" i="3"/>
  <c r="CZ113" i="3"/>
  <c r="CY113" i="3"/>
  <c r="CX113" i="3"/>
  <c r="CW113" i="3"/>
  <c r="CV113" i="3"/>
  <c r="CU113" i="3"/>
  <c r="CT113" i="3"/>
  <c r="CS113" i="3"/>
  <c r="CR113" i="3"/>
  <c r="CQ113" i="3"/>
  <c r="CP113" i="3"/>
  <c r="CO113" i="3"/>
  <c r="CN113" i="3"/>
  <c r="CM113" i="3"/>
  <c r="CL113" i="3"/>
  <c r="CK113" i="3"/>
  <c r="CJ113" i="3"/>
  <c r="CI113" i="3"/>
  <c r="CH113" i="3"/>
  <c r="CG113" i="3"/>
  <c r="CF113" i="3"/>
  <c r="CE113" i="3"/>
  <c r="CD113" i="3"/>
  <c r="CC113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D28" i="3" s="1"/>
  <c r="E113" i="3"/>
  <c r="D113" i="3"/>
  <c r="C113" i="3"/>
  <c r="C28" i="3" s="1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GT111" i="3"/>
  <c r="GS111" i="3"/>
  <c r="GR111" i="3"/>
  <c r="GQ111" i="3"/>
  <c r="GP111" i="3"/>
  <c r="GO111" i="3"/>
  <c r="GN111" i="3"/>
  <c r="GM111" i="3"/>
  <c r="GL111" i="3"/>
  <c r="GK111" i="3"/>
  <c r="GJ111" i="3"/>
  <c r="GI111" i="3"/>
  <c r="GH111" i="3"/>
  <c r="GG111" i="3"/>
  <c r="GF111" i="3"/>
  <c r="GE111" i="3"/>
  <c r="GD111" i="3"/>
  <c r="GC111" i="3"/>
  <c r="GB111" i="3"/>
  <c r="GA111" i="3"/>
  <c r="FZ111" i="3"/>
  <c r="FY111" i="3"/>
  <c r="FX111" i="3"/>
  <c r="FW111" i="3"/>
  <c r="FV111" i="3"/>
  <c r="FU111" i="3"/>
  <c r="FT111" i="3"/>
  <c r="FS111" i="3"/>
  <c r="FR111" i="3"/>
  <c r="FQ111" i="3"/>
  <c r="FP111" i="3"/>
  <c r="FO111" i="3"/>
  <c r="FN111" i="3"/>
  <c r="FM111" i="3"/>
  <c r="FL111" i="3"/>
  <c r="FK111" i="3"/>
  <c r="FJ111" i="3"/>
  <c r="FI111" i="3"/>
  <c r="FH111" i="3"/>
  <c r="FG111" i="3"/>
  <c r="FF111" i="3"/>
  <c r="FE111" i="3"/>
  <c r="FD111" i="3"/>
  <c r="FC111" i="3"/>
  <c r="FB111" i="3"/>
  <c r="FA111" i="3"/>
  <c r="EZ111" i="3"/>
  <c r="EY111" i="3"/>
  <c r="EX111" i="3"/>
  <c r="EW111" i="3"/>
  <c r="EV111" i="3"/>
  <c r="EU111" i="3"/>
  <c r="ET111" i="3"/>
  <c r="ES111" i="3"/>
  <c r="ER111" i="3"/>
  <c r="EQ111" i="3"/>
  <c r="EP111" i="3"/>
  <c r="EO111" i="3"/>
  <c r="EN111" i="3"/>
  <c r="EM111" i="3"/>
  <c r="EL111" i="3"/>
  <c r="EK111" i="3"/>
  <c r="EJ111" i="3"/>
  <c r="EI111" i="3"/>
  <c r="EH111" i="3"/>
  <c r="EG111" i="3"/>
  <c r="EF111" i="3"/>
  <c r="EE111" i="3"/>
  <c r="ED111" i="3"/>
  <c r="EC111" i="3"/>
  <c r="EB111" i="3"/>
  <c r="EA111" i="3"/>
  <c r="DZ111" i="3"/>
  <c r="DY111" i="3"/>
  <c r="DX111" i="3"/>
  <c r="DW111" i="3"/>
  <c r="DV111" i="3"/>
  <c r="DU111" i="3"/>
  <c r="DT111" i="3"/>
  <c r="DS111" i="3"/>
  <c r="DR111" i="3"/>
  <c r="DQ111" i="3"/>
  <c r="DP111" i="3"/>
  <c r="DO111" i="3"/>
  <c r="DN111" i="3"/>
  <c r="DM111" i="3"/>
  <c r="DL111" i="3"/>
  <c r="DK111" i="3"/>
  <c r="DJ111" i="3"/>
  <c r="DI111" i="3"/>
  <c r="DH111" i="3"/>
  <c r="DG111" i="3"/>
  <c r="DF111" i="3"/>
  <c r="DE111" i="3"/>
  <c r="DD111" i="3"/>
  <c r="DC111" i="3"/>
  <c r="DB111" i="3"/>
  <c r="DA111" i="3"/>
  <c r="CZ111" i="3"/>
  <c r="CY111" i="3"/>
  <c r="CX111" i="3"/>
  <c r="CW111" i="3"/>
  <c r="CV111" i="3"/>
  <c r="CU111" i="3"/>
  <c r="CT111" i="3"/>
  <c r="CS111" i="3"/>
  <c r="CR111" i="3"/>
  <c r="CQ111" i="3"/>
  <c r="CP111" i="3"/>
  <c r="CO111" i="3"/>
  <c r="CN111" i="3"/>
  <c r="CM111" i="3"/>
  <c r="CL111" i="3"/>
  <c r="CK111" i="3"/>
  <c r="CJ111" i="3"/>
  <c r="CI111" i="3"/>
  <c r="CH111" i="3"/>
  <c r="CG111" i="3"/>
  <c r="CF111" i="3"/>
  <c r="CE111" i="3"/>
  <c r="CD111" i="3"/>
  <c r="CC111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C26" i="3" s="1"/>
  <c r="GT110" i="3"/>
  <c r="GS110" i="3"/>
  <c r="GR110" i="3"/>
  <c r="GQ110" i="3"/>
  <c r="GP110" i="3"/>
  <c r="GO110" i="3"/>
  <c r="GN110" i="3"/>
  <c r="GM110" i="3"/>
  <c r="GL110" i="3"/>
  <c r="GK110" i="3"/>
  <c r="GJ110" i="3"/>
  <c r="GI110" i="3"/>
  <c r="GH110" i="3"/>
  <c r="GG110" i="3"/>
  <c r="GF110" i="3"/>
  <c r="GE110" i="3"/>
  <c r="GD110" i="3"/>
  <c r="GC110" i="3"/>
  <c r="GB110" i="3"/>
  <c r="GA110" i="3"/>
  <c r="FZ110" i="3"/>
  <c r="FY110" i="3"/>
  <c r="FX110" i="3"/>
  <c r="FW110" i="3"/>
  <c r="FV110" i="3"/>
  <c r="FU110" i="3"/>
  <c r="FT110" i="3"/>
  <c r="FS110" i="3"/>
  <c r="FR110" i="3"/>
  <c r="FQ110" i="3"/>
  <c r="FP110" i="3"/>
  <c r="FO110" i="3"/>
  <c r="FN110" i="3"/>
  <c r="FM110" i="3"/>
  <c r="FL110" i="3"/>
  <c r="FK110" i="3"/>
  <c r="FJ110" i="3"/>
  <c r="FI110" i="3"/>
  <c r="FH110" i="3"/>
  <c r="FG110" i="3"/>
  <c r="FF110" i="3"/>
  <c r="FE110" i="3"/>
  <c r="FD110" i="3"/>
  <c r="FC110" i="3"/>
  <c r="FB110" i="3"/>
  <c r="FA110" i="3"/>
  <c r="EZ110" i="3"/>
  <c r="EY110" i="3"/>
  <c r="EX110" i="3"/>
  <c r="EW110" i="3"/>
  <c r="EV110" i="3"/>
  <c r="EU110" i="3"/>
  <c r="ET110" i="3"/>
  <c r="ES110" i="3"/>
  <c r="ER110" i="3"/>
  <c r="EQ110" i="3"/>
  <c r="EP110" i="3"/>
  <c r="EO110" i="3"/>
  <c r="EN110" i="3"/>
  <c r="EM110" i="3"/>
  <c r="EL110" i="3"/>
  <c r="EK110" i="3"/>
  <c r="EJ110" i="3"/>
  <c r="EI110" i="3"/>
  <c r="EH110" i="3"/>
  <c r="EG110" i="3"/>
  <c r="EF110" i="3"/>
  <c r="EE110" i="3"/>
  <c r="ED110" i="3"/>
  <c r="EC110" i="3"/>
  <c r="EB110" i="3"/>
  <c r="EA110" i="3"/>
  <c r="DZ110" i="3"/>
  <c r="DY110" i="3"/>
  <c r="DX110" i="3"/>
  <c r="DW110" i="3"/>
  <c r="DV110" i="3"/>
  <c r="DU110" i="3"/>
  <c r="DT110" i="3"/>
  <c r="DS110" i="3"/>
  <c r="DR110" i="3"/>
  <c r="DQ110" i="3"/>
  <c r="DP110" i="3"/>
  <c r="DO110" i="3"/>
  <c r="DN110" i="3"/>
  <c r="DM110" i="3"/>
  <c r="DL110" i="3"/>
  <c r="DK110" i="3"/>
  <c r="DJ110" i="3"/>
  <c r="DI110" i="3"/>
  <c r="DH110" i="3"/>
  <c r="DG110" i="3"/>
  <c r="DF110" i="3"/>
  <c r="DE110" i="3"/>
  <c r="DD110" i="3"/>
  <c r="DC110" i="3"/>
  <c r="DB110" i="3"/>
  <c r="DA110" i="3"/>
  <c r="CZ110" i="3"/>
  <c r="CY110" i="3"/>
  <c r="CX110" i="3"/>
  <c r="CW110" i="3"/>
  <c r="CV110" i="3"/>
  <c r="CU110" i="3"/>
  <c r="CT110" i="3"/>
  <c r="CS110" i="3"/>
  <c r="CR110" i="3"/>
  <c r="CQ110" i="3"/>
  <c r="CP110" i="3"/>
  <c r="CO110" i="3"/>
  <c r="CN110" i="3"/>
  <c r="CM110" i="3"/>
  <c r="CL110" i="3"/>
  <c r="CK110" i="3"/>
  <c r="CJ110" i="3"/>
  <c r="CI110" i="3"/>
  <c r="CH110" i="3"/>
  <c r="CG110" i="3"/>
  <c r="CF110" i="3"/>
  <c r="CE110" i="3"/>
  <c r="CD110" i="3"/>
  <c r="CC110" i="3"/>
  <c r="CB110" i="3"/>
  <c r="CA110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D24" i="3" s="1"/>
  <c r="E109" i="3"/>
  <c r="D109" i="3"/>
  <c r="C109" i="3"/>
  <c r="C24" i="3" s="1"/>
  <c r="GT108" i="3"/>
  <c r="GS108" i="3"/>
  <c r="GR108" i="3"/>
  <c r="GQ108" i="3"/>
  <c r="GP108" i="3"/>
  <c r="GO108" i="3"/>
  <c r="GN108" i="3"/>
  <c r="GM108" i="3"/>
  <c r="GL108" i="3"/>
  <c r="GK108" i="3"/>
  <c r="GJ108" i="3"/>
  <c r="GI108" i="3"/>
  <c r="GH108" i="3"/>
  <c r="GG108" i="3"/>
  <c r="GF108" i="3"/>
  <c r="GE108" i="3"/>
  <c r="GD108" i="3"/>
  <c r="GC108" i="3"/>
  <c r="GB108" i="3"/>
  <c r="GA108" i="3"/>
  <c r="FZ108" i="3"/>
  <c r="FY108" i="3"/>
  <c r="FX108" i="3"/>
  <c r="FW108" i="3"/>
  <c r="FV108" i="3"/>
  <c r="FU108" i="3"/>
  <c r="FT108" i="3"/>
  <c r="FS108" i="3"/>
  <c r="FR108" i="3"/>
  <c r="FQ108" i="3"/>
  <c r="FP108" i="3"/>
  <c r="FO108" i="3"/>
  <c r="FN108" i="3"/>
  <c r="FM108" i="3"/>
  <c r="FL108" i="3"/>
  <c r="FK108" i="3"/>
  <c r="FJ108" i="3"/>
  <c r="FI108" i="3"/>
  <c r="FH108" i="3"/>
  <c r="FG108" i="3"/>
  <c r="FF108" i="3"/>
  <c r="FE108" i="3"/>
  <c r="FD108" i="3"/>
  <c r="FC108" i="3"/>
  <c r="FB108" i="3"/>
  <c r="FA108" i="3"/>
  <c r="EZ108" i="3"/>
  <c r="EY108" i="3"/>
  <c r="EX108" i="3"/>
  <c r="EW108" i="3"/>
  <c r="EV108" i="3"/>
  <c r="EU108" i="3"/>
  <c r="ET108" i="3"/>
  <c r="ES108" i="3"/>
  <c r="ER108" i="3"/>
  <c r="EQ108" i="3"/>
  <c r="EP108" i="3"/>
  <c r="EO108" i="3"/>
  <c r="EN108" i="3"/>
  <c r="EM108" i="3"/>
  <c r="EL108" i="3"/>
  <c r="EK108" i="3"/>
  <c r="EJ108" i="3"/>
  <c r="EI108" i="3"/>
  <c r="EH108" i="3"/>
  <c r="EG108" i="3"/>
  <c r="EF108" i="3"/>
  <c r="EE108" i="3"/>
  <c r="ED108" i="3"/>
  <c r="EC108" i="3"/>
  <c r="EB108" i="3"/>
  <c r="EA108" i="3"/>
  <c r="DZ108" i="3"/>
  <c r="DY108" i="3"/>
  <c r="DX108" i="3"/>
  <c r="DW108" i="3"/>
  <c r="DV108" i="3"/>
  <c r="DU108" i="3"/>
  <c r="DT108" i="3"/>
  <c r="DS108" i="3"/>
  <c r="DR108" i="3"/>
  <c r="DQ108" i="3"/>
  <c r="DP108" i="3"/>
  <c r="DO108" i="3"/>
  <c r="DN108" i="3"/>
  <c r="DM108" i="3"/>
  <c r="DL108" i="3"/>
  <c r="DK108" i="3"/>
  <c r="DJ108" i="3"/>
  <c r="DI108" i="3"/>
  <c r="DH108" i="3"/>
  <c r="DG108" i="3"/>
  <c r="DF108" i="3"/>
  <c r="DE108" i="3"/>
  <c r="DD108" i="3"/>
  <c r="DC108" i="3"/>
  <c r="DB108" i="3"/>
  <c r="DA108" i="3"/>
  <c r="CZ108" i="3"/>
  <c r="CY108" i="3"/>
  <c r="CX108" i="3"/>
  <c r="CW108" i="3"/>
  <c r="CV108" i="3"/>
  <c r="CU108" i="3"/>
  <c r="CT108" i="3"/>
  <c r="CS108" i="3"/>
  <c r="CR108" i="3"/>
  <c r="CQ108" i="3"/>
  <c r="CP108" i="3"/>
  <c r="CO108" i="3"/>
  <c r="CN108" i="3"/>
  <c r="CM108" i="3"/>
  <c r="CL108" i="3"/>
  <c r="CK108" i="3"/>
  <c r="CJ108" i="3"/>
  <c r="CI108" i="3"/>
  <c r="CH108" i="3"/>
  <c r="CG108" i="3"/>
  <c r="CF108" i="3"/>
  <c r="CE108" i="3"/>
  <c r="CD108" i="3"/>
  <c r="CC108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GT107" i="3"/>
  <c r="GS107" i="3"/>
  <c r="GR107" i="3"/>
  <c r="GQ107" i="3"/>
  <c r="GP107" i="3"/>
  <c r="GO107" i="3"/>
  <c r="GN107" i="3"/>
  <c r="GM107" i="3"/>
  <c r="GL107" i="3"/>
  <c r="GK107" i="3"/>
  <c r="GJ107" i="3"/>
  <c r="GI107" i="3"/>
  <c r="GH107" i="3"/>
  <c r="GG107" i="3"/>
  <c r="GF107" i="3"/>
  <c r="GE107" i="3"/>
  <c r="GD107" i="3"/>
  <c r="GC107" i="3"/>
  <c r="GB107" i="3"/>
  <c r="GA107" i="3"/>
  <c r="FZ107" i="3"/>
  <c r="FY107" i="3"/>
  <c r="FX107" i="3"/>
  <c r="FW107" i="3"/>
  <c r="FV107" i="3"/>
  <c r="FU107" i="3"/>
  <c r="FT107" i="3"/>
  <c r="FS107" i="3"/>
  <c r="FR107" i="3"/>
  <c r="FQ107" i="3"/>
  <c r="FP107" i="3"/>
  <c r="FO107" i="3"/>
  <c r="FN107" i="3"/>
  <c r="FM107" i="3"/>
  <c r="FL107" i="3"/>
  <c r="FK107" i="3"/>
  <c r="FJ107" i="3"/>
  <c r="FI107" i="3"/>
  <c r="FH107" i="3"/>
  <c r="FG107" i="3"/>
  <c r="FF107" i="3"/>
  <c r="FE107" i="3"/>
  <c r="FD107" i="3"/>
  <c r="FC107" i="3"/>
  <c r="FB107" i="3"/>
  <c r="FA107" i="3"/>
  <c r="EZ107" i="3"/>
  <c r="EY107" i="3"/>
  <c r="EX107" i="3"/>
  <c r="EW107" i="3"/>
  <c r="EV107" i="3"/>
  <c r="EU107" i="3"/>
  <c r="ET107" i="3"/>
  <c r="ES107" i="3"/>
  <c r="ER107" i="3"/>
  <c r="EQ107" i="3"/>
  <c r="EP107" i="3"/>
  <c r="EO107" i="3"/>
  <c r="EN107" i="3"/>
  <c r="EM107" i="3"/>
  <c r="EL107" i="3"/>
  <c r="EK107" i="3"/>
  <c r="EJ107" i="3"/>
  <c r="EI107" i="3"/>
  <c r="EH107" i="3"/>
  <c r="EG107" i="3"/>
  <c r="EF107" i="3"/>
  <c r="EE107" i="3"/>
  <c r="ED107" i="3"/>
  <c r="EC107" i="3"/>
  <c r="EB107" i="3"/>
  <c r="EA107" i="3"/>
  <c r="DZ107" i="3"/>
  <c r="DY107" i="3"/>
  <c r="DX107" i="3"/>
  <c r="DW107" i="3"/>
  <c r="DV107" i="3"/>
  <c r="DU107" i="3"/>
  <c r="DT107" i="3"/>
  <c r="DS107" i="3"/>
  <c r="DR107" i="3"/>
  <c r="DQ107" i="3"/>
  <c r="DP107" i="3"/>
  <c r="DO107" i="3"/>
  <c r="DN107" i="3"/>
  <c r="DM107" i="3"/>
  <c r="DL107" i="3"/>
  <c r="DK107" i="3"/>
  <c r="DJ107" i="3"/>
  <c r="DI107" i="3"/>
  <c r="DH107" i="3"/>
  <c r="DG107" i="3"/>
  <c r="DF107" i="3"/>
  <c r="DE107" i="3"/>
  <c r="DD107" i="3"/>
  <c r="DC107" i="3"/>
  <c r="DB107" i="3"/>
  <c r="DA107" i="3"/>
  <c r="CZ107" i="3"/>
  <c r="CY107" i="3"/>
  <c r="CX107" i="3"/>
  <c r="CW107" i="3"/>
  <c r="CV107" i="3"/>
  <c r="CU107" i="3"/>
  <c r="CT107" i="3"/>
  <c r="CS107" i="3"/>
  <c r="CR107" i="3"/>
  <c r="CQ107" i="3"/>
  <c r="CP107" i="3"/>
  <c r="CO107" i="3"/>
  <c r="CN107" i="3"/>
  <c r="CM107" i="3"/>
  <c r="CL107" i="3"/>
  <c r="CK107" i="3"/>
  <c r="CJ107" i="3"/>
  <c r="CI107" i="3"/>
  <c r="CH107" i="3"/>
  <c r="CG107" i="3"/>
  <c r="CF107" i="3"/>
  <c r="CE107" i="3"/>
  <c r="CD107" i="3"/>
  <c r="CC107" i="3"/>
  <c r="CB107" i="3"/>
  <c r="CA107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D22" i="3" s="1"/>
  <c r="E107" i="3"/>
  <c r="D107" i="3"/>
  <c r="C107" i="3"/>
  <c r="C22" i="3" s="1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GT105" i="3"/>
  <c r="GS105" i="3"/>
  <c r="GR105" i="3"/>
  <c r="GQ105" i="3"/>
  <c r="GP105" i="3"/>
  <c r="GO105" i="3"/>
  <c r="GN105" i="3"/>
  <c r="GM105" i="3"/>
  <c r="GL105" i="3"/>
  <c r="GK105" i="3"/>
  <c r="GJ105" i="3"/>
  <c r="GI105" i="3"/>
  <c r="GH105" i="3"/>
  <c r="GG105" i="3"/>
  <c r="GF105" i="3"/>
  <c r="GE105" i="3"/>
  <c r="GD105" i="3"/>
  <c r="GC105" i="3"/>
  <c r="GB105" i="3"/>
  <c r="GA105" i="3"/>
  <c r="FZ105" i="3"/>
  <c r="FY105" i="3"/>
  <c r="FX105" i="3"/>
  <c r="FW105" i="3"/>
  <c r="FV105" i="3"/>
  <c r="FU105" i="3"/>
  <c r="FT105" i="3"/>
  <c r="FS105" i="3"/>
  <c r="FR105" i="3"/>
  <c r="FQ105" i="3"/>
  <c r="FP105" i="3"/>
  <c r="FO105" i="3"/>
  <c r="FN105" i="3"/>
  <c r="FM105" i="3"/>
  <c r="FL105" i="3"/>
  <c r="FK105" i="3"/>
  <c r="FJ105" i="3"/>
  <c r="FI105" i="3"/>
  <c r="FH105" i="3"/>
  <c r="FG105" i="3"/>
  <c r="FF105" i="3"/>
  <c r="FE105" i="3"/>
  <c r="FD105" i="3"/>
  <c r="FC105" i="3"/>
  <c r="FB105" i="3"/>
  <c r="FA105" i="3"/>
  <c r="EZ105" i="3"/>
  <c r="EY105" i="3"/>
  <c r="EX105" i="3"/>
  <c r="EW105" i="3"/>
  <c r="EV105" i="3"/>
  <c r="EU105" i="3"/>
  <c r="ET105" i="3"/>
  <c r="ES105" i="3"/>
  <c r="ER105" i="3"/>
  <c r="EQ105" i="3"/>
  <c r="EP105" i="3"/>
  <c r="EO105" i="3"/>
  <c r="EN105" i="3"/>
  <c r="EM105" i="3"/>
  <c r="EL105" i="3"/>
  <c r="EK105" i="3"/>
  <c r="EJ105" i="3"/>
  <c r="EI105" i="3"/>
  <c r="EH105" i="3"/>
  <c r="EG105" i="3"/>
  <c r="EF105" i="3"/>
  <c r="EE105" i="3"/>
  <c r="ED105" i="3"/>
  <c r="EC105" i="3"/>
  <c r="EB105" i="3"/>
  <c r="EA105" i="3"/>
  <c r="DZ105" i="3"/>
  <c r="DY105" i="3"/>
  <c r="DX105" i="3"/>
  <c r="DW105" i="3"/>
  <c r="DV105" i="3"/>
  <c r="DU105" i="3"/>
  <c r="DT105" i="3"/>
  <c r="DS105" i="3"/>
  <c r="DR105" i="3"/>
  <c r="DQ105" i="3"/>
  <c r="DP105" i="3"/>
  <c r="DO105" i="3"/>
  <c r="DN105" i="3"/>
  <c r="DM105" i="3"/>
  <c r="DL105" i="3"/>
  <c r="DK105" i="3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T105" i="3"/>
  <c r="CS105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D20" i="3" s="1"/>
  <c r="E105" i="3"/>
  <c r="D105" i="3"/>
  <c r="C105" i="3"/>
  <c r="C20" i="3" s="1"/>
  <c r="GT104" i="3"/>
  <c r="GS104" i="3"/>
  <c r="GR104" i="3"/>
  <c r="GQ104" i="3"/>
  <c r="GP104" i="3"/>
  <c r="GO104" i="3"/>
  <c r="GN104" i="3"/>
  <c r="GM104" i="3"/>
  <c r="GL104" i="3"/>
  <c r="GK104" i="3"/>
  <c r="GJ104" i="3"/>
  <c r="GI104" i="3"/>
  <c r="GH104" i="3"/>
  <c r="GG104" i="3"/>
  <c r="GF104" i="3"/>
  <c r="GE104" i="3"/>
  <c r="GD104" i="3"/>
  <c r="GC104" i="3"/>
  <c r="GB104" i="3"/>
  <c r="GA104" i="3"/>
  <c r="FZ104" i="3"/>
  <c r="FY104" i="3"/>
  <c r="FX104" i="3"/>
  <c r="FW104" i="3"/>
  <c r="FV104" i="3"/>
  <c r="FU104" i="3"/>
  <c r="FT104" i="3"/>
  <c r="FS104" i="3"/>
  <c r="FR104" i="3"/>
  <c r="FQ104" i="3"/>
  <c r="FP104" i="3"/>
  <c r="FO104" i="3"/>
  <c r="FN104" i="3"/>
  <c r="FM104" i="3"/>
  <c r="FL104" i="3"/>
  <c r="FK104" i="3"/>
  <c r="FJ104" i="3"/>
  <c r="FI104" i="3"/>
  <c r="FH104" i="3"/>
  <c r="FG104" i="3"/>
  <c r="FF104" i="3"/>
  <c r="FE104" i="3"/>
  <c r="FD104" i="3"/>
  <c r="FC104" i="3"/>
  <c r="FB104" i="3"/>
  <c r="FA104" i="3"/>
  <c r="EZ104" i="3"/>
  <c r="EY104" i="3"/>
  <c r="EX104" i="3"/>
  <c r="EW104" i="3"/>
  <c r="EV104" i="3"/>
  <c r="EU104" i="3"/>
  <c r="ET104" i="3"/>
  <c r="ES104" i="3"/>
  <c r="ER104" i="3"/>
  <c r="EQ104" i="3"/>
  <c r="EP104" i="3"/>
  <c r="EO104" i="3"/>
  <c r="EN104" i="3"/>
  <c r="EM104" i="3"/>
  <c r="EL104" i="3"/>
  <c r="EK104" i="3"/>
  <c r="EJ104" i="3"/>
  <c r="EI104" i="3"/>
  <c r="EH104" i="3"/>
  <c r="EG104" i="3"/>
  <c r="EF104" i="3"/>
  <c r="EE104" i="3"/>
  <c r="ED104" i="3"/>
  <c r="EC104" i="3"/>
  <c r="EB104" i="3"/>
  <c r="EA104" i="3"/>
  <c r="DZ104" i="3"/>
  <c r="DY104" i="3"/>
  <c r="DX104" i="3"/>
  <c r="DW104" i="3"/>
  <c r="DV104" i="3"/>
  <c r="DU104" i="3"/>
  <c r="DT104" i="3"/>
  <c r="DS104" i="3"/>
  <c r="DR104" i="3"/>
  <c r="DQ104" i="3"/>
  <c r="DP104" i="3"/>
  <c r="DO104" i="3"/>
  <c r="DN104" i="3"/>
  <c r="DM104" i="3"/>
  <c r="DL104" i="3"/>
  <c r="DK104" i="3"/>
  <c r="DJ104" i="3"/>
  <c r="DI104" i="3"/>
  <c r="DH104" i="3"/>
  <c r="DG104" i="3"/>
  <c r="DF104" i="3"/>
  <c r="DE104" i="3"/>
  <c r="DD104" i="3"/>
  <c r="DC104" i="3"/>
  <c r="DB104" i="3"/>
  <c r="DA104" i="3"/>
  <c r="CZ104" i="3"/>
  <c r="CY104" i="3"/>
  <c r="CX104" i="3"/>
  <c r="CW104" i="3"/>
  <c r="CV104" i="3"/>
  <c r="CU104" i="3"/>
  <c r="CT104" i="3"/>
  <c r="CS104" i="3"/>
  <c r="CR104" i="3"/>
  <c r="CQ104" i="3"/>
  <c r="CP104" i="3"/>
  <c r="CO104" i="3"/>
  <c r="CN104" i="3"/>
  <c r="CM104" i="3"/>
  <c r="CL104" i="3"/>
  <c r="CK104" i="3"/>
  <c r="CJ104" i="3"/>
  <c r="CI104" i="3"/>
  <c r="CH104" i="3"/>
  <c r="CG104" i="3"/>
  <c r="CF104" i="3"/>
  <c r="CE104" i="3"/>
  <c r="CD104" i="3"/>
  <c r="CC104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C19" i="3" s="1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C18" i="3" s="1"/>
  <c r="GT102" i="3"/>
  <c r="GS102" i="3"/>
  <c r="GR102" i="3"/>
  <c r="GQ102" i="3"/>
  <c r="GP102" i="3"/>
  <c r="GO102" i="3"/>
  <c r="GN102" i="3"/>
  <c r="GM102" i="3"/>
  <c r="GL102" i="3"/>
  <c r="GK102" i="3"/>
  <c r="GJ102" i="3"/>
  <c r="GI102" i="3"/>
  <c r="GH102" i="3"/>
  <c r="GG102" i="3"/>
  <c r="GF102" i="3"/>
  <c r="GE102" i="3"/>
  <c r="GD102" i="3"/>
  <c r="GC102" i="3"/>
  <c r="GB102" i="3"/>
  <c r="GA102" i="3"/>
  <c r="FZ102" i="3"/>
  <c r="FY102" i="3"/>
  <c r="FX102" i="3"/>
  <c r="FW102" i="3"/>
  <c r="FV102" i="3"/>
  <c r="FU102" i="3"/>
  <c r="FT102" i="3"/>
  <c r="FS102" i="3"/>
  <c r="FR102" i="3"/>
  <c r="FQ102" i="3"/>
  <c r="FP102" i="3"/>
  <c r="FO102" i="3"/>
  <c r="FN102" i="3"/>
  <c r="FM102" i="3"/>
  <c r="FL102" i="3"/>
  <c r="FK102" i="3"/>
  <c r="FJ102" i="3"/>
  <c r="FI102" i="3"/>
  <c r="FH102" i="3"/>
  <c r="FG102" i="3"/>
  <c r="FF102" i="3"/>
  <c r="FE102" i="3"/>
  <c r="FD102" i="3"/>
  <c r="FC102" i="3"/>
  <c r="FB102" i="3"/>
  <c r="FA102" i="3"/>
  <c r="EZ102" i="3"/>
  <c r="EY102" i="3"/>
  <c r="EX102" i="3"/>
  <c r="EW102" i="3"/>
  <c r="EV102" i="3"/>
  <c r="EU102" i="3"/>
  <c r="ET102" i="3"/>
  <c r="ES102" i="3"/>
  <c r="ER102" i="3"/>
  <c r="EQ102" i="3"/>
  <c r="EP102" i="3"/>
  <c r="EO102" i="3"/>
  <c r="EN102" i="3"/>
  <c r="EM102" i="3"/>
  <c r="EL102" i="3"/>
  <c r="EK102" i="3"/>
  <c r="EJ102" i="3"/>
  <c r="EI102" i="3"/>
  <c r="EH102" i="3"/>
  <c r="EG102" i="3"/>
  <c r="EF102" i="3"/>
  <c r="EE102" i="3"/>
  <c r="ED102" i="3"/>
  <c r="EC102" i="3"/>
  <c r="EB102" i="3"/>
  <c r="EA102" i="3"/>
  <c r="DZ102" i="3"/>
  <c r="DY102" i="3"/>
  <c r="DX102" i="3"/>
  <c r="DW102" i="3"/>
  <c r="DV102" i="3"/>
  <c r="DU102" i="3"/>
  <c r="DT102" i="3"/>
  <c r="DS102" i="3"/>
  <c r="DR102" i="3"/>
  <c r="DQ102" i="3"/>
  <c r="DP102" i="3"/>
  <c r="DO102" i="3"/>
  <c r="DN102" i="3"/>
  <c r="DM102" i="3"/>
  <c r="DL102" i="3"/>
  <c r="DK102" i="3"/>
  <c r="DJ102" i="3"/>
  <c r="DI102" i="3"/>
  <c r="DH102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C17" i="3" s="1"/>
  <c r="GT101" i="3"/>
  <c r="GS101" i="3"/>
  <c r="GR101" i="3"/>
  <c r="GQ101" i="3"/>
  <c r="GP101" i="3"/>
  <c r="GO101" i="3"/>
  <c r="GN101" i="3"/>
  <c r="GM101" i="3"/>
  <c r="GL101" i="3"/>
  <c r="GK101" i="3"/>
  <c r="GJ101" i="3"/>
  <c r="GI101" i="3"/>
  <c r="GH101" i="3"/>
  <c r="GG101" i="3"/>
  <c r="GF101" i="3"/>
  <c r="GE101" i="3"/>
  <c r="GD101" i="3"/>
  <c r="GC101" i="3"/>
  <c r="GB101" i="3"/>
  <c r="GA101" i="3"/>
  <c r="FZ101" i="3"/>
  <c r="FY101" i="3"/>
  <c r="FX101" i="3"/>
  <c r="FW101" i="3"/>
  <c r="FV101" i="3"/>
  <c r="FU101" i="3"/>
  <c r="FT101" i="3"/>
  <c r="FS101" i="3"/>
  <c r="FR101" i="3"/>
  <c r="FQ101" i="3"/>
  <c r="FP101" i="3"/>
  <c r="FO101" i="3"/>
  <c r="FN101" i="3"/>
  <c r="FM101" i="3"/>
  <c r="FL101" i="3"/>
  <c r="FK101" i="3"/>
  <c r="FJ101" i="3"/>
  <c r="FI101" i="3"/>
  <c r="FH101" i="3"/>
  <c r="FG101" i="3"/>
  <c r="FF101" i="3"/>
  <c r="FE101" i="3"/>
  <c r="FD101" i="3"/>
  <c r="FC101" i="3"/>
  <c r="FB101" i="3"/>
  <c r="FA101" i="3"/>
  <c r="EZ101" i="3"/>
  <c r="EY101" i="3"/>
  <c r="EX101" i="3"/>
  <c r="EW101" i="3"/>
  <c r="EV101" i="3"/>
  <c r="EU101" i="3"/>
  <c r="ET101" i="3"/>
  <c r="ES101" i="3"/>
  <c r="ER101" i="3"/>
  <c r="EQ101" i="3"/>
  <c r="EP101" i="3"/>
  <c r="EO101" i="3"/>
  <c r="EN101" i="3"/>
  <c r="EM101" i="3"/>
  <c r="EL101" i="3"/>
  <c r="EK101" i="3"/>
  <c r="EJ101" i="3"/>
  <c r="EI101" i="3"/>
  <c r="EH101" i="3"/>
  <c r="EG101" i="3"/>
  <c r="EF101" i="3"/>
  <c r="EE101" i="3"/>
  <c r="ED101" i="3"/>
  <c r="EC101" i="3"/>
  <c r="EB101" i="3"/>
  <c r="EA101" i="3"/>
  <c r="DZ101" i="3"/>
  <c r="DY101" i="3"/>
  <c r="DX101" i="3"/>
  <c r="DW101" i="3"/>
  <c r="DV101" i="3"/>
  <c r="DU101" i="3"/>
  <c r="DT101" i="3"/>
  <c r="DS101" i="3"/>
  <c r="DR101" i="3"/>
  <c r="DQ101" i="3"/>
  <c r="DP101" i="3"/>
  <c r="DO101" i="3"/>
  <c r="DN101" i="3"/>
  <c r="DM101" i="3"/>
  <c r="DL101" i="3"/>
  <c r="DK101" i="3"/>
  <c r="DJ101" i="3"/>
  <c r="DI101" i="3"/>
  <c r="DH101" i="3"/>
  <c r="DG101" i="3"/>
  <c r="DF101" i="3"/>
  <c r="DE101" i="3"/>
  <c r="DD101" i="3"/>
  <c r="DC101" i="3"/>
  <c r="DB101" i="3"/>
  <c r="DA101" i="3"/>
  <c r="CZ101" i="3"/>
  <c r="CY101" i="3"/>
  <c r="CX101" i="3"/>
  <c r="CW101" i="3"/>
  <c r="CV101" i="3"/>
  <c r="CU101" i="3"/>
  <c r="CT101" i="3"/>
  <c r="CS101" i="3"/>
  <c r="CR101" i="3"/>
  <c r="CQ101" i="3"/>
  <c r="CP101" i="3"/>
  <c r="CO101" i="3"/>
  <c r="CN101" i="3"/>
  <c r="CM101" i="3"/>
  <c r="CL101" i="3"/>
  <c r="CK101" i="3"/>
  <c r="CJ101" i="3"/>
  <c r="CI101" i="3"/>
  <c r="CH101" i="3"/>
  <c r="CG101" i="3"/>
  <c r="CF101" i="3"/>
  <c r="CE101" i="3"/>
  <c r="CD101" i="3"/>
  <c r="CC101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D16" i="3" s="1"/>
  <c r="E101" i="3"/>
  <c r="D101" i="3"/>
  <c r="C101" i="3"/>
  <c r="C16" i="3" s="1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GT99" i="3"/>
  <c r="GS99" i="3"/>
  <c r="GR99" i="3"/>
  <c r="GQ99" i="3"/>
  <c r="GP99" i="3"/>
  <c r="GO99" i="3"/>
  <c r="GN99" i="3"/>
  <c r="GM99" i="3"/>
  <c r="GL99" i="3"/>
  <c r="GK99" i="3"/>
  <c r="GJ99" i="3"/>
  <c r="GI99" i="3"/>
  <c r="GH99" i="3"/>
  <c r="GG99" i="3"/>
  <c r="GF99" i="3"/>
  <c r="GE99" i="3"/>
  <c r="GD99" i="3"/>
  <c r="GC99" i="3"/>
  <c r="GB99" i="3"/>
  <c r="GA99" i="3"/>
  <c r="FZ99" i="3"/>
  <c r="FY99" i="3"/>
  <c r="FX99" i="3"/>
  <c r="FW99" i="3"/>
  <c r="FV99" i="3"/>
  <c r="FU99" i="3"/>
  <c r="FT99" i="3"/>
  <c r="FS99" i="3"/>
  <c r="FR99" i="3"/>
  <c r="FQ99" i="3"/>
  <c r="FP99" i="3"/>
  <c r="FO99" i="3"/>
  <c r="FN99" i="3"/>
  <c r="FM99" i="3"/>
  <c r="FL99" i="3"/>
  <c r="FK99" i="3"/>
  <c r="FJ99" i="3"/>
  <c r="FI99" i="3"/>
  <c r="FH99" i="3"/>
  <c r="FG99" i="3"/>
  <c r="FF99" i="3"/>
  <c r="FE99" i="3"/>
  <c r="FD99" i="3"/>
  <c r="FC99" i="3"/>
  <c r="FB99" i="3"/>
  <c r="FA99" i="3"/>
  <c r="EZ99" i="3"/>
  <c r="EY99" i="3"/>
  <c r="EX99" i="3"/>
  <c r="EW99" i="3"/>
  <c r="EV99" i="3"/>
  <c r="EU99" i="3"/>
  <c r="ET99" i="3"/>
  <c r="ES99" i="3"/>
  <c r="ER99" i="3"/>
  <c r="EQ99" i="3"/>
  <c r="EP99" i="3"/>
  <c r="EO99" i="3"/>
  <c r="EN99" i="3"/>
  <c r="EM99" i="3"/>
  <c r="EL99" i="3"/>
  <c r="EK99" i="3"/>
  <c r="EJ99" i="3"/>
  <c r="EI99" i="3"/>
  <c r="EH99" i="3"/>
  <c r="EG99" i="3"/>
  <c r="EF99" i="3"/>
  <c r="EE99" i="3"/>
  <c r="ED99" i="3"/>
  <c r="EC99" i="3"/>
  <c r="EB99" i="3"/>
  <c r="EA99" i="3"/>
  <c r="DZ99" i="3"/>
  <c r="DY99" i="3"/>
  <c r="DX99" i="3"/>
  <c r="DW99" i="3"/>
  <c r="DV99" i="3"/>
  <c r="DU99" i="3"/>
  <c r="DT99" i="3"/>
  <c r="DS99" i="3"/>
  <c r="DR99" i="3"/>
  <c r="DQ99" i="3"/>
  <c r="DP99" i="3"/>
  <c r="DO99" i="3"/>
  <c r="DN99" i="3"/>
  <c r="DM99" i="3"/>
  <c r="DL99" i="3"/>
  <c r="DK99" i="3"/>
  <c r="DJ99" i="3"/>
  <c r="DI99" i="3"/>
  <c r="DH99" i="3"/>
  <c r="DG99" i="3"/>
  <c r="DF99" i="3"/>
  <c r="DE99" i="3"/>
  <c r="DD99" i="3"/>
  <c r="DC99" i="3"/>
  <c r="DB99" i="3"/>
  <c r="DA99" i="3"/>
  <c r="CZ99" i="3"/>
  <c r="CY99" i="3"/>
  <c r="CX99" i="3"/>
  <c r="CW99" i="3"/>
  <c r="CV99" i="3"/>
  <c r="CU99" i="3"/>
  <c r="CT99" i="3"/>
  <c r="CS99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D14" i="3" s="1"/>
  <c r="E99" i="3"/>
  <c r="D99" i="3"/>
  <c r="C99" i="3"/>
  <c r="C14" i="3" s="1"/>
  <c r="GT98" i="3"/>
  <c r="GS98" i="3"/>
  <c r="GR98" i="3"/>
  <c r="GQ98" i="3"/>
  <c r="GP98" i="3"/>
  <c r="GO98" i="3"/>
  <c r="GN98" i="3"/>
  <c r="GM98" i="3"/>
  <c r="GL98" i="3"/>
  <c r="GK98" i="3"/>
  <c r="GJ98" i="3"/>
  <c r="GI98" i="3"/>
  <c r="GH98" i="3"/>
  <c r="GG98" i="3"/>
  <c r="GF98" i="3"/>
  <c r="GE98" i="3"/>
  <c r="GD98" i="3"/>
  <c r="GC98" i="3"/>
  <c r="GB98" i="3"/>
  <c r="GA98" i="3"/>
  <c r="FZ98" i="3"/>
  <c r="FY98" i="3"/>
  <c r="FX98" i="3"/>
  <c r="FW98" i="3"/>
  <c r="FV98" i="3"/>
  <c r="FU98" i="3"/>
  <c r="FT98" i="3"/>
  <c r="FS98" i="3"/>
  <c r="FR98" i="3"/>
  <c r="FQ98" i="3"/>
  <c r="FP98" i="3"/>
  <c r="FO98" i="3"/>
  <c r="FN98" i="3"/>
  <c r="FM98" i="3"/>
  <c r="FL98" i="3"/>
  <c r="FK98" i="3"/>
  <c r="FJ98" i="3"/>
  <c r="FI98" i="3"/>
  <c r="FH98" i="3"/>
  <c r="FG98" i="3"/>
  <c r="FF98" i="3"/>
  <c r="FE98" i="3"/>
  <c r="FD98" i="3"/>
  <c r="FC98" i="3"/>
  <c r="FB98" i="3"/>
  <c r="FA98" i="3"/>
  <c r="EZ98" i="3"/>
  <c r="EY98" i="3"/>
  <c r="EX98" i="3"/>
  <c r="EW98" i="3"/>
  <c r="EV98" i="3"/>
  <c r="EU98" i="3"/>
  <c r="ET98" i="3"/>
  <c r="ES98" i="3"/>
  <c r="ER98" i="3"/>
  <c r="EQ98" i="3"/>
  <c r="EP98" i="3"/>
  <c r="EO98" i="3"/>
  <c r="EN98" i="3"/>
  <c r="EM98" i="3"/>
  <c r="EL98" i="3"/>
  <c r="EK98" i="3"/>
  <c r="EJ98" i="3"/>
  <c r="EI98" i="3"/>
  <c r="EH98" i="3"/>
  <c r="EG98" i="3"/>
  <c r="EF98" i="3"/>
  <c r="EE98" i="3"/>
  <c r="ED98" i="3"/>
  <c r="EC98" i="3"/>
  <c r="EB98" i="3"/>
  <c r="EA98" i="3"/>
  <c r="DZ98" i="3"/>
  <c r="DY98" i="3"/>
  <c r="DX98" i="3"/>
  <c r="DW98" i="3"/>
  <c r="DV98" i="3"/>
  <c r="DU98" i="3"/>
  <c r="DT98" i="3"/>
  <c r="DS98" i="3"/>
  <c r="DR98" i="3"/>
  <c r="DQ98" i="3"/>
  <c r="DP98" i="3"/>
  <c r="DO98" i="3"/>
  <c r="DN98" i="3"/>
  <c r="DM98" i="3"/>
  <c r="DL98" i="3"/>
  <c r="DK98" i="3"/>
  <c r="DJ98" i="3"/>
  <c r="DI98" i="3"/>
  <c r="DH98" i="3"/>
  <c r="DG98" i="3"/>
  <c r="DF98" i="3"/>
  <c r="DE98" i="3"/>
  <c r="DD98" i="3"/>
  <c r="DC98" i="3"/>
  <c r="DB98" i="3"/>
  <c r="DA98" i="3"/>
  <c r="CZ98" i="3"/>
  <c r="CY98" i="3"/>
  <c r="CX98" i="3"/>
  <c r="CW98" i="3"/>
  <c r="CV98" i="3"/>
  <c r="CU98" i="3"/>
  <c r="CT98" i="3"/>
  <c r="CS98" i="3"/>
  <c r="CR98" i="3"/>
  <c r="CQ98" i="3"/>
  <c r="CP98" i="3"/>
  <c r="CO98" i="3"/>
  <c r="CN98" i="3"/>
  <c r="CM98" i="3"/>
  <c r="CL98" i="3"/>
  <c r="CK98" i="3"/>
  <c r="CJ98" i="3"/>
  <c r="CI98" i="3"/>
  <c r="CH98" i="3"/>
  <c r="CG98" i="3"/>
  <c r="CF98" i="3"/>
  <c r="CE98" i="3"/>
  <c r="CD98" i="3"/>
  <c r="CC98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D13" i="3" s="1"/>
  <c r="E98" i="3"/>
  <c r="D98" i="3"/>
  <c r="C98" i="3"/>
  <c r="C13" i="3" s="1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D12" i="3" s="1"/>
  <c r="E97" i="3"/>
  <c r="D97" i="3"/>
  <c r="C97" i="3"/>
  <c r="C12" i="3" s="1"/>
  <c r="GT96" i="3"/>
  <c r="GS96" i="3"/>
  <c r="GR96" i="3"/>
  <c r="GQ96" i="3"/>
  <c r="GP96" i="3"/>
  <c r="GO96" i="3"/>
  <c r="GN96" i="3"/>
  <c r="GM96" i="3"/>
  <c r="GL96" i="3"/>
  <c r="GK96" i="3"/>
  <c r="GJ96" i="3"/>
  <c r="GI96" i="3"/>
  <c r="GH96" i="3"/>
  <c r="GG96" i="3"/>
  <c r="GF96" i="3"/>
  <c r="GE96" i="3"/>
  <c r="GD96" i="3"/>
  <c r="GC96" i="3"/>
  <c r="GB96" i="3"/>
  <c r="GA96" i="3"/>
  <c r="FZ96" i="3"/>
  <c r="FY96" i="3"/>
  <c r="FX96" i="3"/>
  <c r="FW96" i="3"/>
  <c r="FV96" i="3"/>
  <c r="FU96" i="3"/>
  <c r="FT96" i="3"/>
  <c r="FS96" i="3"/>
  <c r="FR96" i="3"/>
  <c r="FQ96" i="3"/>
  <c r="FP96" i="3"/>
  <c r="FO96" i="3"/>
  <c r="FN96" i="3"/>
  <c r="FM96" i="3"/>
  <c r="FL96" i="3"/>
  <c r="FK96" i="3"/>
  <c r="FJ96" i="3"/>
  <c r="FI96" i="3"/>
  <c r="FH96" i="3"/>
  <c r="FG96" i="3"/>
  <c r="FF96" i="3"/>
  <c r="FE96" i="3"/>
  <c r="FD96" i="3"/>
  <c r="FC96" i="3"/>
  <c r="FB96" i="3"/>
  <c r="FA96" i="3"/>
  <c r="EZ96" i="3"/>
  <c r="EY96" i="3"/>
  <c r="EX96" i="3"/>
  <c r="EW96" i="3"/>
  <c r="EV96" i="3"/>
  <c r="EU96" i="3"/>
  <c r="ET96" i="3"/>
  <c r="ES96" i="3"/>
  <c r="ER96" i="3"/>
  <c r="EQ96" i="3"/>
  <c r="EP96" i="3"/>
  <c r="EO96" i="3"/>
  <c r="EN96" i="3"/>
  <c r="EM96" i="3"/>
  <c r="EL96" i="3"/>
  <c r="EK96" i="3"/>
  <c r="EJ96" i="3"/>
  <c r="EI96" i="3"/>
  <c r="EH96" i="3"/>
  <c r="EG96" i="3"/>
  <c r="EF96" i="3"/>
  <c r="EE96" i="3"/>
  <c r="ED96" i="3"/>
  <c r="EC96" i="3"/>
  <c r="EB96" i="3"/>
  <c r="EA96" i="3"/>
  <c r="DZ96" i="3"/>
  <c r="DY96" i="3"/>
  <c r="DX96" i="3"/>
  <c r="DW96" i="3"/>
  <c r="DV96" i="3"/>
  <c r="DU96" i="3"/>
  <c r="DT96" i="3"/>
  <c r="DS96" i="3"/>
  <c r="DR96" i="3"/>
  <c r="DQ96" i="3"/>
  <c r="DP96" i="3"/>
  <c r="DO96" i="3"/>
  <c r="DN96" i="3"/>
  <c r="DM96" i="3"/>
  <c r="DL96" i="3"/>
  <c r="DK96" i="3"/>
  <c r="DJ96" i="3"/>
  <c r="DI96" i="3"/>
  <c r="DH96" i="3"/>
  <c r="DG96" i="3"/>
  <c r="DF96" i="3"/>
  <c r="DE96" i="3"/>
  <c r="DD96" i="3"/>
  <c r="DC96" i="3"/>
  <c r="DB96" i="3"/>
  <c r="DA96" i="3"/>
  <c r="CZ96" i="3"/>
  <c r="CY96" i="3"/>
  <c r="CX96" i="3"/>
  <c r="CW96" i="3"/>
  <c r="CV96" i="3"/>
  <c r="CU96" i="3"/>
  <c r="CT96" i="3"/>
  <c r="CS96" i="3"/>
  <c r="CR96" i="3"/>
  <c r="CQ96" i="3"/>
  <c r="CP96" i="3"/>
  <c r="CO96" i="3"/>
  <c r="CN96" i="3"/>
  <c r="CM96" i="3"/>
  <c r="CL96" i="3"/>
  <c r="CK96" i="3"/>
  <c r="CJ96" i="3"/>
  <c r="CI96" i="3"/>
  <c r="CH96" i="3"/>
  <c r="CG96" i="3"/>
  <c r="CF96" i="3"/>
  <c r="CE96" i="3"/>
  <c r="CD96" i="3"/>
  <c r="CC96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C11" i="3" s="1"/>
  <c r="GT95" i="3"/>
  <c r="GS95" i="3"/>
  <c r="GR95" i="3"/>
  <c r="GQ95" i="3"/>
  <c r="GP95" i="3"/>
  <c r="GO95" i="3"/>
  <c r="GN95" i="3"/>
  <c r="GM95" i="3"/>
  <c r="GL95" i="3"/>
  <c r="GK95" i="3"/>
  <c r="GJ95" i="3"/>
  <c r="GI95" i="3"/>
  <c r="GH95" i="3"/>
  <c r="GG95" i="3"/>
  <c r="GF95" i="3"/>
  <c r="GE95" i="3"/>
  <c r="GD95" i="3"/>
  <c r="GC95" i="3"/>
  <c r="GB95" i="3"/>
  <c r="GA95" i="3"/>
  <c r="FZ95" i="3"/>
  <c r="FY95" i="3"/>
  <c r="FX95" i="3"/>
  <c r="FW95" i="3"/>
  <c r="FV95" i="3"/>
  <c r="FU95" i="3"/>
  <c r="FT95" i="3"/>
  <c r="FS95" i="3"/>
  <c r="FR95" i="3"/>
  <c r="FQ95" i="3"/>
  <c r="FP95" i="3"/>
  <c r="FO95" i="3"/>
  <c r="FN95" i="3"/>
  <c r="FM95" i="3"/>
  <c r="FL95" i="3"/>
  <c r="FK95" i="3"/>
  <c r="FJ95" i="3"/>
  <c r="FI95" i="3"/>
  <c r="FH95" i="3"/>
  <c r="FG95" i="3"/>
  <c r="FF95" i="3"/>
  <c r="FE95" i="3"/>
  <c r="FD95" i="3"/>
  <c r="FC95" i="3"/>
  <c r="FB95" i="3"/>
  <c r="FA95" i="3"/>
  <c r="EZ95" i="3"/>
  <c r="EY95" i="3"/>
  <c r="EX95" i="3"/>
  <c r="EW95" i="3"/>
  <c r="EV95" i="3"/>
  <c r="EU95" i="3"/>
  <c r="ET95" i="3"/>
  <c r="ES95" i="3"/>
  <c r="ER95" i="3"/>
  <c r="EQ95" i="3"/>
  <c r="EP95" i="3"/>
  <c r="EO95" i="3"/>
  <c r="EN95" i="3"/>
  <c r="EM95" i="3"/>
  <c r="EL95" i="3"/>
  <c r="EK95" i="3"/>
  <c r="EJ95" i="3"/>
  <c r="EI95" i="3"/>
  <c r="EH95" i="3"/>
  <c r="EG95" i="3"/>
  <c r="EF95" i="3"/>
  <c r="EE95" i="3"/>
  <c r="ED95" i="3"/>
  <c r="EC95" i="3"/>
  <c r="EB95" i="3"/>
  <c r="EA95" i="3"/>
  <c r="DZ95" i="3"/>
  <c r="DY95" i="3"/>
  <c r="DX95" i="3"/>
  <c r="DW95" i="3"/>
  <c r="DV95" i="3"/>
  <c r="DU95" i="3"/>
  <c r="DT95" i="3"/>
  <c r="DS95" i="3"/>
  <c r="DR95" i="3"/>
  <c r="DQ95" i="3"/>
  <c r="DP95" i="3"/>
  <c r="DO95" i="3"/>
  <c r="DN95" i="3"/>
  <c r="DM95" i="3"/>
  <c r="DL95" i="3"/>
  <c r="DK95" i="3"/>
  <c r="DJ95" i="3"/>
  <c r="DI95" i="3"/>
  <c r="DH95" i="3"/>
  <c r="DG95" i="3"/>
  <c r="DF95" i="3"/>
  <c r="DE95" i="3"/>
  <c r="DD95" i="3"/>
  <c r="DC95" i="3"/>
  <c r="DB95" i="3"/>
  <c r="DA95" i="3"/>
  <c r="CZ95" i="3"/>
  <c r="CY95" i="3"/>
  <c r="CX95" i="3"/>
  <c r="CW95" i="3"/>
  <c r="CV95" i="3"/>
  <c r="CU95" i="3"/>
  <c r="CT95" i="3"/>
  <c r="CS95" i="3"/>
  <c r="CR95" i="3"/>
  <c r="CQ95" i="3"/>
  <c r="CP95" i="3"/>
  <c r="CO95" i="3"/>
  <c r="CN95" i="3"/>
  <c r="CM95" i="3"/>
  <c r="CL95" i="3"/>
  <c r="CK95" i="3"/>
  <c r="CJ95" i="3"/>
  <c r="CI95" i="3"/>
  <c r="CH95" i="3"/>
  <c r="CG95" i="3"/>
  <c r="CF95" i="3"/>
  <c r="CE95" i="3"/>
  <c r="CD95" i="3"/>
  <c r="CC95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D10" i="3" s="1"/>
  <c r="E95" i="3"/>
  <c r="D95" i="3"/>
  <c r="C95" i="3"/>
  <c r="C10" i="3" s="1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GT93" i="3"/>
  <c r="GS93" i="3"/>
  <c r="GR93" i="3"/>
  <c r="GQ93" i="3"/>
  <c r="GP93" i="3"/>
  <c r="GO93" i="3"/>
  <c r="GN93" i="3"/>
  <c r="GM93" i="3"/>
  <c r="GL93" i="3"/>
  <c r="GK93" i="3"/>
  <c r="GJ93" i="3"/>
  <c r="GI93" i="3"/>
  <c r="GH93" i="3"/>
  <c r="GG93" i="3"/>
  <c r="GF93" i="3"/>
  <c r="GE93" i="3"/>
  <c r="GD93" i="3"/>
  <c r="GC93" i="3"/>
  <c r="GB93" i="3"/>
  <c r="GA93" i="3"/>
  <c r="FZ93" i="3"/>
  <c r="FY93" i="3"/>
  <c r="FX93" i="3"/>
  <c r="FW93" i="3"/>
  <c r="FV93" i="3"/>
  <c r="FU93" i="3"/>
  <c r="FT93" i="3"/>
  <c r="FS93" i="3"/>
  <c r="FR93" i="3"/>
  <c r="FQ93" i="3"/>
  <c r="FP93" i="3"/>
  <c r="FO93" i="3"/>
  <c r="FN93" i="3"/>
  <c r="FM93" i="3"/>
  <c r="FL93" i="3"/>
  <c r="FK93" i="3"/>
  <c r="FJ93" i="3"/>
  <c r="FI93" i="3"/>
  <c r="FH93" i="3"/>
  <c r="FG93" i="3"/>
  <c r="FF93" i="3"/>
  <c r="FE93" i="3"/>
  <c r="FD93" i="3"/>
  <c r="FC93" i="3"/>
  <c r="FB93" i="3"/>
  <c r="FA93" i="3"/>
  <c r="EZ93" i="3"/>
  <c r="EY93" i="3"/>
  <c r="EX93" i="3"/>
  <c r="EW93" i="3"/>
  <c r="EV93" i="3"/>
  <c r="EU93" i="3"/>
  <c r="ET93" i="3"/>
  <c r="ES93" i="3"/>
  <c r="ER93" i="3"/>
  <c r="EQ93" i="3"/>
  <c r="EP93" i="3"/>
  <c r="EO93" i="3"/>
  <c r="EN93" i="3"/>
  <c r="EM93" i="3"/>
  <c r="EL93" i="3"/>
  <c r="EK93" i="3"/>
  <c r="EJ93" i="3"/>
  <c r="EI93" i="3"/>
  <c r="EH93" i="3"/>
  <c r="EG93" i="3"/>
  <c r="EF93" i="3"/>
  <c r="EE93" i="3"/>
  <c r="ED93" i="3"/>
  <c r="EC93" i="3"/>
  <c r="EB93" i="3"/>
  <c r="EA93" i="3"/>
  <c r="DZ93" i="3"/>
  <c r="DY93" i="3"/>
  <c r="DX93" i="3"/>
  <c r="DW93" i="3"/>
  <c r="DV93" i="3"/>
  <c r="DU93" i="3"/>
  <c r="DT93" i="3"/>
  <c r="DS93" i="3"/>
  <c r="DR93" i="3"/>
  <c r="DQ93" i="3"/>
  <c r="DP93" i="3"/>
  <c r="DO93" i="3"/>
  <c r="DN93" i="3"/>
  <c r="DM93" i="3"/>
  <c r="DL93" i="3"/>
  <c r="DK93" i="3"/>
  <c r="DJ93" i="3"/>
  <c r="DI93" i="3"/>
  <c r="DH93" i="3"/>
  <c r="DG93" i="3"/>
  <c r="DF93" i="3"/>
  <c r="DE93" i="3"/>
  <c r="DD93" i="3"/>
  <c r="DC93" i="3"/>
  <c r="DB93" i="3"/>
  <c r="DA93" i="3"/>
  <c r="CZ93" i="3"/>
  <c r="CY93" i="3"/>
  <c r="CX93" i="3"/>
  <c r="CW93" i="3"/>
  <c r="CV93" i="3"/>
  <c r="CU93" i="3"/>
  <c r="CT93" i="3"/>
  <c r="CS93" i="3"/>
  <c r="CR93" i="3"/>
  <c r="CQ93" i="3"/>
  <c r="CP93" i="3"/>
  <c r="CO93" i="3"/>
  <c r="CN93" i="3"/>
  <c r="CM93" i="3"/>
  <c r="CL93" i="3"/>
  <c r="CK93" i="3"/>
  <c r="CJ93" i="3"/>
  <c r="CI93" i="3"/>
  <c r="CH93" i="3"/>
  <c r="CG93" i="3"/>
  <c r="CF93" i="3"/>
  <c r="CE93" i="3"/>
  <c r="CD93" i="3"/>
  <c r="CC93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D8" i="3" s="1"/>
  <c r="E93" i="3"/>
  <c r="D93" i="3"/>
  <c r="C93" i="3"/>
  <c r="C8" i="3" s="1"/>
  <c r="GT92" i="3"/>
  <c r="GS92" i="3"/>
  <c r="GR92" i="3"/>
  <c r="GQ92" i="3"/>
  <c r="GP92" i="3"/>
  <c r="GO92" i="3"/>
  <c r="GN92" i="3"/>
  <c r="GM92" i="3"/>
  <c r="GL92" i="3"/>
  <c r="GK92" i="3"/>
  <c r="GJ92" i="3"/>
  <c r="GI92" i="3"/>
  <c r="GH92" i="3"/>
  <c r="GG92" i="3"/>
  <c r="GF92" i="3"/>
  <c r="GE92" i="3"/>
  <c r="GD92" i="3"/>
  <c r="GC92" i="3"/>
  <c r="GB92" i="3"/>
  <c r="GA92" i="3"/>
  <c r="FZ92" i="3"/>
  <c r="FY92" i="3"/>
  <c r="FX92" i="3"/>
  <c r="FW92" i="3"/>
  <c r="FV92" i="3"/>
  <c r="FU92" i="3"/>
  <c r="FT92" i="3"/>
  <c r="FS92" i="3"/>
  <c r="FR92" i="3"/>
  <c r="FQ92" i="3"/>
  <c r="FP92" i="3"/>
  <c r="FO92" i="3"/>
  <c r="FN92" i="3"/>
  <c r="FM92" i="3"/>
  <c r="FL92" i="3"/>
  <c r="FK92" i="3"/>
  <c r="FJ92" i="3"/>
  <c r="FI92" i="3"/>
  <c r="FH92" i="3"/>
  <c r="FG92" i="3"/>
  <c r="FF92" i="3"/>
  <c r="FE92" i="3"/>
  <c r="FD92" i="3"/>
  <c r="FC92" i="3"/>
  <c r="FB92" i="3"/>
  <c r="FA92" i="3"/>
  <c r="EZ92" i="3"/>
  <c r="EY92" i="3"/>
  <c r="EX92" i="3"/>
  <c r="EW92" i="3"/>
  <c r="EV92" i="3"/>
  <c r="EU92" i="3"/>
  <c r="ET92" i="3"/>
  <c r="ES92" i="3"/>
  <c r="ER92" i="3"/>
  <c r="EQ92" i="3"/>
  <c r="EP92" i="3"/>
  <c r="EO92" i="3"/>
  <c r="EN92" i="3"/>
  <c r="EM92" i="3"/>
  <c r="EL92" i="3"/>
  <c r="EK92" i="3"/>
  <c r="EJ92" i="3"/>
  <c r="EI92" i="3"/>
  <c r="EH92" i="3"/>
  <c r="EG92" i="3"/>
  <c r="EF92" i="3"/>
  <c r="EE92" i="3"/>
  <c r="ED92" i="3"/>
  <c r="EC92" i="3"/>
  <c r="EB92" i="3"/>
  <c r="EA92" i="3"/>
  <c r="DZ92" i="3"/>
  <c r="DY92" i="3"/>
  <c r="DX92" i="3"/>
  <c r="DW92" i="3"/>
  <c r="DV92" i="3"/>
  <c r="DU92" i="3"/>
  <c r="DT92" i="3"/>
  <c r="DS92" i="3"/>
  <c r="DR92" i="3"/>
  <c r="DQ92" i="3"/>
  <c r="DP92" i="3"/>
  <c r="DO92" i="3"/>
  <c r="DN92" i="3"/>
  <c r="DM92" i="3"/>
  <c r="DL92" i="3"/>
  <c r="DK92" i="3"/>
  <c r="DJ92" i="3"/>
  <c r="DI92" i="3"/>
  <c r="DH92" i="3"/>
  <c r="DG92" i="3"/>
  <c r="DF92" i="3"/>
  <c r="DE92" i="3"/>
  <c r="DD92" i="3"/>
  <c r="DC92" i="3"/>
  <c r="DB92" i="3"/>
  <c r="DA92" i="3"/>
  <c r="CZ92" i="3"/>
  <c r="CY92" i="3"/>
  <c r="CX92" i="3"/>
  <c r="CW92" i="3"/>
  <c r="CV92" i="3"/>
  <c r="CU92" i="3"/>
  <c r="CT92" i="3"/>
  <c r="CS92" i="3"/>
  <c r="CR92" i="3"/>
  <c r="CQ92" i="3"/>
  <c r="CP92" i="3"/>
  <c r="CO92" i="3"/>
  <c r="CN92" i="3"/>
  <c r="CM92" i="3"/>
  <c r="CL92" i="3"/>
  <c r="CK92" i="3"/>
  <c r="CJ92" i="3"/>
  <c r="CI92" i="3"/>
  <c r="CH92" i="3"/>
  <c r="CG92" i="3"/>
  <c r="CF92" i="3"/>
  <c r="CE92" i="3"/>
  <c r="CD92" i="3"/>
  <c r="CC92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P17" i="3" s="1"/>
  <c r="J92" i="3"/>
  <c r="I92" i="3"/>
  <c r="P15" i="3" s="1"/>
  <c r="H92" i="3"/>
  <c r="P14" i="3" s="1"/>
  <c r="G92" i="3"/>
  <c r="F92" i="3"/>
  <c r="E92" i="3"/>
  <c r="D92" i="3"/>
  <c r="C92" i="3"/>
  <c r="D87" i="3"/>
  <c r="C87" i="3"/>
  <c r="E85" i="3"/>
  <c r="F85" i="3" s="1"/>
  <c r="G85" i="3" s="1"/>
  <c r="D85" i="3"/>
  <c r="C85" i="3"/>
  <c r="D83" i="3"/>
  <c r="C83" i="3"/>
  <c r="E81" i="3"/>
  <c r="D81" i="3"/>
  <c r="C81" i="3"/>
  <c r="F81" i="3" s="1"/>
  <c r="C80" i="3"/>
  <c r="E80" i="3" s="1"/>
  <c r="G80" i="3" s="1"/>
  <c r="E79" i="3"/>
  <c r="G79" i="3" s="1"/>
  <c r="D79" i="3"/>
  <c r="C79" i="3"/>
  <c r="D78" i="3"/>
  <c r="C78" i="3"/>
  <c r="E78" i="3" s="1"/>
  <c r="G78" i="3" s="1"/>
  <c r="E77" i="3"/>
  <c r="G77" i="3" s="1"/>
  <c r="D77" i="3"/>
  <c r="C77" i="3"/>
  <c r="F77" i="3" s="1"/>
  <c r="D76" i="3"/>
  <c r="D75" i="3"/>
  <c r="C75" i="3"/>
  <c r="D74" i="3"/>
  <c r="D73" i="3"/>
  <c r="C73" i="3"/>
  <c r="E73" i="3" s="1"/>
  <c r="D71" i="3"/>
  <c r="C71" i="3"/>
  <c r="G69" i="3"/>
  <c r="E69" i="3"/>
  <c r="F69" i="3" s="1"/>
  <c r="D69" i="3"/>
  <c r="C69" i="3"/>
  <c r="D67" i="3"/>
  <c r="C67" i="3"/>
  <c r="E65" i="3"/>
  <c r="D65" i="3"/>
  <c r="C65" i="3"/>
  <c r="F65" i="3" s="1"/>
  <c r="C64" i="3"/>
  <c r="E64" i="3" s="1"/>
  <c r="E63" i="3"/>
  <c r="D63" i="3"/>
  <c r="C63" i="3"/>
  <c r="D62" i="3"/>
  <c r="E61" i="3"/>
  <c r="D61" i="3"/>
  <c r="C61" i="3"/>
  <c r="F61" i="3" s="1"/>
  <c r="D59" i="3"/>
  <c r="C59" i="3"/>
  <c r="D58" i="3"/>
  <c r="D57" i="3"/>
  <c r="C57" i="3"/>
  <c r="E57" i="3" s="1"/>
  <c r="D55" i="3"/>
  <c r="C55" i="3"/>
  <c r="D51" i="3"/>
  <c r="C51" i="3"/>
  <c r="E49" i="3"/>
  <c r="G49" i="3" s="1"/>
  <c r="D49" i="3"/>
  <c r="C49" i="3"/>
  <c r="F49" i="3" s="1"/>
  <c r="C48" i="3"/>
  <c r="E47" i="3"/>
  <c r="D47" i="3"/>
  <c r="C47" i="3"/>
  <c r="D46" i="3"/>
  <c r="E45" i="3"/>
  <c r="D45" i="3"/>
  <c r="C45" i="3"/>
  <c r="F45" i="3" s="1"/>
  <c r="D43" i="3"/>
  <c r="C43" i="3"/>
  <c r="E48" i="3" s="1"/>
  <c r="D42" i="3"/>
  <c r="D41" i="3"/>
  <c r="C41" i="3"/>
  <c r="E41" i="3" s="1"/>
  <c r="D39" i="3"/>
  <c r="C39" i="3"/>
  <c r="E37" i="3"/>
  <c r="F37" i="3" s="1"/>
  <c r="G37" i="3" s="1"/>
  <c r="D37" i="3"/>
  <c r="C37" i="3"/>
  <c r="D35" i="3"/>
  <c r="C35" i="3"/>
  <c r="E33" i="3"/>
  <c r="D33" i="3"/>
  <c r="C33" i="3"/>
  <c r="F33" i="3" s="1"/>
  <c r="C32" i="3"/>
  <c r="E32" i="3" s="1"/>
  <c r="E31" i="3"/>
  <c r="D31" i="3"/>
  <c r="C31" i="3"/>
  <c r="E29" i="3"/>
  <c r="G29" i="3" s="1"/>
  <c r="D29" i="3"/>
  <c r="C29" i="3"/>
  <c r="F29" i="3" s="1"/>
  <c r="D27" i="3"/>
  <c r="C27" i="3"/>
  <c r="D26" i="3"/>
  <c r="D25" i="3"/>
  <c r="C25" i="3"/>
  <c r="E25" i="3" s="1"/>
  <c r="D23" i="3"/>
  <c r="C23" i="3"/>
  <c r="E21" i="3"/>
  <c r="F21" i="3" s="1"/>
  <c r="G21" i="3" s="1"/>
  <c r="D21" i="3"/>
  <c r="C21" i="3"/>
  <c r="S19" i="3"/>
  <c r="R19" i="3"/>
  <c r="Q19" i="3"/>
  <c r="P19" i="3"/>
  <c r="O19" i="3"/>
  <c r="D19" i="3"/>
  <c r="S18" i="3"/>
  <c r="R18" i="3"/>
  <c r="Q18" i="3"/>
  <c r="P18" i="3"/>
  <c r="O18" i="3"/>
  <c r="D18" i="3"/>
  <c r="S17" i="3"/>
  <c r="R17" i="3"/>
  <c r="Q17" i="3"/>
  <c r="O17" i="3"/>
  <c r="D17" i="3"/>
  <c r="S16" i="3"/>
  <c r="R16" i="3"/>
  <c r="Q16" i="3"/>
  <c r="P16" i="3"/>
  <c r="O16" i="3"/>
  <c r="S15" i="3"/>
  <c r="R15" i="3"/>
  <c r="Q15" i="3"/>
  <c r="O15" i="3"/>
  <c r="D15" i="3"/>
  <c r="C15" i="3"/>
  <c r="S14" i="3"/>
  <c r="R14" i="3"/>
  <c r="Q14" i="3"/>
  <c r="O14" i="3"/>
  <c r="S13" i="3"/>
  <c r="R13" i="3"/>
  <c r="Q13" i="3"/>
  <c r="P13" i="3"/>
  <c r="O13" i="3"/>
  <c r="S12" i="3"/>
  <c r="R12" i="3"/>
  <c r="Q12" i="3"/>
  <c r="P12" i="3"/>
  <c r="O12" i="3"/>
  <c r="S11" i="3"/>
  <c r="R11" i="3"/>
  <c r="Q11" i="3"/>
  <c r="P11" i="3"/>
  <c r="O11" i="3"/>
  <c r="D11" i="3"/>
  <c r="S10" i="3"/>
  <c r="R10" i="3"/>
  <c r="Q10" i="3"/>
  <c r="P10" i="3"/>
  <c r="O10" i="3"/>
  <c r="D9" i="3"/>
  <c r="C9" i="3"/>
  <c r="D7" i="3"/>
  <c r="C7" i="3"/>
  <c r="G2" i="3"/>
  <c r="I2" i="3" s="1"/>
  <c r="K2" i="3" s="1"/>
  <c r="M2" i="3" s="1"/>
  <c r="O2" i="3" s="1"/>
  <c r="Q2" i="3" s="1"/>
  <c r="S2" i="3" s="1"/>
  <c r="U2" i="3" s="1"/>
  <c r="W2" i="3" s="1"/>
  <c r="GV6" i="2"/>
  <c r="GX6" i="2" s="1"/>
  <c r="GT6" i="2"/>
  <c r="GU6" i="2" s="1"/>
  <c r="GS6" i="2"/>
  <c r="GQ6" i="2"/>
  <c r="GO6" i="2"/>
  <c r="GM6" i="2"/>
  <c r="GK6" i="2"/>
  <c r="GI6" i="2"/>
  <c r="GG6" i="2"/>
  <c r="GE6" i="2"/>
  <c r="GC6" i="2"/>
  <c r="GA6" i="2"/>
  <c r="P89" i="1"/>
  <c r="O89" i="1"/>
  <c r="N89" i="1"/>
  <c r="M89" i="1"/>
  <c r="L89" i="1"/>
  <c r="K89" i="1"/>
  <c r="J87" i="1"/>
  <c r="D87" i="1"/>
  <c r="J86" i="1"/>
  <c r="D86" i="1"/>
  <c r="J85" i="1"/>
  <c r="D85" i="1"/>
  <c r="J84" i="1"/>
  <c r="D84" i="1"/>
  <c r="J83" i="1"/>
  <c r="D83" i="1"/>
  <c r="J82" i="1"/>
  <c r="D82" i="1"/>
  <c r="J81" i="1"/>
  <c r="D81" i="1"/>
  <c r="D80" i="1"/>
  <c r="J79" i="1"/>
  <c r="D79" i="1"/>
  <c r="J78" i="1"/>
  <c r="D78" i="1"/>
  <c r="J77" i="1"/>
  <c r="D77" i="1"/>
  <c r="J76" i="1"/>
  <c r="D76" i="1"/>
  <c r="J75" i="1"/>
  <c r="D75" i="1"/>
  <c r="J74" i="1"/>
  <c r="D74" i="1"/>
  <c r="J73" i="1"/>
  <c r="D73" i="1"/>
  <c r="J72" i="1"/>
  <c r="D72" i="1"/>
  <c r="J71" i="1"/>
  <c r="D71" i="1"/>
  <c r="J70" i="1"/>
  <c r="D70" i="1"/>
  <c r="J69" i="1"/>
  <c r="D69" i="1"/>
  <c r="J68" i="1"/>
  <c r="D68" i="1"/>
  <c r="J67" i="1"/>
  <c r="D67" i="1"/>
  <c r="J66" i="1"/>
  <c r="D66" i="1"/>
  <c r="J65" i="1"/>
  <c r="D65" i="1"/>
  <c r="J64" i="1"/>
  <c r="D64" i="1"/>
  <c r="J63" i="1"/>
  <c r="D63" i="1"/>
  <c r="J62" i="1"/>
  <c r="D62" i="1"/>
  <c r="J61" i="1"/>
  <c r="D61" i="1"/>
  <c r="J60" i="1"/>
  <c r="D60" i="1"/>
  <c r="J59" i="1"/>
  <c r="D59" i="1"/>
  <c r="J58" i="1"/>
  <c r="D58" i="1"/>
  <c r="J57" i="1"/>
  <c r="D57" i="1"/>
  <c r="J56" i="1"/>
  <c r="D56" i="1"/>
  <c r="J55" i="1"/>
  <c r="D55" i="1"/>
  <c r="J54" i="1"/>
  <c r="D54" i="1"/>
  <c r="J53" i="1"/>
  <c r="D53" i="1"/>
  <c r="J52" i="1"/>
  <c r="D52" i="1"/>
  <c r="J51" i="1"/>
  <c r="D51" i="1"/>
  <c r="J50" i="1"/>
  <c r="D50" i="1"/>
  <c r="J49" i="1"/>
  <c r="D49" i="1"/>
  <c r="J48" i="1"/>
  <c r="D48" i="1"/>
  <c r="J47" i="1"/>
  <c r="D47" i="1"/>
  <c r="J46" i="1"/>
  <c r="D46" i="1"/>
  <c r="J45" i="1"/>
  <c r="D45" i="1"/>
  <c r="J44" i="1"/>
  <c r="D44" i="1"/>
  <c r="J43" i="1"/>
  <c r="D43" i="1"/>
  <c r="J42" i="1"/>
  <c r="D42" i="1"/>
  <c r="J41" i="1"/>
  <c r="D41" i="1"/>
  <c r="J40" i="1"/>
  <c r="D40" i="1"/>
  <c r="J39" i="1"/>
  <c r="D39" i="1"/>
  <c r="J38" i="1"/>
  <c r="D38" i="1"/>
  <c r="J37" i="1"/>
  <c r="D37" i="1"/>
  <c r="J36" i="1"/>
  <c r="D36" i="1"/>
  <c r="J35" i="1"/>
  <c r="D35" i="1"/>
  <c r="J34" i="1"/>
  <c r="D34" i="1"/>
  <c r="J33" i="1"/>
  <c r="D33" i="1"/>
  <c r="J32" i="1"/>
  <c r="D32" i="1"/>
  <c r="J31" i="1"/>
  <c r="D31" i="1"/>
  <c r="J30" i="1"/>
  <c r="D30" i="1"/>
  <c r="J29" i="1"/>
  <c r="D29" i="1"/>
  <c r="J28" i="1"/>
  <c r="D28" i="1"/>
  <c r="J27" i="1"/>
  <c r="D27" i="1"/>
  <c r="J26" i="1"/>
  <c r="D26" i="1"/>
  <c r="J25" i="1"/>
  <c r="D25" i="1"/>
  <c r="J24" i="1"/>
  <c r="D24" i="1"/>
  <c r="J23" i="1"/>
  <c r="D23" i="1"/>
  <c r="J22" i="1"/>
  <c r="D22" i="1"/>
  <c r="J21" i="1"/>
  <c r="D21" i="1"/>
  <c r="J20" i="1"/>
  <c r="D20" i="1"/>
  <c r="J19" i="1"/>
  <c r="D19" i="1"/>
  <c r="J18" i="1"/>
  <c r="D18" i="1"/>
  <c r="J17" i="1"/>
  <c r="D17" i="1"/>
  <c r="J16" i="1"/>
  <c r="D16" i="1"/>
  <c r="J15" i="1"/>
  <c r="D15" i="1"/>
  <c r="J14" i="1"/>
  <c r="D14" i="1"/>
  <c r="J13" i="1"/>
  <c r="D13" i="1"/>
  <c r="J12" i="1"/>
  <c r="D12" i="1"/>
  <c r="J11" i="1"/>
  <c r="D11" i="1"/>
  <c r="J10" i="1"/>
  <c r="D10" i="1"/>
  <c r="G65" i="3" l="1"/>
  <c r="G57" i="3"/>
  <c r="F57" i="3"/>
  <c r="E11" i="3"/>
  <c r="E13" i="3"/>
  <c r="E17" i="3"/>
  <c r="E19" i="3"/>
  <c r="F67" i="3"/>
  <c r="F59" i="3"/>
  <c r="G33" i="3"/>
  <c r="GY6" i="2"/>
  <c r="GZ6" i="2"/>
  <c r="G61" i="3"/>
  <c r="G73" i="3"/>
  <c r="F73" i="3"/>
  <c r="G45" i="3"/>
  <c r="F27" i="3"/>
  <c r="G81" i="3"/>
  <c r="F10" i="3"/>
  <c r="E10" i="3"/>
  <c r="E12" i="3"/>
  <c r="F14" i="3"/>
  <c r="E14" i="3"/>
  <c r="E16" i="3"/>
  <c r="E18" i="3"/>
  <c r="E20" i="3"/>
  <c r="E22" i="3"/>
  <c r="E24" i="3"/>
  <c r="F26" i="3"/>
  <c r="E26" i="3"/>
  <c r="E28" i="3"/>
  <c r="E30" i="3"/>
  <c r="F30" i="3" s="1"/>
  <c r="E34" i="3"/>
  <c r="G34" i="3" s="1"/>
  <c r="E36" i="3"/>
  <c r="E38" i="3"/>
  <c r="E40" i="3"/>
  <c r="E42" i="3"/>
  <c r="F42" i="3" s="1"/>
  <c r="F44" i="3"/>
  <c r="E44" i="3"/>
  <c r="E46" i="3"/>
  <c r="F46" i="3"/>
  <c r="E50" i="3"/>
  <c r="E52" i="3"/>
  <c r="E54" i="3"/>
  <c r="E56" i="3"/>
  <c r="E58" i="3"/>
  <c r="F60" i="3"/>
  <c r="E60" i="3"/>
  <c r="E62" i="3"/>
  <c r="F66" i="3"/>
  <c r="E66" i="3"/>
  <c r="E68" i="3"/>
  <c r="G68" i="3" s="1"/>
  <c r="E70" i="3"/>
  <c r="E72" i="3"/>
  <c r="G72" i="3" s="1"/>
  <c r="E74" i="3"/>
  <c r="G74" i="3" s="1"/>
  <c r="E76" i="3"/>
  <c r="F76" i="3" s="1"/>
  <c r="F82" i="3"/>
  <c r="E82" i="3"/>
  <c r="G82" i="3" s="1"/>
  <c r="E84" i="3"/>
  <c r="F86" i="3"/>
  <c r="E86" i="3"/>
  <c r="F41" i="3"/>
  <c r="G41" i="3" s="1"/>
  <c r="F25" i="3"/>
  <c r="G25" i="3" s="1"/>
  <c r="Z11" i="4"/>
  <c r="Z19" i="4"/>
  <c r="AO19" i="4"/>
  <c r="E23" i="3"/>
  <c r="E39" i="3"/>
  <c r="G39" i="3" s="1"/>
  <c r="E55" i="3"/>
  <c r="E71" i="3"/>
  <c r="E87" i="3"/>
  <c r="F32" i="3"/>
  <c r="G32" i="3" s="1"/>
  <c r="F64" i="3"/>
  <c r="G64" i="3" s="1"/>
  <c r="G7" i="4"/>
  <c r="Z7" i="4" s="1"/>
  <c r="F80" i="3"/>
  <c r="E27" i="3"/>
  <c r="E43" i="3"/>
  <c r="E59" i="3"/>
  <c r="E75" i="3"/>
  <c r="G75" i="3" s="1"/>
  <c r="F78" i="3"/>
  <c r="Y18" i="4"/>
  <c r="AO18" i="4"/>
  <c r="D53" i="3"/>
  <c r="Y9" i="4"/>
  <c r="AO9" i="4"/>
  <c r="F31" i="3"/>
  <c r="G31" i="3" s="1"/>
  <c r="F47" i="3"/>
  <c r="G47" i="3" s="1"/>
  <c r="F63" i="3"/>
  <c r="G63" i="3" s="1"/>
  <c r="F79" i="3"/>
  <c r="Y34" i="4"/>
  <c r="AO34" i="4"/>
  <c r="G17" i="4"/>
  <c r="G20" i="4"/>
  <c r="F145" i="4"/>
  <c r="F151" i="4"/>
  <c r="Z151" i="4" s="1"/>
  <c r="F146" i="4"/>
  <c r="Z146" i="4" s="1"/>
  <c r="F152" i="4"/>
  <c r="Z152" i="4" s="1"/>
  <c r="F153" i="4"/>
  <c r="Z153" i="4" s="1"/>
  <c r="F149" i="4"/>
  <c r="F142" i="4"/>
  <c r="F125" i="4"/>
  <c r="F109" i="4"/>
  <c r="F136" i="4"/>
  <c r="Z136" i="4" s="1"/>
  <c r="F120" i="4"/>
  <c r="Z120" i="4" s="1"/>
  <c r="F104" i="4"/>
  <c r="Z104" i="4" s="1"/>
  <c r="F131" i="4"/>
  <c r="Z131" i="4" s="1"/>
  <c r="F115" i="4"/>
  <c r="Z115" i="4" s="1"/>
  <c r="F99" i="4"/>
  <c r="Z99" i="4" s="1"/>
  <c r="F144" i="4"/>
  <c r="Z144" i="4" s="1"/>
  <c r="F137" i="4"/>
  <c r="Z137" i="4" s="1"/>
  <c r="F121" i="4"/>
  <c r="F105" i="4"/>
  <c r="F133" i="4"/>
  <c r="Z133" i="4" s="1"/>
  <c r="F117" i="4"/>
  <c r="Z117" i="4" s="1"/>
  <c r="F101" i="4"/>
  <c r="Z101" i="4" s="1"/>
  <c r="F119" i="4"/>
  <c r="F135" i="4"/>
  <c r="F140" i="4"/>
  <c r="Z140" i="4" s="1"/>
  <c r="F138" i="4"/>
  <c r="F122" i="4"/>
  <c r="F150" i="4"/>
  <c r="F127" i="4"/>
  <c r="F126" i="4"/>
  <c r="Z126" i="4" s="1"/>
  <c r="F124" i="4"/>
  <c r="Z124" i="4" s="1"/>
  <c r="F141" i="4"/>
  <c r="Z141" i="4" s="1"/>
  <c r="F132" i="4"/>
  <c r="Z132" i="4" s="1"/>
  <c r="F148" i="4"/>
  <c r="Z148" i="4" s="1"/>
  <c r="F147" i="4"/>
  <c r="Z147" i="4" s="1"/>
  <c r="F139" i="4"/>
  <c r="F130" i="4"/>
  <c r="F111" i="4"/>
  <c r="F110" i="4"/>
  <c r="F108" i="4"/>
  <c r="Z108" i="4" s="1"/>
  <c r="F96" i="4"/>
  <c r="F80" i="4"/>
  <c r="F65" i="4"/>
  <c r="F118" i="4"/>
  <c r="F114" i="4"/>
  <c r="O116" i="5" s="1"/>
  <c r="J49" i="5" s="1"/>
  <c r="F106" i="4"/>
  <c r="O108" i="5" s="1"/>
  <c r="J146" i="5" s="1"/>
  <c r="F91" i="4"/>
  <c r="AO91" i="4" s="1"/>
  <c r="F86" i="4"/>
  <c r="Z86" i="4" s="1"/>
  <c r="F71" i="4"/>
  <c r="Z71" i="4" s="1"/>
  <c r="F97" i="4"/>
  <c r="Z97" i="4" s="1"/>
  <c r="F81" i="4"/>
  <c r="F66" i="4"/>
  <c r="Z66" i="4" s="1"/>
  <c r="F92" i="4"/>
  <c r="Z92" i="4" s="1"/>
  <c r="F107" i="4"/>
  <c r="Z107" i="4" s="1"/>
  <c r="F113" i="4"/>
  <c r="F88" i="4"/>
  <c r="F73" i="4"/>
  <c r="F93" i="4"/>
  <c r="F74" i="4"/>
  <c r="F51" i="4"/>
  <c r="F143" i="4"/>
  <c r="F75" i="4"/>
  <c r="Z75" i="4" s="1"/>
  <c r="F62" i="4"/>
  <c r="O64" i="5" s="1"/>
  <c r="J97" i="5" s="1"/>
  <c r="F46" i="4"/>
  <c r="Z46" i="4" s="1"/>
  <c r="F112" i="4"/>
  <c r="Z112" i="4" s="1"/>
  <c r="F76" i="4"/>
  <c r="Z76" i="4" s="1"/>
  <c r="F57" i="4"/>
  <c r="Z57" i="4" s="1"/>
  <c r="F41" i="4"/>
  <c r="Z41" i="4" s="1"/>
  <c r="F123" i="4"/>
  <c r="F52" i="4"/>
  <c r="Z52" i="4" s="1"/>
  <c r="F98" i="4"/>
  <c r="F89" i="4"/>
  <c r="Z89" i="4" s="1"/>
  <c r="F83" i="4"/>
  <c r="Z83" i="4" s="1"/>
  <c r="F59" i="4"/>
  <c r="F43" i="4"/>
  <c r="F134" i="4"/>
  <c r="F90" i="4"/>
  <c r="F69" i="4"/>
  <c r="O71" i="5" s="1"/>
  <c r="J166" i="5" s="1"/>
  <c r="F63" i="4"/>
  <c r="Z63" i="4" s="1"/>
  <c r="F38" i="4"/>
  <c r="F47" i="4"/>
  <c r="Z47" i="4" s="1"/>
  <c r="F44" i="4"/>
  <c r="F33" i="4"/>
  <c r="F17" i="4"/>
  <c r="F103" i="4"/>
  <c r="F45" i="4"/>
  <c r="F28" i="4"/>
  <c r="F48" i="4"/>
  <c r="Z48" i="4" s="1"/>
  <c r="F39" i="4"/>
  <c r="F23" i="4"/>
  <c r="Z23" i="4" s="1"/>
  <c r="F82" i="4"/>
  <c r="F68" i="4"/>
  <c r="Z68" i="4" s="1"/>
  <c r="F49" i="4"/>
  <c r="O51" i="5" s="1"/>
  <c r="J160" i="5" s="1"/>
  <c r="F29" i="4"/>
  <c r="F94" i="4"/>
  <c r="Z94" i="4" s="1"/>
  <c r="F84" i="4"/>
  <c r="Z84" i="4" s="1"/>
  <c r="F79" i="4"/>
  <c r="Z79" i="4" s="1"/>
  <c r="F53" i="4"/>
  <c r="F50" i="4"/>
  <c r="F87" i="4"/>
  <c r="Z87" i="4" s="1"/>
  <c r="F85" i="4"/>
  <c r="F54" i="4"/>
  <c r="Z54" i="4" s="1"/>
  <c r="F30" i="4"/>
  <c r="Z30" i="4" s="1"/>
  <c r="F102" i="4"/>
  <c r="Z102" i="4" s="1"/>
  <c r="F95" i="4"/>
  <c r="F40" i="4"/>
  <c r="F20" i="4"/>
  <c r="F16" i="4"/>
  <c r="F78" i="4"/>
  <c r="Z78" i="4" s="1"/>
  <c r="F56" i="4"/>
  <c r="F24" i="4"/>
  <c r="Z24" i="4" s="1"/>
  <c r="F15" i="4"/>
  <c r="Z15" i="4" s="1"/>
  <c r="F129" i="4"/>
  <c r="Z129" i="4" s="1"/>
  <c r="F116" i="4"/>
  <c r="Z116" i="4" s="1"/>
  <c r="F100" i="4"/>
  <c r="F60" i="4"/>
  <c r="Z60" i="4" s="1"/>
  <c r="F25" i="4"/>
  <c r="Z25" i="4" s="1"/>
  <c r="F21" i="4"/>
  <c r="F12" i="4"/>
  <c r="F64" i="4"/>
  <c r="Z64" i="4" s="1"/>
  <c r="F37" i="4"/>
  <c r="Z37" i="4" s="1"/>
  <c r="F22" i="4"/>
  <c r="F26" i="4"/>
  <c r="F27" i="4"/>
  <c r="F128" i="4"/>
  <c r="Z128" i="4" s="1"/>
  <c r="F61" i="4"/>
  <c r="O63" i="5" s="1"/>
  <c r="J109" i="5" s="1"/>
  <c r="F42" i="4"/>
  <c r="F67" i="4"/>
  <c r="F58" i="4"/>
  <c r="Z58" i="4" s="1"/>
  <c r="F31" i="4"/>
  <c r="Z31" i="4" s="1"/>
  <c r="F14" i="4"/>
  <c r="Z14" i="4" s="1"/>
  <c r="I2" i="4"/>
  <c r="F72" i="4"/>
  <c r="F34" i="4"/>
  <c r="Z34" i="4" s="1"/>
  <c r="F32" i="4"/>
  <c r="Z32" i="4" s="1"/>
  <c r="F55" i="4"/>
  <c r="Z55" i="4" s="1"/>
  <c r="F36" i="4"/>
  <c r="Z36" i="4" s="1"/>
  <c r="F77" i="4"/>
  <c r="F70" i="4"/>
  <c r="AO30" i="4"/>
  <c r="GW6" i="2"/>
  <c r="E15" i="3"/>
  <c r="F15" i="3" s="1"/>
  <c r="E35" i="3"/>
  <c r="G35" i="3" s="1"/>
  <c r="E51" i="3"/>
  <c r="E67" i="3"/>
  <c r="G67" i="3" s="1"/>
  <c r="E83" i="3"/>
  <c r="F83" i="3" s="1"/>
  <c r="F35" i="4"/>
  <c r="Z35" i="4" s="1"/>
  <c r="AP20" i="4"/>
  <c r="G140" i="4"/>
  <c r="G151" i="4"/>
  <c r="G146" i="4"/>
  <c r="G141" i="4"/>
  <c r="G152" i="4"/>
  <c r="G148" i="4"/>
  <c r="G144" i="4"/>
  <c r="G136" i="4"/>
  <c r="G120" i="4"/>
  <c r="G104" i="4"/>
  <c r="G131" i="4"/>
  <c r="G115" i="4"/>
  <c r="G99" i="4"/>
  <c r="G153" i="4"/>
  <c r="G149" i="4"/>
  <c r="G126" i="4"/>
  <c r="G110" i="4"/>
  <c r="G137" i="4"/>
  <c r="G132" i="4"/>
  <c r="G116" i="4"/>
  <c r="G143" i="4"/>
  <c r="G128" i="4"/>
  <c r="G112" i="4"/>
  <c r="G135" i="4"/>
  <c r="G121" i="4"/>
  <c r="G138" i="4"/>
  <c r="G122" i="4"/>
  <c r="G145" i="4"/>
  <c r="G123" i="4"/>
  <c r="G142" i="4"/>
  <c r="G150" i="4"/>
  <c r="G127" i="4"/>
  <c r="G125" i="4"/>
  <c r="G147" i="4"/>
  <c r="G139" i="4"/>
  <c r="G130" i="4"/>
  <c r="G133" i="4"/>
  <c r="G109" i="4"/>
  <c r="G124" i="4"/>
  <c r="G118" i="4"/>
  <c r="G114" i="4"/>
  <c r="G106" i="4"/>
  <c r="G91" i="4"/>
  <c r="G86" i="4"/>
  <c r="G71" i="4"/>
  <c r="G97" i="4"/>
  <c r="G81" i="4"/>
  <c r="G66" i="4"/>
  <c r="G92" i="4"/>
  <c r="G76" i="4"/>
  <c r="G107" i="4"/>
  <c r="G87" i="4"/>
  <c r="G111" i="4"/>
  <c r="G117" i="4"/>
  <c r="G83" i="4"/>
  <c r="G68" i="4"/>
  <c r="G88" i="4"/>
  <c r="G62" i="4"/>
  <c r="G46" i="4"/>
  <c r="G57" i="4"/>
  <c r="G41" i="4"/>
  <c r="G52" i="4"/>
  <c r="G113" i="4"/>
  <c r="G98" i="4"/>
  <c r="G77" i="4"/>
  <c r="G47" i="4"/>
  <c r="G96" i="4"/>
  <c r="G94" i="4"/>
  <c r="G82" i="4"/>
  <c r="G108" i="4"/>
  <c r="G67" i="4"/>
  <c r="G64" i="4"/>
  <c r="G54" i="4"/>
  <c r="G44" i="4"/>
  <c r="G103" i="4"/>
  <c r="G74" i="4"/>
  <c r="G45" i="4"/>
  <c r="G28" i="4"/>
  <c r="G48" i="4"/>
  <c r="G39" i="4"/>
  <c r="G23" i="4"/>
  <c r="G119" i="4"/>
  <c r="G49" i="4"/>
  <c r="G34" i="4"/>
  <c r="G18" i="4"/>
  <c r="G101" i="4"/>
  <c r="G93" i="4"/>
  <c r="G84" i="4"/>
  <c r="G79" i="4"/>
  <c r="G65" i="4"/>
  <c r="G53" i="4"/>
  <c r="G50" i="4"/>
  <c r="G24" i="4"/>
  <c r="G85" i="4"/>
  <c r="G51" i="4"/>
  <c r="G73" i="4"/>
  <c r="G55" i="4"/>
  <c r="AP55" i="4" s="1"/>
  <c r="G25" i="4"/>
  <c r="G60" i="4"/>
  <c r="G37" i="4"/>
  <c r="AP37" i="4" s="1"/>
  <c r="G78" i="4"/>
  <c r="G56" i="4"/>
  <c r="G15" i="4"/>
  <c r="G129" i="4"/>
  <c r="G100" i="4"/>
  <c r="G80" i="4"/>
  <c r="G38" i="4"/>
  <c r="G21" i="4"/>
  <c r="G12" i="4"/>
  <c r="G22" i="4"/>
  <c r="G134" i="4"/>
  <c r="G26" i="4"/>
  <c r="AP26" i="4" s="1"/>
  <c r="G27" i="4"/>
  <c r="AP27" i="4" s="1"/>
  <c r="G13" i="4"/>
  <c r="AP13" i="4" s="1"/>
  <c r="G61" i="4"/>
  <c r="G42" i="4"/>
  <c r="G29" i="4"/>
  <c r="G30" i="4"/>
  <c r="AP30" i="4" s="1"/>
  <c r="G8" i="4"/>
  <c r="G69" i="4"/>
  <c r="G58" i="4"/>
  <c r="G31" i="4"/>
  <c r="AP31" i="4" s="1"/>
  <c r="G14" i="4"/>
  <c r="AP14" i="4" s="1"/>
  <c r="G102" i="4"/>
  <c r="AP102" i="4" s="1"/>
  <c r="G9" i="4"/>
  <c r="AP9" i="4" s="1"/>
  <c r="G72" i="4"/>
  <c r="G32" i="4"/>
  <c r="AP32" i="4" s="1"/>
  <c r="G90" i="4"/>
  <c r="G43" i="4"/>
  <c r="G35" i="4"/>
  <c r="G33" i="4"/>
  <c r="G95" i="4"/>
  <c r="G105" i="4"/>
  <c r="G70" i="4"/>
  <c r="G63" i="4"/>
  <c r="G89" i="4"/>
  <c r="AP89" i="4" s="1"/>
  <c r="G59" i="4"/>
  <c r="G40" i="4"/>
  <c r="AO55" i="4"/>
  <c r="Y55" i="4"/>
  <c r="AO59" i="4"/>
  <c r="AO77" i="4"/>
  <c r="Y32" i="4"/>
  <c r="AP36" i="4"/>
  <c r="Y105" i="4"/>
  <c r="AO105" i="4"/>
  <c r="Y126" i="4"/>
  <c r="AP72" i="4"/>
  <c r="AO14" i="4"/>
  <c r="Y59" i="4"/>
  <c r="Y87" i="4"/>
  <c r="AO87" i="4"/>
  <c r="AO102" i="4"/>
  <c r="Y102" i="4"/>
  <c r="AP58" i="4"/>
  <c r="Y110" i="4"/>
  <c r="AO110" i="4"/>
  <c r="AO15" i="4"/>
  <c r="AO54" i="4"/>
  <c r="E67" i="4"/>
  <c r="AO36" i="4"/>
  <c r="E42" i="4"/>
  <c r="AP42" i="4" s="1"/>
  <c r="E61" i="4"/>
  <c r="AO132" i="4"/>
  <c r="Y132" i="4"/>
  <c r="AO28" i="4"/>
  <c r="AP29" i="4"/>
  <c r="AO48" i="4"/>
  <c r="AO37" i="4"/>
  <c r="Y57" i="4"/>
  <c r="AO57" i="4"/>
  <c r="AO144" i="4"/>
  <c r="Y144" i="4"/>
  <c r="O181" i="7"/>
  <c r="O181" i="6"/>
  <c r="O181" i="5"/>
  <c r="AO13" i="4"/>
  <c r="AO25" i="4"/>
  <c r="AO35" i="4"/>
  <c r="Y60" i="4"/>
  <c r="AO60" i="4"/>
  <c r="AO64" i="4"/>
  <c r="Y64" i="4"/>
  <c r="O182" i="7"/>
  <c r="O182" i="6"/>
  <c r="O182" i="5"/>
  <c r="E12" i="4"/>
  <c r="AP12" i="4" s="1"/>
  <c r="E21" i="4"/>
  <c r="AP21" i="4" s="1"/>
  <c r="E25" i="4"/>
  <c r="AP25" i="4" s="1"/>
  <c r="Y41" i="4"/>
  <c r="AO41" i="4"/>
  <c r="E60" i="4"/>
  <c r="O183" i="7"/>
  <c r="O183" i="6"/>
  <c r="O183" i="5"/>
  <c r="E15" i="4"/>
  <c r="E23" i="4"/>
  <c r="AP23" i="4" s="1"/>
  <c r="E24" i="4"/>
  <c r="AP24" i="4" s="1"/>
  <c r="E66" i="4"/>
  <c r="AP66" i="4" s="1"/>
  <c r="E78" i="4"/>
  <c r="AP78" i="4" s="1"/>
  <c r="O184" i="7"/>
  <c r="O184" i="6"/>
  <c r="O184" i="5"/>
  <c r="AO12" i="4"/>
  <c r="E16" i="4"/>
  <c r="AP16" i="4" s="1"/>
  <c r="E150" i="4"/>
  <c r="AP150" i="4" s="1"/>
  <c r="E151" i="4"/>
  <c r="AP151" i="4" s="1"/>
  <c r="E152" i="4"/>
  <c r="AP152" i="4" s="1"/>
  <c r="E145" i="4"/>
  <c r="AP145" i="4" s="1"/>
  <c r="E140" i="4"/>
  <c r="AP140" i="4" s="1"/>
  <c r="E130" i="4"/>
  <c r="AP130" i="4" s="1"/>
  <c r="E114" i="4"/>
  <c r="AP114" i="4" s="1"/>
  <c r="E98" i="4"/>
  <c r="AP98" i="4" s="1"/>
  <c r="E142" i="4"/>
  <c r="AP142" i="4" s="1"/>
  <c r="E125" i="4"/>
  <c r="AP125" i="4" s="1"/>
  <c r="E109" i="4"/>
  <c r="AP109" i="4" s="1"/>
  <c r="E136" i="4"/>
  <c r="AP136" i="4" s="1"/>
  <c r="E120" i="4"/>
  <c r="AP120" i="4" s="1"/>
  <c r="E104" i="4"/>
  <c r="AP104" i="4" s="1"/>
  <c r="E153" i="4"/>
  <c r="AP153" i="4" s="1"/>
  <c r="E149" i="4"/>
  <c r="AP149" i="4" s="1"/>
  <c r="E126" i="4"/>
  <c r="AP126" i="4" s="1"/>
  <c r="E110" i="4"/>
  <c r="AP110" i="4" s="1"/>
  <c r="E144" i="4"/>
  <c r="E137" i="4"/>
  <c r="AP137" i="4" s="1"/>
  <c r="E141" i="4"/>
  <c r="AP141" i="4" s="1"/>
  <c r="E138" i="4"/>
  <c r="AP138" i="4" s="1"/>
  <c r="E122" i="4"/>
  <c r="AP122" i="4" s="1"/>
  <c r="E106" i="4"/>
  <c r="AP106" i="4" s="1"/>
  <c r="E118" i="4"/>
  <c r="E121" i="4"/>
  <c r="AP121" i="4" s="1"/>
  <c r="E119" i="4"/>
  <c r="AP119" i="4" s="1"/>
  <c r="E135" i="4"/>
  <c r="AP135" i="4" s="1"/>
  <c r="E131" i="4"/>
  <c r="AP131" i="4" s="1"/>
  <c r="E132" i="4"/>
  <c r="AP132" i="4" s="1"/>
  <c r="E129" i="4"/>
  <c r="E134" i="4"/>
  <c r="AP134" i="4" s="1"/>
  <c r="E128" i="4"/>
  <c r="E116" i="4"/>
  <c r="AP116" i="4" s="1"/>
  <c r="E85" i="4"/>
  <c r="AP85" i="4" s="1"/>
  <c r="E70" i="4"/>
  <c r="E124" i="4"/>
  <c r="E96" i="4"/>
  <c r="AP96" i="4" s="1"/>
  <c r="E80" i="4"/>
  <c r="AP80" i="4" s="1"/>
  <c r="E65" i="4"/>
  <c r="AP65" i="4" s="1"/>
  <c r="E91" i="4"/>
  <c r="AP91" i="4" s="1"/>
  <c r="E148" i="4"/>
  <c r="AP148" i="4" s="1"/>
  <c r="E127" i="4"/>
  <c r="AP127" i="4" s="1"/>
  <c r="E86" i="4"/>
  <c r="AP86" i="4" s="1"/>
  <c r="E71" i="4"/>
  <c r="AP71" i="4" s="1"/>
  <c r="E97" i="4"/>
  <c r="AP97" i="4" s="1"/>
  <c r="E92" i="4"/>
  <c r="AP92" i="4" s="1"/>
  <c r="E143" i="4"/>
  <c r="AP143" i="4" s="1"/>
  <c r="E93" i="4"/>
  <c r="E77" i="4"/>
  <c r="AP77" i="4" s="1"/>
  <c r="E100" i="4"/>
  <c r="AP100" i="4" s="1"/>
  <c r="E95" i="4"/>
  <c r="AP95" i="4" s="1"/>
  <c r="E90" i="4"/>
  <c r="AP90" i="4" s="1"/>
  <c r="E56" i="4"/>
  <c r="E40" i="4"/>
  <c r="AP40" i="4" s="1"/>
  <c r="E99" i="4"/>
  <c r="AP99" i="4" s="1"/>
  <c r="E88" i="4"/>
  <c r="AP88" i="4" s="1"/>
  <c r="E74" i="4"/>
  <c r="AP74" i="4" s="1"/>
  <c r="E51" i="4"/>
  <c r="AP51" i="4" s="1"/>
  <c r="E75" i="4"/>
  <c r="AP75" i="4" s="1"/>
  <c r="E62" i="4"/>
  <c r="AP62" i="4" s="1"/>
  <c r="E46" i="4"/>
  <c r="AP46" i="4" s="1"/>
  <c r="E139" i="4"/>
  <c r="AP139" i="4" s="1"/>
  <c r="E112" i="4"/>
  <c r="E76" i="4"/>
  <c r="AP76" i="4" s="1"/>
  <c r="E57" i="4"/>
  <c r="AP57" i="4" s="1"/>
  <c r="E41" i="4"/>
  <c r="AP41" i="4" s="1"/>
  <c r="E123" i="4"/>
  <c r="AP123" i="4" s="1"/>
  <c r="E113" i="4"/>
  <c r="AP113" i="4" s="1"/>
  <c r="E107" i="4"/>
  <c r="AP107" i="4" s="1"/>
  <c r="E133" i="4"/>
  <c r="AP133" i="4" s="1"/>
  <c r="E115" i="4"/>
  <c r="AP115" i="4" s="1"/>
  <c r="E105" i="4"/>
  <c r="AP105" i="4" s="1"/>
  <c r="E94" i="4"/>
  <c r="AP94" i="4" s="1"/>
  <c r="E82" i="4"/>
  <c r="AP82" i="4" s="1"/>
  <c r="E79" i="4"/>
  <c r="AP79" i="4" s="1"/>
  <c r="E63" i="4"/>
  <c r="E48" i="4"/>
  <c r="AP48" i="4" s="1"/>
  <c r="E147" i="4"/>
  <c r="AP147" i="4" s="1"/>
  <c r="E43" i="4"/>
  <c r="AP43" i="4" s="1"/>
  <c r="E69" i="4"/>
  <c r="E38" i="4"/>
  <c r="AP38" i="4" s="1"/>
  <c r="E22" i="4"/>
  <c r="AP22" i="4" s="1"/>
  <c r="E111" i="4"/>
  <c r="AP111" i="4" s="1"/>
  <c r="E47" i="4"/>
  <c r="AP47" i="4" s="1"/>
  <c r="E44" i="4"/>
  <c r="AP44" i="4" s="1"/>
  <c r="E33" i="4"/>
  <c r="AP33" i="4" s="1"/>
  <c r="E17" i="4"/>
  <c r="E117" i="4"/>
  <c r="E103" i="4"/>
  <c r="AP103" i="4" s="1"/>
  <c r="E45" i="4"/>
  <c r="AP45" i="4" s="1"/>
  <c r="E28" i="4"/>
  <c r="AP28" i="4" s="1"/>
  <c r="E39" i="4"/>
  <c r="AP39" i="4" s="1"/>
  <c r="E146" i="4"/>
  <c r="AP146" i="4" s="1"/>
  <c r="E83" i="4"/>
  <c r="E68" i="4"/>
  <c r="E49" i="4"/>
  <c r="AP49" i="4" s="1"/>
  <c r="E34" i="4"/>
  <c r="AP34" i="4" s="1"/>
  <c r="E18" i="4"/>
  <c r="AP18" i="4" s="1"/>
  <c r="E108" i="4"/>
  <c r="E101" i="4"/>
  <c r="E52" i="4"/>
  <c r="AP52" i="4" s="1"/>
  <c r="E84" i="4"/>
  <c r="E53" i="4"/>
  <c r="AP53" i="4" s="1"/>
  <c r="E50" i="4"/>
  <c r="AP50" i="4" s="1"/>
  <c r="E87" i="4"/>
  <c r="AP87" i="4" s="1"/>
  <c r="E81" i="4"/>
  <c r="AP81" i="4" s="1"/>
  <c r="E54" i="4"/>
  <c r="AP54" i="4" s="1"/>
  <c r="E35" i="4"/>
  <c r="AP35" i="4" s="1"/>
  <c r="E19" i="4"/>
  <c r="AP19" i="4" s="1"/>
  <c r="E64" i="4"/>
  <c r="E59" i="4"/>
  <c r="AP59" i="4" s="1"/>
  <c r="E7" i="4"/>
  <c r="E11" i="4"/>
  <c r="AP11" i="4" s="1"/>
  <c r="E73" i="4"/>
  <c r="AP73" i="4" s="1"/>
  <c r="AO89" i="4"/>
  <c r="AO84" i="4"/>
  <c r="AO42" i="4"/>
  <c r="Y52" i="4"/>
  <c r="AO52" i="4"/>
  <c r="AO79" i="4"/>
  <c r="Y86" i="4"/>
  <c r="AO86" i="4"/>
  <c r="Y89" i="4"/>
  <c r="Y94" i="4"/>
  <c r="AO101" i="4"/>
  <c r="Y101" i="4"/>
  <c r="AO108" i="4"/>
  <c r="Y108" i="4"/>
  <c r="AO68" i="4"/>
  <c r="AO83" i="4"/>
  <c r="Y76" i="4"/>
  <c r="AO76" i="4"/>
  <c r="Y71" i="4"/>
  <c r="AO71" i="4"/>
  <c r="Y117" i="4"/>
  <c r="AO117" i="4"/>
  <c r="Y47" i="4"/>
  <c r="AO47" i="4"/>
  <c r="AO58" i="4"/>
  <c r="AO23" i="4"/>
  <c r="AO46" i="4"/>
  <c r="Y63" i="4"/>
  <c r="Y92" i="4"/>
  <c r="AO92" i="4"/>
  <c r="Y66" i="4"/>
  <c r="AO66" i="4"/>
  <c r="Y83" i="4"/>
  <c r="AI53" i="5"/>
  <c r="AL53" i="5"/>
  <c r="AK53" i="5"/>
  <c r="AJ53" i="5"/>
  <c r="Y81" i="4"/>
  <c r="AO81" i="4"/>
  <c r="AO104" i="4"/>
  <c r="Y104" i="4"/>
  <c r="AO147" i="4"/>
  <c r="AO133" i="4"/>
  <c r="Y133" i="4"/>
  <c r="Y107" i="4"/>
  <c r="AO107" i="4"/>
  <c r="AI63" i="5"/>
  <c r="AL63" i="5"/>
  <c r="AK63" i="5"/>
  <c r="AJ63" i="5"/>
  <c r="Y99" i="4"/>
  <c r="AO100" i="4"/>
  <c r="Y137" i="4"/>
  <c r="AO137" i="4"/>
  <c r="AL48" i="5"/>
  <c r="AK48" i="5"/>
  <c r="AJ48" i="5"/>
  <c r="AI48" i="5"/>
  <c r="AO146" i="4"/>
  <c r="Y146" i="4"/>
  <c r="AO97" i="4"/>
  <c r="AO136" i="4"/>
  <c r="AO116" i="4"/>
  <c r="Y116" i="4"/>
  <c r="AO112" i="4"/>
  <c r="AO129" i="4"/>
  <c r="Y152" i="4"/>
  <c r="AO152" i="4"/>
  <c r="AO141" i="4"/>
  <c r="Y141" i="4"/>
  <c r="AL15" i="5"/>
  <c r="AK15" i="5"/>
  <c r="AJ15" i="5"/>
  <c r="AI15" i="5"/>
  <c r="AL57" i="5"/>
  <c r="AK57" i="5"/>
  <c r="AJ57" i="5"/>
  <c r="AI10" i="5"/>
  <c r="AJ10" i="5" s="1"/>
  <c r="AO120" i="4"/>
  <c r="O125" i="5"/>
  <c r="J152" i="5" s="1"/>
  <c r="AK10" i="5"/>
  <c r="AL10" i="5" s="1"/>
  <c r="AK27" i="5"/>
  <c r="AL27" i="5" s="1"/>
  <c r="AK43" i="5"/>
  <c r="AJ43" i="5"/>
  <c r="AI43" i="5"/>
  <c r="AL23" i="5"/>
  <c r="AI23" i="5"/>
  <c r="AL47" i="5"/>
  <c r="AK47" i="5"/>
  <c r="AJ47" i="5"/>
  <c r="AI47" i="5"/>
  <c r="AL49" i="5"/>
  <c r="AK49" i="5"/>
  <c r="AJ49" i="5"/>
  <c r="AI49" i="5"/>
  <c r="AJ23" i="5"/>
  <c r="AL32" i="5"/>
  <c r="AK32" i="5"/>
  <c r="AJ32" i="5"/>
  <c r="AI32" i="5"/>
  <c r="AO153" i="4"/>
  <c r="AK23" i="5"/>
  <c r="AL12" i="5"/>
  <c r="AI12" i="5"/>
  <c r="AJ12" i="5" s="1"/>
  <c r="AL19" i="5"/>
  <c r="AL41" i="5"/>
  <c r="AK41" i="5"/>
  <c r="AJ41" i="5"/>
  <c r="AI41" i="5"/>
  <c r="AO115" i="4"/>
  <c r="AO131" i="4"/>
  <c r="AO140" i="4"/>
  <c r="AI21" i="5"/>
  <c r="AJ21" i="5" s="1"/>
  <c r="AK21" i="5"/>
  <c r="AL21" i="5" s="1"/>
  <c r="AO148" i="4"/>
  <c r="AI35" i="5"/>
  <c r="AL50" i="5"/>
  <c r="AK50" i="5"/>
  <c r="AJ50" i="5"/>
  <c r="J3" i="5"/>
  <c r="O13" i="5"/>
  <c r="J38" i="5" s="1"/>
  <c r="O24" i="5"/>
  <c r="J132" i="5" s="1"/>
  <c r="AL42" i="5"/>
  <c r="AK42" i="5"/>
  <c r="AJ42" i="5"/>
  <c r="O60" i="5"/>
  <c r="J141" i="5" s="1"/>
  <c r="O90" i="5"/>
  <c r="J142" i="5" s="1"/>
  <c r="O124" i="5"/>
  <c r="J151" i="5" s="1"/>
  <c r="O29" i="5"/>
  <c r="J72" i="5" s="1"/>
  <c r="O37" i="5"/>
  <c r="J113" i="5" s="1"/>
  <c r="O43" i="5"/>
  <c r="J42" i="5" s="1"/>
  <c r="O54" i="5"/>
  <c r="J137" i="5" s="1"/>
  <c r="O139" i="5"/>
  <c r="J169" i="5" s="1"/>
  <c r="O134" i="5"/>
  <c r="J178" i="5" s="1"/>
  <c r="O138" i="5"/>
  <c r="J82" i="5" s="1"/>
  <c r="O153" i="5"/>
  <c r="J94" i="5" s="1"/>
  <c r="O146" i="5"/>
  <c r="J130" i="5" s="1"/>
  <c r="O142" i="5"/>
  <c r="J99" i="5" s="1"/>
  <c r="O145" i="5"/>
  <c r="J92" i="5" s="1"/>
  <c r="O117" i="5"/>
  <c r="J149" i="5" s="1"/>
  <c r="O110" i="5"/>
  <c r="J52" i="5" s="1"/>
  <c r="O140" i="5"/>
  <c r="J121" i="5" s="1"/>
  <c r="O123" i="5"/>
  <c r="J150" i="5" s="1"/>
  <c r="O104" i="5"/>
  <c r="J117" i="5" s="1"/>
  <c r="O154" i="5"/>
  <c r="J95" i="5" s="1"/>
  <c r="O131" i="5"/>
  <c r="J154" i="5" s="1"/>
  <c r="O141" i="5"/>
  <c r="J157" i="5" s="1"/>
  <c r="O132" i="5"/>
  <c r="J177" i="5" s="1"/>
  <c r="O127" i="5"/>
  <c r="J175" i="5" s="1"/>
  <c r="O122" i="5"/>
  <c r="J174" i="5" s="1"/>
  <c r="O97" i="5"/>
  <c r="J76" i="5" s="1"/>
  <c r="O149" i="5"/>
  <c r="J102" i="5" s="1"/>
  <c r="O143" i="5"/>
  <c r="J100" i="5" s="1"/>
  <c r="O120" i="5"/>
  <c r="J110" i="5" s="1"/>
  <c r="O144" i="5"/>
  <c r="J91" i="5" s="1"/>
  <c r="O88" i="5"/>
  <c r="J66" i="5" s="1"/>
  <c r="O82" i="5"/>
  <c r="J123" i="5" s="1"/>
  <c r="O72" i="5"/>
  <c r="J86" i="5" s="1"/>
  <c r="O57" i="5"/>
  <c r="J138" i="5" s="1"/>
  <c r="O50" i="5"/>
  <c r="J135" i="5" s="1"/>
  <c r="O41" i="5"/>
  <c r="J51" i="5" s="1"/>
  <c r="O25" i="5"/>
  <c r="J133" i="5" s="1"/>
  <c r="O135" i="5"/>
  <c r="J156" i="5" s="1"/>
  <c r="O109" i="5"/>
  <c r="J147" i="5" s="1"/>
  <c r="O87" i="5"/>
  <c r="J56" i="5" s="1"/>
  <c r="O66" i="5"/>
  <c r="J164" i="5" s="1"/>
  <c r="O56" i="5"/>
  <c r="J127" i="5" s="1"/>
  <c r="O39" i="5"/>
  <c r="J35" i="5" s="1"/>
  <c r="O81" i="5"/>
  <c r="J62" i="5" s="1"/>
  <c r="O76" i="5"/>
  <c r="J89" i="5" s="1"/>
  <c r="O55" i="5"/>
  <c r="J108" i="5" s="1"/>
  <c r="O49" i="5"/>
  <c r="J170" i="5" s="1"/>
  <c r="O38" i="5"/>
  <c r="J107" i="5" s="1"/>
  <c r="O27" i="5"/>
  <c r="J70" i="5" s="1"/>
  <c r="O15" i="5"/>
  <c r="J59" i="5" s="1"/>
  <c r="O118" i="5"/>
  <c r="J50" i="5" s="1"/>
  <c r="O86" i="5"/>
  <c r="J65" i="5" s="1"/>
  <c r="O152" i="5"/>
  <c r="J104" i="5" s="1"/>
  <c r="O75" i="5"/>
  <c r="J167" i="5" s="1"/>
  <c r="O70" i="5"/>
  <c r="J85" i="5" s="1"/>
  <c r="O155" i="5"/>
  <c r="J96" i="5" s="1"/>
  <c r="O150" i="5"/>
  <c r="J103" i="5" s="1"/>
  <c r="O148" i="5"/>
  <c r="J101" i="5" s="1"/>
  <c r="O136" i="5"/>
  <c r="J163" i="5" s="1"/>
  <c r="O111" i="5"/>
  <c r="J118" i="5" s="1"/>
  <c r="O119" i="5"/>
  <c r="J119" i="5" s="1"/>
  <c r="O103" i="5"/>
  <c r="J44" i="5" s="1"/>
  <c r="O85" i="5"/>
  <c r="J64" i="5" s="1"/>
  <c r="O114" i="5"/>
  <c r="J125" i="5" s="1"/>
  <c r="O98" i="5"/>
  <c r="J161" i="5" s="1"/>
  <c r="O68" i="5"/>
  <c r="J165" i="5" s="1"/>
  <c r="O59" i="5"/>
  <c r="J140" i="5" s="1"/>
  <c r="O11" i="5"/>
  <c r="J57" i="5" s="1"/>
  <c r="O17" i="5"/>
  <c r="J39" i="5" s="1"/>
  <c r="O74" i="5"/>
  <c r="J88" i="5" s="1"/>
  <c r="O78" i="5"/>
  <c r="J54" i="5" s="1"/>
  <c r="O84" i="5"/>
  <c r="J128" i="5" s="1"/>
  <c r="Q172" i="5"/>
  <c r="Q171" i="5"/>
  <c r="O22" i="5"/>
  <c r="J106" i="5" s="1"/>
  <c r="O28" i="5"/>
  <c r="J71" i="5" s="1"/>
  <c r="O36" i="5"/>
  <c r="J40" i="5" s="1"/>
  <c r="O52" i="5"/>
  <c r="J136" i="5" s="1"/>
  <c r="O53" i="5"/>
  <c r="J171" i="5" s="1"/>
  <c r="O96" i="5"/>
  <c r="J144" i="5" s="1"/>
  <c r="AI14" i="5"/>
  <c r="AI19" i="5"/>
  <c r="AJ31" i="5"/>
  <c r="AI40" i="5"/>
  <c r="O42" i="5"/>
  <c r="J36" i="5" s="1"/>
  <c r="AK61" i="5"/>
  <c r="O91" i="5"/>
  <c r="J114" i="5" s="1"/>
  <c r="AJ14" i="5"/>
  <c r="O16" i="5"/>
  <c r="J105" i="5" s="1"/>
  <c r="AJ19" i="5"/>
  <c r="AI25" i="5"/>
  <c r="AK31" i="5"/>
  <c r="O33" i="5"/>
  <c r="J111" i="5" s="1"/>
  <c r="O34" i="5"/>
  <c r="J75" i="5" s="1"/>
  <c r="O35" i="5"/>
  <c r="J112" i="5" s="1"/>
  <c r="AJ40" i="5"/>
  <c r="AK46" i="5"/>
  <c r="AI55" i="5"/>
  <c r="AL61" i="5"/>
  <c r="O106" i="5"/>
  <c r="J172" i="5" s="1"/>
  <c r="AK14" i="5"/>
  <c r="AL14" i="5" s="1"/>
  <c r="AK19" i="5"/>
  <c r="O21" i="5"/>
  <c r="J69" i="5" s="1"/>
  <c r="AJ25" i="5"/>
  <c r="AI30" i="5"/>
  <c r="AI39" i="5"/>
  <c r="AK40" i="5"/>
  <c r="AJ45" i="5"/>
  <c r="AJ55" i="5"/>
  <c r="O67" i="5"/>
  <c r="J84" i="5" s="1"/>
  <c r="O89" i="5"/>
  <c r="J67" i="5" s="1"/>
  <c r="O94" i="5"/>
  <c r="J43" i="5" s="1"/>
  <c r="AJ24" i="5"/>
  <c r="AL25" i="5"/>
  <c r="AJ30" i="5"/>
  <c r="K32" i="5"/>
  <c r="AJ39" i="5"/>
  <c r="AK45" i="5"/>
  <c r="AK55" i="5"/>
  <c r="AO151" i="4"/>
  <c r="O20" i="5"/>
  <c r="J53" i="5" s="1"/>
  <c r="O32" i="5"/>
  <c r="J74" i="5" s="1"/>
  <c r="O48" i="5"/>
  <c r="J134" i="5" s="1"/>
  <c r="O73" i="5"/>
  <c r="J87" i="5" s="1"/>
  <c r="O137" i="5"/>
  <c r="J168" i="5" s="1"/>
  <c r="AL13" i="5"/>
  <c r="AK24" i="5"/>
  <c r="AL24" i="5" s="1"/>
  <c r="O62" i="5"/>
  <c r="J80" i="5" s="1"/>
  <c r="O99" i="5"/>
  <c r="J129" i="5" s="1"/>
  <c r="O115" i="5"/>
  <c r="J173" i="5" s="1"/>
  <c r="AL11" i="6"/>
  <c r="AK11" i="6"/>
  <c r="AI11" i="6"/>
  <c r="AJ11" i="6" s="1"/>
  <c r="AK18" i="6"/>
  <c r="AJ18" i="6"/>
  <c r="AL46" i="6"/>
  <c r="AI46" i="6"/>
  <c r="AJ46" i="6"/>
  <c r="AK46" i="6"/>
  <c r="AJ18" i="7"/>
  <c r="P171" i="5"/>
  <c r="AI58" i="5"/>
  <c r="AL16" i="6"/>
  <c r="AK16" i="6"/>
  <c r="AJ16" i="6"/>
  <c r="AI16" i="6"/>
  <c r="AL29" i="6"/>
  <c r="AJ29" i="6"/>
  <c r="AK29" i="6"/>
  <c r="AI29" i="6"/>
  <c r="AJ58" i="5"/>
  <c r="AL30" i="6"/>
  <c r="AK30" i="6"/>
  <c r="AI30" i="6"/>
  <c r="AL48" i="6"/>
  <c r="AJ48" i="6"/>
  <c r="AK27" i="6"/>
  <c r="AJ27" i="6"/>
  <c r="AL27" i="6"/>
  <c r="AL32" i="6"/>
  <c r="AK32" i="6"/>
  <c r="AJ32" i="6"/>
  <c r="AI32" i="6"/>
  <c r="AL53" i="6"/>
  <c r="AJ53" i="6"/>
  <c r="AK53" i="6"/>
  <c r="AL21" i="6"/>
  <c r="AK21" i="6"/>
  <c r="AJ21" i="6"/>
  <c r="AI21" i="6"/>
  <c r="AL37" i="6"/>
  <c r="AJ37" i="6"/>
  <c r="AI37" i="6"/>
  <c r="AL47" i="6"/>
  <c r="AI47" i="6"/>
  <c r="AK51" i="6"/>
  <c r="AL51" i="6"/>
  <c r="AJ51" i="6"/>
  <c r="AI51" i="6"/>
  <c r="AK37" i="6"/>
  <c r="AJ47" i="6"/>
  <c r="AK47" i="6"/>
  <c r="AL38" i="6"/>
  <c r="AK38" i="6"/>
  <c r="AI38" i="6"/>
  <c r="AL61" i="6"/>
  <c r="AK61" i="6"/>
  <c r="AJ61" i="6"/>
  <c r="AJ13" i="6"/>
  <c r="AL13" i="6"/>
  <c r="AL26" i="6"/>
  <c r="AJ26" i="6"/>
  <c r="AI26" i="6"/>
  <c r="AJ38" i="6"/>
  <c r="AI61" i="6"/>
  <c r="AJ9" i="6"/>
  <c r="T8" i="6"/>
  <c r="AL40" i="6"/>
  <c r="AJ40" i="6"/>
  <c r="AI40" i="6"/>
  <c r="AI8" i="6"/>
  <c r="AI15" i="6"/>
  <c r="AI20" i="6"/>
  <c r="AK8" i="6"/>
  <c r="AK15" i="6"/>
  <c r="AJ20" i="6"/>
  <c r="AL28" i="6"/>
  <c r="AK28" i="6"/>
  <c r="AI28" i="6"/>
  <c r="AI31" i="6"/>
  <c r="AI35" i="6"/>
  <c r="AI44" i="6"/>
  <c r="AL14" i="6"/>
  <c r="AI14" i="6"/>
  <c r="AL15" i="6"/>
  <c r="AK20" i="6"/>
  <c r="AJ31" i="6"/>
  <c r="AJ35" i="6"/>
  <c r="AJ44" i="6"/>
  <c r="P171" i="6"/>
  <c r="P172" i="6"/>
  <c r="J2" i="6"/>
  <c r="K32" i="6"/>
  <c r="O9" i="6"/>
  <c r="AL49" i="6"/>
  <c r="AJ49" i="6"/>
  <c r="AI49" i="6"/>
  <c r="Q171" i="6"/>
  <c r="Q172" i="6"/>
  <c r="AK14" i="6"/>
  <c r="AK24" i="6"/>
  <c r="AK49" i="6"/>
  <c r="AK59" i="6"/>
  <c r="AI62" i="6"/>
  <c r="AJ62" i="6"/>
  <c r="AJ54" i="6"/>
  <c r="AI55" i="6"/>
  <c r="AK62" i="6"/>
  <c r="AJ63" i="6"/>
  <c r="AJ55" i="6"/>
  <c r="AK29" i="7"/>
  <c r="AI29" i="7"/>
  <c r="AL29" i="7"/>
  <c r="AJ29" i="7"/>
  <c r="AK49" i="7"/>
  <c r="AI49" i="7"/>
  <c r="AJ49" i="7"/>
  <c r="AL49" i="7"/>
  <c r="AJ39" i="6"/>
  <c r="AK55" i="6"/>
  <c r="AI56" i="6"/>
  <c r="AJ56" i="6"/>
  <c r="AK56" i="6"/>
  <c r="AL15" i="7"/>
  <c r="AI15" i="7"/>
  <c r="AK15" i="7"/>
  <c r="AJ15" i="7"/>
  <c r="AJ34" i="7"/>
  <c r="AL34" i="7"/>
  <c r="AJ45" i="7"/>
  <c r="AL45" i="7"/>
  <c r="AK45" i="7"/>
  <c r="AI45" i="7"/>
  <c r="AL56" i="7"/>
  <c r="AK56" i="7"/>
  <c r="AI56" i="7"/>
  <c r="AJ56" i="7"/>
  <c r="AL13" i="7"/>
  <c r="AK13" i="7"/>
  <c r="AJ13" i="7"/>
  <c r="AI13" i="7"/>
  <c r="AL27" i="7"/>
  <c r="AI27" i="7"/>
  <c r="AJ27" i="7" s="1"/>
  <c r="AK57" i="7"/>
  <c r="AJ57" i="7"/>
  <c r="AI57" i="7"/>
  <c r="AI16" i="7"/>
  <c r="AJ16" i="7" s="1"/>
  <c r="AL48" i="7"/>
  <c r="AI48" i="7"/>
  <c r="AL57" i="7"/>
  <c r="AL25" i="7"/>
  <c r="AK25" i="7"/>
  <c r="AI25" i="7"/>
  <c r="AJ25" i="7" s="1"/>
  <c r="AL46" i="7"/>
  <c r="AK46" i="7"/>
  <c r="AJ46" i="7"/>
  <c r="AL9" i="7"/>
  <c r="AI9" i="7"/>
  <c r="AL16" i="7"/>
  <c r="AI46" i="7"/>
  <c r="AK48" i="7"/>
  <c r="AK9" i="7"/>
  <c r="AI28" i="7"/>
  <c r="AJ28" i="7" s="1"/>
  <c r="AK28" i="7"/>
  <c r="AL63" i="7"/>
  <c r="AJ63" i="7"/>
  <c r="AI24" i="7"/>
  <c r="AJ24" i="7" s="1"/>
  <c r="AL44" i="7"/>
  <c r="AI44" i="7"/>
  <c r="AI55" i="7"/>
  <c r="AI59" i="7"/>
  <c r="AI63" i="7"/>
  <c r="AI12" i="7"/>
  <c r="AI23" i="7"/>
  <c r="AJ44" i="7"/>
  <c r="AJ55" i="7"/>
  <c r="AK59" i="7"/>
  <c r="AK63" i="7"/>
  <c r="AJ12" i="7"/>
  <c r="AJ23" i="7"/>
  <c r="AK24" i="7"/>
  <c r="AK44" i="7"/>
  <c r="AL55" i="7"/>
  <c r="AL59" i="7"/>
  <c r="P172" i="7"/>
  <c r="P171" i="7"/>
  <c r="AI10" i="7"/>
  <c r="AK12" i="7"/>
  <c r="AK23" i="7"/>
  <c r="AI41" i="7"/>
  <c r="AJ42" i="7"/>
  <c r="Q171" i="7"/>
  <c r="Q172" i="7"/>
  <c r="AJ10" i="7"/>
  <c r="AI21" i="7"/>
  <c r="AJ21" i="7" s="1"/>
  <c r="AI40" i="7"/>
  <c r="AJ41" i="7"/>
  <c r="AK42" i="7"/>
  <c r="AI54" i="7"/>
  <c r="AL41" i="7"/>
  <c r="AL42" i="7"/>
  <c r="AJ54" i="7"/>
  <c r="AI18" i="7"/>
  <c r="AI31" i="7"/>
  <c r="AI33" i="7"/>
  <c r="AI38" i="7"/>
  <c r="AL35" i="7"/>
  <c r="AI35" i="7"/>
  <c r="AI36" i="7"/>
  <c r="AK50" i="7"/>
  <c r="AI50" i="7"/>
  <c r="AI58" i="7"/>
  <c r="O44" i="5" l="1"/>
  <c r="J158" i="5" s="1"/>
  <c r="Z42" i="4"/>
  <c r="Q154" i="5"/>
  <c r="Q145" i="5"/>
  <c r="Q143" i="5"/>
  <c r="Q136" i="5"/>
  <c r="Q129" i="5"/>
  <c r="Q128" i="5"/>
  <c r="Q116" i="5"/>
  <c r="Q91" i="5"/>
  <c r="Q131" i="5"/>
  <c r="Q130" i="5"/>
  <c r="Q109" i="5"/>
  <c r="Q103" i="5"/>
  <c r="Q141" i="5"/>
  <c r="Q132" i="5"/>
  <c r="Q127" i="5"/>
  <c r="Q122" i="5"/>
  <c r="Q148" i="5"/>
  <c r="Q155" i="5"/>
  <c r="Q142" i="5"/>
  <c r="Q133" i="5"/>
  <c r="Q121" i="5"/>
  <c r="Q108" i="5"/>
  <c r="Q102" i="5"/>
  <c r="Q119" i="5"/>
  <c r="Q135" i="5"/>
  <c r="Q126" i="5"/>
  <c r="Q87" i="5"/>
  <c r="Q66" i="5"/>
  <c r="Q65" i="5"/>
  <c r="Q56" i="5"/>
  <c r="Q39" i="5"/>
  <c r="Q146" i="5"/>
  <c r="Q81" i="5"/>
  <c r="Q76" i="5"/>
  <c r="Q117" i="5"/>
  <c r="Q63" i="5"/>
  <c r="Q37" i="5"/>
  <c r="Q140" i="5"/>
  <c r="Q118" i="5"/>
  <c r="Q110" i="5"/>
  <c r="Q86" i="5"/>
  <c r="Q54" i="5"/>
  <c r="Q48" i="5"/>
  <c r="Q36" i="5"/>
  <c r="Q29" i="5"/>
  <c r="Q152" i="5"/>
  <c r="Q138" i="5"/>
  <c r="Q75" i="5"/>
  <c r="Q70" i="5"/>
  <c r="Q62" i="5"/>
  <c r="Q150" i="5"/>
  <c r="Q111" i="5"/>
  <c r="Q80" i="5"/>
  <c r="Q123" i="5"/>
  <c r="Q85" i="5"/>
  <c r="Q112" i="5"/>
  <c r="Q101" i="5"/>
  <c r="Q100" i="5"/>
  <c r="Q74" i="5"/>
  <c r="Q99" i="5"/>
  <c r="Q79" i="5"/>
  <c r="Q139" i="5"/>
  <c r="Q137" i="5"/>
  <c r="Q125" i="5"/>
  <c r="Q115" i="5"/>
  <c r="Q106" i="5"/>
  <c r="Q95" i="5"/>
  <c r="Q94" i="5"/>
  <c r="Q93" i="5"/>
  <c r="Q92" i="5"/>
  <c r="Q90" i="5"/>
  <c r="Q83" i="5"/>
  <c r="Q58" i="5"/>
  <c r="Q120" i="5"/>
  <c r="Q41" i="5"/>
  <c r="Q15" i="5"/>
  <c r="Q153" i="5"/>
  <c r="Q89" i="5"/>
  <c r="Q67" i="5"/>
  <c r="Q49" i="5"/>
  <c r="Q21" i="5"/>
  <c r="Q71" i="5"/>
  <c r="Q57" i="5"/>
  <c r="Q35" i="5"/>
  <c r="Q34" i="5"/>
  <c r="Q33" i="5"/>
  <c r="Q27" i="5"/>
  <c r="Q16" i="5"/>
  <c r="Q114" i="5"/>
  <c r="Q50" i="5"/>
  <c r="Q42" i="5"/>
  <c r="Q7" i="5"/>
  <c r="Q149" i="5"/>
  <c r="Q96" i="5"/>
  <c r="Q68" i="5"/>
  <c r="Q64" i="5"/>
  <c r="Q53" i="5"/>
  <c r="Q52" i="5"/>
  <c r="Q28" i="5"/>
  <c r="Q22" i="5"/>
  <c r="Q144" i="5"/>
  <c r="Q84" i="5"/>
  <c r="Q82" i="5"/>
  <c r="Q78" i="5"/>
  <c r="Q51" i="5"/>
  <c r="Q17" i="5"/>
  <c r="Q11" i="5"/>
  <c r="Q9" i="5"/>
  <c r="Q98" i="5"/>
  <c r="Q43" i="5"/>
  <c r="Q69" i="5"/>
  <c r="Q23" i="5"/>
  <c r="Q12" i="5"/>
  <c r="Q113" i="5"/>
  <c r="Q105" i="5"/>
  <c r="Q88" i="5"/>
  <c r="Q59" i="5"/>
  <c r="Q38" i="5"/>
  <c r="Q147" i="5"/>
  <c r="Q134" i="5"/>
  <c r="Q19" i="5"/>
  <c r="Q10" i="5"/>
  <c r="A8" i="5" s="1"/>
  <c r="Q61" i="5"/>
  <c r="Q20" i="5"/>
  <c r="Q72" i="5"/>
  <c r="Q46" i="5"/>
  <c r="Q31" i="5"/>
  <c r="Q151" i="5"/>
  <c r="Q124" i="5"/>
  <c r="Q44" i="5"/>
  <c r="Q24" i="5"/>
  <c r="Q30" i="5"/>
  <c r="Q26" i="5"/>
  <c r="Q107" i="5"/>
  <c r="Q97" i="5"/>
  <c r="Q45" i="5"/>
  <c r="Q47" i="5"/>
  <c r="Q55" i="5"/>
  <c r="Q73" i="5"/>
  <c r="Q104" i="5"/>
  <c r="Q60" i="5"/>
  <c r="Q13" i="5"/>
  <c r="Q40" i="5"/>
  <c r="Q18" i="5"/>
  <c r="Q14" i="5"/>
  <c r="Q77" i="5"/>
  <c r="Q25" i="5"/>
  <c r="Q8" i="5"/>
  <c r="Q32" i="5"/>
  <c r="AO24" i="4"/>
  <c r="AO124" i="4"/>
  <c r="AP117" i="4"/>
  <c r="AP118" i="4"/>
  <c r="Z27" i="4"/>
  <c r="AO27" i="4"/>
  <c r="O18" i="5"/>
  <c r="J60" i="5" s="1"/>
  <c r="Z16" i="4"/>
  <c r="AO16" i="4"/>
  <c r="Z134" i="4"/>
  <c r="AO134" i="4"/>
  <c r="AO51" i="4"/>
  <c r="Z51" i="4"/>
  <c r="Z118" i="4"/>
  <c r="AO118" i="4"/>
  <c r="Z150" i="4"/>
  <c r="AO150" i="4"/>
  <c r="G19" i="3"/>
  <c r="AO56" i="4"/>
  <c r="Z56" i="4"/>
  <c r="AP17" i="4"/>
  <c r="Z70" i="4"/>
  <c r="AO70" i="4"/>
  <c r="Z26" i="4"/>
  <c r="AO26" i="4"/>
  <c r="Z20" i="4"/>
  <c r="AO20" i="4"/>
  <c r="Z82" i="4"/>
  <c r="AO82" i="4"/>
  <c r="O45" i="5"/>
  <c r="J46" i="5" s="1"/>
  <c r="Z43" i="4"/>
  <c r="AO43" i="4"/>
  <c r="Z74" i="4"/>
  <c r="AO74" i="4"/>
  <c r="AO65" i="4"/>
  <c r="Z65" i="4"/>
  <c r="Z122" i="4"/>
  <c r="AO122" i="4"/>
  <c r="AO31" i="4"/>
  <c r="F74" i="3"/>
  <c r="F56" i="3"/>
  <c r="G56" i="3" s="1"/>
  <c r="F40" i="3"/>
  <c r="G40" i="3" s="1"/>
  <c r="F22" i="3"/>
  <c r="G22" i="3" s="1"/>
  <c r="F19" i="3"/>
  <c r="O26" i="5"/>
  <c r="J45" i="5" s="1"/>
  <c r="O130" i="5"/>
  <c r="J153" i="5" s="1"/>
  <c r="O133" i="5"/>
  <c r="J155" i="5" s="1"/>
  <c r="AO94" i="4"/>
  <c r="AO78" i="4"/>
  <c r="AP84" i="4"/>
  <c r="O79" i="5"/>
  <c r="J61" i="5" s="1"/>
  <c r="Z77" i="4"/>
  <c r="Z22" i="4"/>
  <c r="AO22" i="4"/>
  <c r="Z40" i="4"/>
  <c r="AO40" i="4"/>
  <c r="O61" i="5"/>
  <c r="J79" i="5" s="1"/>
  <c r="Z59" i="4"/>
  <c r="O95" i="5"/>
  <c r="J143" i="5" s="1"/>
  <c r="Z93" i="4"/>
  <c r="AO93" i="4"/>
  <c r="AO80" i="4"/>
  <c r="Z80" i="4"/>
  <c r="Z138" i="4"/>
  <c r="AO138" i="4"/>
  <c r="G54" i="3"/>
  <c r="G38" i="3"/>
  <c r="G17" i="3"/>
  <c r="Z61" i="4"/>
  <c r="AO61" i="4"/>
  <c r="AO128" i="4"/>
  <c r="AO99" i="4"/>
  <c r="AP56" i="4"/>
  <c r="Z95" i="4"/>
  <c r="AO95" i="4"/>
  <c r="Z39" i="4"/>
  <c r="AO39" i="4"/>
  <c r="Z73" i="4"/>
  <c r="AO73" i="4"/>
  <c r="AO96" i="4"/>
  <c r="Z96" i="4"/>
  <c r="AO109" i="4"/>
  <c r="Z109" i="4"/>
  <c r="G59" i="3"/>
  <c r="F75" i="3"/>
  <c r="F72" i="3"/>
  <c r="F54" i="3"/>
  <c r="F38" i="3"/>
  <c r="F20" i="3"/>
  <c r="G20" i="3" s="1"/>
  <c r="F17" i="3"/>
  <c r="O155" i="6"/>
  <c r="J96" i="6" s="1"/>
  <c r="O145" i="6"/>
  <c r="J92" i="6" s="1"/>
  <c r="O143" i="6"/>
  <c r="J100" i="6" s="1"/>
  <c r="O128" i="6"/>
  <c r="J176" i="6" s="1"/>
  <c r="O154" i="6"/>
  <c r="J95" i="6" s="1"/>
  <c r="O137" i="6"/>
  <c r="J168" i="6" s="1"/>
  <c r="O132" i="6"/>
  <c r="J177" i="6" s="1"/>
  <c r="O109" i="6"/>
  <c r="J147" i="6" s="1"/>
  <c r="O103" i="6"/>
  <c r="J44" i="6" s="1"/>
  <c r="O146" i="6"/>
  <c r="J130" i="6" s="1"/>
  <c r="O142" i="6"/>
  <c r="J99" i="6" s="1"/>
  <c r="O153" i="6"/>
  <c r="J94" i="6" s="1"/>
  <c r="O136" i="6"/>
  <c r="J163" i="6" s="1"/>
  <c r="O152" i="6"/>
  <c r="J104" i="6" s="1"/>
  <c r="O147" i="6"/>
  <c r="J131" i="6" s="1"/>
  <c r="O131" i="6"/>
  <c r="J154" i="6" s="1"/>
  <c r="O141" i="6"/>
  <c r="J157" i="6" s="1"/>
  <c r="O126" i="6"/>
  <c r="J162" i="6" s="1"/>
  <c r="O120" i="6"/>
  <c r="J110" i="6" s="1"/>
  <c r="O140" i="6"/>
  <c r="J121" i="6" s="1"/>
  <c r="O124" i="6"/>
  <c r="J151" i="6" s="1"/>
  <c r="O93" i="6"/>
  <c r="J115" i="6" s="1"/>
  <c r="O133" i="6"/>
  <c r="J155" i="6" s="1"/>
  <c r="O87" i="6"/>
  <c r="J56" i="6" s="1"/>
  <c r="O92" i="6"/>
  <c r="J47" i="6" s="1"/>
  <c r="O81" i="6"/>
  <c r="J62" i="6" s="1"/>
  <c r="O76" i="6"/>
  <c r="J89" i="6" s="1"/>
  <c r="O71" i="6"/>
  <c r="J166" i="6" s="1"/>
  <c r="O150" i="6"/>
  <c r="J103" i="6" s="1"/>
  <c r="O148" i="6"/>
  <c r="J101" i="6" s="1"/>
  <c r="O125" i="6"/>
  <c r="J152" i="6" s="1"/>
  <c r="O98" i="6"/>
  <c r="J161" i="6" s="1"/>
  <c r="O138" i="6"/>
  <c r="J82" i="6" s="1"/>
  <c r="O91" i="6"/>
  <c r="J114" i="6" s="1"/>
  <c r="O86" i="6"/>
  <c r="J65" i="6" s="1"/>
  <c r="O75" i="6"/>
  <c r="J167" i="6" s="1"/>
  <c r="O129" i="6"/>
  <c r="J81" i="6" s="1"/>
  <c r="O119" i="6"/>
  <c r="J119" i="6" s="1"/>
  <c r="O118" i="6"/>
  <c r="J50" i="6" s="1"/>
  <c r="O97" i="6"/>
  <c r="J76" i="6" s="1"/>
  <c r="O134" i="6"/>
  <c r="J178" i="6" s="1"/>
  <c r="O117" i="6"/>
  <c r="J149" i="6" s="1"/>
  <c r="O116" i="6"/>
  <c r="J49" i="6" s="1"/>
  <c r="O115" i="6"/>
  <c r="J173" i="6" s="1"/>
  <c r="O114" i="6"/>
  <c r="J125" i="6" s="1"/>
  <c r="O113" i="6"/>
  <c r="J148" i="6" s="1"/>
  <c r="O112" i="6"/>
  <c r="J124" i="6" s="1"/>
  <c r="O111" i="6"/>
  <c r="J118" i="6" s="1"/>
  <c r="O110" i="6"/>
  <c r="J52" i="6" s="1"/>
  <c r="O105" i="6"/>
  <c r="J77" i="6" s="1"/>
  <c r="O104" i="6"/>
  <c r="J117" i="6" s="1"/>
  <c r="O102" i="6"/>
  <c r="J145" i="6" s="1"/>
  <c r="O101" i="6"/>
  <c r="J48" i="6" s="1"/>
  <c r="O139" i="6"/>
  <c r="J169" i="6" s="1"/>
  <c r="O122" i="6"/>
  <c r="J174" i="6" s="1"/>
  <c r="O106" i="6"/>
  <c r="J172" i="6" s="1"/>
  <c r="O95" i="6"/>
  <c r="J143" i="6" s="1"/>
  <c r="O63" i="6"/>
  <c r="J109" i="6" s="1"/>
  <c r="O37" i="6"/>
  <c r="J113" i="6" s="1"/>
  <c r="O28" i="6"/>
  <c r="J71" i="6" s="1"/>
  <c r="O16" i="6"/>
  <c r="J105" i="6" s="1"/>
  <c r="O90" i="6"/>
  <c r="J142" i="6" s="1"/>
  <c r="O80" i="6"/>
  <c r="J55" i="6" s="1"/>
  <c r="O72" i="6"/>
  <c r="J86" i="6" s="1"/>
  <c r="O54" i="6"/>
  <c r="J137" i="6" s="1"/>
  <c r="O135" i="6"/>
  <c r="J156" i="6" s="1"/>
  <c r="O108" i="6"/>
  <c r="J146" i="6" s="1"/>
  <c r="O74" i="6"/>
  <c r="J88" i="6" s="1"/>
  <c r="O73" i="6"/>
  <c r="J87" i="6" s="1"/>
  <c r="O62" i="6"/>
  <c r="J80" i="6" s="1"/>
  <c r="O35" i="6"/>
  <c r="J112" i="6" s="1"/>
  <c r="O30" i="6"/>
  <c r="J34" i="6" s="1"/>
  <c r="O151" i="6"/>
  <c r="J93" i="6" s="1"/>
  <c r="O47" i="6"/>
  <c r="J159" i="6" s="1"/>
  <c r="O61" i="6"/>
  <c r="J79" i="6" s="1"/>
  <c r="O130" i="6"/>
  <c r="J153" i="6" s="1"/>
  <c r="O121" i="6"/>
  <c r="J120" i="6" s="1"/>
  <c r="O46" i="6"/>
  <c r="J37" i="6" s="1"/>
  <c r="O33" i="6"/>
  <c r="J111" i="6" s="1"/>
  <c r="O127" i="6"/>
  <c r="J175" i="6" s="1"/>
  <c r="O96" i="6"/>
  <c r="J144" i="6" s="1"/>
  <c r="O82" i="6"/>
  <c r="J123" i="6" s="1"/>
  <c r="O60" i="6"/>
  <c r="J141" i="6" s="1"/>
  <c r="O100" i="6"/>
  <c r="J116" i="6" s="1"/>
  <c r="O149" i="6"/>
  <c r="J102" i="6" s="1"/>
  <c r="O70" i="6"/>
  <c r="J85" i="6" s="1"/>
  <c r="O69" i="6"/>
  <c r="J98" i="6" s="1"/>
  <c r="O68" i="6"/>
  <c r="J165" i="6" s="1"/>
  <c r="O67" i="6"/>
  <c r="J84" i="6" s="1"/>
  <c r="O57" i="6"/>
  <c r="J138" i="6" s="1"/>
  <c r="O50" i="6"/>
  <c r="J135" i="6" s="1"/>
  <c r="O41" i="6"/>
  <c r="J51" i="6" s="1"/>
  <c r="O25" i="6"/>
  <c r="J133" i="6" s="1"/>
  <c r="O58" i="6"/>
  <c r="J139" i="6" s="1"/>
  <c r="O21" i="6"/>
  <c r="J69" i="6" s="1"/>
  <c r="O89" i="6"/>
  <c r="J67" i="6" s="1"/>
  <c r="O83" i="6"/>
  <c r="J63" i="6" s="1"/>
  <c r="O65" i="6"/>
  <c r="J83" i="6" s="1"/>
  <c r="O52" i="6"/>
  <c r="J136" i="6" s="1"/>
  <c r="O29" i="6"/>
  <c r="J72" i="6" s="1"/>
  <c r="O99" i="6"/>
  <c r="J129" i="6" s="1"/>
  <c r="O78" i="6"/>
  <c r="J54" i="6" s="1"/>
  <c r="O26" i="6"/>
  <c r="J45" i="6" s="1"/>
  <c r="O11" i="6"/>
  <c r="J57" i="6" s="1"/>
  <c r="O42" i="6"/>
  <c r="J36" i="6" s="1"/>
  <c r="O22" i="6"/>
  <c r="J106" i="6" s="1"/>
  <c r="O107" i="6"/>
  <c r="J78" i="6" s="1"/>
  <c r="O56" i="6"/>
  <c r="J127" i="6" s="1"/>
  <c r="O94" i="6"/>
  <c r="J43" i="6" s="1"/>
  <c r="O88" i="6"/>
  <c r="J66" i="6" s="1"/>
  <c r="O59" i="6"/>
  <c r="J140" i="6" s="1"/>
  <c r="O53" i="6"/>
  <c r="J171" i="6" s="1"/>
  <c r="O17" i="6"/>
  <c r="J39" i="6" s="1"/>
  <c r="O12" i="6"/>
  <c r="J58" i="6" s="1"/>
  <c r="O43" i="6"/>
  <c r="J42" i="6" s="1"/>
  <c r="O85" i="6"/>
  <c r="J64" i="6" s="1"/>
  <c r="O77" i="6"/>
  <c r="J90" i="6" s="1"/>
  <c r="O64" i="6"/>
  <c r="J97" i="6" s="1"/>
  <c r="O38" i="6"/>
  <c r="J107" i="6" s="1"/>
  <c r="O34" i="6"/>
  <c r="J75" i="6" s="1"/>
  <c r="O27" i="6"/>
  <c r="J70" i="6" s="1"/>
  <c r="O23" i="6"/>
  <c r="J126" i="6" s="1"/>
  <c r="O13" i="6"/>
  <c r="J38" i="6" s="1"/>
  <c r="O84" i="6"/>
  <c r="J128" i="6" s="1"/>
  <c r="O79" i="6"/>
  <c r="J61" i="6" s="1"/>
  <c r="O18" i="6"/>
  <c r="J60" i="6" s="1"/>
  <c r="O48" i="6"/>
  <c r="J134" i="6" s="1"/>
  <c r="O32" i="6"/>
  <c r="J74" i="6" s="1"/>
  <c r="O44" i="6"/>
  <c r="J158" i="6" s="1"/>
  <c r="O20" i="6"/>
  <c r="J53" i="6" s="1"/>
  <c r="O40" i="6"/>
  <c r="J41" i="6" s="1"/>
  <c r="O36" i="6"/>
  <c r="J40" i="6" s="1"/>
  <c r="O24" i="6"/>
  <c r="J132" i="6" s="1"/>
  <c r="O15" i="6"/>
  <c r="J59" i="6" s="1"/>
  <c r="O66" i="6"/>
  <c r="J164" i="6" s="1"/>
  <c r="O31" i="6"/>
  <c r="J73" i="6" s="1"/>
  <c r="O45" i="6"/>
  <c r="J46" i="6" s="1"/>
  <c r="O144" i="6"/>
  <c r="J91" i="6" s="1"/>
  <c r="O14" i="6"/>
  <c r="J122" i="6" s="1"/>
  <c r="O51" i="6"/>
  <c r="J160" i="6" s="1"/>
  <c r="O123" i="6"/>
  <c r="J150" i="6" s="1"/>
  <c r="O39" i="6"/>
  <c r="J35" i="6" s="1"/>
  <c r="O49" i="6"/>
  <c r="J170" i="6" s="1"/>
  <c r="O55" i="6"/>
  <c r="J108" i="6" s="1"/>
  <c r="O19" i="6"/>
  <c r="J68" i="6" s="1"/>
  <c r="G24" i="3"/>
  <c r="Z143" i="4"/>
  <c r="AO143" i="4"/>
  <c r="AO127" i="4"/>
  <c r="Z127" i="4"/>
  <c r="R7" i="7"/>
  <c r="R77" i="7"/>
  <c r="R7" i="5"/>
  <c r="R77" i="5"/>
  <c r="O80" i="5"/>
  <c r="J55" i="5" s="1"/>
  <c r="O77" i="5"/>
  <c r="J90" i="5" s="1"/>
  <c r="AP101" i="4"/>
  <c r="AP124" i="4"/>
  <c r="AP61" i="4"/>
  <c r="Z88" i="4"/>
  <c r="AO88" i="4"/>
  <c r="Z135" i="4"/>
  <c r="AO135" i="4"/>
  <c r="Z125" i="4"/>
  <c r="AO125" i="4"/>
  <c r="F48" i="3"/>
  <c r="G36" i="3"/>
  <c r="G18" i="3"/>
  <c r="AP108" i="4"/>
  <c r="AP70" i="4"/>
  <c r="O14" i="5"/>
  <c r="J122" i="5" s="1"/>
  <c r="Z12" i="4"/>
  <c r="O30" i="5"/>
  <c r="J34" i="5" s="1"/>
  <c r="Z28" i="4"/>
  <c r="AO98" i="4"/>
  <c r="O100" i="5"/>
  <c r="J116" i="5" s="1"/>
  <c r="Z98" i="4"/>
  <c r="Z113" i="4"/>
  <c r="AO113" i="4"/>
  <c r="Z110" i="4"/>
  <c r="O112" i="5"/>
  <c r="J124" i="5" s="1"/>
  <c r="Z119" i="4"/>
  <c r="O121" i="5"/>
  <c r="J120" i="5" s="1"/>
  <c r="AO119" i="4"/>
  <c r="AO142" i="4"/>
  <c r="Z142" i="4"/>
  <c r="G27" i="3"/>
  <c r="F71" i="3"/>
  <c r="G71" i="3" s="1"/>
  <c r="F70" i="3"/>
  <c r="G70" i="3" s="1"/>
  <c r="F52" i="3"/>
  <c r="G52" i="3" s="1"/>
  <c r="F36" i="3"/>
  <c r="F18" i="3"/>
  <c r="F35" i="3"/>
  <c r="F13" i="3"/>
  <c r="G13" i="3" s="1"/>
  <c r="O93" i="5"/>
  <c r="J115" i="5" s="1"/>
  <c r="Z91" i="4"/>
  <c r="G58" i="3"/>
  <c r="R77" i="6"/>
  <c r="R7" i="6"/>
  <c r="O128" i="5"/>
  <c r="J176" i="5" s="1"/>
  <c r="AO75" i="4"/>
  <c r="AP144" i="4"/>
  <c r="AP15" i="4"/>
  <c r="O23" i="5"/>
  <c r="J126" i="5" s="1"/>
  <c r="Z21" i="4"/>
  <c r="AO21" i="4"/>
  <c r="O47" i="5"/>
  <c r="J159" i="5" s="1"/>
  <c r="Z45" i="4"/>
  <c r="AO45" i="4"/>
  <c r="O113" i="5"/>
  <c r="J148" i="5" s="1"/>
  <c r="AO111" i="4"/>
  <c r="Z111" i="4"/>
  <c r="O151" i="5"/>
  <c r="J93" i="5" s="1"/>
  <c r="AO149" i="4"/>
  <c r="Z149" i="4"/>
  <c r="HB6" i="2"/>
  <c r="HA6" i="2"/>
  <c r="G11" i="3"/>
  <c r="G15" i="3"/>
  <c r="Z90" i="4"/>
  <c r="AO90" i="4"/>
  <c r="F58" i="3"/>
  <c r="O129" i="5"/>
  <c r="J81" i="5" s="1"/>
  <c r="Z72" i="4"/>
  <c r="AO72" i="4"/>
  <c r="AO85" i="4"/>
  <c r="Z85" i="4"/>
  <c r="O105" i="5"/>
  <c r="J77" i="5" s="1"/>
  <c r="AO103" i="4"/>
  <c r="Z103" i="4"/>
  <c r="Z123" i="4"/>
  <c r="AO123" i="4"/>
  <c r="AO130" i="4"/>
  <c r="Z130" i="4"/>
  <c r="AO32" i="4"/>
  <c r="F39" i="3"/>
  <c r="F68" i="3"/>
  <c r="F50" i="3"/>
  <c r="G50" i="3" s="1"/>
  <c r="F34" i="3"/>
  <c r="F16" i="3"/>
  <c r="G16" i="3" s="1"/>
  <c r="F11" i="3"/>
  <c r="Q154" i="6"/>
  <c r="Q137" i="6"/>
  <c r="Q132" i="6"/>
  <c r="Q153" i="6"/>
  <c r="Q115" i="6"/>
  <c r="Q136" i="6"/>
  <c r="Q152" i="6"/>
  <c r="Q147" i="6"/>
  <c r="Q131" i="6"/>
  <c r="Q141" i="6"/>
  <c r="Q126" i="6"/>
  <c r="Q151" i="6"/>
  <c r="Q150" i="6"/>
  <c r="Q149" i="6"/>
  <c r="Q148" i="6"/>
  <c r="Q140" i="6"/>
  <c r="Q135" i="6"/>
  <c r="Q119" i="6"/>
  <c r="Q113" i="6"/>
  <c r="Q130" i="6"/>
  <c r="Q125" i="6"/>
  <c r="Q144" i="6"/>
  <c r="Q128" i="6"/>
  <c r="Q92" i="6"/>
  <c r="Q81" i="6"/>
  <c r="Q76" i="6"/>
  <c r="Q71" i="6"/>
  <c r="Q146" i="6"/>
  <c r="Q98" i="6"/>
  <c r="Q138" i="6"/>
  <c r="Q91" i="6"/>
  <c r="Q86" i="6"/>
  <c r="Q75" i="6"/>
  <c r="Q70" i="6"/>
  <c r="Q129" i="6"/>
  <c r="Q118" i="6"/>
  <c r="Q97" i="6"/>
  <c r="Q80" i="6"/>
  <c r="Q143" i="6"/>
  <c r="Q134" i="6"/>
  <c r="Q90" i="6"/>
  <c r="Q85" i="6"/>
  <c r="Q120" i="6"/>
  <c r="Q117" i="6"/>
  <c r="Q116" i="6"/>
  <c r="Q114" i="6"/>
  <c r="Q112" i="6"/>
  <c r="Q111" i="6"/>
  <c r="Q110" i="6"/>
  <c r="Q145" i="6"/>
  <c r="Q121" i="6"/>
  <c r="Q109" i="6"/>
  <c r="Q108" i="6"/>
  <c r="Q96" i="6"/>
  <c r="Q139" i="6"/>
  <c r="Q107" i="6"/>
  <c r="Q155" i="6"/>
  <c r="Q93" i="6"/>
  <c r="Q74" i="6"/>
  <c r="Q73" i="6"/>
  <c r="Q62" i="6"/>
  <c r="Q35" i="6"/>
  <c r="Q30" i="6"/>
  <c r="Q17" i="6"/>
  <c r="Q10" i="6"/>
  <c r="A8" i="6" s="1"/>
  <c r="Q103" i="6"/>
  <c r="Q61" i="6"/>
  <c r="Q53" i="6"/>
  <c r="Q34" i="6"/>
  <c r="Q32" i="6"/>
  <c r="Q31" i="6"/>
  <c r="Q46" i="6"/>
  <c r="Q33" i="6"/>
  <c r="Q19" i="6"/>
  <c r="Q8" i="6"/>
  <c r="Q127" i="6"/>
  <c r="Q87" i="6"/>
  <c r="Q82" i="6"/>
  <c r="Q60" i="6"/>
  <c r="Q124" i="6"/>
  <c r="Q105" i="6"/>
  <c r="Q100" i="6"/>
  <c r="Q52" i="6"/>
  <c r="Q45" i="6"/>
  <c r="Q142" i="6"/>
  <c r="Q59" i="6"/>
  <c r="Q94" i="6"/>
  <c r="Q88" i="6"/>
  <c r="Q83" i="6"/>
  <c r="Q102" i="6"/>
  <c r="Q66" i="6"/>
  <c r="Q65" i="6"/>
  <c r="Q56" i="6"/>
  <c r="Q39" i="6"/>
  <c r="Q122" i="6"/>
  <c r="Q99" i="6"/>
  <c r="Q78" i="6"/>
  <c r="Q41" i="6"/>
  <c r="Q26" i="6"/>
  <c r="Q16" i="6"/>
  <c r="Q11" i="6"/>
  <c r="Q9" i="6"/>
  <c r="Q95" i="6"/>
  <c r="Q63" i="6"/>
  <c r="Q42" i="6"/>
  <c r="Q37" i="6"/>
  <c r="Q22" i="6"/>
  <c r="Q67" i="6"/>
  <c r="Q47" i="6"/>
  <c r="Q12" i="6"/>
  <c r="Q133" i="6"/>
  <c r="Q43" i="6"/>
  <c r="Q77" i="6"/>
  <c r="Q64" i="6"/>
  <c r="Q38" i="6"/>
  <c r="Q27" i="6"/>
  <c r="Q23" i="6"/>
  <c r="Q13" i="6"/>
  <c r="Q69" i="6"/>
  <c r="Q48" i="6"/>
  <c r="Q18" i="6"/>
  <c r="Q72" i="6"/>
  <c r="Q123" i="6"/>
  <c r="Q68" i="6"/>
  <c r="Q40" i="6"/>
  <c r="Q104" i="6"/>
  <c r="Q57" i="6"/>
  <c r="Q44" i="6"/>
  <c r="Q20" i="6"/>
  <c r="Q54" i="6"/>
  <c r="Q50" i="6"/>
  <c r="Q29" i="6"/>
  <c r="Q36" i="6"/>
  <c r="Q24" i="6"/>
  <c r="Q7" i="6"/>
  <c r="Q15" i="6"/>
  <c r="Q101" i="6"/>
  <c r="Q89" i="6"/>
  <c r="Q55" i="6"/>
  <c r="Q51" i="6"/>
  <c r="Q106" i="6"/>
  <c r="Q58" i="6"/>
  <c r="Q84" i="6"/>
  <c r="Q14" i="6"/>
  <c r="Q25" i="6"/>
  <c r="Q49" i="6"/>
  <c r="Q79" i="6"/>
  <c r="Q28" i="6"/>
  <c r="Q21" i="6"/>
  <c r="Z69" i="4"/>
  <c r="AO69" i="4"/>
  <c r="Z106" i="4"/>
  <c r="AO106" i="4"/>
  <c r="AO126" i="4"/>
  <c r="O101" i="5"/>
  <c r="J48" i="5" s="1"/>
  <c r="Y7" i="4"/>
  <c r="AP7" i="4"/>
  <c r="AP69" i="4"/>
  <c r="AP93" i="4"/>
  <c r="AP128" i="4"/>
  <c r="H151" i="4"/>
  <c r="H152" i="4"/>
  <c r="H153" i="4"/>
  <c r="H131" i="4"/>
  <c r="H115" i="4"/>
  <c r="H99" i="4"/>
  <c r="H149" i="4"/>
  <c r="H126" i="4"/>
  <c r="H110" i="4"/>
  <c r="H137" i="4"/>
  <c r="H121" i="4"/>
  <c r="H105" i="4"/>
  <c r="H144" i="4"/>
  <c r="H127" i="4"/>
  <c r="H111" i="4"/>
  <c r="H150" i="4"/>
  <c r="H138" i="4"/>
  <c r="H139" i="4"/>
  <c r="H123" i="4"/>
  <c r="H107" i="4"/>
  <c r="H122" i="4"/>
  <c r="H120" i="4"/>
  <c r="H145" i="4"/>
  <c r="H140" i="4"/>
  <c r="H142" i="4"/>
  <c r="H125" i="4"/>
  <c r="H128" i="4"/>
  <c r="H148" i="4"/>
  <c r="H133" i="4"/>
  <c r="H143" i="4"/>
  <c r="H112" i="4"/>
  <c r="H86" i="4"/>
  <c r="H71" i="4"/>
  <c r="H135" i="4"/>
  <c r="H97" i="4"/>
  <c r="H81" i="4"/>
  <c r="H66" i="4"/>
  <c r="H136" i="4"/>
  <c r="H92" i="4"/>
  <c r="H76" i="4"/>
  <c r="H87" i="4"/>
  <c r="H72" i="4"/>
  <c r="H109" i="4"/>
  <c r="H93" i="4"/>
  <c r="H94" i="4"/>
  <c r="H78" i="4"/>
  <c r="H63" i="4"/>
  <c r="H75" i="4"/>
  <c r="H57" i="4"/>
  <c r="H41" i="4"/>
  <c r="H130" i="4"/>
  <c r="H52" i="4"/>
  <c r="H141" i="4"/>
  <c r="H113" i="4"/>
  <c r="H98" i="4"/>
  <c r="H77" i="4"/>
  <c r="H47" i="4"/>
  <c r="H58" i="4"/>
  <c r="H42" i="4"/>
  <c r="H96" i="4"/>
  <c r="H91" i="4"/>
  <c r="H82" i="4"/>
  <c r="H147" i="4"/>
  <c r="H106" i="4"/>
  <c r="H89" i="4"/>
  <c r="H124" i="4"/>
  <c r="H103" i="4"/>
  <c r="H84" i="4"/>
  <c r="H65" i="4"/>
  <c r="H49" i="4"/>
  <c r="H74" i="4"/>
  <c r="H45" i="4"/>
  <c r="H48" i="4"/>
  <c r="H46" i="4"/>
  <c r="H39" i="4"/>
  <c r="H23" i="4"/>
  <c r="H119" i="4"/>
  <c r="H117" i="4"/>
  <c r="H34" i="4"/>
  <c r="H18" i="4"/>
  <c r="H68" i="4"/>
  <c r="H29" i="4"/>
  <c r="H146" i="4"/>
  <c r="H101" i="4"/>
  <c r="H83" i="4"/>
  <c r="H79" i="4"/>
  <c r="H53" i="4"/>
  <c r="H50" i="4"/>
  <c r="H108" i="4"/>
  <c r="H85" i="4"/>
  <c r="H51" i="4"/>
  <c r="H35" i="4"/>
  <c r="H19" i="4"/>
  <c r="H104" i="4"/>
  <c r="H54" i="4"/>
  <c r="H73" i="4"/>
  <c r="H55" i="4"/>
  <c r="H67" i="4"/>
  <c r="H56" i="4"/>
  <c r="H36" i="4"/>
  <c r="H20" i="4"/>
  <c r="H61" i="4"/>
  <c r="H40" i="4"/>
  <c r="H129" i="4"/>
  <c r="H100" i="4"/>
  <c r="H80" i="4"/>
  <c r="H38" i="4"/>
  <c r="H24" i="4"/>
  <c r="H21" i="4"/>
  <c r="H12" i="4"/>
  <c r="H116" i="4"/>
  <c r="H60" i="4"/>
  <c r="H25" i="4"/>
  <c r="H22" i="4"/>
  <c r="H134" i="4"/>
  <c r="H64" i="4"/>
  <c r="H37" i="4"/>
  <c r="H26" i="4"/>
  <c r="H27" i="4"/>
  <c r="H13" i="4"/>
  <c r="H88" i="4"/>
  <c r="H30" i="4"/>
  <c r="H28" i="4"/>
  <c r="H132" i="4"/>
  <c r="H69" i="4"/>
  <c r="H31" i="4"/>
  <c r="H14" i="4"/>
  <c r="H102" i="4"/>
  <c r="H9" i="4"/>
  <c r="K2" i="4"/>
  <c r="H62" i="4"/>
  <c r="H32" i="4"/>
  <c r="H114" i="4"/>
  <c r="H90" i="4"/>
  <c r="H43" i="4"/>
  <c r="H33" i="4"/>
  <c r="H95" i="4"/>
  <c r="H70" i="4"/>
  <c r="H59" i="4"/>
  <c r="H44" i="4"/>
  <c r="H118" i="4"/>
  <c r="H17" i="4"/>
  <c r="H11" i="4"/>
  <c r="H15" i="4"/>
  <c r="H16" i="4"/>
  <c r="H10" i="4"/>
  <c r="I3" i="4"/>
  <c r="O19" i="5"/>
  <c r="J68" i="5" s="1"/>
  <c r="Z17" i="4"/>
  <c r="AO17" i="4"/>
  <c r="Z139" i="4"/>
  <c r="AO139" i="4"/>
  <c r="G86" i="3"/>
  <c r="G66" i="3"/>
  <c r="E53" i="3"/>
  <c r="G14" i="3"/>
  <c r="O58" i="5"/>
  <c r="J139" i="5" s="1"/>
  <c r="AP68" i="4"/>
  <c r="AP112" i="4"/>
  <c r="Z100" i="4"/>
  <c r="O102" i="5"/>
  <c r="J145" i="5" s="1"/>
  <c r="Z50" i="4"/>
  <c r="AO50" i="4"/>
  <c r="AO33" i="4"/>
  <c r="Z33" i="4"/>
  <c r="Z81" i="4"/>
  <c r="O83" i="5"/>
  <c r="J63" i="5" s="1"/>
  <c r="Z105" i="4"/>
  <c r="O107" i="5"/>
  <c r="J78" i="5" s="1"/>
  <c r="G30" i="3"/>
  <c r="Q138" i="7"/>
  <c r="Q133" i="7"/>
  <c r="Q151" i="7"/>
  <c r="Q150" i="7"/>
  <c r="Q149" i="7"/>
  <c r="Q148" i="7"/>
  <c r="Q140" i="7"/>
  <c r="Q135" i="7"/>
  <c r="Q119" i="7"/>
  <c r="Q130" i="7"/>
  <c r="Q125" i="7"/>
  <c r="Q144" i="7"/>
  <c r="Q141" i="7"/>
  <c r="Q117" i="7"/>
  <c r="Q97" i="7"/>
  <c r="Q80" i="7"/>
  <c r="Q152" i="7"/>
  <c r="Q147" i="7"/>
  <c r="Q116" i="7"/>
  <c r="Q153" i="7"/>
  <c r="Q108" i="7"/>
  <c r="Q102" i="7"/>
  <c r="Q154" i="7"/>
  <c r="Q115" i="7"/>
  <c r="Q96" i="7"/>
  <c r="Q79" i="7"/>
  <c r="Q155" i="7"/>
  <c r="Q145" i="7"/>
  <c r="Q107" i="7"/>
  <c r="Q113" i="7"/>
  <c r="Q112" i="7"/>
  <c r="Q132" i="7"/>
  <c r="Q129" i="7"/>
  <c r="Q126" i="7"/>
  <c r="Q122" i="7"/>
  <c r="Q121" i="7"/>
  <c r="Q120" i="7"/>
  <c r="Q134" i="7"/>
  <c r="Q106" i="7"/>
  <c r="Q95" i="7"/>
  <c r="Q85" i="7"/>
  <c r="Q66" i="7"/>
  <c r="Q65" i="7"/>
  <c r="Q56" i="7"/>
  <c r="Q137" i="7"/>
  <c r="Q76" i="7"/>
  <c r="Q71" i="7"/>
  <c r="Q146" i="7"/>
  <c r="Q143" i="7"/>
  <c r="Q86" i="7"/>
  <c r="Q127" i="7"/>
  <c r="Q124" i="7"/>
  <c r="Q88" i="7"/>
  <c r="Q87" i="7"/>
  <c r="Q54" i="7"/>
  <c r="Q48" i="7"/>
  <c r="Q40" i="7"/>
  <c r="Q118" i="7"/>
  <c r="Q111" i="7"/>
  <c r="Q89" i="7"/>
  <c r="Q75" i="7"/>
  <c r="Q70" i="7"/>
  <c r="Q62" i="7"/>
  <c r="Q136" i="7"/>
  <c r="Q90" i="7"/>
  <c r="Q61" i="7"/>
  <c r="Q99" i="7"/>
  <c r="Q98" i="7"/>
  <c r="Q74" i="7"/>
  <c r="Q69" i="7"/>
  <c r="Q46" i="7"/>
  <c r="Q142" i="7"/>
  <c r="Q139" i="7"/>
  <c r="Q100" i="7"/>
  <c r="Q91" i="7"/>
  <c r="Q123" i="7"/>
  <c r="Q103" i="7"/>
  <c r="Q93" i="7"/>
  <c r="Q58" i="7"/>
  <c r="Q105" i="7"/>
  <c r="Q81" i="7"/>
  <c r="Q45" i="7"/>
  <c r="Q23" i="7"/>
  <c r="Q12" i="7"/>
  <c r="Q131" i="7"/>
  <c r="Q78" i="7"/>
  <c r="Q60" i="7"/>
  <c r="Q24" i="7"/>
  <c r="Q13" i="7"/>
  <c r="Q9" i="7"/>
  <c r="Q7" i="7"/>
  <c r="Q84" i="7"/>
  <c r="Q47" i="7"/>
  <c r="Q25" i="7"/>
  <c r="Q101" i="7"/>
  <c r="Q64" i="7"/>
  <c r="Q26" i="7"/>
  <c r="Q14" i="7"/>
  <c r="Q104" i="7"/>
  <c r="Q92" i="7"/>
  <c r="Q73" i="7"/>
  <c r="Q68" i="7"/>
  <c r="Q49" i="7"/>
  <c r="Q27" i="7"/>
  <c r="Q15" i="7"/>
  <c r="Q57" i="7"/>
  <c r="Q28" i="7"/>
  <c r="Q16" i="7"/>
  <c r="Q83" i="7"/>
  <c r="Q50" i="7"/>
  <c r="Q38" i="7"/>
  <c r="Q37" i="7"/>
  <c r="Q36" i="7"/>
  <c r="Q35" i="7"/>
  <c r="Q34" i="7"/>
  <c r="Q29" i="7"/>
  <c r="Q128" i="7"/>
  <c r="Q110" i="7"/>
  <c r="Q77" i="7"/>
  <c r="Q39" i="7"/>
  <c r="Q32" i="7"/>
  <c r="Q30" i="7"/>
  <c r="Q17" i="7"/>
  <c r="Q10" i="7"/>
  <c r="A8" i="7" s="1"/>
  <c r="Q53" i="7"/>
  <c r="Q52" i="7"/>
  <c r="Q51" i="7"/>
  <c r="Q33" i="7"/>
  <c r="Q114" i="7"/>
  <c r="Q94" i="7"/>
  <c r="Q72" i="7"/>
  <c r="Q67" i="7"/>
  <c r="Q41" i="7"/>
  <c r="Q20" i="7"/>
  <c r="Q63" i="7"/>
  <c r="Q31" i="7"/>
  <c r="Q82" i="7"/>
  <c r="Q55" i="7"/>
  <c r="Q44" i="7"/>
  <c r="Q42" i="7"/>
  <c r="Q19" i="7"/>
  <c r="Q21" i="7"/>
  <c r="Q59" i="7"/>
  <c r="Q22" i="7"/>
  <c r="Q109" i="7"/>
  <c r="Q43" i="7"/>
  <c r="Q11" i="7"/>
  <c r="Q8" i="7"/>
  <c r="Q18" i="7"/>
  <c r="O65" i="5"/>
  <c r="J83" i="5" s="1"/>
  <c r="O126" i="5"/>
  <c r="J162" i="5" s="1"/>
  <c r="AO63" i="4"/>
  <c r="AP64" i="4"/>
  <c r="AP83" i="4"/>
  <c r="AP129" i="4"/>
  <c r="AP60" i="4"/>
  <c r="G83" i="3"/>
  <c r="Z53" i="4"/>
  <c r="AO53" i="4"/>
  <c r="O46" i="5"/>
  <c r="J37" i="5" s="1"/>
  <c r="Z44" i="4"/>
  <c r="AO44" i="4"/>
  <c r="Z121" i="4"/>
  <c r="AO121" i="4"/>
  <c r="O31" i="5"/>
  <c r="J73" i="5" s="1"/>
  <c r="Z29" i="4"/>
  <c r="AO29" i="4"/>
  <c r="G42" i="3"/>
  <c r="Z49" i="4"/>
  <c r="AO49" i="4"/>
  <c r="AO114" i="4"/>
  <c r="Z114" i="4"/>
  <c r="O155" i="7"/>
  <c r="J96" i="7" s="1"/>
  <c r="O144" i="7"/>
  <c r="J91" i="7" s="1"/>
  <c r="O129" i="7"/>
  <c r="J81" i="7" s="1"/>
  <c r="O124" i="7"/>
  <c r="J151" i="7" s="1"/>
  <c r="O141" i="7"/>
  <c r="J157" i="7" s="1"/>
  <c r="O126" i="7"/>
  <c r="J162" i="7" s="1"/>
  <c r="O120" i="7"/>
  <c r="J110" i="7" s="1"/>
  <c r="O140" i="7"/>
  <c r="J121" i="7" s="1"/>
  <c r="O139" i="7"/>
  <c r="J169" i="7" s="1"/>
  <c r="O91" i="7"/>
  <c r="J114" i="7" s="1"/>
  <c r="O86" i="7"/>
  <c r="J65" i="7" s="1"/>
  <c r="O151" i="7"/>
  <c r="J93" i="7" s="1"/>
  <c r="O143" i="7"/>
  <c r="J100" i="7" s="1"/>
  <c r="O142" i="7"/>
  <c r="J99" i="7" s="1"/>
  <c r="O117" i="7"/>
  <c r="J149" i="7" s="1"/>
  <c r="O97" i="7"/>
  <c r="J76" i="7" s="1"/>
  <c r="O152" i="7"/>
  <c r="J104" i="7" s="1"/>
  <c r="O147" i="7"/>
  <c r="J131" i="7" s="1"/>
  <c r="O116" i="7"/>
  <c r="J49" i="7" s="1"/>
  <c r="O90" i="7"/>
  <c r="J142" i="7" s="1"/>
  <c r="O85" i="7"/>
  <c r="J64" i="7" s="1"/>
  <c r="O153" i="7"/>
  <c r="J94" i="7" s="1"/>
  <c r="O154" i="7"/>
  <c r="J95" i="7" s="1"/>
  <c r="O115" i="7"/>
  <c r="J173" i="7" s="1"/>
  <c r="O96" i="7"/>
  <c r="J144" i="7" s="1"/>
  <c r="O114" i="7"/>
  <c r="J125" i="7" s="1"/>
  <c r="O145" i="7"/>
  <c r="J92" i="7" s="1"/>
  <c r="O148" i="7"/>
  <c r="J101" i="7" s="1"/>
  <c r="O113" i="7"/>
  <c r="J148" i="7" s="1"/>
  <c r="O125" i="7"/>
  <c r="J152" i="7" s="1"/>
  <c r="O119" i="7"/>
  <c r="J119" i="7" s="1"/>
  <c r="O110" i="7"/>
  <c r="J52" i="7" s="1"/>
  <c r="O94" i="7"/>
  <c r="J43" i="7" s="1"/>
  <c r="O84" i="7"/>
  <c r="J128" i="7" s="1"/>
  <c r="O83" i="7"/>
  <c r="J63" i="7" s="1"/>
  <c r="O78" i="7"/>
  <c r="J54" i="7" s="1"/>
  <c r="O72" i="7"/>
  <c r="J86" i="7" s="1"/>
  <c r="O57" i="7"/>
  <c r="J138" i="7" s="1"/>
  <c r="O50" i="7"/>
  <c r="J135" i="7" s="1"/>
  <c r="O43" i="7"/>
  <c r="J42" i="7" s="1"/>
  <c r="O131" i="7"/>
  <c r="J154" i="7" s="1"/>
  <c r="O122" i="7"/>
  <c r="J174" i="7" s="1"/>
  <c r="O105" i="7"/>
  <c r="J77" i="7" s="1"/>
  <c r="O77" i="7"/>
  <c r="J90" i="7" s="1"/>
  <c r="O150" i="7"/>
  <c r="J103" i="7" s="1"/>
  <c r="O134" i="7"/>
  <c r="J178" i="7" s="1"/>
  <c r="O106" i="7"/>
  <c r="J172" i="7" s="1"/>
  <c r="O95" i="7"/>
  <c r="J143" i="7" s="1"/>
  <c r="O66" i="7"/>
  <c r="J164" i="7" s="1"/>
  <c r="O65" i="7"/>
  <c r="J83" i="7" s="1"/>
  <c r="O137" i="7"/>
  <c r="J168" i="7" s="1"/>
  <c r="O107" i="7"/>
  <c r="J78" i="7" s="1"/>
  <c r="O76" i="7"/>
  <c r="J89" i="7" s="1"/>
  <c r="O71" i="7"/>
  <c r="J166" i="7" s="1"/>
  <c r="O55" i="7"/>
  <c r="J108" i="7" s="1"/>
  <c r="O49" i="7"/>
  <c r="J170" i="7" s="1"/>
  <c r="O41" i="7"/>
  <c r="J51" i="7" s="1"/>
  <c r="O146" i="7"/>
  <c r="J130" i="7" s="1"/>
  <c r="O63" i="7"/>
  <c r="J109" i="7" s="1"/>
  <c r="O130" i="7"/>
  <c r="J153" i="7" s="1"/>
  <c r="O127" i="7"/>
  <c r="J175" i="7" s="1"/>
  <c r="O88" i="7"/>
  <c r="J66" i="7" s="1"/>
  <c r="O87" i="7"/>
  <c r="J56" i="7" s="1"/>
  <c r="O54" i="7"/>
  <c r="J137" i="7" s="1"/>
  <c r="O149" i="7"/>
  <c r="J102" i="7" s="1"/>
  <c r="O133" i="7"/>
  <c r="J155" i="7" s="1"/>
  <c r="O121" i="7"/>
  <c r="J120" i="7" s="1"/>
  <c r="O118" i="7"/>
  <c r="J50" i="7" s="1"/>
  <c r="O111" i="7"/>
  <c r="J118" i="7" s="1"/>
  <c r="O89" i="7"/>
  <c r="J67" i="7" s="1"/>
  <c r="O75" i="7"/>
  <c r="J167" i="7" s="1"/>
  <c r="O70" i="7"/>
  <c r="J85" i="7" s="1"/>
  <c r="O62" i="7"/>
  <c r="J80" i="7" s="1"/>
  <c r="O108" i="7"/>
  <c r="J146" i="7" s="1"/>
  <c r="O47" i="7"/>
  <c r="J159" i="7" s="1"/>
  <c r="O136" i="7"/>
  <c r="J163" i="7" s="1"/>
  <c r="O99" i="7"/>
  <c r="J129" i="7" s="1"/>
  <c r="O98" i="7"/>
  <c r="J161" i="7" s="1"/>
  <c r="O74" i="7"/>
  <c r="J88" i="7" s="1"/>
  <c r="O69" i="7"/>
  <c r="J98" i="7" s="1"/>
  <c r="O109" i="7"/>
  <c r="J147" i="7" s="1"/>
  <c r="O101" i="7"/>
  <c r="J48" i="7" s="1"/>
  <c r="O92" i="7"/>
  <c r="J47" i="7" s="1"/>
  <c r="O68" i="7"/>
  <c r="J165" i="7" s="1"/>
  <c r="O59" i="7"/>
  <c r="J140" i="7" s="1"/>
  <c r="O102" i="7"/>
  <c r="J145" i="7" s="1"/>
  <c r="O22" i="7"/>
  <c r="J106" i="7" s="1"/>
  <c r="O138" i="7"/>
  <c r="J82" i="7" s="1"/>
  <c r="O44" i="7"/>
  <c r="J158" i="7" s="1"/>
  <c r="O11" i="7"/>
  <c r="J57" i="7" s="1"/>
  <c r="O112" i="7"/>
  <c r="J124" i="7" s="1"/>
  <c r="O93" i="7"/>
  <c r="J115" i="7" s="1"/>
  <c r="O81" i="7"/>
  <c r="J62" i="7" s="1"/>
  <c r="O46" i="7"/>
  <c r="J37" i="7" s="1"/>
  <c r="O45" i="7"/>
  <c r="J46" i="7" s="1"/>
  <c r="O23" i="7"/>
  <c r="J126" i="7" s="1"/>
  <c r="O12" i="7"/>
  <c r="J58" i="7" s="1"/>
  <c r="O60" i="7"/>
  <c r="J141" i="7" s="1"/>
  <c r="O24" i="7"/>
  <c r="J132" i="7" s="1"/>
  <c r="O13" i="7"/>
  <c r="J38" i="7" s="1"/>
  <c r="O123" i="7"/>
  <c r="J150" i="7" s="1"/>
  <c r="O56" i="7"/>
  <c r="J127" i="7" s="1"/>
  <c r="O25" i="7"/>
  <c r="J133" i="7" s="1"/>
  <c r="O64" i="7"/>
  <c r="J97" i="7" s="1"/>
  <c r="O61" i="7"/>
  <c r="J79" i="7" s="1"/>
  <c r="O48" i="7"/>
  <c r="J134" i="7" s="1"/>
  <c r="O26" i="7"/>
  <c r="J45" i="7" s="1"/>
  <c r="O14" i="7"/>
  <c r="J122" i="7" s="1"/>
  <c r="O104" i="7"/>
  <c r="J117" i="7" s="1"/>
  <c r="O73" i="7"/>
  <c r="J87" i="7" s="1"/>
  <c r="O27" i="7"/>
  <c r="J70" i="7" s="1"/>
  <c r="O15" i="7"/>
  <c r="J59" i="7" s="1"/>
  <c r="O135" i="7"/>
  <c r="J156" i="7" s="1"/>
  <c r="O80" i="7"/>
  <c r="J55" i="7" s="1"/>
  <c r="O28" i="7"/>
  <c r="J71" i="7" s="1"/>
  <c r="O16" i="7"/>
  <c r="J105" i="7" s="1"/>
  <c r="O100" i="7"/>
  <c r="J116" i="7" s="1"/>
  <c r="O38" i="7"/>
  <c r="J107" i="7" s="1"/>
  <c r="O37" i="7"/>
  <c r="J113" i="7" s="1"/>
  <c r="O36" i="7"/>
  <c r="J40" i="7" s="1"/>
  <c r="O35" i="7"/>
  <c r="J112" i="7" s="1"/>
  <c r="O34" i="7"/>
  <c r="J75" i="7" s="1"/>
  <c r="O29" i="7"/>
  <c r="J72" i="7" s="1"/>
  <c r="O40" i="7"/>
  <c r="J41" i="7" s="1"/>
  <c r="O31" i="7"/>
  <c r="J73" i="7" s="1"/>
  <c r="O18" i="7"/>
  <c r="J60" i="7" s="1"/>
  <c r="O67" i="7"/>
  <c r="J84" i="7" s="1"/>
  <c r="O58" i="7"/>
  <c r="J139" i="7" s="1"/>
  <c r="O53" i="7"/>
  <c r="J171" i="7" s="1"/>
  <c r="O132" i="7"/>
  <c r="J177" i="7" s="1"/>
  <c r="O82" i="7"/>
  <c r="J123" i="7" s="1"/>
  <c r="O51" i="7"/>
  <c r="J160" i="7" s="1"/>
  <c r="O33" i="7"/>
  <c r="J111" i="7" s="1"/>
  <c r="O42" i="7"/>
  <c r="J36" i="7" s="1"/>
  <c r="O19" i="7"/>
  <c r="J68" i="7" s="1"/>
  <c r="O21" i="7"/>
  <c r="J69" i="7" s="1"/>
  <c r="O30" i="7"/>
  <c r="J34" i="7" s="1"/>
  <c r="O52" i="7"/>
  <c r="J136" i="7" s="1"/>
  <c r="O32" i="7"/>
  <c r="J74" i="7" s="1"/>
  <c r="O20" i="7"/>
  <c r="J53" i="7" s="1"/>
  <c r="O17" i="7"/>
  <c r="J39" i="7" s="1"/>
  <c r="O39" i="7"/>
  <c r="J35" i="7" s="1"/>
  <c r="O128" i="7"/>
  <c r="J176" i="7" s="1"/>
  <c r="O103" i="7"/>
  <c r="J44" i="7" s="1"/>
  <c r="O79" i="7"/>
  <c r="J61" i="7" s="1"/>
  <c r="O92" i="5"/>
  <c r="J47" i="5" s="1"/>
  <c r="AP67" i="4"/>
  <c r="O147" i="5"/>
  <c r="J131" i="5" s="1"/>
  <c r="Z145" i="4"/>
  <c r="AO145" i="4"/>
  <c r="F43" i="3"/>
  <c r="G43" i="3" s="1"/>
  <c r="F55" i="3"/>
  <c r="G55" i="3" s="1"/>
  <c r="F84" i="3"/>
  <c r="G84" i="3" s="1"/>
  <c r="F62" i="3"/>
  <c r="G62" i="3" s="1"/>
  <c r="G46" i="3"/>
  <c r="F28" i="3"/>
  <c r="G28" i="3" s="1"/>
  <c r="F12" i="3"/>
  <c r="G12" i="3" s="1"/>
  <c r="F87" i="3"/>
  <c r="G87" i="3" s="1"/>
  <c r="AO62" i="4"/>
  <c r="Z62" i="4"/>
  <c r="G76" i="3"/>
  <c r="F24" i="3"/>
  <c r="AP63" i="4"/>
  <c r="G51" i="3"/>
  <c r="O69" i="5"/>
  <c r="J98" i="5" s="1"/>
  <c r="Z67" i="4"/>
  <c r="AO67" i="4"/>
  <c r="O40" i="5"/>
  <c r="J41" i="5" s="1"/>
  <c r="AO38" i="4"/>
  <c r="Z38" i="4"/>
  <c r="F51" i="3"/>
  <c r="G60" i="3"/>
  <c r="G44" i="3"/>
  <c r="G26" i="3"/>
  <c r="G10" i="3"/>
  <c r="F23" i="3"/>
  <c r="G23" i="3" s="1"/>
  <c r="AA44" i="4" l="1"/>
  <c r="B110" i="6"/>
  <c r="AA38" i="4"/>
  <c r="AQ38" i="4"/>
  <c r="B83" i="7"/>
  <c r="AA13" i="4"/>
  <c r="B95" i="6"/>
  <c r="B100" i="7"/>
  <c r="B135" i="6"/>
  <c r="B118" i="7"/>
  <c r="B117" i="7"/>
  <c r="B95" i="7"/>
  <c r="B142" i="7"/>
  <c r="I146" i="4"/>
  <c r="I152" i="4"/>
  <c r="I147" i="4"/>
  <c r="I153" i="4"/>
  <c r="I150" i="4"/>
  <c r="I149" i="4"/>
  <c r="I126" i="4"/>
  <c r="I110" i="4"/>
  <c r="I137" i="4"/>
  <c r="I121" i="4"/>
  <c r="I105" i="4"/>
  <c r="I144" i="4"/>
  <c r="I132" i="4"/>
  <c r="I116" i="4"/>
  <c r="I100" i="4"/>
  <c r="I138" i="4"/>
  <c r="I122" i="4"/>
  <c r="I106" i="4"/>
  <c r="I141" i="4"/>
  <c r="I134" i="4"/>
  <c r="I118" i="4"/>
  <c r="I102" i="4"/>
  <c r="I145" i="4"/>
  <c r="I140" i="4"/>
  <c r="I142" i="4"/>
  <c r="I123" i="4"/>
  <c r="I124" i="4"/>
  <c r="I128" i="4"/>
  <c r="I136" i="4"/>
  <c r="I129" i="4"/>
  <c r="I143" i="4"/>
  <c r="I113" i="4"/>
  <c r="I135" i="4"/>
  <c r="I97" i="4"/>
  <c r="I81" i="4"/>
  <c r="I66" i="4"/>
  <c r="I92" i="4"/>
  <c r="I76" i="4"/>
  <c r="I148" i="4"/>
  <c r="I127" i="4"/>
  <c r="I87" i="4"/>
  <c r="I72" i="4"/>
  <c r="I107" i="4"/>
  <c r="I82" i="4"/>
  <c r="I67" i="4"/>
  <c r="I111" i="4"/>
  <c r="I109" i="4"/>
  <c r="I93" i="4"/>
  <c r="I119" i="4"/>
  <c r="I88" i="4"/>
  <c r="I89" i="4"/>
  <c r="I74" i="4"/>
  <c r="I130" i="4"/>
  <c r="I120" i="4"/>
  <c r="I99" i="4"/>
  <c r="I52" i="4"/>
  <c r="I112" i="4"/>
  <c r="I98" i="4"/>
  <c r="I77" i="4"/>
  <c r="I47" i="4"/>
  <c r="I139" i="4"/>
  <c r="I58" i="4"/>
  <c r="I42" i="4"/>
  <c r="I96" i="4"/>
  <c r="I91" i="4"/>
  <c r="I78" i="4"/>
  <c r="I53" i="4"/>
  <c r="I133" i="4"/>
  <c r="I115" i="4"/>
  <c r="I94" i="4"/>
  <c r="I131" i="4"/>
  <c r="I114" i="4"/>
  <c r="I108" i="4"/>
  <c r="I104" i="4"/>
  <c r="I83" i="4"/>
  <c r="I85" i="4"/>
  <c r="I68" i="4"/>
  <c r="I60" i="4"/>
  <c r="I44" i="4"/>
  <c r="I103" i="4"/>
  <c r="I48" i="4"/>
  <c r="I46" i="4"/>
  <c r="I39" i="4"/>
  <c r="I117" i="4"/>
  <c r="I34" i="4"/>
  <c r="I18" i="4"/>
  <c r="I49" i="4"/>
  <c r="I29" i="4"/>
  <c r="I101" i="4"/>
  <c r="I79" i="4"/>
  <c r="I71" i="4"/>
  <c r="I50" i="4"/>
  <c r="I24" i="4"/>
  <c r="I125" i="4"/>
  <c r="I84" i="4"/>
  <c r="I65" i="4"/>
  <c r="I51" i="4"/>
  <c r="I54" i="4"/>
  <c r="I30" i="4"/>
  <c r="I86" i="4"/>
  <c r="I73" i="4"/>
  <c r="I55" i="4"/>
  <c r="I56" i="4"/>
  <c r="I70" i="4"/>
  <c r="I31" i="4"/>
  <c r="I15" i="4"/>
  <c r="I62" i="4"/>
  <c r="I25" i="4"/>
  <c r="I22" i="4"/>
  <c r="I64" i="4"/>
  <c r="I37" i="4"/>
  <c r="I26" i="4"/>
  <c r="I23" i="4"/>
  <c r="I41" i="4"/>
  <c r="I27" i="4"/>
  <c r="I13" i="4"/>
  <c r="I151" i="4"/>
  <c r="I61" i="4"/>
  <c r="I57" i="4"/>
  <c r="I28" i="4"/>
  <c r="I69" i="4"/>
  <c r="I14" i="4"/>
  <c r="I9" i="4"/>
  <c r="I32" i="4"/>
  <c r="I90" i="4"/>
  <c r="I43" i="4"/>
  <c r="I33" i="4"/>
  <c r="I95" i="4"/>
  <c r="I35" i="4"/>
  <c r="I36" i="4"/>
  <c r="I63" i="4"/>
  <c r="I59" i="4"/>
  <c r="I45" i="4"/>
  <c r="I40" i="4"/>
  <c r="I80" i="4"/>
  <c r="I38" i="4"/>
  <c r="I12" i="4"/>
  <c r="I17" i="4"/>
  <c r="I6" i="4"/>
  <c r="I20" i="4"/>
  <c r="I11" i="4"/>
  <c r="I21" i="4"/>
  <c r="I7" i="4"/>
  <c r="I8" i="4"/>
  <c r="I19" i="4"/>
  <c r="I16" i="4"/>
  <c r="I10" i="4"/>
  <c r="AA62" i="4"/>
  <c r="AQ62" i="4"/>
  <c r="AA134" i="4"/>
  <c r="AQ56" i="4"/>
  <c r="AA56" i="4"/>
  <c r="AA146" i="4"/>
  <c r="AA103" i="4"/>
  <c r="AA130" i="4"/>
  <c r="AA97" i="4"/>
  <c r="AA123" i="4"/>
  <c r="AA153" i="4"/>
  <c r="B70" i="6"/>
  <c r="AD15" i="6"/>
  <c r="B90" i="6"/>
  <c r="B139" i="6"/>
  <c r="AD92" i="6"/>
  <c r="G48" i="3"/>
  <c r="B65" i="5"/>
  <c r="B150" i="5" s="1"/>
  <c r="A6" i="5"/>
  <c r="B121" i="5"/>
  <c r="AD149" i="7"/>
  <c r="AA105" i="4"/>
  <c r="AQ105" i="4"/>
  <c r="AA42" i="4"/>
  <c r="B83" i="5"/>
  <c r="B112" i="7"/>
  <c r="B68" i="7"/>
  <c r="B67" i="7"/>
  <c r="AC8" i="7"/>
  <c r="AC9" i="7" s="1"/>
  <c r="AC90" i="7"/>
  <c r="AA129" i="4"/>
  <c r="AD132" i="7"/>
  <c r="AA149" i="4"/>
  <c r="B107" i="6"/>
  <c r="B71" i="5"/>
  <c r="B71" i="7"/>
  <c r="AD16" i="7"/>
  <c r="B88" i="7"/>
  <c r="AD17" i="7"/>
  <c r="B79" i="7"/>
  <c r="AC28" i="7"/>
  <c r="O162" i="7"/>
  <c r="O169" i="7"/>
  <c r="B64" i="7"/>
  <c r="B149" i="7" s="1"/>
  <c r="A5" i="7"/>
  <c r="B120" i="7"/>
  <c r="B119" i="7"/>
  <c r="AD91" i="7"/>
  <c r="AD111" i="7"/>
  <c r="B101" i="7"/>
  <c r="AC155" i="7"/>
  <c r="AC125" i="7"/>
  <c r="AA10" i="4"/>
  <c r="J141" i="4"/>
  <c r="AB141" i="4" s="1"/>
  <c r="J152" i="4"/>
  <c r="AB152" i="4" s="1"/>
  <c r="J147" i="4"/>
  <c r="AB147" i="4" s="1"/>
  <c r="J142" i="4"/>
  <c r="AB142" i="4" s="1"/>
  <c r="J153" i="4"/>
  <c r="AB153" i="4" s="1"/>
  <c r="J148" i="4"/>
  <c r="AB148" i="4" s="1"/>
  <c r="J149" i="4"/>
  <c r="AB149" i="4" s="1"/>
  <c r="J145" i="4"/>
  <c r="AB145" i="4" s="1"/>
  <c r="J137" i="4"/>
  <c r="AB137" i="4" s="1"/>
  <c r="J121" i="4"/>
  <c r="AB121" i="4" s="1"/>
  <c r="J105" i="4"/>
  <c r="AB105" i="4" s="1"/>
  <c r="J144" i="4"/>
  <c r="AB144" i="4" s="1"/>
  <c r="J132" i="4"/>
  <c r="AB132" i="4" s="1"/>
  <c r="J116" i="4"/>
  <c r="AB116" i="4" s="1"/>
  <c r="J100" i="4"/>
  <c r="AB100" i="4" s="1"/>
  <c r="J127" i="4"/>
  <c r="AB127" i="4" s="1"/>
  <c r="J111" i="4"/>
  <c r="AB111" i="4" s="1"/>
  <c r="J138" i="4"/>
  <c r="AB138" i="4" s="1"/>
  <c r="J150" i="4"/>
  <c r="AB150" i="4" s="1"/>
  <c r="J133" i="4"/>
  <c r="AB133" i="4" s="1"/>
  <c r="J117" i="4"/>
  <c r="AB117" i="4" s="1"/>
  <c r="J143" i="4"/>
  <c r="AB143" i="4" s="1"/>
  <c r="J129" i="4"/>
  <c r="AB129" i="4" s="1"/>
  <c r="J113" i="4"/>
  <c r="AB113" i="4" s="1"/>
  <c r="J123" i="4"/>
  <c r="AB123" i="4" s="1"/>
  <c r="J124" i="4"/>
  <c r="AB124" i="4" s="1"/>
  <c r="J125" i="4"/>
  <c r="AB125" i="4" s="1"/>
  <c r="J128" i="4"/>
  <c r="AB128" i="4" s="1"/>
  <c r="J136" i="4"/>
  <c r="AB136" i="4" s="1"/>
  <c r="J126" i="4"/>
  <c r="AB126" i="4" s="1"/>
  <c r="J130" i="4"/>
  <c r="AB130" i="4" s="1"/>
  <c r="J134" i="4"/>
  <c r="AB134" i="4" s="1"/>
  <c r="J114" i="4"/>
  <c r="AB114" i="4" s="1"/>
  <c r="J92" i="4"/>
  <c r="AB92" i="4" s="1"/>
  <c r="J76" i="4"/>
  <c r="AB76" i="4" s="1"/>
  <c r="J87" i="4"/>
  <c r="AB87" i="4" s="1"/>
  <c r="J72" i="4"/>
  <c r="AB72" i="4" s="1"/>
  <c r="J107" i="4"/>
  <c r="AB107" i="4" s="1"/>
  <c r="J82" i="4"/>
  <c r="AB82" i="4" s="1"/>
  <c r="J67" i="4"/>
  <c r="AB67" i="4" s="1"/>
  <c r="J109" i="4"/>
  <c r="AB109" i="4" s="1"/>
  <c r="J93" i="4"/>
  <c r="AB93" i="4" s="1"/>
  <c r="J77" i="4"/>
  <c r="AB77" i="4" s="1"/>
  <c r="J119" i="4"/>
  <c r="AB119" i="4" s="1"/>
  <c r="J88" i="4"/>
  <c r="AB88" i="4" s="1"/>
  <c r="J146" i="4"/>
  <c r="AB146" i="4" s="1"/>
  <c r="J115" i="4"/>
  <c r="AB115" i="4" s="1"/>
  <c r="J103" i="4"/>
  <c r="AB103" i="4" s="1"/>
  <c r="J101" i="4"/>
  <c r="AB101" i="4" s="1"/>
  <c r="J98" i="4"/>
  <c r="AB98" i="4" s="1"/>
  <c r="J84" i="4"/>
  <c r="AB84" i="4" s="1"/>
  <c r="J69" i="4"/>
  <c r="AB69" i="4" s="1"/>
  <c r="J112" i="4"/>
  <c r="AB112" i="4" s="1"/>
  <c r="J47" i="4"/>
  <c r="AB47" i="4" s="1"/>
  <c r="J139" i="4"/>
  <c r="AB139" i="4" s="1"/>
  <c r="J58" i="4"/>
  <c r="AB58" i="4" s="1"/>
  <c r="J42" i="4"/>
  <c r="AB42" i="4" s="1"/>
  <c r="J96" i="4"/>
  <c r="AB96" i="4" s="1"/>
  <c r="J91" i="4"/>
  <c r="AB91" i="4" s="1"/>
  <c r="J78" i="4"/>
  <c r="AB78" i="4" s="1"/>
  <c r="J53" i="4"/>
  <c r="AB53" i="4" s="1"/>
  <c r="J135" i="4"/>
  <c r="AB135" i="4" s="1"/>
  <c r="J122" i="4"/>
  <c r="AB122" i="4" s="1"/>
  <c r="J79" i="4"/>
  <c r="AB79" i="4" s="1"/>
  <c r="J48" i="4"/>
  <c r="AB48" i="4" s="1"/>
  <c r="J94" i="4"/>
  <c r="AB94" i="4" s="1"/>
  <c r="J131" i="4"/>
  <c r="AB131" i="4" s="1"/>
  <c r="J108" i="4"/>
  <c r="AB108" i="4" s="1"/>
  <c r="J106" i="4"/>
  <c r="AB106" i="4" s="1"/>
  <c r="J104" i="4"/>
  <c r="AB104" i="4" s="1"/>
  <c r="J89" i="4"/>
  <c r="AB89" i="4" s="1"/>
  <c r="J83" i="4"/>
  <c r="AB83" i="4" s="1"/>
  <c r="J66" i="4"/>
  <c r="AB66" i="4" s="1"/>
  <c r="J55" i="4"/>
  <c r="AB55" i="4" s="1"/>
  <c r="J39" i="4"/>
  <c r="AB39" i="4" s="1"/>
  <c r="J49" i="4"/>
  <c r="AB49" i="4" s="1"/>
  <c r="J29" i="4"/>
  <c r="AB29" i="4" s="1"/>
  <c r="J71" i="4"/>
  <c r="AB71" i="4" s="1"/>
  <c r="J68" i="4"/>
  <c r="AB68" i="4" s="1"/>
  <c r="J50" i="4"/>
  <c r="AB50" i="4" s="1"/>
  <c r="J24" i="4"/>
  <c r="AB24" i="4" s="1"/>
  <c r="J140" i="4"/>
  <c r="AB140" i="4" s="1"/>
  <c r="J65" i="4"/>
  <c r="AB65" i="4" s="1"/>
  <c r="J51" i="4"/>
  <c r="AB51" i="4" s="1"/>
  <c r="J35" i="4"/>
  <c r="AB35" i="4" s="1"/>
  <c r="J19" i="4"/>
  <c r="AB19" i="4" s="1"/>
  <c r="J85" i="4"/>
  <c r="AB85" i="4" s="1"/>
  <c r="J54" i="4"/>
  <c r="AB54" i="4" s="1"/>
  <c r="J86" i="4"/>
  <c r="AB86" i="4" s="1"/>
  <c r="J73" i="4"/>
  <c r="AB73" i="4" s="1"/>
  <c r="J52" i="4"/>
  <c r="AB52" i="4" s="1"/>
  <c r="J25" i="4"/>
  <c r="AB25" i="4" s="1"/>
  <c r="J56" i="4"/>
  <c r="AB56" i="4" s="1"/>
  <c r="J81" i="4"/>
  <c r="AB81" i="4" s="1"/>
  <c r="J70" i="4"/>
  <c r="AB70" i="4" s="1"/>
  <c r="J99" i="4"/>
  <c r="AB99" i="4" s="1"/>
  <c r="J95" i="4"/>
  <c r="AB95" i="4" s="1"/>
  <c r="J64" i="4"/>
  <c r="AB64" i="4" s="1"/>
  <c r="J59" i="4"/>
  <c r="AB59" i="4" s="1"/>
  <c r="J57" i="4"/>
  <c r="AB57" i="4" s="1"/>
  <c r="J26" i="4"/>
  <c r="AB26" i="4" s="1"/>
  <c r="J97" i="4"/>
  <c r="AB97" i="4" s="1"/>
  <c r="J90" i="4"/>
  <c r="AB90" i="4" s="1"/>
  <c r="J80" i="4"/>
  <c r="AB80" i="4" s="1"/>
  <c r="J43" i="4"/>
  <c r="AB43" i="4" s="1"/>
  <c r="J41" i="4"/>
  <c r="AB41" i="4" s="1"/>
  <c r="J38" i="4"/>
  <c r="AB38" i="4" s="1"/>
  <c r="J60" i="4"/>
  <c r="AB60" i="4" s="1"/>
  <c r="J46" i="4"/>
  <c r="AB46" i="4" s="1"/>
  <c r="J37" i="4"/>
  <c r="AB37" i="4" s="1"/>
  <c r="J23" i="4"/>
  <c r="AB23" i="4" s="1"/>
  <c r="J27" i="4"/>
  <c r="AB27" i="4" s="1"/>
  <c r="J13" i="4"/>
  <c r="AB13" i="4" s="1"/>
  <c r="J151" i="4"/>
  <c r="AB151" i="4" s="1"/>
  <c r="J61" i="4"/>
  <c r="AB61" i="4" s="1"/>
  <c r="J28" i="4"/>
  <c r="AB28" i="4" s="1"/>
  <c r="J30" i="4"/>
  <c r="AB30" i="4" s="1"/>
  <c r="J14" i="4"/>
  <c r="AB14" i="4" s="1"/>
  <c r="J120" i="4"/>
  <c r="AB120" i="4" s="1"/>
  <c r="J31" i="4"/>
  <c r="AB31" i="4" s="1"/>
  <c r="J102" i="4"/>
  <c r="AB102" i="4" s="1"/>
  <c r="J32" i="4"/>
  <c r="AB32" i="4" s="1"/>
  <c r="M2" i="4"/>
  <c r="J62" i="4"/>
  <c r="AB62" i="4" s="1"/>
  <c r="J33" i="4"/>
  <c r="AB33" i="4" s="1"/>
  <c r="J110" i="4"/>
  <c r="AB110" i="4" s="1"/>
  <c r="J74" i="4"/>
  <c r="AB74" i="4" s="1"/>
  <c r="J10" i="4"/>
  <c r="AB10" i="4" s="1"/>
  <c r="J36" i="4"/>
  <c r="AB36" i="4" s="1"/>
  <c r="J34" i="4"/>
  <c r="AB34" i="4" s="1"/>
  <c r="J63" i="4"/>
  <c r="AB63" i="4" s="1"/>
  <c r="J44" i="4"/>
  <c r="AB44" i="4" s="1"/>
  <c r="J118" i="4"/>
  <c r="AB118" i="4" s="1"/>
  <c r="J45" i="4"/>
  <c r="AB45" i="4" s="1"/>
  <c r="J40" i="4"/>
  <c r="AB40" i="4" s="1"/>
  <c r="J75" i="4"/>
  <c r="AB75" i="4" s="1"/>
  <c r="J12" i="4"/>
  <c r="AB12" i="4" s="1"/>
  <c r="J17" i="4"/>
  <c r="AB17" i="4" s="1"/>
  <c r="J20" i="4"/>
  <c r="AB20" i="4" s="1"/>
  <c r="J9" i="4"/>
  <c r="AB9" i="4" s="1"/>
  <c r="J11" i="4"/>
  <c r="AB11" i="4" s="1"/>
  <c r="J21" i="4"/>
  <c r="AB21" i="4" s="1"/>
  <c r="J18" i="4"/>
  <c r="AB18" i="4" s="1"/>
  <c r="J15" i="4"/>
  <c r="AB15" i="4" s="1"/>
  <c r="J16" i="4"/>
  <c r="AB16" i="4" s="1"/>
  <c r="J22" i="4"/>
  <c r="AB22" i="4" s="1"/>
  <c r="K3" i="4"/>
  <c r="AA22" i="4"/>
  <c r="AQ22" i="4"/>
  <c r="AA67" i="4"/>
  <c r="AQ67" i="4"/>
  <c r="AA29" i="4"/>
  <c r="AQ29" i="4"/>
  <c r="AQ124" i="4"/>
  <c r="AA124" i="4"/>
  <c r="AA41" i="4"/>
  <c r="AQ41" i="4"/>
  <c r="AA135" i="4"/>
  <c r="AA139" i="4"/>
  <c r="AA152" i="4"/>
  <c r="AQ152" i="4"/>
  <c r="O162" i="6"/>
  <c r="O169" i="6"/>
  <c r="A5" i="6"/>
  <c r="B64" i="6"/>
  <c r="B149" i="6" s="1"/>
  <c r="B128" i="6"/>
  <c r="B80" i="6"/>
  <c r="B141" i="6"/>
  <c r="AD139" i="6"/>
  <c r="AD143" i="6"/>
  <c r="AD128" i="6"/>
  <c r="B136" i="6"/>
  <c r="C64" i="6"/>
  <c r="C149" i="6" s="1"/>
  <c r="C5" i="6"/>
  <c r="B76" i="5"/>
  <c r="B125" i="5"/>
  <c r="B79" i="5"/>
  <c r="B96" i="5"/>
  <c r="B144" i="5"/>
  <c r="B107" i="7"/>
  <c r="AD73" i="7"/>
  <c r="AA93" i="4"/>
  <c r="AQ93" i="4"/>
  <c r="AD105" i="6"/>
  <c r="B125" i="6"/>
  <c r="B114" i="5"/>
  <c r="B113" i="5"/>
  <c r="B133" i="7"/>
  <c r="AD124" i="7"/>
  <c r="AQ128" i="4"/>
  <c r="AA128" i="4"/>
  <c r="B124" i="6"/>
  <c r="AD86" i="6"/>
  <c r="AQ85" i="4"/>
  <c r="AA85" i="4"/>
  <c r="B78" i="7"/>
  <c r="AD26" i="7"/>
  <c r="AA77" i="4"/>
  <c r="AQ77" i="4"/>
  <c r="B144" i="6"/>
  <c r="AC80" i="7"/>
  <c r="B115" i="7"/>
  <c r="AA53" i="4"/>
  <c r="AQ53" i="4"/>
  <c r="B111" i="6"/>
  <c r="AC117" i="6"/>
  <c r="T77" i="5"/>
  <c r="K90" i="5" s="1"/>
  <c r="X77" i="5"/>
  <c r="Z77" i="5" s="1"/>
  <c r="AD112" i="5"/>
  <c r="B129" i="5"/>
  <c r="B94" i="7"/>
  <c r="AD55" i="7"/>
  <c r="AD30" i="7"/>
  <c r="AD57" i="7"/>
  <c r="B96" i="7"/>
  <c r="B66" i="7"/>
  <c r="B151" i="7" s="1"/>
  <c r="A7" i="7"/>
  <c r="S9" i="7"/>
  <c r="AD100" i="7"/>
  <c r="AD118" i="7"/>
  <c r="B102" i="7"/>
  <c r="AD66" i="7"/>
  <c r="B113" i="7"/>
  <c r="B114" i="7"/>
  <c r="AD79" i="7"/>
  <c r="AC130" i="7"/>
  <c r="AA16" i="4"/>
  <c r="AA9" i="4"/>
  <c r="AA25" i="4"/>
  <c r="AQ25" i="4"/>
  <c r="AA55" i="4"/>
  <c r="AQ55" i="4"/>
  <c r="AQ68" i="4"/>
  <c r="AA68" i="4"/>
  <c r="AQ89" i="4"/>
  <c r="AA89" i="4"/>
  <c r="AQ57" i="4"/>
  <c r="AA57" i="4"/>
  <c r="AA71" i="4"/>
  <c r="AQ71" i="4"/>
  <c r="AA138" i="4"/>
  <c r="AQ138" i="4"/>
  <c r="AA151" i="4"/>
  <c r="AQ151" i="4"/>
  <c r="B76" i="6"/>
  <c r="AD13" i="6"/>
  <c r="B69" i="6"/>
  <c r="B66" i="6"/>
  <c r="B151" i="6" s="1"/>
  <c r="A7" i="6"/>
  <c r="S9" i="6"/>
  <c r="B123" i="6"/>
  <c r="AC96" i="6"/>
  <c r="B115" i="6"/>
  <c r="AC80" i="6"/>
  <c r="AD144" i="6"/>
  <c r="B142" i="6"/>
  <c r="B110" i="5"/>
  <c r="B88" i="5"/>
  <c r="B130" i="5"/>
  <c r="AC52" i="5"/>
  <c r="B105" i="5"/>
  <c r="B126" i="5"/>
  <c r="AD106" i="5"/>
  <c r="B109" i="5"/>
  <c r="B127" i="7"/>
  <c r="AC108" i="7"/>
  <c r="B74" i="6"/>
  <c r="B106" i="5"/>
  <c r="AD29" i="7"/>
  <c r="AQ59" i="4"/>
  <c r="AA59" i="4"/>
  <c r="B88" i="6"/>
  <c r="B70" i="5"/>
  <c r="AD104" i="7"/>
  <c r="AA58" i="4"/>
  <c r="AQ58" i="4"/>
  <c r="AD81" i="7"/>
  <c r="AQ126" i="4"/>
  <c r="AA126" i="4"/>
  <c r="B97" i="5"/>
  <c r="AC58" i="5"/>
  <c r="AD136" i="7"/>
  <c r="AA98" i="4"/>
  <c r="AQ98" i="4"/>
  <c r="B101" i="6"/>
  <c r="AC65" i="6"/>
  <c r="B87" i="7"/>
  <c r="AC42" i="7"/>
  <c r="AD82" i="7"/>
  <c r="B116" i="7"/>
  <c r="AD32" i="7"/>
  <c r="B70" i="7"/>
  <c r="AD15" i="7"/>
  <c r="B69" i="7"/>
  <c r="AD13" i="7"/>
  <c r="B141" i="7"/>
  <c r="AD139" i="7"/>
  <c r="B86" i="7"/>
  <c r="AC40" i="7"/>
  <c r="AD85" i="7"/>
  <c r="B123" i="7"/>
  <c r="AC96" i="7"/>
  <c r="AD119" i="7"/>
  <c r="AQ15" i="4"/>
  <c r="AA15" i="4"/>
  <c r="AQ102" i="4"/>
  <c r="AA102" i="4"/>
  <c r="AQ60" i="4"/>
  <c r="AA60" i="4"/>
  <c r="AA73" i="4"/>
  <c r="AQ73" i="4"/>
  <c r="AQ18" i="4"/>
  <c r="AA18" i="4"/>
  <c r="AA106" i="4"/>
  <c r="AA75" i="4"/>
  <c r="AQ75" i="4"/>
  <c r="AQ86" i="4"/>
  <c r="AA86" i="4"/>
  <c r="AQ150" i="4"/>
  <c r="AA150" i="4"/>
  <c r="AC21" i="6"/>
  <c r="B83" i="6"/>
  <c r="AC23" i="6"/>
  <c r="B75" i="6"/>
  <c r="B112" i="6"/>
  <c r="AC8" i="6"/>
  <c r="AC9" i="6" s="1"/>
  <c r="B68" i="6"/>
  <c r="B67" i="6"/>
  <c r="AD142" i="6"/>
  <c r="AC34" i="6"/>
  <c r="B82" i="6"/>
  <c r="B127" i="6"/>
  <c r="AC108" i="6"/>
  <c r="B122" i="6"/>
  <c r="AC97" i="6"/>
  <c r="AD115" i="6"/>
  <c r="B131" i="6"/>
  <c r="T77" i="7"/>
  <c r="K90" i="7" s="1"/>
  <c r="X77" i="7"/>
  <c r="Z77" i="7" s="1"/>
  <c r="AC14" i="5"/>
  <c r="B133" i="5"/>
  <c r="AD12" i="5"/>
  <c r="AC21" i="5"/>
  <c r="B131" i="5"/>
  <c r="B104" i="5"/>
  <c r="AD81" i="5"/>
  <c r="AC154" i="5"/>
  <c r="AD88" i="7"/>
  <c r="AQ96" i="4"/>
  <c r="AA96" i="4"/>
  <c r="AQ109" i="4"/>
  <c r="AA109" i="4"/>
  <c r="O162" i="5"/>
  <c r="B64" i="5"/>
  <c r="B149" i="5" s="1"/>
  <c r="O169" i="5"/>
  <c r="A5" i="5"/>
  <c r="AQ80" i="4"/>
  <c r="AA80" i="4"/>
  <c r="AD143" i="7"/>
  <c r="AA45" i="4"/>
  <c r="AQ45" i="4"/>
  <c r="AC146" i="7"/>
  <c r="B143" i="7"/>
  <c r="AA27" i="4"/>
  <c r="AQ27" i="4"/>
  <c r="AC151" i="6"/>
  <c r="B128" i="7"/>
  <c r="B80" i="7"/>
  <c r="AD31" i="7"/>
  <c r="B85" i="7"/>
  <c r="AC39" i="7"/>
  <c r="B77" i="7"/>
  <c r="AC27" i="7"/>
  <c r="B76" i="7"/>
  <c r="AC24" i="7"/>
  <c r="AD142" i="7"/>
  <c r="B90" i="7"/>
  <c r="AC48" i="7"/>
  <c r="AC95" i="7"/>
  <c r="B131" i="7"/>
  <c r="AD115" i="7"/>
  <c r="AC135" i="7"/>
  <c r="AQ11" i="4"/>
  <c r="AA11" i="4"/>
  <c r="AQ14" i="4"/>
  <c r="AA14" i="4"/>
  <c r="AA116" i="4"/>
  <c r="AQ116" i="4"/>
  <c r="AQ54" i="4"/>
  <c r="AA54" i="4"/>
  <c r="AQ34" i="4"/>
  <c r="AA34" i="4"/>
  <c r="AA147" i="4"/>
  <c r="AA63" i="4"/>
  <c r="AQ112" i="4"/>
  <c r="AA112" i="4"/>
  <c r="AA111" i="4"/>
  <c r="B79" i="6"/>
  <c r="AC28" i="6"/>
  <c r="AD29" i="6"/>
  <c r="AC27" i="6"/>
  <c r="B77" i="6"/>
  <c r="B71" i="6"/>
  <c r="B89" i="6"/>
  <c r="AD45" i="6"/>
  <c r="AC109" i="6"/>
  <c r="AD118" i="6"/>
  <c r="AC130" i="6"/>
  <c r="AC153" i="6"/>
  <c r="AD18" i="5"/>
  <c r="B72" i="5"/>
  <c r="AC151" i="5"/>
  <c r="AC23" i="5"/>
  <c r="B75" i="5"/>
  <c r="B100" i="5"/>
  <c r="AD64" i="5"/>
  <c r="B91" i="5"/>
  <c r="B108" i="5"/>
  <c r="AC146" i="5"/>
  <c r="B143" i="5"/>
  <c r="B132" i="5"/>
  <c r="AD122" i="5"/>
  <c r="AC41" i="7"/>
  <c r="AA35" i="4"/>
  <c r="AQ35" i="4"/>
  <c r="AA70" i="4"/>
  <c r="AQ70" i="4"/>
  <c r="AD114" i="7"/>
  <c r="AQ33" i="4"/>
  <c r="AA33" i="4"/>
  <c r="B126" i="6"/>
  <c r="AC131" i="5"/>
  <c r="B121" i="7"/>
  <c r="AD22" i="7"/>
  <c r="AA43" i="4"/>
  <c r="AQ43" i="4"/>
  <c r="AD63" i="7"/>
  <c r="AC77" i="7"/>
  <c r="B110" i="7"/>
  <c r="AD77" i="7"/>
  <c r="AD49" i="7"/>
  <c r="B91" i="7"/>
  <c r="B98" i="7"/>
  <c r="AC60" i="7"/>
  <c r="AD46" i="7"/>
  <c r="B93" i="7"/>
  <c r="AD54" i="7"/>
  <c r="AD106" i="7"/>
  <c r="B126" i="7"/>
  <c r="AC154" i="7"/>
  <c r="AD140" i="7"/>
  <c r="G53" i="3"/>
  <c r="N12" i="3" s="1"/>
  <c r="AA17" i="4"/>
  <c r="AQ17" i="4"/>
  <c r="AQ31" i="4"/>
  <c r="AA31" i="4"/>
  <c r="AQ12" i="4"/>
  <c r="AA12" i="4"/>
  <c r="AA104" i="4"/>
  <c r="AQ104" i="4"/>
  <c r="AA117" i="4"/>
  <c r="AQ117" i="4"/>
  <c r="AA82" i="4"/>
  <c r="AQ82" i="4"/>
  <c r="AA78" i="4"/>
  <c r="AQ78" i="4"/>
  <c r="AA143" i="4"/>
  <c r="AQ143" i="4"/>
  <c r="AA127" i="4"/>
  <c r="AQ127" i="4"/>
  <c r="B113" i="6"/>
  <c r="B114" i="6"/>
  <c r="AD79" i="6"/>
  <c r="AC50" i="6"/>
  <c r="B84" i="6"/>
  <c r="AD38" i="6"/>
  <c r="B78" i="6"/>
  <c r="AD26" i="6"/>
  <c r="AC52" i="6"/>
  <c r="B138" i="6"/>
  <c r="B99" i="6"/>
  <c r="AD61" i="6"/>
  <c r="AD121" i="6"/>
  <c r="AD129" i="6"/>
  <c r="B137" i="6"/>
  <c r="B130" i="6"/>
  <c r="AC113" i="6"/>
  <c r="AD132" i="6"/>
  <c r="AC40" i="5"/>
  <c r="B86" i="5"/>
  <c r="B80" i="5"/>
  <c r="B128" i="5"/>
  <c r="AD69" i="5"/>
  <c r="AD68" i="5"/>
  <c r="B111" i="5"/>
  <c r="B103" i="5"/>
  <c r="AC67" i="5"/>
  <c r="B140" i="5"/>
  <c r="AD138" i="5"/>
  <c r="B85" i="5"/>
  <c r="AD127" i="5"/>
  <c r="B135" i="5"/>
  <c r="AC74" i="7"/>
  <c r="AA23" i="4"/>
  <c r="AQ23" i="4"/>
  <c r="AC25" i="6"/>
  <c r="B108" i="6"/>
  <c r="AD75" i="6"/>
  <c r="AC60" i="5"/>
  <c r="B98" i="5"/>
  <c r="AD150" i="7"/>
  <c r="B144" i="7"/>
  <c r="AC43" i="6"/>
  <c r="N8" i="3"/>
  <c r="B75" i="7"/>
  <c r="AC23" i="7"/>
  <c r="AD116" i="7"/>
  <c r="AC109" i="7"/>
  <c r="AA145" i="4"/>
  <c r="AQ145" i="4"/>
  <c r="B74" i="7"/>
  <c r="AD20" i="7"/>
  <c r="AC110" i="7"/>
  <c r="B111" i="7"/>
  <c r="AD68" i="7"/>
  <c r="AD78" i="7"/>
  <c r="AD69" i="7"/>
  <c r="AC87" i="7"/>
  <c r="B139" i="7"/>
  <c r="AD134" i="7"/>
  <c r="AC102" i="7"/>
  <c r="AD148" i="7"/>
  <c r="AQ118" i="4"/>
  <c r="AA118" i="4"/>
  <c r="AA69" i="4"/>
  <c r="AQ69" i="4"/>
  <c r="AA21" i="4"/>
  <c r="AQ21" i="4"/>
  <c r="AA19" i="4"/>
  <c r="AQ19" i="4"/>
  <c r="AA119" i="4"/>
  <c r="AQ119" i="4"/>
  <c r="AQ91" i="4"/>
  <c r="AA91" i="4"/>
  <c r="AQ94" i="4"/>
  <c r="AA94" i="4"/>
  <c r="AA133" i="4"/>
  <c r="AQ133" i="4"/>
  <c r="AA144" i="4"/>
  <c r="AQ144" i="4"/>
  <c r="AD49" i="6"/>
  <c r="B91" i="6"/>
  <c r="B93" i="6"/>
  <c r="AD54" i="6"/>
  <c r="B100" i="6"/>
  <c r="AD64" i="6"/>
  <c r="AC41" i="6"/>
  <c r="AD100" i="6"/>
  <c r="AC103" i="6"/>
  <c r="AD145" i="6"/>
  <c r="B104" i="6"/>
  <c r="AC70" i="6"/>
  <c r="AD119" i="6"/>
  <c r="B140" i="6"/>
  <c r="AD137" i="6"/>
  <c r="B69" i="5"/>
  <c r="AD13" i="5"/>
  <c r="AC96" i="5"/>
  <c r="B123" i="5"/>
  <c r="AD89" i="5"/>
  <c r="B117" i="5"/>
  <c r="B118" i="5"/>
  <c r="B141" i="5"/>
  <c r="AD152" i="5"/>
  <c r="B95" i="5"/>
  <c r="AC56" i="5"/>
  <c r="AD132" i="5"/>
  <c r="F53" i="3"/>
  <c r="AD120" i="7"/>
  <c r="AA132" i="4"/>
  <c r="AQ132" i="4"/>
  <c r="AD92" i="7"/>
  <c r="AA28" i="4"/>
  <c r="AQ28" i="4"/>
  <c r="AD124" i="6"/>
  <c r="B133" i="6"/>
  <c r="B102" i="5"/>
  <c r="AD66" i="5"/>
  <c r="AD127" i="7"/>
  <c r="B135" i="7"/>
  <c r="AQ30" i="4"/>
  <c r="AA30" i="4"/>
  <c r="AA125" i="4"/>
  <c r="AQ125" i="4"/>
  <c r="AA137" i="4"/>
  <c r="AQ137" i="4"/>
  <c r="AC84" i="6"/>
  <c r="B96" i="6"/>
  <c r="AD57" i="6"/>
  <c r="AC133" i="6"/>
  <c r="B132" i="6"/>
  <c r="AD122" i="6"/>
  <c r="B98" i="6"/>
  <c r="AC60" i="6"/>
  <c r="AD30" i="6"/>
  <c r="B129" i="6"/>
  <c r="AD112" i="6"/>
  <c r="B119" i="6"/>
  <c r="B120" i="6"/>
  <c r="AD91" i="6"/>
  <c r="AD148" i="6"/>
  <c r="X77" i="6"/>
  <c r="Z77" i="6" s="1"/>
  <c r="T77" i="6"/>
  <c r="K90" i="6" s="1"/>
  <c r="C5" i="5"/>
  <c r="C64" i="5"/>
  <c r="C149" i="5" s="1"/>
  <c r="B107" i="5"/>
  <c r="AD73" i="5"/>
  <c r="B138" i="5"/>
  <c r="B99" i="5"/>
  <c r="AD61" i="5"/>
  <c r="B112" i="5"/>
  <c r="B67" i="5"/>
  <c r="B68" i="5"/>
  <c r="AD11" i="5"/>
  <c r="AC8" i="5"/>
  <c r="AC9" i="5" s="1"/>
  <c r="AD47" i="5" s="1"/>
  <c r="B87" i="5"/>
  <c r="AC42" i="5"/>
  <c r="AC41" i="5"/>
  <c r="AC74" i="5"/>
  <c r="B90" i="5"/>
  <c r="AC48" i="5"/>
  <c r="AC87" i="5"/>
  <c r="AC109" i="5"/>
  <c r="AC43" i="7"/>
  <c r="AD94" i="7"/>
  <c r="AD35" i="7"/>
  <c r="AC14" i="7"/>
  <c r="AD45" i="7"/>
  <c r="B89" i="7"/>
  <c r="B138" i="7"/>
  <c r="AD61" i="7"/>
  <c r="B99" i="7"/>
  <c r="AD86" i="7"/>
  <c r="AC126" i="7"/>
  <c r="B134" i="7"/>
  <c r="AD147" i="7"/>
  <c r="AC133" i="7"/>
  <c r="AA95" i="4"/>
  <c r="AQ95" i="4"/>
  <c r="AA88" i="4"/>
  <c r="AQ88" i="4"/>
  <c r="AA100" i="4"/>
  <c r="AQ100" i="4"/>
  <c r="AQ108" i="4"/>
  <c r="AA108" i="4"/>
  <c r="AA48" i="4"/>
  <c r="AQ48" i="4"/>
  <c r="AA47" i="4"/>
  <c r="AQ47" i="4"/>
  <c r="AA87" i="4"/>
  <c r="AQ87" i="4"/>
  <c r="AA142" i="4"/>
  <c r="AQ142" i="4"/>
  <c r="AQ110" i="4"/>
  <c r="AA110" i="4"/>
  <c r="AC58" i="6"/>
  <c r="B97" i="6"/>
  <c r="AD104" i="6"/>
  <c r="AD12" i="6"/>
  <c r="B85" i="6"/>
  <c r="AC39" i="6"/>
  <c r="AD82" i="6"/>
  <c r="B116" i="6"/>
  <c r="AD35" i="6"/>
  <c r="AD114" i="6"/>
  <c r="AD138" i="6"/>
  <c r="AD149" i="6"/>
  <c r="B94" i="5"/>
  <c r="AD55" i="5"/>
  <c r="AD17" i="5"/>
  <c r="AC50" i="5"/>
  <c r="AD120" i="5"/>
  <c r="AD100" i="5"/>
  <c r="B93" i="5"/>
  <c r="AD54" i="5"/>
  <c r="AC126" i="5"/>
  <c r="B134" i="5"/>
  <c r="AC130" i="5"/>
  <c r="AC131" i="7"/>
  <c r="AA24" i="4"/>
  <c r="AQ24" i="4"/>
  <c r="AC154" i="6"/>
  <c r="AD12" i="7"/>
  <c r="AA39" i="4"/>
  <c r="AQ39" i="4"/>
  <c r="AD140" i="6"/>
  <c r="AD99" i="5"/>
  <c r="B124" i="5"/>
  <c r="B106" i="7"/>
  <c r="AC72" i="7"/>
  <c r="AD99" i="7"/>
  <c r="B124" i="7"/>
  <c r="AC151" i="7"/>
  <c r="AD29" i="5"/>
  <c r="B65" i="7"/>
  <c r="B150" i="7" s="1"/>
  <c r="A6" i="7"/>
  <c r="AD121" i="7"/>
  <c r="AA121" i="4"/>
  <c r="AQ121" i="4"/>
  <c r="AD17" i="6"/>
  <c r="B66" i="5"/>
  <c r="B151" i="5" s="1"/>
  <c r="S9" i="5"/>
  <c r="A7" i="5"/>
  <c r="AA72" i="4"/>
  <c r="AQ72" i="4"/>
  <c r="AD138" i="7"/>
  <c r="AA76" i="4"/>
  <c r="AQ76" i="4"/>
  <c r="AC87" i="6"/>
  <c r="HD6" i="2"/>
  <c r="HC6" i="2"/>
  <c r="AC135" i="5"/>
  <c r="B125" i="7"/>
  <c r="AD105" i="7"/>
  <c r="AA92" i="4"/>
  <c r="AQ92" i="4"/>
  <c r="AD45" i="5"/>
  <c r="B89" i="5"/>
  <c r="AC110" i="5"/>
  <c r="AC59" i="7"/>
  <c r="B92" i="7"/>
  <c r="AC51" i="7"/>
  <c r="AD38" i="7"/>
  <c r="B84" i="7"/>
  <c r="AD101" i="7"/>
  <c r="AC58" i="7"/>
  <c r="B97" i="7"/>
  <c r="AD62" i="7"/>
  <c r="B105" i="7"/>
  <c r="AD71" i="7"/>
  <c r="AD112" i="7"/>
  <c r="B129" i="7"/>
  <c r="B122" i="7"/>
  <c r="AC97" i="7"/>
  <c r="AA90" i="4"/>
  <c r="AQ90" i="4"/>
  <c r="AA26" i="4"/>
  <c r="AQ26" i="4"/>
  <c r="AQ61" i="4"/>
  <c r="AA61" i="4"/>
  <c r="AA79" i="4"/>
  <c r="AQ79" i="4"/>
  <c r="AA49" i="4"/>
  <c r="AQ49" i="4"/>
  <c r="AA113" i="4"/>
  <c r="AQ113" i="4"/>
  <c r="AQ136" i="4"/>
  <c r="AA136" i="4"/>
  <c r="AQ120" i="4"/>
  <c r="AA120" i="4"/>
  <c r="AQ99" i="4"/>
  <c r="AA99" i="4"/>
  <c r="B94" i="6"/>
  <c r="AD55" i="6"/>
  <c r="AC123" i="6"/>
  <c r="B121" i="6"/>
  <c r="AD22" i="6"/>
  <c r="B102" i="6"/>
  <c r="AD66" i="6"/>
  <c r="B65" i="6"/>
  <c r="B150" i="6" s="1"/>
  <c r="A6" i="6"/>
  <c r="AC74" i="6"/>
  <c r="AD120" i="6"/>
  <c r="B105" i="6"/>
  <c r="AD71" i="6"/>
  <c r="B134" i="6"/>
  <c r="AC126" i="6"/>
  <c r="AC97" i="5"/>
  <c r="B122" i="5"/>
  <c r="AD147" i="5"/>
  <c r="B116" i="5"/>
  <c r="AD82" i="5"/>
  <c r="B77" i="5"/>
  <c r="AC27" i="5"/>
  <c r="AC90" i="5"/>
  <c r="AD85" i="5"/>
  <c r="AD118" i="5"/>
  <c r="AC102" i="5"/>
  <c r="AD116" i="5"/>
  <c r="B72" i="7"/>
  <c r="AD18" i="7"/>
  <c r="AA148" i="4"/>
  <c r="AQ148" i="4"/>
  <c r="AD78" i="6"/>
  <c r="AC135" i="6"/>
  <c r="AC103" i="5"/>
  <c r="B82" i="7"/>
  <c r="AC34" i="7"/>
  <c r="B132" i="7"/>
  <c r="AD122" i="7"/>
  <c r="AD152" i="7"/>
  <c r="AQ140" i="4"/>
  <c r="AA140" i="4"/>
  <c r="B73" i="5"/>
  <c r="AC19" i="5"/>
  <c r="B81" i="7"/>
  <c r="AD33" i="7"/>
  <c r="AQ40" i="4"/>
  <c r="AA40" i="4"/>
  <c r="B92" i="6"/>
  <c r="AC51" i="6"/>
  <c r="AC146" i="6"/>
  <c r="B143" i="6"/>
  <c r="B120" i="5"/>
  <c r="AD91" i="5"/>
  <c r="B119" i="5"/>
  <c r="AC21" i="7"/>
  <c r="AC52" i="7"/>
  <c r="AC50" i="7"/>
  <c r="AC25" i="7"/>
  <c r="AD93" i="7"/>
  <c r="B104" i="7"/>
  <c r="AC70" i="7"/>
  <c r="AC76" i="7"/>
  <c r="B109" i="7"/>
  <c r="AC113" i="7"/>
  <c r="B130" i="7"/>
  <c r="AC117" i="7"/>
  <c r="AA114" i="4"/>
  <c r="AQ114" i="4"/>
  <c r="AQ37" i="4"/>
  <c r="AA37" i="4"/>
  <c r="AA20" i="4"/>
  <c r="AQ20" i="4"/>
  <c r="AQ83" i="4"/>
  <c r="AA83" i="4"/>
  <c r="AQ65" i="4"/>
  <c r="AA65" i="4"/>
  <c r="AA141" i="4"/>
  <c r="AQ141" i="4"/>
  <c r="AQ66" i="4"/>
  <c r="AA66" i="4"/>
  <c r="AQ122" i="4"/>
  <c r="AA122" i="4"/>
  <c r="AQ115" i="4"/>
  <c r="AA115" i="4"/>
  <c r="AD89" i="6"/>
  <c r="B118" i="6"/>
  <c r="B117" i="6"/>
  <c r="B106" i="6"/>
  <c r="AC72" i="6"/>
  <c r="AD37" i="6"/>
  <c r="AC102" i="6"/>
  <c r="B73" i="6"/>
  <c r="AC19" i="6"/>
  <c r="AD93" i="6"/>
  <c r="AD85" i="6"/>
  <c r="B109" i="6"/>
  <c r="AC76" i="6"/>
  <c r="AC141" i="6"/>
  <c r="AD107" i="5"/>
  <c r="B84" i="5"/>
  <c r="AD38" i="5"/>
  <c r="AC84" i="5"/>
  <c r="B81" i="5"/>
  <c r="AD33" i="5"/>
  <c r="AD92" i="5"/>
  <c r="AC123" i="5"/>
  <c r="AD140" i="5"/>
  <c r="B127" i="5"/>
  <c r="AC108" i="5"/>
  <c r="B136" i="5"/>
  <c r="AD128" i="5"/>
  <c r="AD128" i="7"/>
  <c r="B136" i="7"/>
  <c r="B101" i="5"/>
  <c r="AC65" i="5"/>
  <c r="B103" i="7"/>
  <c r="AC67" i="7"/>
  <c r="AA51" i="4"/>
  <c r="AQ51" i="4"/>
  <c r="B74" i="5"/>
  <c r="AD20" i="5"/>
  <c r="AA46" i="4"/>
  <c r="AQ46" i="4"/>
  <c r="B137" i="7"/>
  <c r="AD129" i="7"/>
  <c r="AA50" i="4"/>
  <c r="AQ50" i="4"/>
  <c r="B86" i="6"/>
  <c r="AC40" i="6"/>
  <c r="B92" i="5"/>
  <c r="AC51" i="5"/>
  <c r="AD37" i="7"/>
  <c r="AQ74" i="4"/>
  <c r="AA74" i="4"/>
  <c r="B103" i="6"/>
  <c r="AC67" i="6"/>
  <c r="AD134" i="5"/>
  <c r="B139" i="5"/>
  <c r="AD119" i="5"/>
  <c r="B73" i="7"/>
  <c r="AC19" i="7"/>
  <c r="AD53" i="7"/>
  <c r="AD83" i="7"/>
  <c r="AD47" i="7"/>
  <c r="AC103" i="7"/>
  <c r="B108" i="7"/>
  <c r="AD75" i="7"/>
  <c r="AD137" i="7"/>
  <c r="B140" i="7"/>
  <c r="AD107" i="7"/>
  <c r="AC141" i="7"/>
  <c r="AQ32" i="4"/>
  <c r="AA32" i="4"/>
  <c r="AQ64" i="4"/>
  <c r="AA64" i="4"/>
  <c r="AQ36" i="4"/>
  <c r="AA36" i="4"/>
  <c r="AQ101" i="4"/>
  <c r="AA101" i="4"/>
  <c r="AA84" i="4"/>
  <c r="AQ84" i="4"/>
  <c r="AQ52" i="4"/>
  <c r="AA52" i="4"/>
  <c r="AQ81" i="4"/>
  <c r="AA81" i="4"/>
  <c r="AA107" i="4"/>
  <c r="AQ107" i="4"/>
  <c r="AQ131" i="4"/>
  <c r="AA131" i="4"/>
  <c r="AD101" i="6"/>
  <c r="B72" i="6"/>
  <c r="AD18" i="6"/>
  <c r="B87" i="6"/>
  <c r="AC42" i="6"/>
  <c r="AD83" i="6"/>
  <c r="B81" i="6"/>
  <c r="AD33" i="6"/>
  <c r="AC155" i="6"/>
  <c r="AC90" i="6"/>
  <c r="AD81" i="6"/>
  <c r="AC131" i="6"/>
  <c r="C64" i="7"/>
  <c r="C149" i="7" s="1"/>
  <c r="C5" i="7"/>
  <c r="AD32" i="5"/>
  <c r="B78" i="5"/>
  <c r="AD26" i="5"/>
  <c r="AC59" i="5"/>
  <c r="B142" i="5"/>
  <c r="AD144" i="5"/>
  <c r="AC34" i="5"/>
  <c r="B82" i="5"/>
  <c r="AD93" i="5"/>
  <c r="B115" i="5"/>
  <c r="AC80" i="5"/>
  <c r="AD37" i="5"/>
  <c r="AD121" i="5"/>
  <c r="B137" i="5"/>
  <c r="AD129" i="5"/>
  <c r="B154" i="6" l="1"/>
  <c r="B198" i="7"/>
  <c r="B163" i="7"/>
  <c r="B218" i="7"/>
  <c r="AD142" i="5"/>
  <c r="B210" i="5"/>
  <c r="B152" i="7"/>
  <c r="R14" i="5"/>
  <c r="R14" i="6"/>
  <c r="R71" i="6"/>
  <c r="R71" i="5"/>
  <c r="AR31" i="4"/>
  <c r="R33" i="5"/>
  <c r="R33" i="6"/>
  <c r="AR101" i="4"/>
  <c r="R103" i="5"/>
  <c r="R103" i="6"/>
  <c r="R110" i="6"/>
  <c r="R110" i="5"/>
  <c r="R114" i="5"/>
  <c r="R114" i="6"/>
  <c r="AR87" i="4"/>
  <c r="R89" i="6"/>
  <c r="R89" i="5"/>
  <c r="R144" i="6"/>
  <c r="R144" i="5"/>
  <c r="R139" i="5"/>
  <c r="R139" i="6"/>
  <c r="B180" i="7"/>
  <c r="B176" i="6"/>
  <c r="B195" i="7"/>
  <c r="B156" i="6"/>
  <c r="B215" i="5"/>
  <c r="B169" i="7"/>
  <c r="B184" i="7"/>
  <c r="B153" i="5"/>
  <c r="B226" i="5"/>
  <c r="B154" i="5"/>
  <c r="B189" i="6"/>
  <c r="B171" i="5"/>
  <c r="B211" i="7"/>
  <c r="B160" i="5"/>
  <c r="B226" i="7"/>
  <c r="B172" i="7"/>
  <c r="B194" i="5"/>
  <c r="AC44" i="5"/>
  <c r="AC24" i="5"/>
  <c r="B173" i="7"/>
  <c r="AD114" i="5"/>
  <c r="B153" i="7"/>
  <c r="AD22" i="5"/>
  <c r="B155" i="6"/>
  <c r="R40" i="5"/>
  <c r="R40" i="6"/>
  <c r="AR28" i="4"/>
  <c r="R30" i="6"/>
  <c r="R30" i="5"/>
  <c r="R72" i="6"/>
  <c r="R72" i="5"/>
  <c r="R31" i="6"/>
  <c r="R31" i="5"/>
  <c r="R116" i="5"/>
  <c r="R116" i="6"/>
  <c r="AR52" i="4"/>
  <c r="R54" i="5"/>
  <c r="R54" i="6"/>
  <c r="R129" i="5"/>
  <c r="R129" i="6"/>
  <c r="R142" i="5"/>
  <c r="R142" i="6"/>
  <c r="R112" i="5"/>
  <c r="R112" i="6"/>
  <c r="B202" i="7"/>
  <c r="AC56" i="6"/>
  <c r="B165" i="5"/>
  <c r="B166" i="5"/>
  <c r="B167" i="7"/>
  <c r="B207" i="7"/>
  <c r="B152" i="5"/>
  <c r="B193" i="6"/>
  <c r="B215" i="6"/>
  <c r="B217" i="5"/>
  <c r="B162" i="6"/>
  <c r="B165" i="7"/>
  <c r="AC76" i="5"/>
  <c r="B161" i="6"/>
  <c r="B179" i="7"/>
  <c r="B200" i="7"/>
  <c r="AD79" i="5"/>
  <c r="AC117" i="5"/>
  <c r="B197" i="7"/>
  <c r="B206" i="5"/>
  <c r="B224" i="6"/>
  <c r="R82" i="6"/>
  <c r="R82" i="5"/>
  <c r="R59" i="6"/>
  <c r="R59" i="5"/>
  <c r="AR56" i="4"/>
  <c r="R58" i="6"/>
  <c r="R58" i="5"/>
  <c r="R51" i="5"/>
  <c r="R51" i="6"/>
  <c r="R133" i="5"/>
  <c r="R133" i="6"/>
  <c r="R101" i="5"/>
  <c r="R101" i="6"/>
  <c r="AR148" i="4"/>
  <c r="R150" i="5"/>
  <c r="R150" i="6"/>
  <c r="R147" i="5"/>
  <c r="R147" i="6"/>
  <c r="R128" i="6"/>
  <c r="R128" i="5"/>
  <c r="B207" i="5"/>
  <c r="B214" i="6"/>
  <c r="B163" i="6"/>
  <c r="B185" i="5"/>
  <c r="B216" i="5"/>
  <c r="B167" i="6"/>
  <c r="B168" i="6"/>
  <c r="B191" i="6"/>
  <c r="B167" i="5"/>
  <c r="B221" i="7"/>
  <c r="B202" i="6"/>
  <c r="B222" i="7"/>
  <c r="B194" i="6"/>
  <c r="B203" i="6"/>
  <c r="B166" i="7"/>
  <c r="B214" i="7"/>
  <c r="B210" i="7"/>
  <c r="B182" i="6"/>
  <c r="B197" i="5"/>
  <c r="AC141" i="5"/>
  <c r="AD139" i="5"/>
  <c r="B160" i="7"/>
  <c r="AD137" i="5"/>
  <c r="B222" i="6"/>
  <c r="B169" i="6"/>
  <c r="B228" i="5"/>
  <c r="B213" i="7"/>
  <c r="AD53" i="5"/>
  <c r="AD78" i="5"/>
  <c r="B173" i="5"/>
  <c r="AC24" i="6"/>
  <c r="B187" i="7"/>
  <c r="B198" i="5"/>
  <c r="B161" i="5"/>
  <c r="AC36" i="5"/>
  <c r="AD134" i="6"/>
  <c r="AQ134" i="4"/>
  <c r="R42" i="6"/>
  <c r="R42" i="5"/>
  <c r="AR61" i="4"/>
  <c r="R63" i="5"/>
  <c r="R63" i="6"/>
  <c r="AR55" i="4"/>
  <c r="R57" i="6"/>
  <c r="R57" i="5"/>
  <c r="R20" i="6"/>
  <c r="R20" i="5"/>
  <c r="R96" i="6"/>
  <c r="R96" i="5"/>
  <c r="AR120" i="4"/>
  <c r="R122" i="6"/>
  <c r="R122" i="5"/>
  <c r="R78" i="5"/>
  <c r="R78" i="6"/>
  <c r="R104" i="5"/>
  <c r="R104" i="6"/>
  <c r="R151" i="6"/>
  <c r="R151" i="5"/>
  <c r="AD89" i="7"/>
  <c r="B180" i="6"/>
  <c r="AC98" i="7"/>
  <c r="B191" i="7"/>
  <c r="B223" i="7"/>
  <c r="B203" i="5"/>
  <c r="B225" i="5"/>
  <c r="B175" i="7"/>
  <c r="B154" i="7"/>
  <c r="AC72" i="5"/>
  <c r="AD62" i="5"/>
  <c r="B195" i="5"/>
  <c r="B200" i="6"/>
  <c r="AD104" i="5"/>
  <c r="B199" i="5"/>
  <c r="AD150" i="5"/>
  <c r="AC25" i="5"/>
  <c r="K152" i="4"/>
  <c r="R154" i="7" s="1"/>
  <c r="K153" i="4"/>
  <c r="R155" i="7" s="1"/>
  <c r="K144" i="4"/>
  <c r="R146" i="7" s="1"/>
  <c r="K132" i="4"/>
  <c r="R134" i="7" s="1"/>
  <c r="K116" i="4"/>
  <c r="R118" i="7" s="1"/>
  <c r="K100" i="4"/>
  <c r="R102" i="7" s="1"/>
  <c r="K127" i="4"/>
  <c r="R129" i="7" s="1"/>
  <c r="K111" i="4"/>
  <c r="R113" i="7" s="1"/>
  <c r="K138" i="4"/>
  <c r="R140" i="7" s="1"/>
  <c r="K122" i="4"/>
  <c r="R124" i="7" s="1"/>
  <c r="K106" i="4"/>
  <c r="R108" i="7" s="1"/>
  <c r="K150" i="4"/>
  <c r="R152" i="7" s="1"/>
  <c r="K143" i="4"/>
  <c r="R145" i="7" s="1"/>
  <c r="K141" i="4"/>
  <c r="R143" i="7" s="1"/>
  <c r="K128" i="4"/>
  <c r="R130" i="7" s="1"/>
  <c r="K112" i="4"/>
  <c r="R114" i="7" s="1"/>
  <c r="K139" i="4"/>
  <c r="R141" i="7" s="1"/>
  <c r="K147" i="4"/>
  <c r="R149" i="7" s="1"/>
  <c r="K124" i="4"/>
  <c r="R126" i="7" s="1"/>
  <c r="K108" i="4"/>
  <c r="R110" i="7" s="1"/>
  <c r="K142" i="4"/>
  <c r="R144" i="7" s="1"/>
  <c r="K125" i="4"/>
  <c r="R127" i="7" s="1"/>
  <c r="K104" i="4"/>
  <c r="R106" i="7" s="1"/>
  <c r="K136" i="4"/>
  <c r="R138" i="7" s="1"/>
  <c r="K130" i="4"/>
  <c r="R132" i="7" s="1"/>
  <c r="K129" i="4"/>
  <c r="R131" i="7" s="1"/>
  <c r="K151" i="4"/>
  <c r="R153" i="7" s="1"/>
  <c r="K131" i="4"/>
  <c r="R133" i="7" s="1"/>
  <c r="K134" i="4"/>
  <c r="R136" i="7" s="1"/>
  <c r="K115" i="4"/>
  <c r="R117" i="7" s="1"/>
  <c r="K87" i="4"/>
  <c r="R89" i="7" s="1"/>
  <c r="K72" i="4"/>
  <c r="R74" i="7" s="1"/>
  <c r="K148" i="4"/>
  <c r="R150" i="7" s="1"/>
  <c r="K107" i="4"/>
  <c r="R109" i="7" s="1"/>
  <c r="K82" i="4"/>
  <c r="R84" i="7" s="1"/>
  <c r="K67" i="4"/>
  <c r="R69" i="7" s="1"/>
  <c r="K145" i="4"/>
  <c r="R147" i="7" s="1"/>
  <c r="K109" i="4"/>
  <c r="R111" i="7" s="1"/>
  <c r="K93" i="4"/>
  <c r="R95" i="7" s="1"/>
  <c r="K77" i="4"/>
  <c r="R79" i="7" s="1"/>
  <c r="K119" i="4"/>
  <c r="R121" i="7" s="1"/>
  <c r="K88" i="4"/>
  <c r="R90" i="7" s="1"/>
  <c r="K73" i="4"/>
  <c r="R75" i="7" s="1"/>
  <c r="K146" i="4"/>
  <c r="R148" i="7" s="1"/>
  <c r="K137" i="4"/>
  <c r="R139" i="7" s="1"/>
  <c r="K123" i="4"/>
  <c r="R125" i="7" s="1"/>
  <c r="K121" i="4"/>
  <c r="R123" i="7" s="1"/>
  <c r="K117" i="4"/>
  <c r="R119" i="7" s="1"/>
  <c r="K113" i="4"/>
  <c r="R115" i="7" s="1"/>
  <c r="K94" i="4"/>
  <c r="R96" i="7" s="1"/>
  <c r="K149" i="4"/>
  <c r="R151" i="7" s="1"/>
  <c r="K102" i="4"/>
  <c r="R104" i="7" s="1"/>
  <c r="K99" i="4"/>
  <c r="R101" i="7" s="1"/>
  <c r="K95" i="4"/>
  <c r="R97" i="7" s="1"/>
  <c r="K79" i="4"/>
  <c r="R81" i="7" s="1"/>
  <c r="K64" i="4"/>
  <c r="R66" i="7" s="1"/>
  <c r="K98" i="4"/>
  <c r="R100" i="7" s="1"/>
  <c r="K58" i="4"/>
  <c r="R60" i="7" s="1"/>
  <c r="K42" i="4"/>
  <c r="R44" i="7" s="1"/>
  <c r="K96" i="4"/>
  <c r="R98" i="7" s="1"/>
  <c r="K91" i="4"/>
  <c r="R93" i="7" s="1"/>
  <c r="K78" i="4"/>
  <c r="R80" i="7" s="1"/>
  <c r="K76" i="4"/>
  <c r="R78" i="7" s="1"/>
  <c r="K53" i="4"/>
  <c r="R55" i="7" s="1"/>
  <c r="K135" i="4"/>
  <c r="R137" i="7" s="1"/>
  <c r="K48" i="4"/>
  <c r="R50" i="7" s="1"/>
  <c r="K133" i="4"/>
  <c r="R135" i="7" s="1"/>
  <c r="K80" i="4"/>
  <c r="R82" i="7" s="1"/>
  <c r="K63" i="4"/>
  <c r="R65" i="7" s="1"/>
  <c r="K59" i="4"/>
  <c r="R61" i="7" s="1"/>
  <c r="K43" i="4"/>
  <c r="R45" i="7" s="1"/>
  <c r="K89" i="4"/>
  <c r="R91" i="7" s="1"/>
  <c r="K83" i="4"/>
  <c r="R85" i="7" s="1"/>
  <c r="K114" i="4"/>
  <c r="R116" i="7" s="1"/>
  <c r="K105" i="4"/>
  <c r="R107" i="7" s="1"/>
  <c r="K103" i="4"/>
  <c r="R105" i="7" s="1"/>
  <c r="K85" i="4"/>
  <c r="R87" i="7" s="1"/>
  <c r="K84" i="4"/>
  <c r="R86" i="7" s="1"/>
  <c r="K97" i="4"/>
  <c r="R99" i="7" s="1"/>
  <c r="K86" i="4"/>
  <c r="R88" i="7" s="1"/>
  <c r="K70" i="4"/>
  <c r="R72" i="7" s="1"/>
  <c r="K69" i="4"/>
  <c r="R71" i="7" s="1"/>
  <c r="K50" i="4"/>
  <c r="R52" i="7" s="1"/>
  <c r="K92" i="4"/>
  <c r="R94" i="7" s="1"/>
  <c r="K49" i="4"/>
  <c r="R51" i="7" s="1"/>
  <c r="K47" i="4"/>
  <c r="R49" i="7" s="1"/>
  <c r="K71" i="4"/>
  <c r="R73" i="7" s="1"/>
  <c r="K68" i="4"/>
  <c r="R70" i="7" s="1"/>
  <c r="K24" i="4"/>
  <c r="R26" i="7" s="1"/>
  <c r="K140" i="4"/>
  <c r="R142" i="7" s="1"/>
  <c r="K101" i="4"/>
  <c r="R103" i="7" s="1"/>
  <c r="K65" i="4"/>
  <c r="R67" i="7" s="1"/>
  <c r="K51" i="4"/>
  <c r="R53" i="7" s="1"/>
  <c r="K35" i="4"/>
  <c r="R37" i="7" s="1"/>
  <c r="K19" i="4"/>
  <c r="R21" i="7" s="1"/>
  <c r="K54" i="4"/>
  <c r="R56" i="7" s="1"/>
  <c r="K30" i="4"/>
  <c r="R32" i="7" s="1"/>
  <c r="K52" i="4"/>
  <c r="R54" i="7" s="1"/>
  <c r="K56" i="4"/>
  <c r="R58" i="7" s="1"/>
  <c r="K55" i="4"/>
  <c r="R57" i="7" s="1"/>
  <c r="K36" i="4"/>
  <c r="R38" i="7" s="1"/>
  <c r="K20" i="4"/>
  <c r="R22" i="7" s="1"/>
  <c r="K81" i="4"/>
  <c r="R83" i="7" s="1"/>
  <c r="K57" i="4"/>
  <c r="R59" i="7" s="1"/>
  <c r="K110" i="4"/>
  <c r="R112" i="7" s="1"/>
  <c r="K37" i="4"/>
  <c r="R39" i="7" s="1"/>
  <c r="K21" i="4"/>
  <c r="R23" i="7" s="1"/>
  <c r="K120" i="4"/>
  <c r="R122" i="7" s="1"/>
  <c r="K118" i="4"/>
  <c r="R120" i="7" s="1"/>
  <c r="K27" i="4"/>
  <c r="R29" i="7" s="1"/>
  <c r="K26" i="4"/>
  <c r="R28" i="7" s="1"/>
  <c r="K13" i="4"/>
  <c r="R15" i="7" s="1"/>
  <c r="K66" i="4"/>
  <c r="R68" i="7" s="1"/>
  <c r="K41" i="4"/>
  <c r="R43" i="7" s="1"/>
  <c r="K61" i="4"/>
  <c r="R63" i="7" s="1"/>
  <c r="K28" i="4"/>
  <c r="R30" i="7" s="1"/>
  <c r="K14" i="4"/>
  <c r="R16" i="7" s="1"/>
  <c r="K31" i="4"/>
  <c r="R33" i="7" s="1"/>
  <c r="K29" i="4"/>
  <c r="R31" i="7" s="1"/>
  <c r="K9" i="4"/>
  <c r="R11" i="7" s="1"/>
  <c r="K8" i="4"/>
  <c r="R10" i="7" s="1"/>
  <c r="C8" i="7" s="1"/>
  <c r="K32" i="4"/>
  <c r="R34" i="7" s="1"/>
  <c r="K62" i="4"/>
  <c r="R64" i="7" s="1"/>
  <c r="K33" i="4"/>
  <c r="R35" i="7" s="1"/>
  <c r="K90" i="4"/>
  <c r="R92" i="7" s="1"/>
  <c r="K74" i="4"/>
  <c r="R76" i="7" s="1"/>
  <c r="K10" i="4"/>
  <c r="R12" i="7" s="1"/>
  <c r="K34" i="4"/>
  <c r="R36" i="7" s="1"/>
  <c r="K44" i="4"/>
  <c r="R46" i="7" s="1"/>
  <c r="K17" i="4"/>
  <c r="R19" i="7" s="1"/>
  <c r="K126" i="4"/>
  <c r="R128" i="7" s="1"/>
  <c r="K45" i="4"/>
  <c r="R47" i="7" s="1"/>
  <c r="K40" i="4"/>
  <c r="R42" i="7" s="1"/>
  <c r="K39" i="4"/>
  <c r="R41" i="7" s="1"/>
  <c r="K38" i="4"/>
  <c r="R40" i="7" s="1"/>
  <c r="K60" i="4"/>
  <c r="R62" i="7" s="1"/>
  <c r="K46" i="4"/>
  <c r="R48" i="7" s="1"/>
  <c r="K23" i="4"/>
  <c r="R25" i="7" s="1"/>
  <c r="K6" i="4"/>
  <c r="R8" i="7" s="1"/>
  <c r="K11" i="4"/>
  <c r="R13" i="7" s="1"/>
  <c r="K18" i="4"/>
  <c r="R20" i="7" s="1"/>
  <c r="K15" i="4"/>
  <c r="R17" i="7" s="1"/>
  <c r="K25" i="4"/>
  <c r="R27" i="7" s="1"/>
  <c r="K7" i="4"/>
  <c r="K16" i="4"/>
  <c r="R18" i="7" s="1"/>
  <c r="K22" i="4"/>
  <c r="R24" i="7" s="1"/>
  <c r="K12" i="4"/>
  <c r="R14" i="7" s="1"/>
  <c r="B204" i="7"/>
  <c r="B156" i="7"/>
  <c r="AD88" i="5"/>
  <c r="AQ153" i="4"/>
  <c r="R47" i="6"/>
  <c r="R47" i="5"/>
  <c r="AR151" i="4"/>
  <c r="R153" i="5"/>
  <c r="R153" i="6"/>
  <c r="AR73" i="4"/>
  <c r="R75" i="6"/>
  <c r="R75" i="5"/>
  <c r="R36" i="5"/>
  <c r="R36" i="6"/>
  <c r="AR115" i="4"/>
  <c r="R117" i="5"/>
  <c r="R117" i="6"/>
  <c r="AR130" i="4"/>
  <c r="R132" i="5"/>
  <c r="R132" i="6"/>
  <c r="R94" i="5"/>
  <c r="R94" i="6"/>
  <c r="R120" i="6"/>
  <c r="R120" i="5"/>
  <c r="AR150" i="4"/>
  <c r="R152" i="5"/>
  <c r="R152" i="6"/>
  <c r="B203" i="7"/>
  <c r="AQ13" i="4"/>
  <c r="B184" i="5"/>
  <c r="B183" i="6"/>
  <c r="B202" i="5"/>
  <c r="N9" i="3"/>
  <c r="N10" i="3" s="1"/>
  <c r="AD83" i="5"/>
  <c r="B216" i="6"/>
  <c r="AC77" i="5"/>
  <c r="B210" i="6"/>
  <c r="B229" i="5"/>
  <c r="B226" i="6"/>
  <c r="B205" i="7"/>
  <c r="B168" i="5"/>
  <c r="AD136" i="5"/>
  <c r="AD107" i="6"/>
  <c r="AR59" i="4"/>
  <c r="R61" i="5"/>
  <c r="R61" i="6"/>
  <c r="R15" i="6"/>
  <c r="R15" i="5"/>
  <c r="AR86" i="4"/>
  <c r="R88" i="5"/>
  <c r="R88" i="6"/>
  <c r="AR117" i="4"/>
  <c r="R119" i="5"/>
  <c r="R119" i="6"/>
  <c r="AR133" i="4"/>
  <c r="R135" i="5"/>
  <c r="R135" i="6"/>
  <c r="R76" i="6"/>
  <c r="R76" i="5"/>
  <c r="AR66" i="4"/>
  <c r="R68" i="6"/>
  <c r="R68" i="5"/>
  <c r="R136" i="5"/>
  <c r="R136" i="6"/>
  <c r="AR153" i="4"/>
  <c r="R155" i="5"/>
  <c r="R155" i="6"/>
  <c r="AC123" i="7"/>
  <c r="B195" i="6"/>
  <c r="B158" i="7"/>
  <c r="B221" i="5"/>
  <c r="B174" i="7"/>
  <c r="B175" i="5"/>
  <c r="B196" i="7"/>
  <c r="N16" i="3"/>
  <c r="B178" i="7"/>
  <c r="B157" i="5"/>
  <c r="B152" i="6"/>
  <c r="B186" i="6"/>
  <c r="B191" i="5"/>
  <c r="AD77" i="5"/>
  <c r="B208" i="6"/>
  <c r="B214" i="5"/>
  <c r="AD101" i="5"/>
  <c r="AC95" i="5"/>
  <c r="B165" i="6"/>
  <c r="AD16" i="5"/>
  <c r="AD116" i="6"/>
  <c r="AC133" i="5"/>
  <c r="AD30" i="5"/>
  <c r="R12" i="6"/>
  <c r="R12" i="5"/>
  <c r="R65" i="5"/>
  <c r="R65" i="6"/>
  <c r="R29" i="5"/>
  <c r="R29" i="6"/>
  <c r="AR30" i="4"/>
  <c r="R32" i="6"/>
  <c r="R32" i="5"/>
  <c r="AR39" i="4"/>
  <c r="R41" i="5"/>
  <c r="R41" i="6"/>
  <c r="AR53" i="4"/>
  <c r="R55" i="6"/>
  <c r="R55" i="5"/>
  <c r="AR89" i="4"/>
  <c r="R91" i="5"/>
  <c r="R91" i="6"/>
  <c r="R83" i="6"/>
  <c r="R83" i="5"/>
  <c r="AR141" i="4"/>
  <c r="R143" i="5"/>
  <c r="R143" i="6"/>
  <c r="AR147" i="4"/>
  <c r="R149" i="5"/>
  <c r="R149" i="6"/>
  <c r="AC36" i="7"/>
  <c r="AC77" i="6"/>
  <c r="B193" i="5"/>
  <c r="B218" i="5"/>
  <c r="B153" i="6"/>
  <c r="B155" i="7"/>
  <c r="B159" i="6"/>
  <c r="AD31" i="6"/>
  <c r="AQ139" i="4"/>
  <c r="AQ10" i="4"/>
  <c r="B156" i="5"/>
  <c r="AQ129" i="4"/>
  <c r="AD111" i="6"/>
  <c r="AD46" i="6"/>
  <c r="AQ123" i="4"/>
  <c r="AR16" i="4"/>
  <c r="R18" i="6"/>
  <c r="R18" i="5"/>
  <c r="R38" i="6"/>
  <c r="R38" i="5"/>
  <c r="AR41" i="4"/>
  <c r="R43" i="5"/>
  <c r="R43" i="6"/>
  <c r="R56" i="5"/>
  <c r="R56" i="6"/>
  <c r="AR46" i="4"/>
  <c r="R48" i="6"/>
  <c r="R48" i="5"/>
  <c r="AR78" i="4"/>
  <c r="R80" i="5"/>
  <c r="R80" i="6"/>
  <c r="AR88" i="4"/>
  <c r="R90" i="6"/>
  <c r="R90" i="5"/>
  <c r="AR97" i="4"/>
  <c r="R99" i="5"/>
  <c r="R99" i="6"/>
  <c r="AR106" i="4"/>
  <c r="R108" i="5"/>
  <c r="R108" i="6"/>
  <c r="AR152" i="4"/>
  <c r="R154" i="5"/>
  <c r="R154" i="6"/>
  <c r="AD77" i="6"/>
  <c r="B188" i="5"/>
  <c r="B206" i="6"/>
  <c r="B190" i="7"/>
  <c r="B217" i="6"/>
  <c r="B208" i="5"/>
  <c r="B196" i="5"/>
  <c r="B199" i="6"/>
  <c r="AD75" i="5"/>
  <c r="B164" i="6"/>
  <c r="AD148" i="5"/>
  <c r="B211" i="5"/>
  <c r="AD32" i="6"/>
  <c r="AQ9" i="4"/>
  <c r="B229" i="6"/>
  <c r="AD99" i="6"/>
  <c r="AQ135" i="4"/>
  <c r="AQ42" i="4"/>
  <c r="AQ97" i="4"/>
  <c r="AR19" i="4"/>
  <c r="R21" i="5"/>
  <c r="R21" i="6"/>
  <c r="AR35" i="4"/>
  <c r="R37" i="6"/>
  <c r="R37" i="5"/>
  <c r="AR23" i="4"/>
  <c r="R25" i="5"/>
  <c r="R25" i="6"/>
  <c r="R53" i="6"/>
  <c r="R53" i="5"/>
  <c r="AR48" i="4"/>
  <c r="R50" i="5"/>
  <c r="R50" i="6"/>
  <c r="R93" i="6"/>
  <c r="R93" i="5"/>
  <c r="AR119" i="4"/>
  <c r="R121" i="6"/>
  <c r="R121" i="5"/>
  <c r="AR135" i="4"/>
  <c r="R137" i="5"/>
  <c r="R137" i="6"/>
  <c r="AR122" i="4"/>
  <c r="R124" i="5"/>
  <c r="R124" i="6"/>
  <c r="AR146" i="4"/>
  <c r="R148" i="6"/>
  <c r="R148" i="5"/>
  <c r="AC84" i="7"/>
  <c r="B168" i="7"/>
  <c r="B159" i="5"/>
  <c r="B205" i="5"/>
  <c r="B172" i="6"/>
  <c r="B224" i="5"/>
  <c r="B212" i="5"/>
  <c r="B219" i="6"/>
  <c r="B201" i="6"/>
  <c r="B198" i="6"/>
  <c r="AD149" i="5"/>
  <c r="AC125" i="5"/>
  <c r="AD53" i="6"/>
  <c r="AQ111" i="4"/>
  <c r="B161" i="7"/>
  <c r="AD124" i="5"/>
  <c r="AC125" i="6"/>
  <c r="AD11" i="6"/>
  <c r="B208" i="7"/>
  <c r="AD20" i="6"/>
  <c r="AQ16" i="4"/>
  <c r="AD150" i="6"/>
  <c r="B209" i="6"/>
  <c r="AD57" i="5"/>
  <c r="B213" i="6"/>
  <c r="B192" i="6"/>
  <c r="AD63" i="5"/>
  <c r="AD88" i="6"/>
  <c r="R10" i="6"/>
  <c r="C8" i="6" s="1"/>
  <c r="R10" i="5"/>
  <c r="C8" i="5" s="1"/>
  <c r="AR95" i="4"/>
  <c r="R97" i="6"/>
  <c r="R97" i="5"/>
  <c r="AR26" i="4"/>
  <c r="R28" i="6"/>
  <c r="R28" i="5"/>
  <c r="R67" i="5"/>
  <c r="R67" i="6"/>
  <c r="AR103" i="4"/>
  <c r="R105" i="5"/>
  <c r="R105" i="6"/>
  <c r="R98" i="6"/>
  <c r="R98" i="5"/>
  <c r="AR93" i="4"/>
  <c r="R95" i="6"/>
  <c r="R95" i="5"/>
  <c r="AR113" i="4"/>
  <c r="R115" i="6"/>
  <c r="R115" i="5"/>
  <c r="R140" i="5"/>
  <c r="R140" i="6"/>
  <c r="AD144" i="7"/>
  <c r="AQ44" i="4"/>
  <c r="B204" i="5"/>
  <c r="B158" i="5"/>
  <c r="B162" i="5"/>
  <c r="B192" i="5"/>
  <c r="B206" i="7"/>
  <c r="B228" i="7"/>
  <c r="B197" i="6"/>
  <c r="AQ106" i="4"/>
  <c r="AD71" i="5"/>
  <c r="AC14" i="6"/>
  <c r="B181" i="5"/>
  <c r="AD73" i="6"/>
  <c r="AC153" i="7"/>
  <c r="AD111" i="5"/>
  <c r="AA7" i="4"/>
  <c r="AR7" i="4"/>
  <c r="R9" i="6"/>
  <c r="R9" i="5"/>
  <c r="AR33" i="4"/>
  <c r="R35" i="6"/>
  <c r="R35" i="5"/>
  <c r="AR37" i="4"/>
  <c r="R39" i="6"/>
  <c r="R39" i="5"/>
  <c r="AR84" i="4"/>
  <c r="R86" i="6"/>
  <c r="R86" i="5"/>
  <c r="AR44" i="4"/>
  <c r="R46" i="5"/>
  <c r="R46" i="6"/>
  <c r="AR42" i="4"/>
  <c r="R44" i="5"/>
  <c r="R44" i="6"/>
  <c r="AR109" i="4"/>
  <c r="R111" i="5"/>
  <c r="R111" i="6"/>
  <c r="AR143" i="4"/>
  <c r="R145" i="6"/>
  <c r="R145" i="5"/>
  <c r="AR100" i="4"/>
  <c r="R102" i="5"/>
  <c r="R102" i="6"/>
  <c r="AD127" i="6"/>
  <c r="B209" i="5"/>
  <c r="B225" i="7"/>
  <c r="B158" i="6"/>
  <c r="B228" i="6"/>
  <c r="B179" i="5"/>
  <c r="B229" i="7"/>
  <c r="B220" i="5"/>
  <c r="B184" i="6"/>
  <c r="B193" i="7"/>
  <c r="B177" i="5"/>
  <c r="B182" i="7"/>
  <c r="B219" i="5"/>
  <c r="B187" i="5"/>
  <c r="AC43" i="5"/>
  <c r="B159" i="7"/>
  <c r="B223" i="6"/>
  <c r="B183" i="7"/>
  <c r="AD49" i="5"/>
  <c r="AC70" i="5"/>
  <c r="B160" i="6"/>
  <c r="B201" i="7"/>
  <c r="AD15" i="5"/>
  <c r="B190" i="5"/>
  <c r="AC59" i="6"/>
  <c r="AD47" i="6"/>
  <c r="AC28" i="5"/>
  <c r="AD94" i="6"/>
  <c r="AQ149" i="4"/>
  <c r="AD63" i="6"/>
  <c r="AQ130" i="4"/>
  <c r="AR21" i="4"/>
  <c r="R23" i="5"/>
  <c r="R23" i="6"/>
  <c r="R45" i="5"/>
  <c r="R45" i="6"/>
  <c r="AR64" i="4"/>
  <c r="R66" i="6"/>
  <c r="R66" i="5"/>
  <c r="AR125" i="4"/>
  <c r="R127" i="6"/>
  <c r="R127" i="5"/>
  <c r="AR60" i="4"/>
  <c r="R62" i="6"/>
  <c r="R62" i="5"/>
  <c r="AR58" i="4"/>
  <c r="R60" i="5"/>
  <c r="R60" i="6"/>
  <c r="AR111" i="4"/>
  <c r="R113" i="5"/>
  <c r="R113" i="6"/>
  <c r="AR129" i="4"/>
  <c r="R131" i="6"/>
  <c r="R131" i="5"/>
  <c r="R118" i="5"/>
  <c r="R118" i="6"/>
  <c r="B227" i="7"/>
  <c r="B220" i="6"/>
  <c r="B187" i="6"/>
  <c r="B227" i="5"/>
  <c r="B163" i="5"/>
  <c r="B190" i="6"/>
  <c r="B174" i="5"/>
  <c r="B205" i="6"/>
  <c r="B218" i="6"/>
  <c r="B225" i="6"/>
  <c r="B155" i="5"/>
  <c r="B212" i="7"/>
  <c r="AD152" i="6"/>
  <c r="AC95" i="6"/>
  <c r="L147" i="4"/>
  <c r="L153" i="4"/>
  <c r="L148" i="4"/>
  <c r="L151" i="4"/>
  <c r="L127" i="4"/>
  <c r="L111" i="4"/>
  <c r="L138" i="4"/>
  <c r="L122" i="4"/>
  <c r="L106" i="4"/>
  <c r="L150" i="4"/>
  <c r="L133" i="4"/>
  <c r="L117" i="4"/>
  <c r="L101" i="4"/>
  <c r="L143" i="4"/>
  <c r="L141" i="4"/>
  <c r="L139" i="4"/>
  <c r="L123" i="4"/>
  <c r="L107" i="4"/>
  <c r="L134" i="4"/>
  <c r="L135" i="4"/>
  <c r="L119" i="4"/>
  <c r="L103" i="4"/>
  <c r="L125" i="4"/>
  <c r="L124" i="4"/>
  <c r="L136" i="4"/>
  <c r="L128" i="4"/>
  <c r="L126" i="4"/>
  <c r="L130" i="4"/>
  <c r="L129" i="4"/>
  <c r="L131" i="4"/>
  <c r="L149" i="4"/>
  <c r="L144" i="4"/>
  <c r="L152" i="4"/>
  <c r="L146" i="4"/>
  <c r="L82" i="4"/>
  <c r="L67" i="4"/>
  <c r="L145" i="4"/>
  <c r="L109" i="4"/>
  <c r="L93" i="4"/>
  <c r="L77" i="4"/>
  <c r="L88" i="4"/>
  <c r="L73" i="4"/>
  <c r="L83" i="4"/>
  <c r="L68" i="4"/>
  <c r="L142" i="4"/>
  <c r="L137" i="4"/>
  <c r="L121" i="4"/>
  <c r="L115" i="4"/>
  <c r="L113" i="4"/>
  <c r="L94" i="4"/>
  <c r="L89" i="4"/>
  <c r="L104" i="4"/>
  <c r="L100" i="4"/>
  <c r="L90" i="4"/>
  <c r="L96" i="4"/>
  <c r="L91" i="4"/>
  <c r="L78" i="4"/>
  <c r="L76" i="4"/>
  <c r="L53" i="4"/>
  <c r="L48" i="4"/>
  <c r="L80" i="4"/>
  <c r="L79" i="4"/>
  <c r="L63" i="4"/>
  <c r="L59" i="4"/>
  <c r="L43" i="4"/>
  <c r="L54" i="4"/>
  <c r="L114" i="4"/>
  <c r="L108" i="4"/>
  <c r="L105" i="4"/>
  <c r="L85" i="4"/>
  <c r="L84" i="4"/>
  <c r="L116" i="4"/>
  <c r="L102" i="4"/>
  <c r="L92" i="4"/>
  <c r="L61" i="4"/>
  <c r="L45" i="4"/>
  <c r="L71" i="4"/>
  <c r="L140" i="4"/>
  <c r="L98" i="4"/>
  <c r="L65" i="4"/>
  <c r="L51" i="4"/>
  <c r="L50" i="4"/>
  <c r="L35" i="4"/>
  <c r="L19" i="4"/>
  <c r="L30" i="4"/>
  <c r="L52" i="4"/>
  <c r="L25" i="4"/>
  <c r="L86" i="4"/>
  <c r="L56" i="4"/>
  <c r="L55" i="4"/>
  <c r="L81" i="4"/>
  <c r="L31" i="4"/>
  <c r="L15" i="4"/>
  <c r="L87" i="4"/>
  <c r="L70" i="4"/>
  <c r="L57" i="4"/>
  <c r="L110" i="4"/>
  <c r="L99" i="4"/>
  <c r="L95" i="4"/>
  <c r="L64" i="4"/>
  <c r="L37" i="4"/>
  <c r="L132" i="4"/>
  <c r="L60" i="4"/>
  <c r="L58" i="4"/>
  <c r="L40" i="4"/>
  <c r="L32" i="4"/>
  <c r="L16" i="4"/>
  <c r="L72" i="4"/>
  <c r="L69" i="4"/>
  <c r="L44" i="4"/>
  <c r="L42" i="4"/>
  <c r="L66" i="4"/>
  <c r="L41" i="4"/>
  <c r="L28" i="4"/>
  <c r="L112" i="4"/>
  <c r="L47" i="4"/>
  <c r="L14" i="4"/>
  <c r="L29" i="4"/>
  <c r="L9" i="4"/>
  <c r="L120" i="4"/>
  <c r="L62" i="4"/>
  <c r="L33" i="4"/>
  <c r="L74" i="4"/>
  <c r="L10" i="4"/>
  <c r="L49" i="4"/>
  <c r="L34" i="4"/>
  <c r="L36" i="4"/>
  <c r="L17" i="4"/>
  <c r="L118" i="4"/>
  <c r="L97" i="4"/>
  <c r="L75" i="4"/>
  <c r="L39" i="4"/>
  <c r="L38" i="4"/>
  <c r="L46" i="4"/>
  <c r="L27" i="4"/>
  <c r="L23" i="4"/>
  <c r="L20" i="4"/>
  <c r="O2" i="4"/>
  <c r="L11" i="4"/>
  <c r="L24" i="4"/>
  <c r="L18" i="4"/>
  <c r="L21" i="4"/>
  <c r="L13" i="4"/>
  <c r="L22" i="4"/>
  <c r="L26" i="4"/>
  <c r="M3" i="4"/>
  <c r="L12" i="4"/>
  <c r="B164" i="7"/>
  <c r="AC153" i="5"/>
  <c r="AC48" i="6"/>
  <c r="AR11" i="4"/>
  <c r="R13" i="5"/>
  <c r="R13" i="6"/>
  <c r="R92" i="6"/>
  <c r="R92" i="5"/>
  <c r="AR22" i="4"/>
  <c r="R24" i="5"/>
  <c r="R24" i="6"/>
  <c r="AR24" i="4"/>
  <c r="R26" i="6"/>
  <c r="R26" i="5"/>
  <c r="AR68" i="4"/>
  <c r="R70" i="6"/>
  <c r="R70" i="5"/>
  <c r="AR139" i="4"/>
  <c r="R141" i="6"/>
  <c r="R141" i="5"/>
  <c r="AR67" i="4"/>
  <c r="R69" i="5"/>
  <c r="R69" i="6"/>
  <c r="AR136" i="4"/>
  <c r="R138" i="5"/>
  <c r="R138" i="6"/>
  <c r="AR132" i="4"/>
  <c r="R134" i="5"/>
  <c r="R134" i="6"/>
  <c r="AD64" i="7"/>
  <c r="B220" i="7"/>
  <c r="B219" i="7"/>
  <c r="B185" i="6"/>
  <c r="N13" i="3"/>
  <c r="N14" i="3"/>
  <c r="B176" i="7"/>
  <c r="B162" i="7"/>
  <c r="B207" i="6"/>
  <c r="B181" i="7"/>
  <c r="B192" i="7"/>
  <c r="B157" i="6"/>
  <c r="B171" i="6"/>
  <c r="B188" i="7"/>
  <c r="B215" i="7"/>
  <c r="B157" i="7"/>
  <c r="B201" i="5"/>
  <c r="B179" i="6"/>
  <c r="B172" i="5"/>
  <c r="B204" i="6"/>
  <c r="B181" i="6"/>
  <c r="B224" i="7"/>
  <c r="AC39" i="5"/>
  <c r="B213" i="5"/>
  <c r="B176" i="5"/>
  <c r="B174" i="6"/>
  <c r="B189" i="5"/>
  <c r="B182" i="5"/>
  <c r="AC44" i="6"/>
  <c r="AD145" i="5"/>
  <c r="AD136" i="6"/>
  <c r="AD143" i="5"/>
  <c r="B164" i="5"/>
  <c r="AC65" i="7"/>
  <c r="AD94" i="5"/>
  <c r="AQ103" i="4"/>
  <c r="AR20" i="4"/>
  <c r="R22" i="6"/>
  <c r="R22" i="5"/>
  <c r="AR32" i="4"/>
  <c r="R34" i="6"/>
  <c r="R34" i="5"/>
  <c r="AR25" i="4"/>
  <c r="R27" i="6"/>
  <c r="R27" i="5"/>
  <c r="AR50" i="4"/>
  <c r="R52" i="6"/>
  <c r="R52" i="5"/>
  <c r="AR85" i="4"/>
  <c r="R87" i="6"/>
  <c r="R87" i="5"/>
  <c r="AR47" i="4"/>
  <c r="R49" i="6"/>
  <c r="R49" i="5"/>
  <c r="AR82" i="4"/>
  <c r="R84" i="5"/>
  <c r="R84" i="6"/>
  <c r="AR128" i="4"/>
  <c r="R130" i="6"/>
  <c r="R130" i="5"/>
  <c r="AR144" i="4"/>
  <c r="R146" i="5"/>
  <c r="R146" i="6"/>
  <c r="AD145" i="7"/>
  <c r="B186" i="5"/>
  <c r="B166" i="6"/>
  <c r="B188" i="6"/>
  <c r="B177" i="7"/>
  <c r="B222" i="5"/>
  <c r="B169" i="5"/>
  <c r="HF6" i="2"/>
  <c r="HE6" i="2"/>
  <c r="B223" i="5"/>
  <c r="B200" i="5"/>
  <c r="B177" i="6"/>
  <c r="B170" i="6"/>
  <c r="B180" i="5"/>
  <c r="AD46" i="5"/>
  <c r="B183" i="5"/>
  <c r="AD31" i="5"/>
  <c r="AD106" i="6"/>
  <c r="AQ63" i="4"/>
  <c r="AD86" i="5"/>
  <c r="AC36" i="6"/>
  <c r="B171" i="7"/>
  <c r="AC113" i="5"/>
  <c r="AD68" i="6"/>
  <c r="B221" i="6"/>
  <c r="AD69" i="6"/>
  <c r="AC110" i="6"/>
  <c r="AD35" i="5"/>
  <c r="AD147" i="6"/>
  <c r="B175" i="6"/>
  <c r="AR6" i="4"/>
  <c r="R8" i="6"/>
  <c r="R8" i="5"/>
  <c r="AR9" i="4"/>
  <c r="R11" i="5"/>
  <c r="R11" i="6"/>
  <c r="AR62" i="4"/>
  <c r="R64" i="5"/>
  <c r="R64" i="6"/>
  <c r="AR71" i="4"/>
  <c r="R73" i="5"/>
  <c r="R73" i="6"/>
  <c r="R85" i="5"/>
  <c r="R85" i="6"/>
  <c r="AR77" i="4"/>
  <c r="R79" i="5"/>
  <c r="R79" i="6"/>
  <c r="AR107" i="4"/>
  <c r="R109" i="6"/>
  <c r="R109" i="5"/>
  <c r="AR124" i="4"/>
  <c r="R126" i="5"/>
  <c r="R126" i="6"/>
  <c r="AR105" i="4"/>
  <c r="R107" i="6"/>
  <c r="R107" i="5"/>
  <c r="AC56" i="7"/>
  <c r="B185" i="7"/>
  <c r="B189" i="7"/>
  <c r="B194" i="7"/>
  <c r="B217" i="7"/>
  <c r="B209" i="7"/>
  <c r="B178" i="5"/>
  <c r="B178" i="6"/>
  <c r="B170" i="5"/>
  <c r="B211" i="6"/>
  <c r="AD16" i="6"/>
  <c r="AQ147" i="4"/>
  <c r="B216" i="7"/>
  <c r="B170" i="7"/>
  <c r="AC98" i="6"/>
  <c r="AC98" i="5"/>
  <c r="AD115" i="5"/>
  <c r="B212" i="6"/>
  <c r="AD62" i="6"/>
  <c r="B173" i="6"/>
  <c r="AC155" i="5"/>
  <c r="B227" i="6"/>
  <c r="B199" i="7"/>
  <c r="B196" i="6"/>
  <c r="AD105" i="5"/>
  <c r="B186" i="7"/>
  <c r="AC44" i="7"/>
  <c r="AD11" i="7"/>
  <c r="AQ146" i="4"/>
  <c r="AR17" i="4"/>
  <c r="R19" i="5"/>
  <c r="R19" i="6"/>
  <c r="R16" i="5"/>
  <c r="R16" i="6"/>
  <c r="AR15" i="4"/>
  <c r="R17" i="6"/>
  <c r="R17" i="5"/>
  <c r="R81" i="5"/>
  <c r="R81" i="6"/>
  <c r="AR104" i="4"/>
  <c r="R106" i="5"/>
  <c r="R106" i="6"/>
  <c r="AR98" i="4"/>
  <c r="R100" i="5"/>
  <c r="R100" i="6"/>
  <c r="AR72" i="4"/>
  <c r="R74" i="6"/>
  <c r="R74" i="5"/>
  <c r="AR123" i="4"/>
  <c r="R125" i="6"/>
  <c r="R125" i="5"/>
  <c r="AR121" i="4"/>
  <c r="R123" i="6"/>
  <c r="R123" i="5"/>
  <c r="AC63" i="4" l="1"/>
  <c r="C88" i="6"/>
  <c r="C125" i="6"/>
  <c r="X105" i="6"/>
  <c r="T105" i="6"/>
  <c r="K77" i="6" s="1"/>
  <c r="T135" i="6"/>
  <c r="K156" i="6" s="1"/>
  <c r="C101" i="7"/>
  <c r="AC44" i="4"/>
  <c r="AC87" i="4"/>
  <c r="AC140" i="4"/>
  <c r="AC79" i="4"/>
  <c r="AC137" i="4"/>
  <c r="AC131" i="4"/>
  <c r="AC143" i="4"/>
  <c r="C98" i="6"/>
  <c r="C75" i="5"/>
  <c r="C88" i="5"/>
  <c r="C125" i="5"/>
  <c r="X105" i="5"/>
  <c r="T105" i="5"/>
  <c r="K77" i="5" s="1"/>
  <c r="C124" i="6"/>
  <c r="X99" i="6"/>
  <c r="T99" i="6"/>
  <c r="K129" i="6" s="1"/>
  <c r="T43" i="5"/>
  <c r="T32" i="6"/>
  <c r="K74" i="6" s="1"/>
  <c r="X32" i="6"/>
  <c r="AR118" i="4"/>
  <c r="X30" i="7"/>
  <c r="AC30" i="7" s="1"/>
  <c r="X57" i="7"/>
  <c r="C96" i="7"/>
  <c r="T57" i="7"/>
  <c r="K138" i="7" s="1"/>
  <c r="C116" i="7"/>
  <c r="T110" i="7"/>
  <c r="K52" i="7" s="1"/>
  <c r="T134" i="7"/>
  <c r="K178" i="7" s="1"/>
  <c r="C139" i="7"/>
  <c r="X134" i="7"/>
  <c r="C123" i="5"/>
  <c r="C116" i="6"/>
  <c r="C129" i="6"/>
  <c r="X112" i="6"/>
  <c r="AC112" i="6" s="1"/>
  <c r="T112" i="6"/>
  <c r="K124" i="6" s="1"/>
  <c r="C128" i="6"/>
  <c r="C80" i="6"/>
  <c r="X114" i="6"/>
  <c r="AC114" i="6" s="1"/>
  <c r="T114" i="6"/>
  <c r="K125" i="6" s="1"/>
  <c r="AC70" i="4"/>
  <c r="C75" i="6"/>
  <c r="T23" i="6"/>
  <c r="S140" i="6"/>
  <c r="S97" i="6"/>
  <c r="S109" i="6"/>
  <c r="S124" i="6"/>
  <c r="S45" i="6"/>
  <c r="S77" i="6"/>
  <c r="S17" i="6"/>
  <c r="S92" i="6"/>
  <c r="T92" i="6" s="1"/>
  <c r="S39" i="6"/>
  <c r="S135" i="6"/>
  <c r="S80" i="6"/>
  <c r="T80" i="6" s="1"/>
  <c r="S96" i="6"/>
  <c r="T96" i="6" s="1"/>
  <c r="S61" i="6"/>
  <c r="S69" i="6"/>
  <c r="S64" i="6"/>
  <c r="S46" i="6"/>
  <c r="T46" i="6" s="1"/>
  <c r="S16" i="6"/>
  <c r="S126" i="6"/>
  <c r="S130" i="6"/>
  <c r="S143" i="6"/>
  <c r="T143" i="6" s="1"/>
  <c r="S79" i="6"/>
  <c r="S53" i="6"/>
  <c r="S21" i="6"/>
  <c r="S68" i="6"/>
  <c r="S30" i="6"/>
  <c r="S20" i="6"/>
  <c r="S65" i="6"/>
  <c r="T65" i="6" s="1"/>
  <c r="S118" i="6"/>
  <c r="T118" i="6" s="1"/>
  <c r="S34" i="6"/>
  <c r="S59" i="6"/>
  <c r="S67" i="6"/>
  <c r="T67" i="6" s="1"/>
  <c r="S11" i="6"/>
  <c r="T11" i="6" s="1"/>
  <c r="K57" i="6" s="1"/>
  <c r="S35" i="6"/>
  <c r="S40" i="6"/>
  <c r="S136" i="6"/>
  <c r="S23" i="6"/>
  <c r="S93" i="6"/>
  <c r="S112" i="6"/>
  <c r="S119" i="6"/>
  <c r="S121" i="6"/>
  <c r="T121" i="6" s="1"/>
  <c r="S32" i="6"/>
  <c r="S142" i="6"/>
  <c r="S99" i="6"/>
  <c r="S13" i="6"/>
  <c r="T13" i="6" s="1"/>
  <c r="S73" i="6"/>
  <c r="S25" i="6"/>
  <c r="S106" i="6"/>
  <c r="S90" i="6"/>
  <c r="T90" i="6" s="1"/>
  <c r="S108" i="6"/>
  <c r="S31" i="6"/>
  <c r="T31" i="6" s="1"/>
  <c r="S94" i="6"/>
  <c r="S48" i="6"/>
  <c r="S50" i="6"/>
  <c r="S78" i="6"/>
  <c r="S155" i="6"/>
  <c r="S71" i="6"/>
  <c r="S87" i="6"/>
  <c r="S153" i="6"/>
  <c r="T153" i="6" s="1"/>
  <c r="S139" i="6"/>
  <c r="S85" i="6"/>
  <c r="T85" i="6" s="1"/>
  <c r="S107" i="6"/>
  <c r="S18" i="6"/>
  <c r="S88" i="6"/>
  <c r="S63" i="6"/>
  <c r="T63" i="6" s="1"/>
  <c r="S38" i="6"/>
  <c r="S29" i="6"/>
  <c r="S41" i="6"/>
  <c r="S152" i="6"/>
  <c r="S134" i="6"/>
  <c r="S117" i="6"/>
  <c r="S89" i="6"/>
  <c r="S81" i="6"/>
  <c r="S83" i="6"/>
  <c r="S37" i="6"/>
  <c r="S27" i="6"/>
  <c r="S42" i="6"/>
  <c r="T42" i="6" s="1"/>
  <c r="S55" i="6"/>
  <c r="S147" i="6"/>
  <c r="S138" i="6"/>
  <c r="S116" i="6"/>
  <c r="S76" i="6"/>
  <c r="S28" i="6"/>
  <c r="S72" i="6"/>
  <c r="S131" i="6"/>
  <c r="S133" i="6"/>
  <c r="S111" i="6"/>
  <c r="S132" i="6"/>
  <c r="S82" i="6"/>
  <c r="T82" i="6" s="1"/>
  <c r="S44" i="6"/>
  <c r="T44" i="6" s="1"/>
  <c r="S70" i="6"/>
  <c r="S54" i="6"/>
  <c r="S36" i="6"/>
  <c r="T36" i="6" s="1"/>
  <c r="S114" i="6"/>
  <c r="S154" i="6"/>
  <c r="S110" i="6"/>
  <c r="T110" i="6" s="1"/>
  <c r="S122" i="6"/>
  <c r="S60" i="6"/>
  <c r="T60" i="6" s="1"/>
  <c r="S98" i="6"/>
  <c r="S128" i="6"/>
  <c r="S24" i="6"/>
  <c r="S26" i="6"/>
  <c r="S141" i="6"/>
  <c r="S146" i="6"/>
  <c r="S74" i="6"/>
  <c r="S105" i="6"/>
  <c r="S58" i="6"/>
  <c r="S56" i="6"/>
  <c r="S57" i="6"/>
  <c r="S22" i="6"/>
  <c r="S151" i="6"/>
  <c r="S91" i="6"/>
  <c r="T91" i="6" s="1"/>
  <c r="S145" i="6"/>
  <c r="S104" i="6"/>
  <c r="S127" i="6"/>
  <c r="S137" i="6"/>
  <c r="S12" i="6"/>
  <c r="S49" i="6"/>
  <c r="S15" i="6"/>
  <c r="S129" i="6"/>
  <c r="S62" i="6"/>
  <c r="S150" i="6"/>
  <c r="S86" i="6"/>
  <c r="S120" i="6"/>
  <c r="T120" i="6" s="1"/>
  <c r="S103" i="6"/>
  <c r="T103" i="6" s="1"/>
  <c r="S100" i="6"/>
  <c r="S123" i="6"/>
  <c r="S47" i="6"/>
  <c r="T47" i="6" s="1"/>
  <c r="S19" i="6"/>
  <c r="T19" i="6" s="1"/>
  <c r="S66" i="6"/>
  <c r="S113" i="6"/>
  <c r="S52" i="6"/>
  <c r="S33" i="6"/>
  <c r="S149" i="6"/>
  <c r="S125" i="6"/>
  <c r="S115" i="6"/>
  <c r="S101" i="6"/>
  <c r="T101" i="6" s="1"/>
  <c r="S75" i="6"/>
  <c r="S102" i="6"/>
  <c r="S43" i="6"/>
  <c r="T43" i="6" s="1"/>
  <c r="S14" i="6"/>
  <c r="T14" i="6" s="1"/>
  <c r="S51" i="6"/>
  <c r="S148" i="6"/>
  <c r="S95" i="6"/>
  <c r="S84" i="6"/>
  <c r="T84" i="6" s="1"/>
  <c r="S144" i="6"/>
  <c r="C87" i="7"/>
  <c r="C92" i="7"/>
  <c r="T74" i="6"/>
  <c r="K88" i="6" s="1"/>
  <c r="C110" i="6"/>
  <c r="C91" i="6"/>
  <c r="X49" i="6"/>
  <c r="T49" i="6"/>
  <c r="K170" i="6" s="1"/>
  <c r="AC21" i="4"/>
  <c r="AS142" i="4"/>
  <c r="AC142" i="4"/>
  <c r="T21" i="6"/>
  <c r="K69" i="6" s="1"/>
  <c r="X99" i="5"/>
  <c r="T99" i="5"/>
  <c r="K129" i="5" s="1"/>
  <c r="C124" i="5"/>
  <c r="T94" i="6"/>
  <c r="K43" i="6" s="1"/>
  <c r="C136" i="7"/>
  <c r="X128" i="7"/>
  <c r="T128" i="7"/>
  <c r="K176" i="7" s="1"/>
  <c r="T63" i="7"/>
  <c r="C97" i="7"/>
  <c r="T58" i="7"/>
  <c r="K139" i="7" s="1"/>
  <c r="C134" i="7"/>
  <c r="X146" i="7"/>
  <c r="C143" i="7"/>
  <c r="C123" i="6"/>
  <c r="AR80" i="4"/>
  <c r="C129" i="5"/>
  <c r="X112" i="5"/>
  <c r="AC112" i="5" s="1"/>
  <c r="T112" i="5"/>
  <c r="K124" i="5" s="1"/>
  <c r="AR29" i="4"/>
  <c r="X114" i="5"/>
  <c r="AC114" i="5" s="1"/>
  <c r="T114" i="5"/>
  <c r="K125" i="5" s="1"/>
  <c r="AR12" i="4"/>
  <c r="C110" i="5"/>
  <c r="AC42" i="4"/>
  <c r="AC98" i="4"/>
  <c r="AC121" i="4"/>
  <c r="AC149" i="4"/>
  <c r="C71" i="7"/>
  <c r="C116" i="5"/>
  <c r="C80" i="5"/>
  <c r="C128" i="5"/>
  <c r="AR14" i="4"/>
  <c r="AS34" i="4"/>
  <c r="AC34" i="4"/>
  <c r="C73" i="6"/>
  <c r="AR90" i="4"/>
  <c r="AC49" i="4"/>
  <c r="AS49" i="4"/>
  <c r="AC15" i="4"/>
  <c r="AC80" i="4"/>
  <c r="AS80" i="4"/>
  <c r="AC101" i="4"/>
  <c r="C98" i="5"/>
  <c r="C73" i="5"/>
  <c r="C84" i="5"/>
  <c r="T29" i="6"/>
  <c r="K72" i="6" s="1"/>
  <c r="X29" i="6"/>
  <c r="T119" i="6"/>
  <c r="K119" i="6" s="1"/>
  <c r="X119" i="6"/>
  <c r="AC119" i="6" s="1"/>
  <c r="C76" i="7"/>
  <c r="C73" i="7"/>
  <c r="T43" i="7"/>
  <c r="K42" i="7" s="1"/>
  <c r="X43" i="7"/>
  <c r="AD43" i="7" s="1"/>
  <c r="C93" i="7"/>
  <c r="C105" i="7"/>
  <c r="X71" i="7"/>
  <c r="T71" i="7"/>
  <c r="K166" i="7" s="1"/>
  <c r="C123" i="7"/>
  <c r="T149" i="7"/>
  <c r="K102" i="7" s="1"/>
  <c r="AR94" i="4"/>
  <c r="AR99" i="4"/>
  <c r="AR110" i="4"/>
  <c r="C106" i="5"/>
  <c r="AR112" i="4"/>
  <c r="C113" i="5"/>
  <c r="C114" i="5"/>
  <c r="AC36" i="4"/>
  <c r="AC141" i="4"/>
  <c r="AS141" i="4"/>
  <c r="C66" i="6"/>
  <c r="C151" i="6" s="1"/>
  <c r="C7" i="6"/>
  <c r="T37" i="6"/>
  <c r="K113" i="6" s="1"/>
  <c r="C84" i="7"/>
  <c r="T144" i="7"/>
  <c r="K91" i="7" s="1"/>
  <c r="C142" i="7"/>
  <c r="T69" i="6"/>
  <c r="K98" i="6" s="1"/>
  <c r="AC18" i="4"/>
  <c r="AC69" i="4"/>
  <c r="AC71" i="4"/>
  <c r="AC129" i="4"/>
  <c r="T100" i="6"/>
  <c r="K116" i="6" s="1"/>
  <c r="T85" i="5"/>
  <c r="K64" i="5" s="1"/>
  <c r="C69" i="6"/>
  <c r="AC24" i="4"/>
  <c r="AC10" i="4"/>
  <c r="AS72" i="4"/>
  <c r="AC72" i="4"/>
  <c r="AC31" i="4"/>
  <c r="AC45" i="4"/>
  <c r="AC48" i="4"/>
  <c r="AC68" i="4"/>
  <c r="AC130" i="4"/>
  <c r="AC117" i="4"/>
  <c r="C103" i="6"/>
  <c r="AR83" i="4"/>
  <c r="T87" i="6"/>
  <c r="K56" i="6" s="1"/>
  <c r="T141" i="5"/>
  <c r="C69" i="5"/>
  <c r="AC11" i="4"/>
  <c r="AC74" i="4"/>
  <c r="AC16" i="4"/>
  <c r="AS16" i="4"/>
  <c r="AC81" i="4"/>
  <c r="AC61" i="4"/>
  <c r="AC53" i="4"/>
  <c r="AS53" i="4"/>
  <c r="AC83" i="4"/>
  <c r="AC126" i="4"/>
  <c r="AC133" i="4"/>
  <c r="T140" i="6"/>
  <c r="K121" i="6" s="1"/>
  <c r="C103" i="5"/>
  <c r="X93" i="6"/>
  <c r="AC93" i="6" s="1"/>
  <c r="T93" i="6"/>
  <c r="K115" i="6" s="1"/>
  <c r="C84" i="6"/>
  <c r="T38" i="6"/>
  <c r="K107" i="6" s="1"/>
  <c r="X29" i="5"/>
  <c r="T155" i="6"/>
  <c r="K96" i="6" s="1"/>
  <c r="X155" i="6"/>
  <c r="AR92" i="4"/>
  <c r="C72" i="7"/>
  <c r="T18" i="7"/>
  <c r="T46" i="7"/>
  <c r="K37" i="7" s="1"/>
  <c r="T68" i="7"/>
  <c r="K165" i="7" s="1"/>
  <c r="C111" i="7"/>
  <c r="C106" i="7"/>
  <c r="T72" i="7"/>
  <c r="C140" i="7"/>
  <c r="T115" i="7"/>
  <c r="K173" i="7" s="1"/>
  <c r="C131" i="7"/>
  <c r="X115" i="7"/>
  <c r="C144" i="7"/>
  <c r="T150" i="7"/>
  <c r="K103" i="7" s="1"/>
  <c r="C74" i="5"/>
  <c r="T133" i="6"/>
  <c r="T142" i="6"/>
  <c r="K99" i="6" s="1"/>
  <c r="X142" i="6"/>
  <c r="C106" i="6"/>
  <c r="T72" i="6"/>
  <c r="K86" i="6" s="1"/>
  <c r="AR65" i="4"/>
  <c r="AR91" i="4"/>
  <c r="AR36" i="4"/>
  <c r="T83" i="6"/>
  <c r="K63" i="6" s="1"/>
  <c r="AR27" i="4"/>
  <c r="N17" i="3"/>
  <c r="N18" i="3" s="1"/>
  <c r="X132" i="6"/>
  <c r="T132" i="6"/>
  <c r="K177" i="6" s="1"/>
  <c r="AB7" i="4"/>
  <c r="R9" i="7"/>
  <c r="C83" i="7"/>
  <c r="T36" i="7"/>
  <c r="T15" i="7"/>
  <c r="K59" i="7" s="1"/>
  <c r="C70" i="7"/>
  <c r="C95" i="7"/>
  <c r="T88" i="7"/>
  <c r="K66" i="7" s="1"/>
  <c r="C94" i="7"/>
  <c r="T119" i="7"/>
  <c r="K119" i="7" s="1"/>
  <c r="T74" i="7"/>
  <c r="S89" i="7"/>
  <c r="T89" i="7" s="1"/>
  <c r="S150" i="7"/>
  <c r="S97" i="7"/>
  <c r="S126" i="7"/>
  <c r="T126" i="7" s="1"/>
  <c r="S60" i="7"/>
  <c r="T60" i="7" s="1"/>
  <c r="S28" i="7"/>
  <c r="S39" i="7"/>
  <c r="S82" i="7"/>
  <c r="T82" i="7" s="1"/>
  <c r="S13" i="7"/>
  <c r="S84" i="7"/>
  <c r="T84" i="7" s="1"/>
  <c r="S137" i="7"/>
  <c r="T137" i="7" s="1"/>
  <c r="S61" i="7"/>
  <c r="S123" i="7"/>
  <c r="S25" i="7"/>
  <c r="S16" i="7"/>
  <c r="T16" i="7" s="1"/>
  <c r="S33" i="7"/>
  <c r="S44" i="7"/>
  <c r="T44" i="7" s="1"/>
  <c r="S119" i="7"/>
  <c r="S109" i="7"/>
  <c r="T109" i="7" s="1"/>
  <c r="S38" i="7"/>
  <c r="T38" i="7" s="1"/>
  <c r="S42" i="7"/>
  <c r="T42" i="7" s="1"/>
  <c r="S107" i="7"/>
  <c r="S86" i="7"/>
  <c r="S152" i="7"/>
  <c r="S120" i="7"/>
  <c r="S144" i="7"/>
  <c r="S50" i="7"/>
  <c r="T50" i="7" s="1"/>
  <c r="S103" i="7"/>
  <c r="S55" i="7"/>
  <c r="T55" i="7" s="1"/>
  <c r="S41" i="7"/>
  <c r="S155" i="7"/>
  <c r="T155" i="7" s="1"/>
  <c r="K96" i="7" s="1"/>
  <c r="S136" i="7"/>
  <c r="T136" i="7" s="1"/>
  <c r="S117" i="7"/>
  <c r="T117" i="7" s="1"/>
  <c r="S58" i="7"/>
  <c r="S43" i="7"/>
  <c r="S145" i="7"/>
  <c r="S63" i="7"/>
  <c r="S113" i="7"/>
  <c r="S92" i="7"/>
  <c r="S64" i="7"/>
  <c r="S37" i="7"/>
  <c r="S53" i="7"/>
  <c r="S105" i="7"/>
  <c r="S85" i="7"/>
  <c r="S148" i="7"/>
  <c r="S143" i="7"/>
  <c r="S99" i="7"/>
  <c r="S68" i="7"/>
  <c r="S56" i="7"/>
  <c r="T56" i="7" s="1"/>
  <c r="S36" i="7"/>
  <c r="S31" i="7"/>
  <c r="S23" i="7"/>
  <c r="S24" i="7"/>
  <c r="T24" i="7" s="1"/>
  <c r="S118" i="7"/>
  <c r="T118" i="7" s="1"/>
  <c r="S88" i="7"/>
  <c r="S116" i="7"/>
  <c r="S98" i="7"/>
  <c r="S73" i="7"/>
  <c r="S26" i="7"/>
  <c r="S35" i="7"/>
  <c r="S18" i="7"/>
  <c r="S21" i="7"/>
  <c r="S59" i="7"/>
  <c r="S139" i="7"/>
  <c r="T139" i="7" s="1"/>
  <c r="S112" i="7"/>
  <c r="S87" i="7"/>
  <c r="S90" i="7"/>
  <c r="S128" i="7"/>
  <c r="S14" i="7"/>
  <c r="T14" i="7" s="1"/>
  <c r="S34" i="7"/>
  <c r="S141" i="7"/>
  <c r="T141" i="7" s="1"/>
  <c r="S151" i="7"/>
  <c r="T151" i="7" s="1"/>
  <c r="S11" i="7"/>
  <c r="S134" i="7"/>
  <c r="S149" i="7"/>
  <c r="S74" i="7"/>
  <c r="S110" i="7"/>
  <c r="S71" i="7"/>
  <c r="S29" i="7"/>
  <c r="S106" i="7"/>
  <c r="S93" i="7"/>
  <c r="T93" i="7" s="1"/>
  <c r="S147" i="7"/>
  <c r="T147" i="7" s="1"/>
  <c r="S153" i="7"/>
  <c r="S111" i="7"/>
  <c r="S140" i="7"/>
  <c r="T140" i="7" s="1"/>
  <c r="S69" i="7"/>
  <c r="T69" i="7" s="1"/>
  <c r="S94" i="7"/>
  <c r="T94" i="7" s="1"/>
  <c r="S48" i="7"/>
  <c r="S122" i="7"/>
  <c r="S62" i="7"/>
  <c r="S65" i="7"/>
  <c r="T65" i="7" s="1"/>
  <c r="S108" i="7"/>
  <c r="S146" i="7"/>
  <c r="T146" i="7" s="1"/>
  <c r="K130" i="7" s="1"/>
  <c r="S96" i="7"/>
  <c r="T96" i="7" s="1"/>
  <c r="S142" i="7"/>
  <c r="S83" i="7"/>
  <c r="S104" i="7"/>
  <c r="T104" i="7" s="1"/>
  <c r="S95" i="7"/>
  <c r="S40" i="7"/>
  <c r="S81" i="7"/>
  <c r="C110" i="7"/>
  <c r="S102" i="7"/>
  <c r="S127" i="7"/>
  <c r="S75" i="7"/>
  <c r="S91" i="7"/>
  <c r="S80" i="7"/>
  <c r="S66" i="7"/>
  <c r="S77" i="7"/>
  <c r="S19" i="7"/>
  <c r="T19" i="7" s="1"/>
  <c r="S46" i="7"/>
  <c r="S115" i="7"/>
  <c r="S124" i="7"/>
  <c r="S70" i="7"/>
  <c r="T70" i="7" s="1"/>
  <c r="S129" i="7"/>
  <c r="S79" i="7"/>
  <c r="S27" i="7"/>
  <c r="S32" i="7"/>
  <c r="T32" i="7" s="1"/>
  <c r="S22" i="7"/>
  <c r="S76" i="7"/>
  <c r="S133" i="7"/>
  <c r="S154" i="7"/>
  <c r="T154" i="7" s="1"/>
  <c r="S138" i="7"/>
  <c r="S121" i="7"/>
  <c r="S100" i="7"/>
  <c r="S78" i="7"/>
  <c r="S15" i="7"/>
  <c r="S30" i="7"/>
  <c r="T30" i="7" s="1"/>
  <c r="K34" i="7" s="1"/>
  <c r="S67" i="7"/>
  <c r="S54" i="7"/>
  <c r="T54" i="7" s="1"/>
  <c r="S101" i="7"/>
  <c r="T101" i="7" s="1"/>
  <c r="S132" i="7"/>
  <c r="S131" i="7"/>
  <c r="S49" i="7"/>
  <c r="S51" i="7"/>
  <c r="T51" i="7" s="1"/>
  <c r="S12" i="7"/>
  <c r="S20" i="7"/>
  <c r="S114" i="7"/>
  <c r="S135" i="7"/>
  <c r="T135" i="7" s="1"/>
  <c r="S47" i="7"/>
  <c r="T47" i="7" s="1"/>
  <c r="S52" i="7"/>
  <c r="T52" i="7" s="1"/>
  <c r="S72" i="7"/>
  <c r="S57" i="7"/>
  <c r="S17" i="7"/>
  <c r="S125" i="7"/>
  <c r="S45" i="7"/>
  <c r="T45" i="7" s="1"/>
  <c r="S130" i="7"/>
  <c r="X114" i="7"/>
  <c r="AC114" i="7" s="1"/>
  <c r="T114" i="7"/>
  <c r="K125" i="7" s="1"/>
  <c r="C74" i="6"/>
  <c r="T20" i="6"/>
  <c r="K53" i="6" s="1"/>
  <c r="AR70" i="4"/>
  <c r="C107" i="6"/>
  <c r="T73" i="6"/>
  <c r="K87" i="6" s="1"/>
  <c r="T141" i="6"/>
  <c r="K157" i="6" s="1"/>
  <c r="X141" i="6"/>
  <c r="N153" i="4"/>
  <c r="AD153" i="4" s="1"/>
  <c r="N133" i="4"/>
  <c r="AD133" i="4" s="1"/>
  <c r="N117" i="4"/>
  <c r="AD117" i="4" s="1"/>
  <c r="N101" i="4"/>
  <c r="AD101" i="4" s="1"/>
  <c r="N150" i="4"/>
  <c r="AD150" i="4" s="1"/>
  <c r="N141" i="4"/>
  <c r="AD141" i="4" s="1"/>
  <c r="N128" i="4"/>
  <c r="AD128" i="4" s="1"/>
  <c r="N112" i="4"/>
  <c r="N143" i="4"/>
  <c r="AD143" i="4" s="1"/>
  <c r="N139" i="4"/>
  <c r="AD139" i="4" s="1"/>
  <c r="N123" i="4"/>
  <c r="AD123" i="4" s="1"/>
  <c r="N107" i="4"/>
  <c r="AD107" i="4" s="1"/>
  <c r="N152" i="4"/>
  <c r="AD152" i="4" s="1"/>
  <c r="N129" i="4"/>
  <c r="AD129" i="4" s="1"/>
  <c r="N113" i="4"/>
  <c r="AD113" i="4" s="1"/>
  <c r="N151" i="4"/>
  <c r="AD151" i="4" s="1"/>
  <c r="N146" i="4"/>
  <c r="AD146" i="4" s="1"/>
  <c r="N140" i="4"/>
  <c r="AD140" i="4" s="1"/>
  <c r="N125" i="4"/>
  <c r="AD125" i="4" s="1"/>
  <c r="N109" i="4"/>
  <c r="AD109" i="4" s="1"/>
  <c r="N138" i="4"/>
  <c r="AD138" i="4" s="1"/>
  <c r="N136" i="4"/>
  <c r="AD136" i="4" s="1"/>
  <c r="N126" i="4"/>
  <c r="AD126" i="4" s="1"/>
  <c r="N127" i="4"/>
  <c r="N131" i="4"/>
  <c r="AD131" i="4" s="1"/>
  <c r="N130" i="4"/>
  <c r="AD130" i="4" s="1"/>
  <c r="N108" i="4"/>
  <c r="AD108" i="4" s="1"/>
  <c r="N144" i="4"/>
  <c r="AD144" i="4" s="1"/>
  <c r="N149" i="4"/>
  <c r="AD149" i="4" s="1"/>
  <c r="N132" i="4"/>
  <c r="AD132" i="4" s="1"/>
  <c r="N148" i="4"/>
  <c r="AD148" i="4" s="1"/>
  <c r="N147" i="4"/>
  <c r="AD147" i="4" s="1"/>
  <c r="N137" i="4"/>
  <c r="AD137" i="4" s="1"/>
  <c r="N119" i="4"/>
  <c r="AD119" i="4" s="1"/>
  <c r="N118" i="4"/>
  <c r="AD118" i="4" s="1"/>
  <c r="N88" i="4"/>
  <c r="AD88" i="4" s="1"/>
  <c r="N73" i="4"/>
  <c r="AD73" i="4" s="1"/>
  <c r="N83" i="4"/>
  <c r="AD83" i="4" s="1"/>
  <c r="N68" i="4"/>
  <c r="AD68" i="4" s="1"/>
  <c r="N121" i="4"/>
  <c r="N115" i="4"/>
  <c r="AD115" i="4" s="1"/>
  <c r="N111" i="4"/>
  <c r="AD111" i="4" s="1"/>
  <c r="N94" i="4"/>
  <c r="AD94" i="4" s="1"/>
  <c r="N78" i="4"/>
  <c r="AD78" i="4" s="1"/>
  <c r="N63" i="4"/>
  <c r="AD63" i="4" s="1"/>
  <c r="N142" i="4"/>
  <c r="AD142" i="4" s="1"/>
  <c r="N89" i="4"/>
  <c r="AD89" i="4" s="1"/>
  <c r="N74" i="4"/>
  <c r="AD74" i="4" s="1"/>
  <c r="N102" i="4"/>
  <c r="AD102" i="4" s="1"/>
  <c r="N99" i="4"/>
  <c r="AD99" i="4" s="1"/>
  <c r="N98" i="4"/>
  <c r="AD98" i="4" s="1"/>
  <c r="N95" i="4"/>
  <c r="AD95" i="4" s="1"/>
  <c r="N96" i="4"/>
  <c r="AD96" i="4" s="1"/>
  <c r="N80" i="4"/>
  <c r="AD80" i="4" s="1"/>
  <c r="N65" i="4"/>
  <c r="AD65" i="4" s="1"/>
  <c r="N135" i="4"/>
  <c r="N79" i="4"/>
  <c r="AD79" i="4" s="1"/>
  <c r="N77" i="4"/>
  <c r="AD77" i="4" s="1"/>
  <c r="N59" i="4"/>
  <c r="AD59" i="4" s="1"/>
  <c r="N43" i="4"/>
  <c r="AD43" i="4" s="1"/>
  <c r="N54" i="4"/>
  <c r="AD54" i="4" s="1"/>
  <c r="N122" i="4"/>
  <c r="AD122" i="4" s="1"/>
  <c r="N81" i="4"/>
  <c r="AD81" i="4" s="1"/>
  <c r="N64" i="4"/>
  <c r="AD64" i="4" s="1"/>
  <c r="N49" i="4"/>
  <c r="AD49" i="4" s="1"/>
  <c r="N114" i="4"/>
  <c r="AD114" i="4" s="1"/>
  <c r="N104" i="4"/>
  <c r="AD104" i="4" s="1"/>
  <c r="N84" i="4"/>
  <c r="AD84" i="4" s="1"/>
  <c r="N82" i="4"/>
  <c r="AD82" i="4" s="1"/>
  <c r="N60" i="4"/>
  <c r="AD60" i="4" s="1"/>
  <c r="N44" i="4"/>
  <c r="AD44" i="4" s="1"/>
  <c r="N145" i="4"/>
  <c r="AD145" i="4" s="1"/>
  <c r="N106" i="4"/>
  <c r="AD106" i="4" s="1"/>
  <c r="N105" i="4"/>
  <c r="AD105" i="4" s="1"/>
  <c r="N85" i="4"/>
  <c r="AD85" i="4" s="1"/>
  <c r="N103" i="4"/>
  <c r="AD103" i="4" s="1"/>
  <c r="N97" i="4"/>
  <c r="AD97" i="4" s="1"/>
  <c r="N86" i="4"/>
  <c r="AD86" i="4" s="1"/>
  <c r="N124" i="4"/>
  <c r="AD124" i="4" s="1"/>
  <c r="N92" i="4"/>
  <c r="AD92" i="4" s="1"/>
  <c r="N90" i="4"/>
  <c r="AD90" i="4" s="1"/>
  <c r="N87" i="4"/>
  <c r="AD87" i="4" s="1"/>
  <c r="N51" i="4"/>
  <c r="AD51" i="4" s="1"/>
  <c r="N52" i="4"/>
  <c r="AD52" i="4" s="1"/>
  <c r="N25" i="4"/>
  <c r="AD25" i="4" s="1"/>
  <c r="N55" i="4"/>
  <c r="AD55" i="4" s="1"/>
  <c r="N53" i="4"/>
  <c r="AD53" i="4" s="1"/>
  <c r="N36" i="4"/>
  <c r="N20" i="4"/>
  <c r="AD20" i="4" s="1"/>
  <c r="N76" i="4"/>
  <c r="AD76" i="4" s="1"/>
  <c r="N56" i="4"/>
  <c r="AD56" i="4" s="1"/>
  <c r="N31" i="4"/>
  <c r="AD31" i="4" s="1"/>
  <c r="N93" i="4"/>
  <c r="AD93" i="4" s="1"/>
  <c r="N57" i="4"/>
  <c r="AD57" i="4" s="1"/>
  <c r="N110" i="4"/>
  <c r="AD110" i="4" s="1"/>
  <c r="N70" i="4"/>
  <c r="AD70" i="4" s="1"/>
  <c r="N37" i="4"/>
  <c r="AD37" i="4" s="1"/>
  <c r="N21" i="4"/>
  <c r="AD21" i="4" s="1"/>
  <c r="N67" i="4"/>
  <c r="AD67" i="4" s="1"/>
  <c r="N58" i="4"/>
  <c r="AD58" i="4" s="1"/>
  <c r="N75" i="4"/>
  <c r="AD75" i="4" s="1"/>
  <c r="N62" i="4"/>
  <c r="AD62" i="4" s="1"/>
  <c r="N61" i="4"/>
  <c r="AD61" i="4" s="1"/>
  <c r="N40" i="4"/>
  <c r="N116" i="4"/>
  <c r="AD116" i="4" s="1"/>
  <c r="N41" i="4"/>
  <c r="AD41" i="4" s="1"/>
  <c r="N38" i="4"/>
  <c r="AD38" i="4" s="1"/>
  <c r="N22" i="4"/>
  <c r="AD22" i="4" s="1"/>
  <c r="N39" i="4"/>
  <c r="AD39" i="4" s="1"/>
  <c r="N47" i="4"/>
  <c r="AD47" i="4" s="1"/>
  <c r="N14" i="4"/>
  <c r="AD14" i="4" s="1"/>
  <c r="N134" i="4"/>
  <c r="AD134" i="4" s="1"/>
  <c r="N91" i="4"/>
  <c r="AD91" i="4" s="1"/>
  <c r="N29" i="4"/>
  <c r="AD29" i="4" s="1"/>
  <c r="N9" i="4"/>
  <c r="AD9" i="4" s="1"/>
  <c r="N120" i="4"/>
  <c r="AD120" i="4" s="1"/>
  <c r="N71" i="4"/>
  <c r="AD71" i="4" s="1"/>
  <c r="N69" i="4"/>
  <c r="AD69" i="4" s="1"/>
  <c r="N42" i="4"/>
  <c r="AD42" i="4" s="1"/>
  <c r="N33" i="4"/>
  <c r="N32" i="4"/>
  <c r="AD32" i="4" s="1"/>
  <c r="N30" i="4"/>
  <c r="AD30" i="4" s="1"/>
  <c r="N10" i="4"/>
  <c r="AD10" i="4" s="1"/>
  <c r="Q2" i="4"/>
  <c r="N48" i="4"/>
  <c r="AD48" i="4" s="1"/>
  <c r="N34" i="4"/>
  <c r="AD34" i="4" s="1"/>
  <c r="N72" i="4"/>
  <c r="AD72" i="4" s="1"/>
  <c r="N35" i="4"/>
  <c r="AD35" i="4" s="1"/>
  <c r="N17" i="4"/>
  <c r="AD17" i="4" s="1"/>
  <c r="N11" i="4"/>
  <c r="AD11" i="4" s="1"/>
  <c r="N18" i="4"/>
  <c r="AD18" i="4" s="1"/>
  <c r="N16" i="4"/>
  <c r="AD16" i="4" s="1"/>
  <c r="N50" i="4"/>
  <c r="AD50" i="4" s="1"/>
  <c r="N45" i="4"/>
  <c r="AD45" i="4" s="1"/>
  <c r="N46" i="4"/>
  <c r="AD46" i="4" s="1"/>
  <c r="N100" i="4"/>
  <c r="N66" i="4"/>
  <c r="AD66" i="4" s="1"/>
  <c r="N28" i="4"/>
  <c r="AD28" i="4" s="1"/>
  <c r="N27" i="4"/>
  <c r="AD27" i="4" s="1"/>
  <c r="N24" i="4"/>
  <c r="AD24" i="4" s="1"/>
  <c r="N13" i="4"/>
  <c r="AD13" i="4" s="1"/>
  <c r="N15" i="4"/>
  <c r="AD15" i="4" s="1"/>
  <c r="N19" i="4"/>
  <c r="AD19" i="4" s="1"/>
  <c r="N26" i="4"/>
  <c r="AD26" i="4" s="1"/>
  <c r="N12" i="4"/>
  <c r="AD12" i="4" s="1"/>
  <c r="O3" i="4"/>
  <c r="N23" i="4"/>
  <c r="AD23" i="4" s="1"/>
  <c r="AC33" i="4"/>
  <c r="AC32" i="4"/>
  <c r="AS32" i="4"/>
  <c r="AS55" i="4"/>
  <c r="AC55" i="4"/>
  <c r="AS92" i="4"/>
  <c r="AC92" i="4"/>
  <c r="AS76" i="4"/>
  <c r="AC76" i="4"/>
  <c r="AC73" i="4"/>
  <c r="AS73" i="4"/>
  <c r="AC128" i="4"/>
  <c r="AS150" i="4"/>
  <c r="AC150" i="4"/>
  <c r="T62" i="6"/>
  <c r="K80" i="6" s="1"/>
  <c r="X106" i="6"/>
  <c r="T106" i="6"/>
  <c r="K172" i="6" s="1"/>
  <c r="C126" i="6"/>
  <c r="T107" i="5"/>
  <c r="K78" i="5" s="1"/>
  <c r="X107" i="5"/>
  <c r="C107" i="5"/>
  <c r="AS20" i="4"/>
  <c r="AC20" i="4"/>
  <c r="AS62" i="4"/>
  <c r="AC62" i="4"/>
  <c r="AC40" i="4"/>
  <c r="AC56" i="4"/>
  <c r="AS102" i="4"/>
  <c r="AC102" i="4"/>
  <c r="AC78" i="4"/>
  <c r="AC88" i="4"/>
  <c r="AS88" i="4"/>
  <c r="AS136" i="4"/>
  <c r="AC136" i="4"/>
  <c r="AC106" i="4"/>
  <c r="AS106" i="4"/>
  <c r="AR138" i="4"/>
  <c r="C79" i="5"/>
  <c r="X50" i="6"/>
  <c r="T50" i="6"/>
  <c r="K135" i="6" s="1"/>
  <c r="C72" i="5"/>
  <c r="AR81" i="4"/>
  <c r="C101" i="6"/>
  <c r="T88" i="6"/>
  <c r="K66" i="6" s="1"/>
  <c r="X132" i="5"/>
  <c r="T132" i="5"/>
  <c r="K177" i="5" s="1"/>
  <c r="AR45" i="4"/>
  <c r="C77" i="7"/>
  <c r="T27" i="7"/>
  <c r="K70" i="7" s="1"/>
  <c r="T12" i="7"/>
  <c r="K58" i="7" s="1"/>
  <c r="C79" i="7"/>
  <c r="T28" i="7"/>
  <c r="K71" i="7" s="1"/>
  <c r="X21" i="7"/>
  <c r="T21" i="7"/>
  <c r="K69" i="7" s="1"/>
  <c r="C124" i="7"/>
  <c r="X99" i="7"/>
  <c r="T99" i="7"/>
  <c r="K129" i="7" s="1"/>
  <c r="T78" i="7"/>
  <c r="K54" i="7" s="1"/>
  <c r="X78" i="7"/>
  <c r="T123" i="7"/>
  <c r="K150" i="7" s="1"/>
  <c r="C117" i="7"/>
  <c r="C118" i="7"/>
  <c r="T130" i="7"/>
  <c r="K153" i="7" s="1"/>
  <c r="T151" i="6"/>
  <c r="K93" i="6" s="1"/>
  <c r="AR18" i="4"/>
  <c r="AR131" i="4"/>
  <c r="AR140" i="4"/>
  <c r="AR108" i="4"/>
  <c r="C131" i="5"/>
  <c r="T115" i="5"/>
  <c r="K173" i="5" s="1"/>
  <c r="X115" i="5"/>
  <c r="C79" i="6"/>
  <c r="T28" i="6"/>
  <c r="C115" i="6"/>
  <c r="C72" i="6"/>
  <c r="T18" i="6"/>
  <c r="K60" i="6" s="1"/>
  <c r="C120" i="6"/>
  <c r="C119" i="6"/>
  <c r="C101" i="5"/>
  <c r="X65" i="5"/>
  <c r="T136" i="6"/>
  <c r="K163" i="6" s="1"/>
  <c r="T17" i="7"/>
  <c r="K39" i="7" s="1"/>
  <c r="C109" i="7"/>
  <c r="T76" i="7"/>
  <c r="T29" i="7"/>
  <c r="K72" i="7" s="1"/>
  <c r="T37" i="7"/>
  <c r="K113" i="7" s="1"/>
  <c r="T86" i="7"/>
  <c r="K65" i="7" s="1"/>
  <c r="C115" i="7"/>
  <c r="X80" i="7"/>
  <c r="T80" i="7"/>
  <c r="K55" i="7" s="1"/>
  <c r="T125" i="7"/>
  <c r="K152" i="7" s="1"/>
  <c r="T143" i="7"/>
  <c r="K100" i="7" s="1"/>
  <c r="AR149" i="4"/>
  <c r="C96" i="5"/>
  <c r="T57" i="5"/>
  <c r="K138" i="5" s="1"/>
  <c r="X57" i="5"/>
  <c r="T51" i="6"/>
  <c r="K160" i="6" s="1"/>
  <c r="C92" i="6"/>
  <c r="X129" i="6"/>
  <c r="T129" i="6"/>
  <c r="K81" i="6" s="1"/>
  <c r="C137" i="6"/>
  <c r="X30" i="6"/>
  <c r="AC30" i="6" s="1"/>
  <c r="T30" i="6"/>
  <c r="K34" i="6" s="1"/>
  <c r="C104" i="5"/>
  <c r="AC23" i="4"/>
  <c r="AS23" i="4"/>
  <c r="AS86" i="4"/>
  <c r="AC86" i="4"/>
  <c r="AS91" i="4"/>
  <c r="AC91" i="4"/>
  <c r="AC122" i="4"/>
  <c r="AS122" i="4"/>
  <c r="T102" i="6"/>
  <c r="K145" i="6" s="1"/>
  <c r="C100" i="6"/>
  <c r="T64" i="6"/>
  <c r="K97" i="6" s="1"/>
  <c r="AC27" i="4"/>
  <c r="AC25" i="4"/>
  <c r="AS25" i="4"/>
  <c r="AS96" i="4"/>
  <c r="AC96" i="4"/>
  <c r="AC138" i="4"/>
  <c r="AS138" i="4"/>
  <c r="X115" i="6"/>
  <c r="T115" i="6"/>
  <c r="K173" i="6" s="1"/>
  <c r="C131" i="6"/>
  <c r="T148" i="6"/>
  <c r="K101" i="6" s="1"/>
  <c r="AR63" i="4"/>
  <c r="C74" i="7"/>
  <c r="X20" i="7"/>
  <c r="T20" i="7"/>
  <c r="K53" i="7" s="1"/>
  <c r="T53" i="7"/>
  <c r="K171" i="7" s="1"/>
  <c r="X53" i="7"/>
  <c r="C141" i="7"/>
  <c r="T104" i="6"/>
  <c r="K117" i="6" s="1"/>
  <c r="C96" i="6"/>
  <c r="X57" i="6"/>
  <c r="T57" i="6"/>
  <c r="K138" i="6" s="1"/>
  <c r="C136" i="5"/>
  <c r="X128" i="5"/>
  <c r="T128" i="5"/>
  <c r="K176" i="5" s="1"/>
  <c r="C92" i="5"/>
  <c r="T51" i="5"/>
  <c r="K160" i="5" s="1"/>
  <c r="C137" i="5"/>
  <c r="X129" i="5"/>
  <c r="T129" i="5"/>
  <c r="K81" i="5" s="1"/>
  <c r="T139" i="6"/>
  <c r="K169" i="6" s="1"/>
  <c r="C141" i="6"/>
  <c r="T16" i="5"/>
  <c r="K105" i="5" s="1"/>
  <c r="C71" i="5"/>
  <c r="AS13" i="4"/>
  <c r="AC13" i="4"/>
  <c r="AS58" i="4"/>
  <c r="AC58" i="4"/>
  <c r="AS116" i="4"/>
  <c r="AC116" i="4"/>
  <c r="AS124" i="4"/>
  <c r="AC124" i="4"/>
  <c r="X127" i="5"/>
  <c r="T127" i="5"/>
  <c r="K175" i="5" s="1"/>
  <c r="C135" i="5"/>
  <c r="T86" i="6"/>
  <c r="K65" i="6" s="1"/>
  <c r="X86" i="6"/>
  <c r="AS60" i="4"/>
  <c r="AC60" i="4"/>
  <c r="AC93" i="4"/>
  <c r="AS93" i="4"/>
  <c r="C120" i="5"/>
  <c r="C119" i="5"/>
  <c r="T91" i="5"/>
  <c r="T120" i="7"/>
  <c r="K110" i="7" s="1"/>
  <c r="X145" i="7"/>
  <c r="T145" i="7"/>
  <c r="K92" i="7" s="1"/>
  <c r="T126" i="6"/>
  <c r="K162" i="6" s="1"/>
  <c r="C134" i="6"/>
  <c r="X126" i="6"/>
  <c r="C100" i="5"/>
  <c r="C77" i="5"/>
  <c r="T27" i="5"/>
  <c r="AC29" i="4"/>
  <c r="AS29" i="4"/>
  <c r="AC52" i="4"/>
  <c r="AS52" i="4"/>
  <c r="AC90" i="4"/>
  <c r="AS90" i="4"/>
  <c r="AC103" i="4"/>
  <c r="T118" i="5"/>
  <c r="K50" i="5" s="1"/>
  <c r="C85" i="5"/>
  <c r="T39" i="5"/>
  <c r="X53" i="5"/>
  <c r="T53" i="5"/>
  <c r="K171" i="5" s="1"/>
  <c r="AR134" i="4"/>
  <c r="T35" i="7"/>
  <c r="K112" i="7" s="1"/>
  <c r="X122" i="7"/>
  <c r="C132" i="7"/>
  <c r="T122" i="7"/>
  <c r="K174" i="7" s="1"/>
  <c r="T98" i="7"/>
  <c r="T148" i="7"/>
  <c r="K101" i="7" s="1"/>
  <c r="T133" i="7"/>
  <c r="K155" i="7" s="1"/>
  <c r="X152" i="7"/>
  <c r="T152" i="7"/>
  <c r="K104" i="7" s="1"/>
  <c r="T104" i="5"/>
  <c r="K117" i="5" s="1"/>
  <c r="C136" i="6"/>
  <c r="X128" i="6"/>
  <c r="T128" i="6"/>
  <c r="K176" i="6" s="1"/>
  <c r="AR49" i="4"/>
  <c r="AR127" i="4"/>
  <c r="C86" i="6"/>
  <c r="T40" i="6"/>
  <c r="K41" i="6" s="1"/>
  <c r="C141" i="5"/>
  <c r="C143" i="5"/>
  <c r="T70" i="6"/>
  <c r="K85" i="6" s="1"/>
  <c r="C104" i="6"/>
  <c r="X70" i="6"/>
  <c r="AC9" i="4"/>
  <c r="AS9" i="4"/>
  <c r="AS84" i="4"/>
  <c r="AC84" i="4"/>
  <c r="AC125" i="4"/>
  <c r="AS125" i="4"/>
  <c r="C135" i="6"/>
  <c r="X127" i="6"/>
  <c r="T127" i="6"/>
  <c r="K175" i="6" s="1"/>
  <c r="C115" i="5"/>
  <c r="X117" i="6"/>
  <c r="T117" i="6"/>
  <c r="K149" i="6" s="1"/>
  <c r="T92" i="7"/>
  <c r="K47" i="7" s="1"/>
  <c r="T87" i="7"/>
  <c r="K56" i="7" s="1"/>
  <c r="X87" i="7"/>
  <c r="T81" i="6"/>
  <c r="K62" i="6" s="1"/>
  <c r="X81" i="6"/>
  <c r="AC46" i="4"/>
  <c r="AS132" i="4"/>
  <c r="AC132" i="4"/>
  <c r="AS85" i="4"/>
  <c r="AC85" i="4"/>
  <c r="AC109" i="4"/>
  <c r="AS109" i="4"/>
  <c r="AC111" i="4"/>
  <c r="AS111" i="4"/>
  <c r="C70" i="5"/>
  <c r="C125" i="7"/>
  <c r="T105" i="7"/>
  <c r="K77" i="7" s="1"/>
  <c r="X105" i="7"/>
  <c r="T27" i="6"/>
  <c r="K70" i="6" s="1"/>
  <c r="C77" i="6"/>
  <c r="C78" i="5"/>
  <c r="AS38" i="4"/>
  <c r="AC38" i="4"/>
  <c r="AC14" i="4"/>
  <c r="AS14" i="4"/>
  <c r="AC37" i="4"/>
  <c r="AS37" i="4"/>
  <c r="AC30" i="4"/>
  <c r="AS30" i="4"/>
  <c r="AC105" i="4"/>
  <c r="AS105" i="4"/>
  <c r="AC100" i="4"/>
  <c r="AC145" i="4"/>
  <c r="AC127" i="4"/>
  <c r="X145" i="5"/>
  <c r="T145" i="5"/>
  <c r="K92" i="5" s="1"/>
  <c r="C85" i="6"/>
  <c r="T39" i="6"/>
  <c r="K35" i="6" s="1"/>
  <c r="C122" i="6"/>
  <c r="X97" i="6"/>
  <c r="T97" i="6"/>
  <c r="K76" i="6" s="1"/>
  <c r="C133" i="6"/>
  <c r="T124" i="6"/>
  <c r="K151" i="6" s="1"/>
  <c r="X53" i="6"/>
  <c r="T53" i="6"/>
  <c r="K171" i="6" s="1"/>
  <c r="C90" i="5"/>
  <c r="C94" i="5"/>
  <c r="T12" i="6"/>
  <c r="K58" i="6" s="1"/>
  <c r="X12" i="6"/>
  <c r="C111" i="5"/>
  <c r="C70" i="6"/>
  <c r="X15" i="6"/>
  <c r="T15" i="6"/>
  <c r="K59" i="6" s="1"/>
  <c r="C65" i="7"/>
  <c r="C150" i="7" s="1"/>
  <c r="C6" i="7"/>
  <c r="C100" i="7"/>
  <c r="T64" i="7"/>
  <c r="T23" i="7"/>
  <c r="K126" i="7" s="1"/>
  <c r="C75" i="7"/>
  <c r="T103" i="7"/>
  <c r="K44" i="7" s="1"/>
  <c r="T107" i="7"/>
  <c r="K78" i="7" s="1"/>
  <c r="X107" i="7"/>
  <c r="C88" i="7"/>
  <c r="T75" i="7"/>
  <c r="K167" i="7" s="1"/>
  <c r="C108" i="7"/>
  <c r="T153" i="7"/>
  <c r="C127" i="7"/>
  <c r="T108" i="7"/>
  <c r="K146" i="7" s="1"/>
  <c r="AR102" i="4"/>
  <c r="AR126" i="4"/>
  <c r="C97" i="5"/>
  <c r="C93" i="6"/>
  <c r="T54" i="6"/>
  <c r="C86" i="5"/>
  <c r="T40" i="5"/>
  <c r="K41" i="5" s="1"/>
  <c r="AR137" i="4"/>
  <c r="T33" i="6"/>
  <c r="K111" i="6" s="1"/>
  <c r="C81" i="6"/>
  <c r="X33" i="6"/>
  <c r="AC33" i="6" s="1"/>
  <c r="T52" i="6"/>
  <c r="K136" i="6" s="1"/>
  <c r="AC120" i="4"/>
  <c r="AS120" i="4"/>
  <c r="AC77" i="4"/>
  <c r="AS77" i="4"/>
  <c r="C122" i="5"/>
  <c r="C69" i="7"/>
  <c r="T13" i="7"/>
  <c r="K38" i="7" s="1"/>
  <c r="C103" i="7"/>
  <c r="T67" i="7"/>
  <c r="X67" i="7" s="1"/>
  <c r="T123" i="5"/>
  <c r="K150" i="5" s="1"/>
  <c r="T126" i="5"/>
  <c r="K162" i="5" s="1"/>
  <c r="C134" i="5"/>
  <c r="AC119" i="4"/>
  <c r="AS119" i="4"/>
  <c r="AR116" i="4"/>
  <c r="C102" i="5"/>
  <c r="X66" i="5"/>
  <c r="T66" i="5"/>
  <c r="K164" i="5" s="1"/>
  <c r="T123" i="6"/>
  <c r="K150" i="6" s="1"/>
  <c r="AR79" i="4"/>
  <c r="C68" i="6"/>
  <c r="C67" i="6"/>
  <c r="X11" i="6"/>
  <c r="C112" i="6"/>
  <c r="T130" i="6"/>
  <c r="K153" i="6" s="1"/>
  <c r="C139" i="6"/>
  <c r="X134" i="6"/>
  <c r="T134" i="6"/>
  <c r="K178" i="6" s="1"/>
  <c r="C78" i="6"/>
  <c r="T26" i="6"/>
  <c r="AC39" i="4"/>
  <c r="AS39" i="4"/>
  <c r="AC47" i="4"/>
  <c r="AS47" i="4"/>
  <c r="AS64" i="4"/>
  <c r="AC64" i="4"/>
  <c r="AC19" i="4"/>
  <c r="AS19" i="4"/>
  <c r="AS108" i="4"/>
  <c r="AC108" i="4"/>
  <c r="AS104" i="4"/>
  <c r="AC104" i="4"/>
  <c r="AC67" i="4"/>
  <c r="AS67" i="4"/>
  <c r="AC135" i="4"/>
  <c r="AC151" i="4"/>
  <c r="AS151" i="4"/>
  <c r="C102" i="6"/>
  <c r="X66" i="6"/>
  <c r="T66" i="6"/>
  <c r="K164" i="6" s="1"/>
  <c r="T145" i="6"/>
  <c r="K92" i="6" s="1"/>
  <c r="X145" i="6"/>
  <c r="X95" i="6"/>
  <c r="T95" i="6"/>
  <c r="K143" i="6" s="1"/>
  <c r="C133" i="5"/>
  <c r="AR51" i="4"/>
  <c r="T154" i="6"/>
  <c r="K95" i="6" s="1"/>
  <c r="T48" i="6"/>
  <c r="K134" i="6" s="1"/>
  <c r="C90" i="6"/>
  <c r="C94" i="6"/>
  <c r="T55" i="6"/>
  <c r="K108" i="6" s="1"/>
  <c r="AR10" i="4"/>
  <c r="C111" i="6"/>
  <c r="X68" i="6"/>
  <c r="T68" i="6"/>
  <c r="K165" i="6" s="1"/>
  <c r="AR13" i="4"/>
  <c r="C83" i="6"/>
  <c r="T25" i="7"/>
  <c r="K133" i="7" s="1"/>
  <c r="C82" i="7"/>
  <c r="X34" i="7"/>
  <c r="T34" i="7"/>
  <c r="K75" i="7" s="1"/>
  <c r="X39" i="7"/>
  <c r="AD39" i="7" s="1"/>
  <c r="C85" i="7"/>
  <c r="T39" i="7"/>
  <c r="K35" i="7" s="1"/>
  <c r="T142" i="7"/>
  <c r="K99" i="7" s="1"/>
  <c r="T116" i="7"/>
  <c r="K49" i="7" s="1"/>
  <c r="C98" i="7"/>
  <c r="T90" i="7"/>
  <c r="K142" i="7" s="1"/>
  <c r="X131" i="7"/>
  <c r="T131" i="7"/>
  <c r="K154" i="7" s="1"/>
  <c r="C133" i="7"/>
  <c r="T124" i="7"/>
  <c r="K151" i="7" s="1"/>
  <c r="X78" i="6"/>
  <c r="T78" i="6"/>
  <c r="K54" i="6" s="1"/>
  <c r="X147" i="6"/>
  <c r="T147" i="6"/>
  <c r="K131" i="6" s="1"/>
  <c r="C97" i="6"/>
  <c r="X58" i="6"/>
  <c r="T58" i="6"/>
  <c r="K139" i="6" s="1"/>
  <c r="C93" i="5"/>
  <c r="AR38" i="4"/>
  <c r="T144" i="5"/>
  <c r="K91" i="5" s="1"/>
  <c r="C142" i="5"/>
  <c r="C81" i="5"/>
  <c r="C126" i="5"/>
  <c r="X106" i="5"/>
  <c r="T106" i="5"/>
  <c r="K172" i="5" s="1"/>
  <c r="C143" i="6"/>
  <c r="T146" i="6"/>
  <c r="K130" i="6" s="1"/>
  <c r="AC75" i="4"/>
  <c r="AS75" i="4"/>
  <c r="AC82" i="4"/>
  <c r="AS82" i="4"/>
  <c r="T131" i="6"/>
  <c r="K154" i="6" s="1"/>
  <c r="T25" i="6"/>
  <c r="K133" i="6" s="1"/>
  <c r="T36" i="5"/>
  <c r="K40" i="5" s="1"/>
  <c r="C83" i="5"/>
  <c r="T48" i="7"/>
  <c r="K134" i="7" s="1"/>
  <c r="X48" i="7"/>
  <c r="C90" i="7"/>
  <c r="C78" i="7"/>
  <c r="T26" i="7"/>
  <c r="K45" i="7" s="1"/>
  <c r="X26" i="7"/>
  <c r="AC26" i="7" s="1"/>
  <c r="T100" i="7"/>
  <c r="K116" i="7" s="1"/>
  <c r="T121" i="7"/>
  <c r="K120" i="7" s="1"/>
  <c r="T132" i="7"/>
  <c r="K177" i="7" s="1"/>
  <c r="X132" i="7"/>
  <c r="T147" i="5"/>
  <c r="K131" i="5" s="1"/>
  <c r="X147" i="5"/>
  <c r="T144" i="6"/>
  <c r="K91" i="6" s="1"/>
  <c r="C142" i="6"/>
  <c r="AC35" i="4"/>
  <c r="AS35" i="4"/>
  <c r="C138" i="6"/>
  <c r="C99" i="6"/>
  <c r="T61" i="6"/>
  <c r="K79" i="6" s="1"/>
  <c r="T152" i="6"/>
  <c r="K104" i="6" s="1"/>
  <c r="C129" i="7"/>
  <c r="T112" i="7"/>
  <c r="K124" i="7" s="1"/>
  <c r="X112" i="7"/>
  <c r="AC112" i="7" s="1"/>
  <c r="T85" i="7"/>
  <c r="K64" i="7" s="1"/>
  <c r="X85" i="7"/>
  <c r="X17" i="6"/>
  <c r="AC17" i="6" s="1"/>
  <c r="T17" i="6"/>
  <c r="K39" i="6" s="1"/>
  <c r="X109" i="6"/>
  <c r="T109" i="6"/>
  <c r="K147" i="6" s="1"/>
  <c r="HH6" i="2"/>
  <c r="HG6" i="2"/>
  <c r="T34" i="6"/>
  <c r="K75" i="6" s="1"/>
  <c r="C82" i="6"/>
  <c r="C76" i="6"/>
  <c r="X24" i="6"/>
  <c r="T24" i="6"/>
  <c r="K132" i="6" s="1"/>
  <c r="M142" i="4"/>
  <c r="M153" i="4"/>
  <c r="M148" i="4"/>
  <c r="M143" i="4"/>
  <c r="M149" i="4"/>
  <c r="M150" i="4"/>
  <c r="M146" i="4"/>
  <c r="M138" i="4"/>
  <c r="M122" i="4"/>
  <c r="M106" i="4"/>
  <c r="M133" i="4"/>
  <c r="M117" i="4"/>
  <c r="M101" i="4"/>
  <c r="M141" i="4"/>
  <c r="M128" i="4"/>
  <c r="M112" i="4"/>
  <c r="M139" i="4"/>
  <c r="M134" i="4"/>
  <c r="M118" i="4"/>
  <c r="M152" i="4"/>
  <c r="M130" i="4"/>
  <c r="M114" i="4"/>
  <c r="M98" i="4"/>
  <c r="M136" i="4"/>
  <c r="M126" i="4"/>
  <c r="M105" i="4"/>
  <c r="M103" i="4"/>
  <c r="M129" i="4"/>
  <c r="M127" i="4"/>
  <c r="M131" i="4"/>
  <c r="M151" i="4"/>
  <c r="M144" i="4"/>
  <c r="M132" i="4"/>
  <c r="M137" i="4"/>
  <c r="M116" i="4"/>
  <c r="M145" i="4"/>
  <c r="M109" i="4"/>
  <c r="M107" i="4"/>
  <c r="M93" i="4"/>
  <c r="M77" i="4"/>
  <c r="M88" i="4"/>
  <c r="M73" i="4"/>
  <c r="M119" i="4"/>
  <c r="M83" i="4"/>
  <c r="M68" i="4"/>
  <c r="M121" i="4"/>
  <c r="M115" i="4"/>
  <c r="M113" i="4"/>
  <c r="M111" i="4"/>
  <c r="M94" i="4"/>
  <c r="M78" i="4"/>
  <c r="M63" i="4"/>
  <c r="M123" i="4"/>
  <c r="M89" i="4"/>
  <c r="M108" i="4"/>
  <c r="M85" i="4"/>
  <c r="M70" i="4"/>
  <c r="M48" i="4"/>
  <c r="M135" i="4"/>
  <c r="M80" i="4"/>
  <c r="M79" i="4"/>
  <c r="M59" i="4"/>
  <c r="M43" i="4"/>
  <c r="M54" i="4"/>
  <c r="M81" i="4"/>
  <c r="M65" i="4"/>
  <c r="M64" i="4"/>
  <c r="M49" i="4"/>
  <c r="M104" i="4"/>
  <c r="M84" i="4"/>
  <c r="M82" i="4"/>
  <c r="M147" i="4"/>
  <c r="M97" i="4"/>
  <c r="M86" i="4"/>
  <c r="M71" i="4"/>
  <c r="M56" i="4"/>
  <c r="M40" i="4"/>
  <c r="M140" i="4"/>
  <c r="M51" i="4"/>
  <c r="M50" i="4"/>
  <c r="M30" i="4"/>
  <c r="M52" i="4"/>
  <c r="M25" i="4"/>
  <c r="M125" i="4"/>
  <c r="M55" i="4"/>
  <c r="M53" i="4"/>
  <c r="M36" i="4"/>
  <c r="M20" i="4"/>
  <c r="M76" i="4"/>
  <c r="M87" i="4"/>
  <c r="M57" i="4"/>
  <c r="M26" i="4"/>
  <c r="M110" i="4"/>
  <c r="M99" i="4"/>
  <c r="M95" i="4"/>
  <c r="M37" i="4"/>
  <c r="M67" i="4"/>
  <c r="M60" i="4"/>
  <c r="M58" i="4"/>
  <c r="M102" i="4"/>
  <c r="M75" i="4"/>
  <c r="M62" i="4"/>
  <c r="M61" i="4"/>
  <c r="M27" i="4"/>
  <c r="M100" i="4"/>
  <c r="M74" i="4"/>
  <c r="M66" i="4"/>
  <c r="M46" i="4"/>
  <c r="M45" i="4"/>
  <c r="M28" i="4"/>
  <c r="M47" i="4"/>
  <c r="M14" i="4"/>
  <c r="M91" i="4"/>
  <c r="M29" i="4"/>
  <c r="M9" i="4"/>
  <c r="M124" i="4"/>
  <c r="M120" i="4"/>
  <c r="M96" i="4"/>
  <c r="M31" i="4"/>
  <c r="M8" i="4"/>
  <c r="M69" i="4"/>
  <c r="M42" i="4"/>
  <c r="M33" i="4"/>
  <c r="M32" i="4"/>
  <c r="M90" i="4"/>
  <c r="M34" i="4"/>
  <c r="M72" i="4"/>
  <c r="M35" i="4"/>
  <c r="M17" i="4"/>
  <c r="M11" i="4"/>
  <c r="M44" i="4"/>
  <c r="M18" i="4"/>
  <c r="M16" i="4"/>
  <c r="M92" i="4"/>
  <c r="M39" i="4"/>
  <c r="M38" i="4"/>
  <c r="M41" i="4"/>
  <c r="M6" i="4"/>
  <c r="M24" i="4"/>
  <c r="M21" i="4"/>
  <c r="M13" i="4"/>
  <c r="M15" i="4"/>
  <c r="M7" i="4"/>
  <c r="M22" i="4"/>
  <c r="M19" i="4"/>
  <c r="M10" i="4"/>
  <c r="M12" i="4"/>
  <c r="M23" i="4"/>
  <c r="AS97" i="4"/>
  <c r="AC97" i="4"/>
  <c r="AC28" i="4"/>
  <c r="AS28" i="4"/>
  <c r="AS99" i="4"/>
  <c r="AC99" i="4"/>
  <c r="AS50" i="4"/>
  <c r="AC50" i="4"/>
  <c r="AC54" i="4"/>
  <c r="AS54" i="4"/>
  <c r="AC94" i="4"/>
  <c r="AS146" i="4"/>
  <c r="AC146" i="4"/>
  <c r="AC107" i="4"/>
  <c r="AC153" i="4"/>
  <c r="AS153" i="4"/>
  <c r="C89" i="6"/>
  <c r="T45" i="6"/>
  <c r="K46" i="6" s="1"/>
  <c r="X45" i="6"/>
  <c r="T111" i="6"/>
  <c r="K118" i="6" s="1"/>
  <c r="T35" i="6"/>
  <c r="K112" i="6" s="1"/>
  <c r="C140" i="6"/>
  <c r="X137" i="6"/>
  <c r="T137" i="6"/>
  <c r="K168" i="6" s="1"/>
  <c r="C95" i="6"/>
  <c r="T56" i="6"/>
  <c r="K127" i="6" s="1"/>
  <c r="X56" i="6"/>
  <c r="T41" i="6"/>
  <c r="K51" i="6" s="1"/>
  <c r="C109" i="5"/>
  <c r="C138" i="5"/>
  <c r="C99" i="5"/>
  <c r="AR34" i="4"/>
  <c r="T62" i="7"/>
  <c r="K80" i="7" s="1"/>
  <c r="C112" i="7"/>
  <c r="C68" i="7"/>
  <c r="C67" i="7"/>
  <c r="T11" i="7"/>
  <c r="K57" i="7" s="1"/>
  <c r="T59" i="7"/>
  <c r="K140" i="7" s="1"/>
  <c r="X59" i="7"/>
  <c r="C104" i="7"/>
  <c r="C120" i="7"/>
  <c r="C119" i="7"/>
  <c r="T91" i="7"/>
  <c r="K114" i="7" s="1"/>
  <c r="C102" i="7"/>
  <c r="X66" i="7"/>
  <c r="T66" i="7"/>
  <c r="K164" i="7" s="1"/>
  <c r="C113" i="7"/>
  <c r="T79" i="7"/>
  <c r="K61" i="7" s="1"/>
  <c r="C114" i="7"/>
  <c r="T138" i="7"/>
  <c r="K82" i="7" s="1"/>
  <c r="X138" i="7"/>
  <c r="T113" i="7"/>
  <c r="K148" i="7" s="1"/>
  <c r="C130" i="7"/>
  <c r="AR76" i="4"/>
  <c r="T42" i="5"/>
  <c r="C87" i="5"/>
  <c r="AR145" i="4"/>
  <c r="T116" i="6"/>
  <c r="K49" i="6" s="1"/>
  <c r="AR142" i="4"/>
  <c r="C105" i="5"/>
  <c r="T71" i="5"/>
  <c r="K166" i="5" s="1"/>
  <c r="X71" i="5"/>
  <c r="C91" i="5"/>
  <c r="T49" i="5"/>
  <c r="K170" i="5" s="1"/>
  <c r="X49" i="5"/>
  <c r="C82" i="5"/>
  <c r="S153" i="5"/>
  <c r="T153" i="5" s="1"/>
  <c r="S134" i="5"/>
  <c r="S130" i="5"/>
  <c r="T130" i="5" s="1"/>
  <c r="S119" i="5"/>
  <c r="T119" i="5" s="1"/>
  <c r="S88" i="5"/>
  <c r="T88" i="5" s="1"/>
  <c r="S91" i="5"/>
  <c r="S12" i="5"/>
  <c r="T12" i="5" s="1"/>
  <c r="S30" i="5"/>
  <c r="T30" i="5" s="1"/>
  <c r="K34" i="5" s="1"/>
  <c r="S14" i="5"/>
  <c r="T14" i="5" s="1"/>
  <c r="S104" i="5"/>
  <c r="S43" i="5"/>
  <c r="S18" i="5"/>
  <c r="T18" i="5" s="1"/>
  <c r="S40" i="5"/>
  <c r="S146" i="5"/>
  <c r="T146" i="5" s="1"/>
  <c r="S126" i="5"/>
  <c r="S75" i="5"/>
  <c r="S112" i="5"/>
  <c r="S82" i="5"/>
  <c r="T82" i="5" s="1"/>
  <c r="S68" i="5"/>
  <c r="T68" i="5" s="1"/>
  <c r="S125" i="5"/>
  <c r="T125" i="5" s="1"/>
  <c r="S24" i="5"/>
  <c r="T24" i="5" s="1"/>
  <c r="S56" i="5"/>
  <c r="T56" i="5" s="1"/>
  <c r="S141" i="5"/>
  <c r="S32" i="5"/>
  <c r="T32" i="5" s="1"/>
  <c r="S58" i="5"/>
  <c r="T58" i="5" s="1"/>
  <c r="S155" i="5"/>
  <c r="T155" i="5" s="1"/>
  <c r="S132" i="5"/>
  <c r="S129" i="5"/>
  <c r="S60" i="5"/>
  <c r="T60" i="5" s="1"/>
  <c r="S41" i="5"/>
  <c r="S142" i="5"/>
  <c r="T142" i="5" s="1"/>
  <c r="S120" i="5"/>
  <c r="T120" i="5" s="1"/>
  <c r="S70" i="5"/>
  <c r="T70" i="5" s="1"/>
  <c r="S100" i="5"/>
  <c r="T100" i="5" s="1"/>
  <c r="S77" i="5"/>
  <c r="S64" i="5"/>
  <c r="T64" i="5" s="1"/>
  <c r="S105" i="5"/>
  <c r="S13" i="5"/>
  <c r="T13" i="5" s="1"/>
  <c r="S101" i="5"/>
  <c r="T101" i="5" s="1"/>
  <c r="S74" i="5"/>
  <c r="T74" i="5" s="1"/>
  <c r="K88" i="5" s="1"/>
  <c r="S93" i="5"/>
  <c r="T93" i="5" s="1"/>
  <c r="S80" i="5"/>
  <c r="T80" i="5" s="1"/>
  <c r="S150" i="5"/>
  <c r="S87" i="5"/>
  <c r="T87" i="5" s="1"/>
  <c r="S71" i="5"/>
  <c r="S62" i="5"/>
  <c r="T62" i="5" s="1"/>
  <c r="S72" i="5"/>
  <c r="T72" i="5" s="1"/>
  <c r="K86" i="5" s="1"/>
  <c r="S52" i="5"/>
  <c r="T52" i="5" s="1"/>
  <c r="S107" i="5"/>
  <c r="S63" i="5"/>
  <c r="T63" i="5" s="1"/>
  <c r="S128" i="5"/>
  <c r="S34" i="5"/>
  <c r="T34" i="5" s="1"/>
  <c r="S66" i="5"/>
  <c r="S106" i="5"/>
  <c r="S48" i="5"/>
  <c r="T48" i="5" s="1"/>
  <c r="S154" i="5"/>
  <c r="T154" i="5" s="1"/>
  <c r="K95" i="5" s="1"/>
  <c r="S139" i="5"/>
  <c r="T139" i="5" s="1"/>
  <c r="S89" i="5"/>
  <c r="S35" i="5"/>
  <c r="T35" i="5" s="1"/>
  <c r="S103" i="5"/>
  <c r="T103" i="5" s="1"/>
  <c r="S57" i="5"/>
  <c r="S22" i="5"/>
  <c r="S76" i="5"/>
  <c r="T76" i="5" s="1"/>
  <c r="S92" i="5"/>
  <c r="T92" i="5" s="1"/>
  <c r="S73" i="5"/>
  <c r="T73" i="5" s="1"/>
  <c r="S131" i="5"/>
  <c r="T131" i="5" s="1"/>
  <c r="S152" i="5"/>
  <c r="T152" i="5" s="1"/>
  <c r="K104" i="5" s="1"/>
  <c r="S94" i="5"/>
  <c r="T94" i="5" s="1"/>
  <c r="S69" i="5"/>
  <c r="T69" i="5" s="1"/>
  <c r="S55" i="5"/>
  <c r="T55" i="5" s="1"/>
  <c r="S25" i="5"/>
  <c r="T25" i="5" s="1"/>
  <c r="S113" i="5"/>
  <c r="S28" i="5"/>
  <c r="T28" i="5" s="1"/>
  <c r="S39" i="5"/>
  <c r="S114" i="5"/>
  <c r="S118" i="5"/>
  <c r="S102" i="5"/>
  <c r="T102" i="5" s="1"/>
  <c r="S96" i="5"/>
  <c r="T96" i="5" s="1"/>
  <c r="S83" i="5"/>
  <c r="T83" i="5" s="1"/>
  <c r="S115" i="5"/>
  <c r="S127" i="5"/>
  <c r="S117" i="5"/>
  <c r="T117" i="5" s="1"/>
  <c r="S138" i="5"/>
  <c r="T138" i="5" s="1"/>
  <c r="K82" i="5" s="1"/>
  <c r="S99" i="5"/>
  <c r="S67" i="5"/>
  <c r="T67" i="5" s="1"/>
  <c r="K84" i="5" s="1"/>
  <c r="S78" i="5"/>
  <c r="T78" i="5" s="1"/>
  <c r="S59" i="5"/>
  <c r="T59" i="5" s="1"/>
  <c r="S31" i="5"/>
  <c r="T31" i="5" s="1"/>
  <c r="K73" i="5" s="1"/>
  <c r="S20" i="5"/>
  <c r="T20" i="5" s="1"/>
  <c r="S122" i="5"/>
  <c r="S109" i="5"/>
  <c r="T109" i="5" s="1"/>
  <c r="S111" i="5"/>
  <c r="S49" i="5"/>
  <c r="S51" i="5"/>
  <c r="S54" i="5"/>
  <c r="T54" i="5" s="1"/>
  <c r="S151" i="5"/>
  <c r="T151" i="5" s="1"/>
  <c r="S95" i="5"/>
  <c r="T95" i="5" s="1"/>
  <c r="S149" i="5"/>
  <c r="S79" i="5"/>
  <c r="T79" i="5" s="1"/>
  <c r="S97" i="5"/>
  <c r="T97" i="5" s="1"/>
  <c r="S45" i="5"/>
  <c r="S136" i="5"/>
  <c r="T136" i="5" s="1"/>
  <c r="S53" i="5"/>
  <c r="S148" i="5"/>
  <c r="T148" i="5" s="1"/>
  <c r="S37" i="5"/>
  <c r="S47" i="5"/>
  <c r="T47" i="5" s="1"/>
  <c r="S124" i="5"/>
  <c r="T124" i="5" s="1"/>
  <c r="S33" i="5"/>
  <c r="T33" i="5" s="1"/>
  <c r="S144" i="5"/>
  <c r="S44" i="5"/>
  <c r="T44" i="5" s="1"/>
  <c r="S15" i="5"/>
  <c r="T15" i="5" s="1"/>
  <c r="S81" i="5"/>
  <c r="T81" i="5" s="1"/>
  <c r="S38" i="5"/>
  <c r="T38" i="5" s="1"/>
  <c r="S86" i="5"/>
  <c r="T86" i="5" s="1"/>
  <c r="S145" i="5"/>
  <c r="S121" i="5"/>
  <c r="T121" i="5" s="1"/>
  <c r="S16" i="5"/>
  <c r="S123" i="5"/>
  <c r="S84" i="5"/>
  <c r="T84" i="5" s="1"/>
  <c r="S50" i="5"/>
  <c r="T50" i="5" s="1"/>
  <c r="S36" i="5"/>
  <c r="S135" i="5"/>
  <c r="T135" i="5" s="1"/>
  <c r="S26" i="5"/>
  <c r="T26" i="5" s="1"/>
  <c r="S90" i="5"/>
  <c r="T90" i="5" s="1"/>
  <c r="S143" i="5"/>
  <c r="T143" i="5" s="1"/>
  <c r="S108" i="5"/>
  <c r="S140" i="5"/>
  <c r="T140" i="5" s="1"/>
  <c r="S85" i="5"/>
  <c r="S98" i="5"/>
  <c r="T98" i="5" s="1"/>
  <c r="S42" i="5"/>
  <c r="S17" i="5"/>
  <c r="T17" i="5" s="1"/>
  <c r="S116" i="5"/>
  <c r="T116" i="5" s="1"/>
  <c r="S110" i="5"/>
  <c r="T110" i="5" s="1"/>
  <c r="S19" i="5"/>
  <c r="T19" i="5" s="1"/>
  <c r="S137" i="5"/>
  <c r="T137" i="5" s="1"/>
  <c r="S61" i="5"/>
  <c r="T61" i="5" s="1"/>
  <c r="S147" i="5"/>
  <c r="S27" i="5"/>
  <c r="S29" i="5"/>
  <c r="T29" i="5" s="1"/>
  <c r="K72" i="5" s="1"/>
  <c r="S65" i="5"/>
  <c r="T65" i="5" s="1"/>
  <c r="K83" i="5" s="1"/>
  <c r="S21" i="5"/>
  <c r="T21" i="5" s="1"/>
  <c r="S23" i="5"/>
  <c r="T23" i="5" s="1"/>
  <c r="S133" i="5"/>
  <c r="T133" i="5" s="1"/>
  <c r="S46" i="5"/>
  <c r="T46" i="5" s="1"/>
  <c r="X134" i="5"/>
  <c r="C139" i="5"/>
  <c r="T134" i="5"/>
  <c r="K178" i="5" s="1"/>
  <c r="AC12" i="4"/>
  <c r="AS12" i="4"/>
  <c r="AS95" i="4"/>
  <c r="AC95" i="4"/>
  <c r="AC89" i="4"/>
  <c r="AS89" i="4"/>
  <c r="AC148" i="4"/>
  <c r="AS148" i="4"/>
  <c r="C6" i="5"/>
  <c r="C65" i="5"/>
  <c r="C150" i="5" s="1"/>
  <c r="T138" i="6"/>
  <c r="K82" i="6" s="1"/>
  <c r="C76" i="5"/>
  <c r="AC26" i="4"/>
  <c r="AS26" i="4"/>
  <c r="AC118" i="4"/>
  <c r="AS118" i="4"/>
  <c r="AS41" i="4"/>
  <c r="AC41" i="4"/>
  <c r="AS110" i="4"/>
  <c r="AC110" i="4"/>
  <c r="AC51" i="4"/>
  <c r="AS51" i="4"/>
  <c r="AC43" i="4"/>
  <c r="AS43" i="4"/>
  <c r="AS113" i="4"/>
  <c r="AC113" i="4"/>
  <c r="AS152" i="4"/>
  <c r="AC152" i="4"/>
  <c r="AC123" i="4"/>
  <c r="AS123" i="4"/>
  <c r="AC147" i="4"/>
  <c r="AS147" i="4"/>
  <c r="C130" i="6"/>
  <c r="T113" i="6"/>
  <c r="K148" i="6" s="1"/>
  <c r="C89" i="5"/>
  <c r="T45" i="5"/>
  <c r="K46" i="5" s="1"/>
  <c r="T111" i="5"/>
  <c r="K118" i="5" s="1"/>
  <c r="X98" i="6"/>
  <c r="T98" i="6"/>
  <c r="K161" i="6" s="1"/>
  <c r="C140" i="5"/>
  <c r="C127" i="6"/>
  <c r="T108" i="6"/>
  <c r="K146" i="6" s="1"/>
  <c r="C95" i="5"/>
  <c r="X149" i="6"/>
  <c r="T149" i="6"/>
  <c r="K102" i="6" s="1"/>
  <c r="X41" i="5"/>
  <c r="AD41" i="5" s="1"/>
  <c r="T41" i="5"/>
  <c r="K51" i="5" s="1"/>
  <c r="C109" i="6"/>
  <c r="X76" i="6"/>
  <c r="T76" i="6"/>
  <c r="K89" i="6" s="1"/>
  <c r="T75" i="5"/>
  <c r="C108" i="5"/>
  <c r="T40" i="7"/>
  <c r="K41" i="7" s="1"/>
  <c r="C86" i="7"/>
  <c r="C128" i="7"/>
  <c r="C80" i="7"/>
  <c r="T31" i="7"/>
  <c r="K73" i="7" s="1"/>
  <c r="X83" i="7"/>
  <c r="T83" i="7"/>
  <c r="K63" i="7" s="1"/>
  <c r="X73" i="7"/>
  <c r="T73" i="7"/>
  <c r="C107" i="7"/>
  <c r="C89" i="7"/>
  <c r="T81" i="7"/>
  <c r="K62" i="7" s="1"/>
  <c r="T95" i="7"/>
  <c r="K143" i="7" s="1"/>
  <c r="X122" i="5"/>
  <c r="T122" i="5"/>
  <c r="K174" i="5" s="1"/>
  <c r="C132" i="5"/>
  <c r="C87" i="6"/>
  <c r="T59" i="6"/>
  <c r="K140" i="6" s="1"/>
  <c r="C118" i="5"/>
  <c r="C117" i="5"/>
  <c r="T89" i="5"/>
  <c r="K67" i="5" s="1"/>
  <c r="X89" i="5"/>
  <c r="C105" i="6"/>
  <c r="X71" i="6"/>
  <c r="T71" i="6"/>
  <c r="K166" i="6" s="1"/>
  <c r="C121" i="6"/>
  <c r="T22" i="6"/>
  <c r="X107" i="6"/>
  <c r="T107" i="6"/>
  <c r="K78" i="6" s="1"/>
  <c r="C112" i="5"/>
  <c r="C68" i="5"/>
  <c r="T11" i="5"/>
  <c r="C67" i="5"/>
  <c r="AC112" i="4"/>
  <c r="AS114" i="4"/>
  <c r="AC114" i="4"/>
  <c r="AC134" i="4"/>
  <c r="AS134" i="4"/>
  <c r="T125" i="6"/>
  <c r="K152" i="6" s="1"/>
  <c r="C126" i="7"/>
  <c r="T106" i="7"/>
  <c r="K172" i="7" s="1"/>
  <c r="X106" i="7"/>
  <c r="X129" i="7"/>
  <c r="T129" i="7"/>
  <c r="K81" i="7" s="1"/>
  <c r="C137" i="7"/>
  <c r="T150" i="6"/>
  <c r="K103" i="6" s="1"/>
  <c r="C144" i="6"/>
  <c r="C71" i="6"/>
  <c r="T16" i="6"/>
  <c r="K105" i="6" s="1"/>
  <c r="C113" i="6"/>
  <c r="T79" i="6"/>
  <c r="K61" i="6" s="1"/>
  <c r="C114" i="6"/>
  <c r="C65" i="6"/>
  <c r="C150" i="6" s="1"/>
  <c r="C6" i="6"/>
  <c r="C121" i="5"/>
  <c r="T22" i="5"/>
  <c r="X138" i="5"/>
  <c r="AC22" i="4"/>
  <c r="AS22" i="4"/>
  <c r="AS17" i="4"/>
  <c r="AC17" i="4"/>
  <c r="AS66" i="4"/>
  <c r="AC66" i="4"/>
  <c r="AS57" i="4"/>
  <c r="AC57" i="4"/>
  <c r="AS65" i="4"/>
  <c r="AC65" i="4"/>
  <c r="AC59" i="4"/>
  <c r="AS59" i="4"/>
  <c r="AS115" i="4"/>
  <c r="AC115" i="4"/>
  <c r="AC144" i="4"/>
  <c r="AS144" i="4"/>
  <c r="AC139" i="4"/>
  <c r="AS139" i="4"/>
  <c r="C130" i="5"/>
  <c r="T113" i="5"/>
  <c r="K148" i="5" s="1"/>
  <c r="AR43" i="4"/>
  <c r="C66" i="5"/>
  <c r="C151" i="5" s="1"/>
  <c r="C7" i="5"/>
  <c r="AR96" i="4"/>
  <c r="X37" i="5"/>
  <c r="AC37" i="5" s="1"/>
  <c r="T37" i="5"/>
  <c r="K113" i="5" s="1"/>
  <c r="T108" i="5"/>
  <c r="K146" i="5" s="1"/>
  <c r="C127" i="5"/>
  <c r="AR54" i="4"/>
  <c r="T149" i="5"/>
  <c r="AR74" i="4"/>
  <c r="C108" i="6"/>
  <c r="T75" i="6"/>
  <c r="K167" i="6" s="1"/>
  <c r="X75" i="6"/>
  <c r="T41" i="7"/>
  <c r="K51" i="7" s="1"/>
  <c r="C81" i="7"/>
  <c r="T33" i="7"/>
  <c r="K111" i="7" s="1"/>
  <c r="C121" i="7"/>
  <c r="T22" i="7"/>
  <c r="X49" i="7"/>
  <c r="T49" i="7"/>
  <c r="K170" i="7" s="1"/>
  <c r="C91" i="7"/>
  <c r="C138" i="7"/>
  <c r="C99" i="7"/>
  <c r="T61" i="7"/>
  <c r="K79" i="7" s="1"/>
  <c r="C122" i="7"/>
  <c r="T97" i="7"/>
  <c r="K76" i="7" s="1"/>
  <c r="X111" i="7"/>
  <c r="AC111" i="7" s="1"/>
  <c r="T111" i="7"/>
  <c r="K118" i="7" s="1"/>
  <c r="X127" i="7"/>
  <c r="C135" i="7"/>
  <c r="T127" i="7"/>
  <c r="K175" i="7" s="1"/>
  <c r="X102" i="7"/>
  <c r="T102" i="7"/>
  <c r="K145" i="7" s="1"/>
  <c r="X122" i="6"/>
  <c r="T122" i="6"/>
  <c r="K174" i="6" s="1"/>
  <c r="C132" i="6"/>
  <c r="AR40" i="4"/>
  <c r="X150" i="5"/>
  <c r="C144" i="5"/>
  <c r="T150" i="5"/>
  <c r="K103" i="5" s="1"/>
  <c r="AR57" i="4"/>
  <c r="AR114" i="4"/>
  <c r="C117" i="6"/>
  <c r="T89" i="6"/>
  <c r="K67" i="6" s="1"/>
  <c r="C118" i="6"/>
  <c r="AR69" i="4"/>
  <c r="K46" i="7" l="1"/>
  <c r="X45" i="7"/>
  <c r="K115" i="7"/>
  <c r="X93" i="7"/>
  <c r="AC93" i="7" s="1"/>
  <c r="K64" i="6"/>
  <c r="X85" i="6"/>
  <c r="K120" i="5"/>
  <c r="X121" i="5"/>
  <c r="AC121" i="5" s="1"/>
  <c r="X74" i="5"/>
  <c r="K109" i="7"/>
  <c r="X63" i="7"/>
  <c r="AC63" i="7" s="1"/>
  <c r="K42" i="5"/>
  <c r="X43" i="5"/>
  <c r="AD43" i="5" s="1"/>
  <c r="C166" i="7"/>
  <c r="D81" i="7"/>
  <c r="E81" i="7"/>
  <c r="K159" i="5"/>
  <c r="X47" i="5"/>
  <c r="K43" i="7"/>
  <c r="X94" i="7"/>
  <c r="AC94" i="7" s="1"/>
  <c r="K71" i="5"/>
  <c r="X28" i="5"/>
  <c r="Z29" i="5"/>
  <c r="AC29" i="5"/>
  <c r="C197" i="5"/>
  <c r="E112" i="5"/>
  <c r="D112" i="5"/>
  <c r="F112" i="5" s="1"/>
  <c r="G112" i="5" s="1"/>
  <c r="K35" i="5"/>
  <c r="X39" i="5"/>
  <c r="AD39" i="5" s="1"/>
  <c r="K121" i="7"/>
  <c r="X140" i="7"/>
  <c r="AC140" i="7" s="1"/>
  <c r="K128" i="5"/>
  <c r="X84" i="5"/>
  <c r="K74" i="5"/>
  <c r="X32" i="5"/>
  <c r="AB78" i="6"/>
  <c r="AC78" i="6"/>
  <c r="K83" i="6"/>
  <c r="X65" i="6"/>
  <c r="K163" i="5"/>
  <c r="X136" i="5"/>
  <c r="K147" i="7"/>
  <c r="X109" i="7"/>
  <c r="K106" i="6"/>
  <c r="X22" i="6"/>
  <c r="AC22" i="6" s="1"/>
  <c r="K38" i="5"/>
  <c r="X13" i="5"/>
  <c r="AC13" i="5" s="1"/>
  <c r="K36" i="5"/>
  <c r="X42" i="5"/>
  <c r="AD42" i="5" s="1"/>
  <c r="K85" i="7"/>
  <c r="AP36" i="7"/>
  <c r="X70" i="7"/>
  <c r="K158" i="7"/>
  <c r="X44" i="7"/>
  <c r="X67" i="5"/>
  <c r="AB150" i="5"/>
  <c r="AC150" i="5"/>
  <c r="AB138" i="5"/>
  <c r="AC138" i="5"/>
  <c r="K152" i="5"/>
  <c r="X125" i="5"/>
  <c r="AT103" i="4"/>
  <c r="AS145" i="4"/>
  <c r="C212" i="5"/>
  <c r="D127" i="5"/>
  <c r="E127" i="5"/>
  <c r="K149" i="5"/>
  <c r="X117" i="5"/>
  <c r="K153" i="5"/>
  <c r="X130" i="5"/>
  <c r="C179" i="5"/>
  <c r="E94" i="5"/>
  <c r="D94" i="5"/>
  <c r="F94" i="5" s="1"/>
  <c r="G94" i="5" s="1"/>
  <c r="K105" i="7"/>
  <c r="X16" i="7"/>
  <c r="AC16" i="7" s="1"/>
  <c r="K161" i="5"/>
  <c r="X98" i="5"/>
  <c r="K107" i="5"/>
  <c r="X38" i="5"/>
  <c r="AC38" i="5" s="1"/>
  <c r="K143" i="5"/>
  <c r="X95" i="5"/>
  <c r="K87" i="5"/>
  <c r="X73" i="5"/>
  <c r="K109" i="5"/>
  <c r="X63" i="5"/>
  <c r="AC63" i="5" s="1"/>
  <c r="K116" i="5"/>
  <c r="X100" i="5"/>
  <c r="AC100" i="5" s="1"/>
  <c r="K123" i="5"/>
  <c r="X82" i="5"/>
  <c r="AC82" i="5" s="1"/>
  <c r="K71" i="6"/>
  <c r="X28" i="6"/>
  <c r="K144" i="7"/>
  <c r="X96" i="7"/>
  <c r="X72" i="5"/>
  <c r="C202" i="6"/>
  <c r="E117" i="6"/>
  <c r="D117" i="6"/>
  <c r="K96" i="5"/>
  <c r="X155" i="5"/>
  <c r="K50" i="7"/>
  <c r="X118" i="7"/>
  <c r="AC118" i="7" s="1"/>
  <c r="K79" i="5"/>
  <c r="X61" i="5"/>
  <c r="K139" i="5"/>
  <c r="X58" i="5"/>
  <c r="AD100" i="4"/>
  <c r="AS100" i="4"/>
  <c r="AD135" i="4"/>
  <c r="AS135" i="4"/>
  <c r="K141" i="7"/>
  <c r="X60" i="7"/>
  <c r="K122" i="6"/>
  <c r="X14" i="6"/>
  <c r="AD14" i="6" s="1"/>
  <c r="AE115" i="7"/>
  <c r="AC115" i="7"/>
  <c r="K110" i="6"/>
  <c r="X120" i="6"/>
  <c r="AC120" i="6" s="1"/>
  <c r="K48" i="5"/>
  <c r="X101" i="5"/>
  <c r="AC101" i="5" s="1"/>
  <c r="K131" i="7"/>
  <c r="X147" i="7"/>
  <c r="K137" i="7"/>
  <c r="X54" i="7"/>
  <c r="K67" i="7"/>
  <c r="X89" i="7"/>
  <c r="K48" i="6"/>
  <c r="X101" i="6"/>
  <c r="AC101" i="6" s="1"/>
  <c r="AT119" i="4"/>
  <c r="K163" i="7"/>
  <c r="X136" i="7"/>
  <c r="K165" i="5"/>
  <c r="X68" i="5"/>
  <c r="K45" i="6"/>
  <c r="X26" i="6"/>
  <c r="AC26" i="6" s="1"/>
  <c r="AB89" i="5"/>
  <c r="AC89" i="5"/>
  <c r="K37" i="5"/>
  <c r="X46" i="5"/>
  <c r="K62" i="5"/>
  <c r="X81" i="5"/>
  <c r="K93" i="5"/>
  <c r="X151" i="5"/>
  <c r="K47" i="5"/>
  <c r="X92" i="5"/>
  <c r="AC92" i="5" s="1"/>
  <c r="K85" i="5"/>
  <c r="X70" i="5"/>
  <c r="K94" i="5"/>
  <c r="X153" i="5"/>
  <c r="C219" i="5"/>
  <c r="D134" i="5"/>
  <c r="F134" i="5" s="1"/>
  <c r="G134" i="5" s="1"/>
  <c r="E134" i="5"/>
  <c r="C155" i="5"/>
  <c r="D70" i="5"/>
  <c r="F70" i="5" s="1"/>
  <c r="G70" i="5" s="1"/>
  <c r="E70" i="5"/>
  <c r="K161" i="7"/>
  <c r="X98" i="7"/>
  <c r="K68" i="7"/>
  <c r="X19" i="7"/>
  <c r="K108" i="7"/>
  <c r="X55" i="7"/>
  <c r="AC55" i="7" s="1"/>
  <c r="K100" i="6"/>
  <c r="X143" i="6"/>
  <c r="K57" i="5"/>
  <c r="X11" i="5"/>
  <c r="K169" i="5"/>
  <c r="X139" i="5"/>
  <c r="K135" i="5"/>
  <c r="X50" i="5"/>
  <c r="K74" i="7"/>
  <c r="X32" i="7"/>
  <c r="K40" i="6"/>
  <c r="X36" i="6"/>
  <c r="AD36" i="6" s="1"/>
  <c r="K134" i="5"/>
  <c r="X48" i="5"/>
  <c r="K162" i="7"/>
  <c r="X126" i="7"/>
  <c r="K42" i="6"/>
  <c r="X43" i="6"/>
  <c r="AD43" i="6" s="1"/>
  <c r="K54" i="5"/>
  <c r="X78" i="5"/>
  <c r="Y68" i="6"/>
  <c r="AC68" i="6"/>
  <c r="X154" i="5"/>
  <c r="C226" i="6"/>
  <c r="D141" i="6"/>
  <c r="F141" i="6" s="1"/>
  <c r="G141" i="6" s="1"/>
  <c r="E141" i="6"/>
  <c r="K136" i="7"/>
  <c r="X52" i="7"/>
  <c r="Z29" i="6"/>
  <c r="AC29" i="6"/>
  <c r="AE127" i="5"/>
  <c r="AC127" i="5"/>
  <c r="AA95" i="6"/>
  <c r="AD95" i="6"/>
  <c r="K101" i="5"/>
  <c r="X148" i="5"/>
  <c r="AD121" i="4"/>
  <c r="AS121" i="4"/>
  <c r="K132" i="7"/>
  <c r="X24" i="7"/>
  <c r="K36" i="6"/>
  <c r="X42" i="6"/>
  <c r="AD42" i="6" s="1"/>
  <c r="K133" i="5"/>
  <c r="X25" i="5"/>
  <c r="K94" i="6"/>
  <c r="X153" i="6"/>
  <c r="K52" i="5"/>
  <c r="X110" i="5"/>
  <c r="AD110" i="5" s="1"/>
  <c r="K43" i="5"/>
  <c r="X94" i="5"/>
  <c r="AC94" i="5" s="1"/>
  <c r="AT66" i="4"/>
  <c r="K99" i="5"/>
  <c r="X142" i="5"/>
  <c r="K70" i="5"/>
  <c r="X27" i="5"/>
  <c r="K159" i="7"/>
  <c r="X47" i="7"/>
  <c r="K83" i="7"/>
  <c r="AP31" i="7"/>
  <c r="X65" i="7"/>
  <c r="K135" i="7"/>
  <c r="X50" i="7"/>
  <c r="K168" i="7"/>
  <c r="X137" i="7"/>
  <c r="K60" i="7"/>
  <c r="K180" i="7" s="1"/>
  <c r="X18" i="7"/>
  <c r="X31" i="5"/>
  <c r="K73" i="6"/>
  <c r="X31" i="6"/>
  <c r="K55" i="5"/>
  <c r="X80" i="5"/>
  <c r="Z65" i="5"/>
  <c r="AD65" i="5"/>
  <c r="AD36" i="4"/>
  <c r="AS36" i="4"/>
  <c r="AD127" i="4"/>
  <c r="AS127" i="4"/>
  <c r="K50" i="6"/>
  <c r="X118" i="6"/>
  <c r="AC118" i="6" s="1"/>
  <c r="K168" i="5"/>
  <c r="X137" i="5"/>
  <c r="C204" i="7"/>
  <c r="D119" i="7"/>
  <c r="E119" i="7"/>
  <c r="AA146" i="7"/>
  <c r="AD146" i="7"/>
  <c r="K47" i="6"/>
  <c r="X92" i="6"/>
  <c r="AC92" i="6" s="1"/>
  <c r="K61" i="5"/>
  <c r="X79" i="5"/>
  <c r="K75" i="5"/>
  <c r="X34" i="5"/>
  <c r="K119" i="5"/>
  <c r="X119" i="5"/>
  <c r="AC119" i="5" s="1"/>
  <c r="AT71" i="4"/>
  <c r="K106" i="5"/>
  <c r="X22" i="5"/>
  <c r="AC22" i="5" s="1"/>
  <c r="K59" i="5"/>
  <c r="X15" i="5"/>
  <c r="K89" i="5"/>
  <c r="X76" i="5"/>
  <c r="Y45" i="6"/>
  <c r="AC45" i="6"/>
  <c r="C203" i="5"/>
  <c r="E118" i="5"/>
  <c r="D118" i="5"/>
  <c r="F118" i="5" s="1"/>
  <c r="G118" i="5" s="1"/>
  <c r="K100" i="5"/>
  <c r="X143" i="5"/>
  <c r="K80" i="5"/>
  <c r="X62" i="5"/>
  <c r="K130" i="5"/>
  <c r="X146" i="5"/>
  <c r="C170" i="7"/>
  <c r="E85" i="7"/>
  <c r="D85" i="7"/>
  <c r="F85" i="7" s="1"/>
  <c r="G85" i="7" s="1"/>
  <c r="Z67" i="7"/>
  <c r="AD67" i="7"/>
  <c r="K156" i="7"/>
  <c r="X135" i="7"/>
  <c r="K128" i="7"/>
  <c r="X84" i="7"/>
  <c r="C227" i="7"/>
  <c r="E142" i="7"/>
  <c r="D142" i="7"/>
  <c r="F142" i="7" s="1"/>
  <c r="G142" i="7" s="1"/>
  <c r="K141" i="6"/>
  <c r="X60" i="6"/>
  <c r="K156" i="5"/>
  <c r="X135" i="5"/>
  <c r="K157" i="7"/>
  <c r="X141" i="7"/>
  <c r="K160" i="7"/>
  <c r="X51" i="7"/>
  <c r="Y75" i="6"/>
  <c r="AC75" i="6"/>
  <c r="K122" i="5"/>
  <c r="X14" i="5"/>
  <c r="AD14" i="5" s="1"/>
  <c r="AD40" i="4"/>
  <c r="AS40" i="4"/>
  <c r="K36" i="7"/>
  <c r="X42" i="7"/>
  <c r="AD42" i="7" s="1"/>
  <c r="K38" i="6"/>
  <c r="X13" i="6"/>
  <c r="AC13" i="6" s="1"/>
  <c r="C228" i="6"/>
  <c r="E143" i="6"/>
  <c r="D143" i="6"/>
  <c r="F143" i="6" s="1"/>
  <c r="G143" i="6" s="1"/>
  <c r="K107" i="7"/>
  <c r="X38" i="7"/>
  <c r="AC38" i="7" s="1"/>
  <c r="K68" i="5"/>
  <c r="X19" i="5"/>
  <c r="K58" i="5"/>
  <c r="X12" i="5"/>
  <c r="K98" i="5"/>
  <c r="X69" i="5"/>
  <c r="K127" i="5"/>
  <c r="X56" i="5"/>
  <c r="K48" i="7"/>
  <c r="X101" i="7"/>
  <c r="AC101" i="7" s="1"/>
  <c r="K157" i="5"/>
  <c r="X141" i="5"/>
  <c r="K158" i="6"/>
  <c r="X44" i="6"/>
  <c r="K102" i="5"/>
  <c r="X149" i="5"/>
  <c r="K76" i="5"/>
  <c r="X97" i="5"/>
  <c r="K132" i="5"/>
  <c r="X24" i="5"/>
  <c r="K117" i="7"/>
  <c r="X104" i="7"/>
  <c r="AC104" i="7" s="1"/>
  <c r="K149" i="7"/>
  <c r="X117" i="7"/>
  <c r="K123" i="6"/>
  <c r="X82" i="6"/>
  <c r="AC82" i="6" s="1"/>
  <c r="AT33" i="4"/>
  <c r="AT135" i="4"/>
  <c r="AE106" i="6"/>
  <c r="AC106" i="6"/>
  <c r="K154" i="5"/>
  <c r="X131" i="5"/>
  <c r="K121" i="5"/>
  <c r="X140" i="5"/>
  <c r="AC140" i="5" s="1"/>
  <c r="K63" i="5"/>
  <c r="X83" i="5"/>
  <c r="K136" i="5"/>
  <c r="X52" i="5"/>
  <c r="AE122" i="6"/>
  <c r="AC122" i="6"/>
  <c r="K144" i="5"/>
  <c r="X96" i="5"/>
  <c r="K106" i="7"/>
  <c r="X22" i="7"/>
  <c r="AC22" i="7" s="1"/>
  <c r="C212" i="6"/>
  <c r="E127" i="6"/>
  <c r="D127" i="6"/>
  <c r="F127" i="6" s="1"/>
  <c r="G127" i="6" s="1"/>
  <c r="K69" i="5"/>
  <c r="X21" i="5"/>
  <c r="K145" i="5"/>
  <c r="X102" i="5"/>
  <c r="K142" i="5"/>
  <c r="X90" i="5"/>
  <c r="K111" i="5"/>
  <c r="X33" i="5"/>
  <c r="AC33" i="5" s="1"/>
  <c r="K44" i="5"/>
  <c r="X103" i="5"/>
  <c r="AD103" i="5" s="1"/>
  <c r="K141" i="5"/>
  <c r="X60" i="5"/>
  <c r="C176" i="5"/>
  <c r="D91" i="5"/>
  <c r="E91" i="5"/>
  <c r="X152" i="5"/>
  <c r="K137" i="6"/>
  <c r="X54" i="6"/>
  <c r="K97" i="7"/>
  <c r="X64" i="7"/>
  <c r="K89" i="7"/>
  <c r="AP43" i="7"/>
  <c r="X76" i="7"/>
  <c r="K95" i="7"/>
  <c r="X154" i="7"/>
  <c r="K40" i="7"/>
  <c r="X36" i="7"/>
  <c r="AD36" i="7" s="1"/>
  <c r="X155" i="7"/>
  <c r="K128" i="6"/>
  <c r="X84" i="6"/>
  <c r="K68" i="6"/>
  <c r="X19" i="6"/>
  <c r="K109" i="6"/>
  <c r="X63" i="6"/>
  <c r="AC63" i="6" s="1"/>
  <c r="K142" i="6"/>
  <c r="X90" i="6"/>
  <c r="K37" i="6"/>
  <c r="X46" i="6"/>
  <c r="K126" i="6"/>
  <c r="X23" i="6"/>
  <c r="C156" i="6"/>
  <c r="E71" i="6"/>
  <c r="D71" i="6"/>
  <c r="F71" i="6" s="1"/>
  <c r="G71" i="6" s="1"/>
  <c r="K53" i="5"/>
  <c r="X20" i="5"/>
  <c r="K98" i="7"/>
  <c r="AP35" i="7"/>
  <c r="X69" i="7"/>
  <c r="K115" i="5"/>
  <c r="X93" i="5"/>
  <c r="AC93" i="5" s="1"/>
  <c r="AD33" i="4"/>
  <c r="AS33" i="4"/>
  <c r="AD112" i="4"/>
  <c r="AS112" i="4"/>
  <c r="K122" i="7"/>
  <c r="X14" i="7"/>
  <c r="AD14" i="7" s="1"/>
  <c r="K44" i="6"/>
  <c r="X103" i="6"/>
  <c r="AD103" i="6" s="1"/>
  <c r="K144" i="6"/>
  <c r="X96" i="6"/>
  <c r="K167" i="5"/>
  <c r="X75" i="5"/>
  <c r="K140" i="5"/>
  <c r="X59" i="5"/>
  <c r="AE128" i="5"/>
  <c r="AC128" i="5"/>
  <c r="K55" i="6"/>
  <c r="X80" i="6"/>
  <c r="K108" i="5"/>
  <c r="X55" i="5"/>
  <c r="AC55" i="5" s="1"/>
  <c r="K94" i="7"/>
  <c r="X153" i="7"/>
  <c r="K114" i="5"/>
  <c r="X91" i="5"/>
  <c r="AC91" i="5" s="1"/>
  <c r="C207" i="7"/>
  <c r="D122" i="7"/>
  <c r="E122" i="7"/>
  <c r="K49" i="5"/>
  <c r="X116" i="5"/>
  <c r="AC116" i="5" s="1"/>
  <c r="K66" i="5"/>
  <c r="X88" i="5"/>
  <c r="K127" i="7"/>
  <c r="X56" i="7"/>
  <c r="K120" i="6"/>
  <c r="X121" i="6"/>
  <c r="AC121" i="6" s="1"/>
  <c r="K39" i="5"/>
  <c r="X17" i="5"/>
  <c r="AC17" i="5" s="1"/>
  <c r="K97" i="5"/>
  <c r="X64" i="5"/>
  <c r="AA137" i="6"/>
  <c r="AC137" i="6"/>
  <c r="AT133" i="4"/>
  <c r="K169" i="7"/>
  <c r="X139" i="7"/>
  <c r="K65" i="5"/>
  <c r="X86" i="5"/>
  <c r="K155" i="5"/>
  <c r="X133" i="5"/>
  <c r="K137" i="5"/>
  <c r="X54" i="5"/>
  <c r="K110" i="5"/>
  <c r="X120" i="5"/>
  <c r="AC120" i="5" s="1"/>
  <c r="K126" i="5"/>
  <c r="X23" i="5"/>
  <c r="K158" i="5"/>
  <c r="X44" i="5"/>
  <c r="AA102" i="7"/>
  <c r="AD102" i="7"/>
  <c r="K45" i="5"/>
  <c r="X26" i="5"/>
  <c r="AC26" i="5" s="1"/>
  <c r="K151" i="5"/>
  <c r="X124" i="5"/>
  <c r="K147" i="5"/>
  <c r="X109" i="5"/>
  <c r="K112" i="5"/>
  <c r="X35" i="5"/>
  <c r="AC35" i="5" s="1"/>
  <c r="K56" i="5"/>
  <c r="X87" i="5"/>
  <c r="K60" i="5"/>
  <c r="X18" i="5"/>
  <c r="Z11" i="6"/>
  <c r="AC11" i="6"/>
  <c r="AB97" i="6"/>
  <c r="AD97" i="6"/>
  <c r="X30" i="5"/>
  <c r="AC30" i="5" s="1"/>
  <c r="Z21" i="7"/>
  <c r="AD21" i="7"/>
  <c r="K93" i="7"/>
  <c r="X151" i="7"/>
  <c r="K123" i="7"/>
  <c r="X82" i="7"/>
  <c r="AC82" i="7" s="1"/>
  <c r="K155" i="6"/>
  <c r="X133" i="6"/>
  <c r="K159" i="6"/>
  <c r="X47" i="6"/>
  <c r="K114" i="6"/>
  <c r="X91" i="6"/>
  <c r="AC91" i="6" s="1"/>
  <c r="K52" i="6"/>
  <c r="X110" i="6"/>
  <c r="AD110" i="6" s="1"/>
  <c r="K84" i="6"/>
  <c r="X67" i="6"/>
  <c r="C160" i="5"/>
  <c r="E75" i="5"/>
  <c r="D75" i="5"/>
  <c r="F75" i="5" s="1"/>
  <c r="G75" i="5" s="1"/>
  <c r="C218" i="5"/>
  <c r="E133" i="5"/>
  <c r="D133" i="5"/>
  <c r="F133" i="5" s="1"/>
  <c r="G133" i="5" s="1"/>
  <c r="Z12" i="6"/>
  <c r="AC12" i="6"/>
  <c r="C218" i="6"/>
  <c r="E133" i="6"/>
  <c r="D133" i="6"/>
  <c r="F133" i="6" s="1"/>
  <c r="G133" i="6" s="1"/>
  <c r="C156" i="5"/>
  <c r="E71" i="5"/>
  <c r="D71" i="5"/>
  <c r="F71" i="5" s="1"/>
  <c r="G71" i="5" s="1"/>
  <c r="C216" i="6"/>
  <c r="E131" i="6"/>
  <c r="D131" i="6"/>
  <c r="F131" i="6" s="1"/>
  <c r="G131" i="6" s="1"/>
  <c r="Y50" i="6"/>
  <c r="AD50" i="6"/>
  <c r="AB107" i="5"/>
  <c r="AC107" i="5"/>
  <c r="P143" i="4"/>
  <c r="P149" i="4"/>
  <c r="P144" i="4"/>
  <c r="P150" i="4"/>
  <c r="P151" i="4"/>
  <c r="P147" i="4"/>
  <c r="P153" i="4"/>
  <c r="P139" i="4"/>
  <c r="P123" i="4"/>
  <c r="P107" i="4"/>
  <c r="P134" i="4"/>
  <c r="P118" i="4"/>
  <c r="P102" i="4"/>
  <c r="P129" i="4"/>
  <c r="P113" i="4"/>
  <c r="P97" i="4"/>
  <c r="P152" i="4"/>
  <c r="P135" i="4"/>
  <c r="P119" i="4"/>
  <c r="P142" i="4"/>
  <c r="P131" i="4"/>
  <c r="P115" i="4"/>
  <c r="P99" i="4"/>
  <c r="P130" i="4"/>
  <c r="P128" i="4"/>
  <c r="P109" i="4"/>
  <c r="P108" i="4"/>
  <c r="P132" i="4"/>
  <c r="P110" i="4"/>
  <c r="P148" i="4"/>
  <c r="P133" i="4"/>
  <c r="P120" i="4"/>
  <c r="P121" i="4"/>
  <c r="P111" i="4"/>
  <c r="P94" i="4"/>
  <c r="P78" i="4"/>
  <c r="P63" i="4"/>
  <c r="P136" i="4"/>
  <c r="P127" i="4"/>
  <c r="P89" i="4"/>
  <c r="P74" i="4"/>
  <c r="P137" i="4"/>
  <c r="P84" i="4"/>
  <c r="P69" i="4"/>
  <c r="P146" i="4"/>
  <c r="P98" i="4"/>
  <c r="P95" i="4"/>
  <c r="P79" i="4"/>
  <c r="P64" i="4"/>
  <c r="P126" i="4"/>
  <c r="P117" i="4"/>
  <c r="P103" i="4"/>
  <c r="P100" i="4"/>
  <c r="P90" i="4"/>
  <c r="P104" i="4"/>
  <c r="P101" i="4"/>
  <c r="P125" i="4"/>
  <c r="P105" i="4"/>
  <c r="P86" i="4"/>
  <c r="P71" i="4"/>
  <c r="P122" i="4"/>
  <c r="P81" i="4"/>
  <c r="P49" i="4"/>
  <c r="P141" i="4"/>
  <c r="P114" i="4"/>
  <c r="P82" i="4"/>
  <c r="P65" i="4"/>
  <c r="P60" i="4"/>
  <c r="P44" i="4"/>
  <c r="P85" i="4"/>
  <c r="P66" i="4"/>
  <c r="P55" i="4"/>
  <c r="P39" i="4"/>
  <c r="P145" i="4"/>
  <c r="P106" i="4"/>
  <c r="P83" i="4"/>
  <c r="P67" i="4"/>
  <c r="P50" i="4"/>
  <c r="P92" i="4"/>
  <c r="P124" i="4"/>
  <c r="P116" i="4"/>
  <c r="P87" i="4"/>
  <c r="P57" i="4"/>
  <c r="P41" i="4"/>
  <c r="P68" i="4"/>
  <c r="P53" i="4"/>
  <c r="P76" i="4"/>
  <c r="P56" i="4"/>
  <c r="P31" i="4"/>
  <c r="P15" i="4"/>
  <c r="P93" i="4"/>
  <c r="P54" i="4"/>
  <c r="P26" i="4"/>
  <c r="P73" i="4"/>
  <c r="P70" i="4"/>
  <c r="P37" i="4"/>
  <c r="P21" i="4"/>
  <c r="P58" i="4"/>
  <c r="P61" i="4"/>
  <c r="P40" i="4"/>
  <c r="P27" i="4"/>
  <c r="P75" i="4"/>
  <c r="P62" i="4"/>
  <c r="P59" i="4"/>
  <c r="P38" i="4"/>
  <c r="P96" i="4"/>
  <c r="P88" i="4"/>
  <c r="P42" i="4"/>
  <c r="P28" i="4"/>
  <c r="P91" i="4"/>
  <c r="P140" i="4"/>
  <c r="P52" i="4"/>
  <c r="P112" i="4"/>
  <c r="P30" i="4"/>
  <c r="P33" i="4"/>
  <c r="P32" i="4"/>
  <c r="P10" i="4"/>
  <c r="P48" i="4"/>
  <c r="P34" i="4"/>
  <c r="S2" i="4"/>
  <c r="P138" i="4"/>
  <c r="P35" i="4"/>
  <c r="P72" i="4"/>
  <c r="P43" i="4"/>
  <c r="P17" i="4"/>
  <c r="P36" i="4"/>
  <c r="P18" i="4"/>
  <c r="P16" i="4"/>
  <c r="P12" i="4"/>
  <c r="P45" i="4"/>
  <c r="P19" i="4"/>
  <c r="P23" i="4"/>
  <c r="P22" i="4"/>
  <c r="P77" i="4"/>
  <c r="P51" i="4"/>
  <c r="P46" i="4"/>
  <c r="P80" i="4"/>
  <c r="P47" i="4"/>
  <c r="P29" i="4"/>
  <c r="P20" i="4"/>
  <c r="P24" i="4"/>
  <c r="P13" i="4"/>
  <c r="P11" i="4"/>
  <c r="P9" i="4"/>
  <c r="P14" i="4"/>
  <c r="P25" i="4"/>
  <c r="Q3" i="4"/>
  <c r="C195" i="7"/>
  <c r="D110" i="7"/>
  <c r="F110" i="7" s="1"/>
  <c r="G110" i="7" s="1"/>
  <c r="E110" i="7"/>
  <c r="C180" i="7"/>
  <c r="E95" i="7"/>
  <c r="D95" i="7"/>
  <c r="F95" i="7" s="1"/>
  <c r="G95" i="7" s="1"/>
  <c r="AB155" i="6"/>
  <c r="AD155" i="6"/>
  <c r="C154" i="5"/>
  <c r="D69" i="5"/>
  <c r="E69" i="5"/>
  <c r="C190" i="7"/>
  <c r="E105" i="7"/>
  <c r="D105" i="7"/>
  <c r="C213" i="6"/>
  <c r="E128" i="6"/>
  <c r="D128" i="6"/>
  <c r="F128" i="6" s="1"/>
  <c r="G128" i="6" s="1"/>
  <c r="Z32" i="6"/>
  <c r="AC32" i="6"/>
  <c r="C173" i="5"/>
  <c r="E88" i="5"/>
  <c r="D88" i="5"/>
  <c r="F88" i="5" s="1"/>
  <c r="G88" i="5" s="1"/>
  <c r="Y66" i="7"/>
  <c r="AC66" i="7"/>
  <c r="C180" i="6"/>
  <c r="E95" i="6"/>
  <c r="D95" i="6"/>
  <c r="AT47" i="4"/>
  <c r="AT43" i="4"/>
  <c r="AT128" i="4"/>
  <c r="Y24" i="6"/>
  <c r="AD24" i="6"/>
  <c r="C184" i="6"/>
  <c r="D99" i="6"/>
  <c r="E99" i="6"/>
  <c r="C168" i="5"/>
  <c r="E83" i="5"/>
  <c r="D83" i="5"/>
  <c r="AB86" i="6"/>
  <c r="AC86" i="6"/>
  <c r="C203" i="6"/>
  <c r="D118" i="6"/>
  <c r="E118" i="6"/>
  <c r="C220" i="7"/>
  <c r="E135" i="7"/>
  <c r="D135" i="7"/>
  <c r="F135" i="7" s="1"/>
  <c r="G135" i="7" s="1"/>
  <c r="C206" i="7"/>
  <c r="E121" i="7"/>
  <c r="D121" i="7"/>
  <c r="F121" i="7" s="1"/>
  <c r="G121" i="7" s="1"/>
  <c r="X81" i="7"/>
  <c r="X111" i="6"/>
  <c r="AC111" i="6" s="1"/>
  <c r="AT141" i="4"/>
  <c r="C161" i="6"/>
  <c r="D76" i="6"/>
  <c r="E76" i="6"/>
  <c r="C223" i="6"/>
  <c r="E138" i="6"/>
  <c r="D138" i="6"/>
  <c r="F138" i="6" s="1"/>
  <c r="G138" i="6" s="1"/>
  <c r="X40" i="5"/>
  <c r="AD40" i="5" s="1"/>
  <c r="C210" i="7"/>
  <c r="E125" i="7"/>
  <c r="D125" i="7"/>
  <c r="F125" i="7" s="1"/>
  <c r="G125" i="7" s="1"/>
  <c r="Z70" i="6"/>
  <c r="AD70" i="6"/>
  <c r="X40" i="6"/>
  <c r="AD40" i="6" s="1"/>
  <c r="X133" i="7"/>
  <c r="X120" i="7"/>
  <c r="AC120" i="7" s="1"/>
  <c r="X51" i="5"/>
  <c r="C181" i="5"/>
  <c r="E96" i="5"/>
  <c r="D96" i="5"/>
  <c r="X37" i="7"/>
  <c r="AC37" i="7" s="1"/>
  <c r="AA99" i="7"/>
  <c r="AC99" i="7"/>
  <c r="C155" i="7"/>
  <c r="E70" i="7"/>
  <c r="D70" i="7"/>
  <c r="F70" i="7" s="1"/>
  <c r="G70" i="7" s="1"/>
  <c r="C191" i="6"/>
  <c r="D106" i="6"/>
  <c r="E106" i="6"/>
  <c r="X68" i="7"/>
  <c r="AS126" i="4"/>
  <c r="AS31" i="4"/>
  <c r="X85" i="5"/>
  <c r="X37" i="6"/>
  <c r="AC37" i="6" s="1"/>
  <c r="X58" i="7"/>
  <c r="C181" i="7"/>
  <c r="E96" i="7"/>
  <c r="D96" i="7"/>
  <c r="F96" i="7" s="1"/>
  <c r="G96" i="7" s="1"/>
  <c r="C186" i="7"/>
  <c r="E101" i="7"/>
  <c r="D101" i="7"/>
  <c r="F101" i="7" s="1"/>
  <c r="G101" i="7" s="1"/>
  <c r="AA109" i="6"/>
  <c r="AD109" i="6"/>
  <c r="AE127" i="7"/>
  <c r="AC127" i="7"/>
  <c r="X113" i="6"/>
  <c r="AT13" i="4"/>
  <c r="C178" i="5"/>
  <c r="E93" i="5"/>
  <c r="D93" i="5"/>
  <c r="F93" i="5" s="1"/>
  <c r="G93" i="5" s="1"/>
  <c r="X142" i="7"/>
  <c r="C207" i="5"/>
  <c r="E122" i="5"/>
  <c r="D122" i="5"/>
  <c r="F122" i="5" s="1"/>
  <c r="G122" i="5" s="1"/>
  <c r="C171" i="5"/>
  <c r="E86" i="5"/>
  <c r="D86" i="5"/>
  <c r="F86" i="5" s="1"/>
  <c r="G86" i="5" s="1"/>
  <c r="X108" i="7"/>
  <c r="X23" i="7"/>
  <c r="C189" i="6"/>
  <c r="D104" i="6"/>
  <c r="E104" i="6"/>
  <c r="C171" i="6"/>
  <c r="D86" i="6"/>
  <c r="E86" i="6"/>
  <c r="C220" i="5"/>
  <c r="E135" i="5"/>
  <c r="D135" i="5"/>
  <c r="C177" i="5"/>
  <c r="E92" i="5"/>
  <c r="D92" i="5"/>
  <c r="F92" i="5" s="1"/>
  <c r="G92" i="5" s="1"/>
  <c r="C226" i="7"/>
  <c r="E141" i="7"/>
  <c r="D141" i="7"/>
  <c r="F141" i="7" s="1"/>
  <c r="G141" i="7" s="1"/>
  <c r="AE115" i="6"/>
  <c r="AC115" i="6"/>
  <c r="X64" i="6"/>
  <c r="C209" i="7"/>
  <c r="E124" i="7"/>
  <c r="D124" i="7"/>
  <c r="F124" i="7" s="1"/>
  <c r="G124" i="7" s="1"/>
  <c r="C211" i="6"/>
  <c r="E126" i="6"/>
  <c r="D126" i="6"/>
  <c r="F126" i="6" s="1"/>
  <c r="G126" i="6" s="1"/>
  <c r="AB142" i="6"/>
  <c r="AC142" i="6"/>
  <c r="C229" i="7"/>
  <c r="E144" i="7"/>
  <c r="D144" i="7"/>
  <c r="F144" i="7" s="1"/>
  <c r="G144" i="7" s="1"/>
  <c r="AS83" i="4"/>
  <c r="C178" i="7"/>
  <c r="D93" i="7"/>
  <c r="E93" i="7"/>
  <c r="C195" i="5"/>
  <c r="E110" i="5"/>
  <c r="D110" i="5"/>
  <c r="F110" i="5" s="1"/>
  <c r="G110" i="5" s="1"/>
  <c r="C182" i="7"/>
  <c r="D97" i="7"/>
  <c r="F97" i="7" s="1"/>
  <c r="G97" i="7" s="1"/>
  <c r="E97" i="7"/>
  <c r="AE134" i="7"/>
  <c r="AC134" i="7"/>
  <c r="Y57" i="7"/>
  <c r="AC57" i="7"/>
  <c r="AS79" i="4"/>
  <c r="C229" i="6"/>
  <c r="E144" i="6"/>
  <c r="D144" i="6"/>
  <c r="F144" i="6" s="1"/>
  <c r="G144" i="6" s="1"/>
  <c r="C206" i="6"/>
  <c r="E121" i="6"/>
  <c r="D121" i="6"/>
  <c r="F121" i="6" s="1"/>
  <c r="G121" i="6" s="1"/>
  <c r="C174" i="5"/>
  <c r="E89" i="5"/>
  <c r="D89" i="5"/>
  <c r="AC7" i="4"/>
  <c r="AT95" i="4"/>
  <c r="C160" i="7"/>
  <c r="E75" i="7"/>
  <c r="D75" i="7"/>
  <c r="F75" i="7" s="1"/>
  <c r="G75" i="7" s="1"/>
  <c r="C180" i="5"/>
  <c r="E95" i="5"/>
  <c r="D95" i="5"/>
  <c r="C187" i="7"/>
  <c r="E102" i="7"/>
  <c r="D102" i="7"/>
  <c r="F102" i="7" s="1"/>
  <c r="G102" i="7" s="1"/>
  <c r="X62" i="7"/>
  <c r="AT140" i="4"/>
  <c r="X150" i="6"/>
  <c r="Y71" i="6"/>
  <c r="AC71" i="6"/>
  <c r="AE49" i="5"/>
  <c r="Y49" i="5"/>
  <c r="AC49" i="5"/>
  <c r="X89" i="6"/>
  <c r="X33" i="7"/>
  <c r="AC33" i="7" s="1"/>
  <c r="C222" i="7"/>
  <c r="E137" i="7"/>
  <c r="D137" i="7"/>
  <c r="F137" i="7" s="1"/>
  <c r="G137" i="7" s="1"/>
  <c r="C152" i="5"/>
  <c r="E67" i="5"/>
  <c r="D67" i="5"/>
  <c r="F67" i="5" s="1"/>
  <c r="G67" i="5" s="1"/>
  <c r="C190" i="6"/>
  <c r="E105" i="6"/>
  <c r="D105" i="6"/>
  <c r="F105" i="6" s="1"/>
  <c r="G105" i="6" s="1"/>
  <c r="X59" i="6"/>
  <c r="C174" i="7"/>
  <c r="D89" i="7"/>
  <c r="E89" i="7"/>
  <c r="C193" i="5"/>
  <c r="E108" i="5"/>
  <c r="D108" i="5"/>
  <c r="X108" i="6"/>
  <c r="C215" i="6"/>
  <c r="E130" i="6"/>
  <c r="D130" i="6"/>
  <c r="C172" i="5"/>
  <c r="E87" i="5"/>
  <c r="D87" i="5"/>
  <c r="F87" i="5" s="1"/>
  <c r="G87" i="5" s="1"/>
  <c r="X91" i="7"/>
  <c r="AC91" i="7" s="1"/>
  <c r="AT32" i="4"/>
  <c r="AT46" i="4"/>
  <c r="AT83" i="4"/>
  <c r="AE132" i="7"/>
  <c r="AC132" i="7"/>
  <c r="X146" i="6"/>
  <c r="C197" i="6"/>
  <c r="D112" i="6"/>
  <c r="E112" i="6"/>
  <c r="C212" i="7"/>
  <c r="E127" i="7"/>
  <c r="D127" i="7"/>
  <c r="C163" i="5"/>
  <c r="E78" i="5"/>
  <c r="D78" i="5"/>
  <c r="F78" i="5" s="1"/>
  <c r="G78" i="5" s="1"/>
  <c r="X148" i="7"/>
  <c r="AE53" i="5"/>
  <c r="Y53" i="5"/>
  <c r="AC53" i="5"/>
  <c r="C185" i="6"/>
  <c r="E100" i="6"/>
  <c r="D100" i="6"/>
  <c r="F100" i="6" s="1"/>
  <c r="G100" i="6" s="1"/>
  <c r="X29" i="7"/>
  <c r="X151" i="6"/>
  <c r="X88" i="6"/>
  <c r="X15" i="7"/>
  <c r="X83" i="6"/>
  <c r="X150" i="7"/>
  <c r="X46" i="7"/>
  <c r="X100" i="6"/>
  <c r="AC100" i="6" s="1"/>
  <c r="X69" i="6"/>
  <c r="AS15" i="4"/>
  <c r="C214" i="5"/>
  <c r="E129" i="5"/>
  <c r="D129" i="5"/>
  <c r="F129" i="5" s="1"/>
  <c r="G129" i="5" s="1"/>
  <c r="C228" i="7"/>
  <c r="D143" i="7"/>
  <c r="F143" i="7" s="1"/>
  <c r="G143" i="7" s="1"/>
  <c r="E143" i="7"/>
  <c r="C214" i="6"/>
  <c r="D129" i="6"/>
  <c r="E129" i="6"/>
  <c r="C224" i="7"/>
  <c r="E139" i="7"/>
  <c r="D139" i="7"/>
  <c r="F139" i="7" s="1"/>
  <c r="G139" i="7" s="1"/>
  <c r="AS140" i="4"/>
  <c r="X135" i="6"/>
  <c r="C217" i="6"/>
  <c r="E132" i="6"/>
  <c r="D132" i="6"/>
  <c r="F132" i="6" s="1"/>
  <c r="G132" i="6" s="1"/>
  <c r="AB129" i="7"/>
  <c r="AC129" i="7"/>
  <c r="C192" i="7"/>
  <c r="E107" i="7"/>
  <c r="D107" i="7"/>
  <c r="C225" i="5"/>
  <c r="D140" i="5"/>
  <c r="E140" i="5"/>
  <c r="AT6" i="4"/>
  <c r="AT87" i="4"/>
  <c r="AT73" i="4"/>
  <c r="AA147" i="5"/>
  <c r="AC147" i="5"/>
  <c r="C196" i="6"/>
  <c r="E111" i="6"/>
  <c r="D111" i="6"/>
  <c r="F111" i="6" s="1"/>
  <c r="G111" i="6" s="1"/>
  <c r="AB145" i="6"/>
  <c r="AC145" i="6"/>
  <c r="C152" i="6"/>
  <c r="E67" i="6"/>
  <c r="D67" i="6"/>
  <c r="F67" i="6" s="1"/>
  <c r="G67" i="6" s="1"/>
  <c r="C178" i="6"/>
  <c r="E93" i="6"/>
  <c r="D93" i="6"/>
  <c r="F93" i="6" s="1"/>
  <c r="G93" i="6" s="1"/>
  <c r="C185" i="7"/>
  <c r="E100" i="7"/>
  <c r="D100" i="7"/>
  <c r="F100" i="7" s="1"/>
  <c r="G100" i="7" s="1"/>
  <c r="C207" i="6"/>
  <c r="D122" i="6"/>
  <c r="E122" i="6"/>
  <c r="AB81" i="6"/>
  <c r="AC81" i="6"/>
  <c r="C162" i="5"/>
  <c r="E77" i="5"/>
  <c r="D77" i="5"/>
  <c r="C221" i="5"/>
  <c r="D136" i="5"/>
  <c r="E136" i="5"/>
  <c r="C222" i="6"/>
  <c r="E137" i="6"/>
  <c r="D137" i="6"/>
  <c r="C186" i="5"/>
  <c r="D101" i="5"/>
  <c r="E101" i="5"/>
  <c r="K88" i="7"/>
  <c r="AP41" i="7"/>
  <c r="C216" i="7"/>
  <c r="D131" i="7"/>
  <c r="E131" i="7"/>
  <c r="C188" i="5"/>
  <c r="E103" i="5"/>
  <c r="D103" i="5"/>
  <c r="F103" i="5" s="1"/>
  <c r="G103" i="5" s="1"/>
  <c r="AS10" i="4"/>
  <c r="C191" i="5"/>
  <c r="E106" i="5"/>
  <c r="D106" i="5"/>
  <c r="F106" i="5" s="1"/>
  <c r="G106" i="5" s="1"/>
  <c r="C213" i="5"/>
  <c r="D128" i="5"/>
  <c r="F128" i="5" s="1"/>
  <c r="G128" i="5" s="1"/>
  <c r="E128" i="5"/>
  <c r="C205" i="7"/>
  <c r="E120" i="7"/>
  <c r="D120" i="7"/>
  <c r="F120" i="7" s="1"/>
  <c r="G120" i="7" s="1"/>
  <c r="C225" i="6"/>
  <c r="D140" i="6"/>
  <c r="F140" i="6" s="1"/>
  <c r="G140" i="6" s="1"/>
  <c r="E140" i="6"/>
  <c r="X97" i="7"/>
  <c r="X41" i="7"/>
  <c r="AD41" i="7" s="1"/>
  <c r="X108" i="5"/>
  <c r="C206" i="5"/>
  <c r="E121" i="5"/>
  <c r="D121" i="5"/>
  <c r="F121" i="5" s="1"/>
  <c r="G121" i="5" s="1"/>
  <c r="AE106" i="7"/>
  <c r="AC106" i="7"/>
  <c r="C153" i="5"/>
  <c r="D68" i="5"/>
  <c r="E68" i="5"/>
  <c r="C202" i="5"/>
  <c r="D117" i="5"/>
  <c r="F117" i="5" s="1"/>
  <c r="G117" i="5" s="1"/>
  <c r="E117" i="5"/>
  <c r="K87" i="7"/>
  <c r="AP40" i="7"/>
  <c r="C224" i="5"/>
  <c r="D139" i="5"/>
  <c r="E139" i="5"/>
  <c r="C215" i="7"/>
  <c r="E130" i="7"/>
  <c r="D130" i="7"/>
  <c r="F130" i="7" s="1"/>
  <c r="G130" i="7" s="1"/>
  <c r="C189" i="7"/>
  <c r="D104" i="7"/>
  <c r="E104" i="7"/>
  <c r="C174" i="6"/>
  <c r="E89" i="6"/>
  <c r="D89" i="6"/>
  <c r="AT70" i="4"/>
  <c r="AT126" i="4"/>
  <c r="AT122" i="4"/>
  <c r="X121" i="7"/>
  <c r="AC121" i="7" s="1"/>
  <c r="AE106" i="5"/>
  <c r="AC106" i="5"/>
  <c r="X124" i="7"/>
  <c r="C163" i="6"/>
  <c r="E78" i="6"/>
  <c r="D78" i="6"/>
  <c r="F78" i="6" s="1"/>
  <c r="G78" i="6" s="1"/>
  <c r="C153" i="6"/>
  <c r="E68" i="6"/>
  <c r="D68" i="6"/>
  <c r="F68" i="6" s="1"/>
  <c r="G68" i="6" s="1"/>
  <c r="X126" i="5"/>
  <c r="C193" i="7"/>
  <c r="E108" i="7"/>
  <c r="D108" i="7"/>
  <c r="F108" i="7" s="1"/>
  <c r="G108" i="7" s="1"/>
  <c r="C162" i="6"/>
  <c r="D77" i="6"/>
  <c r="F77" i="6" s="1"/>
  <c r="G77" i="6" s="1"/>
  <c r="E77" i="6"/>
  <c r="C170" i="5"/>
  <c r="E85" i="5"/>
  <c r="D85" i="5"/>
  <c r="F85" i="5" s="1"/>
  <c r="G85" i="5" s="1"/>
  <c r="C204" i="5"/>
  <c r="E119" i="5"/>
  <c r="D119" i="5"/>
  <c r="F119" i="5" s="1"/>
  <c r="G119" i="5" s="1"/>
  <c r="X139" i="6"/>
  <c r="AE53" i="7"/>
  <c r="Y53" i="7"/>
  <c r="AC53" i="7"/>
  <c r="X143" i="7"/>
  <c r="C194" i="7"/>
  <c r="D109" i="7"/>
  <c r="F109" i="7" s="1"/>
  <c r="G109" i="7" s="1"/>
  <c r="E109" i="7"/>
  <c r="C204" i="6"/>
  <c r="E119" i="6"/>
  <c r="D119" i="6"/>
  <c r="F119" i="6" s="1"/>
  <c r="G119" i="6" s="1"/>
  <c r="C164" i="6"/>
  <c r="D79" i="6"/>
  <c r="E79" i="6"/>
  <c r="X28" i="7"/>
  <c r="X62" i="6"/>
  <c r="X74" i="7"/>
  <c r="C168" i="7"/>
  <c r="D83" i="7"/>
  <c r="F83" i="7" s="1"/>
  <c r="G83" i="7" s="1"/>
  <c r="E83" i="7"/>
  <c r="C157" i="7"/>
  <c r="E72" i="7"/>
  <c r="D72" i="7"/>
  <c r="F72" i="7" s="1"/>
  <c r="G72" i="7" s="1"/>
  <c r="AS61" i="4"/>
  <c r="X87" i="6"/>
  <c r="X144" i="7"/>
  <c r="X149" i="7"/>
  <c r="C165" i="5"/>
  <c r="E80" i="5"/>
  <c r="D80" i="5"/>
  <c r="AS149" i="4"/>
  <c r="AE128" i="7"/>
  <c r="AC128" i="7"/>
  <c r="C209" i="5"/>
  <c r="D124" i="5"/>
  <c r="E124" i="5"/>
  <c r="AS21" i="4"/>
  <c r="C160" i="6"/>
  <c r="E75" i="6"/>
  <c r="D75" i="6"/>
  <c r="F75" i="6" s="1"/>
  <c r="G75" i="6" s="1"/>
  <c r="C201" i="6"/>
  <c r="E116" i="6"/>
  <c r="D116" i="6"/>
  <c r="F116" i="6" s="1"/>
  <c r="G116" i="6" s="1"/>
  <c r="X110" i="7"/>
  <c r="AD110" i="7" s="1"/>
  <c r="C183" i="6"/>
  <c r="E98" i="6"/>
  <c r="D98" i="6"/>
  <c r="F98" i="6" s="1"/>
  <c r="G98" i="6" s="1"/>
  <c r="AS87" i="4"/>
  <c r="AB129" i="6"/>
  <c r="AC129" i="6"/>
  <c r="AE115" i="5"/>
  <c r="AC115" i="5"/>
  <c r="X130" i="7"/>
  <c r="C164" i="7"/>
  <c r="E79" i="7"/>
  <c r="D79" i="7"/>
  <c r="F79" i="7" s="1"/>
  <c r="G79" i="7" s="1"/>
  <c r="C66" i="7"/>
  <c r="C151" i="7" s="1"/>
  <c r="C7" i="7"/>
  <c r="X140" i="6"/>
  <c r="AC140" i="6" s="1"/>
  <c r="AS117" i="4"/>
  <c r="AS129" i="4"/>
  <c r="C219" i="7"/>
  <c r="E134" i="7"/>
  <c r="D134" i="7"/>
  <c r="C221" i="7"/>
  <c r="E136" i="7"/>
  <c r="D136" i="7"/>
  <c r="F136" i="7" s="1"/>
  <c r="G136" i="7" s="1"/>
  <c r="AA99" i="6"/>
  <c r="AC99" i="6"/>
  <c r="AS44" i="4"/>
  <c r="AB105" i="6"/>
  <c r="AC105" i="6"/>
  <c r="Z73" i="7"/>
  <c r="Y73" i="7"/>
  <c r="AC73" i="7"/>
  <c r="Z76" i="6"/>
  <c r="AD76" i="6"/>
  <c r="AE134" i="5"/>
  <c r="AC134" i="5"/>
  <c r="C184" i="5"/>
  <c r="D99" i="5"/>
  <c r="E99" i="5"/>
  <c r="AT38" i="4"/>
  <c r="AT27" i="4"/>
  <c r="AT147" i="4"/>
  <c r="AT85" i="4"/>
  <c r="AT77" i="4"/>
  <c r="AT136" i="4"/>
  <c r="AB85" i="7"/>
  <c r="AC85" i="7"/>
  <c r="C211" i="5"/>
  <c r="E126" i="5"/>
  <c r="D126" i="5"/>
  <c r="F126" i="5" s="1"/>
  <c r="G126" i="5" s="1"/>
  <c r="C218" i="7"/>
  <c r="E133" i="7"/>
  <c r="D133" i="7"/>
  <c r="F133" i="7" s="1"/>
  <c r="G133" i="7" s="1"/>
  <c r="Z34" i="7"/>
  <c r="AD34" i="7"/>
  <c r="AF87" i="7"/>
  <c r="AB87" i="7"/>
  <c r="AD87" i="7"/>
  <c r="C228" i="5"/>
  <c r="E143" i="5"/>
  <c r="D143" i="5"/>
  <c r="C217" i="7"/>
  <c r="E132" i="7"/>
  <c r="D132" i="7"/>
  <c r="F132" i="7" s="1"/>
  <c r="G132" i="7" s="1"/>
  <c r="C205" i="5"/>
  <c r="E120" i="5"/>
  <c r="D120" i="5"/>
  <c r="F120" i="5" s="1"/>
  <c r="G120" i="5" s="1"/>
  <c r="X61" i="7"/>
  <c r="C211" i="7"/>
  <c r="E126" i="7"/>
  <c r="D126" i="7"/>
  <c r="C194" i="6"/>
  <c r="E109" i="6"/>
  <c r="D109" i="6"/>
  <c r="F109" i="6" s="1"/>
  <c r="G109" i="6" s="1"/>
  <c r="X113" i="7"/>
  <c r="C223" i="5"/>
  <c r="E138" i="5"/>
  <c r="D138" i="5"/>
  <c r="F138" i="5" s="1"/>
  <c r="G138" i="5" s="1"/>
  <c r="AT39" i="4"/>
  <c r="AT36" i="4"/>
  <c r="AT82" i="4"/>
  <c r="AT108" i="4"/>
  <c r="C167" i="6"/>
  <c r="D82" i="6"/>
  <c r="E82" i="6"/>
  <c r="X100" i="7"/>
  <c r="AC100" i="7" s="1"/>
  <c r="C167" i="7"/>
  <c r="D82" i="7"/>
  <c r="E82" i="7"/>
  <c r="X55" i="6"/>
  <c r="AC55" i="6" s="1"/>
  <c r="AE134" i="6"/>
  <c r="AC134" i="6"/>
  <c r="X123" i="5"/>
  <c r="C182" i="5"/>
  <c r="E97" i="5"/>
  <c r="D97" i="5"/>
  <c r="X75" i="7"/>
  <c r="X27" i="6"/>
  <c r="AE128" i="6"/>
  <c r="AC128" i="6"/>
  <c r="AE122" i="7"/>
  <c r="AC122" i="7"/>
  <c r="C185" i="5"/>
  <c r="E100" i="5"/>
  <c r="D100" i="5"/>
  <c r="F100" i="5" s="1"/>
  <c r="G100" i="5" s="1"/>
  <c r="X51" i="6"/>
  <c r="X17" i="7"/>
  <c r="AC17" i="7" s="1"/>
  <c r="AS78" i="4"/>
  <c r="X119" i="7"/>
  <c r="AC119" i="7" s="1"/>
  <c r="C225" i="7"/>
  <c r="D140" i="7"/>
  <c r="E140" i="7"/>
  <c r="AS24" i="4"/>
  <c r="C169" i="7"/>
  <c r="E84" i="7"/>
  <c r="D84" i="7"/>
  <c r="F84" i="7" s="1"/>
  <c r="G84" i="7" s="1"/>
  <c r="C158" i="7"/>
  <c r="D73" i="7"/>
  <c r="F73" i="7" s="1"/>
  <c r="G73" i="7" s="1"/>
  <c r="E73" i="7"/>
  <c r="C169" i="5"/>
  <c r="E84" i="5"/>
  <c r="D84" i="5"/>
  <c r="F84" i="5" s="1"/>
  <c r="G84" i="5" s="1"/>
  <c r="C158" i="5"/>
  <c r="E73" i="5"/>
  <c r="D73" i="5"/>
  <c r="F73" i="5" s="1"/>
  <c r="G73" i="5" s="1"/>
  <c r="AA99" i="5"/>
  <c r="AC99" i="5"/>
  <c r="AE49" i="6"/>
  <c r="Y49" i="6"/>
  <c r="AC49" i="6"/>
  <c r="AS70" i="4"/>
  <c r="C209" i="6"/>
  <c r="D124" i="6"/>
  <c r="E124" i="6"/>
  <c r="C210" i="6"/>
  <c r="E125" i="6"/>
  <c r="D125" i="6"/>
  <c r="F125" i="6" s="1"/>
  <c r="G125" i="6" s="1"/>
  <c r="C205" i="6"/>
  <c r="D120" i="6"/>
  <c r="E120" i="6"/>
  <c r="C216" i="5"/>
  <c r="E131" i="5"/>
  <c r="D131" i="5"/>
  <c r="F131" i="5" s="1"/>
  <c r="G131" i="5" s="1"/>
  <c r="C203" i="7"/>
  <c r="E118" i="7"/>
  <c r="D118" i="7"/>
  <c r="F118" i="7" s="1"/>
  <c r="G118" i="7" s="1"/>
  <c r="X12" i="7"/>
  <c r="C164" i="5"/>
  <c r="E79" i="5"/>
  <c r="D79" i="5"/>
  <c r="F79" i="5" s="1"/>
  <c r="G79" i="5" s="1"/>
  <c r="X73" i="6"/>
  <c r="X38" i="6"/>
  <c r="AC38" i="6" s="1"/>
  <c r="AS81" i="4"/>
  <c r="AS130" i="4"/>
  <c r="AS71" i="4"/>
  <c r="C176" i="6"/>
  <c r="D91" i="6"/>
  <c r="E91" i="6"/>
  <c r="C199" i="6"/>
  <c r="D114" i="6"/>
  <c r="F114" i="6" s="1"/>
  <c r="G114" i="6" s="1"/>
  <c r="E114" i="6"/>
  <c r="AB83" i="7"/>
  <c r="AC83" i="7"/>
  <c r="AT114" i="4"/>
  <c r="C224" i="6"/>
  <c r="E139" i="6"/>
  <c r="D139" i="6"/>
  <c r="F139" i="6" s="1"/>
  <c r="G139" i="6" s="1"/>
  <c r="C161" i="5"/>
  <c r="E76" i="5"/>
  <c r="D76" i="5"/>
  <c r="X34" i="6"/>
  <c r="C182" i="6"/>
  <c r="E97" i="6"/>
  <c r="D97" i="6"/>
  <c r="F97" i="6" s="1"/>
  <c r="G97" i="6" s="1"/>
  <c r="C175" i="6"/>
  <c r="E90" i="6"/>
  <c r="D90" i="6"/>
  <c r="F90" i="6" s="1"/>
  <c r="G90" i="6" s="1"/>
  <c r="C175" i="5"/>
  <c r="E90" i="5"/>
  <c r="D90" i="5"/>
  <c r="F90" i="5" s="1"/>
  <c r="G90" i="5" s="1"/>
  <c r="X92" i="7"/>
  <c r="AC92" i="7" s="1"/>
  <c r="X35" i="7"/>
  <c r="AC35" i="7" s="1"/>
  <c r="X118" i="5"/>
  <c r="AC118" i="5" s="1"/>
  <c r="AB129" i="5"/>
  <c r="AC129" i="5"/>
  <c r="C159" i="7"/>
  <c r="D74" i="7"/>
  <c r="E74" i="7"/>
  <c r="C189" i="5"/>
  <c r="E104" i="5"/>
  <c r="D104" i="5"/>
  <c r="F104" i="5" s="1"/>
  <c r="G104" i="5" s="1"/>
  <c r="X125" i="7"/>
  <c r="C186" i="6"/>
  <c r="E101" i="6"/>
  <c r="D101" i="6"/>
  <c r="O148" i="4"/>
  <c r="O149" i="4"/>
  <c r="O152" i="4"/>
  <c r="AT152" i="4" s="1"/>
  <c r="O150" i="4"/>
  <c r="O141" i="4"/>
  <c r="O128" i="4"/>
  <c r="O112" i="4"/>
  <c r="O153" i="4"/>
  <c r="O143" i="4"/>
  <c r="AT143" i="4" s="1"/>
  <c r="O139" i="4"/>
  <c r="O123" i="4"/>
  <c r="AT123" i="4" s="1"/>
  <c r="O107" i="4"/>
  <c r="O134" i="4"/>
  <c r="AT134" i="4" s="1"/>
  <c r="O118" i="4"/>
  <c r="AT118" i="4" s="1"/>
  <c r="O102" i="4"/>
  <c r="AT102" i="4" s="1"/>
  <c r="O124" i="4"/>
  <c r="O108" i="4"/>
  <c r="O147" i="4"/>
  <c r="O135" i="4"/>
  <c r="O145" i="4"/>
  <c r="O136" i="4"/>
  <c r="O120" i="4"/>
  <c r="O104" i="4"/>
  <c r="AT104" i="4" s="1"/>
  <c r="O127" i="4"/>
  <c r="AT127" i="4" s="1"/>
  <c r="O131" i="4"/>
  <c r="AT131" i="4" s="1"/>
  <c r="O130" i="4"/>
  <c r="AT130" i="4" s="1"/>
  <c r="O129" i="4"/>
  <c r="AT129" i="4" s="1"/>
  <c r="O106" i="4"/>
  <c r="AT106" i="4" s="1"/>
  <c r="O144" i="4"/>
  <c r="AT144" i="4" s="1"/>
  <c r="O109" i="4"/>
  <c r="AT109" i="4" s="1"/>
  <c r="O151" i="4"/>
  <c r="AT151" i="4" s="1"/>
  <c r="O132" i="4"/>
  <c r="O133" i="4"/>
  <c r="O146" i="4"/>
  <c r="AT146" i="4" s="1"/>
  <c r="O117" i="4"/>
  <c r="AT117" i="4" s="1"/>
  <c r="O83" i="4"/>
  <c r="O68" i="4"/>
  <c r="AT68" i="4" s="1"/>
  <c r="O121" i="4"/>
  <c r="AT121" i="4" s="1"/>
  <c r="O119" i="4"/>
  <c r="O115" i="4"/>
  <c r="AT115" i="4" s="1"/>
  <c r="O111" i="4"/>
  <c r="O94" i="4"/>
  <c r="O78" i="4"/>
  <c r="AT78" i="4" s="1"/>
  <c r="O63" i="4"/>
  <c r="AT63" i="4" s="1"/>
  <c r="O142" i="4"/>
  <c r="O113" i="4"/>
  <c r="AT113" i="4" s="1"/>
  <c r="O89" i="4"/>
  <c r="AT89" i="4" s="1"/>
  <c r="O74" i="4"/>
  <c r="AT74" i="4" s="1"/>
  <c r="O137" i="4"/>
  <c r="O84" i="4"/>
  <c r="O69" i="4"/>
  <c r="AT69" i="4" s="1"/>
  <c r="O99" i="4"/>
  <c r="AT99" i="4" s="1"/>
  <c r="O98" i="4"/>
  <c r="AT98" i="4" s="1"/>
  <c r="O95" i="4"/>
  <c r="O126" i="4"/>
  <c r="O103" i="4"/>
  <c r="O100" i="4"/>
  <c r="AT100" i="4" s="1"/>
  <c r="O90" i="4"/>
  <c r="AT90" i="4" s="1"/>
  <c r="O138" i="4"/>
  <c r="AT138" i="4" s="1"/>
  <c r="O110" i="4"/>
  <c r="AT110" i="4" s="1"/>
  <c r="O91" i="4"/>
  <c r="AT91" i="4" s="1"/>
  <c r="O75" i="4"/>
  <c r="AT75" i="4" s="1"/>
  <c r="O80" i="4"/>
  <c r="AT80" i="4" s="1"/>
  <c r="O54" i="4"/>
  <c r="O122" i="4"/>
  <c r="O81" i="4"/>
  <c r="O64" i="4"/>
  <c r="O49" i="4"/>
  <c r="O114" i="4"/>
  <c r="O82" i="4"/>
  <c r="O65" i="4"/>
  <c r="O60" i="4"/>
  <c r="AT60" i="4" s="1"/>
  <c r="O44" i="4"/>
  <c r="AT44" i="4" s="1"/>
  <c r="O105" i="4"/>
  <c r="AT105" i="4" s="1"/>
  <c r="O85" i="4"/>
  <c r="O66" i="4"/>
  <c r="O55" i="4"/>
  <c r="AT55" i="4" s="1"/>
  <c r="O97" i="4"/>
  <c r="AT97" i="4" s="1"/>
  <c r="O86" i="4"/>
  <c r="AT86" i="4" s="1"/>
  <c r="O92" i="4"/>
  <c r="O116" i="4"/>
  <c r="O140" i="4"/>
  <c r="O125" i="4"/>
  <c r="O72" i="4"/>
  <c r="AT72" i="4" s="1"/>
  <c r="O62" i="4"/>
  <c r="O46" i="4"/>
  <c r="O52" i="4"/>
  <c r="O101" i="4"/>
  <c r="AT101" i="4" s="1"/>
  <c r="O53" i="4"/>
  <c r="AT53" i="4" s="1"/>
  <c r="O36" i="4"/>
  <c r="O20" i="4"/>
  <c r="AT20" i="4" s="1"/>
  <c r="O79" i="4"/>
  <c r="AT79" i="4" s="1"/>
  <c r="O76" i="4"/>
  <c r="AT76" i="4" s="1"/>
  <c r="O56" i="4"/>
  <c r="AT56" i="4" s="1"/>
  <c r="O31" i="4"/>
  <c r="AT31" i="4" s="1"/>
  <c r="O15" i="4"/>
  <c r="AT15" i="4" s="1"/>
  <c r="O93" i="4"/>
  <c r="AT93" i="4" s="1"/>
  <c r="O57" i="4"/>
  <c r="AT57" i="4" s="1"/>
  <c r="O26" i="4"/>
  <c r="AT26" i="4" s="1"/>
  <c r="O87" i="4"/>
  <c r="O73" i="4"/>
  <c r="O70" i="4"/>
  <c r="O37" i="4"/>
  <c r="O67" i="4"/>
  <c r="O58" i="4"/>
  <c r="AT58" i="4" s="1"/>
  <c r="O32" i="4"/>
  <c r="O16" i="4"/>
  <c r="AT16" i="4" s="1"/>
  <c r="O61" i="4"/>
  <c r="AT61" i="4" s="1"/>
  <c r="O40" i="4"/>
  <c r="AT40" i="4" s="1"/>
  <c r="O59" i="4"/>
  <c r="AT59" i="4" s="1"/>
  <c r="O41" i="4"/>
  <c r="AT41" i="4" s="1"/>
  <c r="O38" i="4"/>
  <c r="O33" i="4"/>
  <c r="O17" i="4"/>
  <c r="O47" i="4"/>
  <c r="O29" i="4"/>
  <c r="O9" i="4"/>
  <c r="O71" i="4"/>
  <c r="O96" i="4"/>
  <c r="O42" i="4"/>
  <c r="AT42" i="4" s="1"/>
  <c r="O30" i="4"/>
  <c r="O8" i="4"/>
  <c r="O10" i="4"/>
  <c r="AT10" i="4" s="1"/>
  <c r="O88" i="4"/>
  <c r="AT88" i="4" s="1"/>
  <c r="O48" i="4"/>
  <c r="AT48" i="4" s="1"/>
  <c r="O34" i="4"/>
  <c r="AT34" i="4" s="1"/>
  <c r="O35" i="4"/>
  <c r="AT35" i="4" s="1"/>
  <c r="O11" i="4"/>
  <c r="O43" i="4"/>
  <c r="O18" i="4"/>
  <c r="O50" i="4"/>
  <c r="O45" i="4"/>
  <c r="AT45" i="4" s="1"/>
  <c r="O19" i="4"/>
  <c r="O39" i="4"/>
  <c r="O77" i="4"/>
  <c r="O51" i="4"/>
  <c r="AT51" i="4" s="1"/>
  <c r="O27" i="4"/>
  <c r="O28" i="4"/>
  <c r="AT28" i="4" s="1"/>
  <c r="O24" i="4"/>
  <c r="AT24" i="4" s="1"/>
  <c r="O13" i="4"/>
  <c r="O21" i="4"/>
  <c r="AT21" i="4" s="1"/>
  <c r="O14" i="4"/>
  <c r="AT14" i="4" s="1"/>
  <c r="O7" i="4"/>
  <c r="AD7" i="4" s="1"/>
  <c r="O25" i="4"/>
  <c r="O22" i="4"/>
  <c r="O12" i="4"/>
  <c r="O23" i="4"/>
  <c r="O6" i="4"/>
  <c r="C192" i="6"/>
  <c r="E107" i="6"/>
  <c r="D107" i="6"/>
  <c r="F107" i="6" s="1"/>
  <c r="G107" i="6" s="1"/>
  <c r="K86" i="7"/>
  <c r="AP38" i="7"/>
  <c r="C169" i="6"/>
  <c r="E84" i="6"/>
  <c r="D84" i="6"/>
  <c r="F84" i="6" s="1"/>
  <c r="G84" i="6" s="1"/>
  <c r="C199" i="5"/>
  <c r="E114" i="5"/>
  <c r="D114" i="5"/>
  <c r="F114" i="5" s="1"/>
  <c r="G114" i="5" s="1"/>
  <c r="C208" i="7"/>
  <c r="D123" i="7"/>
  <c r="F123" i="7" s="1"/>
  <c r="G123" i="7" s="1"/>
  <c r="E123" i="7"/>
  <c r="C201" i="5"/>
  <c r="E116" i="5"/>
  <c r="D116" i="5"/>
  <c r="F116" i="5" s="1"/>
  <c r="G116" i="5" s="1"/>
  <c r="AA98" i="6"/>
  <c r="AF98" i="6"/>
  <c r="AD98" i="6"/>
  <c r="Y71" i="5"/>
  <c r="AC71" i="5"/>
  <c r="AT92" i="4"/>
  <c r="AT84" i="4"/>
  <c r="AT150" i="4"/>
  <c r="C179" i="6"/>
  <c r="E94" i="6"/>
  <c r="D94" i="6"/>
  <c r="F94" i="6" s="1"/>
  <c r="G94" i="6" s="1"/>
  <c r="AE127" i="6"/>
  <c r="AC127" i="6"/>
  <c r="C221" i="6"/>
  <c r="E136" i="6"/>
  <c r="D136" i="6"/>
  <c r="F136" i="6" s="1"/>
  <c r="G136" i="6" s="1"/>
  <c r="AA126" i="6"/>
  <c r="AF126" i="6"/>
  <c r="AD126" i="6"/>
  <c r="C177" i="6"/>
  <c r="E92" i="6"/>
  <c r="D92" i="6"/>
  <c r="F92" i="6" s="1"/>
  <c r="G92" i="6" s="1"/>
  <c r="C184" i="7"/>
  <c r="D99" i="7"/>
  <c r="E99" i="7"/>
  <c r="C215" i="5"/>
  <c r="E130" i="5"/>
  <c r="D130" i="5"/>
  <c r="F130" i="5" s="1"/>
  <c r="G130" i="5" s="1"/>
  <c r="X125" i="6"/>
  <c r="C167" i="5"/>
  <c r="E82" i="5"/>
  <c r="D82" i="5"/>
  <c r="F82" i="5" s="1"/>
  <c r="G82" i="5" s="1"/>
  <c r="AT120" i="4"/>
  <c r="AT149" i="4"/>
  <c r="X25" i="7"/>
  <c r="Y66" i="6"/>
  <c r="AC66" i="6"/>
  <c r="C155" i="6"/>
  <c r="E70" i="6"/>
  <c r="D70" i="6"/>
  <c r="F70" i="6" s="1"/>
  <c r="G70" i="6" s="1"/>
  <c r="C220" i="6"/>
  <c r="D135" i="6"/>
  <c r="F135" i="6" s="1"/>
  <c r="G135" i="6" s="1"/>
  <c r="E135" i="6"/>
  <c r="C219" i="6"/>
  <c r="E134" i="6"/>
  <c r="D134" i="6"/>
  <c r="F134" i="6" s="1"/>
  <c r="G134" i="6" s="1"/>
  <c r="C223" i="7"/>
  <c r="E138" i="7"/>
  <c r="D138" i="7"/>
  <c r="F138" i="7" s="1"/>
  <c r="G138" i="7" s="1"/>
  <c r="X113" i="5"/>
  <c r="X79" i="6"/>
  <c r="AB107" i="6"/>
  <c r="AC107" i="6"/>
  <c r="C217" i="5"/>
  <c r="E132" i="5"/>
  <c r="D132" i="5"/>
  <c r="F132" i="5" s="1"/>
  <c r="G132" i="5" s="1"/>
  <c r="X31" i="7"/>
  <c r="X111" i="5"/>
  <c r="AC111" i="5" s="1"/>
  <c r="C190" i="5"/>
  <c r="D105" i="5"/>
  <c r="E105" i="5"/>
  <c r="X79" i="7"/>
  <c r="X11" i="7"/>
  <c r="C194" i="5"/>
  <c r="E109" i="5"/>
  <c r="D109" i="5"/>
  <c r="F109" i="5" s="1"/>
  <c r="G109" i="5" s="1"/>
  <c r="AS107" i="4"/>
  <c r="AT23" i="4"/>
  <c r="AT18" i="4"/>
  <c r="AT124" i="4"/>
  <c r="AT125" i="4"/>
  <c r="AT49" i="4"/>
  <c r="AT145" i="4"/>
  <c r="C214" i="7"/>
  <c r="E129" i="7"/>
  <c r="D129" i="7"/>
  <c r="F129" i="7" s="1"/>
  <c r="G129" i="7" s="1"/>
  <c r="C163" i="7"/>
  <c r="E78" i="7"/>
  <c r="D78" i="7"/>
  <c r="X25" i="6"/>
  <c r="X144" i="5"/>
  <c r="X90" i="7"/>
  <c r="X48" i="6"/>
  <c r="C187" i="6"/>
  <c r="E102" i="6"/>
  <c r="D102" i="6"/>
  <c r="F102" i="6" s="1"/>
  <c r="G102" i="6" s="1"/>
  <c r="X123" i="6"/>
  <c r="C188" i="7"/>
  <c r="E103" i="7"/>
  <c r="D103" i="7"/>
  <c r="F103" i="7" s="1"/>
  <c r="G103" i="7" s="1"/>
  <c r="X52" i="6"/>
  <c r="C173" i="7"/>
  <c r="D88" i="7"/>
  <c r="E88" i="7"/>
  <c r="C196" i="5"/>
  <c r="E111" i="5"/>
  <c r="D111" i="5"/>
  <c r="X39" i="6"/>
  <c r="AD39" i="6" s="1"/>
  <c r="X104" i="5"/>
  <c r="AC104" i="5" s="1"/>
  <c r="AS103" i="4"/>
  <c r="C222" i="5"/>
  <c r="E137" i="5"/>
  <c r="D137" i="5"/>
  <c r="F137" i="5" s="1"/>
  <c r="G137" i="5" s="1"/>
  <c r="Y57" i="6"/>
  <c r="AC57" i="6"/>
  <c r="AS27" i="4"/>
  <c r="X102" i="6"/>
  <c r="X18" i="6"/>
  <c r="C202" i="7"/>
  <c r="E117" i="7"/>
  <c r="D117" i="7"/>
  <c r="X27" i="7"/>
  <c r="C179" i="7"/>
  <c r="E94" i="7"/>
  <c r="D94" i="7"/>
  <c r="F94" i="7" s="1"/>
  <c r="G94" i="7" s="1"/>
  <c r="X72" i="7"/>
  <c r="AS68" i="4"/>
  <c r="C154" i="6"/>
  <c r="E69" i="6"/>
  <c r="D69" i="6"/>
  <c r="F69" i="6" s="1"/>
  <c r="G69" i="6" s="1"/>
  <c r="AS69" i="4"/>
  <c r="C198" i="5"/>
  <c r="E113" i="5"/>
  <c r="D113" i="5"/>
  <c r="F113" i="5" s="1"/>
  <c r="G113" i="5" s="1"/>
  <c r="C161" i="7"/>
  <c r="E76" i="7"/>
  <c r="D76" i="7"/>
  <c r="F76" i="7" s="1"/>
  <c r="G76" i="7" s="1"/>
  <c r="AS98" i="4"/>
  <c r="X21" i="6"/>
  <c r="C177" i="7"/>
  <c r="D92" i="7"/>
  <c r="E92" i="7"/>
  <c r="C173" i="6"/>
  <c r="E88" i="6"/>
  <c r="D88" i="6"/>
  <c r="F88" i="6" s="1"/>
  <c r="G88" i="6" s="1"/>
  <c r="C193" i="6"/>
  <c r="E108" i="6"/>
  <c r="D108" i="6"/>
  <c r="F108" i="6" s="1"/>
  <c r="G108" i="6" s="1"/>
  <c r="AB138" i="7"/>
  <c r="AC138" i="7"/>
  <c r="AT62" i="4"/>
  <c r="AT107" i="4"/>
  <c r="Y58" i="6"/>
  <c r="AD58" i="6"/>
  <c r="Z15" i="6"/>
  <c r="AC15" i="6"/>
  <c r="C176" i="7"/>
  <c r="E91" i="7"/>
  <c r="D91" i="7"/>
  <c r="F91" i="7" s="1"/>
  <c r="G91" i="7" s="1"/>
  <c r="C198" i="6"/>
  <c r="E113" i="6"/>
  <c r="D113" i="6"/>
  <c r="F113" i="6" s="1"/>
  <c r="G113" i="6" s="1"/>
  <c r="C165" i="7"/>
  <c r="E80" i="7"/>
  <c r="D80" i="7"/>
  <c r="F80" i="7" s="1"/>
  <c r="G80" i="7" s="1"/>
  <c r="C199" i="7"/>
  <c r="D114" i="7"/>
  <c r="F114" i="7" s="1"/>
  <c r="G114" i="7" s="1"/>
  <c r="E114" i="7"/>
  <c r="AT12" i="4"/>
  <c r="AT9" i="4"/>
  <c r="AT25" i="4"/>
  <c r="AT64" i="4"/>
  <c r="AT116" i="4"/>
  <c r="AT148" i="4"/>
  <c r="C227" i="6"/>
  <c r="E142" i="6"/>
  <c r="D142" i="6"/>
  <c r="F142" i="6" s="1"/>
  <c r="G142" i="6" s="1"/>
  <c r="C175" i="7"/>
  <c r="E90" i="7"/>
  <c r="D90" i="7"/>
  <c r="C227" i="5"/>
  <c r="E142" i="5"/>
  <c r="D142" i="5"/>
  <c r="F142" i="5" s="1"/>
  <c r="G142" i="5" s="1"/>
  <c r="AA147" i="6"/>
  <c r="AC147" i="6"/>
  <c r="C183" i="7"/>
  <c r="E98" i="7"/>
  <c r="D98" i="7"/>
  <c r="F98" i="7" s="1"/>
  <c r="G98" i="7" s="1"/>
  <c r="AB107" i="7"/>
  <c r="AC107" i="7"/>
  <c r="C170" i="6"/>
  <c r="E85" i="6"/>
  <c r="D85" i="6"/>
  <c r="F85" i="6" s="1"/>
  <c r="G85" i="6" s="1"/>
  <c r="AA117" i="6"/>
  <c r="AF117" i="6"/>
  <c r="AD117" i="6"/>
  <c r="C181" i="6"/>
  <c r="D96" i="6"/>
  <c r="E96" i="6"/>
  <c r="AF80" i="7"/>
  <c r="AB80" i="7"/>
  <c r="AD80" i="7"/>
  <c r="C157" i="6"/>
  <c r="E72" i="6"/>
  <c r="D72" i="6"/>
  <c r="C162" i="7"/>
  <c r="E77" i="7"/>
  <c r="D77" i="7"/>
  <c r="F77" i="7" s="1"/>
  <c r="G77" i="7" s="1"/>
  <c r="AS56" i="4"/>
  <c r="AS128" i="4"/>
  <c r="AA141" i="6"/>
  <c r="AF141" i="6"/>
  <c r="AD141" i="6"/>
  <c r="AE132" i="6"/>
  <c r="AC132" i="6"/>
  <c r="C159" i="5"/>
  <c r="E74" i="5"/>
  <c r="D74" i="5"/>
  <c r="F74" i="5" s="1"/>
  <c r="G74" i="5" s="1"/>
  <c r="C191" i="7"/>
  <c r="E106" i="7"/>
  <c r="D106" i="7"/>
  <c r="AS74" i="4"/>
  <c r="AS18" i="4"/>
  <c r="C195" i="6"/>
  <c r="E110" i="6"/>
  <c r="D110" i="6"/>
  <c r="F110" i="6" s="1"/>
  <c r="G110" i="6" s="1"/>
  <c r="AB105" i="5"/>
  <c r="AC105" i="5"/>
  <c r="AS143" i="4"/>
  <c r="C172" i="6"/>
  <c r="E87" i="6"/>
  <c r="D87" i="6"/>
  <c r="F87" i="6" s="1"/>
  <c r="G87" i="6" s="1"/>
  <c r="Y59" i="7"/>
  <c r="AD59" i="7"/>
  <c r="AT96" i="4"/>
  <c r="C166" i="5"/>
  <c r="E81" i="5"/>
  <c r="D81" i="5"/>
  <c r="F81" i="5" s="1"/>
  <c r="G81" i="5" s="1"/>
  <c r="AF131" i="7"/>
  <c r="AA131" i="7"/>
  <c r="AD131" i="7"/>
  <c r="K84" i="7"/>
  <c r="AP33" i="7"/>
  <c r="Z20" i="7"/>
  <c r="AC20" i="7"/>
  <c r="AE122" i="5"/>
  <c r="AC122" i="5"/>
  <c r="C213" i="7"/>
  <c r="D128" i="7"/>
  <c r="E128" i="7"/>
  <c r="X138" i="6"/>
  <c r="C152" i="7"/>
  <c r="E67" i="7"/>
  <c r="D67" i="7"/>
  <c r="X41" i="6"/>
  <c r="AD41" i="6" s="1"/>
  <c r="AT11" i="4"/>
  <c r="AT29" i="4"/>
  <c r="AT52" i="4"/>
  <c r="AT65" i="4"/>
  <c r="AT94" i="4"/>
  <c r="AT137" i="4"/>
  <c r="AT153" i="4"/>
  <c r="X152" i="6"/>
  <c r="Y48" i="7"/>
  <c r="AD48" i="7"/>
  <c r="X131" i="6"/>
  <c r="C168" i="6"/>
  <c r="E83" i="6"/>
  <c r="D83" i="6"/>
  <c r="X130" i="6"/>
  <c r="Y66" i="5"/>
  <c r="AC66" i="5"/>
  <c r="X13" i="7"/>
  <c r="AC13" i="7" s="1"/>
  <c r="C166" i="6"/>
  <c r="E81" i="6"/>
  <c r="D81" i="6"/>
  <c r="F81" i="6" s="1"/>
  <c r="G81" i="6" s="1"/>
  <c r="Y53" i="6"/>
  <c r="AE53" i="6"/>
  <c r="AC53" i="6"/>
  <c r="C200" i="5"/>
  <c r="E115" i="5"/>
  <c r="D115" i="5"/>
  <c r="F115" i="5" s="1"/>
  <c r="G115" i="5" s="1"/>
  <c r="C226" i="5"/>
  <c r="D141" i="5"/>
  <c r="E141" i="5"/>
  <c r="C200" i="7"/>
  <c r="D115" i="7"/>
  <c r="E115" i="7"/>
  <c r="X123" i="7"/>
  <c r="C157" i="5"/>
  <c r="E72" i="5"/>
  <c r="D72" i="5"/>
  <c r="F72" i="5" s="1"/>
  <c r="G72" i="5" s="1"/>
  <c r="X20" i="6"/>
  <c r="X88" i="7"/>
  <c r="AS48" i="4"/>
  <c r="C158" i="6"/>
  <c r="E73" i="6"/>
  <c r="D73" i="6"/>
  <c r="F73" i="6" s="1"/>
  <c r="G73" i="6" s="1"/>
  <c r="C156" i="7"/>
  <c r="E71" i="7"/>
  <c r="D71" i="7"/>
  <c r="F71" i="7" s="1"/>
  <c r="G71" i="7" s="1"/>
  <c r="AS42" i="4"/>
  <c r="X94" i="6"/>
  <c r="AC94" i="6" s="1"/>
  <c r="C165" i="6"/>
  <c r="E80" i="6"/>
  <c r="D80" i="6"/>
  <c r="C201" i="7"/>
  <c r="E116" i="7"/>
  <c r="D116" i="7"/>
  <c r="F116" i="7" s="1"/>
  <c r="G116" i="7" s="1"/>
  <c r="C210" i="5"/>
  <c r="E125" i="5"/>
  <c r="D125" i="5"/>
  <c r="F125" i="5" s="1"/>
  <c r="G125" i="5" s="1"/>
  <c r="AS131" i="4"/>
  <c r="C229" i="5"/>
  <c r="E144" i="5"/>
  <c r="D144" i="5"/>
  <c r="Y49" i="7"/>
  <c r="AE49" i="7"/>
  <c r="AC49" i="7"/>
  <c r="X16" i="6"/>
  <c r="AC16" i="6" s="1"/>
  <c r="X40" i="7"/>
  <c r="AD40" i="7" s="1"/>
  <c r="AB149" i="6"/>
  <c r="AC149" i="6"/>
  <c r="X116" i="6"/>
  <c r="AC116" i="6" s="1"/>
  <c r="C198" i="7"/>
  <c r="D113" i="7"/>
  <c r="E113" i="7"/>
  <c r="C153" i="7"/>
  <c r="D68" i="7"/>
  <c r="F68" i="7" s="1"/>
  <c r="G68" i="7" s="1"/>
  <c r="E68" i="7"/>
  <c r="Y56" i="6"/>
  <c r="AD56" i="6"/>
  <c r="AT19" i="4"/>
  <c r="AT17" i="4"/>
  <c r="AT67" i="4"/>
  <c r="AT30" i="4"/>
  <c r="AT81" i="4"/>
  <c r="AT111" i="4"/>
  <c r="AT132" i="4"/>
  <c r="AT139" i="4"/>
  <c r="AT142" i="4"/>
  <c r="HJ6" i="2"/>
  <c r="HI6" i="2"/>
  <c r="X144" i="6"/>
  <c r="X154" i="6"/>
  <c r="C187" i="5"/>
  <c r="D102" i="5"/>
  <c r="E102" i="5"/>
  <c r="C154" i="7"/>
  <c r="D69" i="7"/>
  <c r="E69" i="7"/>
  <c r="AB145" i="5"/>
  <c r="AC145" i="5"/>
  <c r="X104" i="6"/>
  <c r="AC104" i="6" s="1"/>
  <c r="C200" i="6"/>
  <c r="E115" i="6"/>
  <c r="D115" i="6"/>
  <c r="F115" i="6" s="1"/>
  <c r="G115" i="6" s="1"/>
  <c r="AB78" i="7"/>
  <c r="AC78" i="7"/>
  <c r="C159" i="6"/>
  <c r="E74" i="6"/>
  <c r="D74" i="6"/>
  <c r="F74" i="6" s="1"/>
  <c r="G74" i="6" s="1"/>
  <c r="AS133" i="4"/>
  <c r="C188" i="6"/>
  <c r="D103" i="6"/>
  <c r="E103" i="6"/>
  <c r="C183" i="5"/>
  <c r="E98" i="5"/>
  <c r="D98" i="5"/>
  <c r="X74" i="6"/>
  <c r="C172" i="7"/>
  <c r="D87" i="7"/>
  <c r="E87" i="7"/>
  <c r="AS63" i="4"/>
  <c r="X95" i="7"/>
  <c r="C171" i="7"/>
  <c r="E86" i="7"/>
  <c r="D86" i="7"/>
  <c r="F86" i="7" s="1"/>
  <c r="G86" i="7" s="1"/>
  <c r="X45" i="5"/>
  <c r="C197" i="7"/>
  <c r="E112" i="7"/>
  <c r="D112" i="7"/>
  <c r="X35" i="6"/>
  <c r="AC35" i="6" s="1"/>
  <c r="AS94" i="4"/>
  <c r="AT22" i="4"/>
  <c r="AT37" i="4"/>
  <c r="AT50" i="4"/>
  <c r="AT54" i="4"/>
  <c r="AT112" i="4"/>
  <c r="X61" i="6"/>
  <c r="X36" i="5"/>
  <c r="AD36" i="5" s="1"/>
  <c r="X116" i="7"/>
  <c r="AC116" i="7" s="1"/>
  <c r="X103" i="7"/>
  <c r="AD103" i="7" s="1"/>
  <c r="X124" i="6"/>
  <c r="AB105" i="7"/>
  <c r="AC105" i="7"/>
  <c r="AS46" i="4"/>
  <c r="AB152" i="7"/>
  <c r="AC152" i="7"/>
  <c r="AB145" i="7"/>
  <c r="AC145" i="7"/>
  <c r="X16" i="5"/>
  <c r="AC16" i="5" s="1"/>
  <c r="X148" i="6"/>
  <c r="Y57" i="5"/>
  <c r="AC57" i="5"/>
  <c r="X86" i="7"/>
  <c r="X136" i="6"/>
  <c r="AE132" i="5"/>
  <c r="AC132" i="5"/>
  <c r="C192" i="5"/>
  <c r="E107" i="5"/>
  <c r="D107" i="5"/>
  <c r="F107" i="5" s="1"/>
  <c r="G107" i="5" s="1"/>
  <c r="X72" i="6"/>
  <c r="C196" i="7"/>
  <c r="E111" i="7"/>
  <c r="D111" i="7"/>
  <c r="AS11" i="4"/>
  <c r="AS45" i="4"/>
  <c r="Y71" i="7"/>
  <c r="AC71" i="7"/>
  <c r="AS101" i="4"/>
  <c r="C208" i="6"/>
  <c r="D123" i="6"/>
  <c r="E123" i="6"/>
  <c r="C208" i="5"/>
  <c r="D123" i="5"/>
  <c r="E123" i="5"/>
  <c r="AS137" i="4"/>
  <c r="D173" i="7" l="1"/>
  <c r="E173" i="7"/>
  <c r="AE52" i="4"/>
  <c r="D168" i="7"/>
  <c r="E168" i="7" s="1"/>
  <c r="Z15" i="5"/>
  <c r="AC15" i="5"/>
  <c r="D186" i="6"/>
  <c r="E186" i="6" s="1"/>
  <c r="D220" i="5"/>
  <c r="F220" i="5" s="1"/>
  <c r="AU70" i="4"/>
  <c r="AE70" i="4"/>
  <c r="AB153" i="5"/>
  <c r="AD153" i="5"/>
  <c r="AE50" i="4"/>
  <c r="D173" i="5"/>
  <c r="E173" i="5" s="1"/>
  <c r="Z70" i="5"/>
  <c r="AD70" i="5"/>
  <c r="AA136" i="7"/>
  <c r="AC136" i="7"/>
  <c r="D170" i="6"/>
  <c r="E170" i="6" s="1"/>
  <c r="AF51" i="6"/>
  <c r="Y51" i="6"/>
  <c r="AD51" i="6"/>
  <c r="AB79" i="6"/>
  <c r="AB158" i="6" s="1"/>
  <c r="AC79" i="6"/>
  <c r="D194" i="7"/>
  <c r="X158" i="5"/>
  <c r="Z11" i="5"/>
  <c r="X159" i="5"/>
  <c r="AC11" i="5"/>
  <c r="E227" i="6"/>
  <c r="D227" i="6"/>
  <c r="AA125" i="7"/>
  <c r="AD125" i="7"/>
  <c r="AE91" i="4"/>
  <c r="AU91" i="4"/>
  <c r="AF87" i="5"/>
  <c r="AB87" i="5"/>
  <c r="AD87" i="5"/>
  <c r="AE122" i="4"/>
  <c r="AF141" i="5"/>
  <c r="AA141" i="5"/>
  <c r="AD141" i="5"/>
  <c r="AF130" i="7"/>
  <c r="AA130" i="7"/>
  <c r="AD130" i="7"/>
  <c r="AB155" i="7"/>
  <c r="AD155" i="7"/>
  <c r="D155" i="6"/>
  <c r="E155" i="6" s="1"/>
  <c r="AE37" i="4"/>
  <c r="AU37" i="4"/>
  <c r="AU79" i="4"/>
  <c r="AE79" i="4"/>
  <c r="AA139" i="7"/>
  <c r="AC139" i="7"/>
  <c r="Z69" i="7"/>
  <c r="AC69" i="7"/>
  <c r="AB152" i="5"/>
  <c r="AC152" i="5"/>
  <c r="Z61" i="6"/>
  <c r="AC61" i="6"/>
  <c r="D163" i="7"/>
  <c r="D162" i="6"/>
  <c r="E162" i="6"/>
  <c r="D212" i="7"/>
  <c r="E212" i="7" s="1"/>
  <c r="AE11" i="4"/>
  <c r="AU11" i="4"/>
  <c r="AE95" i="4"/>
  <c r="Z31" i="5"/>
  <c r="AC31" i="5"/>
  <c r="F81" i="7"/>
  <c r="G81" i="7" s="1"/>
  <c r="F123" i="6"/>
  <c r="G123" i="6" s="1"/>
  <c r="F96" i="6"/>
  <c r="G96" i="6" s="1"/>
  <c r="Z74" i="7"/>
  <c r="AD74" i="7"/>
  <c r="Z29" i="7"/>
  <c r="AC29" i="7"/>
  <c r="D174" i="7"/>
  <c r="E174" i="7"/>
  <c r="AE36" i="4"/>
  <c r="AU36" i="4"/>
  <c r="AU148" i="4"/>
  <c r="AE148" i="4"/>
  <c r="Y23" i="5"/>
  <c r="AD23" i="5"/>
  <c r="F91" i="5"/>
  <c r="G91" i="5" s="1"/>
  <c r="D166" i="5"/>
  <c r="E166" i="5"/>
  <c r="D179" i="7"/>
  <c r="Y25" i="7"/>
  <c r="AD25" i="7"/>
  <c r="F136" i="5"/>
  <c r="G136" i="5" s="1"/>
  <c r="D229" i="6"/>
  <c r="AU67" i="4"/>
  <c r="AE67" i="4"/>
  <c r="E170" i="7"/>
  <c r="D170" i="7"/>
  <c r="AB149" i="7"/>
  <c r="AC149" i="7"/>
  <c r="AE42" i="4"/>
  <c r="AA137" i="7"/>
  <c r="AC137" i="7"/>
  <c r="D213" i="7"/>
  <c r="E213" i="7" s="1"/>
  <c r="X158" i="7"/>
  <c r="X159" i="7"/>
  <c r="Z11" i="7"/>
  <c r="AC11" i="7"/>
  <c r="D169" i="6"/>
  <c r="E169" i="6"/>
  <c r="AB144" i="7"/>
  <c r="AC144" i="7"/>
  <c r="AE72" i="4"/>
  <c r="AE86" i="4"/>
  <c r="D228" i="6"/>
  <c r="AF126" i="7"/>
  <c r="AA126" i="7"/>
  <c r="AD126" i="7"/>
  <c r="AA109" i="7"/>
  <c r="AD109" i="7"/>
  <c r="AA95" i="7"/>
  <c r="AD95" i="7"/>
  <c r="D224" i="6"/>
  <c r="F224" i="6" s="1"/>
  <c r="D178" i="6"/>
  <c r="AE137" i="4"/>
  <c r="Y60" i="6"/>
  <c r="AD60" i="6"/>
  <c r="Y50" i="7"/>
  <c r="AD50" i="7"/>
  <c r="D210" i="5"/>
  <c r="F210" i="5" s="1"/>
  <c r="E210" i="5"/>
  <c r="D224" i="7"/>
  <c r="F224" i="7" s="1"/>
  <c r="AU138" i="4"/>
  <c r="AE138" i="4"/>
  <c r="AU39" i="4"/>
  <c r="AE39" i="4"/>
  <c r="D156" i="6"/>
  <c r="E156" i="6"/>
  <c r="Y56" i="5"/>
  <c r="AD56" i="5"/>
  <c r="Y48" i="5"/>
  <c r="AD48" i="5"/>
  <c r="Z74" i="5"/>
  <c r="AD74" i="5"/>
  <c r="D162" i="7"/>
  <c r="E162" i="7"/>
  <c r="F99" i="5"/>
  <c r="G99" i="5" s="1"/>
  <c r="AA139" i="6"/>
  <c r="AC139" i="6"/>
  <c r="F131" i="7"/>
  <c r="G131" i="7" s="1"/>
  <c r="Y46" i="7"/>
  <c r="AC46" i="7"/>
  <c r="D213" i="6"/>
  <c r="AE59" i="4"/>
  <c r="AE89" i="4"/>
  <c r="D160" i="5"/>
  <c r="E160" i="5"/>
  <c r="Y54" i="5"/>
  <c r="AC54" i="5"/>
  <c r="Z34" i="5"/>
  <c r="AD34" i="5"/>
  <c r="Z65" i="7"/>
  <c r="AD65" i="7"/>
  <c r="AF52" i="7"/>
  <c r="Y52" i="7"/>
  <c r="AD52" i="7"/>
  <c r="Y44" i="7"/>
  <c r="AD44" i="7"/>
  <c r="AA124" i="6"/>
  <c r="AC124" i="6"/>
  <c r="D154" i="7"/>
  <c r="E154" i="7" s="1"/>
  <c r="D226" i="5"/>
  <c r="E226" i="5" s="1"/>
  <c r="F106" i="7"/>
  <c r="G106" i="7" s="1"/>
  <c r="F72" i="6"/>
  <c r="G72" i="6" s="1"/>
  <c r="G66" i="6" s="1"/>
  <c r="D198" i="6"/>
  <c r="D193" i="6"/>
  <c r="F117" i="7"/>
  <c r="G117" i="7" s="1"/>
  <c r="D190" i="5"/>
  <c r="F190" i="5" s="1"/>
  <c r="D184" i="7"/>
  <c r="E184" i="7" s="1"/>
  <c r="D179" i="6"/>
  <c r="E179" i="6"/>
  <c r="F74" i="7"/>
  <c r="G74" i="7" s="1"/>
  <c r="D210" i="6"/>
  <c r="F210" i="6" s="1"/>
  <c r="D158" i="5"/>
  <c r="E158" i="5"/>
  <c r="D205" i="5"/>
  <c r="E218" i="7"/>
  <c r="D218" i="7"/>
  <c r="D184" i="5"/>
  <c r="E216" i="7"/>
  <c r="D216" i="7"/>
  <c r="F216" i="7" s="1"/>
  <c r="D162" i="5"/>
  <c r="E162" i="5"/>
  <c r="D152" i="6"/>
  <c r="E152" i="6" s="1"/>
  <c r="F140" i="5"/>
  <c r="G140" i="5" s="1"/>
  <c r="F129" i="6"/>
  <c r="G129" i="6" s="1"/>
  <c r="AB150" i="7"/>
  <c r="AC150" i="7"/>
  <c r="AB148" i="7"/>
  <c r="AC148" i="7"/>
  <c r="F130" i="6"/>
  <c r="G130" i="6" s="1"/>
  <c r="D152" i="5"/>
  <c r="E152" i="5" s="1"/>
  <c r="Z62" i="7"/>
  <c r="AC62" i="7"/>
  <c r="AT7" i="4"/>
  <c r="D229" i="7"/>
  <c r="E189" i="6"/>
  <c r="D189" i="6"/>
  <c r="F118" i="6"/>
  <c r="G118" i="6" s="1"/>
  <c r="D180" i="7"/>
  <c r="AE51" i="4"/>
  <c r="AU51" i="4"/>
  <c r="AE34" i="4"/>
  <c r="AE62" i="4"/>
  <c r="AE76" i="4"/>
  <c r="AE66" i="4"/>
  <c r="AE104" i="4"/>
  <c r="AE127" i="4"/>
  <c r="AE99" i="4"/>
  <c r="AE153" i="4"/>
  <c r="AU153" i="4"/>
  <c r="D156" i="5"/>
  <c r="Z67" i="6"/>
  <c r="AD67" i="6"/>
  <c r="Z76" i="7"/>
  <c r="AD76" i="7"/>
  <c r="Y52" i="5"/>
  <c r="AF52" i="5"/>
  <c r="AD52" i="5"/>
  <c r="Z69" i="5"/>
  <c r="AC69" i="5"/>
  <c r="AP45" i="7"/>
  <c r="H8" i="7" s="1"/>
  <c r="AF98" i="7"/>
  <c r="AA98" i="7"/>
  <c r="AD98" i="7"/>
  <c r="AB81" i="5"/>
  <c r="AC81" i="5"/>
  <c r="AB89" i="7"/>
  <c r="AC89" i="7"/>
  <c r="F117" i="6"/>
  <c r="G117" i="6" s="1"/>
  <c r="AA95" i="5"/>
  <c r="AD95" i="5"/>
  <c r="Z65" i="6"/>
  <c r="AD65" i="6"/>
  <c r="D157" i="5"/>
  <c r="E157" i="5" s="1"/>
  <c r="AA123" i="5"/>
  <c r="AD123" i="5"/>
  <c r="D171" i="5"/>
  <c r="E171" i="5"/>
  <c r="F113" i="7"/>
  <c r="G113" i="7" s="1"/>
  <c r="E152" i="7"/>
  <c r="D152" i="7"/>
  <c r="Z21" i="6"/>
  <c r="AD21" i="6"/>
  <c r="Y52" i="6"/>
  <c r="AF52" i="6"/>
  <c r="AD52" i="6"/>
  <c r="D180" i="5"/>
  <c r="E180" i="5"/>
  <c r="AE140" i="4"/>
  <c r="AA133" i="6"/>
  <c r="AD133" i="6"/>
  <c r="D198" i="7"/>
  <c r="E198" i="7" s="1"/>
  <c r="AA113" i="5"/>
  <c r="AD113" i="5"/>
  <c r="D169" i="7"/>
  <c r="E169" i="7" s="1"/>
  <c r="F93" i="7"/>
  <c r="G93" i="7" s="1"/>
  <c r="AE73" i="4"/>
  <c r="Y75" i="5"/>
  <c r="AC75" i="5"/>
  <c r="E212" i="6"/>
  <c r="D212" i="6"/>
  <c r="D204" i="7"/>
  <c r="D166" i="7"/>
  <c r="E166" i="7" s="1"/>
  <c r="F103" i="6"/>
  <c r="G103" i="6" s="1"/>
  <c r="D185" i="5"/>
  <c r="E185" i="5" s="1"/>
  <c r="E206" i="5"/>
  <c r="D206" i="5"/>
  <c r="AE159" i="5"/>
  <c r="AE158" i="5"/>
  <c r="E207" i="5"/>
  <c r="D207" i="5"/>
  <c r="AE17" i="4"/>
  <c r="AE110" i="4"/>
  <c r="D176" i="5"/>
  <c r="F176" i="5" s="1"/>
  <c r="D188" i="6"/>
  <c r="E188" i="6"/>
  <c r="D188" i="7"/>
  <c r="E188" i="7" s="1"/>
  <c r="AE20" i="4"/>
  <c r="AE69" i="4"/>
  <c r="E161" i="7"/>
  <c r="D161" i="7"/>
  <c r="AA123" i="6"/>
  <c r="AD123" i="6"/>
  <c r="D189" i="5"/>
  <c r="AU106" i="4"/>
  <c r="AE106" i="4"/>
  <c r="D218" i="5"/>
  <c r="E218" i="5" s="1"/>
  <c r="Z64" i="5"/>
  <c r="AC64" i="5"/>
  <c r="AA108" i="5"/>
  <c r="AD108" i="5"/>
  <c r="AE15" i="4"/>
  <c r="AE107" i="4"/>
  <c r="AB153" i="7"/>
  <c r="AD153" i="7"/>
  <c r="D160" i="6"/>
  <c r="E160" i="6" s="1"/>
  <c r="F77" i="5"/>
  <c r="G77" i="5" s="1"/>
  <c r="D181" i="7"/>
  <c r="F181" i="7" s="1"/>
  <c r="AE31" i="4"/>
  <c r="AU31" i="4"/>
  <c r="Z19" i="7"/>
  <c r="AD19" i="7"/>
  <c r="AB151" i="5"/>
  <c r="AD151" i="5"/>
  <c r="AB155" i="5"/>
  <c r="AD155" i="5"/>
  <c r="D197" i="5"/>
  <c r="F69" i="7"/>
  <c r="G69" i="7" s="1"/>
  <c r="Z27" i="7"/>
  <c r="AD27" i="7"/>
  <c r="D219" i="6"/>
  <c r="D167" i="7"/>
  <c r="E167" i="7" s="1"/>
  <c r="F104" i="6"/>
  <c r="G104" i="6" s="1"/>
  <c r="Y58" i="7"/>
  <c r="AD58" i="7"/>
  <c r="R149" i="4"/>
  <c r="AF149" i="4" s="1"/>
  <c r="R150" i="4"/>
  <c r="AF150" i="4" s="1"/>
  <c r="R153" i="4"/>
  <c r="AF153" i="4" s="1"/>
  <c r="R129" i="4"/>
  <c r="AF129" i="4" s="1"/>
  <c r="R113" i="4"/>
  <c r="AF113" i="4" s="1"/>
  <c r="R152" i="4"/>
  <c r="AF152" i="4" s="1"/>
  <c r="R124" i="4"/>
  <c r="AF124" i="4" s="1"/>
  <c r="R108" i="4"/>
  <c r="AF108" i="4" s="1"/>
  <c r="R135" i="4"/>
  <c r="AF135" i="4" s="1"/>
  <c r="R119" i="4"/>
  <c r="AF119" i="4" s="1"/>
  <c r="R103" i="4"/>
  <c r="AF103" i="4" s="1"/>
  <c r="R147" i="4"/>
  <c r="AF147" i="4" s="1"/>
  <c r="R146" i="4"/>
  <c r="AF146" i="4" s="1"/>
  <c r="R140" i="4"/>
  <c r="AF140" i="4" s="1"/>
  <c r="R125" i="4"/>
  <c r="AF125" i="4" s="1"/>
  <c r="R109" i="4"/>
  <c r="AF109" i="4" s="1"/>
  <c r="R151" i="4"/>
  <c r="AF151" i="4" s="1"/>
  <c r="R145" i="4"/>
  <c r="AF145" i="4" s="1"/>
  <c r="R136" i="4"/>
  <c r="AF136" i="4" s="1"/>
  <c r="R137" i="4"/>
  <c r="AF137" i="4" s="1"/>
  <c r="R121" i="4"/>
  <c r="AF121" i="4" s="1"/>
  <c r="R105" i="4"/>
  <c r="AF105" i="4" s="1"/>
  <c r="R144" i="4"/>
  <c r="AF144" i="4" s="1"/>
  <c r="R132" i="4"/>
  <c r="AF132" i="4" s="1"/>
  <c r="R107" i="4"/>
  <c r="AF107" i="4" s="1"/>
  <c r="R111" i="4"/>
  <c r="AF111" i="4" s="1"/>
  <c r="R110" i="4"/>
  <c r="AF110" i="4" s="1"/>
  <c r="R102" i="4"/>
  <c r="AF102" i="4" s="1"/>
  <c r="R133" i="4"/>
  <c r="AF133" i="4" s="1"/>
  <c r="R148" i="4"/>
  <c r="AF148" i="4" s="1"/>
  <c r="R141" i="4"/>
  <c r="AF141" i="4" s="1"/>
  <c r="R139" i="4"/>
  <c r="AF139" i="4" s="1"/>
  <c r="R142" i="4"/>
  <c r="AF142" i="4" s="1"/>
  <c r="R84" i="4"/>
  <c r="AF84" i="4" s="1"/>
  <c r="R69" i="4"/>
  <c r="AF69" i="4" s="1"/>
  <c r="R98" i="4"/>
  <c r="AF98" i="4" s="1"/>
  <c r="R95" i="4"/>
  <c r="AF95" i="4" s="1"/>
  <c r="R79" i="4"/>
  <c r="AF79" i="4" s="1"/>
  <c r="R64" i="4"/>
  <c r="AF64" i="4" s="1"/>
  <c r="R123" i="4"/>
  <c r="AF123" i="4" s="1"/>
  <c r="R117" i="4"/>
  <c r="AF117" i="4" s="1"/>
  <c r="R100" i="4"/>
  <c r="AF100" i="4" s="1"/>
  <c r="R99" i="4"/>
  <c r="AF99" i="4" s="1"/>
  <c r="R90" i="4"/>
  <c r="AF90" i="4" s="1"/>
  <c r="R126" i="4"/>
  <c r="AF126" i="4" s="1"/>
  <c r="R104" i="4"/>
  <c r="AF104" i="4" s="1"/>
  <c r="R101" i="4"/>
  <c r="AF101" i="4" s="1"/>
  <c r="R85" i="4"/>
  <c r="AF85" i="4" s="1"/>
  <c r="R70" i="4"/>
  <c r="AF70" i="4" s="1"/>
  <c r="R96" i="4"/>
  <c r="AF96" i="4" s="1"/>
  <c r="R138" i="4"/>
  <c r="AF138" i="4" s="1"/>
  <c r="R91" i="4"/>
  <c r="AF91" i="4" s="1"/>
  <c r="R122" i="4"/>
  <c r="AF122" i="4" s="1"/>
  <c r="R116" i="4"/>
  <c r="AF116" i="4" s="1"/>
  <c r="R114" i="4"/>
  <c r="AF114" i="4" s="1"/>
  <c r="R112" i="4"/>
  <c r="AF112" i="4" s="1"/>
  <c r="R97" i="4"/>
  <c r="AF97" i="4" s="1"/>
  <c r="R92" i="4"/>
  <c r="AF92" i="4" s="1"/>
  <c r="R76" i="4"/>
  <c r="AF76" i="4" s="1"/>
  <c r="R143" i="4"/>
  <c r="AF143" i="4" s="1"/>
  <c r="R63" i="4"/>
  <c r="AF63" i="4" s="1"/>
  <c r="R55" i="4"/>
  <c r="AF55" i="4" s="1"/>
  <c r="R127" i="4"/>
  <c r="AF127" i="4" s="1"/>
  <c r="R106" i="4"/>
  <c r="AF106" i="4" s="1"/>
  <c r="R83" i="4"/>
  <c r="AF83" i="4" s="1"/>
  <c r="R67" i="4"/>
  <c r="AF67" i="4" s="1"/>
  <c r="R66" i="4"/>
  <c r="AF66" i="4" s="1"/>
  <c r="R50" i="4"/>
  <c r="AF50" i="4" s="1"/>
  <c r="R94" i="4"/>
  <c r="AF94" i="4" s="1"/>
  <c r="R86" i="4"/>
  <c r="AF86" i="4" s="1"/>
  <c r="R61" i="4"/>
  <c r="AF61" i="4" s="1"/>
  <c r="R45" i="4"/>
  <c r="AF45" i="4" s="1"/>
  <c r="R89" i="4"/>
  <c r="AF89" i="4" s="1"/>
  <c r="R68" i="4"/>
  <c r="AF68" i="4" s="1"/>
  <c r="R56" i="4"/>
  <c r="AF56" i="4" s="1"/>
  <c r="R40" i="4"/>
  <c r="AF40" i="4" s="1"/>
  <c r="R131" i="4"/>
  <c r="AF131" i="4" s="1"/>
  <c r="R115" i="4"/>
  <c r="AF115" i="4" s="1"/>
  <c r="R87" i="4"/>
  <c r="AF87" i="4" s="1"/>
  <c r="R128" i="4"/>
  <c r="AF128" i="4" s="1"/>
  <c r="R47" i="4"/>
  <c r="AF47" i="4" s="1"/>
  <c r="R93" i="4"/>
  <c r="AF93" i="4" s="1"/>
  <c r="R65" i="4"/>
  <c r="AF65" i="4" s="1"/>
  <c r="R54" i="4"/>
  <c r="AF54" i="4" s="1"/>
  <c r="R57" i="4"/>
  <c r="AF57" i="4" s="1"/>
  <c r="R37" i="4"/>
  <c r="AF37" i="4" s="1"/>
  <c r="R21" i="4"/>
  <c r="AF21" i="4" s="1"/>
  <c r="R73" i="4"/>
  <c r="AF73" i="4" s="1"/>
  <c r="R58" i="4"/>
  <c r="AF58" i="4" s="1"/>
  <c r="R32" i="4"/>
  <c r="AF32" i="4" s="1"/>
  <c r="R16" i="4"/>
  <c r="AF16" i="4" s="1"/>
  <c r="R130" i="4"/>
  <c r="AF130" i="4" s="1"/>
  <c r="R82" i="4"/>
  <c r="AF82" i="4" s="1"/>
  <c r="R27" i="4"/>
  <c r="AF27" i="4" s="1"/>
  <c r="R81" i="4"/>
  <c r="AF81" i="4" s="1"/>
  <c r="R75" i="4"/>
  <c r="AF75" i="4" s="1"/>
  <c r="R62" i="4"/>
  <c r="AF62" i="4" s="1"/>
  <c r="R59" i="4"/>
  <c r="AF59" i="4" s="1"/>
  <c r="R38" i="4"/>
  <c r="AF38" i="4" s="1"/>
  <c r="R41" i="4"/>
  <c r="AF41" i="4" s="1"/>
  <c r="R33" i="4"/>
  <c r="AF33" i="4" s="1"/>
  <c r="R17" i="4"/>
  <c r="AF17" i="4" s="1"/>
  <c r="R88" i="4"/>
  <c r="AF88" i="4" s="1"/>
  <c r="R60" i="4"/>
  <c r="AF60" i="4" s="1"/>
  <c r="R42" i="4"/>
  <c r="AF42" i="4" s="1"/>
  <c r="R78" i="4"/>
  <c r="AF78" i="4" s="1"/>
  <c r="R72" i="4"/>
  <c r="AF72" i="4" s="1"/>
  <c r="R120" i="4"/>
  <c r="AF120" i="4" s="1"/>
  <c r="R46" i="4"/>
  <c r="AF46" i="4" s="1"/>
  <c r="R43" i="4"/>
  <c r="AF43" i="4" s="1"/>
  <c r="R34" i="4"/>
  <c r="AF34" i="4" s="1"/>
  <c r="R18" i="4"/>
  <c r="AF18" i="4" s="1"/>
  <c r="R134" i="4"/>
  <c r="AF134" i="4" s="1"/>
  <c r="R71" i="4"/>
  <c r="AF71" i="4" s="1"/>
  <c r="R51" i="4"/>
  <c r="AF51" i="4" s="1"/>
  <c r="R10" i="4"/>
  <c r="AF10" i="4" s="1"/>
  <c r="R31" i="4"/>
  <c r="AF31" i="4" s="1"/>
  <c r="R53" i="4"/>
  <c r="AF53" i="4" s="1"/>
  <c r="R48" i="4"/>
  <c r="AF48" i="4" s="1"/>
  <c r="U2" i="4"/>
  <c r="R35" i="4"/>
  <c r="AF35" i="4" s="1"/>
  <c r="R11" i="4"/>
  <c r="AF11" i="4" s="1"/>
  <c r="R74" i="4"/>
  <c r="AF74" i="4" s="1"/>
  <c r="R49" i="4"/>
  <c r="AF49" i="4" s="1"/>
  <c r="R36" i="4"/>
  <c r="AF36" i="4" s="1"/>
  <c r="R12" i="4"/>
  <c r="AF12" i="4" s="1"/>
  <c r="R19" i="4"/>
  <c r="AF19" i="4" s="1"/>
  <c r="R44" i="4"/>
  <c r="AF44" i="4" s="1"/>
  <c r="R39" i="4"/>
  <c r="AF39" i="4" s="1"/>
  <c r="R24" i="4"/>
  <c r="AF24" i="4" s="1"/>
  <c r="R23" i="4"/>
  <c r="AF23" i="4" s="1"/>
  <c r="R22" i="4"/>
  <c r="AF22" i="4" s="1"/>
  <c r="R20" i="4"/>
  <c r="AF20" i="4" s="1"/>
  <c r="R15" i="4"/>
  <c r="AF15" i="4" s="1"/>
  <c r="R13" i="4"/>
  <c r="AF13" i="4" s="1"/>
  <c r="R77" i="4"/>
  <c r="AF77" i="4" s="1"/>
  <c r="R118" i="4"/>
  <c r="AF118" i="4" s="1"/>
  <c r="R80" i="4"/>
  <c r="AF80" i="4" s="1"/>
  <c r="R29" i="4"/>
  <c r="AF29" i="4" s="1"/>
  <c r="R26" i="4"/>
  <c r="AF26" i="4" s="1"/>
  <c r="R52" i="4"/>
  <c r="AF52" i="4" s="1"/>
  <c r="R30" i="4"/>
  <c r="AF30" i="4" s="1"/>
  <c r="R9" i="4"/>
  <c r="AF9" i="4" s="1"/>
  <c r="R14" i="4"/>
  <c r="AF14" i="4" s="1"/>
  <c r="R25" i="4"/>
  <c r="AF25" i="4" s="1"/>
  <c r="S3" i="4"/>
  <c r="R28" i="4"/>
  <c r="AF28" i="4" s="1"/>
  <c r="AE55" i="4"/>
  <c r="AE130" i="4"/>
  <c r="AA124" i="5"/>
  <c r="AC124" i="5"/>
  <c r="AB143" i="5"/>
  <c r="AC143" i="5"/>
  <c r="Y25" i="5"/>
  <c r="AD25" i="5"/>
  <c r="AA130" i="5"/>
  <c r="AF130" i="5"/>
  <c r="AD130" i="5"/>
  <c r="AA136" i="6"/>
  <c r="AC136" i="6"/>
  <c r="F87" i="7"/>
  <c r="G87" i="7" s="1"/>
  <c r="E159" i="6"/>
  <c r="D159" i="6"/>
  <c r="D201" i="7"/>
  <c r="E201" i="7"/>
  <c r="AF130" i="6"/>
  <c r="AA130" i="6"/>
  <c r="AD130" i="6"/>
  <c r="D187" i="6"/>
  <c r="F187" i="6" s="1"/>
  <c r="D192" i="6"/>
  <c r="E159" i="7"/>
  <c r="D159" i="7"/>
  <c r="D182" i="6"/>
  <c r="E182" i="6" s="1"/>
  <c r="Z27" i="6"/>
  <c r="AD27" i="6"/>
  <c r="D223" i="5"/>
  <c r="E223" i="5"/>
  <c r="F124" i="5"/>
  <c r="G124" i="5" s="1"/>
  <c r="AF87" i="6"/>
  <c r="AB87" i="6"/>
  <c r="AD87" i="6"/>
  <c r="F79" i="6"/>
  <c r="G79" i="6" s="1"/>
  <c r="D225" i="5"/>
  <c r="D214" i="6"/>
  <c r="F214" i="6" s="1"/>
  <c r="AB83" i="6"/>
  <c r="AC83" i="6"/>
  <c r="AB85" i="5"/>
  <c r="AC85" i="5"/>
  <c r="D203" i="6"/>
  <c r="F95" i="6"/>
  <c r="G95" i="6" s="1"/>
  <c r="AU77" i="4"/>
  <c r="AE77" i="4"/>
  <c r="AU48" i="4"/>
  <c r="AE48" i="4"/>
  <c r="AE75" i="4"/>
  <c r="AU75" i="4"/>
  <c r="AE53" i="4"/>
  <c r="AU53" i="4"/>
  <c r="AU85" i="4"/>
  <c r="AE85" i="4"/>
  <c r="AE90" i="4"/>
  <c r="AU136" i="4"/>
  <c r="AE136" i="4"/>
  <c r="AE115" i="4"/>
  <c r="AE147" i="4"/>
  <c r="AA133" i="5"/>
  <c r="AD133" i="5"/>
  <c r="Y46" i="6"/>
  <c r="AC46" i="6"/>
  <c r="AA90" i="5"/>
  <c r="AD90" i="5"/>
  <c r="E227" i="7"/>
  <c r="D227" i="7"/>
  <c r="AB79" i="5"/>
  <c r="AC79" i="5"/>
  <c r="AA117" i="5"/>
  <c r="AF117" i="5"/>
  <c r="AD117" i="5"/>
  <c r="Z70" i="7"/>
  <c r="AD70" i="7"/>
  <c r="Z28" i="5"/>
  <c r="AD28" i="5"/>
  <c r="AB85" i="6"/>
  <c r="AC85" i="6"/>
  <c r="Z72" i="6"/>
  <c r="AD72" i="6"/>
  <c r="E203" i="7"/>
  <c r="D203" i="7"/>
  <c r="E189" i="7"/>
  <c r="D189" i="7"/>
  <c r="E196" i="6"/>
  <c r="D196" i="6"/>
  <c r="AB88" i="6"/>
  <c r="AC88" i="6"/>
  <c r="AB89" i="6"/>
  <c r="AC89" i="6"/>
  <c r="AE120" i="4"/>
  <c r="Z18" i="5"/>
  <c r="AC18" i="5"/>
  <c r="Y59" i="5"/>
  <c r="AD59" i="5"/>
  <c r="AB152" i="6"/>
  <c r="AC152" i="6"/>
  <c r="D199" i="7"/>
  <c r="D161" i="5"/>
  <c r="E161" i="5" s="1"/>
  <c r="AA133" i="7"/>
  <c r="AD133" i="7"/>
  <c r="F69" i="5"/>
  <c r="G69" i="5" s="1"/>
  <c r="G66" i="5" s="1"/>
  <c r="AE92" i="4"/>
  <c r="AE113" i="4"/>
  <c r="AU113" i="4"/>
  <c r="Y44" i="6"/>
  <c r="AD44" i="6"/>
  <c r="F119" i="7"/>
  <c r="G119" i="7" s="1"/>
  <c r="Y68" i="5"/>
  <c r="AC68" i="5"/>
  <c r="AA125" i="5"/>
  <c r="AD125" i="5"/>
  <c r="AB143" i="7"/>
  <c r="AC143" i="7"/>
  <c r="D184" i="6"/>
  <c r="AU98" i="4"/>
  <c r="AE98" i="4"/>
  <c r="AA84" i="6"/>
  <c r="AD84" i="6"/>
  <c r="D164" i="7"/>
  <c r="E164" i="7"/>
  <c r="D215" i="7"/>
  <c r="F215" i="7" s="1"/>
  <c r="AA135" i="6"/>
  <c r="AF135" i="6"/>
  <c r="AD135" i="6"/>
  <c r="D200" i="7"/>
  <c r="D194" i="5"/>
  <c r="E194" i="5" s="1"/>
  <c r="D175" i="5"/>
  <c r="E175" i="5"/>
  <c r="D193" i="7"/>
  <c r="E193" i="7" s="1"/>
  <c r="D221" i="5"/>
  <c r="F221" i="5" s="1"/>
  <c r="D197" i="6"/>
  <c r="AE83" i="4"/>
  <c r="AU83" i="4"/>
  <c r="K179" i="7"/>
  <c r="D171" i="7"/>
  <c r="D158" i="6"/>
  <c r="Y73" i="6"/>
  <c r="Z73" i="6"/>
  <c r="AC73" i="6"/>
  <c r="Z62" i="6"/>
  <c r="AC62" i="6"/>
  <c r="AE29" i="4"/>
  <c r="AU29" i="4"/>
  <c r="AU134" i="4"/>
  <c r="AE134" i="4"/>
  <c r="D188" i="5"/>
  <c r="Z64" i="6"/>
  <c r="AC64" i="6"/>
  <c r="AE35" i="4"/>
  <c r="F82" i="7"/>
  <c r="G82" i="7" s="1"/>
  <c r="AB150" i="6"/>
  <c r="AC150" i="6"/>
  <c r="D178" i="5"/>
  <c r="E178" i="5" s="1"/>
  <c r="D210" i="7"/>
  <c r="F210" i="7" s="1"/>
  <c r="AE80" i="4"/>
  <c r="AU80" i="4"/>
  <c r="AE38" i="4"/>
  <c r="AU38" i="4"/>
  <c r="AE74" i="4"/>
  <c r="AB154" i="7"/>
  <c r="AD154" i="7"/>
  <c r="AF117" i="7"/>
  <c r="AA117" i="7"/>
  <c r="AD117" i="7"/>
  <c r="AA136" i="5"/>
  <c r="AC136" i="5"/>
  <c r="F141" i="5"/>
  <c r="G141" i="5" s="1"/>
  <c r="D198" i="5"/>
  <c r="F105" i="5"/>
  <c r="G105" i="5" s="1"/>
  <c r="F99" i="7"/>
  <c r="G99" i="7" s="1"/>
  <c r="D201" i="5"/>
  <c r="Z28" i="7"/>
  <c r="AD28" i="7"/>
  <c r="D153" i="6"/>
  <c r="AB97" i="7"/>
  <c r="AD97" i="7"/>
  <c r="D172" i="5"/>
  <c r="AE46" i="4"/>
  <c r="AE56" i="4"/>
  <c r="AE101" i="4"/>
  <c r="AE139" i="4"/>
  <c r="AU139" i="4"/>
  <c r="Y23" i="6"/>
  <c r="AD23" i="6"/>
  <c r="AB86" i="7"/>
  <c r="AC86" i="7"/>
  <c r="D172" i="7"/>
  <c r="F102" i="5"/>
  <c r="G102" i="5" s="1"/>
  <c r="F80" i="6"/>
  <c r="G80" i="6" s="1"/>
  <c r="AB88" i="7"/>
  <c r="AC88" i="7"/>
  <c r="F83" i="6"/>
  <c r="G83" i="6" s="1"/>
  <c r="D191" i="7"/>
  <c r="E191" i="7"/>
  <c r="D157" i="6"/>
  <c r="E157" i="6"/>
  <c r="D202" i="7"/>
  <c r="F111" i="5"/>
  <c r="G111" i="5" s="1"/>
  <c r="Y48" i="6"/>
  <c r="AD48" i="6"/>
  <c r="Z31" i="7"/>
  <c r="AC31" i="7"/>
  <c r="D220" i="6"/>
  <c r="F220" i="6" s="1"/>
  <c r="E220" i="6"/>
  <c r="E208" i="7"/>
  <c r="D208" i="7"/>
  <c r="Z34" i="6"/>
  <c r="AD34" i="6"/>
  <c r="F140" i="7"/>
  <c r="G140" i="7" s="1"/>
  <c r="F82" i="6"/>
  <c r="G82" i="6" s="1"/>
  <c r="AA113" i="7"/>
  <c r="AD113" i="7"/>
  <c r="E209" i="5"/>
  <c r="D209" i="5"/>
  <c r="F209" i="5" s="1"/>
  <c r="D164" i="6"/>
  <c r="D204" i="5"/>
  <c r="D163" i="6"/>
  <c r="F89" i="6"/>
  <c r="G89" i="6" s="1"/>
  <c r="D202" i="5"/>
  <c r="E202" i="5" s="1"/>
  <c r="D213" i="5"/>
  <c r="E213" i="5" s="1"/>
  <c r="F107" i="7"/>
  <c r="G107" i="7" s="1"/>
  <c r="Z15" i="7"/>
  <c r="AC15" i="7"/>
  <c r="D215" i="6"/>
  <c r="F215" i="6" s="1"/>
  <c r="F89" i="5"/>
  <c r="G89" i="5" s="1"/>
  <c r="D182" i="7"/>
  <c r="E182" i="7"/>
  <c r="E226" i="7"/>
  <c r="D226" i="7"/>
  <c r="F96" i="5"/>
  <c r="G96" i="5" s="1"/>
  <c r="F105" i="7"/>
  <c r="G105" i="7" s="1"/>
  <c r="AE22" i="4"/>
  <c r="AU22" i="4"/>
  <c r="AE10" i="4"/>
  <c r="AU10" i="4"/>
  <c r="AE27" i="4"/>
  <c r="AE68" i="4"/>
  <c r="AU68" i="4"/>
  <c r="AE44" i="4"/>
  <c r="AU44" i="4"/>
  <c r="AE100" i="4"/>
  <c r="AE63" i="4"/>
  <c r="AE131" i="4"/>
  <c r="AE151" i="4"/>
  <c r="AU151" i="4"/>
  <c r="Y56" i="7"/>
  <c r="AD56" i="7"/>
  <c r="AB83" i="5"/>
  <c r="AC83" i="5"/>
  <c r="Y24" i="5"/>
  <c r="AD24" i="5"/>
  <c r="AA84" i="7"/>
  <c r="AD84" i="7"/>
  <c r="Y47" i="7"/>
  <c r="AC47" i="7"/>
  <c r="Z32" i="7"/>
  <c r="AC32" i="7"/>
  <c r="Y46" i="5"/>
  <c r="AC46" i="5"/>
  <c r="Y54" i="7"/>
  <c r="AC54" i="7"/>
  <c r="Y60" i="7"/>
  <c r="AD60" i="7"/>
  <c r="D202" i="6"/>
  <c r="D177" i="7"/>
  <c r="E177" i="7"/>
  <c r="D183" i="6"/>
  <c r="E183" i="6" s="1"/>
  <c r="D214" i="5"/>
  <c r="F214" i="5" s="1"/>
  <c r="AE141" i="4"/>
  <c r="Y44" i="5"/>
  <c r="AD44" i="5"/>
  <c r="Z19" i="6"/>
  <c r="AD19" i="6"/>
  <c r="AD159" i="6" s="1"/>
  <c r="Y51" i="7"/>
  <c r="AF51" i="7"/>
  <c r="AD51" i="7"/>
  <c r="AD158" i="7" s="1"/>
  <c r="D219" i="5"/>
  <c r="E219" i="5"/>
  <c r="AA125" i="6"/>
  <c r="AD125" i="6"/>
  <c r="E219" i="7"/>
  <c r="D219" i="7"/>
  <c r="AB78" i="5"/>
  <c r="AC78" i="5"/>
  <c r="Y58" i="5"/>
  <c r="AD58" i="5"/>
  <c r="Y45" i="5"/>
  <c r="AC45" i="5"/>
  <c r="D195" i="6"/>
  <c r="F195" i="6" s="1"/>
  <c r="Z69" i="6"/>
  <c r="AC69" i="6"/>
  <c r="D186" i="7"/>
  <c r="E186" i="7" s="1"/>
  <c r="AE81" i="4"/>
  <c r="F122" i="7"/>
  <c r="G122" i="7" s="1"/>
  <c r="F115" i="7"/>
  <c r="G115" i="7" s="1"/>
  <c r="D222" i="5"/>
  <c r="F222" i="5" s="1"/>
  <c r="F112" i="6"/>
  <c r="G112" i="6" s="1"/>
  <c r="D155" i="7"/>
  <c r="E155" i="7"/>
  <c r="AE26" i="4"/>
  <c r="D207" i="7"/>
  <c r="E207" i="7" s="1"/>
  <c r="F128" i="7"/>
  <c r="G128" i="7" s="1"/>
  <c r="Z61" i="7"/>
  <c r="AC61" i="7"/>
  <c r="AB142" i="7"/>
  <c r="AC142" i="7"/>
  <c r="E206" i="7"/>
  <c r="D206" i="7"/>
  <c r="AE43" i="4"/>
  <c r="AE132" i="4"/>
  <c r="AU132" i="4"/>
  <c r="AU93" i="4"/>
  <c r="AE93" i="4"/>
  <c r="AA96" i="5"/>
  <c r="AD96" i="5"/>
  <c r="D214" i="7"/>
  <c r="F214" i="7" s="1"/>
  <c r="D224" i="5"/>
  <c r="F224" i="5" s="1"/>
  <c r="E224" i="5"/>
  <c r="E190" i="6"/>
  <c r="D190" i="6"/>
  <c r="F190" i="6" s="1"/>
  <c r="D161" i="6"/>
  <c r="E161" i="6" s="1"/>
  <c r="AE47" i="4"/>
  <c r="AU47" i="4"/>
  <c r="AE105" i="4"/>
  <c r="AU105" i="4"/>
  <c r="AA146" i="6"/>
  <c r="AD146" i="6"/>
  <c r="AE128" i="4"/>
  <c r="AU128" i="4"/>
  <c r="D179" i="5"/>
  <c r="E179" i="5"/>
  <c r="Z74" i="6"/>
  <c r="AD74" i="6"/>
  <c r="D227" i="5"/>
  <c r="E173" i="6"/>
  <c r="D173" i="6"/>
  <c r="AA90" i="7"/>
  <c r="AD90" i="7"/>
  <c r="D164" i="5"/>
  <c r="E225" i="7"/>
  <c r="D225" i="7"/>
  <c r="D167" i="6"/>
  <c r="D211" i="5"/>
  <c r="F211" i="5" s="1"/>
  <c r="AA108" i="6"/>
  <c r="AD108" i="6"/>
  <c r="E187" i="7"/>
  <c r="D187" i="7"/>
  <c r="F187" i="7" s="1"/>
  <c r="Y23" i="7"/>
  <c r="AD23" i="7"/>
  <c r="AE23" i="4"/>
  <c r="AU23" i="4"/>
  <c r="AU41" i="4"/>
  <c r="AE41" i="4"/>
  <c r="AU142" i="4"/>
  <c r="AE142" i="4"/>
  <c r="AA90" i="6"/>
  <c r="AD90" i="6"/>
  <c r="AA102" i="5"/>
  <c r="AD102" i="5"/>
  <c r="Y24" i="7"/>
  <c r="AD24" i="7"/>
  <c r="D226" i="6"/>
  <c r="Z72" i="5"/>
  <c r="AD72" i="5"/>
  <c r="F123" i="5"/>
  <c r="G123" i="5" s="1"/>
  <c r="F111" i="7"/>
  <c r="G111" i="7" s="1"/>
  <c r="F112" i="7"/>
  <c r="G112" i="7" s="1"/>
  <c r="F98" i="5"/>
  <c r="G98" i="5" s="1"/>
  <c r="AB154" i="6"/>
  <c r="AD154" i="6"/>
  <c r="AE159" i="7"/>
  <c r="AE158" i="7"/>
  <c r="D165" i="6"/>
  <c r="D168" i="6"/>
  <c r="F90" i="7"/>
  <c r="G90" i="7" s="1"/>
  <c r="AA102" i="6"/>
  <c r="AD102" i="6"/>
  <c r="D196" i="5"/>
  <c r="E196" i="5"/>
  <c r="AB144" i="5"/>
  <c r="AC144" i="5"/>
  <c r="D199" i="6"/>
  <c r="E199" i="6"/>
  <c r="Z12" i="7"/>
  <c r="AC12" i="7"/>
  <c r="F124" i="6"/>
  <c r="G124" i="6" s="1"/>
  <c r="F97" i="5"/>
  <c r="G97" i="5" s="1"/>
  <c r="F143" i="5"/>
  <c r="G143" i="5" s="1"/>
  <c r="D174" i="6"/>
  <c r="F68" i="5"/>
  <c r="G68" i="5" s="1"/>
  <c r="F101" i="5"/>
  <c r="G101" i="5" s="1"/>
  <c r="D192" i="7"/>
  <c r="E228" i="7"/>
  <c r="D228" i="7"/>
  <c r="F108" i="5"/>
  <c r="G108" i="5" s="1"/>
  <c r="D174" i="5"/>
  <c r="AA108" i="7"/>
  <c r="AD108" i="7"/>
  <c r="Y68" i="7"/>
  <c r="AC68" i="7"/>
  <c r="E181" i="5"/>
  <c r="D181" i="5"/>
  <c r="F181" i="5" s="1"/>
  <c r="F83" i="5"/>
  <c r="G83" i="5" s="1"/>
  <c r="E190" i="7"/>
  <c r="D190" i="7"/>
  <c r="F190" i="7" s="1"/>
  <c r="Q143" i="4"/>
  <c r="Q134" i="4"/>
  <c r="Q118" i="4"/>
  <c r="Q102" i="4"/>
  <c r="Q129" i="4"/>
  <c r="Q113" i="4"/>
  <c r="Q152" i="4"/>
  <c r="Q124" i="4"/>
  <c r="Q108" i="4"/>
  <c r="Q135" i="4"/>
  <c r="Q147" i="4"/>
  <c r="Q130" i="4"/>
  <c r="Q114" i="4"/>
  <c r="Q146" i="4"/>
  <c r="Q140" i="4"/>
  <c r="Q148" i="4"/>
  <c r="Q126" i="4"/>
  <c r="Q110" i="4"/>
  <c r="Q131" i="4"/>
  <c r="Q128" i="4"/>
  <c r="Q109" i="4"/>
  <c r="Q144" i="4"/>
  <c r="Q132" i="4"/>
  <c r="Q107" i="4"/>
  <c r="Q151" i="4"/>
  <c r="Q111" i="4"/>
  <c r="Q150" i="4"/>
  <c r="Q149" i="4"/>
  <c r="Q133" i="4"/>
  <c r="Q141" i="4"/>
  <c r="Q139" i="4"/>
  <c r="Q137" i="4"/>
  <c r="Q121" i="4"/>
  <c r="Q136" i="4"/>
  <c r="Q127" i="4"/>
  <c r="Q119" i="4"/>
  <c r="Q115" i="4"/>
  <c r="Q89" i="4"/>
  <c r="Q74" i="4"/>
  <c r="Q142" i="4"/>
  <c r="Q84" i="4"/>
  <c r="Q69" i="4"/>
  <c r="Q98" i="4"/>
  <c r="Q95" i="4"/>
  <c r="Q79" i="4"/>
  <c r="Q64" i="4"/>
  <c r="Q123" i="4"/>
  <c r="Q117" i="4"/>
  <c r="Q103" i="4"/>
  <c r="Q100" i="4"/>
  <c r="Q99" i="4"/>
  <c r="Q90" i="4"/>
  <c r="Q104" i="4"/>
  <c r="Q101" i="4"/>
  <c r="Q96" i="4"/>
  <c r="Q120" i="4"/>
  <c r="Q81" i="4"/>
  <c r="Q66" i="4"/>
  <c r="Q82" i="4"/>
  <c r="Q65" i="4"/>
  <c r="Q60" i="4"/>
  <c r="Q44" i="4"/>
  <c r="Q85" i="4"/>
  <c r="Q63" i="4"/>
  <c r="Q55" i="4"/>
  <c r="Q145" i="4"/>
  <c r="Q106" i="4"/>
  <c r="Q105" i="4"/>
  <c r="Q83" i="4"/>
  <c r="Q67" i="4"/>
  <c r="Q50" i="4"/>
  <c r="Q97" i="4"/>
  <c r="Q94" i="4"/>
  <c r="Q92" i="4"/>
  <c r="Q86" i="4"/>
  <c r="Q70" i="4"/>
  <c r="Q61" i="4"/>
  <c r="Q45" i="4"/>
  <c r="Q116" i="4"/>
  <c r="Q87" i="4"/>
  <c r="Q138" i="4"/>
  <c r="Q73" i="4"/>
  <c r="Q52" i="4"/>
  <c r="Q76" i="4"/>
  <c r="Q56" i="4"/>
  <c r="Q93" i="4"/>
  <c r="Q54" i="4"/>
  <c r="Q26" i="4"/>
  <c r="Q125" i="4"/>
  <c r="Q57" i="4"/>
  <c r="Q37" i="4"/>
  <c r="Q21" i="4"/>
  <c r="Q58" i="4"/>
  <c r="Q32" i="4"/>
  <c r="Q40" i="4"/>
  <c r="Q75" i="4"/>
  <c r="Q62" i="4"/>
  <c r="Q59" i="4"/>
  <c r="Q38" i="4"/>
  <c r="Q22" i="4"/>
  <c r="Q41" i="4"/>
  <c r="Q88" i="4"/>
  <c r="Q42" i="4"/>
  <c r="Q112" i="4"/>
  <c r="Q78" i="4"/>
  <c r="Q72" i="4"/>
  <c r="Q23" i="4"/>
  <c r="Q77" i="4"/>
  <c r="Q48" i="4"/>
  <c r="Q91" i="4"/>
  <c r="Q71" i="4"/>
  <c r="Q30" i="4"/>
  <c r="Q33" i="4"/>
  <c r="Q10" i="4"/>
  <c r="Q8" i="4"/>
  <c r="Q34" i="4"/>
  <c r="Q31" i="4"/>
  <c r="Q53" i="4"/>
  <c r="Q35" i="4"/>
  <c r="Q11" i="4"/>
  <c r="Q43" i="4"/>
  <c r="Q17" i="4"/>
  <c r="Q49" i="4"/>
  <c r="Q36" i="4"/>
  <c r="Q18" i="4"/>
  <c r="Q16" i="4"/>
  <c r="Q12" i="4"/>
  <c r="Q19" i="4"/>
  <c r="Q39" i="4"/>
  <c r="Q24" i="4"/>
  <c r="Q20" i="4"/>
  <c r="Q15" i="4"/>
  <c r="Q122" i="4"/>
  <c r="Q51" i="4"/>
  <c r="Q46" i="4"/>
  <c r="Q80" i="4"/>
  <c r="Q28" i="4"/>
  <c r="Q153" i="4"/>
  <c r="Q68" i="4"/>
  <c r="Q47" i="4"/>
  <c r="Q29" i="4"/>
  <c r="Q13" i="4"/>
  <c r="Q9" i="4"/>
  <c r="Q27" i="4"/>
  <c r="Q14" i="4"/>
  <c r="Q25" i="4"/>
  <c r="Q7" i="4"/>
  <c r="Q6" i="4"/>
  <c r="AE19" i="4"/>
  <c r="AE33" i="4"/>
  <c r="AU33" i="4"/>
  <c r="AU61" i="4"/>
  <c r="AE61" i="4"/>
  <c r="AU57" i="4"/>
  <c r="AE57" i="4"/>
  <c r="AE65" i="4"/>
  <c r="AU65" i="4"/>
  <c r="AE117" i="4"/>
  <c r="AE94" i="4"/>
  <c r="AU94" i="4"/>
  <c r="AE119" i="4"/>
  <c r="AE144" i="4"/>
  <c r="AU144" i="4"/>
  <c r="AB88" i="5"/>
  <c r="AC88" i="5"/>
  <c r="AB97" i="5"/>
  <c r="AD97" i="5"/>
  <c r="Z12" i="5"/>
  <c r="AC12" i="5"/>
  <c r="AF135" i="7"/>
  <c r="AA135" i="7"/>
  <c r="AD135" i="7"/>
  <c r="AB80" i="5"/>
  <c r="AF80" i="5"/>
  <c r="AD80" i="5"/>
  <c r="Z27" i="5"/>
  <c r="AD27" i="5"/>
  <c r="AB154" i="5"/>
  <c r="AD154" i="5"/>
  <c r="Y50" i="5"/>
  <c r="AD50" i="5"/>
  <c r="E155" i="5"/>
  <c r="D155" i="5"/>
  <c r="AA96" i="7"/>
  <c r="AD96" i="7"/>
  <c r="AF98" i="5"/>
  <c r="AA98" i="5"/>
  <c r="AD98" i="5"/>
  <c r="F127" i="5"/>
  <c r="G127" i="5" s="1"/>
  <c r="Z32" i="5"/>
  <c r="AC32" i="5"/>
  <c r="HK6" i="2"/>
  <c r="HL6" i="2"/>
  <c r="D207" i="6"/>
  <c r="E207" i="6"/>
  <c r="D206" i="6"/>
  <c r="E206" i="6" s="1"/>
  <c r="D191" i="6"/>
  <c r="AE9" i="4"/>
  <c r="AE97" i="4"/>
  <c r="D211" i="7"/>
  <c r="F211" i="7" s="1"/>
  <c r="E165" i="5"/>
  <c r="D165" i="5"/>
  <c r="D225" i="6"/>
  <c r="E225" i="6"/>
  <c r="D222" i="6"/>
  <c r="F222" i="6" s="1"/>
  <c r="E222" i="6"/>
  <c r="AB151" i="6"/>
  <c r="AD151" i="6"/>
  <c r="AB81" i="7"/>
  <c r="AB159" i="7" s="1"/>
  <c r="AC81" i="7"/>
  <c r="AU18" i="4"/>
  <c r="AE18" i="4"/>
  <c r="AE49" i="4"/>
  <c r="AE133" i="4"/>
  <c r="E156" i="7"/>
  <c r="D156" i="7"/>
  <c r="AB138" i="6"/>
  <c r="AC138" i="6"/>
  <c r="AU13" i="4"/>
  <c r="AE13" i="4"/>
  <c r="D181" i="6"/>
  <c r="F181" i="6" s="1"/>
  <c r="E181" i="6"/>
  <c r="Y59" i="6"/>
  <c r="AD59" i="6"/>
  <c r="D209" i="7"/>
  <c r="F209" i="7" s="1"/>
  <c r="AE28" i="4"/>
  <c r="AU28" i="4"/>
  <c r="AE102" i="4"/>
  <c r="Z20" i="5"/>
  <c r="AC20" i="5"/>
  <c r="AB143" i="6"/>
  <c r="AC143" i="6"/>
  <c r="Z61" i="5"/>
  <c r="AC61" i="5"/>
  <c r="D221" i="6"/>
  <c r="F221" i="6" s="1"/>
  <c r="E221" i="6"/>
  <c r="E205" i="7"/>
  <c r="D205" i="7"/>
  <c r="AE54" i="4"/>
  <c r="AU54" i="4"/>
  <c r="AE118" i="4"/>
  <c r="Y60" i="5"/>
  <c r="AD60" i="5"/>
  <c r="AA146" i="5"/>
  <c r="AD146" i="5"/>
  <c r="AA126" i="5"/>
  <c r="AF126" i="5"/>
  <c r="AD126" i="5"/>
  <c r="D185" i="6"/>
  <c r="E185" i="6" s="1"/>
  <c r="F86" i="6"/>
  <c r="G86" i="6" s="1"/>
  <c r="F76" i="6"/>
  <c r="G76" i="6" s="1"/>
  <c r="AE88" i="4"/>
  <c r="AE108" i="4"/>
  <c r="AU108" i="4"/>
  <c r="E166" i="6"/>
  <c r="D166" i="6"/>
  <c r="D165" i="7"/>
  <c r="AB79" i="7"/>
  <c r="AC79" i="7"/>
  <c r="D205" i="6"/>
  <c r="D160" i="7"/>
  <c r="AE96" i="4"/>
  <c r="AU96" i="4"/>
  <c r="AE109" i="4"/>
  <c r="AU109" i="4"/>
  <c r="AA109" i="5"/>
  <c r="AD109" i="5"/>
  <c r="AB153" i="6"/>
  <c r="AD153" i="6"/>
  <c r="D183" i="7"/>
  <c r="D220" i="7"/>
  <c r="F220" i="7" s="1"/>
  <c r="AE125" i="4"/>
  <c r="Z67" i="5"/>
  <c r="AD67" i="5"/>
  <c r="Z20" i="6"/>
  <c r="Z158" i="6" s="1"/>
  <c r="AC20" i="6"/>
  <c r="D172" i="6"/>
  <c r="D154" i="6"/>
  <c r="D177" i="6"/>
  <c r="E177" i="6"/>
  <c r="E163" i="5"/>
  <c r="D163" i="5"/>
  <c r="D222" i="7"/>
  <c r="F222" i="7" s="1"/>
  <c r="D195" i="7"/>
  <c r="F195" i="7" s="1"/>
  <c r="AU40" i="4"/>
  <c r="AE40" i="4"/>
  <c r="AU103" i="4"/>
  <c r="AE103" i="4"/>
  <c r="AE78" i="4"/>
  <c r="AB86" i="5"/>
  <c r="AC86" i="5"/>
  <c r="AB148" i="6"/>
  <c r="AC148" i="6"/>
  <c r="AF131" i="6"/>
  <c r="AA131" i="6"/>
  <c r="AD131" i="6"/>
  <c r="D159" i="5"/>
  <c r="E159" i="5"/>
  <c r="Y25" i="6"/>
  <c r="AD25" i="6"/>
  <c r="E217" i="5"/>
  <c r="D217" i="5"/>
  <c r="F217" i="5" s="1"/>
  <c r="D167" i="5"/>
  <c r="E167" i="5" s="1"/>
  <c r="E199" i="5"/>
  <c r="D199" i="5"/>
  <c r="D209" i="6"/>
  <c r="F209" i="6" s="1"/>
  <c r="E209" i="6"/>
  <c r="D194" i="6"/>
  <c r="E194" i="6" s="1"/>
  <c r="D221" i="7"/>
  <c r="F221" i="7" s="1"/>
  <c r="D157" i="7"/>
  <c r="D204" i="6"/>
  <c r="E170" i="5"/>
  <c r="D170" i="5"/>
  <c r="AA124" i="7"/>
  <c r="AC124" i="7"/>
  <c r="E153" i="5"/>
  <c r="D153" i="5"/>
  <c r="D191" i="5"/>
  <c r="D186" i="5"/>
  <c r="E186" i="5" s="1"/>
  <c r="D195" i="5"/>
  <c r="F195" i="5" s="1"/>
  <c r="E195" i="5"/>
  <c r="D211" i="6"/>
  <c r="F211" i="6" s="1"/>
  <c r="D177" i="5"/>
  <c r="AE25" i="4"/>
  <c r="AU25" i="4"/>
  <c r="AE45" i="4"/>
  <c r="AU45" i="4"/>
  <c r="AE30" i="4"/>
  <c r="AE58" i="4"/>
  <c r="AE87" i="4"/>
  <c r="AE82" i="4"/>
  <c r="AE126" i="4"/>
  <c r="AU126" i="4"/>
  <c r="AU111" i="4"/>
  <c r="AE111" i="4"/>
  <c r="AE135" i="4"/>
  <c r="AU149" i="4"/>
  <c r="AE149" i="4"/>
  <c r="X159" i="6"/>
  <c r="Y54" i="6"/>
  <c r="AC54" i="6"/>
  <c r="Z21" i="5"/>
  <c r="AD21" i="5"/>
  <c r="D212" i="5"/>
  <c r="Y47" i="5"/>
  <c r="AC47" i="5"/>
  <c r="Y45" i="7"/>
  <c r="AC45" i="7"/>
  <c r="E200" i="6"/>
  <c r="D200" i="6"/>
  <c r="Z72" i="7"/>
  <c r="AD72" i="7"/>
  <c r="D176" i="6"/>
  <c r="F176" i="6" s="1"/>
  <c r="AE16" i="4"/>
  <c r="AU124" i="4"/>
  <c r="AE124" i="4"/>
  <c r="D218" i="6"/>
  <c r="E218" i="6" s="1"/>
  <c r="AB148" i="5"/>
  <c r="AC148" i="5"/>
  <c r="D229" i="5"/>
  <c r="AA123" i="7"/>
  <c r="AD123" i="7"/>
  <c r="F89" i="7"/>
  <c r="G89" i="7" s="1"/>
  <c r="F99" i="6"/>
  <c r="G99" i="6" s="1"/>
  <c r="AE158" i="6"/>
  <c r="AE159" i="6"/>
  <c r="D217" i="6"/>
  <c r="F217" i="6" s="1"/>
  <c r="E217" i="6"/>
  <c r="D154" i="5"/>
  <c r="E154" i="5" s="1"/>
  <c r="AE129" i="4"/>
  <c r="AU129" i="4"/>
  <c r="AF141" i="7"/>
  <c r="AA141" i="7"/>
  <c r="AD141" i="7"/>
  <c r="Z18" i="7"/>
  <c r="AC18" i="7"/>
  <c r="D208" i="6"/>
  <c r="E208" i="6" s="1"/>
  <c r="D216" i="5"/>
  <c r="F216" i="5" s="1"/>
  <c r="E185" i="7"/>
  <c r="D185" i="7"/>
  <c r="D178" i="7"/>
  <c r="E178" i="7"/>
  <c r="AA113" i="6"/>
  <c r="AD113" i="6"/>
  <c r="D223" i="6"/>
  <c r="E223" i="6"/>
  <c r="AE24" i="4"/>
  <c r="AU24" i="4"/>
  <c r="AU146" i="4"/>
  <c r="AE146" i="4"/>
  <c r="AA137" i="5"/>
  <c r="AC137" i="5"/>
  <c r="D201" i="6"/>
  <c r="E201" i="6"/>
  <c r="AU71" i="4"/>
  <c r="AE71" i="4"/>
  <c r="AA96" i="6"/>
  <c r="AD96" i="6"/>
  <c r="AF135" i="5"/>
  <c r="AA135" i="5"/>
  <c r="AD135" i="5"/>
  <c r="D192" i="5"/>
  <c r="E192" i="5" s="1"/>
  <c r="D223" i="7"/>
  <c r="F120" i="6"/>
  <c r="G120" i="6" s="1"/>
  <c r="F139" i="5"/>
  <c r="G139" i="5" s="1"/>
  <c r="AE84" i="4"/>
  <c r="AU84" i="4"/>
  <c r="AB151" i="7"/>
  <c r="AD151" i="7"/>
  <c r="D215" i="5"/>
  <c r="F215" i="5" s="1"/>
  <c r="E171" i="6"/>
  <c r="D171" i="6"/>
  <c r="AU145" i="4"/>
  <c r="AE145" i="4"/>
  <c r="D216" i="6"/>
  <c r="F216" i="6" s="1"/>
  <c r="Z62" i="5"/>
  <c r="AC62" i="5"/>
  <c r="E175" i="6"/>
  <c r="D175" i="6"/>
  <c r="AE123" i="4"/>
  <c r="AU123" i="4"/>
  <c r="Z73" i="5"/>
  <c r="Y73" i="5"/>
  <c r="AC73" i="5"/>
  <c r="E187" i="5"/>
  <c r="D187" i="5"/>
  <c r="F187" i="5" s="1"/>
  <c r="D176" i="7"/>
  <c r="F176" i="7" s="1"/>
  <c r="E176" i="7"/>
  <c r="Z18" i="6"/>
  <c r="Z159" i="6" s="1"/>
  <c r="AC18" i="6"/>
  <c r="AC159" i="6" s="1"/>
  <c r="D169" i="5"/>
  <c r="E169" i="5" s="1"/>
  <c r="Y75" i="7"/>
  <c r="AC75" i="7"/>
  <c r="D217" i="7"/>
  <c r="F217" i="7" s="1"/>
  <c r="D180" i="6"/>
  <c r="AE32" i="4"/>
  <c r="AE60" i="4"/>
  <c r="AU60" i="4"/>
  <c r="AU150" i="4"/>
  <c r="AE150" i="4"/>
  <c r="AF80" i="6"/>
  <c r="AB80" i="6"/>
  <c r="AD80" i="6"/>
  <c r="Z64" i="7"/>
  <c r="AC64" i="7"/>
  <c r="D203" i="5"/>
  <c r="E203" i="5"/>
  <c r="E208" i="5"/>
  <c r="D208" i="5"/>
  <c r="AB144" i="6"/>
  <c r="AC144" i="6"/>
  <c r="D200" i="5"/>
  <c r="E200" i="5"/>
  <c r="D196" i="7"/>
  <c r="D197" i="7"/>
  <c r="D183" i="5"/>
  <c r="E153" i="7"/>
  <c r="D153" i="7"/>
  <c r="F144" i="5"/>
  <c r="G144" i="5" s="1"/>
  <c r="F67" i="7"/>
  <c r="G67" i="7" s="1"/>
  <c r="D175" i="7"/>
  <c r="E175" i="7" s="1"/>
  <c r="F92" i="7"/>
  <c r="G92" i="7" s="1"/>
  <c r="F88" i="7"/>
  <c r="G88" i="7" s="1"/>
  <c r="F78" i="7"/>
  <c r="G78" i="7" s="1"/>
  <c r="F101" i="6"/>
  <c r="G101" i="6" s="1"/>
  <c r="F76" i="5"/>
  <c r="G76" i="5" s="1"/>
  <c r="F91" i="6"/>
  <c r="G91" i="6" s="1"/>
  <c r="D158" i="7"/>
  <c r="E158" i="7" s="1"/>
  <c r="D182" i="5"/>
  <c r="E182" i="5" s="1"/>
  <c r="F126" i="7"/>
  <c r="G126" i="7" s="1"/>
  <c r="D228" i="5"/>
  <c r="F134" i="7"/>
  <c r="G134" i="7" s="1"/>
  <c r="F80" i="5"/>
  <c r="G80" i="5" s="1"/>
  <c r="F104" i="7"/>
  <c r="G104" i="7" s="1"/>
  <c r="F137" i="6"/>
  <c r="G137" i="6" s="1"/>
  <c r="F122" i="6"/>
  <c r="G122" i="6" s="1"/>
  <c r="F127" i="7"/>
  <c r="G127" i="7" s="1"/>
  <c r="D193" i="5"/>
  <c r="F95" i="5"/>
  <c r="G95" i="5" s="1"/>
  <c r="F135" i="5"/>
  <c r="G135" i="5" s="1"/>
  <c r="F106" i="6"/>
  <c r="G106" i="6" s="1"/>
  <c r="AF51" i="5"/>
  <c r="Y51" i="5"/>
  <c r="AD51" i="5"/>
  <c r="D168" i="5"/>
  <c r="AU14" i="4"/>
  <c r="AE14" i="4"/>
  <c r="AE12" i="4"/>
  <c r="AE112" i="4"/>
  <c r="AU112" i="4"/>
  <c r="AE21" i="4"/>
  <c r="AU21" i="4"/>
  <c r="AE116" i="4"/>
  <c r="AU116" i="4"/>
  <c r="AU114" i="4"/>
  <c r="AE114" i="4"/>
  <c r="AE64" i="4"/>
  <c r="AE121" i="4"/>
  <c r="AU121" i="4"/>
  <c r="AU152" i="4"/>
  <c r="AE152" i="4"/>
  <c r="AE143" i="4"/>
  <c r="Y47" i="6"/>
  <c r="AC47" i="6"/>
  <c r="X158" i="6"/>
  <c r="AF131" i="5"/>
  <c r="AA131" i="5"/>
  <c r="AD131" i="5"/>
  <c r="AB149" i="5"/>
  <c r="AC149" i="5"/>
  <c r="Z19" i="5"/>
  <c r="AD19" i="5"/>
  <c r="AD158" i="5" s="1"/>
  <c r="Z76" i="5"/>
  <c r="AD76" i="5"/>
  <c r="Z31" i="6"/>
  <c r="AC31" i="6"/>
  <c r="AB142" i="5"/>
  <c r="AC142" i="5"/>
  <c r="AA139" i="5"/>
  <c r="AC139" i="5"/>
  <c r="AA147" i="7"/>
  <c r="AC147" i="7"/>
  <c r="Z28" i="6"/>
  <c r="AD28" i="6"/>
  <c r="AA84" i="5"/>
  <c r="AD84" i="5"/>
  <c r="Z161" i="6" l="1"/>
  <c r="Z160" i="6"/>
  <c r="AD161" i="6"/>
  <c r="AD160" i="6"/>
  <c r="AC161" i="6"/>
  <c r="AC160" i="6"/>
  <c r="AB161" i="7"/>
  <c r="AB160" i="7"/>
  <c r="F191" i="6"/>
  <c r="F188" i="5"/>
  <c r="F156" i="5"/>
  <c r="F223" i="7"/>
  <c r="F177" i="7"/>
  <c r="AV97" i="4"/>
  <c r="E197" i="6"/>
  <c r="F197" i="6" s="1"/>
  <c r="F196" i="7"/>
  <c r="F205" i="6"/>
  <c r="AC158" i="6"/>
  <c r="E221" i="5"/>
  <c r="AV115" i="4"/>
  <c r="F189" i="5"/>
  <c r="AU140" i="4"/>
  <c r="E210" i="6"/>
  <c r="F200" i="5"/>
  <c r="F171" i="6"/>
  <c r="AU87" i="4"/>
  <c r="F163" i="5"/>
  <c r="F156" i="7"/>
  <c r="F165" i="5"/>
  <c r="AV6" i="4"/>
  <c r="AV15" i="4"/>
  <c r="AV34" i="4"/>
  <c r="AV22" i="4"/>
  <c r="AV76" i="4"/>
  <c r="F228" i="7"/>
  <c r="F225" i="7"/>
  <c r="AU26" i="4"/>
  <c r="F208" i="7"/>
  <c r="AU46" i="4"/>
  <c r="AU92" i="4"/>
  <c r="AU147" i="4"/>
  <c r="T139" i="4"/>
  <c r="T150" i="4"/>
  <c r="T145" i="4"/>
  <c r="T140" i="4"/>
  <c r="T151" i="4"/>
  <c r="T147" i="4"/>
  <c r="T143" i="4"/>
  <c r="T152" i="4"/>
  <c r="T135" i="4"/>
  <c r="T119" i="4"/>
  <c r="T103" i="4"/>
  <c r="T130" i="4"/>
  <c r="T114" i="4"/>
  <c r="T98" i="4"/>
  <c r="T146" i="4"/>
  <c r="T125" i="4"/>
  <c r="T109" i="4"/>
  <c r="T136" i="4"/>
  <c r="T142" i="4"/>
  <c r="T131" i="4"/>
  <c r="T115" i="4"/>
  <c r="T127" i="4"/>
  <c r="T111" i="4"/>
  <c r="T133" i="4"/>
  <c r="T108" i="4"/>
  <c r="T149" i="4"/>
  <c r="T112" i="4"/>
  <c r="T148" i="4"/>
  <c r="T141" i="4"/>
  <c r="T137" i="4"/>
  <c r="T134" i="4"/>
  <c r="T123" i="4"/>
  <c r="T117" i="4"/>
  <c r="T113" i="4"/>
  <c r="T99" i="4"/>
  <c r="T90" i="4"/>
  <c r="T126" i="4"/>
  <c r="T100" i="4"/>
  <c r="T85" i="4"/>
  <c r="T70" i="4"/>
  <c r="T104" i="4"/>
  <c r="T101" i="4"/>
  <c r="T96" i="4"/>
  <c r="T80" i="4"/>
  <c r="T65" i="4"/>
  <c r="T138" i="4"/>
  <c r="T102" i="4"/>
  <c r="T91" i="4"/>
  <c r="T75" i="4"/>
  <c r="T105" i="4"/>
  <c r="T106" i="4"/>
  <c r="T82" i="4"/>
  <c r="T67" i="4"/>
  <c r="T94" i="4"/>
  <c r="T86" i="4"/>
  <c r="T64" i="4"/>
  <c r="T61" i="4"/>
  <c r="T45" i="4"/>
  <c r="T97" i="4"/>
  <c r="T92" i="4"/>
  <c r="T89" i="4"/>
  <c r="T84" i="4"/>
  <c r="T68" i="4"/>
  <c r="T56" i="4"/>
  <c r="T40" i="4"/>
  <c r="T107" i="4"/>
  <c r="T71" i="4"/>
  <c r="T51" i="4"/>
  <c r="T116" i="4"/>
  <c r="T87" i="4"/>
  <c r="T69" i="4"/>
  <c r="T62" i="4"/>
  <c r="T46" i="4"/>
  <c r="T128" i="4"/>
  <c r="T124" i="4"/>
  <c r="T153" i="4"/>
  <c r="T118" i="4"/>
  <c r="T110" i="4"/>
  <c r="T95" i="4"/>
  <c r="T93" i="4"/>
  <c r="T53" i="4"/>
  <c r="T73" i="4"/>
  <c r="T55" i="4"/>
  <c r="T79" i="4"/>
  <c r="T58" i="4"/>
  <c r="T27" i="4"/>
  <c r="T121" i="4"/>
  <c r="T81" i="4"/>
  <c r="T59" i="4"/>
  <c r="T38" i="4"/>
  <c r="T22" i="4"/>
  <c r="T83" i="4"/>
  <c r="T41" i="4"/>
  <c r="T33" i="4"/>
  <c r="T17" i="4"/>
  <c r="T88" i="4"/>
  <c r="T60" i="4"/>
  <c r="T78" i="4"/>
  <c r="T42" i="4"/>
  <c r="T23" i="4"/>
  <c r="T72" i="4"/>
  <c r="T43" i="4"/>
  <c r="T132" i="4"/>
  <c r="T120" i="4"/>
  <c r="T39" i="4"/>
  <c r="T129" i="4"/>
  <c r="T47" i="4"/>
  <c r="T44" i="4"/>
  <c r="T24" i="4"/>
  <c r="T52" i="4"/>
  <c r="T48" i="4"/>
  <c r="T34" i="4"/>
  <c r="T35" i="4"/>
  <c r="T32" i="4"/>
  <c r="T11" i="4"/>
  <c r="W2" i="4"/>
  <c r="T76" i="4"/>
  <c r="T57" i="4"/>
  <c r="T36" i="4"/>
  <c r="T144" i="4"/>
  <c r="T74" i="4"/>
  <c r="T49" i="4"/>
  <c r="T18" i="4"/>
  <c r="T12" i="4"/>
  <c r="T19" i="4"/>
  <c r="T54" i="4"/>
  <c r="T16" i="4"/>
  <c r="T20" i="4"/>
  <c r="T15" i="4"/>
  <c r="T13" i="4"/>
  <c r="T77" i="4"/>
  <c r="T50" i="4"/>
  <c r="U3" i="4"/>
  <c r="T63" i="4"/>
  <c r="T25" i="4"/>
  <c r="T21" i="4"/>
  <c r="T122" i="4"/>
  <c r="T14" i="4"/>
  <c r="T30" i="4"/>
  <c r="T66" i="4"/>
  <c r="T37" i="4"/>
  <c r="T31" i="4"/>
  <c r="T29" i="4"/>
  <c r="T26" i="4"/>
  <c r="T10" i="4"/>
  <c r="T28" i="4"/>
  <c r="T9" i="4"/>
  <c r="E189" i="5"/>
  <c r="F212" i="6"/>
  <c r="AU127" i="4"/>
  <c r="F189" i="6"/>
  <c r="F162" i="7"/>
  <c r="E163" i="7"/>
  <c r="F163" i="7" s="1"/>
  <c r="F227" i="6"/>
  <c r="E214" i="6"/>
  <c r="AU34" i="4"/>
  <c r="F157" i="7"/>
  <c r="AV125" i="4"/>
  <c r="F219" i="5"/>
  <c r="E215" i="7"/>
  <c r="AU82" i="4"/>
  <c r="E211" i="5"/>
  <c r="E187" i="6"/>
  <c r="F174" i="7"/>
  <c r="E205" i="6"/>
  <c r="HN6" i="2"/>
  <c r="HM6" i="2"/>
  <c r="E174" i="5"/>
  <c r="F174" i="5" s="1"/>
  <c r="AD159" i="7"/>
  <c r="AV109" i="4"/>
  <c r="F193" i="7"/>
  <c r="F157" i="5"/>
  <c r="F165" i="7"/>
  <c r="AE7" i="4"/>
  <c r="AV7" i="4"/>
  <c r="F152" i="6"/>
  <c r="F213" i="7"/>
  <c r="F178" i="7"/>
  <c r="E165" i="7"/>
  <c r="AU133" i="4"/>
  <c r="AV25" i="4"/>
  <c r="F196" i="5"/>
  <c r="F164" i="5"/>
  <c r="F155" i="7"/>
  <c r="AU131" i="4"/>
  <c r="F163" i="6"/>
  <c r="F172" i="5"/>
  <c r="F175" i="5"/>
  <c r="AU115" i="4"/>
  <c r="F201" i="7"/>
  <c r="AU130" i="4"/>
  <c r="AU17" i="4"/>
  <c r="F180" i="5"/>
  <c r="AU104" i="4"/>
  <c r="F179" i="6"/>
  <c r="F160" i="5"/>
  <c r="F228" i="6"/>
  <c r="E179" i="7"/>
  <c r="F179" i="7" s="1"/>
  <c r="AC158" i="5"/>
  <c r="AC159" i="5"/>
  <c r="F169" i="5"/>
  <c r="F201" i="5"/>
  <c r="F198" i="6"/>
  <c r="E224" i="6"/>
  <c r="F185" i="6"/>
  <c r="AV28" i="4"/>
  <c r="F218" i="5"/>
  <c r="E198" i="6"/>
  <c r="E157" i="7"/>
  <c r="AU27" i="4"/>
  <c r="AF159" i="6"/>
  <c r="AF158" i="6"/>
  <c r="E216" i="6"/>
  <c r="AV35" i="4"/>
  <c r="AV96" i="4"/>
  <c r="F223" i="6"/>
  <c r="E221" i="7"/>
  <c r="F199" i="6"/>
  <c r="E176" i="5"/>
  <c r="E180" i="7"/>
  <c r="F180" i="7" s="1"/>
  <c r="AV41" i="4"/>
  <c r="AU56" i="4"/>
  <c r="F183" i="7"/>
  <c r="AU119" i="4"/>
  <c r="F154" i="7"/>
  <c r="AU32" i="4"/>
  <c r="AB159" i="6"/>
  <c r="E183" i="7"/>
  <c r="AU143" i="4"/>
  <c r="F208" i="5"/>
  <c r="E215" i="5"/>
  <c r="F185" i="7"/>
  <c r="AU16" i="4"/>
  <c r="F153" i="5"/>
  <c r="F199" i="5"/>
  <c r="F177" i="6"/>
  <c r="F166" i="6"/>
  <c r="AU102" i="4"/>
  <c r="E211" i="7"/>
  <c r="AV14" i="4"/>
  <c r="AV39" i="4"/>
  <c r="E192" i="7"/>
  <c r="F192" i="7" s="1"/>
  <c r="E164" i="5"/>
  <c r="AU141" i="4"/>
  <c r="AU63" i="4"/>
  <c r="F226" i="7"/>
  <c r="E163" i="6"/>
  <c r="E172" i="5"/>
  <c r="E184" i="6"/>
  <c r="F184" i="6" s="1"/>
  <c r="E203" i="6"/>
  <c r="F203" i="6" s="1"/>
  <c r="F223" i="5"/>
  <c r="F159" i="6"/>
  <c r="AU55" i="4"/>
  <c r="E197" i="5"/>
  <c r="F197" i="5" s="1"/>
  <c r="AU107" i="4"/>
  <c r="F161" i="7"/>
  <c r="F207" i="5"/>
  <c r="AU66" i="4"/>
  <c r="E229" i="7"/>
  <c r="F229" i="7" s="1"/>
  <c r="F162" i="5"/>
  <c r="AU89" i="4"/>
  <c r="E228" i="6"/>
  <c r="X160" i="5"/>
  <c r="X161" i="5"/>
  <c r="AU52" i="4"/>
  <c r="E183" i="5"/>
  <c r="F183" i="5" s="1"/>
  <c r="F186" i="7"/>
  <c r="AV81" i="4"/>
  <c r="F225" i="5"/>
  <c r="F167" i="7"/>
  <c r="E211" i="6"/>
  <c r="AV26" i="4"/>
  <c r="F229" i="6"/>
  <c r="AV42" i="4"/>
  <c r="E181" i="7"/>
  <c r="Z159" i="7"/>
  <c r="Z158" i="7"/>
  <c r="E198" i="5"/>
  <c r="F198" i="5" s="1"/>
  <c r="F160" i="6"/>
  <c r="AE161" i="6"/>
  <c r="AE160" i="6"/>
  <c r="AU30" i="4"/>
  <c r="AU49" i="4"/>
  <c r="AU117" i="4"/>
  <c r="AV137" i="4"/>
  <c r="AV148" i="4"/>
  <c r="AU43" i="4"/>
  <c r="F194" i="5"/>
  <c r="F196" i="6"/>
  <c r="AU73" i="4"/>
  <c r="F184" i="7"/>
  <c r="F166" i="5"/>
  <c r="Z158" i="5"/>
  <c r="Z159" i="5"/>
  <c r="F173" i="5"/>
  <c r="AV23" i="4"/>
  <c r="AV69" i="4"/>
  <c r="F169" i="6"/>
  <c r="F171" i="5"/>
  <c r="AC158" i="7"/>
  <c r="AC159" i="7"/>
  <c r="E195" i="7"/>
  <c r="F179" i="5"/>
  <c r="E229" i="6"/>
  <c r="AV53" i="4"/>
  <c r="AB158" i="7"/>
  <c r="E219" i="6"/>
  <c r="F219" i="6" s="1"/>
  <c r="F186" i="5"/>
  <c r="AU110" i="4"/>
  <c r="F154" i="5"/>
  <c r="AV9" i="4"/>
  <c r="AV12" i="4"/>
  <c r="E222" i="5"/>
  <c r="AB158" i="5"/>
  <c r="AB159" i="5"/>
  <c r="E204" i="5"/>
  <c r="F204" i="5" s="1"/>
  <c r="E172" i="7"/>
  <c r="F172" i="7" s="1"/>
  <c r="E158" i="6"/>
  <c r="F158" i="6" s="1"/>
  <c r="F161" i="5"/>
  <c r="AU76" i="4"/>
  <c r="AU59" i="4"/>
  <c r="AU137" i="4"/>
  <c r="AU86" i="4"/>
  <c r="AU42" i="4"/>
  <c r="AU50" i="4"/>
  <c r="Y159" i="6"/>
  <c r="Y158" i="6"/>
  <c r="E177" i="5"/>
  <c r="F177" i="5" s="1"/>
  <c r="AV57" i="4"/>
  <c r="E156" i="5"/>
  <c r="AE160" i="7"/>
  <c r="AE161" i="7"/>
  <c r="E201" i="5"/>
  <c r="E205" i="5"/>
  <c r="F205" i="5" s="1"/>
  <c r="F212" i="7"/>
  <c r="AU125" i="4"/>
  <c r="F157" i="6"/>
  <c r="F188" i="6"/>
  <c r="AV152" i="4"/>
  <c r="F207" i="7"/>
  <c r="F186" i="6"/>
  <c r="E196" i="7"/>
  <c r="F212" i="5"/>
  <c r="AU19" i="4"/>
  <c r="E224" i="7"/>
  <c r="E212" i="5"/>
  <c r="E222" i="7"/>
  <c r="AV104" i="4"/>
  <c r="F202" i="5"/>
  <c r="AA159" i="6"/>
  <c r="AA158" i="6"/>
  <c r="AV20" i="4"/>
  <c r="F168" i="7"/>
  <c r="AU12" i="4"/>
  <c r="X160" i="6"/>
  <c r="X161" i="6"/>
  <c r="G66" i="7"/>
  <c r="AU118" i="4"/>
  <c r="F228" i="5"/>
  <c r="F203" i="5"/>
  <c r="F201" i="6"/>
  <c r="E216" i="5"/>
  <c r="AU78" i="4"/>
  <c r="AU9" i="4"/>
  <c r="AV91" i="4"/>
  <c r="AV45" i="4"/>
  <c r="AV44" i="4"/>
  <c r="AV64" i="4"/>
  <c r="AV141" i="4"/>
  <c r="AV146" i="4"/>
  <c r="F173" i="6"/>
  <c r="F206" i="7"/>
  <c r="F219" i="7"/>
  <c r="E214" i="5"/>
  <c r="AU100" i="4"/>
  <c r="F182" i="7"/>
  <c r="F164" i="6"/>
  <c r="F153" i="6"/>
  <c r="AU35" i="4"/>
  <c r="F171" i="7"/>
  <c r="E200" i="7"/>
  <c r="F200" i="7" s="1"/>
  <c r="F199" i="7"/>
  <c r="F189" i="7"/>
  <c r="AU90" i="4"/>
  <c r="S144" i="4"/>
  <c r="AV144" i="4" s="1"/>
  <c r="S150" i="4"/>
  <c r="AV150" i="4" s="1"/>
  <c r="S145" i="4"/>
  <c r="AV145" i="4" s="1"/>
  <c r="S151" i="4"/>
  <c r="AV151" i="4" s="1"/>
  <c r="S152" i="4"/>
  <c r="S148" i="4"/>
  <c r="S124" i="4"/>
  <c r="AV124" i="4" s="1"/>
  <c r="S108" i="4"/>
  <c r="AV108" i="4" s="1"/>
  <c r="S135" i="4"/>
  <c r="AV135" i="4" s="1"/>
  <c r="S119" i="4"/>
  <c r="AV119" i="4" s="1"/>
  <c r="S103" i="4"/>
  <c r="AV103" i="4" s="1"/>
  <c r="S147" i="4"/>
  <c r="AV147" i="4" s="1"/>
  <c r="S130" i="4"/>
  <c r="AV130" i="4" s="1"/>
  <c r="S114" i="4"/>
  <c r="AV114" i="4" s="1"/>
  <c r="S98" i="4"/>
  <c r="AV98" i="4" s="1"/>
  <c r="S146" i="4"/>
  <c r="S140" i="4"/>
  <c r="AV140" i="4" s="1"/>
  <c r="S136" i="4"/>
  <c r="AV136" i="4" s="1"/>
  <c r="S120" i="4"/>
  <c r="AV120" i="4" s="1"/>
  <c r="S104" i="4"/>
  <c r="S142" i="4"/>
  <c r="S132" i="4"/>
  <c r="AV132" i="4" s="1"/>
  <c r="S116" i="4"/>
  <c r="AV116" i="4" s="1"/>
  <c r="S100" i="4"/>
  <c r="AV100" i="4" s="1"/>
  <c r="S129" i="4"/>
  <c r="AV129" i="4" s="1"/>
  <c r="S111" i="4"/>
  <c r="S110" i="4"/>
  <c r="AV110" i="4" s="1"/>
  <c r="S133" i="4"/>
  <c r="AV133" i="4" s="1"/>
  <c r="S101" i="4"/>
  <c r="AV101" i="4" s="1"/>
  <c r="S149" i="4"/>
  <c r="S115" i="4"/>
  <c r="S112" i="4"/>
  <c r="S141" i="4"/>
  <c r="S139" i="4"/>
  <c r="AV139" i="4" s="1"/>
  <c r="S137" i="4"/>
  <c r="S134" i="4"/>
  <c r="AV134" i="4" s="1"/>
  <c r="S122" i="4"/>
  <c r="S95" i="4"/>
  <c r="S79" i="4"/>
  <c r="S64" i="4"/>
  <c r="S123" i="4"/>
  <c r="AV123" i="4" s="1"/>
  <c r="S117" i="4"/>
  <c r="AV117" i="4" s="1"/>
  <c r="S113" i="4"/>
  <c r="AV113" i="4" s="1"/>
  <c r="S99" i="4"/>
  <c r="AV99" i="4" s="1"/>
  <c r="S90" i="4"/>
  <c r="AV90" i="4" s="1"/>
  <c r="S126" i="4"/>
  <c r="AV126" i="4" s="1"/>
  <c r="S85" i="4"/>
  <c r="AV85" i="4" s="1"/>
  <c r="S70" i="4"/>
  <c r="S96" i="4"/>
  <c r="S80" i="4"/>
  <c r="AV80" i="4" s="1"/>
  <c r="S65" i="4"/>
  <c r="S138" i="4"/>
  <c r="AV138" i="4" s="1"/>
  <c r="S102" i="4"/>
  <c r="AV102" i="4" s="1"/>
  <c r="S91" i="4"/>
  <c r="S143" i="4"/>
  <c r="AV143" i="4" s="1"/>
  <c r="S87" i="4"/>
  <c r="AV87" i="4" s="1"/>
  <c r="S72" i="4"/>
  <c r="AV72" i="4" s="1"/>
  <c r="S127" i="4"/>
  <c r="AV127" i="4" s="1"/>
  <c r="S106" i="4"/>
  <c r="S83" i="4"/>
  <c r="AV83" i="4" s="1"/>
  <c r="S67" i="4"/>
  <c r="AV67" i="4" s="1"/>
  <c r="S66" i="4"/>
  <c r="AV66" i="4" s="1"/>
  <c r="S50" i="4"/>
  <c r="AV50" i="4" s="1"/>
  <c r="S105" i="4"/>
  <c r="AV105" i="4" s="1"/>
  <c r="S94" i="4"/>
  <c r="AV94" i="4" s="1"/>
  <c r="S86" i="4"/>
  <c r="AV86" i="4" s="1"/>
  <c r="S61" i="4"/>
  <c r="AV61" i="4" s="1"/>
  <c r="S45" i="4"/>
  <c r="S97" i="4"/>
  <c r="S92" i="4"/>
  <c r="AV92" i="4" s="1"/>
  <c r="S89" i="4"/>
  <c r="S84" i="4"/>
  <c r="AV84" i="4" s="1"/>
  <c r="S68" i="4"/>
  <c r="AV68" i="4" s="1"/>
  <c r="S56" i="4"/>
  <c r="AV56" i="4" s="1"/>
  <c r="S40" i="4"/>
  <c r="AV40" i="4" s="1"/>
  <c r="S131" i="4"/>
  <c r="AV131" i="4" s="1"/>
  <c r="S107" i="4"/>
  <c r="AV107" i="4" s="1"/>
  <c r="S71" i="4"/>
  <c r="AV71" i="4" s="1"/>
  <c r="S51" i="4"/>
  <c r="AV51" i="4" s="1"/>
  <c r="S128" i="4"/>
  <c r="AV128" i="4" s="1"/>
  <c r="S153" i="4"/>
  <c r="S125" i="4"/>
  <c r="S109" i="4"/>
  <c r="S75" i="4"/>
  <c r="AV75" i="4" s="1"/>
  <c r="S74" i="4"/>
  <c r="S58" i="4"/>
  <c r="S42" i="4"/>
  <c r="S57" i="4"/>
  <c r="S73" i="4"/>
  <c r="AV73" i="4" s="1"/>
  <c r="S55" i="4"/>
  <c r="AV55" i="4" s="1"/>
  <c r="S32" i="4"/>
  <c r="AV32" i="4" s="1"/>
  <c r="S16" i="4"/>
  <c r="AV16" i="4" s="1"/>
  <c r="S82" i="4"/>
  <c r="AV82" i="4" s="1"/>
  <c r="S27" i="4"/>
  <c r="AV27" i="4" s="1"/>
  <c r="S121" i="4"/>
  <c r="AV121" i="4" s="1"/>
  <c r="S81" i="4"/>
  <c r="S62" i="4"/>
  <c r="AV62" i="4" s="1"/>
  <c r="S59" i="4"/>
  <c r="AV59" i="4" s="1"/>
  <c r="S38" i="4"/>
  <c r="AV38" i="4" s="1"/>
  <c r="S22" i="4"/>
  <c r="S41" i="4"/>
  <c r="S88" i="4"/>
  <c r="AV88" i="4" s="1"/>
  <c r="S60" i="4"/>
  <c r="S28" i="4"/>
  <c r="S78" i="4"/>
  <c r="AV78" i="4" s="1"/>
  <c r="S46" i="4"/>
  <c r="AV46" i="4" s="1"/>
  <c r="S43" i="4"/>
  <c r="AV43" i="4" s="1"/>
  <c r="S39" i="4"/>
  <c r="S29" i="4"/>
  <c r="AV29" i="4" s="1"/>
  <c r="S63" i="4"/>
  <c r="AV63" i="4" s="1"/>
  <c r="S49" i="4"/>
  <c r="AV49" i="4" s="1"/>
  <c r="S33" i="4"/>
  <c r="AV33" i="4" s="1"/>
  <c r="S31" i="4"/>
  <c r="AV31" i="4" s="1"/>
  <c r="S8" i="4"/>
  <c r="S53" i="4"/>
  <c r="S48" i="4"/>
  <c r="S34" i="4"/>
  <c r="S69" i="4"/>
  <c r="S35" i="4"/>
  <c r="S11" i="4"/>
  <c r="AV11" i="4" s="1"/>
  <c r="S76" i="4"/>
  <c r="S36" i="4"/>
  <c r="AV36" i="4" s="1"/>
  <c r="S17" i="4"/>
  <c r="S93" i="4"/>
  <c r="AV93" i="4" s="1"/>
  <c r="S18" i="4"/>
  <c r="AV18" i="4" s="1"/>
  <c r="S19" i="4"/>
  <c r="AV19" i="4" s="1"/>
  <c r="S54" i="4"/>
  <c r="AV54" i="4" s="1"/>
  <c r="S44" i="4"/>
  <c r="S24" i="4"/>
  <c r="AV24" i="4" s="1"/>
  <c r="S23" i="4"/>
  <c r="S20" i="4"/>
  <c r="S15" i="4"/>
  <c r="S13" i="4"/>
  <c r="AV13" i="4" s="1"/>
  <c r="S6" i="4"/>
  <c r="S77" i="4"/>
  <c r="S118" i="4"/>
  <c r="AV118" i="4" s="1"/>
  <c r="S25" i="4"/>
  <c r="S21" i="4"/>
  <c r="S47" i="4"/>
  <c r="AV47" i="4" s="1"/>
  <c r="S52" i="4"/>
  <c r="AV52" i="4" s="1"/>
  <c r="S30" i="4"/>
  <c r="AV30" i="4" s="1"/>
  <c r="S37" i="4"/>
  <c r="AV37" i="4" s="1"/>
  <c r="S9" i="4"/>
  <c r="S14" i="4"/>
  <c r="S7" i="4"/>
  <c r="AF7" i="4" s="1"/>
  <c r="S12" i="4"/>
  <c r="S26" i="4"/>
  <c r="S10" i="4"/>
  <c r="AV10" i="4" s="1"/>
  <c r="AU15" i="4"/>
  <c r="AU69" i="4"/>
  <c r="AE161" i="5"/>
  <c r="AE160" i="5"/>
  <c r="AD158" i="6"/>
  <c r="E190" i="5"/>
  <c r="AU72" i="4"/>
  <c r="F173" i="7"/>
  <c r="F182" i="5"/>
  <c r="F185" i="5"/>
  <c r="AF159" i="5"/>
  <c r="AF158" i="5"/>
  <c r="E204" i="6"/>
  <c r="F204" i="6" s="1"/>
  <c r="F206" i="6"/>
  <c r="AV153" i="4"/>
  <c r="AV111" i="4"/>
  <c r="E188" i="5"/>
  <c r="F158" i="7"/>
  <c r="E223" i="7"/>
  <c r="E229" i="5"/>
  <c r="F229" i="5" s="1"/>
  <c r="E192" i="6"/>
  <c r="F192" i="6" s="1"/>
  <c r="F198" i="7"/>
  <c r="E197" i="7"/>
  <c r="F197" i="7" s="1"/>
  <c r="F192" i="5"/>
  <c r="F159" i="5"/>
  <c r="AV142" i="4"/>
  <c r="E202" i="6"/>
  <c r="F202" i="6" s="1"/>
  <c r="AU101" i="4"/>
  <c r="F166" i="7"/>
  <c r="E220" i="5"/>
  <c r="AF159" i="7"/>
  <c r="AF158" i="7"/>
  <c r="F164" i="7"/>
  <c r="F170" i="6"/>
  <c r="F191" i="7"/>
  <c r="AU120" i="4"/>
  <c r="AU99" i="4"/>
  <c r="F226" i="5"/>
  <c r="F162" i="6"/>
  <c r="E193" i="5"/>
  <c r="F193" i="5" s="1"/>
  <c r="F194" i="6"/>
  <c r="E220" i="7"/>
  <c r="F225" i="6"/>
  <c r="AV122" i="4"/>
  <c r="E210" i="7"/>
  <c r="AU58" i="4"/>
  <c r="E180" i="6"/>
  <c r="F180" i="6" s="1"/>
  <c r="E176" i="6"/>
  <c r="E154" i="6"/>
  <c r="F154" i="6" s="1"/>
  <c r="AU97" i="4"/>
  <c r="F168" i="5"/>
  <c r="E168" i="5"/>
  <c r="E228" i="5"/>
  <c r="F153" i="7"/>
  <c r="AD159" i="5"/>
  <c r="E217" i="7"/>
  <c r="AU135" i="4"/>
  <c r="F170" i="5"/>
  <c r="E172" i="6"/>
  <c r="F172" i="6" s="1"/>
  <c r="AU88" i="4"/>
  <c r="E209" i="7"/>
  <c r="AV48" i="4"/>
  <c r="AV58" i="4"/>
  <c r="AV60" i="4"/>
  <c r="AV79" i="4"/>
  <c r="E174" i="6"/>
  <c r="F174" i="6" s="1"/>
  <c r="E168" i="6"/>
  <c r="F168" i="6" s="1"/>
  <c r="E226" i="6"/>
  <c r="F226" i="6" s="1"/>
  <c r="Y158" i="7"/>
  <c r="Y159" i="7"/>
  <c r="F161" i="6"/>
  <c r="E164" i="6"/>
  <c r="E153" i="6"/>
  <c r="E171" i="7"/>
  <c r="E199" i="7"/>
  <c r="F227" i="7"/>
  <c r="F182" i="6"/>
  <c r="AU20" i="4"/>
  <c r="F206" i="5"/>
  <c r="E184" i="5"/>
  <c r="F184" i="5" s="1"/>
  <c r="F213" i="6"/>
  <c r="F178" i="6"/>
  <c r="Y158" i="5"/>
  <c r="Y159" i="5"/>
  <c r="AU95" i="4"/>
  <c r="E194" i="7"/>
  <c r="F194" i="7" s="1"/>
  <c r="F165" i="6"/>
  <c r="F188" i="7"/>
  <c r="AV17" i="4"/>
  <c r="E202" i="7"/>
  <c r="F202" i="7" s="1"/>
  <c r="AA159" i="5"/>
  <c r="AA158" i="5"/>
  <c r="E160" i="7"/>
  <c r="F160" i="7" s="1"/>
  <c r="AV112" i="4"/>
  <c r="E225" i="5"/>
  <c r="F207" i="6"/>
  <c r="AV74" i="4"/>
  <c r="E214" i="7"/>
  <c r="F213" i="5"/>
  <c r="F158" i="5"/>
  <c r="F155" i="6"/>
  <c r="F218" i="6"/>
  <c r="AV89" i="4"/>
  <c r="F167" i="6"/>
  <c r="X161" i="7"/>
  <c r="X160" i="7"/>
  <c r="E167" i="6"/>
  <c r="E195" i="6"/>
  <c r="E204" i="7"/>
  <c r="F204" i="7" s="1"/>
  <c r="F191" i="5"/>
  <c r="AV106" i="4"/>
  <c r="F178" i="5"/>
  <c r="E191" i="5"/>
  <c r="F175" i="7"/>
  <c r="F167" i="5"/>
  <c r="AU64" i="4"/>
  <c r="F175" i="6"/>
  <c r="F208" i="6"/>
  <c r="F200" i="6"/>
  <c r="F205" i="7"/>
  <c r="E191" i="6"/>
  <c r="F155" i="5"/>
  <c r="AV77" i="4"/>
  <c r="AV21" i="4"/>
  <c r="AV70" i="4"/>
  <c r="AV65" i="4"/>
  <c r="AV95" i="4"/>
  <c r="AV149" i="4"/>
  <c r="E165" i="6"/>
  <c r="E227" i="5"/>
  <c r="F227" i="5" s="1"/>
  <c r="AU81" i="4"/>
  <c r="F183" i="6"/>
  <c r="AA159" i="7"/>
  <c r="AA158" i="7"/>
  <c r="E215" i="6"/>
  <c r="AU74" i="4"/>
  <c r="F203" i="7"/>
  <c r="F159" i="7"/>
  <c r="F169" i="7"/>
  <c r="F152" i="7"/>
  <c r="AU62" i="4"/>
  <c r="F152" i="5"/>
  <c r="F218" i="7"/>
  <c r="E193" i="6"/>
  <c r="F193" i="6" s="1"/>
  <c r="E213" i="6"/>
  <c r="F156" i="6"/>
  <c r="E178" i="6"/>
  <c r="F170" i="7"/>
  <c r="AU122" i="4"/>
  <c r="AG129" i="4" l="1"/>
  <c r="AG149" i="4"/>
  <c r="AG122" i="4"/>
  <c r="F238" i="7"/>
  <c r="F237" i="7"/>
  <c r="AG81" i="4"/>
  <c r="AW81" i="4"/>
  <c r="AW132" i="4"/>
  <c r="AG132" i="4"/>
  <c r="AG27" i="4"/>
  <c r="AM27" i="4" s="1"/>
  <c r="AW27" i="4"/>
  <c r="AG127" i="4"/>
  <c r="AW127" i="4"/>
  <c r="AG72" i="4"/>
  <c r="AG23" i="4"/>
  <c r="AG51" i="4"/>
  <c r="AG82" i="4"/>
  <c r="AG131" i="4"/>
  <c r="AW131" i="4"/>
  <c r="AG140" i="4"/>
  <c r="AF161" i="7"/>
  <c r="AF160" i="7"/>
  <c r="F237" i="5"/>
  <c r="F238" i="5"/>
  <c r="F239" i="5" s="1"/>
  <c r="AG9" i="4"/>
  <c r="AG77" i="4"/>
  <c r="AG11" i="4"/>
  <c r="AG42" i="4"/>
  <c r="AG55" i="4"/>
  <c r="AW55" i="4"/>
  <c r="AG71" i="4"/>
  <c r="AG106" i="4"/>
  <c r="AG99" i="4"/>
  <c r="AW99" i="4"/>
  <c r="AG142" i="4"/>
  <c r="AG145" i="4"/>
  <c r="AG49" i="4"/>
  <c r="AG46" i="4"/>
  <c r="AW70" i="4"/>
  <c r="AG70" i="4"/>
  <c r="AG94" i="4"/>
  <c r="AF161" i="6"/>
  <c r="AF160" i="6"/>
  <c r="AW116" i="4"/>
  <c r="AG116" i="4"/>
  <c r="AG50" i="4"/>
  <c r="V145" i="4"/>
  <c r="AH145" i="4" s="1"/>
  <c r="V151" i="4"/>
  <c r="AH151" i="4" s="1"/>
  <c r="V146" i="4"/>
  <c r="AH146" i="4" s="1"/>
  <c r="V152" i="4"/>
  <c r="AH152" i="4" s="1"/>
  <c r="V153" i="4"/>
  <c r="AH153" i="4" s="1"/>
  <c r="V149" i="4"/>
  <c r="AH149" i="4" s="1"/>
  <c r="V147" i="4"/>
  <c r="AH147" i="4" s="1"/>
  <c r="V125" i="4"/>
  <c r="AH125" i="4" s="1"/>
  <c r="V109" i="4"/>
  <c r="AH109" i="4" s="1"/>
  <c r="V140" i="4"/>
  <c r="AH140" i="4" s="1"/>
  <c r="V136" i="4"/>
  <c r="AH136" i="4" s="1"/>
  <c r="V120" i="4"/>
  <c r="AH120" i="4" s="1"/>
  <c r="V104" i="4"/>
  <c r="AH104" i="4" s="1"/>
  <c r="V142" i="4"/>
  <c r="AH142" i="4" s="1"/>
  <c r="AM142" i="4" s="1"/>
  <c r="V131" i="4"/>
  <c r="AH131" i="4" s="1"/>
  <c r="V115" i="4"/>
  <c r="AH115" i="4" s="1"/>
  <c r="V99" i="4"/>
  <c r="AH99" i="4" s="1"/>
  <c r="V148" i="4"/>
  <c r="AH148" i="4" s="1"/>
  <c r="V137" i="4"/>
  <c r="AH137" i="4" s="1"/>
  <c r="V121" i="4"/>
  <c r="AH121" i="4" s="1"/>
  <c r="V105" i="4"/>
  <c r="AH105" i="4" s="1"/>
  <c r="V133" i="4"/>
  <c r="AH133" i="4" s="1"/>
  <c r="V117" i="4"/>
  <c r="AH117" i="4" s="1"/>
  <c r="V101" i="4"/>
  <c r="AH101" i="4" s="1"/>
  <c r="V141" i="4"/>
  <c r="AH141" i="4" s="1"/>
  <c r="V139" i="4"/>
  <c r="AH139" i="4" s="1"/>
  <c r="V116" i="4"/>
  <c r="AH116" i="4" s="1"/>
  <c r="V113" i="4"/>
  <c r="AH113" i="4" s="1"/>
  <c r="V150" i="4"/>
  <c r="AH150" i="4" s="1"/>
  <c r="V134" i="4"/>
  <c r="AH134" i="4" s="1"/>
  <c r="V114" i="4"/>
  <c r="AH114" i="4" s="1"/>
  <c r="V143" i="4"/>
  <c r="AH143" i="4" s="1"/>
  <c r="V135" i="4"/>
  <c r="AH135" i="4" s="1"/>
  <c r="V138" i="4"/>
  <c r="AH138" i="4" s="1"/>
  <c r="V126" i="4"/>
  <c r="AH126" i="4" s="1"/>
  <c r="V100" i="4"/>
  <c r="AH100" i="4" s="1"/>
  <c r="V98" i="4"/>
  <c r="AH98" i="4" s="1"/>
  <c r="V96" i="4"/>
  <c r="AH96" i="4" s="1"/>
  <c r="V80" i="4"/>
  <c r="AH80" i="4" s="1"/>
  <c r="V65" i="4"/>
  <c r="AH65" i="4" s="1"/>
  <c r="V103" i="4"/>
  <c r="AH103" i="4" s="1"/>
  <c r="V102" i="4"/>
  <c r="AH102" i="4" s="1"/>
  <c r="V91" i="4"/>
  <c r="AH91" i="4" s="1"/>
  <c r="V75" i="4"/>
  <c r="AH75" i="4" s="1"/>
  <c r="V86" i="4"/>
  <c r="AH86" i="4" s="1"/>
  <c r="V71" i="4"/>
  <c r="AH71" i="4" s="1"/>
  <c r="V81" i="4"/>
  <c r="AH81" i="4" s="1"/>
  <c r="V66" i="4"/>
  <c r="AH66" i="4" s="1"/>
  <c r="V97" i="4"/>
  <c r="AH97" i="4" s="1"/>
  <c r="V92" i="4"/>
  <c r="AH92" i="4" s="1"/>
  <c r="V132" i="4"/>
  <c r="AH132" i="4" s="1"/>
  <c r="V88" i="4"/>
  <c r="AH88" i="4" s="1"/>
  <c r="V73" i="4"/>
  <c r="AH73" i="4" s="1"/>
  <c r="V107" i="4"/>
  <c r="AH107" i="4" s="1"/>
  <c r="V85" i="4"/>
  <c r="AH85" i="4" s="1"/>
  <c r="V51" i="4"/>
  <c r="AH51" i="4" s="1"/>
  <c r="V87" i="4"/>
  <c r="AH87" i="4" s="1"/>
  <c r="V69" i="4"/>
  <c r="AH69" i="4" s="1"/>
  <c r="V62" i="4"/>
  <c r="AH62" i="4" s="1"/>
  <c r="V46" i="4"/>
  <c r="AH46" i="4" s="1"/>
  <c r="V128" i="4"/>
  <c r="AH128" i="4" s="1"/>
  <c r="V124" i="4"/>
  <c r="AH124" i="4" s="1"/>
  <c r="V123" i="4"/>
  <c r="AH123" i="4" s="1"/>
  <c r="V108" i="4"/>
  <c r="AH108" i="4" s="1"/>
  <c r="V72" i="4"/>
  <c r="AH72" i="4" s="1"/>
  <c r="V70" i="4"/>
  <c r="AH70" i="4" s="1"/>
  <c r="V57" i="4"/>
  <c r="AH57" i="4" s="1"/>
  <c r="V41" i="4"/>
  <c r="AH41" i="4" s="1"/>
  <c r="V52" i="4"/>
  <c r="AH52" i="4" s="1"/>
  <c r="V95" i="4"/>
  <c r="AH95" i="4" s="1"/>
  <c r="V90" i="4"/>
  <c r="AH90" i="4" s="1"/>
  <c r="AM90" i="4" s="1"/>
  <c r="V129" i="4"/>
  <c r="AH129" i="4" s="1"/>
  <c r="V59" i="4"/>
  <c r="AH59" i="4" s="1"/>
  <c r="V43" i="4"/>
  <c r="AH43" i="4" s="1"/>
  <c r="V119" i="4"/>
  <c r="AH119" i="4" s="1"/>
  <c r="V111" i="4"/>
  <c r="AH111" i="4" s="1"/>
  <c r="V82" i="4"/>
  <c r="AH82" i="4" s="1"/>
  <c r="V38" i="4"/>
  <c r="AH38" i="4" s="1"/>
  <c r="V83" i="4"/>
  <c r="AH83" i="4" s="1"/>
  <c r="V33" i="4"/>
  <c r="AH33" i="4" s="1"/>
  <c r="V17" i="4"/>
  <c r="AH17" i="4" s="1"/>
  <c r="V130" i="4"/>
  <c r="AH130" i="4" s="1"/>
  <c r="V60" i="4"/>
  <c r="AH60" i="4" s="1"/>
  <c r="V28" i="4"/>
  <c r="AH28" i="4" s="1"/>
  <c r="V84" i="4"/>
  <c r="AH84" i="4" s="1"/>
  <c r="V78" i="4"/>
  <c r="AH78" i="4" s="1"/>
  <c r="V67" i="4"/>
  <c r="AH67" i="4" s="1"/>
  <c r="V61" i="4"/>
  <c r="AH61" i="4" s="1"/>
  <c r="V42" i="4"/>
  <c r="AH42" i="4" s="1"/>
  <c r="AM42" i="4" s="1"/>
  <c r="V40" i="4"/>
  <c r="AH40" i="4" s="1"/>
  <c r="V23" i="4"/>
  <c r="AH23" i="4" s="1"/>
  <c r="V110" i="4"/>
  <c r="AH110" i="4" s="1"/>
  <c r="V94" i="4"/>
  <c r="AH94" i="4" s="1"/>
  <c r="V106" i="4"/>
  <c r="AH106" i="4" s="1"/>
  <c r="V64" i="4"/>
  <c r="AH64" i="4" s="1"/>
  <c r="V39" i="4"/>
  <c r="AH39" i="4" s="1"/>
  <c r="V29" i="4"/>
  <c r="AH29" i="4" s="1"/>
  <c r="V127" i="4"/>
  <c r="AH127" i="4" s="1"/>
  <c r="V47" i="4"/>
  <c r="AH47" i="4" s="1"/>
  <c r="V44" i="4"/>
  <c r="AH44" i="4" s="1"/>
  <c r="V112" i="4"/>
  <c r="AH112" i="4" s="1"/>
  <c r="V45" i="4"/>
  <c r="AH45" i="4" s="1"/>
  <c r="V118" i="4"/>
  <c r="AH118" i="4" s="1"/>
  <c r="V77" i="4"/>
  <c r="AH77" i="4" s="1"/>
  <c r="AL77" i="4" s="1"/>
  <c r="V74" i="4"/>
  <c r="AH74" i="4" s="1"/>
  <c r="V48" i="4"/>
  <c r="AH48" i="4" s="1"/>
  <c r="V30" i="4"/>
  <c r="AH30" i="4" s="1"/>
  <c r="V14" i="4"/>
  <c r="AH14" i="4" s="1"/>
  <c r="V144" i="4"/>
  <c r="AH144" i="4" s="1"/>
  <c r="V54" i="4"/>
  <c r="AH54" i="4" s="1"/>
  <c r="V53" i="4"/>
  <c r="AH53" i="4" s="1"/>
  <c r="V35" i="4"/>
  <c r="AH35" i="4" s="1"/>
  <c r="V36" i="4"/>
  <c r="AH36" i="4" s="1"/>
  <c r="V76" i="4"/>
  <c r="AH76" i="4" s="1"/>
  <c r="V49" i="4"/>
  <c r="AH49" i="4" s="1"/>
  <c r="AM49" i="4" s="1"/>
  <c r="V12" i="4"/>
  <c r="AH12" i="4" s="1"/>
  <c r="V18" i="4"/>
  <c r="AH18" i="4" s="1"/>
  <c r="V93" i="4"/>
  <c r="AH93" i="4" s="1"/>
  <c r="V19" i="4"/>
  <c r="AH19" i="4" s="1"/>
  <c r="V16" i="4"/>
  <c r="AH16" i="4" s="1"/>
  <c r="V20" i="4"/>
  <c r="AH20" i="4" s="1"/>
  <c r="V15" i="4"/>
  <c r="AH15" i="4" s="1"/>
  <c r="V13" i="4"/>
  <c r="AH13" i="4" s="1"/>
  <c r="V58" i="4"/>
  <c r="AH58" i="4" s="1"/>
  <c r="V24" i="4"/>
  <c r="AH24" i="4" s="1"/>
  <c r="V63" i="4"/>
  <c r="AH63" i="4" s="1"/>
  <c r="V50" i="4"/>
  <c r="AH50" i="4" s="1"/>
  <c r="V25" i="4"/>
  <c r="AH25" i="4" s="1"/>
  <c r="V21" i="4"/>
  <c r="AH21" i="4" s="1"/>
  <c r="W3" i="4"/>
  <c r="V79" i="4"/>
  <c r="AH79" i="4" s="1"/>
  <c r="V22" i="4"/>
  <c r="AH22" i="4" s="1"/>
  <c r="V122" i="4"/>
  <c r="AH122" i="4" s="1"/>
  <c r="V26" i="4"/>
  <c r="AH26" i="4" s="1"/>
  <c r="V55" i="4"/>
  <c r="AH55" i="4" s="1"/>
  <c r="V27" i="4"/>
  <c r="AH27" i="4" s="1"/>
  <c r="V89" i="4"/>
  <c r="AH89" i="4" s="1"/>
  <c r="V37" i="4"/>
  <c r="AH37" i="4" s="1"/>
  <c r="V68" i="4"/>
  <c r="AH68" i="4" s="1"/>
  <c r="V31" i="4"/>
  <c r="AH31" i="4" s="1"/>
  <c r="V56" i="4"/>
  <c r="AH56" i="4" s="1"/>
  <c r="V34" i="4"/>
  <c r="AH34" i="4" s="1"/>
  <c r="V32" i="4"/>
  <c r="AH32" i="4" s="1"/>
  <c r="V11" i="4"/>
  <c r="AH11" i="4" s="1"/>
  <c r="V10" i="4"/>
  <c r="AH10" i="4" s="1"/>
  <c r="V9" i="4"/>
  <c r="AH9" i="4" s="1"/>
  <c r="AG79" i="4"/>
  <c r="AW79" i="4"/>
  <c r="AG90" i="4"/>
  <c r="F234" i="6"/>
  <c r="F233" i="6"/>
  <c r="F242" i="6"/>
  <c r="F241" i="6"/>
  <c r="AD160" i="7"/>
  <c r="AD161" i="7"/>
  <c r="AG28" i="4"/>
  <c r="AW28" i="4"/>
  <c r="AG13" i="4"/>
  <c r="AW32" i="4"/>
  <c r="AG32" i="4"/>
  <c r="AG78" i="4"/>
  <c r="AW78" i="4"/>
  <c r="AW73" i="4"/>
  <c r="AG73" i="4"/>
  <c r="AG107" i="4"/>
  <c r="AW107" i="4"/>
  <c r="AW105" i="4"/>
  <c r="AG105" i="4"/>
  <c r="AG113" i="4"/>
  <c r="AW113" i="4"/>
  <c r="AW136" i="4"/>
  <c r="AG136" i="4"/>
  <c r="AG150" i="4"/>
  <c r="AG45" i="4"/>
  <c r="AG61" i="4"/>
  <c r="AG85" i="4"/>
  <c r="AC161" i="7"/>
  <c r="AC160" i="7"/>
  <c r="Z161" i="5"/>
  <c r="Z160" i="5"/>
  <c r="AG10" i="4"/>
  <c r="AW10" i="4"/>
  <c r="AG15" i="4"/>
  <c r="AW15" i="4"/>
  <c r="AW35" i="4"/>
  <c r="AG35" i="4"/>
  <c r="AM35" i="4" s="1"/>
  <c r="AG60" i="4"/>
  <c r="AW60" i="4"/>
  <c r="AG53" i="4"/>
  <c r="AW53" i="4"/>
  <c r="AG40" i="4"/>
  <c r="AG75" i="4"/>
  <c r="AW117" i="4"/>
  <c r="AG117" i="4"/>
  <c r="AW109" i="4"/>
  <c r="AG109" i="4"/>
  <c r="AG139" i="4"/>
  <c r="AW139" i="4"/>
  <c r="AG59" i="4"/>
  <c r="AW108" i="4"/>
  <c r="AG108" i="4"/>
  <c r="AG144" i="4"/>
  <c r="AW152" i="4"/>
  <c r="AG152" i="4"/>
  <c r="AG25" i="4"/>
  <c r="AW25" i="4"/>
  <c r="AG69" i="4"/>
  <c r="AW69" i="4"/>
  <c r="AG57" i="4"/>
  <c r="AW57" i="4"/>
  <c r="AW58" i="4"/>
  <c r="AG58" i="4"/>
  <c r="AL58" i="4" s="1"/>
  <c r="AA161" i="7"/>
  <c r="AA160" i="7"/>
  <c r="AD161" i="5"/>
  <c r="AD160" i="5"/>
  <c r="F238" i="6"/>
  <c r="F237" i="6"/>
  <c r="AG26" i="4"/>
  <c r="AW26" i="4"/>
  <c r="AG20" i="4"/>
  <c r="AG34" i="4"/>
  <c r="AG88" i="4"/>
  <c r="AW88" i="4"/>
  <c r="AG93" i="4"/>
  <c r="AM93" i="4" s="1"/>
  <c r="AW93" i="4"/>
  <c r="AG56" i="4"/>
  <c r="AG91" i="4"/>
  <c r="AG123" i="4"/>
  <c r="AM123" i="4" s="1"/>
  <c r="AW123" i="4"/>
  <c r="AG125" i="4"/>
  <c r="AG101" i="4"/>
  <c r="AG39" i="4"/>
  <c r="AM39" i="4" s="1"/>
  <c r="AW39" i="4"/>
  <c r="AG104" i="4"/>
  <c r="AA160" i="6"/>
  <c r="AA161" i="6"/>
  <c r="AG120" i="4"/>
  <c r="AW133" i="4"/>
  <c r="AG133" i="4"/>
  <c r="AG143" i="4"/>
  <c r="AW143" i="4"/>
  <c r="AW100" i="4"/>
  <c r="AG100" i="4"/>
  <c r="AW126" i="4"/>
  <c r="AG126" i="4"/>
  <c r="Y161" i="6"/>
  <c r="Y160" i="6"/>
  <c r="AB160" i="6"/>
  <c r="AB161" i="6"/>
  <c r="AG29" i="4"/>
  <c r="AL29" i="4" s="1"/>
  <c r="AW29" i="4"/>
  <c r="AG16" i="4"/>
  <c r="AG48" i="4"/>
  <c r="AW17" i="4"/>
  <c r="AG17" i="4"/>
  <c r="AG95" i="4"/>
  <c r="AM95" i="4" s="1"/>
  <c r="AW95" i="4"/>
  <c r="AG68" i="4"/>
  <c r="AG102" i="4"/>
  <c r="AW102" i="4"/>
  <c r="AG134" i="4"/>
  <c r="AG146" i="4"/>
  <c r="AW146" i="4"/>
  <c r="AG128" i="4"/>
  <c r="AG86" i="4"/>
  <c r="AG43" i="4"/>
  <c r="AG67" i="4"/>
  <c r="Y160" i="5"/>
  <c r="Y161" i="5"/>
  <c r="AG31" i="4"/>
  <c r="AG54" i="4"/>
  <c r="AG52" i="4"/>
  <c r="AW52" i="4"/>
  <c r="AW33" i="4"/>
  <c r="AG33" i="4"/>
  <c r="AG110" i="4"/>
  <c r="AG84" i="4"/>
  <c r="AW84" i="4"/>
  <c r="AG138" i="4"/>
  <c r="AM138" i="4" s="1"/>
  <c r="AW138" i="4"/>
  <c r="AW137" i="4"/>
  <c r="AG137" i="4"/>
  <c r="AW98" i="4"/>
  <c r="AG98" i="4"/>
  <c r="AG119" i="4"/>
  <c r="AW119" i="4"/>
  <c r="AG74" i="4"/>
  <c r="AW74" i="4"/>
  <c r="AG21" i="4"/>
  <c r="AL21" i="4" s="1"/>
  <c r="AW21" i="4"/>
  <c r="AG64" i="4"/>
  <c r="AW64" i="4"/>
  <c r="AW36" i="4"/>
  <c r="AG36" i="4"/>
  <c r="AG111" i="4"/>
  <c r="AG87" i="4"/>
  <c r="U150" i="4"/>
  <c r="U151" i="4"/>
  <c r="U152" i="4"/>
  <c r="U130" i="4"/>
  <c r="U114" i="4"/>
  <c r="U98" i="4"/>
  <c r="U147" i="4"/>
  <c r="U146" i="4"/>
  <c r="U125" i="4"/>
  <c r="U109" i="4"/>
  <c r="U140" i="4"/>
  <c r="U136" i="4"/>
  <c r="U120" i="4"/>
  <c r="U104" i="4"/>
  <c r="U142" i="4"/>
  <c r="U145" i="4"/>
  <c r="U126" i="4"/>
  <c r="U110" i="4"/>
  <c r="U148" i="4"/>
  <c r="U137" i="4"/>
  <c r="U144" i="4"/>
  <c r="U138" i="4"/>
  <c r="U122" i="4"/>
  <c r="U106" i="4"/>
  <c r="U149" i="4"/>
  <c r="U112" i="4"/>
  <c r="U141" i="4"/>
  <c r="U115" i="4"/>
  <c r="U100" i="4"/>
  <c r="U139" i="4"/>
  <c r="U116" i="4"/>
  <c r="U113" i="4"/>
  <c r="U134" i="4"/>
  <c r="U143" i="4"/>
  <c r="U135" i="4"/>
  <c r="U123" i="4"/>
  <c r="U85" i="4"/>
  <c r="U70" i="4"/>
  <c r="U101" i="4"/>
  <c r="U96" i="4"/>
  <c r="U80" i="4"/>
  <c r="U65" i="4"/>
  <c r="U103" i="4"/>
  <c r="U102" i="4"/>
  <c r="U91" i="4"/>
  <c r="U75" i="4"/>
  <c r="U86" i="4"/>
  <c r="U71" i="4"/>
  <c r="U105" i="4"/>
  <c r="U97" i="4"/>
  <c r="U92" i="4"/>
  <c r="U131" i="4"/>
  <c r="U118" i="4"/>
  <c r="U93" i="4"/>
  <c r="U77" i="4"/>
  <c r="U89" i="4"/>
  <c r="U84" i="4"/>
  <c r="U68" i="4"/>
  <c r="U56" i="4"/>
  <c r="U40" i="4"/>
  <c r="U107" i="4"/>
  <c r="U51" i="4"/>
  <c r="U133" i="4"/>
  <c r="U87" i="4"/>
  <c r="U69" i="4"/>
  <c r="U62" i="4"/>
  <c r="U46" i="4"/>
  <c r="U128" i="4"/>
  <c r="U124" i="4"/>
  <c r="U108" i="4"/>
  <c r="U72" i="4"/>
  <c r="U57" i="4"/>
  <c r="U41" i="4"/>
  <c r="U153" i="4"/>
  <c r="U117" i="4"/>
  <c r="U88" i="4"/>
  <c r="U76" i="4"/>
  <c r="U48" i="4"/>
  <c r="U79" i="4"/>
  <c r="U58" i="4"/>
  <c r="U121" i="4"/>
  <c r="U119" i="4"/>
  <c r="U111" i="4"/>
  <c r="U82" i="4"/>
  <c r="U81" i="4"/>
  <c r="U59" i="4"/>
  <c r="U38" i="4"/>
  <c r="U22" i="4"/>
  <c r="U83" i="4"/>
  <c r="U33" i="4"/>
  <c r="U17" i="4"/>
  <c r="U60" i="4"/>
  <c r="U28" i="4"/>
  <c r="U78" i="4"/>
  <c r="U67" i="4"/>
  <c r="U61" i="4"/>
  <c r="U42" i="4"/>
  <c r="U99" i="4"/>
  <c r="U95" i="4"/>
  <c r="U94" i="4"/>
  <c r="U43" i="4"/>
  <c r="U34" i="4"/>
  <c r="U18" i="4"/>
  <c r="U132" i="4"/>
  <c r="U64" i="4"/>
  <c r="U39" i="4"/>
  <c r="U129" i="4"/>
  <c r="U127" i="4"/>
  <c r="U47" i="4"/>
  <c r="U44" i="4"/>
  <c r="U45" i="4"/>
  <c r="U35" i="4"/>
  <c r="U19" i="4"/>
  <c r="U53" i="4"/>
  <c r="U50" i="4"/>
  <c r="U32" i="4"/>
  <c r="U11" i="4"/>
  <c r="U36" i="4"/>
  <c r="U74" i="4"/>
  <c r="U49" i="4"/>
  <c r="U12" i="4"/>
  <c r="U90" i="4"/>
  <c r="U54" i="4"/>
  <c r="U16" i="4"/>
  <c r="U20" i="4"/>
  <c r="U15" i="4"/>
  <c r="U13" i="4"/>
  <c r="U5" i="4"/>
  <c r="U24" i="4"/>
  <c r="U23" i="4"/>
  <c r="U6" i="4"/>
  <c r="U63" i="4"/>
  <c r="U25" i="4"/>
  <c r="U21" i="4"/>
  <c r="U7" i="4"/>
  <c r="U14" i="4"/>
  <c r="U26" i="4"/>
  <c r="U55" i="4"/>
  <c r="U30" i="4"/>
  <c r="U66" i="4"/>
  <c r="U52" i="4"/>
  <c r="U37" i="4"/>
  <c r="U31" i="4"/>
  <c r="U73" i="4"/>
  <c r="U27" i="4"/>
  <c r="U29" i="4"/>
  <c r="U10" i="4"/>
  <c r="U8" i="4"/>
  <c r="U9" i="4"/>
  <c r="HO6" i="2"/>
  <c r="HP6" i="2"/>
  <c r="AG37" i="4"/>
  <c r="AG19" i="4"/>
  <c r="AG24" i="4"/>
  <c r="AG41" i="4"/>
  <c r="AW41" i="4"/>
  <c r="AG118" i="4"/>
  <c r="AW118" i="4"/>
  <c r="AG89" i="4"/>
  <c r="AW89" i="4"/>
  <c r="AW65" i="4"/>
  <c r="AG65" i="4"/>
  <c r="AG141" i="4"/>
  <c r="AG114" i="4"/>
  <c r="AW114" i="4"/>
  <c r="AA161" i="5"/>
  <c r="AA160" i="5"/>
  <c r="AG14" i="4"/>
  <c r="AG62" i="4"/>
  <c r="AW121" i="4"/>
  <c r="AG121" i="4"/>
  <c r="AG63" i="4"/>
  <c r="AG76" i="4"/>
  <c r="AW76" i="4"/>
  <c r="AG151" i="4"/>
  <c r="AW151" i="4"/>
  <c r="F233" i="5"/>
  <c r="F241" i="5"/>
  <c r="F234" i="5"/>
  <c r="F242" i="5"/>
  <c r="F243" i="5" s="1"/>
  <c r="Z161" i="7"/>
  <c r="Z160" i="7"/>
  <c r="AG66" i="4"/>
  <c r="AW66" i="4"/>
  <c r="AG12" i="4"/>
  <c r="AW12" i="4"/>
  <c r="AG44" i="4"/>
  <c r="AW44" i="4"/>
  <c r="AW83" i="4"/>
  <c r="AG83" i="4"/>
  <c r="AW153" i="4"/>
  <c r="AG153" i="4"/>
  <c r="AW92" i="4"/>
  <c r="AG92" i="4"/>
  <c r="AG80" i="4"/>
  <c r="AW148" i="4"/>
  <c r="AG148" i="4"/>
  <c r="AG130" i="4"/>
  <c r="AW130" i="4"/>
  <c r="F242" i="7"/>
  <c r="F241" i="7"/>
  <c r="F234" i="7"/>
  <c r="F233" i="7"/>
  <c r="AG38" i="4"/>
  <c r="AB161" i="5"/>
  <c r="AB160" i="5"/>
  <c r="AG135" i="4"/>
  <c r="AM135" i="4" s="1"/>
  <c r="AW135" i="4"/>
  <c r="AG147" i="4"/>
  <c r="AF160" i="5"/>
  <c r="AF161" i="5"/>
  <c r="AG115" i="4"/>
  <c r="AW115" i="4"/>
  <c r="Y160" i="7"/>
  <c r="Y161" i="7"/>
  <c r="AC160" i="5"/>
  <c r="AC161" i="5"/>
  <c r="AG30" i="4"/>
  <c r="AL30" i="4" s="1"/>
  <c r="AW30" i="4"/>
  <c r="AW18" i="4"/>
  <c r="AG18" i="4"/>
  <c r="AG47" i="4"/>
  <c r="AW47" i="4"/>
  <c r="AW22" i="4"/>
  <c r="AG22" i="4"/>
  <c r="AM22" i="4" s="1"/>
  <c r="AG124" i="4"/>
  <c r="AG97" i="4"/>
  <c r="AW97" i="4"/>
  <c r="AG96" i="4"/>
  <c r="AW96" i="4"/>
  <c r="AW112" i="4"/>
  <c r="AG112" i="4"/>
  <c r="AG103" i="4"/>
  <c r="AW103" i="4"/>
  <c r="AM136" i="4" l="1"/>
  <c r="AL136" i="4"/>
  <c r="AL104" i="4"/>
  <c r="AM104" i="4"/>
  <c r="AL113" i="4"/>
  <c r="AM113" i="4"/>
  <c r="AK113" i="4" s="1"/>
  <c r="AX10" i="4"/>
  <c r="AL57" i="4"/>
  <c r="AM57" i="4"/>
  <c r="AK57" i="4" s="1"/>
  <c r="AX29" i="4"/>
  <c r="AX143" i="4"/>
  <c r="AW31" i="4"/>
  <c r="AM37" i="4"/>
  <c r="AL37" i="4"/>
  <c r="AM43" i="4"/>
  <c r="AL43" i="4"/>
  <c r="AW94" i="4"/>
  <c r="AM101" i="4"/>
  <c r="AL101" i="4"/>
  <c r="AM25" i="4"/>
  <c r="AK25" i="4" s="1"/>
  <c r="AL25" i="4"/>
  <c r="AW75" i="4"/>
  <c r="AL107" i="4"/>
  <c r="AM107" i="4"/>
  <c r="AK107" i="4" s="1"/>
  <c r="AM97" i="4"/>
  <c r="AL97" i="4"/>
  <c r="AL130" i="4"/>
  <c r="AM130" i="4"/>
  <c r="AK130" i="4" s="1"/>
  <c r="AM66" i="4"/>
  <c r="AK66" i="4" s="1"/>
  <c r="AL66" i="4"/>
  <c r="AW62" i="4"/>
  <c r="AL41" i="4"/>
  <c r="AM41" i="4"/>
  <c r="AK41" i="4" s="1"/>
  <c r="AX37" i="4"/>
  <c r="AX15" i="4"/>
  <c r="AX78" i="4"/>
  <c r="AX48" i="4"/>
  <c r="AX51" i="4"/>
  <c r="AW67" i="4"/>
  <c r="AW125" i="4"/>
  <c r="AL152" i="4"/>
  <c r="AM152" i="4"/>
  <c r="AW85" i="4"/>
  <c r="AW90" i="4"/>
  <c r="AL26" i="4"/>
  <c r="AM26" i="4"/>
  <c r="AK26" i="4" s="1"/>
  <c r="AL93" i="4"/>
  <c r="AK93" i="4" s="1"/>
  <c r="AL78" i="4"/>
  <c r="AM78" i="4"/>
  <c r="AK78" i="4" s="1"/>
  <c r="AL95" i="4"/>
  <c r="AK95" i="4" s="1"/>
  <c r="AM96" i="4"/>
  <c r="AK96" i="4" s="1"/>
  <c r="AL96" i="4"/>
  <c r="AM46" i="4"/>
  <c r="AL46" i="4"/>
  <c r="AL42" i="4"/>
  <c r="AW82" i="4"/>
  <c r="AL52" i="4"/>
  <c r="AM52" i="4"/>
  <c r="AK52" i="4" s="1"/>
  <c r="AW104" i="4"/>
  <c r="F235" i="7"/>
  <c r="AX62" i="4"/>
  <c r="AL139" i="4"/>
  <c r="AM139" i="4"/>
  <c r="O179" i="7"/>
  <c r="O179" i="6"/>
  <c r="O179" i="5"/>
  <c r="AM68" i="4"/>
  <c r="AK68" i="4" s="1"/>
  <c r="AL68" i="4"/>
  <c r="AL65" i="4"/>
  <c r="AM65" i="4"/>
  <c r="AK65" i="4" s="1"/>
  <c r="AX45" i="4"/>
  <c r="AM67" i="4"/>
  <c r="AK67" i="4" s="1"/>
  <c r="AL67" i="4"/>
  <c r="AX20" i="4"/>
  <c r="AX120" i="4"/>
  <c r="AW111" i="4"/>
  <c r="AW40" i="4"/>
  <c r="AM85" i="4"/>
  <c r="AL85" i="4"/>
  <c r="AL90" i="4"/>
  <c r="AK90" i="4" s="1"/>
  <c r="AL122" i="4"/>
  <c r="AM122" i="4"/>
  <c r="AK122" i="4" s="1"/>
  <c r="AL112" i="4"/>
  <c r="AM112" i="4"/>
  <c r="AK112" i="4" s="1"/>
  <c r="AM73" i="4"/>
  <c r="AK73" i="4" s="1"/>
  <c r="AL73" i="4"/>
  <c r="AM105" i="4"/>
  <c r="AL105" i="4"/>
  <c r="AM153" i="4"/>
  <c r="AK153" i="4" s="1"/>
  <c r="AL153" i="4"/>
  <c r="AW46" i="4"/>
  <c r="AW42" i="4"/>
  <c r="AL82" i="4"/>
  <c r="AM82" i="4"/>
  <c r="AK82" i="4" s="1"/>
  <c r="F239" i="7"/>
  <c r="AL116" i="4"/>
  <c r="AM116" i="4"/>
  <c r="AK116" i="4" s="1"/>
  <c r="AX11" i="4"/>
  <c r="AL38" i="4"/>
  <c r="AM38" i="4"/>
  <c r="AK38" i="4" s="1"/>
  <c r="AM54" i="4"/>
  <c r="AL54" i="4"/>
  <c r="AM31" i="4"/>
  <c r="AK31" i="4" s="1"/>
  <c r="AL31" i="4"/>
  <c r="AW54" i="4"/>
  <c r="AM63" i="4"/>
  <c r="AL63" i="4"/>
  <c r="AW34" i="4"/>
  <c r="AL140" i="4"/>
  <c r="AM140" i="4"/>
  <c r="AK140" i="4" s="1"/>
  <c r="AX73" i="4"/>
  <c r="AM87" i="4"/>
  <c r="AL87" i="4"/>
  <c r="AM51" i="4"/>
  <c r="AL51" i="4"/>
  <c r="AL118" i="4"/>
  <c r="AM118" i="4"/>
  <c r="AK118" i="4" s="1"/>
  <c r="AW144" i="4"/>
  <c r="AL22" i="4"/>
  <c r="AL12" i="4"/>
  <c r="AM12" i="4"/>
  <c r="AL44" i="4"/>
  <c r="AM44" i="4"/>
  <c r="AK44" i="4" s="1"/>
  <c r="AM28" i="4"/>
  <c r="AL28" i="4"/>
  <c r="AM88" i="4"/>
  <c r="AL88" i="4"/>
  <c r="AM100" i="4"/>
  <c r="AL100" i="4"/>
  <c r="AM121" i="4"/>
  <c r="AL121" i="4"/>
  <c r="AW49" i="4"/>
  <c r="AW51" i="4"/>
  <c r="AW122" i="4"/>
  <c r="AM151" i="4"/>
  <c r="AK151" i="4" s="1"/>
  <c r="AL151" i="4"/>
  <c r="AM83" i="4"/>
  <c r="AL83" i="4"/>
  <c r="AX124" i="4"/>
  <c r="AL146" i="4"/>
  <c r="AM146" i="4"/>
  <c r="AM99" i="4"/>
  <c r="AL99" i="4"/>
  <c r="AX82" i="4"/>
  <c r="AM75" i="4"/>
  <c r="AL75" i="4"/>
  <c r="AM30" i="4"/>
  <c r="AK30" i="4" s="1"/>
  <c r="AL89" i="4"/>
  <c r="AM89" i="4"/>
  <c r="AK89" i="4" s="1"/>
  <c r="AM69" i="4"/>
  <c r="AL69" i="4"/>
  <c r="AX134" i="4"/>
  <c r="AM102" i="4"/>
  <c r="AL102" i="4"/>
  <c r="AL74" i="4"/>
  <c r="AM74" i="4"/>
  <c r="AK74" i="4" s="1"/>
  <c r="AM94" i="4"/>
  <c r="AL94" i="4"/>
  <c r="AX142" i="4"/>
  <c r="AW20" i="4"/>
  <c r="AM80" i="4"/>
  <c r="AL80" i="4"/>
  <c r="AW24" i="4"/>
  <c r="AX30" i="4"/>
  <c r="AX129" i="4"/>
  <c r="AX117" i="4"/>
  <c r="AX56" i="4"/>
  <c r="AX103" i="4"/>
  <c r="AM84" i="4"/>
  <c r="AK84" i="4" s="1"/>
  <c r="AL84" i="4"/>
  <c r="AW43" i="4"/>
  <c r="F239" i="6"/>
  <c r="AM144" i="4"/>
  <c r="AL144" i="4"/>
  <c r="AM53" i="4"/>
  <c r="AL53" i="4"/>
  <c r="AW61" i="4"/>
  <c r="AM79" i="4"/>
  <c r="AL79" i="4"/>
  <c r="AL49" i="4"/>
  <c r="AK49" i="4" s="1"/>
  <c r="AW11" i="4"/>
  <c r="AW38" i="4"/>
  <c r="AM150" i="4"/>
  <c r="AL150" i="4"/>
  <c r="AM103" i="4"/>
  <c r="AK103" i="4" s="1"/>
  <c r="AL103" i="4"/>
  <c r="AX137" i="4"/>
  <c r="AW134" i="4"/>
  <c r="AM111" i="4"/>
  <c r="AK111" i="4" s="1"/>
  <c r="AL111" i="4"/>
  <c r="AW106" i="4"/>
  <c r="AX92" i="4"/>
  <c r="AM23" i="4"/>
  <c r="AK23" i="4" s="1"/>
  <c r="AL23" i="4"/>
  <c r="AL117" i="4"/>
  <c r="AM117" i="4"/>
  <c r="AK117" i="4" s="1"/>
  <c r="AK42" i="4"/>
  <c r="AX87" i="4"/>
  <c r="AL126" i="4"/>
  <c r="AM126" i="4"/>
  <c r="AK126" i="4" s="1"/>
  <c r="AM61" i="4"/>
  <c r="AK61" i="4" s="1"/>
  <c r="AL61" i="4"/>
  <c r="AM62" i="4"/>
  <c r="AL62" i="4"/>
  <c r="AX86" i="4"/>
  <c r="AW68" i="4"/>
  <c r="AM19" i="4"/>
  <c r="AL19" i="4"/>
  <c r="AL55" i="4"/>
  <c r="AM55" i="4"/>
  <c r="AK55" i="4" s="1"/>
  <c r="AW14" i="4"/>
  <c r="AX76" i="4"/>
  <c r="AX115" i="4"/>
  <c r="AW147" i="4"/>
  <c r="AX54" i="4"/>
  <c r="AL147" i="4"/>
  <c r="AM147" i="4"/>
  <c r="F235" i="5"/>
  <c r="AW19" i="4"/>
  <c r="AX55" i="4"/>
  <c r="AX112" i="4"/>
  <c r="AW110" i="4"/>
  <c r="AW86" i="4"/>
  <c r="AW48" i="4"/>
  <c r="AM133" i="4"/>
  <c r="AK133" i="4" s="1"/>
  <c r="AL133" i="4"/>
  <c r="AM91" i="4"/>
  <c r="AL91" i="4"/>
  <c r="AM108" i="4"/>
  <c r="AK108" i="4" s="1"/>
  <c r="AL108" i="4"/>
  <c r="AL45" i="4"/>
  <c r="AM45" i="4"/>
  <c r="AK45" i="4" s="1"/>
  <c r="AM32" i="4"/>
  <c r="AL32" i="4"/>
  <c r="W140" i="4"/>
  <c r="AX140" i="4" s="1"/>
  <c r="W151" i="4"/>
  <c r="AX151" i="4" s="1"/>
  <c r="W146" i="4"/>
  <c r="W141" i="4"/>
  <c r="AX141" i="4" s="1"/>
  <c r="W152" i="4"/>
  <c r="AX152" i="4" s="1"/>
  <c r="W147" i="4"/>
  <c r="W148" i="4"/>
  <c r="AX148" i="4" s="1"/>
  <c r="W144" i="4"/>
  <c r="W136" i="4"/>
  <c r="AX136" i="4" s="1"/>
  <c r="W120" i="4"/>
  <c r="W104" i="4"/>
  <c r="AX104" i="4" s="1"/>
  <c r="W142" i="4"/>
  <c r="W131" i="4"/>
  <c r="W115" i="4"/>
  <c r="W99" i="4"/>
  <c r="W126" i="4"/>
  <c r="W110" i="4"/>
  <c r="AX110" i="4" s="1"/>
  <c r="W145" i="4"/>
  <c r="AX145" i="4" s="1"/>
  <c r="W137" i="4"/>
  <c r="W132" i="4"/>
  <c r="W116" i="4"/>
  <c r="AX116" i="4" s="1"/>
  <c r="W149" i="4"/>
  <c r="AX149" i="4" s="1"/>
  <c r="W128" i="4"/>
  <c r="AX128" i="4" s="1"/>
  <c r="W112" i="4"/>
  <c r="W139" i="4"/>
  <c r="AX139" i="4" s="1"/>
  <c r="W113" i="4"/>
  <c r="W150" i="4"/>
  <c r="AX150" i="4" s="1"/>
  <c r="W134" i="4"/>
  <c r="W114" i="4"/>
  <c r="W117" i="4"/>
  <c r="W143" i="4"/>
  <c r="W138" i="4"/>
  <c r="AX138" i="4" s="1"/>
  <c r="W127" i="4"/>
  <c r="AX127" i="4" s="1"/>
  <c r="W124" i="4"/>
  <c r="W103" i="4"/>
  <c r="W102" i="4"/>
  <c r="AX102" i="4" s="1"/>
  <c r="W101" i="4"/>
  <c r="W91" i="4"/>
  <c r="AX91" i="4" s="1"/>
  <c r="W75" i="4"/>
  <c r="AX75" i="4" s="1"/>
  <c r="W86" i="4"/>
  <c r="W71" i="4"/>
  <c r="W81" i="4"/>
  <c r="AX81" i="4" s="1"/>
  <c r="W66" i="4"/>
  <c r="AX66" i="4" s="1"/>
  <c r="W105" i="4"/>
  <c r="W97" i="4"/>
  <c r="AX97" i="4" s="1"/>
  <c r="W92" i="4"/>
  <c r="W76" i="4"/>
  <c r="W87" i="4"/>
  <c r="W125" i="4"/>
  <c r="AX125" i="4" s="1"/>
  <c r="W122" i="4"/>
  <c r="W108" i="4"/>
  <c r="W153" i="4"/>
  <c r="AX153" i="4" s="1"/>
  <c r="W83" i="4"/>
  <c r="W68" i="4"/>
  <c r="AX68" i="4" s="1"/>
  <c r="W69" i="4"/>
  <c r="AX69" i="4" s="1"/>
  <c r="W62" i="4"/>
  <c r="W46" i="4"/>
  <c r="W133" i="4"/>
  <c r="AX133" i="4" s="1"/>
  <c r="W123" i="4"/>
  <c r="AX123" i="4" s="1"/>
  <c r="W72" i="4"/>
  <c r="W70" i="4"/>
  <c r="AX70" i="4" s="1"/>
  <c r="W57" i="4"/>
  <c r="W41" i="4"/>
  <c r="W52" i="4"/>
  <c r="W73" i="4"/>
  <c r="W47" i="4"/>
  <c r="W95" i="4"/>
  <c r="W90" i="4"/>
  <c r="AX90" i="4" s="1"/>
  <c r="W118" i="4"/>
  <c r="AX118" i="4" s="1"/>
  <c r="W93" i="4"/>
  <c r="AX93" i="4" s="1"/>
  <c r="W119" i="4"/>
  <c r="AX119" i="4" s="1"/>
  <c r="W77" i="4"/>
  <c r="W54" i="4"/>
  <c r="W121" i="4"/>
  <c r="AX121" i="4" s="1"/>
  <c r="W98" i="4"/>
  <c r="AX98" i="4" s="1"/>
  <c r="W59" i="4"/>
  <c r="AX59" i="4" s="1"/>
  <c r="W130" i="4"/>
  <c r="W60" i="4"/>
  <c r="W28" i="4"/>
  <c r="AX28" i="4" s="1"/>
  <c r="W84" i="4"/>
  <c r="W78" i="4"/>
  <c r="W67" i="4"/>
  <c r="AX67" i="4" s="1"/>
  <c r="W61" i="4"/>
  <c r="W42" i="4"/>
  <c r="AX42" i="4" s="1"/>
  <c r="W40" i="4"/>
  <c r="AX40" i="4" s="1"/>
  <c r="W23" i="4"/>
  <c r="AX23" i="4" s="1"/>
  <c r="W94" i="4"/>
  <c r="AX94" i="4" s="1"/>
  <c r="W88" i="4"/>
  <c r="W85" i="4"/>
  <c r="W34" i="4"/>
  <c r="AX34" i="4" s="1"/>
  <c r="W18" i="4"/>
  <c r="AX18" i="4" s="1"/>
  <c r="W106" i="4"/>
  <c r="W64" i="4"/>
  <c r="W43" i="4"/>
  <c r="AX43" i="4" s="1"/>
  <c r="W39" i="4"/>
  <c r="AX39" i="4" s="1"/>
  <c r="W44" i="4"/>
  <c r="AX44" i="4" s="1"/>
  <c r="W24" i="4"/>
  <c r="W129" i="4"/>
  <c r="W45" i="4"/>
  <c r="W96" i="4"/>
  <c r="W74" i="4"/>
  <c r="AX74" i="4" s="1"/>
  <c r="W48" i="4"/>
  <c r="W89" i="4"/>
  <c r="W80" i="4"/>
  <c r="AX80" i="4" s="1"/>
  <c r="W63" i="4"/>
  <c r="AX63" i="4" s="1"/>
  <c r="W49" i="4"/>
  <c r="AX49" i="4" s="1"/>
  <c r="W25" i="4"/>
  <c r="AX25" i="4" s="1"/>
  <c r="W107" i="4"/>
  <c r="W37" i="4"/>
  <c r="W36" i="4"/>
  <c r="AX36" i="4" s="1"/>
  <c r="W12" i="4"/>
  <c r="W19" i="4"/>
  <c r="AX19" i="4" s="1"/>
  <c r="W17" i="4"/>
  <c r="AX17" i="4" s="1"/>
  <c r="W16" i="4"/>
  <c r="W20" i="4"/>
  <c r="W15" i="4"/>
  <c r="W13" i="4"/>
  <c r="AX13" i="4" s="1"/>
  <c r="W58" i="4"/>
  <c r="AX58" i="4" s="1"/>
  <c r="W111" i="4"/>
  <c r="AX111" i="4" s="1"/>
  <c r="W50" i="4"/>
  <c r="W21" i="4"/>
  <c r="AX21" i="4" s="1"/>
  <c r="W6" i="4"/>
  <c r="AX6" i="4" s="1"/>
  <c r="W79" i="4"/>
  <c r="AX79" i="4" s="1"/>
  <c r="W22" i="4"/>
  <c r="W7" i="4"/>
  <c r="AH7" i="4" s="1"/>
  <c r="W26" i="4"/>
  <c r="W14" i="4"/>
  <c r="W9" i="4"/>
  <c r="W65" i="4"/>
  <c r="AX65" i="4" s="1"/>
  <c r="W55" i="4"/>
  <c r="W27" i="4"/>
  <c r="W51" i="4"/>
  <c r="W29" i="4"/>
  <c r="W38" i="4"/>
  <c r="AX38" i="4" s="1"/>
  <c r="W109" i="4"/>
  <c r="AX109" i="4" s="1"/>
  <c r="W31" i="4"/>
  <c r="W82" i="4"/>
  <c r="W135" i="4"/>
  <c r="AX135" i="4" s="1"/>
  <c r="W100" i="4"/>
  <c r="AX100" i="4" s="1"/>
  <c r="W56" i="4"/>
  <c r="W32" i="4"/>
  <c r="AX32" i="4" s="1"/>
  <c r="W53" i="4"/>
  <c r="W35" i="4"/>
  <c r="AX35" i="4" s="1"/>
  <c r="W33" i="4"/>
  <c r="AX33" i="4" s="1"/>
  <c r="W30" i="4"/>
  <c r="W11" i="4"/>
  <c r="W10" i="4"/>
  <c r="W5" i="4"/>
  <c r="AX5" i="4" s="1"/>
  <c r="W8" i="4"/>
  <c r="AL127" i="4"/>
  <c r="AM127" i="4"/>
  <c r="AK127" i="4" s="1"/>
  <c r="AL70" i="4"/>
  <c r="AM70" i="4"/>
  <c r="AK70" i="4" s="1"/>
  <c r="AL138" i="4"/>
  <c r="AK138" i="4" s="1"/>
  <c r="AW77" i="4"/>
  <c r="AW149" i="4"/>
  <c r="AL124" i="4"/>
  <c r="AM124" i="4"/>
  <c r="AK124" i="4" s="1"/>
  <c r="AX144" i="4"/>
  <c r="AM76" i="4"/>
  <c r="AL76" i="4"/>
  <c r="AX131" i="4"/>
  <c r="AM109" i="4"/>
  <c r="AL109" i="4"/>
  <c r="AM14" i="4"/>
  <c r="AL14" i="4"/>
  <c r="AW63" i="4"/>
  <c r="AX46" i="4"/>
  <c r="AM10" i="4"/>
  <c r="AL10" i="4"/>
  <c r="AX53" i="4"/>
  <c r="AM98" i="4"/>
  <c r="AL98" i="4"/>
  <c r="AM48" i="4"/>
  <c r="AL48" i="4"/>
  <c r="AW140" i="4"/>
  <c r="AX24" i="4"/>
  <c r="AX126" i="4"/>
  <c r="AM34" i="4"/>
  <c r="AL34" i="4"/>
  <c r="AM71" i="4"/>
  <c r="AL71" i="4"/>
  <c r="AX71" i="4"/>
  <c r="AX31" i="4"/>
  <c r="AM148" i="4"/>
  <c r="AL148" i="4"/>
  <c r="AM24" i="4"/>
  <c r="AL24" i="4"/>
  <c r="AX88" i="4"/>
  <c r="AM17" i="4"/>
  <c r="AL17" i="4"/>
  <c r="AW37" i="4"/>
  <c r="AX26" i="4"/>
  <c r="AX12" i="4"/>
  <c r="AX64" i="4"/>
  <c r="AX83" i="4"/>
  <c r="AX41" i="4"/>
  <c r="AX84" i="4"/>
  <c r="AM64" i="4"/>
  <c r="AL64" i="4"/>
  <c r="AM86" i="4"/>
  <c r="AL86" i="4"/>
  <c r="AW91" i="4"/>
  <c r="AL60" i="4"/>
  <c r="AM60" i="4"/>
  <c r="AK60" i="4" s="1"/>
  <c r="AW45" i="4"/>
  <c r="AM21" i="4"/>
  <c r="AK21" i="4" s="1"/>
  <c r="AM36" i="4"/>
  <c r="AL36" i="4"/>
  <c r="AM29" i="4"/>
  <c r="AK29" i="4" s="1"/>
  <c r="AL72" i="4"/>
  <c r="AM72" i="4"/>
  <c r="AL135" i="4"/>
  <c r="AM145" i="4"/>
  <c r="AK145" i="4" s="1"/>
  <c r="AL145" i="4"/>
  <c r="AW145" i="4"/>
  <c r="AM77" i="4"/>
  <c r="AK77" i="4" s="1"/>
  <c r="AW23" i="4"/>
  <c r="AM149" i="4"/>
  <c r="AL149" i="4"/>
  <c r="AL141" i="4"/>
  <c r="AM141" i="4"/>
  <c r="AK141" i="4" s="1"/>
  <c r="AX108" i="4"/>
  <c r="AL106" i="4"/>
  <c r="AM106" i="4"/>
  <c r="AK106" i="4" s="1"/>
  <c r="AX85" i="4"/>
  <c r="AM128" i="4"/>
  <c r="AK128" i="4" s="1"/>
  <c r="AL128" i="4"/>
  <c r="AL110" i="4"/>
  <c r="AM110" i="4"/>
  <c r="AX95" i="4"/>
  <c r="AL134" i="4"/>
  <c r="AM134" i="4"/>
  <c r="AK134" i="4" s="1"/>
  <c r="AL40" i="4"/>
  <c r="AM40" i="4"/>
  <c r="AK40" i="4" s="1"/>
  <c r="AW71" i="4"/>
  <c r="AX105" i="4"/>
  <c r="F243" i="6"/>
  <c r="AL59" i="4"/>
  <c r="AM59" i="4"/>
  <c r="AK59" i="4" s="1"/>
  <c r="AX113" i="4"/>
  <c r="AL20" i="4"/>
  <c r="AM20" i="4"/>
  <c r="AK20" i="4" s="1"/>
  <c r="AW101" i="4"/>
  <c r="AX52" i="4"/>
  <c r="AX107" i="4"/>
  <c r="AW124" i="4"/>
  <c r="AX60" i="4"/>
  <c r="AK135" i="4"/>
  <c r="AX14" i="4"/>
  <c r="AX132" i="4"/>
  <c r="AX22" i="4"/>
  <c r="AX57" i="4"/>
  <c r="AX89" i="4"/>
  <c r="AX96" i="4"/>
  <c r="AX106" i="4"/>
  <c r="AX146" i="4"/>
  <c r="AM16" i="4"/>
  <c r="AK16" i="4" s="1"/>
  <c r="AL16" i="4"/>
  <c r="AM120" i="4"/>
  <c r="AL120" i="4"/>
  <c r="AW56" i="4"/>
  <c r="AW150" i="4"/>
  <c r="AM13" i="4"/>
  <c r="AL13" i="4"/>
  <c r="AM11" i="4"/>
  <c r="AK11" i="4" s="1"/>
  <c r="AL11" i="4"/>
  <c r="AL35" i="4"/>
  <c r="AK35" i="4" s="1"/>
  <c r="AL39" i="4"/>
  <c r="AK39" i="4" s="1"/>
  <c r="AM33" i="4"/>
  <c r="AK33" i="4" s="1"/>
  <c r="AL33" i="4"/>
  <c r="AL143" i="4"/>
  <c r="AM143" i="4"/>
  <c r="AK143" i="4" s="1"/>
  <c r="AM115" i="4"/>
  <c r="AL115" i="4"/>
  <c r="AW50" i="4"/>
  <c r="AW142" i="4"/>
  <c r="AL9" i="4"/>
  <c r="AM9" i="4"/>
  <c r="AK9" i="4" s="1"/>
  <c r="AW129" i="4"/>
  <c r="AX9" i="4"/>
  <c r="AX114" i="4"/>
  <c r="AX130" i="4"/>
  <c r="AM58" i="4"/>
  <c r="AK58" i="4" s="1"/>
  <c r="AX50" i="4"/>
  <c r="AL119" i="4"/>
  <c r="AM119" i="4"/>
  <c r="AK119" i="4" s="1"/>
  <c r="AX99" i="4"/>
  <c r="AM15" i="4"/>
  <c r="AL15" i="4"/>
  <c r="AM132" i="4"/>
  <c r="AK132" i="4" s="1"/>
  <c r="AL132" i="4"/>
  <c r="AX27" i="4"/>
  <c r="F243" i="7"/>
  <c r="AX61" i="4"/>
  <c r="AM137" i="4"/>
  <c r="AL137" i="4"/>
  <c r="AL27" i="4"/>
  <c r="AK27" i="4" s="1"/>
  <c r="AM125" i="4"/>
  <c r="AK125" i="4" s="1"/>
  <c r="AL125" i="4"/>
  <c r="AW87" i="4"/>
  <c r="F235" i="6"/>
  <c r="AX47" i="4"/>
  <c r="AX16" i="4"/>
  <c r="AK22" i="4"/>
  <c r="AW80" i="4"/>
  <c r="AL92" i="4"/>
  <c r="AM92" i="4"/>
  <c r="AK92" i="4" s="1"/>
  <c r="AL47" i="4"/>
  <c r="AM47" i="4"/>
  <c r="AL18" i="4"/>
  <c r="AM18" i="4"/>
  <c r="AK18" i="4" s="1"/>
  <c r="AW141" i="4"/>
  <c r="HR6" i="2"/>
  <c r="HQ6" i="2"/>
  <c r="AX7" i="4"/>
  <c r="AG7" i="4"/>
  <c r="AX72" i="4"/>
  <c r="AX77" i="4"/>
  <c r="AX101" i="4"/>
  <c r="AX122" i="4"/>
  <c r="AX147" i="4"/>
  <c r="AW128" i="4"/>
  <c r="AW16" i="4"/>
  <c r="AW120" i="4"/>
  <c r="AM56" i="4"/>
  <c r="AK56" i="4" s="1"/>
  <c r="AL56" i="4"/>
  <c r="AW59" i="4"/>
  <c r="AW13" i="4"/>
  <c r="AM50" i="4"/>
  <c r="AL50" i="4"/>
  <c r="AL123" i="4"/>
  <c r="AK123" i="4" s="1"/>
  <c r="AM81" i="4"/>
  <c r="AK81" i="4" s="1"/>
  <c r="AL81" i="4"/>
  <c r="AL114" i="4"/>
  <c r="AM114" i="4"/>
  <c r="AK114" i="4" s="1"/>
  <c r="AM131" i="4"/>
  <c r="AL131" i="4"/>
  <c r="AL142" i="4"/>
  <c r="AK142" i="4" s="1"/>
  <c r="AW9" i="4"/>
  <c r="AW72" i="4"/>
  <c r="AL129" i="4"/>
  <c r="AM129" i="4"/>
  <c r="AJ93" i="4" l="1"/>
  <c r="AI93" i="4"/>
  <c r="O185" i="7"/>
  <c r="O185" i="6"/>
  <c r="O185" i="5"/>
  <c r="AI142" i="4"/>
  <c r="AJ142" i="4"/>
  <c r="AJ90" i="4"/>
  <c r="AI90" i="4"/>
  <c r="AJ123" i="4"/>
  <c r="AI123" i="4"/>
  <c r="AJ27" i="4"/>
  <c r="AI27" i="4"/>
  <c r="AJ138" i="4"/>
  <c r="AI138" i="4"/>
  <c r="AJ49" i="4"/>
  <c r="AI49" i="4"/>
  <c r="AJ35" i="4"/>
  <c r="AI35" i="4"/>
  <c r="AJ95" i="4"/>
  <c r="AI95" i="4"/>
  <c r="AJ39" i="4"/>
  <c r="AI39" i="4"/>
  <c r="AK94" i="4"/>
  <c r="AJ106" i="4"/>
  <c r="AI106" i="4"/>
  <c r="AJ70" i="4"/>
  <c r="AI70" i="4"/>
  <c r="AK91" i="4"/>
  <c r="AK62" i="4"/>
  <c r="AJ74" i="4"/>
  <c r="AI74" i="4"/>
  <c r="AK99" i="4"/>
  <c r="AK54" i="4"/>
  <c r="AK105" i="4"/>
  <c r="AJ78" i="4"/>
  <c r="AI78" i="4"/>
  <c r="AJ57" i="4"/>
  <c r="AI57" i="4"/>
  <c r="AK47" i="4"/>
  <c r="AK137" i="4"/>
  <c r="AK36" i="4"/>
  <c r="AK71" i="4"/>
  <c r="AK14" i="4"/>
  <c r="AK147" i="4"/>
  <c r="AK79" i="4"/>
  <c r="AK146" i="4"/>
  <c r="AK88" i="4"/>
  <c r="AK87" i="4"/>
  <c r="AJ128" i="4"/>
  <c r="AI128" i="4"/>
  <c r="AJ107" i="4"/>
  <c r="AI107" i="4"/>
  <c r="AK131" i="4"/>
  <c r="AJ26" i="4"/>
  <c r="AI26" i="4"/>
  <c r="AK53" i="4"/>
  <c r="AJ52" i="4"/>
  <c r="AI52" i="4"/>
  <c r="AK83" i="4"/>
  <c r="AJ116" i="4"/>
  <c r="AI116" i="4"/>
  <c r="AJ122" i="4"/>
  <c r="AI122" i="4"/>
  <c r="AK101" i="4"/>
  <c r="AJ22" i="4"/>
  <c r="AI22" i="4"/>
  <c r="AK149" i="4"/>
  <c r="AK17" i="4"/>
  <c r="AK76" i="4"/>
  <c r="AJ42" i="4"/>
  <c r="AI42" i="4"/>
  <c r="AK144" i="4"/>
  <c r="AK69" i="4"/>
  <c r="AK12" i="4"/>
  <c r="AK104" i="4"/>
  <c r="AJ38" i="4"/>
  <c r="AI38" i="4"/>
  <c r="AJ65" i="4"/>
  <c r="AI65" i="4"/>
  <c r="AJ103" i="4"/>
  <c r="AI103" i="4"/>
  <c r="AI68" i="4"/>
  <c r="AJ68" i="4"/>
  <c r="AK152" i="4"/>
  <c r="AJ56" i="4"/>
  <c r="AI56" i="4"/>
  <c r="AJ73" i="4"/>
  <c r="AI73" i="4"/>
  <c r="AJ60" i="4"/>
  <c r="AI60" i="4"/>
  <c r="AJ135" i="4"/>
  <c r="AI135" i="4"/>
  <c r="AJ77" i="4"/>
  <c r="AI77" i="4"/>
  <c r="AJ89" i="4"/>
  <c r="AI89" i="4"/>
  <c r="AJ151" i="4"/>
  <c r="AI151" i="4"/>
  <c r="AJ66" i="4"/>
  <c r="AI66" i="4"/>
  <c r="AI125" i="4"/>
  <c r="AJ125" i="4"/>
  <c r="AJ31" i="4"/>
  <c r="AI31" i="4"/>
  <c r="AJ59" i="4"/>
  <c r="AI59" i="4"/>
  <c r="AJ61" i="4"/>
  <c r="AI61" i="4"/>
  <c r="AK34" i="4"/>
  <c r="AK13" i="4"/>
  <c r="AI55" i="4"/>
  <c r="AJ55" i="4"/>
  <c r="AJ117" i="4"/>
  <c r="AI117" i="4"/>
  <c r="AK150" i="4"/>
  <c r="AK80" i="4"/>
  <c r="AK63" i="4"/>
  <c r="AJ82" i="4"/>
  <c r="AI82" i="4"/>
  <c r="AK85" i="4"/>
  <c r="AJ130" i="4"/>
  <c r="AI130" i="4"/>
  <c r="AI33" i="4"/>
  <c r="AJ33" i="4"/>
  <c r="AI18" i="4"/>
  <c r="AJ18" i="4"/>
  <c r="AJ11" i="4"/>
  <c r="AI11" i="4"/>
  <c r="AJ111" i="4"/>
  <c r="AI111" i="4"/>
  <c r="AJ126" i="4"/>
  <c r="AI126" i="4"/>
  <c r="AJ134" i="4"/>
  <c r="AI134" i="4"/>
  <c r="AK86" i="4"/>
  <c r="AK48" i="4"/>
  <c r="AK50" i="4"/>
  <c r="AK115" i="4"/>
  <c r="AK110" i="4"/>
  <c r="AK64" i="4"/>
  <c r="AK98" i="4"/>
  <c r="AK32" i="4"/>
  <c r="AJ30" i="4"/>
  <c r="AI30" i="4"/>
  <c r="AK43" i="4"/>
  <c r="AJ108" i="4"/>
  <c r="AI108" i="4"/>
  <c r="AJ29" i="4"/>
  <c r="AI29" i="4"/>
  <c r="AK100" i="4"/>
  <c r="AJ127" i="4"/>
  <c r="AI127" i="4"/>
  <c r="AJ141" i="4"/>
  <c r="AI141" i="4"/>
  <c r="AK28" i="4"/>
  <c r="AJ40" i="4"/>
  <c r="AI40" i="4"/>
  <c r="AJ44" i="4"/>
  <c r="AI44" i="4"/>
  <c r="AJ41" i="4"/>
  <c r="AI41" i="4"/>
  <c r="O180" i="7"/>
  <c r="O180" i="6"/>
  <c r="O180" i="5"/>
  <c r="AK120" i="4"/>
  <c r="AJ124" i="4"/>
  <c r="AI124" i="4"/>
  <c r="AJ143" i="4"/>
  <c r="AI143" i="4"/>
  <c r="AJ145" i="4"/>
  <c r="AI145" i="4"/>
  <c r="AJ45" i="4"/>
  <c r="AI45" i="4"/>
  <c r="AI84" i="4"/>
  <c r="AJ84" i="4"/>
  <c r="AJ118" i="4"/>
  <c r="AI118" i="4"/>
  <c r="AJ23" i="4"/>
  <c r="AI23" i="4"/>
  <c r="AI153" i="4"/>
  <c r="AJ153" i="4"/>
  <c r="AJ58" i="4"/>
  <c r="AI58" i="4"/>
  <c r="AK51" i="4"/>
  <c r="AI25" i="4"/>
  <c r="AJ25" i="4"/>
  <c r="AK109" i="4"/>
  <c r="AK102" i="4"/>
  <c r="AJ140" i="4"/>
  <c r="AI140" i="4"/>
  <c r="AJ9" i="4"/>
  <c r="AI9" i="4"/>
  <c r="AJ81" i="4"/>
  <c r="AI81" i="4"/>
  <c r="AK24" i="4"/>
  <c r="AJ16" i="4"/>
  <c r="AI16" i="4"/>
  <c r="AJ119" i="4"/>
  <c r="AI119" i="4"/>
  <c r="AJ20" i="4"/>
  <c r="AI20" i="4"/>
  <c r="AK148" i="4"/>
  <c r="AK19" i="4"/>
  <c r="AK46" i="4"/>
  <c r="AK97" i="4"/>
  <c r="AK37" i="4"/>
  <c r="AK136" i="4"/>
  <c r="AJ96" i="4"/>
  <c r="AI96" i="4"/>
  <c r="AI21" i="4"/>
  <c r="AJ21" i="4"/>
  <c r="AJ133" i="4"/>
  <c r="AI133" i="4"/>
  <c r="AI67" i="4"/>
  <c r="AJ67" i="4"/>
  <c r="AI92" i="4"/>
  <c r="AJ92" i="4"/>
  <c r="AJ112" i="4"/>
  <c r="AI112" i="4"/>
  <c r="AJ114" i="4"/>
  <c r="AI114" i="4"/>
  <c r="AI113" i="4"/>
  <c r="AJ113" i="4"/>
  <c r="AJ132" i="4"/>
  <c r="AI132" i="4"/>
  <c r="AK15" i="4"/>
  <c r="AK129" i="4"/>
  <c r="HS6" i="2"/>
  <c r="HT6" i="2"/>
  <c r="AK72" i="4"/>
  <c r="AK10" i="4"/>
  <c r="AK75" i="4"/>
  <c r="AK121" i="4"/>
  <c r="AK139" i="4"/>
  <c r="AJ37" i="4" l="1"/>
  <c r="AI37" i="4"/>
  <c r="AI146" i="4"/>
  <c r="AJ146" i="4"/>
  <c r="AI34" i="4"/>
  <c r="AJ34" i="4"/>
  <c r="AJ91" i="4"/>
  <c r="AI91" i="4"/>
  <c r="AJ104" i="4"/>
  <c r="AI104" i="4"/>
  <c r="AJ86" i="4"/>
  <c r="AI86" i="4"/>
  <c r="AI47" i="4"/>
  <c r="AJ47" i="4"/>
  <c r="AJ94" i="4"/>
  <c r="AI94" i="4"/>
  <c r="AJ46" i="4"/>
  <c r="AI46" i="4"/>
  <c r="AJ36" i="4"/>
  <c r="AI36" i="4"/>
  <c r="AJ51" i="4"/>
  <c r="AI51" i="4"/>
  <c r="AJ85" i="4"/>
  <c r="AI85" i="4"/>
  <c r="AI10" i="4"/>
  <c r="AJ10" i="4"/>
  <c r="AJ8" i="4" s="1"/>
  <c r="AJ72" i="4"/>
  <c r="AI72" i="4"/>
  <c r="AJ100" i="4"/>
  <c r="AI100" i="4"/>
  <c r="AJ79" i="4"/>
  <c r="AI79" i="4"/>
  <c r="AI109" i="4"/>
  <c r="AJ109" i="4"/>
  <c r="AJ14" i="4"/>
  <c r="AI14" i="4"/>
  <c r="AJ71" i="4"/>
  <c r="AI71" i="4"/>
  <c r="AJ75" i="4"/>
  <c r="AI75" i="4"/>
  <c r="HV6" i="2"/>
  <c r="HU6" i="2"/>
  <c r="AJ120" i="4"/>
  <c r="AI120" i="4"/>
  <c r="AJ63" i="4"/>
  <c r="AI63" i="4"/>
  <c r="AI76" i="4"/>
  <c r="AJ76" i="4"/>
  <c r="AJ131" i="4"/>
  <c r="AI131" i="4"/>
  <c r="AJ136" i="4"/>
  <c r="AI136" i="4"/>
  <c r="AJ28" i="4"/>
  <c r="AI28" i="4"/>
  <c r="AJ139" i="4"/>
  <c r="AI139" i="4"/>
  <c r="AI17" i="4"/>
  <c r="AJ17" i="4"/>
  <c r="AJ88" i="4"/>
  <c r="AI88" i="4"/>
  <c r="AJ98" i="4"/>
  <c r="AI98" i="4"/>
  <c r="AI121" i="4"/>
  <c r="AJ121" i="4"/>
  <c r="AJ50" i="4"/>
  <c r="AI50" i="4"/>
  <c r="AI137" i="4"/>
  <c r="AJ137" i="4"/>
  <c r="AJ80" i="4"/>
  <c r="AI80" i="4"/>
  <c r="AJ150" i="4"/>
  <c r="AI150" i="4"/>
  <c r="AI149" i="4"/>
  <c r="AJ149" i="4"/>
  <c r="AJ64" i="4"/>
  <c r="AI64" i="4"/>
  <c r="AI115" i="4"/>
  <c r="AJ115" i="4"/>
  <c r="AI129" i="4"/>
  <c r="AJ129" i="4"/>
  <c r="AI105" i="4"/>
  <c r="AJ105" i="4"/>
  <c r="AJ102" i="4"/>
  <c r="AI102" i="4"/>
  <c r="AJ147" i="4"/>
  <c r="AI147" i="4"/>
  <c r="AJ110" i="4"/>
  <c r="AI110" i="4"/>
  <c r="AJ83" i="4"/>
  <c r="AI83" i="4"/>
  <c r="AJ148" i="4"/>
  <c r="AI148" i="4"/>
  <c r="AI12" i="4"/>
  <c r="AI8" i="4" s="1"/>
  <c r="AJ12" i="4"/>
  <c r="AI69" i="4"/>
  <c r="AJ69" i="4"/>
  <c r="AJ144" i="4"/>
  <c r="AI144" i="4"/>
  <c r="AJ43" i="4"/>
  <c r="AI43" i="4"/>
  <c r="AJ54" i="4"/>
  <c r="AI54" i="4"/>
  <c r="AJ32" i="4"/>
  <c r="AI32" i="4"/>
  <c r="AJ13" i="4"/>
  <c r="AI13" i="4"/>
  <c r="AI97" i="4"/>
  <c r="AJ97" i="4"/>
  <c r="AJ62" i="4"/>
  <c r="AI62" i="4"/>
  <c r="AJ19" i="4"/>
  <c r="AI19" i="4"/>
  <c r="AI48" i="4"/>
  <c r="AJ48" i="4"/>
  <c r="AJ53" i="4"/>
  <c r="AI53" i="4"/>
  <c r="AJ152" i="4"/>
  <c r="AI152" i="4"/>
  <c r="AJ24" i="4"/>
  <c r="AI24" i="4"/>
  <c r="AJ15" i="4"/>
  <c r="AI15" i="4"/>
  <c r="AI101" i="4"/>
  <c r="AJ101" i="4"/>
  <c r="AJ87" i="4"/>
  <c r="AI87" i="4"/>
  <c r="AJ99" i="4"/>
  <c r="AI99" i="4"/>
  <c r="HX6" i="2" l="1"/>
  <c r="HW6" i="2"/>
  <c r="HZ6" i="2" l="1"/>
  <c r="HY6" i="2"/>
  <c r="IA6" i="2" l="1"/>
  <c r="IB6" i="2"/>
  <c r="ID6" i="2" l="1"/>
  <c r="IC6" i="2"/>
  <c r="IE6" i="2" l="1"/>
  <c r="IF6" i="2"/>
  <c r="IH6" i="2" l="1"/>
  <c r="IG6" i="2"/>
  <c r="II6" i="2" l="1"/>
  <c r="IJ6" i="2"/>
  <c r="IL6" i="2" l="1"/>
  <c r="IK6" i="2"/>
  <c r="IN6" i="2" l="1"/>
  <c r="IM6" i="2"/>
  <c r="IP6" i="2" l="1"/>
  <c r="IO6" i="2"/>
  <c r="IQ6" i="2" l="1"/>
  <c r="IR6" i="2"/>
  <c r="IT6" i="2" l="1"/>
  <c r="IS6" i="2"/>
  <c r="IU6" i="2" l="1"/>
  <c r="IV6" i="2"/>
  <c r="IX6" i="2" l="1"/>
  <c r="IW6" i="2"/>
  <c r="IY6" i="2" l="1"/>
  <c r="IZ6" i="2"/>
  <c r="JB6" i="2" l="1"/>
  <c r="JA6" i="2"/>
  <c r="JD6" i="2" l="1"/>
  <c r="JC6" i="2"/>
  <c r="JF6" i="2" l="1"/>
  <c r="JE6" i="2"/>
  <c r="JH6" i="2" l="1"/>
  <c r="JG6" i="2"/>
  <c r="JJ6" i="2" l="1"/>
  <c r="JI6" i="2"/>
  <c r="JL6" i="2" l="1"/>
  <c r="JK6" i="2"/>
  <c r="JN6" i="2" l="1"/>
  <c r="JM6" i="2"/>
  <c r="JP6" i="2" l="1"/>
  <c r="JO6" i="2"/>
  <c r="JR6" i="2" l="1"/>
  <c r="JQ6" i="2"/>
  <c r="JT6" i="2" l="1"/>
  <c r="JS6" i="2"/>
  <c r="JV6" i="2" l="1"/>
  <c r="JU6" i="2"/>
  <c r="JW6" i="2" l="1"/>
  <c r="JX6" i="2"/>
  <c r="JZ6" i="2" l="1"/>
  <c r="JY6" i="2"/>
  <c r="KA6" i="2" l="1"/>
  <c r="KB6" i="2"/>
  <c r="KD6" i="2" l="1"/>
  <c r="KC6" i="2"/>
  <c r="KE6" i="2" l="1"/>
  <c r="KF6" i="2"/>
  <c r="KH6" i="2" l="1"/>
  <c r="KG6" i="2"/>
  <c r="KJ6" i="2" l="1"/>
  <c r="KI6" i="2"/>
  <c r="KL6" i="2" l="1"/>
  <c r="KK6" i="2"/>
  <c r="KM6" i="2" l="1"/>
  <c r="KN6" i="2"/>
  <c r="KP6" i="2" l="1"/>
  <c r="KO6" i="2"/>
  <c r="KQ6" i="2" l="1"/>
  <c r="KR6" i="2"/>
  <c r="KT6" i="2" l="1"/>
  <c r="KS6" i="2"/>
  <c r="KV6" i="2" l="1"/>
  <c r="KU6" i="2"/>
  <c r="KX6" i="2" l="1"/>
  <c r="KW6" i="2"/>
  <c r="KZ6" i="2" l="1"/>
  <c r="KY6" i="2"/>
  <c r="LB6" i="2" l="1"/>
  <c r="LA6" i="2"/>
  <c r="LC6" i="2" l="1"/>
  <c r="LD6" i="2"/>
  <c r="LF6" i="2" l="1"/>
  <c r="LE6" i="2"/>
  <c r="LG6" i="2" l="1"/>
  <c r="LH6" i="2"/>
  <c r="LJ6" i="2" l="1"/>
  <c r="LI6" i="2"/>
  <c r="LK6" i="2" l="1"/>
  <c r="LL6" i="2"/>
  <c r="LN6" i="2" l="1"/>
  <c r="LM6" i="2"/>
  <c r="LP6" i="2" l="1"/>
  <c r="LO6" i="2"/>
  <c r="LR6" i="2" l="1"/>
  <c r="LQ6" i="2"/>
  <c r="LS6" i="2" l="1"/>
  <c r="LT6" i="2"/>
  <c r="LV6" i="2" l="1"/>
  <c r="LU6" i="2"/>
  <c r="LW6" i="2" l="1"/>
  <c r="LX6" i="2"/>
  <c r="LZ6" i="2" l="1"/>
  <c r="LY6" i="2"/>
  <c r="MB6" i="2" l="1"/>
  <c r="MA6" i="2"/>
  <c r="MD6" i="2" l="1"/>
  <c r="MC6" i="2"/>
  <c r="MF6" i="2" l="1"/>
  <c r="ME6" i="2"/>
  <c r="MH6" i="2" l="1"/>
  <c r="MG6" i="2"/>
  <c r="MI6" i="2" l="1"/>
  <c r="MJ6" i="2"/>
  <c r="ML6" i="2" l="1"/>
  <c r="MK6" i="2"/>
  <c r="MM6" i="2" l="1"/>
  <c r="MN6" i="2"/>
  <c r="MP6" i="2" l="1"/>
  <c r="MO6" i="2"/>
  <c r="MQ6" i="2" l="1"/>
  <c r="MR6" i="2"/>
  <c r="MT6" i="2" l="1"/>
  <c r="MS6" i="2"/>
  <c r="MV6" i="2" l="1"/>
  <c r="MU6" i="2"/>
  <c r="MX6" i="2" l="1"/>
  <c r="MW6" i="2"/>
  <c r="MY6" i="2" l="1"/>
  <c r="MZ6" i="2"/>
  <c r="NB6" i="2" l="1"/>
  <c r="NA6" i="2"/>
  <c r="NC6" i="2" l="1"/>
  <c r="ND6" i="2"/>
  <c r="NF6" i="2" l="1"/>
  <c r="NE6" i="2"/>
  <c r="NG6" i="2" l="1"/>
  <c r="NH6" i="2"/>
  <c r="NJ6" i="2" l="1"/>
  <c r="NI6" i="2"/>
  <c r="NL6" i="2" l="1"/>
  <c r="NK6" i="2"/>
  <c r="NN6" i="2" l="1"/>
  <c r="NM6" i="2"/>
  <c r="NO6" i="2" l="1"/>
  <c r="NP6" i="2"/>
  <c r="NR6" i="2" l="1"/>
  <c r="NQ6" i="2"/>
  <c r="NS6" i="2" l="1"/>
  <c r="NT6" i="2"/>
  <c r="NV6" i="2" l="1"/>
  <c r="NU6" i="2"/>
  <c r="NW6" i="2" l="1"/>
  <c r="NX6" i="2"/>
  <c r="NZ6" i="2" l="1"/>
  <c r="NY6" i="2"/>
  <c r="OB6" i="2" l="1"/>
  <c r="OA6" i="2"/>
  <c r="OD6" i="2" l="1"/>
  <c r="OC6" i="2"/>
  <c r="OE6" i="2" l="1"/>
  <c r="OF6" i="2"/>
  <c r="OH6" i="2" l="1"/>
  <c r="OG6" i="2"/>
  <c r="OI6" i="2" l="1"/>
  <c r="OJ6" i="2"/>
  <c r="OL6" i="2" l="1"/>
  <c r="OM6" i="2" s="1"/>
  <c r="OK6" i="2"/>
</calcChain>
</file>

<file path=xl/sharedStrings.xml><?xml version="1.0" encoding="utf-8"?>
<sst xmlns="http://schemas.openxmlformats.org/spreadsheetml/2006/main" count="3816" uniqueCount="925">
  <si>
    <t>Select samples: Select one of the yellow</t>
  </si>
  <si>
    <t>See</t>
  </si>
  <si>
    <t>Optimize the values</t>
  </si>
  <si>
    <t>PW-PLOT</t>
  </si>
  <si>
    <t>cells and select the sample from the list.</t>
  </si>
  <si>
    <t>Instructions</t>
  </si>
  <si>
    <t xml:space="preserve"> in the yellow cells</t>
  </si>
  <si>
    <t>Evaluation of data normalized to hopane</t>
  </si>
  <si>
    <t>Spill</t>
  </si>
  <si>
    <t>Source</t>
  </si>
  <si>
    <t>Evaporation, dissolution or border lines</t>
  </si>
  <si>
    <t xml:space="preserve">max </t>
  </si>
  <si>
    <t>2    A</t>
  </si>
  <si>
    <t>4    C</t>
  </si>
  <si>
    <t>Graph</t>
  </si>
  <si>
    <t>__________</t>
  </si>
  <si>
    <t>_ _ _ _ _ _</t>
  </si>
  <si>
    <t>trendline</t>
  </si>
  <si>
    <t>low ret</t>
  </si>
  <si>
    <t>PW-plot selections</t>
  </si>
  <si>
    <t>PW-plot calculations</t>
  </si>
  <si>
    <t xml:space="preserve">Normalised to   </t>
  </si>
  <si>
    <t>PW plot evaluation</t>
  </si>
  <si>
    <t>Trend line stable compounds</t>
  </si>
  <si>
    <t>high ret</t>
  </si>
  <si>
    <t>select a compound group by entering 1</t>
  </si>
  <si>
    <t>hopane</t>
  </si>
  <si>
    <t>borderlines</t>
  </si>
  <si>
    <t>min value</t>
  </si>
  <si>
    <t>advised</t>
  </si>
  <si>
    <t>selection</t>
  </si>
  <si>
    <t>code</t>
  </si>
  <si>
    <t>alkanes</t>
  </si>
  <si>
    <r>
      <t>A</t>
    </r>
    <r>
      <rPr>
        <sz val="8"/>
        <color theme="1"/>
        <rFont val="Arial"/>
        <family val="2"/>
      </rPr>
      <t>rea</t>
    </r>
  </si>
  <si>
    <t>based on normalisation compound</t>
  </si>
  <si>
    <t>max height</t>
  </si>
  <si>
    <t>ret time</t>
  </si>
  <si>
    <t>factor</t>
  </si>
  <si>
    <t>y-value</t>
  </si>
  <si>
    <t>line 118</t>
  </si>
  <si>
    <t>line 85</t>
  </si>
  <si>
    <t>max value</t>
  </si>
  <si>
    <t>n-alkanes    n-Cx</t>
  </si>
  <si>
    <t>Retention time</t>
  </si>
  <si>
    <r>
      <t>H</t>
    </r>
    <r>
      <rPr>
        <sz val="8"/>
        <color theme="1"/>
        <rFont val="Arial"/>
        <family val="2"/>
      </rPr>
      <t>eight</t>
    </r>
  </si>
  <si>
    <t>isoprenoids     iso-Cx</t>
  </si>
  <si>
    <t>compounds</t>
  </si>
  <si>
    <t xml:space="preserve">after  </t>
  </si>
  <si>
    <t>branched alkanes    br-Cx</t>
  </si>
  <si>
    <t>normalisation</t>
  </si>
  <si>
    <t>all &gt; 1</t>
  </si>
  <si>
    <t>norm PAHs</t>
  </si>
  <si>
    <t>Norm Bio</t>
  </si>
  <si>
    <t>inform PAHs</t>
  </si>
  <si>
    <t>inform Bio</t>
  </si>
  <si>
    <t>H small &lt;1%</t>
  </si>
  <si>
    <t>H high &gt;1%</t>
  </si>
  <si>
    <t>FAME</t>
  </si>
  <si>
    <t>area</t>
  </si>
  <si>
    <t>cyclic</t>
  </si>
  <si>
    <t>H</t>
  </si>
  <si>
    <t>n-alkylcyclohexanes    n-Cx-cyhex</t>
  </si>
  <si>
    <t>decalines     de</t>
  </si>
  <si>
    <t>adamantanes     adam</t>
  </si>
  <si>
    <t>sesquiterpanes     BS</t>
  </si>
  <si>
    <t>diamantanes     diam</t>
  </si>
  <si>
    <t>tricyclic terpanes     Tricy-terp</t>
  </si>
  <si>
    <t>hopanes     hop</t>
  </si>
  <si>
    <t>steranes     ster</t>
  </si>
  <si>
    <t xml:space="preserve">aromatic  </t>
  </si>
  <si>
    <t>alkylbenzenes     Cx-benz</t>
  </si>
  <si>
    <t>alkyltoluenes     Cx-tol</t>
  </si>
  <si>
    <t>Hydro PAH     Hy-tol</t>
  </si>
  <si>
    <t>PAH's     PAH</t>
  </si>
  <si>
    <t>Hopane normalized</t>
  </si>
  <si>
    <t>alkyl PAHs     Cx-PAH</t>
  </si>
  <si>
    <t>S-PAHs     S-PAH</t>
  </si>
  <si>
    <t>Advised max value based</t>
  </si>
  <si>
    <t>tri-aromatic steranes     TAS</t>
  </si>
  <si>
    <t>on the most stable normative</t>
  </si>
  <si>
    <t>Others</t>
  </si>
  <si>
    <t xml:space="preserve"> biomarkers without the TAS</t>
  </si>
  <si>
    <t>Fame</t>
  </si>
  <si>
    <t>PW-plot values.</t>
  </si>
  <si>
    <t>Retention</t>
  </si>
  <si>
    <t>time</t>
  </si>
  <si>
    <t>57_27TM</t>
  </si>
  <si>
    <t>59_29bbR+S</t>
  </si>
  <si>
    <t>60_28ab</t>
  </si>
  <si>
    <t>62_29ab</t>
  </si>
  <si>
    <t>63_30O</t>
  </si>
  <si>
    <t>64_30ab</t>
  </si>
  <si>
    <t>66_31abS</t>
  </si>
  <si>
    <t>mean</t>
  </si>
  <si>
    <t>A</t>
  </si>
  <si>
    <t>Calculation of the ratios and the ratio comparison graph.</t>
  </si>
  <si>
    <t>Diagnostic</t>
  </si>
  <si>
    <t>absolute</t>
  </si>
  <si>
    <t xml:space="preserve">relative </t>
  </si>
  <si>
    <t>ratios</t>
  </si>
  <si>
    <t>difference</t>
  </si>
  <si>
    <t>flag</t>
  </si>
  <si>
    <t>normative in bold</t>
  </si>
  <si>
    <t>%</t>
  </si>
  <si>
    <t>NR-1-M-Adam/1,2-DM-Adam</t>
  </si>
  <si>
    <t>NR-1-M-Adam/2-E-Adam</t>
  </si>
  <si>
    <t>NR-i-C13/2-M-tetralin</t>
  </si>
  <si>
    <t>NR-c-1,3,4-TM-Adam/2-E-Adam</t>
  </si>
  <si>
    <t>NR-C6-/C7-Benz</t>
  </si>
  <si>
    <t>NR-2-E-Adam/i-C14</t>
  </si>
  <si>
    <t>NR-BS1/BS2</t>
  </si>
  <si>
    <t>NR-C3-de peak/BS2</t>
  </si>
  <si>
    <t>NR-B/2-E-N</t>
  </si>
  <si>
    <t>NR-2-E-N/2,6+2,7 DM-N</t>
  </si>
  <si>
    <t>NR-BS4/BS5</t>
  </si>
  <si>
    <t>Top</t>
  </si>
  <si>
    <t>NR-Br-Alk-169-3/n-C15</t>
  </si>
  <si>
    <t>NR-BS5/BS6</t>
  </si>
  <si>
    <t>NR-BS8/BS9</t>
  </si>
  <si>
    <t>NR-m-/o-C8-Tol</t>
  </si>
  <si>
    <t>NR-BS10/Norpri</t>
  </si>
  <si>
    <t>NR-Norpri/m-C9-Tol</t>
  </si>
  <si>
    <t>NR-C10-Benz/n-C11-CyC6</t>
  </si>
  <si>
    <r>
      <t>NR-n-C</t>
    </r>
    <r>
      <rPr>
        <b/>
        <sz val="8"/>
        <color theme="1"/>
        <rFont val="Arial"/>
        <family val="2"/>
      </rPr>
      <t>17</t>
    </r>
    <r>
      <rPr>
        <b/>
        <sz val="8"/>
        <color theme="1"/>
        <rFont val="Arial"/>
        <family val="2"/>
      </rPr>
      <t>/Pri</t>
    </r>
  </si>
  <si>
    <t>NR-Pri/Phy</t>
  </si>
  <si>
    <r>
      <t>NR-n-C</t>
    </r>
    <r>
      <rPr>
        <b/>
        <sz val="8"/>
        <color theme="1"/>
        <rFont val="Arial"/>
        <family val="2"/>
      </rPr>
      <t>18</t>
    </r>
    <r>
      <rPr>
        <b/>
        <sz val="8"/>
        <color theme="1"/>
        <rFont val="Arial"/>
        <family val="2"/>
      </rPr>
      <t>/Phy</t>
    </r>
  </si>
  <si>
    <t>NR-4-M-Dbt/1-M-Dbt</t>
  </si>
  <si>
    <t>NR-Br-Alk-225-3/n-C19</t>
  </si>
  <si>
    <t>NR-2-M-Phe/1-M-Phe</t>
  </si>
  <si>
    <t>NR-FAME 16:0/18:0</t>
  </si>
  <si>
    <t>NR-C2-dbt_s/C2-phe_s</t>
  </si>
  <si>
    <t>NR-2-M-Fl/4-M-Py</t>
  </si>
  <si>
    <t>NR-C15-Benz/C17-Benz</t>
  </si>
  <si>
    <t>NR-BaF/4-M-Py</t>
  </si>
  <si>
    <t>NR-Retene/ 29bb</t>
  </si>
  <si>
    <t>NR-2-M-Py/4-M-Py</t>
  </si>
  <si>
    <t>NR-1-M-Py/4-M-Py</t>
  </si>
  <si>
    <t xml:space="preserve">NR-C23Tr/C24Tr </t>
  </si>
  <si>
    <t>NR-27bb/29bb</t>
  </si>
  <si>
    <t>NR-27Ts/30ab</t>
  </si>
  <si>
    <t>NR-SC26/ RC26+SC27 TA</t>
  </si>
  <si>
    <t>NR-27Tm/30ab</t>
  </si>
  <si>
    <t>NR-28ab/30ab</t>
  </si>
  <si>
    <t>NR-SC28/RC26 + SC27 TA</t>
  </si>
  <si>
    <t>NR-29ab/30ab</t>
  </si>
  <si>
    <t>NR-30O/30ab</t>
  </si>
  <si>
    <t>NR-RC28/RC26+SC27 TA</t>
  </si>
  <si>
    <t>NR-31abS/30ab</t>
  </si>
  <si>
    <t>NR-30G/30ab</t>
  </si>
  <si>
    <t>De/1-M-Adam</t>
  </si>
  <si>
    <t>1-M-Adam/2-M-Adam</t>
  </si>
  <si>
    <t>1,3,5-TM-Adam/tr-1,4-DM-Adam</t>
  </si>
  <si>
    <t>1,3,5-TM-Adam/1,3,6-TM-Adam</t>
  </si>
  <si>
    <t>C1-de_s/C2-de_s</t>
  </si>
  <si>
    <t>tetralin/2-M-tetralin</t>
  </si>
  <si>
    <t>1,2,5,7-TeM-Adam/2-E-Adam</t>
  </si>
  <si>
    <t>1,2,5,7-TeM-Adam/BS10</t>
  </si>
  <si>
    <t>m-C6-Tol/BS10</t>
  </si>
  <si>
    <t>m-/o-C6-tol</t>
  </si>
  <si>
    <t>C7-/C10-Benz</t>
  </si>
  <si>
    <t>BS3/BS5</t>
  </si>
  <si>
    <t xml:space="preserve"> 1,6-DM-N/1,3+1,7-DM-N</t>
  </si>
  <si>
    <t>ANY/ 1,2-DM-N</t>
  </si>
  <si>
    <t>Diam/4-M-Diam</t>
  </si>
  <si>
    <t>FAME 12:0/16:0</t>
  </si>
  <si>
    <t xml:space="preserve">1,3,7 TM-N/1,3,6-TM-N </t>
  </si>
  <si>
    <t>BS8/BS10</t>
  </si>
  <si>
    <t>8H-A/8H-Phe</t>
  </si>
  <si>
    <t>1-M-F/8H-Phe</t>
  </si>
  <si>
    <t xml:space="preserve"> FAME 14:0/16:0</t>
  </si>
  <si>
    <t xml:space="preserve"> FAME 16:1/16:0</t>
  </si>
  <si>
    <t>1-E-Phe/1,7-DM-Phe</t>
  </si>
  <si>
    <t>C3-dbt_s/C3-phe_s</t>
  </si>
  <si>
    <t xml:space="preserve"> FAME 18:2/18:0</t>
  </si>
  <si>
    <t xml:space="preserve"> FAME 18:1 +18:3/18:0</t>
  </si>
  <si>
    <t>C21Tr/C23Tr</t>
  </si>
  <si>
    <t>C23Tr/phy-tol</t>
  </si>
  <si>
    <t xml:space="preserve"> FAME 20:0/18:0</t>
  </si>
  <si>
    <t>C20TA/C21TA</t>
  </si>
  <si>
    <t>C21TA/ RC26+SC27 TA</t>
  </si>
  <si>
    <t>C28(22S)/30ab</t>
  </si>
  <si>
    <t>BaPy/BePy</t>
  </si>
  <si>
    <t>29aaS/29aaR</t>
  </si>
  <si>
    <t>Calculation of the combined standard deviation of the paired ratios</t>
  </si>
  <si>
    <r>
      <t xml:space="preserve">(see CEN/TR 15522-2 (2012) section 6.5.5 last note and also the sheet </t>
    </r>
    <r>
      <rPr>
        <b/>
        <sz val="8"/>
        <color theme="1"/>
        <rFont val="Arial"/>
        <family val="2"/>
      </rPr>
      <t>instructions</t>
    </r>
    <r>
      <rPr>
        <sz val="8"/>
        <color theme="1"/>
        <rFont val="Arial"/>
        <family val="2"/>
      </rPr>
      <t>)</t>
    </r>
  </si>
  <si>
    <t>relative</t>
  </si>
  <si>
    <t>square of</t>
  </si>
  <si>
    <t>is</t>
  </si>
  <si>
    <t>selected</t>
  </si>
  <si>
    <t>st dev</t>
  </si>
  <si>
    <t>upper 95% line</t>
  </si>
  <si>
    <t>Assisting data for the spreadsheet</t>
  </si>
  <si>
    <t>lower 95 % line</t>
  </si>
  <si>
    <t>n-alkanes</t>
  </si>
  <si>
    <t>n-Cx</t>
  </si>
  <si>
    <t>samples</t>
  </si>
  <si>
    <t>isoprenoids</t>
  </si>
  <si>
    <t>iso-Cx</t>
  </si>
  <si>
    <t>Norm. PAHs</t>
  </si>
  <si>
    <t>branched alkanes</t>
  </si>
  <si>
    <t>br-Cx</t>
  </si>
  <si>
    <t>Norm. BIO</t>
  </si>
  <si>
    <t>cyclic alkanes</t>
  </si>
  <si>
    <t>Inform. PAHs</t>
  </si>
  <si>
    <t>n-alkylcyclohexanes</t>
  </si>
  <si>
    <t>n-Cx-cyhex</t>
  </si>
  <si>
    <t>Inform. BIO</t>
  </si>
  <si>
    <t>decalines</t>
  </si>
  <si>
    <t>de</t>
  </si>
  <si>
    <t>adamantanes</t>
  </si>
  <si>
    <t>adam</t>
  </si>
  <si>
    <t>Bicyclic sesquiterpanes</t>
  </si>
  <si>
    <t>BS</t>
  </si>
  <si>
    <t>diamantanes</t>
  </si>
  <si>
    <t>diam</t>
  </si>
  <si>
    <t>tricyclic terpanes</t>
  </si>
  <si>
    <t>Tricy-terp</t>
  </si>
  <si>
    <t>hopanes</t>
  </si>
  <si>
    <t>hop</t>
  </si>
  <si>
    <t>steranes</t>
  </si>
  <si>
    <t>ster</t>
  </si>
  <si>
    <t>alkylbenzenes</t>
  </si>
  <si>
    <t>Cx-benz</t>
  </si>
  <si>
    <t>alkyltoluenes</t>
  </si>
  <si>
    <t>Cx-tol</t>
  </si>
  <si>
    <t>Hydro PAH</t>
  </si>
  <si>
    <t>Hy-PAH</t>
  </si>
  <si>
    <t>PAH's</t>
  </si>
  <si>
    <t>PAH</t>
  </si>
  <si>
    <t>st dev PW</t>
  </si>
  <si>
    <t>alkyl PAHs</t>
  </si>
  <si>
    <t>Cx-PAH</t>
  </si>
  <si>
    <t>S-PAHs</t>
  </si>
  <si>
    <t>S-PAH</t>
  </si>
  <si>
    <t>tri-aromatic steranes</t>
  </si>
  <si>
    <t>TAS</t>
  </si>
  <si>
    <t>normative ratios</t>
  </si>
  <si>
    <t>number of ratio comparisons used</t>
  </si>
  <si>
    <t>sum of the square of the rel. differences</t>
  </si>
  <si>
    <t>st dev of the paired ratios</t>
  </si>
  <si>
    <t>informative ratios</t>
  </si>
  <si>
    <t>all ratios</t>
  </si>
  <si>
    <t>Evaluation of data normalized to phytane</t>
  </si>
  <si>
    <t>3    B</t>
  </si>
  <si>
    <t>phytane</t>
  </si>
  <si>
    <r>
      <t>NR-n-C</t>
    </r>
    <r>
      <rPr>
        <sz val="8"/>
        <color theme="1"/>
        <rFont val="Arial"/>
        <family val="2"/>
      </rPr>
      <t>17</t>
    </r>
    <r>
      <rPr>
        <sz val="8"/>
        <color theme="1"/>
        <rFont val="Arial"/>
        <family val="2"/>
      </rPr>
      <t>/Pri</t>
    </r>
  </si>
  <si>
    <r>
      <t>NR-n-C</t>
    </r>
    <r>
      <rPr>
        <sz val="8"/>
        <color theme="1"/>
        <rFont val="Arial"/>
        <family val="2"/>
      </rPr>
      <t>18</t>
    </r>
    <r>
      <rPr>
        <sz val="8"/>
        <color theme="1"/>
        <rFont val="Arial"/>
        <family val="2"/>
      </rPr>
      <t>/Phy</t>
    </r>
  </si>
  <si>
    <t>Evaluation of data normalized to BS10</t>
  </si>
  <si>
    <t>BS10</t>
  </si>
  <si>
    <t>DATASHEET</t>
  </si>
  <si>
    <t>Select your samples by entering  the number ( from 1 to 100 ) above the data column of the sheet database in the yellow cells.</t>
  </si>
  <si>
    <t xml:space="preserve">for sample selection and </t>
  </si>
  <si>
    <t>retention time evaluation of all samples</t>
  </si>
  <si>
    <t xml:space="preserve">Flags to indicate </t>
  </si>
  <si>
    <t>a retention time test.</t>
  </si>
  <si>
    <t xml:space="preserve">retention times differences </t>
  </si>
  <si>
    <t>table to combine the duplicate samples. Values are calculated from the origina data set in the column range B to W</t>
  </si>
  <si>
    <t>see instructions</t>
  </si>
  <si>
    <t>between the samples</t>
  </si>
  <si>
    <t>Target Compounds</t>
  </si>
  <si>
    <t>QIon</t>
  </si>
  <si>
    <t>sintef</t>
  </si>
  <si>
    <t>B</t>
  </si>
  <si>
    <t>C</t>
  </si>
  <si>
    <t>Enter a value in cell E2</t>
  </si>
  <si>
    <t>delta</t>
  </si>
  <si>
    <t>low</t>
  </si>
  <si>
    <t>high</t>
  </si>
  <si>
    <t>File</t>
  </si>
  <si>
    <t xml:space="preserve">and press on the macro </t>
  </si>
  <si>
    <t xml:space="preserve"> &gt;</t>
  </si>
  <si>
    <t>R.T.</t>
  </si>
  <si>
    <t xml:space="preserve">button above. The macro </t>
  </si>
  <si>
    <t>30 sec</t>
  </si>
  <si>
    <t>6 sec</t>
  </si>
  <si>
    <t>adds the formula "=B3+1"</t>
  </si>
  <si>
    <t>1 + 2 combined</t>
  </si>
  <si>
    <t>3 + 4 combined</t>
  </si>
  <si>
    <t>5 + 6 combined</t>
  </si>
  <si>
    <t>7 + 8 combined</t>
  </si>
  <si>
    <t>9 + 10 combined</t>
  </si>
  <si>
    <t>1_1-M-Adam</t>
  </si>
  <si>
    <t xml:space="preserve"> to cell C3 etc. Use the </t>
  </si>
  <si>
    <t>2_1,2-DM-Adam</t>
  </si>
  <si>
    <t xml:space="preserve">macro to add adjacent </t>
  </si>
  <si>
    <t>3_i-C13</t>
  </si>
  <si>
    <t xml:space="preserve">numbers from cells C3 to I3. </t>
  </si>
  <si>
    <t>4_2-M-Tetralin</t>
  </si>
  <si>
    <t>You can overwrite the formula's</t>
  </si>
  <si>
    <t>5_c-1,3,4-TM-Adam</t>
  </si>
  <si>
    <t xml:space="preserve">with  numbers and run </t>
  </si>
  <si>
    <t>6_C6_Benz</t>
  </si>
  <si>
    <t>the macro again when useful.</t>
  </si>
  <si>
    <t>7_i-C14</t>
  </si>
  <si>
    <t>8_2-E-Adam</t>
  </si>
  <si>
    <t>9_BS1</t>
  </si>
  <si>
    <t>10_C3-de peak</t>
  </si>
  <si>
    <t>11_BS2</t>
  </si>
  <si>
    <t>12_C7_Benz</t>
  </si>
  <si>
    <t>13_B</t>
  </si>
  <si>
    <t>14_2-E-N</t>
  </si>
  <si>
    <t>15_2,6+2,7-DM-N</t>
  </si>
  <si>
    <t>16_Br-Alk 169-3</t>
  </si>
  <si>
    <t>17_BS4</t>
  </si>
  <si>
    <t>18_BS5</t>
  </si>
  <si>
    <t>19_BS6</t>
  </si>
  <si>
    <t>20_n-C15</t>
  </si>
  <si>
    <t>21_BS8</t>
  </si>
  <si>
    <t>22_BS9</t>
  </si>
  <si>
    <t>23_m-C8-Tol</t>
  </si>
  <si>
    <t>24_BS10</t>
  </si>
  <si>
    <t>25_o-C8-Tol</t>
  </si>
  <si>
    <t>26_Norpri</t>
  </si>
  <si>
    <t>27_m-C9-Tol</t>
  </si>
  <si>
    <t>28_C10_Benz</t>
  </si>
  <si>
    <t>29_n-C17</t>
  </si>
  <si>
    <t>30_Pri</t>
  </si>
  <si>
    <t>31_n-C11-CyC6</t>
  </si>
  <si>
    <t>32_n-C18</t>
  </si>
  <si>
    <t>33_Phy</t>
  </si>
  <si>
    <t>34_4-M-Dbt</t>
  </si>
  <si>
    <t>35_Br-Alk 225-3</t>
  </si>
  <si>
    <t>36_n-C19</t>
  </si>
  <si>
    <t>37_1-M-Dbt</t>
  </si>
  <si>
    <t>38_2-M-Phe</t>
  </si>
  <si>
    <t>39_FAME 16:0</t>
  </si>
  <si>
    <t>40_1-M-Phe</t>
  </si>
  <si>
    <t>41_C2-dbt_s</t>
  </si>
  <si>
    <t>42_C2-phe_s</t>
  </si>
  <si>
    <t>43_FAME 18:0</t>
  </si>
  <si>
    <t>44_2-M-Fl</t>
  </si>
  <si>
    <t>45_C15-Benz</t>
  </si>
  <si>
    <t>46_BaF</t>
  </si>
  <si>
    <t>47_Retene</t>
  </si>
  <si>
    <t>48_2-M-Py</t>
  </si>
  <si>
    <t>49_4-M-Py</t>
  </si>
  <si>
    <t>50_1-M-Py</t>
  </si>
  <si>
    <t>51_C23Tr</t>
  </si>
  <si>
    <t>52_C24Tr</t>
  </si>
  <si>
    <t>53_C17-Benz</t>
  </si>
  <si>
    <t>54_27bbR+S</t>
  </si>
  <si>
    <t>55_27Ts</t>
  </si>
  <si>
    <t>56_SC26 TA</t>
  </si>
  <si>
    <t>57_27Tm</t>
  </si>
  <si>
    <t>58_RC26TA+SC27 TA</t>
  </si>
  <si>
    <t>61_SC28 TA</t>
  </si>
  <si>
    <t>65_RC28 TA</t>
  </si>
  <si>
    <t>67_30G</t>
  </si>
  <si>
    <t>68_De</t>
  </si>
  <si>
    <t>69_1,3,5-TM-Adam</t>
  </si>
  <si>
    <t>70_C1-de_s</t>
  </si>
  <si>
    <t>71_2-M-Adam</t>
  </si>
  <si>
    <t>72_Tetralin</t>
  </si>
  <si>
    <t>73_c-1,4-DM-Adam</t>
  </si>
  <si>
    <t>74_N</t>
  </si>
  <si>
    <t>75_tr-1,4-DM-Adam</t>
  </si>
  <si>
    <t>76_1,3,6-TM-Adam</t>
  </si>
  <si>
    <t>77_C2-de_s</t>
  </si>
  <si>
    <t>78_tr-1,3,4-TM-Adam</t>
  </si>
  <si>
    <t xml:space="preserve">79_1,2,5,7-TeM-Adam </t>
  </si>
  <si>
    <t>80_1-M-N</t>
  </si>
  <si>
    <t>81_m-C6-Tol</t>
  </si>
  <si>
    <t>82_Br-Alk-169-1</t>
  </si>
  <si>
    <t>83_ o-C6-Tol</t>
  </si>
  <si>
    <t>84_i-C15</t>
  </si>
  <si>
    <t>85_1,3+1,7-DM-N</t>
  </si>
  <si>
    <t>86_1,6-DM-N</t>
  </si>
  <si>
    <t>87_BS3</t>
  </si>
  <si>
    <t>88_C2-bt_s</t>
  </si>
  <si>
    <t>89_ANY</t>
  </si>
  <si>
    <t>90_m-C7-Tol</t>
  </si>
  <si>
    <t>91_Br-Alk-169-2</t>
  </si>
  <si>
    <t>92_1,2 -DM-N</t>
  </si>
  <si>
    <t>93_i-C16</t>
  </si>
  <si>
    <t>94_ o-C7-Tol</t>
  </si>
  <si>
    <t>95_ Diam</t>
  </si>
  <si>
    <t>96_FAME 12:0</t>
  </si>
  <si>
    <t>97_4-M-Diam</t>
  </si>
  <si>
    <t>98_1,3,7-TM-N</t>
  </si>
  <si>
    <t>99_1,3,6-TM-N</t>
  </si>
  <si>
    <t xml:space="preserve">100_ n-C9-CyC6 </t>
  </si>
  <si>
    <t>101_ o-C9-Tol</t>
  </si>
  <si>
    <t>102_8H-A</t>
  </si>
  <si>
    <t>103_1-M-F</t>
  </si>
  <si>
    <t>104_8H-Phe</t>
  </si>
  <si>
    <t>105_FAME 14:0</t>
  </si>
  <si>
    <t xml:space="preserve">106_Br-alk-225-1 </t>
  </si>
  <si>
    <t>107_C2-f_s</t>
  </si>
  <si>
    <t>108_Br-alk-225-2</t>
  </si>
  <si>
    <t>109_m-C11-Tol</t>
  </si>
  <si>
    <t>110_C12-Benz</t>
  </si>
  <si>
    <t>111_o-C11-Tol</t>
  </si>
  <si>
    <t>112_FAME 16:1</t>
  </si>
  <si>
    <t>113_2-M-A</t>
  </si>
  <si>
    <t>114_1-E-Phe</t>
  </si>
  <si>
    <t>115_1,7 DM-Phe</t>
  </si>
  <si>
    <t>116_C3-dbt_s</t>
  </si>
  <si>
    <t>117_FAME 18:2</t>
  </si>
  <si>
    <t>118_FAME 18:1 + 18:3</t>
  </si>
  <si>
    <t>120_C21Tr</t>
  </si>
  <si>
    <t>121_C3-phe_s</t>
  </si>
  <si>
    <t>122_C4-phe_s</t>
  </si>
  <si>
    <t>123_FAME 20:1</t>
  </si>
  <si>
    <t>124_Te-M-Phe</t>
  </si>
  <si>
    <t>125_FAME 20:0</t>
  </si>
  <si>
    <t>126_C2-fl</t>
  </si>
  <si>
    <t>127_BNT</t>
  </si>
  <si>
    <t>128_C20TA</t>
  </si>
  <si>
    <t>129_C25Trab</t>
  </si>
  <si>
    <t>130_C21 TA</t>
  </si>
  <si>
    <t>131_Phy-Tol</t>
  </si>
  <si>
    <t>132_C1-chr</t>
  </si>
  <si>
    <t>133_27dbS</t>
  </si>
  <si>
    <t>134_27dbR</t>
  </si>
  <si>
    <t>135_C28 (22S)</t>
  </si>
  <si>
    <t>136_C29 (22S)</t>
  </si>
  <si>
    <t>137_BePy</t>
  </si>
  <si>
    <t xml:space="preserve">138_BaPy </t>
  </si>
  <si>
    <t>139_28bbR+S</t>
  </si>
  <si>
    <t>140_28aaR</t>
  </si>
  <si>
    <t>141_29aaS</t>
  </si>
  <si>
    <t>142_25nor30ab</t>
  </si>
  <si>
    <t>143_29aaR</t>
  </si>
  <si>
    <t>144_29Ts</t>
  </si>
  <si>
    <t>145_30ba</t>
  </si>
  <si>
    <t>146_32abS</t>
  </si>
  <si>
    <t>Overview of the ratios of the samples in the database and correlation based on paired ratio calculations.</t>
  </si>
  <si>
    <t>See Instructions</t>
  </si>
  <si>
    <t xml:space="preserve">reference </t>
  </si>
  <si>
    <t>compared with</t>
  </si>
  <si>
    <t>Check the ratios to be used before comparing samples.</t>
  </si>
  <si>
    <t>Paired ratio calculation</t>
  </si>
  <si>
    <t>sample</t>
  </si>
  <si>
    <t xml:space="preserve">lowest st dev values of </t>
  </si>
  <si>
    <t xml:space="preserve"> paired ratios calculation</t>
  </si>
  <si>
    <t>sample #</t>
  </si>
  <si>
    <t>name</t>
  </si>
  <si>
    <t>normative</t>
  </si>
  <si>
    <t>informative</t>
  </si>
  <si>
    <t>all</t>
  </si>
  <si>
    <t>NR-n-C17/Pri</t>
  </si>
  <si>
    <t>NR-n-C18/Phy</t>
  </si>
  <si>
    <t>Overview of the ratios of the samples in the database.</t>
  </si>
  <si>
    <t>Sample</t>
  </si>
  <si>
    <t>DATABASE</t>
  </si>
  <si>
    <t>Get File macro settings</t>
  </si>
  <si>
    <t>Get file indicative row values</t>
  </si>
  <si>
    <t>see instructions getfile macro</t>
  </si>
  <si>
    <t>For storing up to 200 samples.</t>
  </si>
  <si>
    <t>Original  integration data</t>
  </si>
  <si>
    <t>starting row</t>
  </si>
  <si>
    <t>last row</t>
  </si>
  <si>
    <t>See instructions</t>
  </si>
  <si>
    <t>row 5 can be used to identify oilcases or tests by color.</t>
  </si>
  <si>
    <t>See instructions database</t>
  </si>
  <si>
    <t>Development test files.</t>
  </si>
  <si>
    <t>Sintef i</t>
  </si>
  <si>
    <t>dup a</t>
  </si>
  <si>
    <t>dup b</t>
  </si>
  <si>
    <t>duplo b</t>
  </si>
  <si>
    <t>duplo a</t>
  </si>
  <si>
    <t>126_C2-fl_s</t>
  </si>
  <si>
    <t>132_C1-chr_s</t>
  </si>
  <si>
    <t>EN ratios</t>
  </si>
  <si>
    <t>EN compounds</t>
  </si>
  <si>
    <t>Weathering effects EN standard</t>
  </si>
  <si>
    <t>Weathering effects CEN 2012</t>
  </si>
  <si>
    <t>evaporation is in relation with the retention time.</t>
  </si>
  <si>
    <t>Properties of compounds</t>
  </si>
  <si>
    <t>Weathering effects</t>
  </si>
  <si>
    <t>Sensitivity of compounds. Markers for effects</t>
  </si>
  <si>
    <t>EN Ratio code:   Each ratio has a code</t>
  </si>
  <si>
    <t>weathering</t>
  </si>
  <si>
    <t>high   = ᴏ    medium =  ♦</t>
  </si>
  <si>
    <t>The "ratio" retention time is based on the retention time of the numerator</t>
  </si>
  <si>
    <t>Compounds to be integrated</t>
  </si>
  <si>
    <t>compound</t>
  </si>
  <si>
    <t>photo</t>
  </si>
  <si>
    <t>bio</t>
  </si>
  <si>
    <t>solubility</t>
  </si>
  <si>
    <t>burning</t>
  </si>
  <si>
    <t>aromatic</t>
  </si>
  <si>
    <t>sulfur</t>
  </si>
  <si>
    <t>biodegradation</t>
  </si>
  <si>
    <t>row</t>
  </si>
  <si>
    <t>Compound</t>
  </si>
  <si>
    <t xml:space="preserve">part of </t>
  </si>
  <si>
    <t>stability</t>
  </si>
  <si>
    <t>oxidation</t>
  </si>
  <si>
    <t>degadation</t>
  </si>
  <si>
    <t>rings</t>
  </si>
  <si>
    <t>ratio masses</t>
  </si>
  <si>
    <t>EN</t>
  </si>
  <si>
    <t>EN standard ratios</t>
  </si>
  <si>
    <t>ret</t>
  </si>
  <si>
    <t xml:space="preserve"> diesel</t>
  </si>
  <si>
    <t>diesel</t>
  </si>
  <si>
    <t>lub oil</t>
  </si>
  <si>
    <t>HFO</t>
  </si>
  <si>
    <t>Sludge</t>
  </si>
  <si>
    <t>Crude</t>
  </si>
  <si>
    <t>NR</t>
  </si>
  <si>
    <t>label</t>
  </si>
  <si>
    <t>compound name</t>
  </si>
  <si>
    <t>Q ion</t>
  </si>
  <si>
    <t>H-A</t>
  </si>
  <si>
    <t>Ret time</t>
  </si>
  <si>
    <t>type</t>
  </si>
  <si>
    <t>EN ratio code</t>
  </si>
  <si>
    <t>Compound type codes</t>
  </si>
  <si>
    <t>Comp1</t>
  </si>
  <si>
    <t>Comp 2</t>
  </si>
  <si>
    <t>Diff</t>
  </si>
  <si>
    <t>ratio</t>
  </si>
  <si>
    <t xml:space="preserve">norm  </t>
  </si>
  <si>
    <t>numerator</t>
  </si>
  <si>
    <t>denominator</t>
  </si>
  <si>
    <t>&lt;0.3</t>
  </si>
  <si>
    <t>light</t>
  </si>
  <si>
    <t xml:space="preserve">medium </t>
  </si>
  <si>
    <t>1-M-Adam</t>
  </si>
  <si>
    <t xml:space="preserve">1-methyl-adamantane   </t>
  </si>
  <si>
    <t>1_2_45_46</t>
  </si>
  <si>
    <t>●</t>
  </si>
  <si>
    <t>1) NR-C17</t>
  </si>
  <si>
    <t>ᴏ</t>
  </si>
  <si>
    <t>m/z</t>
  </si>
  <si>
    <t>&lt;1</t>
  </si>
  <si>
    <t>1,2-DM-Adam</t>
  </si>
  <si>
    <t>1,2-dimethyl-adamantane</t>
  </si>
  <si>
    <t>2) NR-Pristane</t>
  </si>
  <si>
    <t>X</t>
  </si>
  <si>
    <t>i-C13</t>
  </si>
  <si>
    <t>acyclic isoprenoid C13 = 2,6-dimethylundecane</t>
  </si>
  <si>
    <t>3) NR-C18</t>
  </si>
  <si>
    <t>2-M-Tetralin</t>
  </si>
  <si>
    <t>2-M-1,2,3,4-tetrahydronaphtalene</t>
  </si>
  <si>
    <t>3_50</t>
  </si>
  <si>
    <t>4) NR-phytane</t>
  </si>
  <si>
    <t>c-1,3,4-TM-Adam</t>
  </si>
  <si>
    <t>cis-1,3,4-trimethyl-adamantane</t>
  </si>
  <si>
    <t>5) NR-4-Methyl Dibenzothi...</t>
  </si>
  <si>
    <t>S</t>
  </si>
  <si>
    <t>C6_Benz</t>
  </si>
  <si>
    <t xml:space="preserve">hexyl-benzene </t>
  </si>
  <si>
    <t>6) NR-1-Methyl Dibenzothi...</t>
  </si>
  <si>
    <t>i-C14</t>
  </si>
  <si>
    <t>acyclic isoprenoid C14 = 2,6,10-trimethylundecane</t>
  </si>
  <si>
    <t>7) NR-2-methyl phenanthrene</t>
  </si>
  <si>
    <t>2-E-Adam</t>
  </si>
  <si>
    <t xml:space="preserve">2-ethyl-adamantane  </t>
  </si>
  <si>
    <t>2_4_6_51</t>
  </si>
  <si>
    <t>8) NR-1-methyl phenanthrene</t>
  </si>
  <si>
    <t>BS1</t>
  </si>
  <si>
    <t xml:space="preserve">bicyclic sesquiterpane 1  </t>
  </si>
  <si>
    <t>9) NR-2-Methylfluoranthene</t>
  </si>
  <si>
    <t>C3-de peak</t>
  </si>
  <si>
    <t>C3-decalin range peak (ratio with BS2)</t>
  </si>
  <si>
    <t>10) NR-benzo(a)-fluorene</t>
  </si>
  <si>
    <t>BS2</t>
  </si>
  <si>
    <t>bicyclic sesquiterpane 2</t>
  </si>
  <si>
    <t>7_8</t>
  </si>
  <si>
    <t>11) NR-retene</t>
  </si>
  <si>
    <t>sesquiterpanes</t>
  </si>
  <si>
    <t>C7_Benz</t>
  </si>
  <si>
    <t xml:space="preserve">heptyl-benzene </t>
  </si>
  <si>
    <t>5_55</t>
  </si>
  <si>
    <t>12) NR-benzo(b+c)fluorene</t>
  </si>
  <si>
    <t>Biphenyl</t>
  </si>
  <si>
    <t>13) NR-2-methylpyrene</t>
  </si>
  <si>
    <t>triterpanes</t>
  </si>
  <si>
    <t>2-E-N</t>
  </si>
  <si>
    <t>2-E-naphthalene</t>
  </si>
  <si>
    <t>9_10</t>
  </si>
  <si>
    <t>14) NR-4-methylpyrene</t>
  </si>
  <si>
    <t>2,6+2,7-DM-N</t>
  </si>
  <si>
    <t>2,6+2,7-DM-naphthalene</t>
  </si>
  <si>
    <t>15) NR-1-methylpyrene</t>
  </si>
  <si>
    <t>Br-Alk 169-3</t>
  </si>
  <si>
    <t xml:space="preserve">Branched alkane m/z 169-3 </t>
  </si>
  <si>
    <t>16) NR-tetramethyl-phenant...</t>
  </si>
  <si>
    <t>BS4</t>
  </si>
  <si>
    <t>bicyclic sesquiterpane 4</t>
  </si>
  <si>
    <t>17) NR-BNT</t>
  </si>
  <si>
    <t>BS5</t>
  </si>
  <si>
    <t>bicyclic sesquiterpane 5</t>
  </si>
  <si>
    <t>11_13_56</t>
  </si>
  <si>
    <t>18) NR-27dbS</t>
  </si>
  <si>
    <t>BS6</t>
  </si>
  <si>
    <t>bicyclic sesquiterpane 6</t>
  </si>
  <si>
    <t>19) NR-27dbR</t>
  </si>
  <si>
    <t>n-C15</t>
  </si>
  <si>
    <t>20) NR-27bbR+S</t>
  </si>
  <si>
    <t>BS8</t>
  </si>
  <si>
    <t>14_62</t>
  </si>
  <si>
    <t>21) NR-27-TS</t>
  </si>
  <si>
    <t>BS9</t>
  </si>
  <si>
    <t>22) NR-SC26TA</t>
  </si>
  <si>
    <t>m-C8-Tol</t>
  </si>
  <si>
    <t>meta-octyl-toluene</t>
  </si>
  <si>
    <t>23) NR-27-TM</t>
  </si>
  <si>
    <t>aromatic steranes</t>
  </si>
  <si>
    <t>16_52_53_62</t>
  </si>
  <si>
    <t>24) NR-RC26TA+SC27TA</t>
  </si>
  <si>
    <t>remaining</t>
  </si>
  <si>
    <t>o-C8-Tol</t>
  </si>
  <si>
    <t>ortho-octyl-toluene</t>
  </si>
  <si>
    <t>25) NR-29bbR+S</t>
  </si>
  <si>
    <t>Norpri</t>
  </si>
  <si>
    <t>Norpristan = 2,6,10-trimethylpentadecane</t>
  </si>
  <si>
    <t>16_17</t>
  </si>
  <si>
    <t>26) NR-28ab</t>
  </si>
  <si>
    <t>m-C9-Tol</t>
  </si>
  <si>
    <t>m-nonyltoluene</t>
  </si>
  <si>
    <t>27) NR-SC28TA</t>
  </si>
  <si>
    <t>C10_Benz</t>
  </si>
  <si>
    <t>C10_benzene</t>
  </si>
  <si>
    <t>18_55</t>
  </si>
  <si>
    <t>28) NR-29ab</t>
  </si>
  <si>
    <t>n-C17</t>
  </si>
  <si>
    <t>29) NR-RC27TA</t>
  </si>
  <si>
    <t>Pri</t>
  </si>
  <si>
    <t>i-C19 = Pristane= 2,6,10,14-tetramethylpentadecane</t>
  </si>
  <si>
    <t>19_20</t>
  </si>
  <si>
    <t>30) NR-30O</t>
  </si>
  <si>
    <t>n-C11-CyC6</t>
  </si>
  <si>
    <t>n-undecane cyclohexane</t>
  </si>
  <si>
    <t>31) NR-30ab</t>
  </si>
  <si>
    <t>n-C18</t>
  </si>
  <si>
    <t>32) NR-RC28TA</t>
  </si>
  <si>
    <t>Phy</t>
  </si>
  <si>
    <t>i-C20  = Phytane = 2,6,10,14 tetramethylhexadecane</t>
  </si>
  <si>
    <t>20_21</t>
  </si>
  <si>
    <t>33) NR-31abS</t>
  </si>
  <si>
    <t>4-M-Dbt</t>
  </si>
  <si>
    <t>4-M-dibenzothiophene</t>
  </si>
  <si>
    <t>34) NR-30G</t>
  </si>
  <si>
    <t>Br-Alk 225-3</t>
  </si>
  <si>
    <t>Branched alkane 225-3</t>
  </si>
  <si>
    <t>35) C1-dekalin</t>
  </si>
  <si>
    <t>n-C19</t>
  </si>
  <si>
    <t>36) Naphthalene</t>
  </si>
  <si>
    <t>1-M-Dbt</t>
  </si>
  <si>
    <t>1-M-dibenzothiophene</t>
  </si>
  <si>
    <t>37) C1-Naphthalenes</t>
  </si>
  <si>
    <t>2-M-Phe</t>
  </si>
  <si>
    <t>2-M-phenanthrene</t>
  </si>
  <si>
    <t>38) SES1</t>
  </si>
  <si>
    <t>FAME 16:0</t>
  </si>
  <si>
    <t>25_60_65_66</t>
  </si>
  <si>
    <t>39) C2 benzothiophenes</t>
  </si>
  <si>
    <t>1-M-Phe</t>
  </si>
  <si>
    <t>1-M-phenanthrene</t>
  </si>
  <si>
    <t>40) C2-Naphthalenes</t>
  </si>
  <si>
    <t>C2-dbt_s</t>
  </si>
  <si>
    <t>C2-dibenzothiophenes</t>
  </si>
  <si>
    <t>41) SES2</t>
  </si>
  <si>
    <t>C2-phe_s</t>
  </si>
  <si>
    <t>C2 phenanthrenes anthr...</t>
  </si>
  <si>
    <t>42) SES3</t>
  </si>
  <si>
    <t>FAME 18:0</t>
  </si>
  <si>
    <t>25_69_70_73</t>
  </si>
  <si>
    <t>43) SES4</t>
  </si>
  <si>
    <t>2-M-Fl</t>
  </si>
  <si>
    <t>2-M-fluoranthene</t>
  </si>
  <si>
    <t>44) SES8</t>
  </si>
  <si>
    <t>C15-Benz</t>
  </si>
  <si>
    <t>C15-Benzene</t>
  </si>
  <si>
    <t>45) C1-Fluorenes</t>
  </si>
  <si>
    <t>BaF</t>
  </si>
  <si>
    <t>benzo(a)-fluorene</t>
  </si>
  <si>
    <t>46) C2-Fluorenes</t>
  </si>
  <si>
    <t>Retene</t>
  </si>
  <si>
    <t>retene</t>
  </si>
  <si>
    <t>47) Methylanthracene</t>
  </si>
  <si>
    <t>2-M-Py</t>
  </si>
  <si>
    <t>2-M-pyrene</t>
  </si>
  <si>
    <t>48) C2-dibenzothiophenes</t>
  </si>
  <si>
    <t>4-M-Py</t>
  </si>
  <si>
    <t>4-M-pyrene</t>
  </si>
  <si>
    <t>27_29_31_32</t>
  </si>
  <si>
    <t>49) C2-highest peak phe. a...</t>
  </si>
  <si>
    <t>1-M-Py</t>
  </si>
  <si>
    <t>1-M-pyrene</t>
  </si>
  <si>
    <t>50) C2 phenanthrenes anthr...</t>
  </si>
  <si>
    <t>C23Tr</t>
  </si>
  <si>
    <t>C23 Tricyclic diterpane</t>
  </si>
  <si>
    <t>33_71_72</t>
  </si>
  <si>
    <t>51) C3 dibenzothiophenes</t>
  </si>
  <si>
    <t>C24Tr</t>
  </si>
  <si>
    <t>C24 tricyclic diterpane</t>
  </si>
  <si>
    <t>52) C3 phenanthrenes anthr...</t>
  </si>
  <si>
    <t>C17-Benz</t>
  </si>
  <si>
    <t>C17-benzene</t>
  </si>
  <si>
    <t>53) C4 phenanthrenes anthr...</t>
  </si>
  <si>
    <t>27bbR+S</t>
  </si>
  <si>
    <t>27bbR+S sterane</t>
  </si>
  <si>
    <t>54) C23 Tr</t>
  </si>
  <si>
    <t>27Ts</t>
  </si>
  <si>
    <t>18α(H)-22,29,30-trisnorneohopane</t>
  </si>
  <si>
    <t>55) C24 Tr</t>
  </si>
  <si>
    <t>SC26 TA</t>
  </si>
  <si>
    <t>56) C2 fluoranthrenes pyrenes</t>
  </si>
  <si>
    <t xml:space="preserve">3-4 </t>
  </si>
  <si>
    <t>27Tm</t>
  </si>
  <si>
    <t>17α(H)-22,29,30-trisnorhopane</t>
  </si>
  <si>
    <t>57) C20TA</t>
  </si>
  <si>
    <t>RC26TA+SC27 TA</t>
  </si>
  <si>
    <t>36_39_42_75</t>
  </si>
  <si>
    <t>58) C25 Tr</t>
  </si>
  <si>
    <t>29bbR+S</t>
  </si>
  <si>
    <t>29bbR+S  sterane</t>
  </si>
  <si>
    <t>30_34</t>
  </si>
  <si>
    <t>59) C21 TA</t>
  </si>
  <si>
    <t>28ab</t>
  </si>
  <si>
    <t>17α(H), 21β(H)-28,30-bisnorhopane</t>
  </si>
  <si>
    <t>60) C1 chrysenes</t>
  </si>
  <si>
    <t>SC28 TA</t>
  </si>
  <si>
    <t>61) C28 (22S)</t>
  </si>
  <si>
    <t>29ab</t>
  </si>
  <si>
    <t>17α(H), 21β(H)-30-norhopane</t>
  </si>
  <si>
    <t>62) C29 (22S)</t>
  </si>
  <si>
    <t>30O</t>
  </si>
  <si>
    <t>18α(H)-oleanane</t>
  </si>
  <si>
    <t>63) 28bbR+S</t>
  </si>
  <si>
    <t>30ab</t>
  </si>
  <si>
    <t>17α(H), 21β(H)-hopane (hopane)</t>
  </si>
  <si>
    <t>35_37_38_40_41_43_44_76</t>
  </si>
  <si>
    <t>64) 28aaR</t>
  </si>
  <si>
    <t>RC28 TA</t>
  </si>
  <si>
    <t>65) 29aaS</t>
  </si>
  <si>
    <t>31abS</t>
  </si>
  <si>
    <t>66) 29bbR+S</t>
  </si>
  <si>
    <t>30G</t>
  </si>
  <si>
    <t>Gammacerane</t>
  </si>
  <si>
    <t>67) 29aaR</t>
  </si>
  <si>
    <t>De</t>
  </si>
  <si>
    <t>Decalin</t>
  </si>
  <si>
    <t>68) 29Ts</t>
  </si>
  <si>
    <t>1,3,5-TM-Adam</t>
  </si>
  <si>
    <t>1,3,5-trimethyl adamantane</t>
  </si>
  <si>
    <t>47_48</t>
  </si>
  <si>
    <t>69) 30ba</t>
  </si>
  <si>
    <t>C1-de_s</t>
  </si>
  <si>
    <t>C1-decalins</t>
  </si>
  <si>
    <t>70) 32abS</t>
  </si>
  <si>
    <t>2-M-Adam</t>
  </si>
  <si>
    <t>2-methyl adamantane</t>
  </si>
  <si>
    <t>71) FAME 12:0</t>
  </si>
  <si>
    <t>?</t>
  </si>
  <si>
    <t>Tetralin</t>
  </si>
  <si>
    <t>1,2,3,4 tetrahydronaphtalene</t>
  </si>
  <si>
    <t>72) FAME 14:0</t>
  </si>
  <si>
    <t>c-1,4-DM-Adam</t>
  </si>
  <si>
    <t xml:space="preserve">1,4-dimethyl adamantane cis </t>
  </si>
  <si>
    <t>73) FAME 16:1</t>
  </si>
  <si>
    <t>N</t>
  </si>
  <si>
    <t>Naphthalene</t>
  </si>
  <si>
    <t>74) FAME 16:0</t>
  </si>
  <si>
    <t>tr-1,4-DM-Adam</t>
  </si>
  <si>
    <t>1,4-dimethyl adamantane trans</t>
  </si>
  <si>
    <t>75) FAME 18:2</t>
  </si>
  <si>
    <t>1,3,6-TM-Adam</t>
  </si>
  <si>
    <t>1,3,6-trimethyl-adamantane</t>
  </si>
  <si>
    <t>76) FAME 18:1</t>
  </si>
  <si>
    <t>C2-de_s</t>
  </si>
  <si>
    <t>C2-decalins</t>
  </si>
  <si>
    <t>77) FAME 18:3</t>
  </si>
  <si>
    <t>tr-1,3,4-TM-Adam</t>
  </si>
  <si>
    <t>1,3,4-trimethyl-adamantane trans</t>
  </si>
  <si>
    <t>78) FAME 18:0</t>
  </si>
  <si>
    <t xml:space="preserve">1,2,5,7-TeM-Adam </t>
  </si>
  <si>
    <t>51_52</t>
  </si>
  <si>
    <t>79) FAME 20:0</t>
  </si>
  <si>
    <t>1-M-N</t>
  </si>
  <si>
    <t>1-M-naphthalene</t>
  </si>
  <si>
    <t>80) FAME 22:0</t>
  </si>
  <si>
    <t>diff m/z</t>
  </si>
  <si>
    <t>m-C6-Tol</t>
  </si>
  <si>
    <t xml:space="preserve">meta-hexyl-toluene </t>
  </si>
  <si>
    <t>53_54</t>
  </si>
  <si>
    <t>to be done</t>
  </si>
  <si>
    <t>&gt;25 in bold</t>
  </si>
  <si>
    <t>Br-Alk-169-1</t>
  </si>
  <si>
    <t>Branched alkane 169-1</t>
  </si>
  <si>
    <t>Marker code</t>
  </si>
  <si>
    <t>Norm ratio nr:</t>
  </si>
  <si>
    <t xml:space="preserve"> o-C6-Tol</t>
  </si>
  <si>
    <t>ortho-hexyl-toluene</t>
  </si>
  <si>
    <t xml:space="preserve">Compounds firstly reduced by the indicated weathering effect = ᴏ </t>
  </si>
  <si>
    <t>i-C15</t>
  </si>
  <si>
    <t>farnesane = 2,6,10 trimethyldodecane</t>
  </si>
  <si>
    <t>Compounds sensitive for the indicated weathering effect   =  ●</t>
  </si>
  <si>
    <t>1,3+1,7-DM-N</t>
  </si>
  <si>
    <t>1,3+1,7-DM-naphthalene</t>
  </si>
  <si>
    <t>1,6-DM-N</t>
  </si>
  <si>
    <t>1,6-DM-naphthalene</t>
  </si>
  <si>
    <t>Color code</t>
  </si>
  <si>
    <t>BS3</t>
  </si>
  <si>
    <t>black:  compounds stable upto a high degree of weathering except evaporation</t>
  </si>
  <si>
    <t>C2-bt</t>
  </si>
  <si>
    <t>C2 benzothiophenes</t>
  </si>
  <si>
    <t>The ᴏ indicated compunds are only reduced after severe weathering</t>
  </si>
  <si>
    <t>ANY</t>
  </si>
  <si>
    <t>Acenaphthylene</t>
  </si>
  <si>
    <t>green:  markers for compounds sensitve for biodegradation.</t>
  </si>
  <si>
    <t>Nigoga and additional rules for abbreviations.</t>
  </si>
  <si>
    <t>m-C7-Tol</t>
  </si>
  <si>
    <t>m-heptyltoluene</t>
  </si>
  <si>
    <t>ochre:  sulfur containing compounds</t>
  </si>
  <si>
    <t>Br-Alk-169-2</t>
  </si>
  <si>
    <t>Branched alkane 169-2</t>
  </si>
  <si>
    <t>red: markers for compounds sensitive for photo-oxidation.</t>
  </si>
  <si>
    <t>C3-phe_s</t>
  </si>
  <si>
    <t>group integration of C3-phenantrenes</t>
  </si>
  <si>
    <t>1,2 -DM-N</t>
  </si>
  <si>
    <t>1,2 -DM-naphthalene</t>
  </si>
  <si>
    <t>blue: markers for compounds sensitive for dissolution.</t>
  </si>
  <si>
    <t>1-methyl-phenantrene</t>
  </si>
  <si>
    <t>i-C16</t>
  </si>
  <si>
    <t>i-C16 = 2,6,10 trimethyltridecane</t>
  </si>
  <si>
    <t>violet:  remaining compounds not belonging to the above categories.</t>
  </si>
  <si>
    <t>Cyclohexane with n-C11 alkane</t>
  </si>
  <si>
    <t xml:space="preserve"> o-C7-Tol</t>
  </si>
  <si>
    <t>Adam</t>
  </si>
  <si>
    <t>adamantane</t>
  </si>
  <si>
    <t xml:space="preserve"> Diam</t>
  </si>
  <si>
    <t>diamantane</t>
  </si>
  <si>
    <t>Diam</t>
  </si>
  <si>
    <t>FAME 12:0</t>
  </si>
  <si>
    <t>Bicyclic sesquiterpane</t>
  </si>
  <si>
    <t>4-M-Diam</t>
  </si>
  <si>
    <t>4-methyl-diamantane</t>
  </si>
  <si>
    <t>m-    o-</t>
  </si>
  <si>
    <t>meta   ortho</t>
  </si>
  <si>
    <t>1,3,7-TM-N</t>
  </si>
  <si>
    <t>c-    tr-</t>
  </si>
  <si>
    <t>cis      trans</t>
  </si>
  <si>
    <t>1,3,6-TM-N</t>
  </si>
  <si>
    <t xml:space="preserve"> n-C9-CyC6 </t>
  </si>
  <si>
    <t xml:space="preserve"> n-nonylcyclohexane</t>
  </si>
  <si>
    <t xml:space="preserve"> o-C9-Tol</t>
  </si>
  <si>
    <t xml:space="preserve"> o-nonyltoluene</t>
  </si>
  <si>
    <t>8H-A</t>
  </si>
  <si>
    <t xml:space="preserve">1,2,3,4,5,6,7,8-Octahydroanthracene </t>
  </si>
  <si>
    <t>1-M-F</t>
  </si>
  <si>
    <t>1-M-Fluorene</t>
  </si>
  <si>
    <t>8H-Phe</t>
  </si>
  <si>
    <t xml:space="preserve">1,2,3,4,5,6,7,8_0ctahydrophenanthrene </t>
  </si>
  <si>
    <t>63_64</t>
  </si>
  <si>
    <t>FAME 14:0</t>
  </si>
  <si>
    <t xml:space="preserve">Br-alk-225-1 </t>
  </si>
  <si>
    <t xml:space="preserve">branched alkane 225-1 </t>
  </si>
  <si>
    <t>C2-F_s</t>
  </si>
  <si>
    <t>C2-Fluorenes</t>
  </si>
  <si>
    <t>Br-alk-225-2</t>
  </si>
  <si>
    <t>branched alkane 225-2</t>
  </si>
  <si>
    <t>m-C11-Tol</t>
  </si>
  <si>
    <t>m-undecyltoluene</t>
  </si>
  <si>
    <t>C12-Benz</t>
  </si>
  <si>
    <t>Dodecylbenzene</t>
  </si>
  <si>
    <t>o-C11-Tol</t>
  </si>
  <si>
    <t>o-undecyltoluene</t>
  </si>
  <si>
    <t>FAME 16:1</t>
  </si>
  <si>
    <t>2-M-A</t>
  </si>
  <si>
    <t>2-M-anthracene</t>
  </si>
  <si>
    <t>1-E-Phe</t>
  </si>
  <si>
    <t>1-E-phenanthrene</t>
  </si>
  <si>
    <t>1,7 DM-Phe</t>
  </si>
  <si>
    <t>1,7 DM-phenanthrene</t>
  </si>
  <si>
    <t>C3-dbt_s</t>
  </si>
  <si>
    <t>C3 dibenzothiophenes</t>
  </si>
  <si>
    <t>FAME 18:2</t>
  </si>
  <si>
    <t>FAME 18:1 + 18:3</t>
  </si>
  <si>
    <t>FAME 18:1 + FAME 18:3</t>
  </si>
  <si>
    <t>C21Tr</t>
  </si>
  <si>
    <t>C21 tricyclic diterpane</t>
  </si>
  <si>
    <t>C3 phenanthrenes anthracenes</t>
  </si>
  <si>
    <t>C4-phe_s</t>
  </si>
  <si>
    <t>C4 phenanthrenes anthracenes</t>
  </si>
  <si>
    <t>FAME 20:1</t>
  </si>
  <si>
    <t>Te-M-Phe</t>
  </si>
  <si>
    <t>Tetra-M-phenanthrene</t>
  </si>
  <si>
    <t>FAME 20:0</t>
  </si>
  <si>
    <t>C2-fl</t>
  </si>
  <si>
    <t>C2 fluoranthrenes pyrenes</t>
  </si>
  <si>
    <t>BNT</t>
  </si>
  <si>
    <t>Benzo[b]naphtho[1,2-d]thiophene</t>
  </si>
  <si>
    <t>C20TA</t>
  </si>
  <si>
    <t>C25Trab</t>
  </si>
  <si>
    <t>C25H46 tricyclic diterpane (a+b)</t>
  </si>
  <si>
    <t>C21 TA</t>
  </si>
  <si>
    <t>74_75</t>
  </si>
  <si>
    <t>Phy-Tol</t>
  </si>
  <si>
    <t xml:space="preserve">phytanyl-toluene (1-methyl-3-phytanylbenzene) </t>
  </si>
  <si>
    <t>C1-chr_s</t>
  </si>
  <si>
    <t>C1 chrysenes</t>
  </si>
  <si>
    <t>27dbS</t>
  </si>
  <si>
    <t>27dbS sterane</t>
  </si>
  <si>
    <t>27dbR</t>
  </si>
  <si>
    <t>27dbR sterane</t>
  </si>
  <si>
    <t>C28 (22S)</t>
  </si>
  <si>
    <t>C28H52 tricyclic terpane</t>
  </si>
  <si>
    <t>C29 (22S)</t>
  </si>
  <si>
    <t>C29H54 tricyclic terpane</t>
  </si>
  <si>
    <t>BePy</t>
  </si>
  <si>
    <t xml:space="preserve">Benzo (e) Pyrene </t>
  </si>
  <si>
    <t xml:space="preserve">BaPy </t>
  </si>
  <si>
    <t xml:space="preserve">Benzo (a) Pyrene </t>
  </si>
  <si>
    <t>28bbR+S</t>
  </si>
  <si>
    <t>28bbR+S sterane</t>
  </si>
  <si>
    <t>28aaR</t>
  </si>
  <si>
    <t>28aaR sterane</t>
  </si>
  <si>
    <t>29aaS</t>
  </si>
  <si>
    <t>29aaS  sterane</t>
  </si>
  <si>
    <t>25nor30ab</t>
  </si>
  <si>
    <t>17α(H), 21β(H)-25,28,30-trisnorhopane</t>
  </si>
  <si>
    <t>29aaR</t>
  </si>
  <si>
    <t>29aaR  sterane</t>
  </si>
  <si>
    <t>29Ts</t>
  </si>
  <si>
    <t>18α(H)-30-norneohopane</t>
  </si>
  <si>
    <t>30ba</t>
  </si>
  <si>
    <t>17β(H), 21α(H)-hopane (moretane)</t>
  </si>
  <si>
    <t>32abS</t>
  </si>
  <si>
    <t>17α(H), 21β(H), 22(S)-bishomohopane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</si>
</sst>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#,##0%"/>
  </numFmts>
  <fonts count="55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rgb="FF000000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2"/>
      <color rgb="FFFF0000"/>
      <name val="Arial"/>
      <family val="2"/>
    </font>
    <font>
      <b/>
      <sz val="8"/>
      <color rgb="FF000000"/>
      <name val="Arial"/>
      <family val="2"/>
    </font>
    <font>
      <b/>
      <sz val="9"/>
      <color theme="1"/>
      <name val="Arial"/>
      <family val="2"/>
    </font>
    <font>
      <u/>
      <sz val="10"/>
      <color rgb="FF000000"/>
      <name val="Arial"/>
      <family val="2"/>
    </font>
    <font>
      <sz val="8"/>
      <color rgb="FF00B050"/>
      <name val="Arial"/>
      <family val="2"/>
    </font>
    <font>
      <sz val="8"/>
      <color rgb="FF808080"/>
      <name val="Arial"/>
      <family val="2"/>
    </font>
    <font>
      <sz val="8"/>
      <color rgb="FF000000"/>
      <name val="Arial"/>
      <family val="2"/>
    </font>
    <font>
      <sz val="8"/>
      <color rgb="FFC00000"/>
      <name val="Arial"/>
      <family val="2"/>
    </font>
    <font>
      <sz val="8"/>
      <color rgb="FFFF0000"/>
      <name val="Arial"/>
      <family val="2"/>
    </font>
    <font>
      <sz val="8"/>
      <color rgb="FF984807"/>
      <name val="Arial"/>
      <family val="2"/>
    </font>
    <font>
      <sz val="8"/>
      <color rgb="FF262626"/>
      <name val="Arial"/>
      <family val="2"/>
    </font>
    <font>
      <sz val="8"/>
      <color rgb="FF008000"/>
      <name val="Arial"/>
      <family val="2"/>
    </font>
    <font>
      <sz val="8"/>
      <color rgb="FF808000"/>
      <name val="Arial"/>
      <family val="2"/>
    </font>
    <font>
      <b/>
      <sz val="8"/>
      <color rgb="FF808000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sz val="8"/>
      <color rgb="FF800080"/>
      <name val="Arial"/>
      <family val="2"/>
    </font>
    <font>
      <sz val="8"/>
      <color rgb="FF993300"/>
      <name val="Arial"/>
      <family val="2"/>
    </font>
    <font>
      <sz val="8"/>
      <color rgb="FF7030A0"/>
      <name val="Arial"/>
      <family val="2"/>
    </font>
    <font>
      <b/>
      <sz val="8"/>
      <color rgb="FF7030A0"/>
      <name val="Arial"/>
      <family val="2"/>
    </font>
    <font>
      <b/>
      <sz val="8"/>
      <color rgb="FF008000"/>
      <name val="Arial"/>
      <family val="2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8"/>
      <color rgb="FF003366"/>
      <name val="Arial"/>
      <family val="2"/>
    </font>
    <font>
      <b/>
      <sz val="8"/>
      <color rgb="FF003366"/>
      <name val="Arial"/>
      <family val="2"/>
    </font>
    <font>
      <sz val="6"/>
      <color theme="1"/>
      <name val="Arial"/>
      <family val="2"/>
    </font>
    <font>
      <sz val="8"/>
      <color rgb="FFFFFFFF"/>
      <name val="Arial"/>
      <family val="2"/>
    </font>
    <font>
      <u/>
      <sz val="10"/>
      <color rgb="FFFFFFFF"/>
      <name val="Arial"/>
      <family val="2"/>
    </font>
    <font>
      <sz val="28"/>
      <color rgb="FFFF0000"/>
      <name val="Arial"/>
      <family val="2"/>
    </font>
    <font>
      <sz val="18"/>
      <color rgb="FFFF0000"/>
      <name val="Arial"/>
      <family val="2"/>
    </font>
    <font>
      <b/>
      <sz val="9"/>
      <color rgb="FFFFFFFF"/>
      <name val="Arial"/>
      <family val="2"/>
    </font>
    <font>
      <sz val="8"/>
      <color rgb="FF31859C"/>
      <name val="Arial"/>
      <family val="2"/>
    </font>
    <font>
      <b/>
      <sz val="9"/>
      <color rgb="FF31859C"/>
      <name val="Arial"/>
      <family val="2"/>
    </font>
    <font>
      <sz val="11"/>
      <color theme="1"/>
      <name val="Calibri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8"/>
      <color rgb="FF00B050"/>
      <name val="Arial"/>
      <family val="2"/>
    </font>
    <font>
      <b/>
      <sz val="8"/>
      <color rgb="FFF79646"/>
      <name val="Arial"/>
      <family val="2"/>
    </font>
    <font>
      <sz val="8"/>
      <color rgb="FF00B050"/>
      <name val="Calibri"/>
      <family val="2"/>
    </font>
    <font>
      <b/>
      <sz val="8"/>
      <color rgb="FF0070C0"/>
      <name val="Arial"/>
      <family val="2"/>
    </font>
    <font>
      <sz val="8"/>
      <color theme="1"/>
      <name val="Calibri"/>
      <family val="2"/>
    </font>
    <font>
      <sz val="8"/>
      <color rgb="FF0070C0"/>
      <name val="Calibri"/>
      <family val="2"/>
    </font>
    <font>
      <sz val="8"/>
      <color rgb="FF0070C0"/>
      <name val="Arial"/>
      <family val="2"/>
    </font>
    <font>
      <sz val="8"/>
      <color rgb="FF993366"/>
      <name val="Arial"/>
      <family val="2"/>
    </font>
    <font>
      <sz val="8"/>
      <color rgb="FFFF0000"/>
      <name val="Calibri"/>
      <family val="2"/>
    </font>
    <font>
      <sz val="8"/>
      <color rgb="FFF79646"/>
      <name val="Arial"/>
      <family val="2"/>
    </font>
    <font>
      <b/>
      <sz val="9"/>
      <color rgb="FF000000"/>
      <name val="Arial"/>
      <family val="2"/>
    </font>
    <font>
      <sz val="8"/>
      <color theme="1" tint="0.3499862666707357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E6E0EC"/>
      </patternFill>
    </fill>
    <fill>
      <patternFill patternType="solid">
        <fgColor rgb="FFFFFF00"/>
      </patternFill>
    </fill>
    <fill>
      <patternFill patternType="solid">
        <fgColor rgb="FFCCC1DA"/>
      </patternFill>
    </fill>
    <fill>
      <patternFill patternType="solid">
        <fgColor rgb="FF8064A2"/>
      </patternFill>
    </fill>
    <fill>
      <patternFill patternType="solid">
        <fgColor rgb="FF403152"/>
      </patternFill>
    </fill>
    <fill>
      <patternFill patternType="solid">
        <fgColor rgb="FFB3A2C7"/>
      </patternFill>
    </fill>
    <fill>
      <patternFill patternType="solid">
        <fgColor rgb="FFE46C0A"/>
      </patternFill>
    </fill>
    <fill>
      <patternFill patternType="solid">
        <fgColor rgb="FF31859C"/>
      </patternFill>
    </fill>
    <fill>
      <patternFill patternType="solid">
        <fgColor rgb="FFFAC090"/>
      </patternFill>
    </fill>
    <fill>
      <patternFill patternType="solid">
        <fgColor rgb="FF93CDDD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000000"/>
      </top>
      <bottom style="thin">
        <color rgb="FFC6C6C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54">
    <xf numFmtId="0" fontId="0" fillId="0" borderId="0" xfId="0"/>
    <xf numFmtId="3" fontId="1" fillId="2" borderId="1" xfId="0" applyNumberFormat="1" applyFont="1" applyFill="1" applyBorder="1" applyAlignment="1">
      <alignment horizontal="left"/>
    </xf>
    <xf numFmtId="4" fontId="0" fillId="0" borderId="0" xfId="0" applyNumberFormat="1"/>
    <xf numFmtId="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3" fontId="0" fillId="0" borderId="0" xfId="0" applyNumberFormat="1"/>
    <xf numFmtId="1" fontId="0" fillId="0" borderId="0" xfId="0" applyNumberFormat="1"/>
    <xf numFmtId="4" fontId="1" fillId="2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4" fontId="1" fillId="2" borderId="1" xfId="0" applyNumberFormat="1" applyFont="1" applyFill="1" applyBorder="1" applyAlignment="1">
      <alignment horizontal="left"/>
    </xf>
    <xf numFmtId="4" fontId="3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3" fontId="5" fillId="2" borderId="1" xfId="0" applyNumberFormat="1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4" fontId="3" fillId="2" borderId="3" xfId="0" applyNumberFormat="1" applyFont="1" applyFill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1" fontId="5" fillId="2" borderId="5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" fontId="5" fillId="2" borderId="3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1" fontId="5" fillId="2" borderId="8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3" fontId="5" fillId="2" borderId="9" xfId="0" applyNumberFormat="1" applyFont="1" applyFill="1" applyBorder="1" applyAlignment="1">
      <alignment horizontal="left"/>
    </xf>
    <xf numFmtId="4" fontId="3" fillId="2" borderId="10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center"/>
    </xf>
    <xf numFmtId="4" fontId="3" fillId="3" borderId="5" xfId="0" applyNumberFormat="1" applyFont="1" applyFill="1" applyBorder="1" applyAlignment="1">
      <alignment horizontal="center"/>
    </xf>
    <xf numFmtId="3" fontId="3" fillId="3" borderId="5" xfId="0" applyNumberFormat="1" applyFont="1" applyFill="1" applyBorder="1" applyAlignment="1">
      <alignment horizontal="center"/>
    </xf>
    <xf numFmtId="3" fontId="3" fillId="3" borderId="11" xfId="0" applyNumberFormat="1" applyFont="1" applyFill="1" applyBorder="1" applyAlignment="1">
      <alignment horizontal="center"/>
    </xf>
    <xf numFmtId="4" fontId="8" fillId="2" borderId="2" xfId="0" applyNumberFormat="1" applyFont="1" applyFill="1" applyBorder="1" applyAlignment="1">
      <alignment horizontal="left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3" fontId="3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/>
    </xf>
    <xf numFmtId="1" fontId="5" fillId="2" borderId="6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left"/>
    </xf>
    <xf numFmtId="1" fontId="3" fillId="2" borderId="6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left"/>
    </xf>
    <xf numFmtId="4" fontId="5" fillId="2" borderId="10" xfId="0" applyNumberFormat="1" applyFont="1" applyFill="1" applyBorder="1" applyAlignment="1">
      <alignment horizontal="center"/>
    </xf>
    <xf numFmtId="4" fontId="3" fillId="3" borderId="13" xfId="0" applyNumberFormat="1" applyFont="1" applyFill="1" applyBorder="1" applyAlignment="1">
      <alignment horizontal="center"/>
    </xf>
    <xf numFmtId="3" fontId="3" fillId="3" borderId="13" xfId="0" applyNumberFormat="1" applyFont="1" applyFill="1" applyBorder="1" applyAlignment="1">
      <alignment horizontal="center"/>
    </xf>
    <xf numFmtId="1" fontId="3" fillId="2" borderId="13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4" fontId="5" fillId="2" borderId="8" xfId="0" applyNumberFormat="1" applyFont="1" applyFill="1" applyBorder="1" applyAlignment="1">
      <alignment horizontal="center"/>
    </xf>
    <xf numFmtId="3" fontId="5" fillId="2" borderId="14" xfId="0" applyNumberFormat="1" applyFont="1" applyFill="1" applyBorder="1" applyAlignment="1">
      <alignment horizontal="left"/>
    </xf>
    <xf numFmtId="3" fontId="5" fillId="2" borderId="14" xfId="0" applyNumberFormat="1" applyFont="1" applyFill="1" applyBorder="1" applyAlignment="1">
      <alignment horizontal="center"/>
    </xf>
    <xf numFmtId="1" fontId="5" fillId="2" borderId="15" xfId="0" applyNumberFormat="1" applyFont="1" applyFill="1" applyBorder="1" applyAlignment="1">
      <alignment horizontal="center"/>
    </xf>
    <xf numFmtId="1" fontId="5" fillId="2" borderId="14" xfId="0" applyNumberFormat="1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1" fontId="3" fillId="2" borderId="15" xfId="0" applyNumberFormat="1" applyFont="1" applyFill="1" applyBorder="1" applyAlignment="1">
      <alignment horizontal="center"/>
    </xf>
    <xf numFmtId="164" fontId="3" fillId="2" borderId="9" xfId="0" applyNumberFormat="1" applyFont="1" applyFill="1" applyBorder="1" applyAlignment="1">
      <alignment horizontal="center"/>
    </xf>
    <xf numFmtId="1" fontId="5" fillId="2" borderId="2" xfId="0" applyNumberFormat="1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5" fillId="2" borderId="11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left" wrapText="1"/>
    </xf>
    <xf numFmtId="3" fontId="3" fillId="2" borderId="5" xfId="0" applyNumberFormat="1" applyFont="1" applyFill="1" applyBorder="1" applyAlignment="1">
      <alignment horizontal="left"/>
    </xf>
    <xf numFmtId="1" fontId="5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 wrapText="1"/>
    </xf>
    <xf numFmtId="0" fontId="5" fillId="2" borderId="5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1" fontId="3" fillId="2" borderId="16" xfId="0" applyNumberFormat="1" applyFont="1" applyFill="1" applyBorder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3" fontId="5" fillId="2" borderId="16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3" fillId="3" borderId="8" xfId="0" applyNumberFormat="1" applyFont="1" applyFill="1" applyBorder="1" applyAlignment="1">
      <alignment horizontal="center"/>
    </xf>
    <xf numFmtId="3" fontId="3" fillId="3" borderId="8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1" fontId="3" fillId="3" borderId="6" xfId="0" applyNumberFormat="1" applyFon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center"/>
    </xf>
    <xf numFmtId="3" fontId="3" fillId="2" borderId="13" xfId="0" applyNumberFormat="1" applyFont="1" applyFill="1" applyBorder="1" applyAlignment="1">
      <alignment horizontal="right"/>
    </xf>
    <xf numFmtId="3" fontId="3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left"/>
    </xf>
    <xf numFmtId="3" fontId="3" fillId="2" borderId="9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4" fontId="3" fillId="2" borderId="1" xfId="0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1" fontId="3" fillId="3" borderId="9" xfId="0" applyNumberFormat="1" applyFont="1" applyFill="1" applyBorder="1" applyAlignment="1">
      <alignment horizontal="center"/>
    </xf>
    <xf numFmtId="0" fontId="11" fillId="2" borderId="1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3" fillId="2" borderId="9" xfId="0" applyNumberFormat="1" applyFont="1" applyFill="1" applyBorder="1" applyAlignment="1">
      <alignment horizontal="center"/>
    </xf>
    <xf numFmtId="0" fontId="10" fillId="2" borderId="10" xfId="0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center"/>
    </xf>
    <xf numFmtId="3" fontId="3" fillId="2" borderId="14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right"/>
    </xf>
    <xf numFmtId="0" fontId="3" fillId="2" borderId="16" xfId="0" applyFont="1" applyFill="1" applyBorder="1" applyAlignment="1">
      <alignment horizontal="left"/>
    </xf>
    <xf numFmtId="1" fontId="3" fillId="2" borderId="11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center"/>
    </xf>
    <xf numFmtId="4" fontId="12" fillId="2" borderId="13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left"/>
    </xf>
    <xf numFmtId="3" fontId="3" fillId="2" borderId="5" xfId="0" applyNumberFormat="1" applyFont="1" applyFill="1" applyBorder="1" applyAlignment="1">
      <alignment horizontal="right"/>
    </xf>
    <xf numFmtId="3" fontId="3" fillId="2" borderId="6" xfId="0" applyNumberFormat="1" applyFon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" fontId="3" fillId="2" borderId="7" xfId="0" applyNumberFormat="1" applyFont="1" applyFill="1" applyBorder="1" applyAlignment="1">
      <alignment horizontal="right"/>
    </xf>
    <xf numFmtId="3" fontId="3" fillId="2" borderId="9" xfId="0" applyNumberFormat="1" applyFont="1" applyFill="1" applyBorder="1" applyAlignment="1">
      <alignment horizontal="right"/>
    </xf>
    <xf numFmtId="1" fontId="3" fillId="2" borderId="13" xfId="0" applyNumberFormat="1" applyFont="1" applyFill="1" applyBorder="1" applyAlignment="1">
      <alignment horizontal="right"/>
    </xf>
    <xf numFmtId="1" fontId="3" fillId="2" borderId="10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164" fontId="3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right"/>
    </xf>
    <xf numFmtId="0" fontId="13" fillId="2" borderId="10" xfId="0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1" fontId="5" fillId="2" borderId="14" xfId="0" applyNumberFormat="1" applyFont="1" applyFill="1" applyBorder="1" applyAlignment="1">
      <alignment horizontal="center"/>
    </xf>
    <xf numFmtId="0" fontId="15" fillId="2" borderId="10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1" fontId="5" fillId="2" borderId="7" xfId="0" applyNumberFormat="1" applyFont="1" applyFill="1" applyBorder="1" applyAlignment="1">
      <alignment horizontal="left"/>
    </xf>
    <xf numFmtId="1" fontId="3" fillId="3" borderId="16" xfId="0" applyNumberFormat="1" applyFont="1" applyFill="1" applyBorder="1" applyAlignment="1">
      <alignment horizontal="center"/>
    </xf>
    <xf numFmtId="0" fontId="14" fillId="2" borderId="15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center"/>
    </xf>
    <xf numFmtId="0" fontId="10" fillId="2" borderId="8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3" fontId="5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/>
    </xf>
    <xf numFmtId="4" fontId="10" fillId="2" borderId="6" xfId="0" applyNumberFormat="1" applyFont="1" applyFill="1" applyBorder="1" applyAlignment="1">
      <alignment horizontal="left"/>
    </xf>
    <xf numFmtId="4" fontId="10" fillId="3" borderId="5" xfId="0" applyNumberFormat="1" applyFont="1" applyFill="1" applyBorder="1" applyAlignment="1">
      <alignment horizontal="left"/>
    </xf>
    <xf numFmtId="4" fontId="10" fillId="2" borderId="9" xfId="0" applyNumberFormat="1" applyFont="1" applyFill="1" applyBorder="1" applyAlignment="1">
      <alignment horizontal="left"/>
    </xf>
    <xf numFmtId="4" fontId="10" fillId="2" borderId="13" xfId="0" applyNumberFormat="1" applyFont="1" applyFill="1" applyBorder="1" applyAlignment="1">
      <alignment horizontal="left"/>
    </xf>
    <xf numFmtId="4" fontId="10" fillId="2" borderId="16" xfId="0" applyNumberFormat="1" applyFont="1" applyFill="1" applyBorder="1" applyAlignment="1">
      <alignment horizontal="left"/>
    </xf>
    <xf numFmtId="4" fontId="10" fillId="3" borderId="8" xfId="0" applyNumberFormat="1" applyFont="1" applyFill="1" applyBorder="1" applyAlignment="1">
      <alignment horizontal="left"/>
    </xf>
    <xf numFmtId="0" fontId="10" fillId="2" borderId="15" xfId="0" applyFont="1" applyFill="1" applyBorder="1" applyAlignment="1">
      <alignment horizontal="left"/>
    </xf>
    <xf numFmtId="4" fontId="16" fillId="2" borderId="6" xfId="0" applyNumberFormat="1" applyFont="1" applyFill="1" applyBorder="1" applyAlignment="1">
      <alignment horizontal="left"/>
    </xf>
    <xf numFmtId="4" fontId="16" fillId="2" borderId="5" xfId="0" applyNumberFormat="1" applyFont="1" applyFill="1" applyBorder="1" applyAlignment="1">
      <alignment horizontal="left"/>
    </xf>
    <xf numFmtId="0" fontId="16" fillId="2" borderId="7" xfId="0" applyFont="1" applyFill="1" applyBorder="1" applyAlignment="1">
      <alignment horizontal="left"/>
    </xf>
    <xf numFmtId="4" fontId="16" fillId="2" borderId="9" xfId="0" applyNumberFormat="1" applyFont="1" applyFill="1" applyBorder="1" applyAlignment="1">
      <alignment horizontal="left"/>
    </xf>
    <xf numFmtId="4" fontId="16" fillId="2" borderId="13" xfId="0" applyNumberFormat="1" applyFont="1" applyFill="1" applyBorder="1" applyAlignment="1">
      <alignment horizontal="left"/>
    </xf>
    <xf numFmtId="0" fontId="16" fillId="2" borderId="10" xfId="0" applyFont="1" applyFill="1" applyBorder="1" applyAlignment="1">
      <alignment horizontal="left"/>
    </xf>
    <xf numFmtId="4" fontId="16" fillId="2" borderId="16" xfId="0" applyNumberFormat="1" applyFont="1" applyFill="1" applyBorder="1" applyAlignment="1">
      <alignment horizontal="left"/>
    </xf>
    <xf numFmtId="4" fontId="16" fillId="2" borderId="8" xfId="0" applyNumberFormat="1" applyFont="1" applyFill="1" applyBorder="1" applyAlignment="1">
      <alignment horizontal="left"/>
    </xf>
    <xf numFmtId="0" fontId="16" fillId="2" borderId="15" xfId="0" applyFont="1" applyFill="1" applyBorder="1" applyAlignment="1">
      <alignment horizontal="left"/>
    </xf>
    <xf numFmtId="1" fontId="17" fillId="2" borderId="1" xfId="0" applyNumberFormat="1" applyFont="1" applyFill="1" applyBorder="1" applyAlignment="1">
      <alignment horizontal="center"/>
    </xf>
    <xf numFmtId="4" fontId="10" fillId="2" borderId="5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center"/>
    </xf>
    <xf numFmtId="4" fontId="18" fillId="2" borderId="1" xfId="0" applyNumberFormat="1" applyFont="1" applyFill="1" applyBorder="1" applyAlignment="1">
      <alignment horizontal="center"/>
    </xf>
    <xf numFmtId="4" fontId="19" fillId="2" borderId="1" xfId="0" applyNumberFormat="1" applyFont="1" applyFill="1" applyBorder="1" applyAlignment="1">
      <alignment horizontal="center"/>
    </xf>
    <xf numFmtId="4" fontId="10" fillId="2" borderId="8" xfId="0" applyNumberFormat="1" applyFont="1" applyFill="1" applyBorder="1" applyAlignment="1">
      <alignment horizontal="left"/>
    </xf>
    <xf numFmtId="4" fontId="18" fillId="2" borderId="1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4" fontId="14" fillId="2" borderId="1" xfId="0" applyNumberFormat="1" applyFont="1" applyFill="1" applyBorder="1" applyAlignment="1">
      <alignment horizontal="center"/>
    </xf>
    <xf numFmtId="4" fontId="14" fillId="2" borderId="10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left"/>
    </xf>
    <xf numFmtId="4" fontId="20" fillId="2" borderId="1" xfId="0" applyNumberFormat="1" applyFont="1" applyFill="1" applyBorder="1" applyAlignment="1">
      <alignment horizontal="center"/>
    </xf>
    <xf numFmtId="4" fontId="20" fillId="2" borderId="10" xfId="0" applyNumberFormat="1" applyFont="1" applyFill="1" applyBorder="1" applyAlignment="1">
      <alignment horizontal="center"/>
    </xf>
    <xf numFmtId="4" fontId="3" fillId="2" borderId="16" xfId="0" applyNumberFormat="1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left"/>
    </xf>
    <xf numFmtId="0" fontId="3" fillId="2" borderId="15" xfId="0" applyFont="1" applyFill="1" applyBorder="1" applyAlignment="1">
      <alignment horizontal="left"/>
    </xf>
    <xf numFmtId="0" fontId="3" fillId="2" borderId="16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left"/>
    </xf>
    <xf numFmtId="4" fontId="3" fillId="2" borderId="12" xfId="0" applyNumberFormat="1" applyFont="1" applyFill="1" applyBorder="1" applyAlignment="1">
      <alignment horizontal="left"/>
    </xf>
    <xf numFmtId="4" fontId="3" fillId="2" borderId="7" xfId="0" applyNumberFormat="1" applyFont="1" applyFill="1" applyBorder="1" applyAlignment="1">
      <alignment horizontal="left"/>
    </xf>
    <xf numFmtId="164" fontId="3" fillId="2" borderId="12" xfId="0" applyNumberFormat="1" applyFont="1" applyFill="1" applyBorder="1" applyAlignment="1">
      <alignment horizontal="left"/>
    </xf>
    <xf numFmtId="165" fontId="14" fillId="2" borderId="5" xfId="0" applyNumberFormat="1" applyFont="1" applyFill="1" applyBorder="1" applyAlignment="1">
      <alignment horizontal="center"/>
    </xf>
    <xf numFmtId="165" fontId="14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left"/>
    </xf>
    <xf numFmtId="3" fontId="5" fillId="2" borderId="13" xfId="0" applyNumberFormat="1" applyFont="1" applyFill="1" applyBorder="1" applyAlignment="1">
      <alignment horizontal="left"/>
    </xf>
    <xf numFmtId="3" fontId="3" fillId="2" borderId="10" xfId="0" applyNumberFormat="1" applyFont="1" applyFill="1" applyBorder="1" applyAlignment="1">
      <alignment horizontal="left"/>
    </xf>
    <xf numFmtId="3" fontId="14" fillId="2" borderId="13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left"/>
    </xf>
    <xf numFmtId="4" fontId="5" fillId="2" borderId="9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left"/>
    </xf>
    <xf numFmtId="3" fontId="14" fillId="2" borderId="5" xfId="0" applyNumberFormat="1" applyFont="1" applyFill="1" applyBorder="1" applyAlignment="1">
      <alignment horizontal="center"/>
    </xf>
    <xf numFmtId="4" fontId="21" fillId="2" borderId="1" xfId="0" applyNumberFormat="1" applyFont="1" applyFill="1" applyBorder="1" applyAlignment="1">
      <alignment horizontal="center"/>
    </xf>
    <xf numFmtId="4" fontId="21" fillId="2" borderId="10" xfId="0" applyNumberFormat="1" applyFont="1" applyFill="1" applyBorder="1" applyAlignment="1">
      <alignment horizontal="center"/>
    </xf>
    <xf numFmtId="4" fontId="5" fillId="2" borderId="10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center"/>
    </xf>
    <xf numFmtId="4" fontId="22" fillId="2" borderId="10" xfId="0" applyNumberFormat="1" applyFont="1" applyFill="1" applyBorder="1" applyAlignment="1">
      <alignment horizontal="center"/>
    </xf>
    <xf numFmtId="4" fontId="23" fillId="2" borderId="1" xfId="0" applyNumberFormat="1" applyFont="1" applyFill="1" applyBorder="1" applyAlignment="1">
      <alignment horizontal="center"/>
    </xf>
    <xf numFmtId="4" fontId="23" fillId="2" borderId="10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4" fontId="12" fillId="2" borderId="5" xfId="0" applyNumberFormat="1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right"/>
    </xf>
    <xf numFmtId="0" fontId="3" fillId="2" borderId="12" xfId="0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right"/>
    </xf>
    <xf numFmtId="0" fontId="3" fillId="2" borderId="9" xfId="0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left"/>
    </xf>
    <xf numFmtId="3" fontId="14" fillId="2" borderId="8" xfId="0" applyNumberFormat="1" applyFont="1" applyFill="1" applyBorder="1" applyAlignment="1">
      <alignment horizontal="center"/>
    </xf>
    <xf numFmtId="4" fontId="3" fillId="2" borderId="10" xfId="0" applyNumberFormat="1" applyFont="1" applyFill="1" applyBorder="1" applyAlignment="1">
      <alignment horizontal="left"/>
    </xf>
    <xf numFmtId="4" fontId="24" fillId="2" borderId="6" xfId="0" applyNumberFormat="1" applyFont="1" applyFill="1" applyBorder="1" applyAlignment="1">
      <alignment horizontal="left"/>
    </xf>
    <xf numFmtId="4" fontId="24" fillId="2" borderId="5" xfId="0" applyNumberFormat="1" applyFont="1" applyFill="1" applyBorder="1" applyAlignment="1">
      <alignment horizontal="left"/>
    </xf>
    <xf numFmtId="0" fontId="24" fillId="2" borderId="7" xfId="0" applyFont="1" applyFill="1" applyBorder="1" applyAlignment="1">
      <alignment horizontal="left"/>
    </xf>
    <xf numFmtId="4" fontId="24" fillId="2" borderId="9" xfId="0" applyNumberFormat="1" applyFont="1" applyFill="1" applyBorder="1" applyAlignment="1">
      <alignment horizontal="left"/>
    </xf>
    <xf numFmtId="4" fontId="24" fillId="2" borderId="13" xfId="0" applyNumberFormat="1" applyFont="1" applyFill="1" applyBorder="1" applyAlignment="1">
      <alignment horizontal="left"/>
    </xf>
    <xf numFmtId="0" fontId="24" fillId="2" borderId="10" xfId="0" applyFont="1" applyFill="1" applyBorder="1" applyAlignment="1">
      <alignment horizontal="left"/>
    </xf>
    <xf numFmtId="3" fontId="12" fillId="2" borderId="10" xfId="0" applyNumberFormat="1" applyFont="1" applyFill="1" applyBorder="1" applyAlignment="1">
      <alignment horizontal="right"/>
    </xf>
    <xf numFmtId="4" fontId="24" fillId="2" borderId="16" xfId="0" applyNumberFormat="1" applyFont="1" applyFill="1" applyBorder="1" applyAlignment="1">
      <alignment horizontal="left"/>
    </xf>
    <xf numFmtId="4" fontId="24" fillId="2" borderId="8" xfId="0" applyNumberFormat="1" applyFont="1" applyFill="1" applyBorder="1" applyAlignment="1">
      <alignment horizontal="left"/>
    </xf>
    <xf numFmtId="0" fontId="24" fillId="2" borderId="15" xfId="0" applyFont="1" applyFill="1" applyBorder="1" applyAlignment="1">
      <alignment horizontal="left"/>
    </xf>
    <xf numFmtId="4" fontId="14" fillId="2" borderId="6" xfId="0" applyNumberFormat="1" applyFont="1" applyFill="1" applyBorder="1" applyAlignment="1">
      <alignment horizontal="left"/>
    </xf>
    <xf numFmtId="4" fontId="14" fillId="2" borderId="5" xfId="0" applyNumberFormat="1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4" fontId="14" fillId="2" borderId="9" xfId="0" applyNumberFormat="1" applyFont="1" applyFill="1" applyBorder="1" applyAlignment="1">
      <alignment horizontal="left"/>
    </xf>
    <xf numFmtId="4" fontId="14" fillId="2" borderId="13" xfId="0" applyNumberFormat="1" applyFont="1" applyFill="1" applyBorder="1" applyAlignment="1">
      <alignment horizontal="left"/>
    </xf>
    <xf numFmtId="4" fontId="14" fillId="2" borderId="16" xfId="0" applyNumberFormat="1" applyFont="1" applyFill="1" applyBorder="1" applyAlignment="1">
      <alignment horizontal="left"/>
    </xf>
    <xf numFmtId="4" fontId="14" fillId="2" borderId="8" xfId="0" applyNumberFormat="1" applyFont="1" applyFill="1" applyBorder="1" applyAlignment="1">
      <alignment horizontal="left"/>
    </xf>
    <xf numFmtId="3" fontId="3" fillId="2" borderId="11" xfId="0" applyNumberFormat="1" applyFont="1" applyFill="1" applyBorder="1" applyAlignment="1">
      <alignment horizontal="left"/>
    </xf>
    <xf numFmtId="3" fontId="5" fillId="2" borderId="6" xfId="0" applyNumberFormat="1" applyFont="1" applyFill="1" applyBorder="1" applyAlignment="1">
      <alignment horizontal="left"/>
    </xf>
    <xf numFmtId="164" fontId="3" fillId="2" borderId="7" xfId="0" applyNumberFormat="1" applyFont="1" applyFill="1" applyBorder="1" applyAlignment="1">
      <alignment horizontal="left"/>
    </xf>
    <xf numFmtId="3" fontId="14" fillId="3" borderId="5" xfId="0" applyNumberFormat="1" applyFont="1" applyFill="1" applyBorder="1" applyAlignment="1">
      <alignment horizontal="center"/>
    </xf>
    <xf numFmtId="3" fontId="3" fillId="2" borderId="9" xfId="0" applyNumberFormat="1" applyFont="1" applyFill="1" applyBorder="1" applyAlignment="1">
      <alignment horizontal="left"/>
    </xf>
    <xf numFmtId="164" fontId="3" fillId="2" borderId="10" xfId="0" applyNumberFormat="1" applyFont="1" applyFill="1" applyBorder="1" applyAlignment="1">
      <alignment horizontal="left"/>
    </xf>
    <xf numFmtId="3" fontId="14" fillId="3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center"/>
    </xf>
    <xf numFmtId="4" fontId="5" fillId="2" borderId="5" xfId="0" applyNumberFormat="1" applyFont="1" applyFill="1" applyBorder="1" applyAlignment="1">
      <alignment horizontal="left"/>
    </xf>
    <xf numFmtId="3" fontId="14" fillId="3" borderId="7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left"/>
    </xf>
    <xf numFmtId="3" fontId="14" fillId="3" borderId="10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right"/>
    </xf>
    <xf numFmtId="1" fontId="3" fillId="2" borderId="16" xfId="0" applyNumberFormat="1" applyFont="1" applyFill="1" applyBorder="1" applyAlignment="1">
      <alignment horizontal="right"/>
    </xf>
    <xf numFmtId="1" fontId="3" fillId="2" borderId="8" xfId="0" applyNumberFormat="1" applyFont="1" applyFill="1" applyBorder="1" applyAlignment="1">
      <alignment horizontal="left"/>
    </xf>
    <xf numFmtId="1" fontId="3" fillId="2" borderId="15" xfId="0" applyNumberFormat="1" applyFont="1" applyFill="1" applyBorder="1" applyAlignment="1">
      <alignment horizontal="right"/>
    </xf>
    <xf numFmtId="3" fontId="14" fillId="2" borderId="1" xfId="0" applyNumberFormat="1" applyFont="1" applyFill="1" applyBorder="1" applyAlignment="1">
      <alignment horizontal="left"/>
    </xf>
    <xf numFmtId="4" fontId="15" fillId="2" borderId="6" xfId="0" applyNumberFormat="1" applyFont="1" applyFill="1" applyBorder="1" applyAlignment="1">
      <alignment horizontal="left"/>
    </xf>
    <xf numFmtId="4" fontId="15" fillId="2" borderId="5" xfId="0" applyNumberFormat="1" applyFont="1" applyFill="1" applyBorder="1" applyAlignment="1">
      <alignment horizontal="left"/>
    </xf>
    <xf numFmtId="0" fontId="15" fillId="2" borderId="7" xfId="0" applyFont="1" applyFill="1" applyBorder="1" applyAlignment="1">
      <alignment horizontal="left"/>
    </xf>
    <xf numFmtId="4" fontId="15" fillId="2" borderId="9" xfId="0" applyNumberFormat="1" applyFont="1" applyFill="1" applyBorder="1" applyAlignment="1">
      <alignment horizontal="left"/>
    </xf>
    <xf numFmtId="4" fontId="15" fillId="2" borderId="13" xfId="0" applyNumberFormat="1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center"/>
    </xf>
    <xf numFmtId="4" fontId="25" fillId="4" borderId="6" xfId="0" applyNumberFormat="1" applyFont="1" applyFill="1" applyBorder="1" applyAlignment="1">
      <alignment horizontal="left"/>
    </xf>
    <xf numFmtId="3" fontId="23" fillId="4" borderId="12" xfId="0" applyNumberFormat="1" applyFont="1" applyFill="1" applyBorder="1" applyAlignment="1">
      <alignment horizontal="left"/>
    </xf>
    <xf numFmtId="1" fontId="3" fillId="4" borderId="12" xfId="0" applyNumberFormat="1" applyFont="1" applyFill="1" applyBorder="1" applyAlignment="1">
      <alignment horizontal="left"/>
    </xf>
    <xf numFmtId="1" fontId="3" fillId="4" borderId="7" xfId="0" applyNumberFormat="1" applyFont="1" applyFill="1" applyBorder="1" applyAlignment="1">
      <alignment horizontal="left"/>
    </xf>
    <xf numFmtId="1" fontId="3" fillId="4" borderId="5" xfId="0" applyNumberFormat="1" applyFont="1" applyFill="1" applyBorder="1" applyAlignment="1">
      <alignment horizontal="center"/>
    </xf>
    <xf numFmtId="3" fontId="25" fillId="4" borderId="12" xfId="0" applyNumberFormat="1" applyFont="1" applyFill="1" applyBorder="1" applyAlignment="1">
      <alignment horizontal="left"/>
    </xf>
    <xf numFmtId="1" fontId="26" fillId="4" borderId="6" xfId="0" applyNumberFormat="1" applyFont="1" applyFill="1" applyBorder="1" applyAlignment="1">
      <alignment horizontal="left"/>
    </xf>
    <xf numFmtId="1" fontId="25" fillId="4" borderId="7" xfId="0" applyNumberFormat="1" applyFont="1" applyFill="1" applyBorder="1" applyAlignment="1">
      <alignment horizontal="left"/>
    </xf>
    <xf numFmtId="1" fontId="25" fillId="4" borderId="5" xfId="0" applyNumberFormat="1" applyFont="1" applyFill="1" applyBorder="1" applyAlignment="1">
      <alignment horizontal="left"/>
    </xf>
    <xf numFmtId="4" fontId="15" fillId="2" borderId="16" xfId="0" applyNumberFormat="1" applyFont="1" applyFill="1" applyBorder="1" applyAlignment="1">
      <alignment horizontal="left"/>
    </xf>
    <xf numFmtId="4" fontId="15" fillId="2" borderId="8" xfId="0" applyNumberFormat="1" applyFont="1" applyFill="1" applyBorder="1" applyAlignment="1">
      <alignment horizontal="left"/>
    </xf>
    <xf numFmtId="0" fontId="15" fillId="2" borderId="15" xfId="0" applyFont="1" applyFill="1" applyBorder="1" applyAlignment="1">
      <alignment horizontal="left"/>
    </xf>
    <xf numFmtId="4" fontId="25" fillId="4" borderId="9" xfId="0" applyNumberFormat="1" applyFont="1" applyFill="1" applyBorder="1" applyAlignment="1">
      <alignment horizontal="left"/>
    </xf>
    <xf numFmtId="3" fontId="25" fillId="4" borderId="1" xfId="0" applyNumberFormat="1" applyFont="1" applyFill="1" applyBorder="1" applyAlignment="1">
      <alignment horizontal="left"/>
    </xf>
    <xf numFmtId="1" fontId="25" fillId="4" borderId="9" xfId="0" applyNumberFormat="1" applyFont="1" applyFill="1" applyBorder="1" applyAlignment="1">
      <alignment horizontal="left"/>
    </xf>
    <xf numFmtId="1" fontId="25" fillId="4" borderId="10" xfId="0" applyNumberFormat="1" applyFont="1" applyFill="1" applyBorder="1" applyAlignment="1">
      <alignment horizontal="left"/>
    </xf>
    <xf numFmtId="1" fontId="25" fillId="4" borderId="13" xfId="0" applyNumberFormat="1" applyFont="1" applyFill="1" applyBorder="1" applyAlignment="1">
      <alignment horizontal="left"/>
    </xf>
    <xf numFmtId="1" fontId="26" fillId="4" borderId="9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4" fontId="25" fillId="4" borderId="16" xfId="0" applyNumberFormat="1" applyFont="1" applyFill="1" applyBorder="1" applyAlignment="1">
      <alignment horizontal="left"/>
    </xf>
    <xf numFmtId="3" fontId="25" fillId="4" borderId="14" xfId="0" applyNumberFormat="1" applyFont="1" applyFill="1" applyBorder="1" applyAlignment="1">
      <alignment horizontal="left"/>
    </xf>
    <xf numFmtId="4" fontId="3" fillId="2" borderId="16" xfId="0" applyNumberFormat="1" applyFont="1" applyFill="1" applyBorder="1" applyAlignment="1">
      <alignment horizontal="center"/>
    </xf>
    <xf numFmtId="1" fontId="25" fillId="4" borderId="16" xfId="0" applyNumberFormat="1" applyFont="1" applyFill="1" applyBorder="1" applyAlignment="1">
      <alignment horizontal="left"/>
    </xf>
    <xf numFmtId="1" fontId="25" fillId="4" borderId="15" xfId="0" applyNumberFormat="1" applyFont="1" applyFill="1" applyBorder="1" applyAlignment="1">
      <alignment horizontal="left"/>
    </xf>
    <xf numFmtId="1" fontId="25" fillId="4" borderId="8" xfId="0" applyNumberFormat="1" applyFont="1" applyFill="1" applyBorder="1" applyAlignment="1">
      <alignment horizontal="left"/>
    </xf>
    <xf numFmtId="4" fontId="17" fillId="2" borderId="1" xfId="0" applyNumberFormat="1" applyFont="1" applyFill="1" applyBorder="1" applyAlignment="1">
      <alignment horizontal="left"/>
    </xf>
    <xf numFmtId="4" fontId="18" fillId="2" borderId="1" xfId="0" applyNumberFormat="1" applyFont="1" applyFill="1" applyBorder="1" applyAlignment="1">
      <alignment horizontal="left"/>
    </xf>
    <xf numFmtId="4" fontId="14" fillId="2" borderId="1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left"/>
    </xf>
    <xf numFmtId="3" fontId="22" fillId="2" borderId="1" xfId="0" applyNumberFormat="1" applyFont="1" applyFill="1" applyBorder="1" applyAlignment="1">
      <alignment horizontal="left"/>
    </xf>
    <xf numFmtId="4" fontId="23" fillId="2" borderId="1" xfId="0" applyNumberFormat="1" applyFont="1" applyFill="1" applyBorder="1" applyAlignment="1">
      <alignment horizontal="left"/>
    </xf>
    <xf numFmtId="4" fontId="13" fillId="2" borderId="1" xfId="0" applyNumberFormat="1" applyFont="1" applyFill="1" applyBorder="1" applyAlignment="1">
      <alignment horizontal="left"/>
    </xf>
    <xf numFmtId="3" fontId="5" fillId="2" borderId="8" xfId="0" applyNumberFormat="1" applyFont="1" applyFill="1" applyBorder="1" applyAlignment="1">
      <alignment horizontal="left"/>
    </xf>
    <xf numFmtId="1" fontId="27" fillId="2" borderId="1" xfId="0" applyNumberFormat="1" applyFont="1" applyFill="1" applyBorder="1" applyAlignment="1">
      <alignment horizontal="center"/>
    </xf>
    <xf numFmtId="1" fontId="18" fillId="2" borderId="1" xfId="0" applyNumberFormat="1" applyFont="1" applyFill="1" applyBorder="1" applyAlignment="1">
      <alignment horizontal="left"/>
    </xf>
    <xf numFmtId="1" fontId="14" fillId="2" borderId="1" xfId="0" applyNumberFormat="1" applyFont="1" applyFill="1" applyBorder="1" applyAlignment="1">
      <alignment horizontal="left"/>
    </xf>
    <xf numFmtId="3" fontId="3" fillId="2" borderId="1" xfId="0" applyNumberFormat="1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" fontId="22" fillId="2" borderId="1" xfId="0" applyNumberFormat="1" applyFont="1" applyFill="1" applyBorder="1" applyAlignment="1">
      <alignment horizontal="left"/>
    </xf>
    <xf numFmtId="1" fontId="23" fillId="2" borderId="1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center"/>
    </xf>
    <xf numFmtId="3" fontId="5" fillId="2" borderId="8" xfId="0" applyNumberFormat="1" applyFont="1" applyFill="1" applyBorder="1" applyAlignment="1">
      <alignment horizontal="center"/>
    </xf>
    <xf numFmtId="3" fontId="3" fillId="2" borderId="5" xfId="0" applyNumberFormat="1" applyFont="1" applyFill="1" applyBorder="1" applyAlignment="1">
      <alignment horizontal="center"/>
    </xf>
    <xf numFmtId="3" fontId="5" fillId="2" borderId="13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left"/>
    </xf>
    <xf numFmtId="4" fontId="9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4" fontId="3" fillId="5" borderId="1" xfId="0" applyNumberFormat="1" applyFont="1" applyFill="1" applyBorder="1" applyAlignment="1">
      <alignment horizontal="left"/>
    </xf>
    <xf numFmtId="1" fontId="28" fillId="5" borderId="1" xfId="0" applyNumberFormat="1" applyFont="1" applyFill="1" applyBorder="1" applyAlignment="1">
      <alignment horizontal="left"/>
    </xf>
    <xf numFmtId="1" fontId="3" fillId="5" borderId="1" xfId="0" applyNumberFormat="1" applyFont="1" applyFill="1" applyBorder="1" applyAlignment="1">
      <alignment horizontal="left"/>
    </xf>
    <xf numFmtId="3" fontId="29" fillId="2" borderId="1" xfId="0" applyNumberFormat="1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4" fontId="29" fillId="5" borderId="1" xfId="0" applyNumberFormat="1" applyFont="1" applyFill="1" applyBorder="1" applyAlignment="1">
      <alignment horizontal="left"/>
    </xf>
    <xf numFmtId="3" fontId="29" fillId="3" borderId="1" xfId="0" applyNumberFormat="1" applyFont="1" applyFill="1" applyBorder="1" applyAlignment="1">
      <alignment horizontal="center"/>
    </xf>
    <xf numFmtId="4" fontId="29" fillId="5" borderId="1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left"/>
    </xf>
    <xf numFmtId="3" fontId="3" fillId="5" borderId="12" xfId="0" applyNumberFormat="1" applyFont="1" applyFill="1" applyBorder="1" applyAlignment="1">
      <alignment horizontal="center"/>
    </xf>
    <xf numFmtId="4" fontId="3" fillId="5" borderId="12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3" fontId="3" fillId="5" borderId="7" xfId="0" applyNumberFormat="1" applyFont="1" applyFill="1" applyBorder="1" applyAlignment="1">
      <alignment horizontal="center"/>
    </xf>
    <xf numFmtId="4" fontId="30" fillId="2" borderId="1" xfId="0" applyNumberFormat="1" applyFont="1" applyFill="1" applyBorder="1" applyAlignment="1">
      <alignment horizontal="left"/>
    </xf>
    <xf numFmtId="3" fontId="30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3" fontId="3" fillId="5" borderId="16" xfId="0" applyNumberFormat="1" applyFont="1" applyFill="1" applyBorder="1" applyAlignment="1">
      <alignment horizontal="right"/>
    </xf>
    <xf numFmtId="3" fontId="3" fillId="5" borderId="14" xfId="0" applyNumberFormat="1" applyFont="1" applyFill="1" applyBorder="1" applyAlignment="1">
      <alignment horizontal="right"/>
    </xf>
    <xf numFmtId="3" fontId="3" fillId="5" borderId="15" xfId="0" applyNumberFormat="1" applyFont="1" applyFill="1" applyBorder="1" applyAlignment="1">
      <alignment horizontal="right"/>
    </xf>
    <xf numFmtId="4" fontId="31" fillId="2" borderId="14" xfId="0" applyNumberFormat="1" applyFont="1" applyFill="1" applyBorder="1" applyAlignment="1">
      <alignment horizontal="left"/>
    </xf>
    <xf numFmtId="4" fontId="30" fillId="2" borderId="14" xfId="0" applyNumberFormat="1" applyFont="1" applyFill="1" applyBorder="1" applyAlignment="1">
      <alignment horizontal="left"/>
    </xf>
    <xf numFmtId="3" fontId="30" fillId="2" borderId="14" xfId="0" applyNumberFormat="1" applyFont="1" applyFill="1" applyBorder="1" applyAlignment="1">
      <alignment horizontal="left"/>
    </xf>
    <xf numFmtId="0" fontId="30" fillId="2" borderId="1" xfId="0" applyFont="1" applyFill="1" applyBorder="1" applyAlignment="1">
      <alignment horizontal="left"/>
    </xf>
    <xf numFmtId="3" fontId="5" fillId="2" borderId="2" xfId="0" applyNumberFormat="1" applyFont="1" applyFill="1" applyBorder="1" applyAlignment="1">
      <alignment horizontal="right"/>
    </xf>
    <xf numFmtId="3" fontId="32" fillId="2" borderId="4" xfId="0" applyNumberFormat="1" applyFont="1" applyFill="1" applyBorder="1" applyAlignment="1">
      <alignment horizontal="right"/>
    </xf>
    <xf numFmtId="3" fontId="5" fillId="2" borderId="6" xfId="0" applyNumberFormat="1" applyFont="1" applyFill="1" applyBorder="1" applyAlignment="1">
      <alignment horizontal="right"/>
    </xf>
    <xf numFmtId="3" fontId="32" fillId="2" borderId="7" xfId="0" applyNumberFormat="1" applyFont="1" applyFill="1" applyBorder="1" applyAlignment="1">
      <alignment horizontal="right"/>
    </xf>
    <xf numFmtId="3" fontId="32" fillId="2" borderId="12" xfId="0" applyNumberFormat="1" applyFont="1" applyFill="1" applyBorder="1" applyAlignment="1">
      <alignment horizontal="right"/>
    </xf>
    <xf numFmtId="0" fontId="28" fillId="5" borderId="1" xfId="0" applyFont="1" applyFill="1" applyBorder="1" applyAlignment="1">
      <alignment horizontal="left"/>
    </xf>
    <xf numFmtId="3" fontId="28" fillId="5" borderId="1" xfId="0" applyNumberFormat="1" applyFont="1" applyFill="1" applyBorder="1" applyAlignment="1">
      <alignment horizontal="left"/>
    </xf>
    <xf numFmtId="4" fontId="28" fillId="5" borderId="6" xfId="0" applyNumberFormat="1" applyFont="1" applyFill="1" applyBorder="1" applyAlignment="1">
      <alignment horizontal="right"/>
    </xf>
    <xf numFmtId="1" fontId="33" fillId="5" borderId="12" xfId="0" applyNumberFormat="1" applyFont="1" applyFill="1" applyBorder="1" applyAlignment="1">
      <alignment horizontal="left"/>
    </xf>
    <xf numFmtId="4" fontId="28" fillId="5" borderId="12" xfId="0" applyNumberFormat="1" applyFont="1" applyFill="1" applyBorder="1" applyAlignment="1">
      <alignment horizontal="right"/>
    </xf>
    <xf numFmtId="3" fontId="33" fillId="5" borderId="12" xfId="0" applyNumberFormat="1" applyFont="1" applyFill="1" applyBorder="1" applyAlignment="1">
      <alignment horizontal="right"/>
    </xf>
    <xf numFmtId="3" fontId="33" fillId="5" borderId="7" xfId="0" applyNumberFormat="1" applyFont="1" applyFill="1" applyBorder="1" applyAlignment="1">
      <alignment horizontal="right"/>
    </xf>
    <xf numFmtId="0" fontId="8" fillId="4" borderId="1" xfId="0" applyFont="1" applyFill="1" applyBorder="1" applyAlignment="1">
      <alignment horizontal="left"/>
    </xf>
    <xf numFmtId="3" fontId="30" fillId="2" borderId="6" xfId="0" applyNumberFormat="1" applyFont="1" applyFill="1" applyBorder="1" applyAlignment="1">
      <alignment horizontal="right"/>
    </xf>
    <xf numFmtId="3" fontId="30" fillId="2" borderId="12" xfId="0" applyNumberFormat="1" applyFont="1" applyFill="1" applyBorder="1" applyAlignment="1">
      <alignment horizontal="right"/>
    </xf>
    <xf numFmtId="3" fontId="20" fillId="2" borderId="6" xfId="0" applyNumberFormat="1" applyFont="1" applyFill="1" applyBorder="1" applyAlignment="1">
      <alignment horizontal="center"/>
    </xf>
    <xf numFmtId="3" fontId="20" fillId="2" borderId="12" xfId="0" applyNumberFormat="1" applyFont="1" applyFill="1" applyBorder="1" applyAlignment="1">
      <alignment horizontal="center"/>
    </xf>
    <xf numFmtId="4" fontId="30" fillId="2" borderId="12" xfId="0" applyNumberFormat="1" applyFont="1" applyFill="1" applyBorder="1" applyAlignment="1">
      <alignment horizontal="left"/>
    </xf>
    <xf numFmtId="4" fontId="30" fillId="2" borderId="7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right"/>
    </xf>
    <xf numFmtId="3" fontId="3" fillId="2" borderId="7" xfId="0" applyNumberFormat="1" applyFont="1" applyFill="1" applyBorder="1" applyAlignment="1">
      <alignment horizontal="left"/>
    </xf>
    <xf numFmtId="3" fontId="5" fillId="2" borderId="12" xfId="0" applyNumberFormat="1" applyFont="1" applyFill="1" applyBorder="1" applyAlignment="1">
      <alignment horizontal="right"/>
    </xf>
    <xf numFmtId="0" fontId="33" fillId="5" borderId="1" xfId="0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left"/>
    </xf>
    <xf numFmtId="3" fontId="33" fillId="5" borderId="10" xfId="0" applyNumberFormat="1" applyFont="1" applyFill="1" applyBorder="1" applyAlignment="1">
      <alignment horizontal="right"/>
    </xf>
    <xf numFmtId="4" fontId="30" fillId="2" borderId="9" xfId="0" applyNumberFormat="1" applyFont="1" applyFill="1" applyBorder="1" applyAlignment="1">
      <alignment horizontal="left"/>
    </xf>
    <xf numFmtId="3" fontId="20" fillId="2" borderId="9" xfId="0" applyNumberFormat="1" applyFont="1" applyFill="1" applyBorder="1" applyAlignment="1">
      <alignment horizontal="center"/>
    </xf>
    <xf numFmtId="3" fontId="20" fillId="2" borderId="1" xfId="0" applyNumberFormat="1" applyFont="1" applyFill="1" applyBorder="1" applyAlignment="1">
      <alignment horizontal="center"/>
    </xf>
    <xf numFmtId="4" fontId="30" fillId="2" borderId="10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center"/>
    </xf>
    <xf numFmtId="3" fontId="28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center"/>
    </xf>
    <xf numFmtId="3" fontId="28" fillId="5" borderId="10" xfId="0" applyNumberFormat="1" applyFont="1" applyFill="1" applyBorder="1" applyAlignment="1">
      <alignment horizontal="right"/>
    </xf>
    <xf numFmtId="3" fontId="31" fillId="2" borderId="9" xfId="0" applyNumberFormat="1" applyFont="1" applyFill="1" applyBorder="1" applyAlignment="1">
      <alignment horizontal="right"/>
    </xf>
    <xf numFmtId="3" fontId="31" fillId="2" borderId="1" xfId="0" applyNumberFormat="1" applyFont="1" applyFill="1" applyBorder="1" applyAlignment="1">
      <alignment horizontal="right"/>
    </xf>
    <xf numFmtId="0" fontId="34" fillId="5" borderId="1" xfId="0" applyFont="1" applyFill="1" applyBorder="1" applyAlignment="1">
      <alignment horizontal="center"/>
    </xf>
    <xf numFmtId="4" fontId="33" fillId="5" borderId="16" xfId="0" applyNumberFormat="1" applyFont="1" applyFill="1" applyBorder="1" applyAlignment="1">
      <alignment horizontal="left"/>
    </xf>
    <xf numFmtId="3" fontId="33" fillId="5" borderId="14" xfId="0" applyNumberFormat="1" applyFont="1" applyFill="1" applyBorder="1" applyAlignment="1">
      <alignment horizontal="right"/>
    </xf>
    <xf numFmtId="4" fontId="33" fillId="5" borderId="14" xfId="0" applyNumberFormat="1" applyFont="1" applyFill="1" applyBorder="1" applyAlignment="1">
      <alignment horizontal="left"/>
    </xf>
    <xf numFmtId="3" fontId="33" fillId="5" borderId="15" xfId="0" applyNumberFormat="1" applyFont="1" applyFill="1" applyBorder="1" applyAlignment="1">
      <alignment horizontal="right"/>
    </xf>
    <xf numFmtId="4" fontId="30" fillId="2" borderId="16" xfId="0" applyNumberFormat="1" applyFont="1" applyFill="1" applyBorder="1" applyAlignment="1">
      <alignment horizontal="left"/>
    </xf>
    <xf numFmtId="3" fontId="20" fillId="2" borderId="16" xfId="0" applyNumberFormat="1" applyFont="1" applyFill="1" applyBorder="1" applyAlignment="1">
      <alignment horizontal="center"/>
    </xf>
    <xf numFmtId="3" fontId="20" fillId="2" borderId="14" xfId="0" applyNumberFormat="1" applyFont="1" applyFill="1" applyBorder="1" applyAlignment="1">
      <alignment horizontal="center"/>
    </xf>
    <xf numFmtId="4" fontId="30" fillId="2" borderId="15" xfId="0" applyNumberFormat="1" applyFont="1" applyFill="1" applyBorder="1" applyAlignment="1">
      <alignment horizontal="left"/>
    </xf>
    <xf numFmtId="3" fontId="5" fillId="2" borderId="15" xfId="0" applyNumberFormat="1" applyFont="1" applyFill="1" applyBorder="1" applyAlignment="1">
      <alignment horizontal="left"/>
    </xf>
    <xf numFmtId="4" fontId="30" fillId="2" borderId="9" xfId="0" applyNumberFormat="1" applyFont="1" applyFill="1" applyBorder="1" applyAlignment="1">
      <alignment horizontal="right"/>
    </xf>
    <xf numFmtId="4" fontId="30" fillId="2" borderId="1" xfId="0" applyNumberFormat="1" applyFont="1" applyFill="1" applyBorder="1" applyAlignment="1">
      <alignment horizontal="right"/>
    </xf>
    <xf numFmtId="3" fontId="30" fillId="2" borderId="1" xfId="0" applyNumberFormat="1" applyFont="1" applyFill="1" applyBorder="1" applyAlignment="1">
      <alignment horizontal="right"/>
    </xf>
    <xf numFmtId="4" fontId="30" fillId="2" borderId="10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3" fontId="30" fillId="2" borderId="10" xfId="0" applyNumberFormat="1" applyFont="1" applyFill="1" applyBorder="1" applyAlignment="1">
      <alignment horizontal="left"/>
    </xf>
    <xf numFmtId="0" fontId="14" fillId="0" borderId="17" xfId="0" applyFont="1" applyBorder="1" applyAlignment="1">
      <alignment horizontal="left"/>
    </xf>
    <xf numFmtId="0" fontId="33" fillId="6" borderId="18" xfId="0" applyFont="1" applyFill="1" applyBorder="1" applyAlignment="1">
      <alignment horizontal="left"/>
    </xf>
    <xf numFmtId="3" fontId="33" fillId="6" borderId="18" xfId="0" applyNumberFormat="1" applyFont="1" applyFill="1" applyBorder="1" applyAlignment="1">
      <alignment horizontal="right"/>
    </xf>
    <xf numFmtId="4" fontId="3" fillId="2" borderId="18" xfId="0" applyNumberFormat="1" applyFont="1" applyFill="1" applyBorder="1" applyAlignment="1">
      <alignment horizontal="left"/>
    </xf>
    <xf numFmtId="3" fontId="3" fillId="2" borderId="18" xfId="0" applyNumberFormat="1" applyFont="1" applyFill="1" applyBorder="1" applyAlignment="1">
      <alignment horizontal="left"/>
    </xf>
    <xf numFmtId="0" fontId="3" fillId="0" borderId="19" xfId="0" applyFont="1" applyBorder="1" applyAlignment="1">
      <alignment horizontal="left"/>
    </xf>
    <xf numFmtId="4" fontId="30" fillId="2" borderId="20" xfId="0" applyNumberFormat="1" applyFont="1" applyFill="1" applyBorder="1" applyAlignment="1">
      <alignment horizontal="right"/>
    </xf>
    <xf numFmtId="4" fontId="30" fillId="2" borderId="18" xfId="0" applyNumberFormat="1" applyFont="1" applyFill="1" applyBorder="1" applyAlignment="1">
      <alignment horizontal="right"/>
    </xf>
    <xf numFmtId="3" fontId="30" fillId="2" borderId="18" xfId="0" applyNumberFormat="1" applyFont="1" applyFill="1" applyBorder="1" applyAlignment="1">
      <alignment horizontal="left"/>
    </xf>
    <xf numFmtId="3" fontId="20" fillId="2" borderId="20" xfId="0" applyNumberFormat="1" applyFont="1" applyFill="1" applyBorder="1" applyAlignment="1">
      <alignment horizontal="center"/>
    </xf>
    <xf numFmtId="3" fontId="20" fillId="2" borderId="18" xfId="0" applyNumberFormat="1" applyFont="1" applyFill="1" applyBorder="1" applyAlignment="1">
      <alignment horizontal="center"/>
    </xf>
    <xf numFmtId="3" fontId="30" fillId="2" borderId="18" xfId="0" applyNumberFormat="1" applyFont="1" applyFill="1" applyBorder="1" applyAlignment="1">
      <alignment horizontal="right"/>
    </xf>
    <xf numFmtId="4" fontId="30" fillId="2" borderId="21" xfId="0" applyNumberFormat="1" applyFont="1" applyFill="1" applyBorder="1" applyAlignment="1">
      <alignment horizontal="right"/>
    </xf>
    <xf numFmtId="0" fontId="30" fillId="2" borderId="18" xfId="0" applyFont="1" applyFill="1" applyBorder="1" applyAlignment="1">
      <alignment horizontal="left"/>
    </xf>
    <xf numFmtId="4" fontId="3" fillId="2" borderId="18" xfId="0" applyNumberFormat="1" applyFont="1" applyFill="1" applyBorder="1" applyAlignment="1">
      <alignment horizontal="right"/>
    </xf>
    <xf numFmtId="3" fontId="3" fillId="2" borderId="18" xfId="0" applyNumberFormat="1" applyFont="1" applyFill="1" applyBorder="1" applyAlignment="1">
      <alignment horizontal="right"/>
    </xf>
    <xf numFmtId="0" fontId="33" fillId="6" borderId="1" xfId="0" applyFont="1" applyFill="1" applyBorder="1" applyAlignment="1">
      <alignment horizontal="left"/>
    </xf>
    <xf numFmtId="3" fontId="33" fillId="6" borderId="1" xfId="0" applyNumberFormat="1" applyFont="1" applyFill="1" applyBorder="1" applyAlignment="1">
      <alignment horizontal="right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9" fillId="2" borderId="1" xfId="0" applyNumberFormat="1" applyFont="1" applyFill="1" applyBorder="1" applyAlignment="1">
      <alignment horizontal="left"/>
    </xf>
    <xf numFmtId="3" fontId="35" fillId="2" borderId="1" xfId="0" applyNumberFormat="1" applyFont="1" applyFill="1" applyBorder="1" applyAlignment="1">
      <alignment horizontal="left"/>
    </xf>
    <xf numFmtId="3" fontId="3" fillId="3" borderId="1" xfId="0" applyNumberFormat="1" applyFont="1" applyFill="1" applyBorder="1" applyAlignment="1">
      <alignment horizontal="center"/>
    </xf>
    <xf numFmtId="3" fontId="5" fillId="2" borderId="6" xfId="0" applyNumberFormat="1" applyFont="1" applyFill="1" applyBorder="1" applyAlignment="1">
      <alignment horizontal="center"/>
    </xf>
    <xf numFmtId="4" fontId="3" fillId="2" borderId="1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3" fontId="5" fillId="2" borderId="9" xfId="0" applyNumberFormat="1" applyFont="1" applyFill="1" applyBorder="1" applyAlignment="1">
      <alignment horizontal="center"/>
    </xf>
    <xf numFmtId="4" fontId="14" fillId="2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right"/>
    </xf>
    <xf numFmtId="4" fontId="14" fillId="2" borderId="8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left"/>
    </xf>
    <xf numFmtId="4" fontId="3" fillId="2" borderId="11" xfId="0" applyNumberFormat="1" applyFont="1" applyFill="1" applyBorder="1" applyAlignment="1">
      <alignment horizontal="left"/>
    </xf>
    <xf numFmtId="4" fontId="5" fillId="2" borderId="4" xfId="0" applyNumberFormat="1" applyFont="1" applyFill="1" applyBorder="1" applyAlignment="1">
      <alignment horizontal="center"/>
    </xf>
    <xf numFmtId="4" fontId="3" fillId="2" borderId="11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center"/>
    </xf>
    <xf numFmtId="4" fontId="3" fillId="2" borderId="13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center"/>
    </xf>
    <xf numFmtId="4" fontId="3" fillId="2" borderId="8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right"/>
    </xf>
    <xf numFmtId="4" fontId="36" fillId="2" borderId="1" xfId="0" applyNumberFormat="1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center"/>
    </xf>
    <xf numFmtId="4" fontId="5" fillId="2" borderId="14" xfId="0" applyNumberFormat="1" applyFont="1" applyFill="1" applyBorder="1" applyAlignment="1">
      <alignment horizontal="center"/>
    </xf>
    <xf numFmtId="4" fontId="5" fillId="2" borderId="16" xfId="0" applyNumberFormat="1" applyFont="1" applyFill="1" applyBorder="1" applyAlignment="1">
      <alignment horizontal="center"/>
    </xf>
    <xf numFmtId="3" fontId="20" fillId="3" borderId="15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right"/>
    </xf>
    <xf numFmtId="3" fontId="14" fillId="3" borderId="15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left"/>
    </xf>
    <xf numFmtId="3" fontId="3" fillId="2" borderId="8" xfId="0" applyNumberFormat="1" applyFont="1" applyFill="1" applyBorder="1" applyAlignment="1">
      <alignment horizontal="center"/>
    </xf>
    <xf numFmtId="3" fontId="3" fillId="7" borderId="1" xfId="0" applyNumberFormat="1" applyFont="1" applyFill="1" applyBorder="1" applyAlignment="1">
      <alignment horizontal="left"/>
    </xf>
    <xf numFmtId="4" fontId="3" fillId="7" borderId="1" xfId="0" applyNumberFormat="1" applyFont="1" applyFill="1" applyBorder="1" applyAlignment="1">
      <alignment horizontal="left"/>
    </xf>
    <xf numFmtId="4" fontId="5" fillId="7" borderId="1" xfId="0" applyNumberFormat="1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center"/>
    </xf>
    <xf numFmtId="3" fontId="1" fillId="0" borderId="22" xfId="0" applyNumberFormat="1" applyFont="1" applyBorder="1" applyAlignment="1">
      <alignment horizontal="left"/>
    </xf>
    <xf numFmtId="4" fontId="3" fillId="0" borderId="23" xfId="0" applyNumberFormat="1" applyFont="1" applyBorder="1" applyAlignment="1">
      <alignment horizontal="right"/>
    </xf>
    <xf numFmtId="3" fontId="3" fillId="0" borderId="24" xfId="0" applyNumberFormat="1" applyFont="1" applyBorder="1" applyAlignment="1">
      <alignment horizontal="left"/>
    </xf>
    <xf numFmtId="3" fontId="5" fillId="0" borderId="25" xfId="0" applyNumberFormat="1" applyFont="1" applyBorder="1" applyAlignment="1">
      <alignment horizontal="left"/>
    </xf>
    <xf numFmtId="4" fontId="5" fillId="0" borderId="26" xfId="0" applyNumberFormat="1" applyFont="1" applyBorder="1" applyAlignment="1">
      <alignment horizontal="right"/>
    </xf>
    <xf numFmtId="3" fontId="5" fillId="0" borderId="26" xfId="0" applyNumberFormat="1" applyFont="1" applyBorder="1" applyAlignment="1">
      <alignment horizontal="left"/>
    </xf>
    <xf numFmtId="3" fontId="5" fillId="0" borderId="28" xfId="0" applyNumberFormat="1" applyFont="1" applyBorder="1" applyAlignment="1">
      <alignment horizontal="left"/>
    </xf>
    <xf numFmtId="3" fontId="3" fillId="3" borderId="10" xfId="0" applyNumberFormat="1" applyFont="1" applyFill="1" applyBorder="1" applyAlignment="1">
      <alignment horizontal="center"/>
    </xf>
    <xf numFmtId="3" fontId="5" fillId="0" borderId="29" xfId="0" applyNumberFormat="1" applyFont="1" applyBorder="1" applyAlignment="1">
      <alignment horizontal="center"/>
    </xf>
    <xf numFmtId="4" fontId="5" fillId="0" borderId="30" xfId="0" applyNumberFormat="1" applyFont="1" applyBorder="1" applyAlignment="1">
      <alignment horizontal="center"/>
    </xf>
    <xf numFmtId="3" fontId="5" fillId="0" borderId="30" xfId="0" applyNumberFormat="1" applyFont="1" applyBorder="1" applyAlignment="1">
      <alignment horizontal="center"/>
    </xf>
    <xf numFmtId="4" fontId="3" fillId="0" borderId="31" xfId="0" applyNumberFormat="1" applyFont="1" applyBorder="1" applyAlignment="1">
      <alignment horizontal="center"/>
    </xf>
    <xf numFmtId="3" fontId="1" fillId="0" borderId="17" xfId="0" applyNumberFormat="1" applyFont="1" applyBorder="1" applyAlignment="1">
      <alignment horizontal="left"/>
    </xf>
    <xf numFmtId="4" fontId="1" fillId="0" borderId="17" xfId="0" applyNumberFormat="1" applyFont="1" applyBorder="1" applyAlignment="1">
      <alignment horizontal="right"/>
    </xf>
    <xf numFmtId="3" fontId="2" fillId="0" borderId="17" xfId="0" applyNumberFormat="1" applyFont="1" applyBorder="1" applyAlignment="1">
      <alignment horizontal="center"/>
    </xf>
    <xf numFmtId="3" fontId="5" fillId="0" borderId="29" xfId="0" applyNumberFormat="1" applyFont="1" applyBorder="1" applyAlignment="1">
      <alignment horizontal="left"/>
    </xf>
    <xf numFmtId="4" fontId="3" fillId="0" borderId="30" xfId="0" applyNumberFormat="1" applyFont="1" applyBorder="1" applyAlignment="1">
      <alignment horizontal="right"/>
    </xf>
    <xf numFmtId="3" fontId="3" fillId="3" borderId="15" xfId="0" applyNumberFormat="1" applyFont="1" applyFill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4" fontId="3" fillId="0" borderId="17" xfId="0" applyNumberFormat="1" applyFont="1" applyBorder="1" applyAlignment="1">
      <alignment horizontal="center"/>
    </xf>
    <xf numFmtId="3" fontId="3" fillId="0" borderId="17" xfId="0" applyNumberFormat="1" applyFont="1" applyBorder="1" applyAlignment="1">
      <alignment horizontal="center"/>
    </xf>
    <xf numFmtId="4" fontId="3" fillId="0" borderId="32" xfId="0" applyNumberFormat="1" applyFont="1" applyBorder="1" applyAlignment="1">
      <alignment horizontal="center"/>
    </xf>
    <xf numFmtId="3" fontId="9" fillId="0" borderId="17" xfId="0" applyNumberFormat="1" applyFont="1" applyBorder="1" applyAlignment="1">
      <alignment horizontal="center"/>
    </xf>
    <xf numFmtId="3" fontId="3" fillId="0" borderId="29" xfId="0" applyNumberFormat="1" applyFont="1" applyBorder="1" applyAlignment="1">
      <alignment horizontal="center"/>
    </xf>
    <xf numFmtId="4" fontId="3" fillId="0" borderId="30" xfId="0" applyNumberFormat="1" applyFont="1" applyBorder="1" applyAlignment="1">
      <alignment horizontal="center"/>
    </xf>
    <xf numFmtId="3" fontId="3" fillId="0" borderId="30" xfId="0" applyNumberFormat="1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4" fontId="33" fillId="8" borderId="1" xfId="0" applyNumberFormat="1" applyFont="1" applyFill="1" applyBorder="1" applyAlignment="1">
      <alignment horizontal="right"/>
    </xf>
    <xf numFmtId="3" fontId="33" fillId="8" borderId="1" xfId="0" applyNumberFormat="1" applyFont="1" applyFill="1" applyBorder="1" applyAlignment="1">
      <alignment horizontal="left"/>
    </xf>
    <xf numFmtId="4" fontId="7" fillId="8" borderId="1" xfId="0" applyNumberFormat="1" applyFont="1" applyFill="1" applyBorder="1" applyAlignment="1">
      <alignment horizontal="left"/>
    </xf>
    <xf numFmtId="3" fontId="37" fillId="8" borderId="1" xfId="0" applyNumberFormat="1" applyFont="1" applyFill="1" applyBorder="1" applyAlignment="1">
      <alignment horizontal="left"/>
    </xf>
    <xf numFmtId="4" fontId="33" fillId="8" borderId="1" xfId="0" applyNumberFormat="1" applyFont="1" applyFill="1" applyBorder="1" applyAlignment="1">
      <alignment horizontal="left"/>
    </xf>
    <xf numFmtId="4" fontId="38" fillId="9" borderId="1" xfId="0" applyNumberFormat="1" applyFont="1" applyFill="1" applyBorder="1" applyAlignment="1">
      <alignment horizontal="right"/>
    </xf>
    <xf numFmtId="3" fontId="39" fillId="9" borderId="1" xfId="0" applyNumberFormat="1" applyFont="1" applyFill="1" applyBorder="1" applyAlignment="1">
      <alignment horizontal="left"/>
    </xf>
    <xf numFmtId="3" fontId="38" fillId="9" borderId="1" xfId="0" applyNumberFormat="1" applyFont="1" applyFill="1" applyBorder="1" applyAlignment="1">
      <alignment horizontal="left"/>
    </xf>
    <xf numFmtId="3" fontId="33" fillId="10" borderId="1" xfId="0" applyNumberFormat="1" applyFont="1" applyFill="1" applyBorder="1" applyAlignment="1">
      <alignment horizontal="left"/>
    </xf>
    <xf numFmtId="3" fontId="1" fillId="10" borderId="1" xfId="0" applyNumberFormat="1" applyFont="1" applyFill="1" applyBorder="1" applyAlignment="1">
      <alignment horizontal="left"/>
    </xf>
    <xf numFmtId="3" fontId="3" fillId="10" borderId="1" xfId="0" applyNumberFormat="1" applyFont="1" applyFill="1" applyBorder="1" applyAlignment="1">
      <alignment horizontal="left"/>
    </xf>
    <xf numFmtId="3" fontId="8" fillId="10" borderId="1" xfId="0" applyNumberFormat="1" applyFont="1" applyFill="1" applyBorder="1" applyAlignment="1">
      <alignment horizontal="left"/>
    </xf>
    <xf numFmtId="3" fontId="3" fillId="11" borderId="14" xfId="0" applyNumberFormat="1" applyFont="1" applyFill="1" applyBorder="1" applyAlignment="1">
      <alignment horizontal="center"/>
    </xf>
    <xf numFmtId="3" fontId="1" fillId="11" borderId="14" xfId="0" applyNumberFormat="1" applyFont="1" applyFill="1" applyBorder="1" applyAlignment="1">
      <alignment horizontal="left"/>
    </xf>
    <xf numFmtId="4" fontId="5" fillId="2" borderId="2" xfId="0" applyNumberFormat="1" applyFont="1" applyFill="1" applyBorder="1" applyAlignment="1">
      <alignment horizontal="right"/>
    </xf>
    <xf numFmtId="3" fontId="32" fillId="5" borderId="3" xfId="0" applyNumberFormat="1" applyFont="1" applyFill="1" applyBorder="1" applyAlignment="1">
      <alignment horizontal="right"/>
    </xf>
    <xf numFmtId="3" fontId="5" fillId="0" borderId="22" xfId="0" applyNumberFormat="1" applyFont="1" applyBorder="1" applyAlignment="1">
      <alignment horizontal="right"/>
    </xf>
    <xf numFmtId="0" fontId="3" fillId="0" borderId="33" xfId="0" applyFont="1" applyBorder="1" applyAlignment="1">
      <alignment horizontal="left"/>
    </xf>
    <xf numFmtId="3" fontId="3" fillId="0" borderId="26" xfId="0" applyNumberFormat="1" applyFont="1" applyBorder="1" applyAlignment="1">
      <alignment horizontal="left"/>
    </xf>
    <xf numFmtId="4" fontId="5" fillId="2" borderId="12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left"/>
    </xf>
    <xf numFmtId="3" fontId="3" fillId="0" borderId="17" xfId="0" applyNumberFormat="1" applyFont="1" applyBorder="1" applyAlignment="1">
      <alignment horizontal="left"/>
    </xf>
    <xf numFmtId="4" fontId="3" fillId="2" borderId="9" xfId="0" applyNumberFormat="1" applyFont="1" applyFill="1" applyBorder="1" applyAlignment="1">
      <alignment horizontal="right"/>
    </xf>
    <xf numFmtId="3" fontId="5" fillId="0" borderId="17" xfId="0" applyNumberFormat="1" applyFont="1" applyBorder="1" applyAlignment="1">
      <alignment horizontal="left"/>
    </xf>
    <xf numFmtId="3" fontId="5" fillId="0" borderId="17" xfId="0" applyNumberFormat="1" applyFont="1" applyBorder="1" applyAlignment="1">
      <alignment horizontal="right"/>
    </xf>
    <xf numFmtId="4" fontId="3" fillId="2" borderId="16" xfId="0" applyNumberFormat="1" applyFont="1" applyFill="1" applyBorder="1" applyAlignment="1">
      <alignment horizontal="right"/>
    </xf>
    <xf numFmtId="3" fontId="3" fillId="0" borderId="30" xfId="0" applyNumberFormat="1" applyFont="1" applyBorder="1" applyAlignment="1">
      <alignment horizontal="left"/>
    </xf>
    <xf numFmtId="4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left"/>
    </xf>
    <xf numFmtId="3" fontId="3" fillId="0" borderId="17" xfId="0" applyNumberFormat="1" applyFont="1" applyBorder="1" applyAlignment="1">
      <alignment horizontal="right"/>
    </xf>
    <xf numFmtId="4" fontId="29" fillId="0" borderId="17" xfId="0" applyNumberFormat="1" applyFont="1" applyBorder="1" applyAlignment="1">
      <alignment horizontal="right"/>
    </xf>
    <xf numFmtId="0" fontId="33" fillId="5" borderId="14" xfId="0" applyFont="1" applyFill="1" applyBorder="1" applyAlignment="1">
      <alignment horizontal="left"/>
    </xf>
    <xf numFmtId="4" fontId="40" fillId="0" borderId="30" xfId="0" applyNumberFormat="1" applyFont="1" applyBorder="1" applyAlignment="1">
      <alignment horizontal="right"/>
    </xf>
    <xf numFmtId="3" fontId="40" fillId="0" borderId="30" xfId="0" applyNumberFormat="1" applyFont="1" applyBorder="1" applyAlignment="1">
      <alignment horizontal="left"/>
    </xf>
    <xf numFmtId="3" fontId="3" fillId="0" borderId="30" xfId="0" applyNumberFormat="1" applyFont="1" applyBorder="1" applyAlignment="1">
      <alignment horizontal="right"/>
    </xf>
    <xf numFmtId="3" fontId="3" fillId="0" borderId="31" xfId="0" applyNumberFormat="1" applyFont="1" applyBorder="1" applyAlignment="1">
      <alignment horizontal="right"/>
    </xf>
    <xf numFmtId="0" fontId="3" fillId="7" borderId="1" xfId="0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right"/>
    </xf>
    <xf numFmtId="3" fontId="3" fillId="0" borderId="32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3" fontId="41" fillId="0" borderId="17" xfId="0" applyNumberFormat="1" applyFont="1" applyBorder="1" applyAlignment="1">
      <alignment horizontal="left"/>
    </xf>
    <xf numFmtId="0" fontId="41" fillId="0" borderId="17" xfId="0" applyFont="1" applyBorder="1" applyAlignment="1">
      <alignment horizontal="left"/>
    </xf>
    <xf numFmtId="164" fontId="0" fillId="0" borderId="0" xfId="0" applyNumberFormat="1" applyAlignment="1">
      <alignment horizontal="center"/>
    </xf>
    <xf numFmtId="0" fontId="42" fillId="0" borderId="17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3" fontId="3" fillId="2" borderId="15" xfId="0" applyNumberFormat="1" applyFont="1" applyFill="1" applyBorder="1" applyAlignment="1">
      <alignment horizontal="center"/>
    </xf>
    <xf numFmtId="15" fontId="12" fillId="0" borderId="17" xfId="0" applyNumberFormat="1" applyFont="1" applyBorder="1" applyAlignment="1">
      <alignment horizontal="left"/>
    </xf>
    <xf numFmtId="4" fontId="12" fillId="0" borderId="17" xfId="0" applyNumberFormat="1" applyFont="1" applyBorder="1" applyAlignment="1">
      <alignment horizontal="right"/>
    </xf>
    <xf numFmtId="3" fontId="12" fillId="0" borderId="17" xfId="0" applyNumberFormat="1" applyFont="1" applyBorder="1" applyAlignment="1">
      <alignment horizontal="left"/>
    </xf>
    <xf numFmtId="0" fontId="12" fillId="0" borderId="17" xfId="0" applyFont="1" applyBorder="1" applyAlignment="1">
      <alignment horizontal="left"/>
    </xf>
    <xf numFmtId="3" fontId="12" fillId="0" borderId="17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left"/>
    </xf>
    <xf numFmtId="1" fontId="12" fillId="0" borderId="17" xfId="0" applyNumberFormat="1" applyFont="1" applyBorder="1" applyAlignment="1">
      <alignment horizontal="left"/>
    </xf>
    <xf numFmtId="3" fontId="3" fillId="2" borderId="10" xfId="0" applyNumberFormat="1" applyFont="1" applyFill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3" fillId="2" borderId="13" xfId="0" applyFont="1" applyFill="1" applyBorder="1" applyAlignment="1">
      <alignment horizontal="left"/>
    </xf>
    <xf numFmtId="14" fontId="12" fillId="0" borderId="17" xfId="0" applyNumberFormat="1" applyFont="1" applyBorder="1" applyAlignment="1">
      <alignment horizontal="left"/>
    </xf>
    <xf numFmtId="1" fontId="7" fillId="0" borderId="17" xfId="0" applyNumberFormat="1" applyFont="1" applyBorder="1" applyAlignment="1">
      <alignment horizontal="left"/>
    </xf>
    <xf numFmtId="0" fontId="20" fillId="2" borderId="9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44" fillId="2" borderId="10" xfId="0" applyFont="1" applyFill="1" applyBorder="1" applyAlignment="1">
      <alignment horizontal="center"/>
    </xf>
    <xf numFmtId="3" fontId="19" fillId="2" borderId="10" xfId="0" applyNumberFormat="1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center"/>
    </xf>
    <xf numFmtId="0" fontId="19" fillId="2" borderId="10" xfId="0" applyFont="1" applyFill="1" applyBorder="1" applyAlignment="1">
      <alignment horizontal="center"/>
    </xf>
    <xf numFmtId="3" fontId="7" fillId="0" borderId="33" xfId="0" applyNumberFormat="1" applyFont="1" applyBorder="1" applyAlignment="1">
      <alignment horizontal="center"/>
    </xf>
    <xf numFmtId="3" fontId="7" fillId="0" borderId="27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left"/>
    </xf>
    <xf numFmtId="3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3" fontId="3" fillId="0" borderId="26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left"/>
    </xf>
    <xf numFmtId="164" fontId="7" fillId="0" borderId="27" xfId="0" applyNumberFormat="1" applyFont="1" applyBorder="1" applyAlignment="1">
      <alignment horizontal="center"/>
    </xf>
    <xf numFmtId="164" fontId="7" fillId="0" borderId="26" xfId="0" applyNumberFormat="1" applyFont="1" applyBorder="1" applyAlignment="1">
      <alignment horizontal="center"/>
    </xf>
    <xf numFmtId="3" fontId="5" fillId="0" borderId="25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center"/>
    </xf>
    <xf numFmtId="3" fontId="5" fillId="0" borderId="26" xfId="0" applyNumberFormat="1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3" fontId="5" fillId="0" borderId="11" xfId="0" applyNumberFormat="1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3" fontId="5" fillId="0" borderId="23" xfId="0" applyNumberFormat="1" applyFont="1" applyBorder="1" applyAlignment="1">
      <alignment horizontal="center"/>
    </xf>
    <xf numFmtId="0" fontId="5" fillId="0" borderId="23" xfId="0" applyFont="1" applyBorder="1" applyAlignment="1">
      <alignment horizontal="left"/>
    </xf>
    <xf numFmtId="164" fontId="5" fillId="0" borderId="23" xfId="0" applyNumberFormat="1" applyFont="1" applyBorder="1" applyAlignment="1">
      <alignment horizontal="left"/>
    </xf>
    <xf numFmtId="1" fontId="5" fillId="0" borderId="23" xfId="0" applyNumberFormat="1" applyFont="1" applyBorder="1" applyAlignment="1">
      <alignment horizontal="left"/>
    </xf>
    <xf numFmtId="3" fontId="5" fillId="0" borderId="35" xfId="0" applyNumberFormat="1" applyFont="1" applyBorder="1" applyAlignment="1">
      <alignment horizontal="center"/>
    </xf>
    <xf numFmtId="3" fontId="5" fillId="0" borderId="31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3" fontId="5" fillId="0" borderId="32" xfId="0" applyNumberFormat="1" applyFont="1" applyBorder="1" applyAlignment="1">
      <alignment horizontal="left"/>
    </xf>
    <xf numFmtId="3" fontId="7" fillId="0" borderId="28" xfId="0" applyNumberFormat="1" applyFont="1" applyBorder="1" applyAlignment="1">
      <alignment horizontal="center"/>
    </xf>
    <xf numFmtId="3" fontId="5" fillId="0" borderId="17" xfId="0" applyNumberFormat="1" applyFont="1" applyBorder="1" applyAlignment="1">
      <alignment horizontal="center"/>
    </xf>
    <xf numFmtId="164" fontId="7" fillId="0" borderId="28" xfId="0" applyNumberFormat="1" applyFont="1" applyBorder="1" applyAlignment="1">
      <alignment horizontal="left"/>
    </xf>
    <xf numFmtId="164" fontId="7" fillId="0" borderId="32" xfId="0" applyNumberFormat="1" applyFont="1" applyBorder="1" applyAlignment="1">
      <alignment horizontal="center"/>
    </xf>
    <xf numFmtId="164" fontId="43" fillId="0" borderId="17" xfId="0" applyNumberFormat="1" applyFont="1" applyBorder="1" applyAlignment="1">
      <alignment horizontal="center"/>
    </xf>
    <xf numFmtId="3" fontId="5" fillId="0" borderId="28" xfId="0" applyNumberFormat="1" applyFont="1" applyBorder="1" applyAlignment="1">
      <alignment horizontal="center"/>
    </xf>
    <xf numFmtId="3" fontId="5" fillId="0" borderId="32" xfId="0" applyNumberFormat="1" applyFont="1" applyBorder="1" applyAlignment="1">
      <alignment horizontal="center"/>
    </xf>
    <xf numFmtId="3" fontId="12" fillId="0" borderId="32" xfId="0" applyNumberFormat="1" applyFont="1" applyBorder="1" applyAlignment="1">
      <alignment horizontal="left"/>
    </xf>
    <xf numFmtId="3" fontId="12" fillId="0" borderId="33" xfId="0" applyNumberFormat="1" applyFont="1" applyBorder="1" applyAlignment="1">
      <alignment horizontal="center"/>
    </xf>
    <xf numFmtId="0" fontId="12" fillId="0" borderId="25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center"/>
    </xf>
    <xf numFmtId="164" fontId="3" fillId="0" borderId="26" xfId="0" applyNumberFormat="1" applyFont="1" applyBorder="1" applyAlignment="1">
      <alignment horizontal="center"/>
    </xf>
    <xf numFmtId="1" fontId="3" fillId="0" borderId="33" xfId="0" applyNumberFormat="1" applyFont="1" applyBorder="1" applyAlignment="1">
      <alignment horizontal="center"/>
    </xf>
    <xf numFmtId="3" fontId="3" fillId="0" borderId="33" xfId="0" applyNumberFormat="1" applyFont="1" applyBorder="1" applyAlignment="1">
      <alignment horizontal="center"/>
    </xf>
    <xf numFmtId="16" fontId="3" fillId="2" borderId="6" xfId="0" applyNumberFormat="1" applyFont="1" applyFill="1" applyBorder="1" applyAlignment="1">
      <alignment horizontal="center"/>
    </xf>
    <xf numFmtId="16" fontId="3" fillId="0" borderId="26" xfId="0" applyNumberFormat="1" applyFont="1" applyBorder="1" applyAlignment="1">
      <alignment horizontal="center"/>
    </xf>
    <xf numFmtId="16" fontId="3" fillId="2" borderId="12" xfId="0" applyNumberFormat="1" applyFont="1" applyFill="1" applyBorder="1" applyAlignment="1">
      <alignment horizontal="center"/>
    </xf>
    <xf numFmtId="16" fontId="3" fillId="0" borderId="27" xfId="0" applyNumberFormat="1" applyFont="1" applyBorder="1" applyAlignment="1">
      <alignment horizontal="center"/>
    </xf>
    <xf numFmtId="16" fontId="3" fillId="0" borderId="32" xfId="0" applyNumberFormat="1" applyFont="1" applyBorder="1" applyAlignment="1">
      <alignment horizontal="center"/>
    </xf>
    <xf numFmtId="16" fontId="3" fillId="0" borderId="17" xfId="0" applyNumberFormat="1" applyFont="1" applyBorder="1" applyAlignment="1">
      <alignment horizontal="center"/>
    </xf>
    <xf numFmtId="0" fontId="17" fillId="2" borderId="9" xfId="0" applyFont="1" applyFill="1" applyBorder="1" applyAlignment="1">
      <alignment horizontal="left"/>
    </xf>
    <xf numFmtId="0" fontId="45" fillId="2" borderId="12" xfId="0" applyFont="1" applyFill="1" applyBorder="1" applyAlignment="1">
      <alignment horizontal="center"/>
    </xf>
    <xf numFmtId="3" fontId="3" fillId="0" borderId="31" xfId="0" applyNumberFormat="1" applyFont="1" applyBorder="1" applyAlignment="1">
      <alignment horizontal="left"/>
    </xf>
    <xf numFmtId="3" fontId="7" fillId="0" borderId="29" xfId="0" applyNumberFormat="1" applyFont="1" applyBorder="1" applyAlignment="1">
      <alignment horizontal="center"/>
    </xf>
    <xf numFmtId="0" fontId="7" fillId="0" borderId="30" xfId="0" applyFont="1" applyBorder="1" applyAlignment="1">
      <alignment horizontal="left"/>
    </xf>
    <xf numFmtId="164" fontId="7" fillId="0" borderId="29" xfId="0" applyNumberFormat="1" applyFont="1" applyBorder="1" applyAlignment="1">
      <alignment horizontal="left"/>
    </xf>
    <xf numFmtId="164" fontId="7" fillId="0" borderId="31" xfId="0" applyNumberFormat="1" applyFont="1" applyBorder="1" applyAlignment="1">
      <alignment horizontal="center"/>
    </xf>
    <xf numFmtId="164" fontId="46" fillId="0" borderId="30" xfId="0" applyNumberFormat="1" applyFont="1" applyBorder="1" applyAlignment="1">
      <alignment horizontal="center"/>
    </xf>
    <xf numFmtId="3" fontId="3" fillId="0" borderId="31" xfId="0" applyNumberFormat="1" applyFont="1" applyBorder="1" applyAlignment="1">
      <alignment horizontal="center"/>
    </xf>
    <xf numFmtId="3" fontId="12" fillId="0" borderId="31" xfId="0" applyNumberFormat="1" applyFont="1" applyBorder="1" applyAlignment="1">
      <alignment horizontal="left"/>
    </xf>
    <xf numFmtId="3" fontId="12" fillId="0" borderId="34" xfId="0" applyNumberFormat="1" applyFont="1" applyBorder="1" applyAlignment="1">
      <alignment horizontal="center"/>
    </xf>
    <xf numFmtId="0" fontId="12" fillId="0" borderId="28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164" fontId="3" fillId="0" borderId="17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3" fontId="3" fillId="0" borderId="34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3" fontId="3" fillId="0" borderId="32" xfId="0" applyNumberFormat="1" applyFont="1" applyBorder="1" applyAlignment="1">
      <alignment horizontal="center"/>
    </xf>
    <xf numFmtId="0" fontId="47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5" fillId="0" borderId="28" xfId="0" applyNumberFormat="1" applyFont="1" applyBorder="1" applyAlignment="1">
      <alignment horizontal="right"/>
    </xf>
    <xf numFmtId="3" fontId="5" fillId="0" borderId="32" xfId="0" applyNumberFormat="1" applyFont="1" applyBorder="1" applyAlignment="1">
      <alignment horizontal="right"/>
    </xf>
    <xf numFmtId="164" fontId="12" fillId="0" borderId="28" xfId="0" applyNumberFormat="1" applyFont="1" applyBorder="1" applyAlignment="1">
      <alignment horizontal="center"/>
    </xf>
    <xf numFmtId="4" fontId="12" fillId="0" borderId="32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center"/>
    </xf>
    <xf numFmtId="3" fontId="3" fillId="0" borderId="25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left"/>
    </xf>
    <xf numFmtId="0" fontId="45" fillId="2" borderId="1" xfId="0" applyFont="1" applyFill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5" fillId="0" borderId="17" xfId="0" applyFont="1" applyBorder="1" applyAlignment="1">
      <alignment horizontal="left"/>
    </xf>
    <xf numFmtId="3" fontId="3" fillId="0" borderId="28" xfId="0" applyNumberFormat="1" applyFont="1" applyBorder="1" applyAlignment="1">
      <alignment horizontal="right"/>
    </xf>
    <xf numFmtId="3" fontId="3" fillId="0" borderId="32" xfId="0" applyNumberFormat="1" applyFont="1" applyBorder="1" applyAlignment="1">
      <alignment horizontal="left"/>
    </xf>
    <xf numFmtId="0" fontId="18" fillId="2" borderId="9" xfId="0" applyFont="1" applyFill="1" applyBorder="1" applyAlignment="1">
      <alignment horizontal="left"/>
    </xf>
    <xf numFmtId="0" fontId="12" fillId="2" borderId="9" xfId="0" applyFont="1" applyFill="1" applyBorder="1" applyAlignment="1">
      <alignment horizontal="left"/>
    </xf>
    <xf numFmtId="164" fontId="3" fillId="0" borderId="28" xfId="0" applyNumberFormat="1" applyFont="1" applyBorder="1" applyAlignment="1">
      <alignment horizontal="center"/>
    </xf>
    <xf numFmtId="164" fontId="3" fillId="0" borderId="32" xfId="0" applyNumberFormat="1" applyFont="1" applyBorder="1" applyAlignment="1">
      <alignment horizontal="center"/>
    </xf>
    <xf numFmtId="0" fontId="22" fillId="2" borderId="13" xfId="0" applyFont="1" applyFill="1" applyBorder="1" applyAlignment="1">
      <alignment horizontal="left"/>
    </xf>
    <xf numFmtId="0" fontId="48" fillId="2" borderId="10" xfId="0" applyFont="1" applyFill="1" applyBorder="1" applyAlignment="1">
      <alignment horizontal="center"/>
    </xf>
    <xf numFmtId="0" fontId="49" fillId="2" borderId="1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left"/>
    </xf>
    <xf numFmtId="4" fontId="7" fillId="0" borderId="17" xfId="0" applyNumberFormat="1" applyFont="1" applyBorder="1" applyAlignment="1">
      <alignment horizontal="right"/>
    </xf>
    <xf numFmtId="0" fontId="14" fillId="2" borderId="9" xfId="0" applyFont="1" applyFill="1" applyBorder="1" applyAlignment="1">
      <alignment horizontal="left"/>
    </xf>
    <xf numFmtId="0" fontId="51" fillId="2" borderId="9" xfId="0" applyFont="1" applyFill="1" applyBorder="1" applyAlignment="1">
      <alignment horizontal="center"/>
    </xf>
    <xf numFmtId="164" fontId="3" fillId="0" borderId="32" xfId="0" applyNumberFormat="1" applyFont="1" applyBorder="1" applyAlignment="1">
      <alignment horizontal="right"/>
    </xf>
    <xf numFmtId="0" fontId="49" fillId="2" borderId="1" xfId="0" applyFont="1" applyFill="1" applyBorder="1" applyAlignment="1">
      <alignment horizontal="center"/>
    </xf>
    <xf numFmtId="164" fontId="12" fillId="0" borderId="32" xfId="0" applyNumberFormat="1" applyFont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3" fontId="3" fillId="0" borderId="29" xfId="0" applyNumberFormat="1" applyFont="1" applyBorder="1" applyAlignment="1">
      <alignment horizontal="right"/>
    </xf>
    <xf numFmtId="0" fontId="3" fillId="0" borderId="30" xfId="0" applyFont="1" applyBorder="1" applyAlignment="1">
      <alignment horizontal="left"/>
    </xf>
    <xf numFmtId="164" fontId="3" fillId="0" borderId="29" xfId="0" applyNumberFormat="1" applyFont="1" applyBorder="1" applyAlignment="1">
      <alignment horizontal="center"/>
    </xf>
    <xf numFmtId="164" fontId="3" fillId="0" borderId="31" xfId="0" applyNumberFormat="1" applyFont="1" applyBorder="1" applyAlignment="1">
      <alignment horizontal="center"/>
    </xf>
    <xf numFmtId="164" fontId="12" fillId="0" borderId="30" xfId="0" applyNumberFormat="1" applyFont="1" applyBorder="1" applyAlignment="1">
      <alignment horizontal="center"/>
    </xf>
    <xf numFmtId="0" fontId="14" fillId="2" borderId="13" xfId="0" applyFont="1" applyFill="1" applyBorder="1" applyAlignment="1">
      <alignment horizontal="left"/>
    </xf>
    <xf numFmtId="3" fontId="12" fillId="0" borderId="32" xfId="0" applyNumberFormat="1" applyFont="1" applyBorder="1" applyAlignment="1">
      <alignment horizontal="center"/>
    </xf>
    <xf numFmtId="0" fontId="50" fillId="2" borderId="13" xfId="0" applyFont="1" applyFill="1" applyBorder="1" applyAlignment="1">
      <alignment horizontal="left"/>
    </xf>
    <xf numFmtId="16" fontId="3" fillId="2" borderId="9" xfId="0" applyNumberFormat="1" applyFont="1" applyFill="1" applyBorder="1" applyAlignment="1">
      <alignment horizontal="center"/>
    </xf>
    <xf numFmtId="16" fontId="3" fillId="2" borderId="1" xfId="0" applyNumberFormat="1" applyFont="1" applyFill="1" applyBorder="1" applyAlignment="1">
      <alignment horizontal="center"/>
    </xf>
    <xf numFmtId="3" fontId="5" fillId="0" borderId="34" xfId="0" applyNumberFormat="1" applyFont="1" applyBorder="1" applyAlignment="1">
      <alignment horizontal="right"/>
    </xf>
    <xf numFmtId="3" fontId="3" fillId="0" borderId="34" xfId="0" applyNumberFormat="1" applyFont="1" applyBorder="1" applyAlignment="1">
      <alignment horizontal="right"/>
    </xf>
    <xf numFmtId="164" fontId="12" fillId="0" borderId="34" xfId="0" applyNumberFormat="1" applyFont="1" applyBorder="1" applyAlignment="1">
      <alignment horizontal="center"/>
    </xf>
    <xf numFmtId="1" fontId="3" fillId="0" borderId="17" xfId="0" applyNumberFormat="1" applyFont="1" applyBorder="1" applyAlignment="1">
      <alignment horizontal="center"/>
    </xf>
    <xf numFmtId="3" fontId="17" fillId="2" borderId="1" xfId="0" applyNumberFormat="1" applyFont="1" applyFill="1" applyBorder="1" applyAlignment="1">
      <alignment horizontal="left"/>
    </xf>
    <xf numFmtId="0" fontId="17" fillId="2" borderId="10" xfId="0" applyFont="1" applyFill="1" applyBorder="1" applyAlignment="1">
      <alignment horizontal="left"/>
    </xf>
    <xf numFmtId="3" fontId="3" fillId="0" borderId="35" xfId="0" applyNumberFormat="1" applyFont="1" applyBorder="1" applyAlignment="1">
      <alignment horizontal="right"/>
    </xf>
    <xf numFmtId="3" fontId="12" fillId="0" borderId="26" xfId="0" applyNumberFormat="1" applyFont="1" applyBorder="1" applyAlignment="1">
      <alignment horizontal="center"/>
    </xf>
    <xf numFmtId="0" fontId="14" fillId="0" borderId="26" xfId="0" applyFont="1" applyBorder="1" applyAlignment="1">
      <alignment horizontal="left"/>
    </xf>
    <xf numFmtId="164" fontId="12" fillId="0" borderId="26" xfId="0" applyNumberFormat="1" applyFont="1" applyBorder="1" applyAlignment="1">
      <alignment horizontal="right"/>
    </xf>
    <xf numFmtId="164" fontId="12" fillId="0" borderId="26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right"/>
    </xf>
    <xf numFmtId="0" fontId="17" fillId="2" borderId="1" xfId="0" applyFont="1" applyFill="1" applyBorder="1" applyAlignment="1">
      <alignment horizontal="left"/>
    </xf>
    <xf numFmtId="3" fontId="7" fillId="0" borderId="17" xfId="0" applyNumberFormat="1" applyFont="1" applyBorder="1" applyAlignment="1">
      <alignment horizontal="left"/>
    </xf>
    <xf numFmtId="3" fontId="7" fillId="0" borderId="31" xfId="0" applyNumberFormat="1" applyFont="1" applyBorder="1" applyAlignment="1">
      <alignment horizontal="center"/>
    </xf>
    <xf numFmtId="3" fontId="7" fillId="0" borderId="30" xfId="0" applyNumberFormat="1" applyFont="1" applyBorder="1" applyAlignment="1">
      <alignment horizontal="center"/>
    </xf>
    <xf numFmtId="0" fontId="8" fillId="2" borderId="6" xfId="0" applyFont="1" applyFill="1" applyBorder="1" applyAlignment="1">
      <alignment horizontal="left"/>
    </xf>
    <xf numFmtId="164" fontId="5" fillId="0" borderId="17" xfId="0" applyNumberFormat="1" applyFont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3" fontId="18" fillId="2" borderId="1" xfId="0" applyNumberFormat="1" applyFont="1" applyFill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50" fillId="2" borderId="1" xfId="0" applyFont="1" applyFill="1" applyBorder="1" applyAlignment="1">
      <alignment horizontal="left"/>
    </xf>
    <xf numFmtId="3" fontId="50" fillId="2" borderId="1" xfId="0" applyNumberFormat="1" applyFont="1" applyFill="1" applyBorder="1" applyAlignment="1">
      <alignment horizontal="left"/>
    </xf>
    <xf numFmtId="164" fontId="7" fillId="0" borderId="17" xfId="0" applyNumberFormat="1" applyFont="1" applyBorder="1" applyAlignment="1">
      <alignment horizontal="left"/>
    </xf>
    <xf numFmtId="164" fontId="5" fillId="0" borderId="17" xfId="0" applyNumberFormat="1" applyFont="1" applyBorder="1" applyAlignment="1">
      <alignment horizontal="left"/>
    </xf>
    <xf numFmtId="0" fontId="12" fillId="2" borderId="9" xfId="0" applyFont="1" applyFill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8" fillId="2" borderId="9" xfId="0" applyFont="1" applyFill="1" applyBorder="1" applyAlignment="1">
      <alignment horizontal="left"/>
    </xf>
    <xf numFmtId="0" fontId="25" fillId="0" borderId="17" xfId="0" applyFont="1" applyBorder="1" applyAlignment="1">
      <alignment horizontal="center"/>
    </xf>
    <xf numFmtId="3" fontId="25" fillId="0" borderId="17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4" fillId="0" borderId="17" xfId="0" applyFont="1" applyBorder="1" applyAlignment="1">
      <alignment horizontal="center"/>
    </xf>
    <xf numFmtId="3" fontId="14" fillId="0" borderId="17" xfId="0" applyNumberFormat="1" applyFont="1" applyBorder="1" applyAlignment="1">
      <alignment horizontal="center"/>
    </xf>
    <xf numFmtId="0" fontId="52" fillId="2" borderId="10" xfId="0" applyFont="1" applyFill="1" applyBorder="1" applyAlignment="1">
      <alignment horizontal="center"/>
    </xf>
    <xf numFmtId="0" fontId="17" fillId="2" borderId="13" xfId="0" applyFont="1" applyFill="1" applyBorder="1" applyAlignment="1">
      <alignment horizontal="left"/>
    </xf>
    <xf numFmtId="3" fontId="53" fillId="0" borderId="17" xfId="0" applyNumberFormat="1" applyFont="1" applyBorder="1" applyAlignment="1">
      <alignment horizontal="left"/>
    </xf>
    <xf numFmtId="0" fontId="50" fillId="0" borderId="17" xfId="0" applyFont="1" applyBorder="1" applyAlignment="1">
      <alignment horizontal="left"/>
    </xf>
    <xf numFmtId="0" fontId="23" fillId="2" borderId="8" xfId="0" applyFont="1" applyFill="1" applyBorder="1" applyAlignment="1">
      <alignment horizontal="left"/>
    </xf>
    <xf numFmtId="4" fontId="12" fillId="0" borderId="17" xfId="0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3" fontId="12" fillId="0" borderId="28" xfId="0" applyNumberFormat="1" applyFont="1" applyBorder="1" applyAlignment="1">
      <alignment horizontal="center"/>
    </xf>
    <xf numFmtId="3" fontId="12" fillId="0" borderId="29" xfId="0" applyNumberFormat="1" applyFont="1" applyBorder="1" applyAlignment="1">
      <alignment horizontal="center"/>
    </xf>
    <xf numFmtId="3" fontId="12" fillId="0" borderId="30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4" fontId="3" fillId="0" borderId="30" xfId="0" applyNumberFormat="1" applyFont="1" applyBorder="1" applyAlignment="1">
      <alignment horizontal="center"/>
    </xf>
    <xf numFmtId="1" fontId="3" fillId="0" borderId="35" xfId="0" applyNumberFormat="1" applyFont="1" applyBorder="1" applyAlignment="1">
      <alignment horizontal="center"/>
    </xf>
    <xf numFmtId="3" fontId="3" fillId="0" borderId="35" xfId="0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164" fontId="3" fillId="0" borderId="17" xfId="0" applyNumberFormat="1" applyFont="1" applyBorder="1" applyAlignment="1">
      <alignment horizontal="right"/>
    </xf>
    <xf numFmtId="3" fontId="54" fillId="2" borderId="9" xfId="0" applyNumberFormat="1" applyFont="1" applyFill="1" applyBorder="1" applyAlignment="1">
      <alignment horizontal="left"/>
    </xf>
    <xf numFmtId="3" fontId="0" fillId="12" borderId="0" xfId="0" applyNumberFormat="1" applyFill="1"/>
    <xf numFmtId="4" fontId="0" fillId="12" borderId="0" xfId="0" applyNumberFormat="1" applyFill="1"/>
    <xf numFmtId="164" fontId="0" fillId="12" borderId="0" xfId="0" applyNumberFormat="1" applyFill="1"/>
    <xf numFmtId="3" fontId="3" fillId="12" borderId="10" xfId="0" applyNumberFormat="1" applyFont="1" applyFill="1" applyBorder="1" applyAlignment="1">
      <alignment horizontal="right"/>
    </xf>
    <xf numFmtId="4" fontId="10" fillId="12" borderId="6" xfId="0" applyNumberFormat="1" applyFont="1" applyFill="1" applyBorder="1" applyAlignment="1">
      <alignment horizontal="left"/>
    </xf>
    <xf numFmtId="4" fontId="10" fillId="12" borderId="5" xfId="0" applyNumberFormat="1" applyFont="1" applyFill="1" applyBorder="1" applyAlignment="1">
      <alignment horizontal="left"/>
    </xf>
    <xf numFmtId="0" fontId="10" fillId="12" borderId="7" xfId="0" applyFont="1" applyFill="1" applyBorder="1" applyAlignment="1">
      <alignment horizontal="left"/>
    </xf>
    <xf numFmtId="1" fontId="3" fillId="12" borderId="1" xfId="0" applyNumberFormat="1" applyFont="1" applyFill="1" applyBorder="1" applyAlignment="1">
      <alignment horizontal="center"/>
    </xf>
    <xf numFmtId="4" fontId="12" fillId="12" borderId="13" xfId="0" applyNumberFormat="1" applyFont="1" applyFill="1" applyBorder="1" applyAlignment="1">
      <alignment horizontal="center"/>
    </xf>
    <xf numFmtId="3" fontId="5" fillId="12" borderId="1" xfId="0" applyNumberFormat="1" applyFont="1" applyFill="1" applyBorder="1" applyAlignment="1">
      <alignment horizontal="left"/>
    </xf>
    <xf numFmtId="3" fontId="3" fillId="12" borderId="13" xfId="0" applyNumberFormat="1" applyFont="1" applyFill="1" applyBorder="1" applyAlignment="1">
      <alignment horizontal="right"/>
    </xf>
    <xf numFmtId="3" fontId="3" fillId="12" borderId="9" xfId="0" applyNumberFormat="1" applyFont="1" applyFill="1" applyBorder="1" applyAlignment="1">
      <alignment horizontal="right"/>
    </xf>
    <xf numFmtId="1" fontId="3" fillId="12" borderId="13" xfId="0" applyNumberFormat="1" applyFont="1" applyFill="1" applyBorder="1" applyAlignment="1">
      <alignment horizontal="right"/>
    </xf>
    <xf numFmtId="1" fontId="3" fillId="12" borderId="10" xfId="0" applyNumberFormat="1" applyFont="1" applyFill="1" applyBorder="1" applyAlignment="1">
      <alignment horizontal="right"/>
    </xf>
    <xf numFmtId="0" fontId="3" fillId="12" borderId="1" xfId="0" applyFont="1" applyFill="1" applyBorder="1" applyAlignment="1">
      <alignment horizontal="left"/>
    </xf>
    <xf numFmtId="0" fontId="3" fillId="12" borderId="9" xfId="0" applyFont="1" applyFill="1" applyBorder="1" applyAlignment="1">
      <alignment horizontal="center"/>
    </xf>
    <xf numFmtId="1" fontId="3" fillId="12" borderId="13" xfId="0" applyNumberFormat="1" applyFont="1" applyFill="1" applyBorder="1" applyAlignment="1">
      <alignment horizontal="center"/>
    </xf>
    <xf numFmtId="1" fontId="3" fillId="12" borderId="9" xfId="0" applyNumberFormat="1" applyFont="1" applyFill="1" applyBorder="1" applyAlignment="1">
      <alignment horizontal="center"/>
    </xf>
    <xf numFmtId="1" fontId="3" fillId="12" borderId="10" xfId="0" applyNumberFormat="1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0" fillId="12" borderId="0" xfId="0" applyFill="1"/>
    <xf numFmtId="164" fontId="3" fillId="12" borderId="13" xfId="0" applyNumberFormat="1" applyFont="1" applyFill="1" applyBorder="1" applyAlignment="1">
      <alignment horizontal="center"/>
    </xf>
    <xf numFmtId="4" fontId="3" fillId="12" borderId="1" xfId="0" applyNumberFormat="1" applyFont="1" applyFill="1" applyBorder="1" applyAlignment="1">
      <alignment horizontal="center"/>
    </xf>
    <xf numFmtId="3" fontId="10" fillId="2" borderId="10" xfId="0" applyNumberFormat="1" applyFont="1" applyFill="1" applyBorder="1" applyAlignment="1">
      <alignment horizontal="left"/>
    </xf>
    <xf numFmtId="4" fontId="9" fillId="0" borderId="26" xfId="0" applyNumberFormat="1" applyFont="1" applyBorder="1" applyAlignment="1">
      <alignment horizontal="center"/>
    </xf>
    <xf numFmtId="3" fontId="9" fillId="0" borderId="26" xfId="0" applyNumberFormat="1" applyFont="1" applyBorder="1" applyAlignment="1">
      <alignment horizontal="center"/>
    </xf>
    <xf numFmtId="4" fontId="9" fillId="0" borderId="27" xfId="0" applyNumberFormat="1" applyFont="1" applyBorder="1" applyAlignment="1">
      <alignment horizontal="center"/>
    </xf>
    <xf numFmtId="4" fontId="1" fillId="2" borderId="6" xfId="0" applyNumberFormat="1" applyFont="1" applyFill="1" applyBorder="1" applyAlignment="1">
      <alignment horizontal="center"/>
    </xf>
    <xf numFmtId="4" fontId="1" fillId="2" borderId="12" xfId="0" applyNumberFormat="1" applyFont="1" applyFill="1" applyBorder="1" applyAlignment="1">
      <alignment horizontal="center"/>
    </xf>
    <xf numFmtId="4" fontId="1" fillId="2" borderId="7" xfId="0" applyNumberFormat="1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4" fontId="1" fillId="2" borderId="14" xfId="0" applyNumberFormat="1" applyFont="1" applyFill="1" applyBorder="1" applyAlignment="1">
      <alignment horizontal="center"/>
    </xf>
    <xf numFmtId="4" fontId="1" fillId="2" borderId="15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horizontal="center"/>
    </xf>
    <xf numFmtId="164" fontId="5" fillId="2" borderId="4" xfId="0" applyNumberFormat="1" applyFont="1" applyFill="1" applyBorder="1" applyAlignment="1">
      <alignment horizontal="center"/>
    </xf>
    <xf numFmtId="3" fontId="5" fillId="2" borderId="4" xfId="0" applyNumberFormat="1" applyFont="1" applyFill="1" applyBorder="1" applyAlignment="1">
      <alignment horizontal="center"/>
    </xf>
    <xf numFmtId="3" fontId="3" fillId="3" borderId="6" xfId="0" applyNumberFormat="1" applyFont="1" applyFill="1" applyBorder="1" applyAlignment="1">
      <alignment horizontal="left"/>
    </xf>
    <xf numFmtId="4" fontId="3" fillId="3" borderId="7" xfId="0" applyNumberFormat="1" applyFont="1" applyFill="1" applyBorder="1" applyAlignment="1">
      <alignment horizontal="left"/>
    </xf>
    <xf numFmtId="4" fontId="3" fillId="3" borderId="6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CA223"/>
  <sheetViews>
    <sheetView workbookViewId="0"/>
  </sheetViews>
  <sheetFormatPr defaultRowHeight="14.6" x14ac:dyDescent="0.4"/>
  <cols>
    <col min="1" max="1" width="9.15234375" bestFit="1" customWidth="1"/>
    <col min="2" max="3" width="9.15234375" style="5" bestFit="1" customWidth="1"/>
    <col min="4" max="4" width="9.4609375" style="5" bestFit="1" customWidth="1"/>
    <col min="5" max="5" width="10" style="5" bestFit="1" customWidth="1"/>
    <col min="6" max="6" width="30.15234375" bestFit="1" customWidth="1"/>
    <col min="7" max="7" width="8.4609375" style="5" bestFit="1" customWidth="1"/>
    <col min="8" max="8" width="9.84375" style="10" bestFit="1" customWidth="1"/>
    <col min="9" max="9" width="11.15234375" style="10" bestFit="1" customWidth="1"/>
    <col min="10" max="10" width="9" style="10" bestFit="1" customWidth="1"/>
    <col min="11" max="11" width="9" style="5" bestFit="1" customWidth="1"/>
    <col min="12" max="13" width="8.4609375" style="5" bestFit="1" customWidth="1"/>
    <col min="14" max="14" width="5.53515625" style="5" bestFit="1" customWidth="1"/>
    <col min="15" max="15" width="6.15234375" style="5" bestFit="1" customWidth="1"/>
    <col min="16" max="16" width="6.84375" style="5" bestFit="1" customWidth="1"/>
    <col min="17" max="17" width="4.53515625" bestFit="1" customWidth="1"/>
    <col min="18" max="18" width="5.15234375" style="5" bestFit="1" customWidth="1"/>
    <col min="19" max="19" width="16.15234375" bestFit="1" customWidth="1"/>
    <col min="20" max="20" width="38.53515625" style="9" bestFit="1" customWidth="1"/>
    <col min="21" max="21" width="6.4609375" style="5" bestFit="1" customWidth="1"/>
    <col min="22" max="22" width="4.84375" bestFit="1" customWidth="1"/>
    <col min="23" max="23" width="10" style="519" bestFit="1" customWidth="1"/>
    <col min="24" max="24" width="10" style="8" bestFit="1" customWidth="1"/>
    <col min="25" max="25" width="11.15234375" style="409" bestFit="1" customWidth="1"/>
    <col min="26" max="26" width="21.15234375" style="5" bestFit="1" customWidth="1"/>
    <col min="27" max="27" width="9.15234375" bestFit="1" customWidth="1"/>
    <col min="28" max="28" width="9.4609375" bestFit="1" customWidth="1"/>
    <col min="29" max="29" width="10" bestFit="1" customWidth="1"/>
    <col min="30" max="30" width="12.53515625" bestFit="1" customWidth="1"/>
    <col min="31" max="31" width="12.84375" bestFit="1" customWidth="1"/>
    <col min="32" max="32" width="9.53515625" style="5" bestFit="1" customWidth="1"/>
    <col min="33" max="33" width="8.15234375" style="5" bestFit="1" customWidth="1"/>
    <col min="34" max="34" width="14.53515625" bestFit="1" customWidth="1"/>
    <col min="35" max="35" width="26.15234375" bestFit="1" customWidth="1"/>
    <col min="36" max="36" width="9.84375" bestFit="1" customWidth="1"/>
    <col min="37" max="37" width="12.53515625" bestFit="1" customWidth="1"/>
    <col min="38" max="38" width="13.15234375" bestFit="1" customWidth="1"/>
    <col min="39" max="39" width="12.4609375" bestFit="1" customWidth="1"/>
    <col min="40" max="40" width="9" bestFit="1" customWidth="1"/>
    <col min="41" max="41" width="11.84375" style="5" bestFit="1" customWidth="1"/>
    <col min="42" max="43" width="6.53515625" bestFit="1" customWidth="1"/>
    <col min="44" max="44" width="9.15234375" style="5" bestFit="1" customWidth="1"/>
    <col min="45" max="60" width="9.15234375" bestFit="1" customWidth="1"/>
    <col min="61" max="61" width="19.84375" bestFit="1" customWidth="1"/>
    <col min="62" max="73" width="9.15234375" bestFit="1" customWidth="1"/>
    <col min="74" max="74" width="5" bestFit="1" customWidth="1"/>
    <col min="75" max="79" width="13.53515625" bestFit="1" customWidth="1"/>
  </cols>
  <sheetData>
    <row r="1" spans="2:79" ht="19.5" customHeight="1" x14ac:dyDescent="0.4">
      <c r="C1" s="517" t="s">
        <v>463</v>
      </c>
      <c r="S1" s="518" t="s">
        <v>464</v>
      </c>
      <c r="AB1" s="520" t="s">
        <v>465</v>
      </c>
      <c r="AK1" s="520" t="s">
        <v>466</v>
      </c>
      <c r="BL1" s="521"/>
    </row>
    <row r="2" spans="2:79" ht="18.75" customHeight="1" x14ac:dyDescent="0.4">
      <c r="AA2" s="522"/>
      <c r="AB2" s="523" t="s">
        <v>467</v>
      </c>
      <c r="AC2" s="524"/>
      <c r="AD2" s="53"/>
      <c r="AE2" s="44"/>
      <c r="AF2" s="440" t="s">
        <v>468</v>
      </c>
      <c r="AG2" s="525"/>
      <c r="AI2" s="526" t="s">
        <v>469</v>
      </c>
      <c r="AJ2" s="523"/>
      <c r="AK2" s="523" t="s">
        <v>467</v>
      </c>
      <c r="AL2" s="524"/>
      <c r="AM2" s="53"/>
      <c r="AN2" s="44"/>
      <c r="AO2" s="440" t="s">
        <v>468</v>
      </c>
      <c r="AP2" s="78"/>
      <c r="BH2" s="521"/>
      <c r="BI2" s="521"/>
      <c r="BJ2" s="521"/>
      <c r="BK2" s="521"/>
    </row>
    <row r="3" spans="2:79" ht="18.75" customHeight="1" x14ac:dyDescent="0.4">
      <c r="AA3" s="59"/>
      <c r="AB3" s="42" t="s">
        <v>470</v>
      </c>
      <c r="AC3" s="44"/>
      <c r="AD3" s="44"/>
      <c r="AE3" s="78"/>
      <c r="AF3" s="419"/>
      <c r="AG3" s="527"/>
      <c r="AI3" s="526"/>
      <c r="AJ3" s="144"/>
      <c r="AK3" s="212" t="s">
        <v>470</v>
      </c>
      <c r="AL3" s="144"/>
      <c r="AM3" s="97"/>
      <c r="AN3" s="144"/>
      <c r="AO3" s="419"/>
      <c r="AP3" s="108"/>
      <c r="BI3" s="528"/>
      <c r="BW3" s="529"/>
      <c r="BX3" s="529"/>
      <c r="BY3" s="529"/>
      <c r="BZ3" s="529"/>
      <c r="CA3" s="529"/>
    </row>
    <row r="4" spans="2:79" ht="18.75" customHeight="1" x14ac:dyDescent="0.4">
      <c r="B4" s="530"/>
      <c r="E4" s="497" t="s">
        <v>471</v>
      </c>
      <c r="S4" s="531"/>
      <c r="T4" s="531"/>
      <c r="U4" s="532"/>
      <c r="W4" s="533"/>
      <c r="X4" s="534"/>
      <c r="Z4" s="532"/>
      <c r="AA4" s="59"/>
      <c r="AB4" s="522" t="s">
        <v>472</v>
      </c>
      <c r="AC4" s="523" t="s">
        <v>473</v>
      </c>
      <c r="AD4" s="523"/>
      <c r="AE4" s="53"/>
      <c r="AF4" s="297"/>
      <c r="AG4" s="535"/>
      <c r="AH4" s="536"/>
      <c r="AI4" s="537"/>
      <c r="AJ4" s="144"/>
      <c r="AK4" s="522" t="s">
        <v>472</v>
      </c>
      <c r="AL4" s="523" t="s">
        <v>473</v>
      </c>
      <c r="AM4" s="38"/>
      <c r="AN4" s="144"/>
      <c r="AO4" s="96"/>
      <c r="AP4" s="97"/>
      <c r="BI4" s="538"/>
      <c r="BW4" s="529"/>
      <c r="BX4" s="529"/>
      <c r="BY4" s="529"/>
      <c r="BZ4" s="529"/>
      <c r="CA4" s="529"/>
    </row>
    <row r="5" spans="2:79" ht="18.75" customHeight="1" x14ac:dyDescent="0.4">
      <c r="B5" s="530"/>
      <c r="E5" s="497" t="s">
        <v>474</v>
      </c>
      <c r="S5" s="531"/>
      <c r="T5" s="521" t="s">
        <v>475</v>
      </c>
      <c r="U5" s="532"/>
      <c r="W5" s="533"/>
      <c r="X5" s="539" t="s">
        <v>476</v>
      </c>
      <c r="Z5" s="532"/>
      <c r="AA5" s="171" t="s">
        <v>267</v>
      </c>
      <c r="AB5" s="540" t="s">
        <v>477</v>
      </c>
      <c r="AC5" s="541" t="s">
        <v>478</v>
      </c>
      <c r="AD5" s="542" t="s">
        <v>479</v>
      </c>
      <c r="AE5" s="543" t="s">
        <v>480</v>
      </c>
      <c r="AF5" s="96" t="s">
        <v>481</v>
      </c>
      <c r="AG5" s="544" t="s">
        <v>482</v>
      </c>
      <c r="AH5" s="536"/>
      <c r="AI5" s="537"/>
      <c r="AJ5" s="144" t="s">
        <v>267</v>
      </c>
      <c r="AK5" s="545" t="s">
        <v>477</v>
      </c>
      <c r="AL5" s="546" t="s">
        <v>483</v>
      </c>
      <c r="AM5" s="547" t="s">
        <v>479</v>
      </c>
      <c r="AN5" s="144"/>
      <c r="AO5" s="96" t="s">
        <v>481</v>
      </c>
      <c r="AP5" s="548" t="s">
        <v>482</v>
      </c>
      <c r="BI5" s="528"/>
      <c r="BW5" s="529"/>
      <c r="BX5" s="529"/>
      <c r="BY5" s="529"/>
      <c r="BZ5" s="529"/>
      <c r="CA5" s="529"/>
    </row>
    <row r="6" spans="2:79" ht="18.75" customHeight="1" x14ac:dyDescent="0.4">
      <c r="B6" s="530"/>
      <c r="S6" s="531"/>
      <c r="U6" s="532"/>
      <c r="W6" s="533"/>
      <c r="X6" s="539" t="s">
        <v>484</v>
      </c>
      <c r="Y6" s="549" t="s">
        <v>485</v>
      </c>
      <c r="Z6" s="550" t="s">
        <v>486</v>
      </c>
      <c r="AA6" s="171" t="s">
        <v>487</v>
      </c>
      <c r="AB6" s="540" t="s">
        <v>488</v>
      </c>
      <c r="AC6" s="541" t="s">
        <v>489</v>
      </c>
      <c r="AD6" s="103"/>
      <c r="AE6" s="97"/>
      <c r="AF6" s="96" t="s">
        <v>490</v>
      </c>
      <c r="AG6" s="535"/>
      <c r="AH6" s="536"/>
      <c r="AI6" s="145" t="s">
        <v>46</v>
      </c>
      <c r="AJ6" s="144" t="s">
        <v>487</v>
      </c>
      <c r="AK6" s="545" t="s">
        <v>488</v>
      </c>
      <c r="AL6" s="302"/>
      <c r="AM6" s="97"/>
      <c r="AN6" s="144"/>
      <c r="AO6" s="96" t="s">
        <v>490</v>
      </c>
      <c r="AP6" s="97"/>
      <c r="BI6" s="531"/>
      <c r="BW6" s="529"/>
      <c r="BX6" s="529"/>
      <c r="BY6" s="529"/>
      <c r="BZ6" s="529"/>
      <c r="CA6" s="529"/>
    </row>
    <row r="7" spans="2:79" ht="18.75" customHeight="1" x14ac:dyDescent="0.4">
      <c r="B7" s="450" t="s">
        <v>491</v>
      </c>
      <c r="C7" s="551"/>
      <c r="D7" s="452"/>
      <c r="E7" s="552" t="s">
        <v>492</v>
      </c>
      <c r="F7" s="553" t="s">
        <v>493</v>
      </c>
      <c r="G7" s="554"/>
      <c r="H7" s="555" t="s">
        <v>494</v>
      </c>
      <c r="I7" s="556" t="s">
        <v>494</v>
      </c>
      <c r="J7" s="557" t="s">
        <v>100</v>
      </c>
      <c r="K7" s="558" t="s">
        <v>495</v>
      </c>
      <c r="L7" s="559" t="s">
        <v>496</v>
      </c>
      <c r="M7" s="558" t="s">
        <v>497</v>
      </c>
      <c r="N7" s="560" t="s">
        <v>498</v>
      </c>
      <c r="O7" s="560" t="s">
        <v>499</v>
      </c>
      <c r="P7" s="559" t="s">
        <v>500</v>
      </c>
      <c r="Q7" s="561"/>
      <c r="R7" s="562" t="s">
        <v>501</v>
      </c>
      <c r="S7" s="563" t="s">
        <v>502</v>
      </c>
      <c r="T7" s="564" t="s">
        <v>503</v>
      </c>
      <c r="U7" s="565" t="s">
        <v>504</v>
      </c>
      <c r="V7" s="566" t="s">
        <v>505</v>
      </c>
      <c r="W7" s="567" t="s">
        <v>506</v>
      </c>
      <c r="X7" s="568"/>
      <c r="Y7" s="569" t="s">
        <v>507</v>
      </c>
      <c r="Z7" s="570" t="s">
        <v>508</v>
      </c>
      <c r="AA7" s="184"/>
      <c r="AB7" s="59"/>
      <c r="AC7" s="302"/>
      <c r="AD7" s="144"/>
      <c r="AE7" s="97"/>
      <c r="AF7" s="419"/>
      <c r="AG7" s="527"/>
      <c r="AH7" s="561"/>
      <c r="AI7" s="571"/>
      <c r="AJ7" s="144"/>
      <c r="AK7" s="59"/>
      <c r="AL7" s="302"/>
      <c r="AM7" s="97"/>
      <c r="AN7" s="144"/>
      <c r="AO7" s="96"/>
      <c r="AP7" s="97"/>
      <c r="AQ7" s="572"/>
      <c r="AR7" s="497" t="s">
        <v>509</v>
      </c>
      <c r="AU7" s="573"/>
      <c r="BI7" s="531"/>
      <c r="BW7" s="529"/>
      <c r="BX7" s="529"/>
      <c r="BY7" s="529"/>
      <c r="BZ7" s="529"/>
      <c r="CA7" s="529"/>
    </row>
    <row r="8" spans="2:79" ht="18.75" customHeight="1" x14ac:dyDescent="0.4">
      <c r="B8" s="453" t="s">
        <v>510</v>
      </c>
      <c r="C8" s="574" t="s">
        <v>511</v>
      </c>
      <c r="D8" s="497" t="s">
        <v>512</v>
      </c>
      <c r="E8" s="575" t="s">
        <v>513</v>
      </c>
      <c r="F8" s="521"/>
      <c r="G8" s="576" t="s">
        <v>514</v>
      </c>
      <c r="H8" s="577" t="s">
        <v>515</v>
      </c>
      <c r="I8" s="578" t="s">
        <v>516</v>
      </c>
      <c r="J8" s="579" t="s">
        <v>517</v>
      </c>
      <c r="K8" s="580" t="s">
        <v>518</v>
      </c>
      <c r="L8" s="581" t="s">
        <v>519</v>
      </c>
      <c r="M8" s="580"/>
      <c r="N8" s="576"/>
      <c r="O8" s="576"/>
      <c r="P8" s="582"/>
      <c r="R8" s="583">
        <v>1</v>
      </c>
      <c r="S8" s="584" t="s">
        <v>520</v>
      </c>
      <c r="T8" s="585" t="s">
        <v>521</v>
      </c>
      <c r="U8" s="554">
        <v>135</v>
      </c>
      <c r="V8" s="586" t="s">
        <v>60</v>
      </c>
      <c r="W8" s="587">
        <v>12.306540425531932</v>
      </c>
      <c r="X8" s="588">
        <v>1</v>
      </c>
      <c r="Y8" s="467">
        <v>23</v>
      </c>
      <c r="Z8" s="589" t="s">
        <v>522</v>
      </c>
      <c r="AA8" s="59" t="s">
        <v>523</v>
      </c>
      <c r="AB8" s="590"/>
      <c r="AC8" s="591"/>
      <c r="AD8" s="592"/>
      <c r="AE8" s="593"/>
      <c r="AF8" s="467">
        <v>0</v>
      </c>
      <c r="AG8" s="594"/>
      <c r="AH8" s="595"/>
      <c r="AI8" s="596" t="s">
        <v>524</v>
      </c>
      <c r="AJ8" s="98"/>
      <c r="AK8" s="98"/>
      <c r="AL8" s="597" t="s">
        <v>525</v>
      </c>
      <c r="AM8" s="78"/>
      <c r="AN8" s="44"/>
      <c r="AO8" s="439">
        <v>0</v>
      </c>
      <c r="AP8" s="78"/>
      <c r="AQ8" s="572"/>
      <c r="AU8" s="573"/>
      <c r="BI8" s="531"/>
      <c r="BW8" s="529"/>
      <c r="BX8" s="529"/>
      <c r="BY8" s="529"/>
      <c r="BZ8" s="529"/>
      <c r="CA8" s="529"/>
    </row>
    <row r="9" spans="2:79" ht="18.75" customHeight="1" x14ac:dyDescent="0.4">
      <c r="B9" s="462"/>
      <c r="C9" s="598"/>
      <c r="D9" s="500" t="s">
        <v>526</v>
      </c>
      <c r="E9" s="599" t="s">
        <v>31</v>
      </c>
      <c r="F9" s="600" t="s">
        <v>99</v>
      </c>
      <c r="G9" s="457" t="s">
        <v>99</v>
      </c>
      <c r="H9" s="601"/>
      <c r="I9" s="602"/>
      <c r="J9" s="603" t="s">
        <v>527</v>
      </c>
      <c r="K9" s="470"/>
      <c r="L9" s="604"/>
      <c r="M9" s="470"/>
      <c r="N9" s="472"/>
      <c r="O9" s="472"/>
      <c r="P9" s="605"/>
      <c r="R9" s="606">
        <v>1</v>
      </c>
      <c r="S9" s="607" t="s">
        <v>528</v>
      </c>
      <c r="T9" s="608" t="s">
        <v>529</v>
      </c>
      <c r="U9" s="467">
        <v>149</v>
      </c>
      <c r="V9" s="572" t="s">
        <v>60</v>
      </c>
      <c r="W9" s="609">
        <v>15.13441702127658</v>
      </c>
      <c r="X9" s="610">
        <v>2</v>
      </c>
      <c r="Y9" s="467">
        <v>23</v>
      </c>
      <c r="Z9" s="611">
        <v>1</v>
      </c>
      <c r="AA9" s="59" t="s">
        <v>523</v>
      </c>
      <c r="AB9" s="59"/>
      <c r="AC9" s="572"/>
      <c r="AD9" s="144"/>
      <c r="AE9" s="612"/>
      <c r="AF9" s="467">
        <v>0</v>
      </c>
      <c r="AG9" s="613"/>
      <c r="AH9" s="595"/>
      <c r="AI9" s="212" t="s">
        <v>530</v>
      </c>
      <c r="AJ9" s="614" t="s">
        <v>525</v>
      </c>
      <c r="AK9" s="59"/>
      <c r="AL9" s="615"/>
      <c r="AM9" s="97"/>
      <c r="AN9" s="144"/>
      <c r="AO9" s="96">
        <v>0</v>
      </c>
      <c r="AP9" s="97"/>
      <c r="AQ9" s="572"/>
      <c r="AS9" s="573"/>
      <c r="AT9" s="573"/>
      <c r="AU9" s="573"/>
      <c r="BI9" s="531"/>
      <c r="BW9" s="529"/>
      <c r="BX9" s="529"/>
      <c r="BY9" s="529"/>
      <c r="BZ9" s="529"/>
      <c r="CA9" s="529"/>
    </row>
    <row r="10" spans="2:79" ht="18.75" customHeight="1" x14ac:dyDescent="0.4">
      <c r="B10" s="616">
        <v>135</v>
      </c>
      <c r="C10" s="617">
        <v>149</v>
      </c>
      <c r="D10" s="504">
        <f t="shared" ref="D10:D41" si="0">ABS(B10-C10)</f>
        <v>14</v>
      </c>
      <c r="E10" s="465">
        <v>1</v>
      </c>
      <c r="F10" s="573" t="s">
        <v>104</v>
      </c>
      <c r="G10" s="467">
        <v>1</v>
      </c>
      <c r="H10" s="618">
        <v>12.3</v>
      </c>
      <c r="I10" s="619">
        <v>15.1</v>
      </c>
      <c r="J10" s="620">
        <f t="shared" ref="J10:J41" si="1">ABS(I10-H10)</f>
        <v>2.7999999999999989</v>
      </c>
      <c r="K10" s="465" t="s">
        <v>531</v>
      </c>
      <c r="L10" s="613"/>
      <c r="M10" s="621"/>
      <c r="N10" s="554"/>
      <c r="O10" s="554"/>
      <c r="P10" s="622"/>
      <c r="R10" s="606">
        <v>1</v>
      </c>
      <c r="S10" s="607" t="s">
        <v>532</v>
      </c>
      <c r="T10" s="608" t="s">
        <v>533</v>
      </c>
      <c r="U10" s="467">
        <v>113</v>
      </c>
      <c r="V10" s="572" t="s">
        <v>60</v>
      </c>
      <c r="W10" s="609">
        <v>15.22</v>
      </c>
      <c r="X10" s="610">
        <v>3</v>
      </c>
      <c r="Y10" s="467">
        <v>12</v>
      </c>
      <c r="Z10" s="611">
        <v>3</v>
      </c>
      <c r="AA10" s="59" t="s">
        <v>525</v>
      </c>
      <c r="AB10" s="59"/>
      <c r="AC10" s="572"/>
      <c r="AD10" s="144"/>
      <c r="AE10" s="612"/>
      <c r="AF10" s="467">
        <v>0</v>
      </c>
      <c r="AG10" s="613"/>
      <c r="AH10" s="595"/>
      <c r="AI10" s="596" t="s">
        <v>534</v>
      </c>
      <c r="AJ10" s="59"/>
      <c r="AK10" s="59"/>
      <c r="AL10" s="623" t="s">
        <v>525</v>
      </c>
      <c r="AM10" s="97"/>
      <c r="AN10" s="144"/>
      <c r="AO10" s="96">
        <v>0</v>
      </c>
      <c r="AP10" s="97"/>
      <c r="AQ10" s="624"/>
      <c r="AR10" s="495" t="s">
        <v>31</v>
      </c>
      <c r="AS10" s="625" t="s">
        <v>32</v>
      </c>
      <c r="AT10" s="573"/>
      <c r="AU10" s="573"/>
      <c r="BI10" s="531"/>
      <c r="BW10" s="529"/>
      <c r="BX10" s="529"/>
      <c r="BY10" s="529"/>
      <c r="BZ10" s="529"/>
      <c r="CA10" s="529"/>
    </row>
    <row r="11" spans="2:79" ht="18.75" customHeight="1" x14ac:dyDescent="0.4">
      <c r="B11" s="626">
        <v>135</v>
      </c>
      <c r="C11" s="513">
        <v>135</v>
      </c>
      <c r="D11" s="504">
        <f t="shared" si="0"/>
        <v>0</v>
      </c>
      <c r="E11" s="465">
        <v>2</v>
      </c>
      <c r="F11" s="573" t="s">
        <v>105</v>
      </c>
      <c r="G11" s="467">
        <v>1</v>
      </c>
      <c r="H11" s="618">
        <v>12.3</v>
      </c>
      <c r="I11" s="619">
        <v>16.5</v>
      </c>
      <c r="J11" s="620">
        <f t="shared" si="1"/>
        <v>4.1999999999999993</v>
      </c>
      <c r="K11" s="465" t="s">
        <v>531</v>
      </c>
      <c r="L11" s="613"/>
      <c r="M11" s="465"/>
      <c r="N11" s="467"/>
      <c r="O11" s="467"/>
      <c r="P11" s="627"/>
      <c r="R11" s="606">
        <v>1</v>
      </c>
      <c r="S11" s="607" t="s">
        <v>535</v>
      </c>
      <c r="T11" s="608" t="s">
        <v>536</v>
      </c>
      <c r="U11" s="467">
        <v>104</v>
      </c>
      <c r="V11" s="572" t="s">
        <v>60</v>
      </c>
      <c r="W11" s="609">
        <v>15.3</v>
      </c>
      <c r="X11" s="610">
        <v>4</v>
      </c>
      <c r="Y11" s="467">
        <v>33</v>
      </c>
      <c r="Z11" s="611" t="s">
        <v>537</v>
      </c>
      <c r="AA11" s="59"/>
      <c r="AB11" s="59"/>
      <c r="AC11" s="572"/>
      <c r="AD11" s="144"/>
      <c r="AE11" s="612"/>
      <c r="AF11" s="467">
        <v>1</v>
      </c>
      <c r="AG11" s="613"/>
      <c r="AH11" s="595"/>
      <c r="AI11" s="212" t="s">
        <v>538</v>
      </c>
      <c r="AJ11" s="614" t="s">
        <v>525</v>
      </c>
      <c r="AK11" s="59"/>
      <c r="AL11" s="615"/>
      <c r="AM11" s="97"/>
      <c r="AN11" s="144"/>
      <c r="AO11" s="96">
        <v>0</v>
      </c>
      <c r="AP11" s="97"/>
      <c r="AQ11" s="572"/>
      <c r="AR11" s="467">
        <v>11</v>
      </c>
      <c r="AS11" s="573" t="s">
        <v>193</v>
      </c>
      <c r="AT11" s="573"/>
      <c r="AU11" s="573"/>
      <c r="BI11" s="531"/>
      <c r="BW11" s="529"/>
      <c r="BX11" s="529"/>
      <c r="BY11" s="529"/>
      <c r="BZ11" s="529"/>
      <c r="CA11" s="529"/>
    </row>
    <row r="12" spans="2:79" ht="18.75" customHeight="1" x14ac:dyDescent="0.4">
      <c r="B12" s="616">
        <v>113</v>
      </c>
      <c r="C12" s="617">
        <v>104</v>
      </c>
      <c r="D12" s="504">
        <f t="shared" si="0"/>
        <v>9</v>
      </c>
      <c r="E12" s="465">
        <v>3</v>
      </c>
      <c r="F12" s="573" t="s">
        <v>106</v>
      </c>
      <c r="G12" s="467">
        <v>1</v>
      </c>
      <c r="H12" s="618">
        <v>15.2</v>
      </c>
      <c r="I12" s="619">
        <v>15.3</v>
      </c>
      <c r="J12" s="620">
        <f t="shared" si="1"/>
        <v>0.10000000000000142</v>
      </c>
      <c r="K12" s="465" t="s">
        <v>531</v>
      </c>
      <c r="L12" s="613"/>
      <c r="M12" s="465"/>
      <c r="N12" s="467"/>
      <c r="O12" s="467"/>
      <c r="P12" s="627"/>
      <c r="R12" s="606">
        <v>1</v>
      </c>
      <c r="S12" s="607" t="s">
        <v>539</v>
      </c>
      <c r="T12" s="608" t="s">
        <v>540</v>
      </c>
      <c r="U12" s="467">
        <v>163</v>
      </c>
      <c r="V12" s="572" t="s">
        <v>60</v>
      </c>
      <c r="W12" s="609">
        <v>15.308195744680869</v>
      </c>
      <c r="X12" s="610">
        <v>5</v>
      </c>
      <c r="Y12" s="467">
        <v>23</v>
      </c>
      <c r="Z12" s="611">
        <v>4</v>
      </c>
      <c r="AA12" s="59" t="s">
        <v>523</v>
      </c>
      <c r="AB12" s="59"/>
      <c r="AC12" s="572"/>
      <c r="AD12" s="144"/>
      <c r="AE12" s="612"/>
      <c r="AF12" s="467">
        <v>0</v>
      </c>
      <c r="AG12" s="613"/>
      <c r="AH12" s="595"/>
      <c r="AI12" s="628" t="s">
        <v>541</v>
      </c>
      <c r="AJ12" s="59"/>
      <c r="AK12" s="59"/>
      <c r="AL12" s="615" t="s">
        <v>523</v>
      </c>
      <c r="AM12" s="97"/>
      <c r="AN12" s="144"/>
      <c r="AO12" s="96">
        <v>3</v>
      </c>
      <c r="AP12" s="548" t="s">
        <v>542</v>
      </c>
      <c r="AQ12" s="572"/>
      <c r="AR12" s="467">
        <v>12</v>
      </c>
      <c r="AS12" s="573" t="s">
        <v>196</v>
      </c>
      <c r="AT12" s="573"/>
      <c r="AU12" s="573"/>
      <c r="BI12" s="531"/>
      <c r="BW12" s="529"/>
      <c r="BX12" s="529"/>
      <c r="BY12" s="529"/>
      <c r="BZ12" s="529"/>
      <c r="CA12" s="529"/>
    </row>
    <row r="13" spans="2:79" ht="18.75" customHeight="1" x14ac:dyDescent="0.4">
      <c r="B13" s="616">
        <v>149</v>
      </c>
      <c r="C13" s="617">
        <v>135</v>
      </c>
      <c r="D13" s="504">
        <f t="shared" si="0"/>
        <v>14</v>
      </c>
      <c r="E13" s="465">
        <v>4</v>
      </c>
      <c r="F13" s="573" t="s">
        <v>107</v>
      </c>
      <c r="G13" s="467">
        <v>1</v>
      </c>
      <c r="H13" s="618">
        <v>15.3</v>
      </c>
      <c r="I13" s="619">
        <v>16.5</v>
      </c>
      <c r="J13" s="620">
        <f t="shared" si="1"/>
        <v>1.1999999999999993</v>
      </c>
      <c r="K13" s="465" t="s">
        <v>531</v>
      </c>
      <c r="L13" s="613"/>
      <c r="M13" s="465"/>
      <c r="N13" s="467"/>
      <c r="O13" s="467"/>
      <c r="P13" s="627"/>
      <c r="R13" s="606">
        <v>1</v>
      </c>
      <c r="S13" s="607" t="s">
        <v>543</v>
      </c>
      <c r="T13" s="607" t="s">
        <v>544</v>
      </c>
      <c r="U13" s="467">
        <v>92</v>
      </c>
      <c r="V13" s="572" t="s">
        <v>60</v>
      </c>
      <c r="W13" s="609">
        <v>16.444659574468108</v>
      </c>
      <c r="X13" s="610">
        <v>6</v>
      </c>
      <c r="Y13" s="467">
        <v>31</v>
      </c>
      <c r="Z13" s="611">
        <v>5</v>
      </c>
      <c r="AA13" s="59"/>
      <c r="AB13" s="629"/>
      <c r="AC13" s="572"/>
      <c r="AD13" s="144"/>
      <c r="AE13" s="612"/>
      <c r="AF13" s="467">
        <v>1</v>
      </c>
      <c r="AG13" s="613"/>
      <c r="AH13" s="595"/>
      <c r="AI13" s="628" t="s">
        <v>545</v>
      </c>
      <c r="AJ13" s="59"/>
      <c r="AK13" s="59"/>
      <c r="AL13" s="144"/>
      <c r="AM13" s="97"/>
      <c r="AN13" s="144"/>
      <c r="AO13" s="96">
        <v>3</v>
      </c>
      <c r="AP13" s="548" t="s">
        <v>542</v>
      </c>
      <c r="AQ13" s="572"/>
      <c r="AR13" s="467">
        <v>13</v>
      </c>
      <c r="AS13" s="573" t="s">
        <v>199</v>
      </c>
      <c r="AT13" s="573"/>
      <c r="AU13" s="573"/>
    </row>
    <row r="14" spans="2:79" ht="18.75" customHeight="1" x14ac:dyDescent="0.4">
      <c r="B14" s="626">
        <v>92</v>
      </c>
      <c r="C14" s="513">
        <v>92</v>
      </c>
      <c r="D14" s="504">
        <f t="shared" si="0"/>
        <v>0</v>
      </c>
      <c r="E14" s="465">
        <v>5</v>
      </c>
      <c r="F14" s="573" t="s">
        <v>108</v>
      </c>
      <c r="G14" s="467">
        <v>1</v>
      </c>
      <c r="H14" s="630">
        <v>16.444659574468108</v>
      </c>
      <c r="I14" s="631">
        <v>19</v>
      </c>
      <c r="J14" s="620">
        <f t="shared" si="1"/>
        <v>2.5553404255318917</v>
      </c>
      <c r="K14" s="465" t="s">
        <v>531</v>
      </c>
      <c r="L14" s="613"/>
      <c r="M14" s="465"/>
      <c r="N14" s="467"/>
      <c r="O14" s="467"/>
      <c r="P14" s="627"/>
      <c r="R14" s="606">
        <v>1</v>
      </c>
      <c r="S14" s="608" t="s">
        <v>546</v>
      </c>
      <c r="T14" s="608" t="s">
        <v>547</v>
      </c>
      <c r="U14" s="467">
        <v>113</v>
      </c>
      <c r="V14" s="572" t="s">
        <v>60</v>
      </c>
      <c r="W14" s="609">
        <v>16.47</v>
      </c>
      <c r="X14" s="610">
        <v>7</v>
      </c>
      <c r="Y14" s="467">
        <v>12</v>
      </c>
      <c r="Z14" s="611">
        <v>6</v>
      </c>
      <c r="AA14" s="59" t="s">
        <v>525</v>
      </c>
      <c r="AB14" s="59"/>
      <c r="AC14" s="572"/>
      <c r="AD14" s="144"/>
      <c r="AE14" s="612"/>
      <c r="AF14" s="467">
        <v>0</v>
      </c>
      <c r="AG14" s="613"/>
      <c r="AH14" s="595"/>
      <c r="AI14" s="632" t="s">
        <v>548</v>
      </c>
      <c r="AJ14" s="59"/>
      <c r="AK14" s="59"/>
      <c r="AL14" s="144"/>
      <c r="AM14" s="633" t="s">
        <v>525</v>
      </c>
      <c r="AN14" s="144"/>
      <c r="AO14" s="96">
        <v>3</v>
      </c>
      <c r="AP14" s="97"/>
      <c r="AQ14" s="572"/>
      <c r="AR14" s="467"/>
      <c r="AS14" s="625" t="s">
        <v>202</v>
      </c>
      <c r="AT14" s="573"/>
      <c r="AU14" s="573"/>
    </row>
    <row r="15" spans="2:79" ht="18.75" customHeight="1" x14ac:dyDescent="0.4">
      <c r="B15" s="616">
        <v>135</v>
      </c>
      <c r="C15" s="617">
        <v>113</v>
      </c>
      <c r="D15" s="504">
        <f t="shared" si="0"/>
        <v>22</v>
      </c>
      <c r="E15" s="465">
        <v>6</v>
      </c>
      <c r="F15" s="573" t="s">
        <v>109</v>
      </c>
      <c r="G15" s="467">
        <v>1</v>
      </c>
      <c r="H15" s="630">
        <v>16.5</v>
      </c>
      <c r="I15" s="631">
        <v>16.5</v>
      </c>
      <c r="J15" s="620">
        <f t="shared" si="1"/>
        <v>0</v>
      </c>
      <c r="K15" s="465" t="s">
        <v>531</v>
      </c>
      <c r="L15" s="613" t="s">
        <v>531</v>
      </c>
      <c r="M15" s="465"/>
      <c r="N15" s="467"/>
      <c r="O15" s="467"/>
      <c r="P15" s="627"/>
      <c r="R15" s="606">
        <v>1</v>
      </c>
      <c r="S15" s="608" t="s">
        <v>549</v>
      </c>
      <c r="T15" s="608" t="s">
        <v>550</v>
      </c>
      <c r="U15" s="467">
        <v>135</v>
      </c>
      <c r="V15" s="572" t="s">
        <v>60</v>
      </c>
      <c r="W15" s="609">
        <v>16.543944680851084</v>
      </c>
      <c r="X15" s="610">
        <v>8</v>
      </c>
      <c r="Y15" s="467">
        <v>23</v>
      </c>
      <c r="Z15" s="611" t="s">
        <v>551</v>
      </c>
      <c r="AA15" s="59" t="s">
        <v>523</v>
      </c>
      <c r="AB15" s="59"/>
      <c r="AC15" s="572"/>
      <c r="AD15" s="144"/>
      <c r="AE15" s="612"/>
      <c r="AF15" s="467">
        <v>0</v>
      </c>
      <c r="AG15" s="613"/>
      <c r="AH15" s="595"/>
      <c r="AI15" s="632" t="s">
        <v>552</v>
      </c>
      <c r="AJ15" s="59"/>
      <c r="AK15" s="59"/>
      <c r="AL15" s="144"/>
      <c r="AM15" s="634" t="s">
        <v>523</v>
      </c>
      <c r="AN15" s="144"/>
      <c r="AO15" s="96">
        <v>3</v>
      </c>
      <c r="AP15" s="97"/>
      <c r="AQ15" s="572"/>
      <c r="AR15" s="467">
        <v>21</v>
      </c>
      <c r="AS15" s="573" t="s">
        <v>204</v>
      </c>
      <c r="AT15" s="573"/>
      <c r="AU15" s="573"/>
      <c r="CA15" s="529"/>
    </row>
    <row r="16" spans="2:79" ht="18.75" customHeight="1" x14ac:dyDescent="0.4">
      <c r="B16" s="626">
        <v>179</v>
      </c>
      <c r="C16" s="513">
        <v>179</v>
      </c>
      <c r="D16" s="504">
        <f t="shared" si="0"/>
        <v>0</v>
      </c>
      <c r="E16" s="465">
        <v>7</v>
      </c>
      <c r="F16" s="573" t="s">
        <v>110</v>
      </c>
      <c r="G16" s="467">
        <v>1</v>
      </c>
      <c r="H16" s="618">
        <v>18.5</v>
      </c>
      <c r="I16" s="619">
        <v>18.899999999999999</v>
      </c>
      <c r="J16" s="620">
        <f t="shared" si="1"/>
        <v>0.39999999999999858</v>
      </c>
      <c r="K16" s="465" t="s">
        <v>531</v>
      </c>
      <c r="L16" s="613"/>
      <c r="M16" s="465"/>
      <c r="N16" s="467"/>
      <c r="O16" s="467"/>
      <c r="P16" s="627"/>
      <c r="R16" s="606">
        <v>1</v>
      </c>
      <c r="S16" s="608" t="s">
        <v>553</v>
      </c>
      <c r="T16" s="608" t="s">
        <v>554</v>
      </c>
      <c r="U16" s="467">
        <v>179</v>
      </c>
      <c r="V16" s="572" t="s">
        <v>60</v>
      </c>
      <c r="W16" s="609">
        <v>18.5</v>
      </c>
      <c r="X16" s="610">
        <v>9</v>
      </c>
      <c r="Y16" s="467">
        <v>24</v>
      </c>
      <c r="Z16" s="611">
        <v>7</v>
      </c>
      <c r="AA16" s="59" t="s">
        <v>523</v>
      </c>
      <c r="AB16" s="59"/>
      <c r="AC16" s="572"/>
      <c r="AD16" s="144"/>
      <c r="AE16" s="612"/>
      <c r="AF16" s="467">
        <v>0</v>
      </c>
      <c r="AG16" s="613"/>
      <c r="AH16" s="595"/>
      <c r="AI16" s="635" t="s">
        <v>555</v>
      </c>
      <c r="AJ16" s="59"/>
      <c r="AK16" s="59"/>
      <c r="AL16" s="144"/>
      <c r="AM16" s="97"/>
      <c r="AN16" s="144"/>
      <c r="AO16" s="96">
        <v>3</v>
      </c>
      <c r="AP16" s="97"/>
      <c r="AQ16" s="572"/>
      <c r="AR16" s="467">
        <v>22</v>
      </c>
      <c r="AS16" s="573" t="s">
        <v>207</v>
      </c>
      <c r="AT16" s="573"/>
      <c r="AU16" s="573"/>
      <c r="CA16" s="636"/>
    </row>
    <row r="17" spans="2:47" ht="18.75" customHeight="1" x14ac:dyDescent="0.4">
      <c r="B17" s="616">
        <v>180</v>
      </c>
      <c r="C17" s="617">
        <v>179</v>
      </c>
      <c r="D17" s="504">
        <f t="shared" si="0"/>
        <v>1</v>
      </c>
      <c r="E17" s="465">
        <v>8</v>
      </c>
      <c r="F17" s="573" t="s">
        <v>111</v>
      </c>
      <c r="G17" s="467">
        <v>1</v>
      </c>
      <c r="H17" s="618">
        <v>18.8</v>
      </c>
      <c r="I17" s="619">
        <v>18.899999999999999</v>
      </c>
      <c r="J17" s="620">
        <f t="shared" si="1"/>
        <v>9.9999999999997868E-2</v>
      </c>
      <c r="K17" s="465" t="s">
        <v>531</v>
      </c>
      <c r="L17" s="613" t="s">
        <v>531</v>
      </c>
      <c r="M17" s="465"/>
      <c r="N17" s="467"/>
      <c r="O17" s="467"/>
      <c r="P17" s="627"/>
      <c r="R17" s="606">
        <v>1</v>
      </c>
      <c r="S17" s="608" t="s">
        <v>556</v>
      </c>
      <c r="T17" s="608" t="s">
        <v>557</v>
      </c>
      <c r="U17" s="467">
        <v>180</v>
      </c>
      <c r="V17" s="572" t="s">
        <v>60</v>
      </c>
      <c r="W17" s="609">
        <v>18.8</v>
      </c>
      <c r="X17" s="610">
        <v>10</v>
      </c>
      <c r="Y17" s="467">
        <v>22</v>
      </c>
      <c r="Z17" s="611">
        <v>8</v>
      </c>
      <c r="AA17" s="59"/>
      <c r="AB17" s="59"/>
      <c r="AC17" s="572"/>
      <c r="AD17" s="144"/>
      <c r="AE17" s="612"/>
      <c r="AF17" s="467">
        <v>0</v>
      </c>
      <c r="AG17" s="613"/>
      <c r="AH17" s="595"/>
      <c r="AI17" s="637" t="s">
        <v>558</v>
      </c>
      <c r="AJ17" s="59"/>
      <c r="AK17" s="545" t="s">
        <v>523</v>
      </c>
      <c r="AL17" s="144"/>
      <c r="AM17" s="97"/>
      <c r="AN17" s="144"/>
      <c r="AO17" s="96">
        <v>3</v>
      </c>
      <c r="AP17" s="97"/>
      <c r="AQ17" s="624"/>
      <c r="AR17" s="467">
        <v>23</v>
      </c>
      <c r="AS17" s="573" t="s">
        <v>209</v>
      </c>
      <c r="AT17" s="573"/>
      <c r="AU17" s="573"/>
    </row>
    <row r="18" spans="2:47" ht="18.75" customHeight="1" x14ac:dyDescent="0.4">
      <c r="B18" s="616">
        <v>154</v>
      </c>
      <c r="C18" s="617">
        <v>156</v>
      </c>
      <c r="D18" s="504">
        <f t="shared" si="0"/>
        <v>2</v>
      </c>
      <c r="E18" s="465">
        <v>9</v>
      </c>
      <c r="F18" s="573" t="s">
        <v>112</v>
      </c>
      <c r="G18" s="467">
        <v>1</v>
      </c>
      <c r="H18" s="630">
        <v>19.399999999999999</v>
      </c>
      <c r="I18" s="631">
        <v>19.7</v>
      </c>
      <c r="J18" s="620">
        <f t="shared" si="1"/>
        <v>0.30000000000000071</v>
      </c>
      <c r="K18" s="465" t="s">
        <v>531</v>
      </c>
      <c r="L18" s="613" t="s">
        <v>531</v>
      </c>
      <c r="M18" s="465"/>
      <c r="N18" s="467"/>
      <c r="O18" s="467"/>
      <c r="P18" s="582"/>
      <c r="R18" s="606">
        <v>1</v>
      </c>
      <c r="S18" s="608" t="s">
        <v>559</v>
      </c>
      <c r="T18" s="608" t="s">
        <v>560</v>
      </c>
      <c r="U18" s="467">
        <v>179</v>
      </c>
      <c r="V18" s="572" t="s">
        <v>60</v>
      </c>
      <c r="W18" s="609">
        <v>18.88</v>
      </c>
      <c r="X18" s="610">
        <v>11</v>
      </c>
      <c r="Y18" s="467">
        <v>24</v>
      </c>
      <c r="Z18" s="611" t="s">
        <v>561</v>
      </c>
      <c r="AA18" s="59" t="s">
        <v>523</v>
      </c>
      <c r="AB18" s="59"/>
      <c r="AC18" s="572"/>
      <c r="AD18" s="144"/>
      <c r="AE18" s="612"/>
      <c r="AF18" s="467">
        <v>0</v>
      </c>
      <c r="AG18" s="613"/>
      <c r="AH18" s="595"/>
      <c r="AI18" s="635" t="s">
        <v>562</v>
      </c>
      <c r="AJ18" s="59"/>
      <c r="AK18" s="545"/>
      <c r="AL18" s="144"/>
      <c r="AM18" s="97"/>
      <c r="AN18" s="144"/>
      <c r="AO18" s="96">
        <v>3</v>
      </c>
      <c r="AP18" s="97"/>
      <c r="AQ18" s="624"/>
      <c r="AR18" s="467">
        <v>24</v>
      </c>
      <c r="AS18" s="573" t="s">
        <v>563</v>
      </c>
      <c r="AT18" s="573"/>
      <c r="AU18" s="573"/>
    </row>
    <row r="19" spans="2:47" ht="18.75" customHeight="1" x14ac:dyDescent="0.4">
      <c r="B19" s="626">
        <v>156</v>
      </c>
      <c r="C19" s="513">
        <v>156</v>
      </c>
      <c r="D19" s="504">
        <f t="shared" si="0"/>
        <v>0</v>
      </c>
      <c r="E19" s="465">
        <v>10</v>
      </c>
      <c r="F19" s="573" t="s">
        <v>113</v>
      </c>
      <c r="G19" s="467">
        <v>1</v>
      </c>
      <c r="H19" s="630">
        <v>19.7</v>
      </c>
      <c r="I19" s="631">
        <v>20.3</v>
      </c>
      <c r="J19" s="620">
        <f t="shared" si="1"/>
        <v>0.60000000000000142</v>
      </c>
      <c r="K19" s="465" t="s">
        <v>531</v>
      </c>
      <c r="L19" s="613" t="s">
        <v>531</v>
      </c>
      <c r="M19" s="465"/>
      <c r="N19" s="467"/>
      <c r="O19" s="467"/>
      <c r="P19" s="582"/>
      <c r="R19" s="606">
        <v>1</v>
      </c>
      <c r="S19" s="608" t="s">
        <v>564</v>
      </c>
      <c r="T19" s="607" t="s">
        <v>565</v>
      </c>
      <c r="U19" s="467">
        <v>92</v>
      </c>
      <c r="V19" s="572" t="s">
        <v>60</v>
      </c>
      <c r="W19" s="609">
        <v>18.967910638297827</v>
      </c>
      <c r="X19" s="610">
        <v>12</v>
      </c>
      <c r="Y19" s="467">
        <v>31</v>
      </c>
      <c r="Z19" s="611" t="s">
        <v>566</v>
      </c>
      <c r="AA19" s="59"/>
      <c r="AB19" s="59"/>
      <c r="AC19" s="572"/>
      <c r="AD19" s="144"/>
      <c r="AE19" s="612"/>
      <c r="AF19" s="467">
        <v>1</v>
      </c>
      <c r="AG19" s="613"/>
      <c r="AH19" s="595"/>
      <c r="AI19" s="637" t="s">
        <v>567</v>
      </c>
      <c r="AJ19" s="59"/>
      <c r="AK19" s="545" t="s">
        <v>523</v>
      </c>
      <c r="AL19" s="144"/>
      <c r="AM19" s="97"/>
      <c r="AN19" s="144"/>
      <c r="AO19" s="96">
        <v>3</v>
      </c>
      <c r="AP19" s="97"/>
      <c r="AQ19" s="572"/>
      <c r="AR19" s="467">
        <v>25</v>
      </c>
      <c r="AS19" s="573" t="s">
        <v>213</v>
      </c>
      <c r="AT19" s="573"/>
      <c r="AU19" s="573"/>
    </row>
    <row r="20" spans="2:47" ht="18.75" customHeight="1" x14ac:dyDescent="0.4">
      <c r="B20" s="626">
        <v>123</v>
      </c>
      <c r="C20" s="513">
        <v>123</v>
      </c>
      <c r="D20" s="504">
        <f t="shared" si="0"/>
        <v>0</v>
      </c>
      <c r="E20" s="465">
        <v>11</v>
      </c>
      <c r="F20" s="573" t="s">
        <v>114</v>
      </c>
      <c r="G20" s="467">
        <v>1</v>
      </c>
      <c r="H20" s="618">
        <v>21.3</v>
      </c>
      <c r="I20" s="619">
        <v>21.5</v>
      </c>
      <c r="J20" s="620">
        <f t="shared" si="1"/>
        <v>0.19999999999999929</v>
      </c>
      <c r="K20" s="465" t="s">
        <v>531</v>
      </c>
      <c r="L20" s="613" t="s">
        <v>531</v>
      </c>
      <c r="M20" s="465"/>
      <c r="N20" s="467"/>
      <c r="O20" s="467"/>
      <c r="P20" s="627"/>
      <c r="R20" s="606">
        <v>1</v>
      </c>
      <c r="S20" s="608" t="s">
        <v>262</v>
      </c>
      <c r="T20" s="608" t="s">
        <v>568</v>
      </c>
      <c r="U20" s="467">
        <v>154</v>
      </c>
      <c r="V20" s="572" t="s">
        <v>60</v>
      </c>
      <c r="W20" s="466">
        <v>19.399999999999999</v>
      </c>
      <c r="X20" s="610">
        <v>13</v>
      </c>
      <c r="Y20" s="467">
        <v>34</v>
      </c>
      <c r="Z20" s="611">
        <v>9</v>
      </c>
      <c r="AA20" s="59"/>
      <c r="AB20" s="59"/>
      <c r="AC20" s="572"/>
      <c r="AD20" s="144"/>
      <c r="AE20" s="612"/>
      <c r="AF20" s="467">
        <v>2</v>
      </c>
      <c r="AG20" s="613"/>
      <c r="AH20" s="595"/>
      <c r="AI20" s="637" t="s">
        <v>569</v>
      </c>
      <c r="AJ20" s="59"/>
      <c r="AK20" s="638" t="s">
        <v>525</v>
      </c>
      <c r="AL20" s="144"/>
      <c r="AM20" s="97"/>
      <c r="AN20" s="144"/>
      <c r="AO20" s="96">
        <v>4</v>
      </c>
      <c r="AP20" s="97"/>
      <c r="AQ20" s="572"/>
      <c r="AR20" s="467">
        <v>26</v>
      </c>
      <c r="AS20" s="573" t="s">
        <v>570</v>
      </c>
      <c r="AT20" s="573"/>
      <c r="AU20" s="573"/>
    </row>
    <row r="21" spans="2:47" ht="18.75" customHeight="1" x14ac:dyDescent="0.4">
      <c r="B21" s="626">
        <v>169</v>
      </c>
      <c r="C21" s="513">
        <v>169</v>
      </c>
      <c r="D21" s="504">
        <f t="shared" si="0"/>
        <v>0</v>
      </c>
      <c r="E21" s="465">
        <v>12</v>
      </c>
      <c r="F21" s="573" t="s">
        <v>116</v>
      </c>
      <c r="G21" s="467">
        <v>1</v>
      </c>
      <c r="H21" s="630">
        <v>21.3</v>
      </c>
      <c r="I21" s="631">
        <v>22.1</v>
      </c>
      <c r="J21" s="620">
        <f t="shared" si="1"/>
        <v>0.80000000000000071</v>
      </c>
      <c r="K21" s="465" t="s">
        <v>531</v>
      </c>
      <c r="L21" s="613"/>
      <c r="M21" s="465"/>
      <c r="N21" s="467"/>
      <c r="O21" s="467"/>
      <c r="P21" s="639"/>
      <c r="R21" s="606">
        <v>1</v>
      </c>
      <c r="S21" s="608" t="s">
        <v>571</v>
      </c>
      <c r="T21" s="608" t="s">
        <v>572</v>
      </c>
      <c r="U21" s="467">
        <v>156</v>
      </c>
      <c r="V21" s="572" t="s">
        <v>60</v>
      </c>
      <c r="W21" s="466">
        <v>19.7</v>
      </c>
      <c r="X21" s="610">
        <v>14</v>
      </c>
      <c r="Y21" s="467">
        <v>35</v>
      </c>
      <c r="Z21" s="611" t="s">
        <v>573</v>
      </c>
      <c r="AA21" s="59"/>
      <c r="AB21" s="59"/>
      <c r="AC21" s="572"/>
      <c r="AD21" s="640" t="s">
        <v>523</v>
      </c>
      <c r="AE21" s="612"/>
      <c r="AF21" s="467">
        <v>2</v>
      </c>
      <c r="AG21" s="613"/>
      <c r="AH21" s="595"/>
      <c r="AI21" s="637" t="s">
        <v>574</v>
      </c>
      <c r="AJ21" s="59"/>
      <c r="AK21" s="638" t="s">
        <v>525</v>
      </c>
      <c r="AL21" s="144"/>
      <c r="AM21" s="97"/>
      <c r="AN21" s="144"/>
      <c r="AO21" s="96">
        <v>4</v>
      </c>
      <c r="AP21" s="97"/>
      <c r="AQ21" s="572"/>
      <c r="AR21" s="467">
        <v>27</v>
      </c>
      <c r="AS21" s="573" t="s">
        <v>217</v>
      </c>
      <c r="AT21" s="573"/>
      <c r="AU21" s="573"/>
    </row>
    <row r="22" spans="2:47" ht="18.75" customHeight="1" x14ac:dyDescent="0.4">
      <c r="B22" s="626">
        <v>123</v>
      </c>
      <c r="C22" s="513">
        <v>123</v>
      </c>
      <c r="D22" s="504">
        <f t="shared" si="0"/>
        <v>0</v>
      </c>
      <c r="E22" s="465">
        <v>13</v>
      </c>
      <c r="F22" s="573" t="s">
        <v>117</v>
      </c>
      <c r="G22" s="467">
        <v>1</v>
      </c>
      <c r="H22" s="618">
        <v>21.5</v>
      </c>
      <c r="I22" s="619">
        <v>21.8</v>
      </c>
      <c r="J22" s="620">
        <f t="shared" si="1"/>
        <v>0.30000000000000071</v>
      </c>
      <c r="K22" s="465" t="s">
        <v>531</v>
      </c>
      <c r="L22" s="613" t="s">
        <v>531</v>
      </c>
      <c r="M22" s="465"/>
      <c r="N22" s="467"/>
      <c r="O22" s="467"/>
      <c r="P22" s="627"/>
      <c r="R22" s="606">
        <v>1</v>
      </c>
      <c r="S22" s="608" t="s">
        <v>575</v>
      </c>
      <c r="T22" s="608" t="s">
        <v>576</v>
      </c>
      <c r="U22" s="467">
        <v>156</v>
      </c>
      <c r="V22" s="572" t="s">
        <v>60</v>
      </c>
      <c r="W22" s="467">
        <v>20</v>
      </c>
      <c r="X22" s="610">
        <v>15</v>
      </c>
      <c r="Y22" s="467">
        <v>35</v>
      </c>
      <c r="Z22" s="611">
        <v>10</v>
      </c>
      <c r="AA22" s="59"/>
      <c r="AB22" s="59"/>
      <c r="AC22" s="572"/>
      <c r="AD22" s="640" t="s">
        <v>523</v>
      </c>
      <c r="AE22" s="612"/>
      <c r="AF22" s="467">
        <v>2</v>
      </c>
      <c r="AG22" s="613"/>
      <c r="AH22" s="595"/>
      <c r="AI22" s="637" t="s">
        <v>577</v>
      </c>
      <c r="AJ22" s="59"/>
      <c r="AK22" s="638" t="s">
        <v>525</v>
      </c>
      <c r="AL22" s="144"/>
      <c r="AM22" s="97"/>
      <c r="AN22" s="144"/>
      <c r="AO22" s="96">
        <v>4</v>
      </c>
      <c r="AP22" s="97"/>
      <c r="AQ22" s="572"/>
      <c r="AR22" s="467">
        <v>28</v>
      </c>
      <c r="AS22" s="573" t="s">
        <v>219</v>
      </c>
      <c r="AT22" s="573"/>
      <c r="AU22" s="573"/>
    </row>
    <row r="23" spans="2:47" ht="18.75" customHeight="1" x14ac:dyDescent="0.4">
      <c r="B23" s="626">
        <v>193</v>
      </c>
      <c r="C23" s="513">
        <v>193</v>
      </c>
      <c r="D23" s="504">
        <f t="shared" si="0"/>
        <v>0</v>
      </c>
      <c r="E23" s="465">
        <v>14</v>
      </c>
      <c r="F23" s="573" t="s">
        <v>118</v>
      </c>
      <c r="G23" s="467">
        <v>1</v>
      </c>
      <c r="H23" s="618">
        <v>23.2</v>
      </c>
      <c r="I23" s="619">
        <v>23.3</v>
      </c>
      <c r="J23" s="620">
        <f t="shared" si="1"/>
        <v>0.10000000000000142</v>
      </c>
      <c r="K23" s="465" t="s">
        <v>531</v>
      </c>
      <c r="L23" s="613" t="s">
        <v>531</v>
      </c>
      <c r="M23" s="465"/>
      <c r="N23" s="467"/>
      <c r="O23" s="467"/>
      <c r="P23" s="639"/>
      <c r="R23" s="606">
        <v>1</v>
      </c>
      <c r="S23" s="608" t="s">
        <v>578</v>
      </c>
      <c r="T23" s="608" t="s">
        <v>579</v>
      </c>
      <c r="U23" s="467">
        <v>169</v>
      </c>
      <c r="V23" s="572" t="s">
        <v>60</v>
      </c>
      <c r="W23" s="609">
        <v>21.26</v>
      </c>
      <c r="X23" s="610">
        <v>16</v>
      </c>
      <c r="Y23" s="467">
        <v>13</v>
      </c>
      <c r="Z23" s="611">
        <v>12</v>
      </c>
      <c r="AA23" s="59"/>
      <c r="AB23" s="59"/>
      <c r="AC23" s="572"/>
      <c r="AD23" s="144"/>
      <c r="AE23" s="612"/>
      <c r="AF23" s="467">
        <v>0</v>
      </c>
      <c r="AG23" s="613"/>
      <c r="AH23" s="595"/>
      <c r="AI23" s="637" t="s">
        <v>580</v>
      </c>
      <c r="AJ23" s="59"/>
      <c r="AK23" s="545" t="s">
        <v>523</v>
      </c>
      <c r="AL23" s="144"/>
      <c r="AM23" s="97"/>
      <c r="AN23" s="144"/>
      <c r="AO23" s="96">
        <v>3</v>
      </c>
      <c r="AP23" s="97"/>
      <c r="AQ23" s="572"/>
      <c r="AR23" s="467"/>
      <c r="AS23" s="625" t="s">
        <v>69</v>
      </c>
      <c r="AT23" s="573"/>
      <c r="AU23" s="573"/>
    </row>
    <row r="24" spans="2:47" ht="18.75" customHeight="1" x14ac:dyDescent="0.4">
      <c r="B24" s="626">
        <v>106</v>
      </c>
      <c r="C24" s="513">
        <v>106</v>
      </c>
      <c r="D24" s="504">
        <f t="shared" si="0"/>
        <v>0</v>
      </c>
      <c r="E24" s="465">
        <v>15</v>
      </c>
      <c r="F24" s="573" t="s">
        <v>119</v>
      </c>
      <c r="G24" s="467">
        <v>1</v>
      </c>
      <c r="H24" s="630">
        <v>23.326574468085202</v>
      </c>
      <c r="I24" s="631">
        <v>23.7</v>
      </c>
      <c r="J24" s="620">
        <f t="shared" si="1"/>
        <v>0.37342553191479766</v>
      </c>
      <c r="K24" s="465" t="s">
        <v>531</v>
      </c>
      <c r="L24" s="613" t="s">
        <v>531</v>
      </c>
      <c r="M24" s="465"/>
      <c r="N24" s="467"/>
      <c r="O24" s="467"/>
      <c r="P24" s="639"/>
      <c r="R24" s="606">
        <v>1</v>
      </c>
      <c r="S24" s="608" t="s">
        <v>581</v>
      </c>
      <c r="T24" s="608" t="s">
        <v>582</v>
      </c>
      <c r="U24" s="467">
        <v>123</v>
      </c>
      <c r="V24" s="572" t="s">
        <v>60</v>
      </c>
      <c r="W24" s="609">
        <v>21.27</v>
      </c>
      <c r="X24" s="610">
        <v>17</v>
      </c>
      <c r="Y24" s="467">
        <v>24</v>
      </c>
      <c r="Z24" s="611">
        <v>11</v>
      </c>
      <c r="AA24" s="59" t="s">
        <v>523</v>
      </c>
      <c r="AB24" s="59"/>
      <c r="AC24" s="572"/>
      <c r="AD24" s="144"/>
      <c r="AE24" s="612"/>
      <c r="AF24" s="467">
        <v>0</v>
      </c>
      <c r="AG24" s="613"/>
      <c r="AH24" s="595"/>
      <c r="AI24" s="628" t="s">
        <v>583</v>
      </c>
      <c r="AJ24" s="59"/>
      <c r="AK24" s="638"/>
      <c r="AL24" s="144"/>
      <c r="AM24" s="97"/>
      <c r="AN24" s="144"/>
      <c r="AO24" s="96">
        <v>3</v>
      </c>
      <c r="AP24" s="548" t="s">
        <v>542</v>
      </c>
      <c r="AQ24" s="572"/>
      <c r="AR24" s="467">
        <v>31</v>
      </c>
      <c r="AS24" s="573" t="s">
        <v>221</v>
      </c>
      <c r="AT24" s="573"/>
      <c r="AU24" s="573"/>
    </row>
    <row r="25" spans="2:47" ht="18.75" customHeight="1" x14ac:dyDescent="0.4">
      <c r="B25" s="616">
        <v>123</v>
      </c>
      <c r="C25" s="617">
        <v>113</v>
      </c>
      <c r="D25" s="504">
        <f t="shared" si="0"/>
        <v>10</v>
      </c>
      <c r="E25" s="465">
        <v>16</v>
      </c>
      <c r="F25" s="573" t="s">
        <v>120</v>
      </c>
      <c r="G25" s="467">
        <v>1</v>
      </c>
      <c r="H25" s="618">
        <v>23.4</v>
      </c>
      <c r="I25" s="619">
        <v>25.2</v>
      </c>
      <c r="J25" s="620">
        <f t="shared" si="1"/>
        <v>1.8000000000000007</v>
      </c>
      <c r="K25" s="465" t="s">
        <v>531</v>
      </c>
      <c r="L25" s="613" t="s">
        <v>531</v>
      </c>
      <c r="M25" s="465"/>
      <c r="N25" s="467"/>
      <c r="O25" s="467"/>
      <c r="P25" s="639"/>
      <c r="R25" s="606">
        <v>1</v>
      </c>
      <c r="S25" s="608" t="s">
        <v>584</v>
      </c>
      <c r="T25" s="608" t="s">
        <v>585</v>
      </c>
      <c r="U25" s="467">
        <v>123</v>
      </c>
      <c r="V25" s="572" t="s">
        <v>60</v>
      </c>
      <c r="W25" s="609">
        <v>21.48</v>
      </c>
      <c r="X25" s="610">
        <v>18</v>
      </c>
      <c r="Y25" s="467">
        <v>24</v>
      </c>
      <c r="Z25" s="611" t="s">
        <v>586</v>
      </c>
      <c r="AA25" s="59" t="s">
        <v>523</v>
      </c>
      <c r="AB25" s="59"/>
      <c r="AC25" s="572"/>
      <c r="AD25" s="144"/>
      <c r="AE25" s="612"/>
      <c r="AF25" s="467">
        <v>0</v>
      </c>
      <c r="AG25" s="613"/>
      <c r="AH25" s="595"/>
      <c r="AI25" s="212" t="s">
        <v>587</v>
      </c>
      <c r="AJ25" s="614" t="s">
        <v>525</v>
      </c>
      <c r="AK25" s="545"/>
      <c r="AL25" s="144"/>
      <c r="AM25" s="97"/>
      <c r="AN25" s="144"/>
      <c r="AO25" s="96">
        <v>0</v>
      </c>
      <c r="AP25" s="97"/>
      <c r="AQ25" s="572"/>
      <c r="AR25" s="467">
        <v>32</v>
      </c>
      <c r="AS25" s="573" t="s">
        <v>223</v>
      </c>
      <c r="AT25" s="573"/>
      <c r="AU25" s="573"/>
    </row>
    <row r="26" spans="2:47" ht="18.75" customHeight="1" x14ac:dyDescent="0.4">
      <c r="B26" s="616">
        <v>106</v>
      </c>
      <c r="C26" s="617">
        <v>113</v>
      </c>
      <c r="D26" s="504">
        <f t="shared" si="0"/>
        <v>7</v>
      </c>
      <c r="E26" s="465">
        <v>17</v>
      </c>
      <c r="F26" s="573" t="s">
        <v>121</v>
      </c>
      <c r="G26" s="467">
        <v>1</v>
      </c>
      <c r="H26" s="630">
        <v>25.2</v>
      </c>
      <c r="I26" s="631">
        <v>25.5</v>
      </c>
      <c r="J26" s="620">
        <f t="shared" si="1"/>
        <v>0.30000000000000071</v>
      </c>
      <c r="K26" s="465" t="s">
        <v>531</v>
      </c>
      <c r="L26" s="613" t="s">
        <v>531</v>
      </c>
      <c r="M26" s="465"/>
      <c r="N26" s="467"/>
      <c r="O26" s="467"/>
      <c r="P26" s="639"/>
      <c r="R26" s="606">
        <v>1</v>
      </c>
      <c r="S26" s="608" t="s">
        <v>588</v>
      </c>
      <c r="T26" s="608" t="s">
        <v>589</v>
      </c>
      <c r="U26" s="467">
        <v>123</v>
      </c>
      <c r="V26" s="572" t="s">
        <v>60</v>
      </c>
      <c r="W26" s="609">
        <v>21.78</v>
      </c>
      <c r="X26" s="610">
        <v>19</v>
      </c>
      <c r="Y26" s="467">
        <v>24</v>
      </c>
      <c r="Z26" s="611">
        <v>13</v>
      </c>
      <c r="AA26" s="59" t="s">
        <v>523</v>
      </c>
      <c r="AB26" s="59"/>
      <c r="AC26" s="572"/>
      <c r="AD26" s="144"/>
      <c r="AE26" s="612"/>
      <c r="AF26" s="467">
        <v>0</v>
      </c>
      <c r="AG26" s="613"/>
      <c r="AH26" s="595"/>
      <c r="AI26" s="212" t="s">
        <v>590</v>
      </c>
      <c r="AJ26" s="614" t="s">
        <v>525</v>
      </c>
      <c r="AK26" s="545"/>
      <c r="AL26" s="144"/>
      <c r="AM26" s="97"/>
      <c r="AN26" s="144"/>
      <c r="AO26" s="96">
        <v>0</v>
      </c>
      <c r="AP26" s="97"/>
      <c r="AQ26" s="572"/>
      <c r="AR26" s="467">
        <v>33</v>
      </c>
      <c r="AS26" s="573" t="s">
        <v>225</v>
      </c>
      <c r="AT26" s="573"/>
      <c r="AU26" s="573"/>
    </row>
    <row r="27" spans="2:47" ht="18.75" customHeight="1" x14ac:dyDescent="0.4">
      <c r="B27" s="616">
        <v>92</v>
      </c>
      <c r="C27" s="617">
        <v>83</v>
      </c>
      <c r="D27" s="504">
        <f t="shared" si="0"/>
        <v>9</v>
      </c>
      <c r="E27" s="465">
        <v>18</v>
      </c>
      <c r="F27" s="573" t="s">
        <v>122</v>
      </c>
      <c r="G27" s="467">
        <v>1</v>
      </c>
      <c r="H27" s="618">
        <v>25.7</v>
      </c>
      <c r="I27" s="619">
        <v>27.4</v>
      </c>
      <c r="J27" s="620">
        <f t="shared" si="1"/>
        <v>1.6999999999999993</v>
      </c>
      <c r="K27" s="465" t="s">
        <v>531</v>
      </c>
      <c r="L27" s="613" t="s">
        <v>531</v>
      </c>
      <c r="M27" s="465"/>
      <c r="N27" s="467"/>
      <c r="O27" s="467"/>
      <c r="P27" s="639"/>
      <c r="R27" s="606">
        <v>1</v>
      </c>
      <c r="S27" s="608" t="s">
        <v>591</v>
      </c>
      <c r="T27" s="608" t="s">
        <v>591</v>
      </c>
      <c r="U27" s="467">
        <v>169</v>
      </c>
      <c r="V27" s="572" t="s">
        <v>60</v>
      </c>
      <c r="W27" s="609">
        <v>22.1</v>
      </c>
      <c r="X27" s="610">
        <v>20</v>
      </c>
      <c r="Y27" s="467">
        <v>11</v>
      </c>
      <c r="Z27" s="611">
        <v>12</v>
      </c>
      <c r="AA27" s="59"/>
      <c r="AB27" s="59"/>
      <c r="AC27" s="615" t="s">
        <v>523</v>
      </c>
      <c r="AD27" s="640"/>
      <c r="AE27" s="612"/>
      <c r="AF27" s="467">
        <v>0</v>
      </c>
      <c r="AG27" s="613"/>
      <c r="AH27" s="595"/>
      <c r="AI27" s="212" t="s">
        <v>592</v>
      </c>
      <c r="AJ27" s="614" t="s">
        <v>525</v>
      </c>
      <c r="AK27" s="545"/>
      <c r="AL27" s="144"/>
      <c r="AM27" s="97"/>
      <c r="AN27" s="144"/>
      <c r="AO27" s="96">
        <v>0</v>
      </c>
      <c r="AP27" s="97"/>
      <c r="AQ27" s="572"/>
      <c r="AR27" s="467">
        <v>34</v>
      </c>
      <c r="AS27" s="573" t="s">
        <v>227</v>
      </c>
      <c r="AT27" s="573"/>
      <c r="AU27" s="573"/>
    </row>
    <row r="28" spans="2:47" ht="18.75" customHeight="1" x14ac:dyDescent="0.4">
      <c r="B28" s="626">
        <v>85</v>
      </c>
      <c r="C28" s="513">
        <v>85</v>
      </c>
      <c r="D28" s="504">
        <f t="shared" si="0"/>
        <v>0</v>
      </c>
      <c r="E28" s="465">
        <v>19</v>
      </c>
      <c r="F28" s="573" t="s">
        <v>245</v>
      </c>
      <c r="G28" s="467">
        <v>1</v>
      </c>
      <c r="H28" s="630">
        <v>26.2</v>
      </c>
      <c r="I28" s="631">
        <v>26.3</v>
      </c>
      <c r="J28" s="620">
        <f t="shared" si="1"/>
        <v>0.10000000000000142</v>
      </c>
      <c r="K28" s="465" t="s">
        <v>531</v>
      </c>
      <c r="L28" s="613" t="s">
        <v>531</v>
      </c>
      <c r="M28" s="465"/>
      <c r="N28" s="467" t="s">
        <v>531</v>
      </c>
      <c r="O28" s="467" t="s">
        <v>531</v>
      </c>
      <c r="P28" s="627" t="s">
        <v>531</v>
      </c>
      <c r="R28" s="606">
        <v>1</v>
      </c>
      <c r="S28" s="608" t="s">
        <v>593</v>
      </c>
      <c r="T28" s="608" t="s">
        <v>593</v>
      </c>
      <c r="U28" s="467">
        <v>193</v>
      </c>
      <c r="V28" s="572" t="s">
        <v>60</v>
      </c>
      <c r="W28" s="609">
        <v>23.2</v>
      </c>
      <c r="X28" s="610">
        <v>21</v>
      </c>
      <c r="Y28" s="467">
        <v>24</v>
      </c>
      <c r="Z28" s="611" t="s">
        <v>594</v>
      </c>
      <c r="AA28" s="59" t="s">
        <v>523</v>
      </c>
      <c r="AB28" s="59"/>
      <c r="AC28" s="572"/>
      <c r="AD28" s="144"/>
      <c r="AE28" s="612"/>
      <c r="AF28" s="467">
        <v>0</v>
      </c>
      <c r="AG28" s="613"/>
      <c r="AH28" s="595"/>
      <c r="AI28" s="212" t="s">
        <v>595</v>
      </c>
      <c r="AJ28" s="59" t="s">
        <v>523</v>
      </c>
      <c r="AK28" s="545"/>
      <c r="AL28" s="144"/>
      <c r="AM28" s="97"/>
      <c r="AN28" s="144"/>
      <c r="AO28" s="96">
        <v>0</v>
      </c>
      <c r="AP28" s="97"/>
      <c r="AQ28" s="572"/>
      <c r="AR28" s="467">
        <v>35</v>
      </c>
      <c r="AS28" s="573" t="s">
        <v>230</v>
      </c>
      <c r="AT28" s="573"/>
      <c r="AU28" s="573"/>
    </row>
    <row r="29" spans="2:47" ht="18.75" customHeight="1" x14ac:dyDescent="0.4">
      <c r="B29" s="626">
        <v>85</v>
      </c>
      <c r="C29" s="513">
        <v>85</v>
      </c>
      <c r="D29" s="504">
        <f t="shared" si="0"/>
        <v>0</v>
      </c>
      <c r="E29" s="465">
        <v>20</v>
      </c>
      <c r="F29" s="573" t="s">
        <v>124</v>
      </c>
      <c r="G29" s="467">
        <v>1</v>
      </c>
      <c r="H29" s="630">
        <v>26.3</v>
      </c>
      <c r="I29" s="631">
        <v>28.3</v>
      </c>
      <c r="J29" s="620">
        <f t="shared" si="1"/>
        <v>2</v>
      </c>
      <c r="K29" s="465" t="s">
        <v>531</v>
      </c>
      <c r="L29" s="613" t="s">
        <v>531</v>
      </c>
      <c r="M29" s="465"/>
      <c r="N29" s="467" t="s">
        <v>531</v>
      </c>
      <c r="O29" s="467" t="s">
        <v>531</v>
      </c>
      <c r="P29" s="627" t="s">
        <v>531</v>
      </c>
      <c r="R29" s="606">
        <v>1</v>
      </c>
      <c r="S29" s="608" t="s">
        <v>596</v>
      </c>
      <c r="T29" s="608" t="s">
        <v>596</v>
      </c>
      <c r="U29" s="467">
        <v>193</v>
      </c>
      <c r="V29" s="572" t="s">
        <v>60</v>
      </c>
      <c r="W29" s="609">
        <v>23.3</v>
      </c>
      <c r="X29" s="610">
        <v>22</v>
      </c>
      <c r="Y29" s="467">
        <v>24</v>
      </c>
      <c r="Z29" s="611">
        <v>14</v>
      </c>
      <c r="AA29" s="59" t="s">
        <v>523</v>
      </c>
      <c r="AB29" s="59"/>
      <c r="AC29" s="572"/>
      <c r="AD29" s="144"/>
      <c r="AE29" s="612"/>
      <c r="AF29" s="467">
        <v>0</v>
      </c>
      <c r="AG29" s="613"/>
      <c r="AH29" s="595"/>
      <c r="AI29" s="637" t="s">
        <v>597</v>
      </c>
      <c r="AJ29" s="59" t="s">
        <v>523</v>
      </c>
      <c r="AK29" s="545" t="s">
        <v>523</v>
      </c>
      <c r="AL29" s="144"/>
      <c r="AM29" s="97"/>
      <c r="AN29" s="144"/>
      <c r="AO29" s="96">
        <v>3</v>
      </c>
      <c r="AP29" s="97"/>
      <c r="AQ29" s="624"/>
      <c r="AR29" s="467">
        <v>36</v>
      </c>
      <c r="AS29" s="573" t="s">
        <v>232</v>
      </c>
      <c r="AT29" s="573"/>
      <c r="AU29" s="573"/>
    </row>
    <row r="30" spans="2:47" ht="18.75" customHeight="1" x14ac:dyDescent="0.4">
      <c r="B30" s="626">
        <v>85</v>
      </c>
      <c r="C30" s="513">
        <v>85</v>
      </c>
      <c r="D30" s="504">
        <f t="shared" si="0"/>
        <v>0</v>
      </c>
      <c r="E30" s="465">
        <v>21</v>
      </c>
      <c r="F30" s="573" t="s">
        <v>246</v>
      </c>
      <c r="G30" s="467">
        <v>1</v>
      </c>
      <c r="H30" s="630">
        <v>28.1</v>
      </c>
      <c r="I30" s="631">
        <v>28.3</v>
      </c>
      <c r="J30" s="620">
        <f t="shared" si="1"/>
        <v>0.19999999999999929</v>
      </c>
      <c r="K30" s="465" t="s">
        <v>531</v>
      </c>
      <c r="L30" s="613" t="s">
        <v>531</v>
      </c>
      <c r="M30" s="465"/>
      <c r="N30" s="467" t="s">
        <v>531</v>
      </c>
      <c r="O30" s="467" t="s">
        <v>531</v>
      </c>
      <c r="P30" s="627" t="s">
        <v>531</v>
      </c>
      <c r="R30" s="606">
        <v>1</v>
      </c>
      <c r="S30" s="608" t="s">
        <v>598</v>
      </c>
      <c r="T30" s="608" t="s">
        <v>599</v>
      </c>
      <c r="U30" s="467">
        <v>106</v>
      </c>
      <c r="V30" s="572" t="s">
        <v>60</v>
      </c>
      <c r="W30" s="609">
        <v>23.326574468085202</v>
      </c>
      <c r="X30" s="610">
        <v>23</v>
      </c>
      <c r="Y30" s="467">
        <v>32</v>
      </c>
      <c r="Z30" s="611">
        <v>15</v>
      </c>
      <c r="AA30" s="59"/>
      <c r="AB30" s="59"/>
      <c r="AC30" s="572"/>
      <c r="AD30" s="144"/>
      <c r="AE30" s="612"/>
      <c r="AF30" s="467">
        <v>1</v>
      </c>
      <c r="AG30" s="613"/>
      <c r="AH30" s="595"/>
      <c r="AI30" s="212" t="s">
        <v>600</v>
      </c>
      <c r="AJ30" s="59" t="s">
        <v>523</v>
      </c>
      <c r="AK30" s="545"/>
      <c r="AL30" s="144"/>
      <c r="AM30" s="97"/>
      <c r="AN30" s="144"/>
      <c r="AO30" s="96">
        <v>0</v>
      </c>
      <c r="AP30" s="97"/>
      <c r="AQ30" s="572"/>
      <c r="AR30" s="467">
        <v>37</v>
      </c>
      <c r="AS30" s="573" t="s">
        <v>601</v>
      </c>
      <c r="AT30" s="573"/>
      <c r="AU30" s="573"/>
    </row>
    <row r="31" spans="2:47" ht="18.75" customHeight="1" x14ac:dyDescent="0.4">
      <c r="B31" s="626">
        <v>198</v>
      </c>
      <c r="C31" s="513">
        <v>198</v>
      </c>
      <c r="D31" s="504">
        <f t="shared" si="0"/>
        <v>0</v>
      </c>
      <c r="E31" s="465">
        <v>22</v>
      </c>
      <c r="F31" s="573" t="s">
        <v>126</v>
      </c>
      <c r="G31" s="467">
        <v>1</v>
      </c>
      <c r="H31" s="630">
        <v>29.2</v>
      </c>
      <c r="I31" s="631">
        <v>30</v>
      </c>
      <c r="J31" s="620">
        <f t="shared" si="1"/>
        <v>0.80000000000000071</v>
      </c>
      <c r="K31" s="465" t="s">
        <v>531</v>
      </c>
      <c r="L31" s="613" t="s">
        <v>531</v>
      </c>
      <c r="M31" s="465"/>
      <c r="N31" s="467" t="s">
        <v>531</v>
      </c>
      <c r="O31" s="467" t="s">
        <v>531</v>
      </c>
      <c r="P31" s="627" t="s">
        <v>531</v>
      </c>
      <c r="R31" s="606">
        <v>1</v>
      </c>
      <c r="S31" s="608" t="s">
        <v>248</v>
      </c>
      <c r="T31" s="608" t="s">
        <v>248</v>
      </c>
      <c r="U31" s="467">
        <v>123</v>
      </c>
      <c r="V31" s="572" t="s">
        <v>60</v>
      </c>
      <c r="W31" s="609">
        <v>23.37</v>
      </c>
      <c r="X31" s="610">
        <v>24</v>
      </c>
      <c r="Y31" s="467">
        <v>24</v>
      </c>
      <c r="Z31" s="611" t="s">
        <v>602</v>
      </c>
      <c r="AA31" s="59" t="s">
        <v>523</v>
      </c>
      <c r="AB31" s="59"/>
      <c r="AC31" s="572"/>
      <c r="AD31" s="144"/>
      <c r="AE31" s="612"/>
      <c r="AF31" s="467">
        <v>0</v>
      </c>
      <c r="AG31" s="613"/>
      <c r="AH31" s="595"/>
      <c r="AI31" s="637" t="s">
        <v>603</v>
      </c>
      <c r="AJ31" s="59" t="s">
        <v>523</v>
      </c>
      <c r="AK31" s="545" t="s">
        <v>523</v>
      </c>
      <c r="AL31" s="144"/>
      <c r="AM31" s="97"/>
      <c r="AN31" s="144"/>
      <c r="AO31" s="96">
        <v>3</v>
      </c>
      <c r="AP31" s="97"/>
      <c r="AQ31" s="572"/>
      <c r="AR31" s="467"/>
      <c r="AS31" s="625" t="s">
        <v>604</v>
      </c>
      <c r="AT31" s="573"/>
      <c r="AU31" s="573"/>
    </row>
    <row r="32" spans="2:47" ht="18.75" customHeight="1" x14ac:dyDescent="0.4">
      <c r="B32" s="626">
        <v>225</v>
      </c>
      <c r="C32" s="513">
        <v>225</v>
      </c>
      <c r="D32" s="504">
        <f t="shared" si="0"/>
        <v>0</v>
      </c>
      <c r="E32" s="465">
        <v>23</v>
      </c>
      <c r="F32" s="573" t="s">
        <v>127</v>
      </c>
      <c r="G32" s="467">
        <v>1</v>
      </c>
      <c r="H32" s="630">
        <v>29.3</v>
      </c>
      <c r="I32" s="631">
        <v>30</v>
      </c>
      <c r="J32" s="620">
        <f t="shared" si="1"/>
        <v>0.69999999999999929</v>
      </c>
      <c r="K32" s="465"/>
      <c r="L32" s="613" t="s">
        <v>531</v>
      </c>
      <c r="M32" s="465"/>
      <c r="N32" s="467" t="s">
        <v>531</v>
      </c>
      <c r="O32" s="467" t="s">
        <v>531</v>
      </c>
      <c r="P32" s="627" t="s">
        <v>531</v>
      </c>
      <c r="R32" s="606">
        <v>1</v>
      </c>
      <c r="S32" s="608" t="s">
        <v>605</v>
      </c>
      <c r="T32" s="608" t="s">
        <v>606</v>
      </c>
      <c r="U32" s="467">
        <v>106</v>
      </c>
      <c r="V32" s="572" t="s">
        <v>60</v>
      </c>
      <c r="W32" s="609">
        <v>23.715340425531995</v>
      </c>
      <c r="X32" s="610">
        <v>25</v>
      </c>
      <c r="Y32" s="467">
        <v>32</v>
      </c>
      <c r="Z32" s="611">
        <v>15</v>
      </c>
      <c r="AA32" s="59"/>
      <c r="AB32" s="59"/>
      <c r="AC32" s="572"/>
      <c r="AD32" s="144"/>
      <c r="AE32" s="612"/>
      <c r="AF32" s="467">
        <v>1</v>
      </c>
      <c r="AG32" s="613"/>
      <c r="AH32" s="595"/>
      <c r="AI32" s="212" t="s">
        <v>607</v>
      </c>
      <c r="AJ32" s="59" t="s">
        <v>523</v>
      </c>
      <c r="AK32" s="545"/>
      <c r="AL32" s="144"/>
      <c r="AM32" s="97"/>
      <c r="AN32" s="144"/>
      <c r="AO32" s="96">
        <v>0</v>
      </c>
      <c r="AP32" s="97"/>
      <c r="AQ32" s="572"/>
      <c r="AR32" s="467">
        <v>41</v>
      </c>
      <c r="AS32" s="573" t="s">
        <v>82</v>
      </c>
      <c r="AT32" s="573"/>
      <c r="AU32" s="573"/>
    </row>
    <row r="33" spans="2:47" ht="18.75" customHeight="1" x14ac:dyDescent="0.4">
      <c r="B33" s="626">
        <v>192</v>
      </c>
      <c r="C33" s="513">
        <v>192</v>
      </c>
      <c r="D33" s="504">
        <f t="shared" si="0"/>
        <v>0</v>
      </c>
      <c r="E33" s="465">
        <v>24</v>
      </c>
      <c r="F33" s="573" t="s">
        <v>128</v>
      </c>
      <c r="G33" s="467">
        <v>1</v>
      </c>
      <c r="H33" s="630">
        <v>30.1</v>
      </c>
      <c r="I33" s="631">
        <v>30.5</v>
      </c>
      <c r="J33" s="620">
        <f t="shared" si="1"/>
        <v>0.39999999999999858</v>
      </c>
      <c r="K33" s="465" t="s">
        <v>531</v>
      </c>
      <c r="L33" s="613" t="s">
        <v>531</v>
      </c>
      <c r="M33" s="465"/>
      <c r="N33" s="467" t="s">
        <v>531</v>
      </c>
      <c r="O33" s="467" t="s">
        <v>531</v>
      </c>
      <c r="P33" s="627" t="s">
        <v>531</v>
      </c>
      <c r="R33" s="606">
        <v>1</v>
      </c>
      <c r="S33" s="608" t="s">
        <v>608</v>
      </c>
      <c r="T33" s="608" t="s">
        <v>609</v>
      </c>
      <c r="U33" s="467">
        <v>113</v>
      </c>
      <c r="V33" s="572" t="s">
        <v>60</v>
      </c>
      <c r="W33" s="609">
        <v>25.16</v>
      </c>
      <c r="X33" s="610">
        <v>26</v>
      </c>
      <c r="Y33" s="467">
        <v>12</v>
      </c>
      <c r="Z33" s="611" t="s">
        <v>610</v>
      </c>
      <c r="AA33" s="59" t="s">
        <v>525</v>
      </c>
      <c r="AB33" s="59"/>
      <c r="AC33" s="572"/>
      <c r="AD33" s="144"/>
      <c r="AE33" s="612"/>
      <c r="AF33" s="467">
        <v>0</v>
      </c>
      <c r="AG33" s="613"/>
      <c r="AH33" s="595"/>
      <c r="AI33" s="212" t="s">
        <v>611</v>
      </c>
      <c r="AJ33" s="59" t="s">
        <v>523</v>
      </c>
      <c r="AK33" s="545"/>
      <c r="AL33" s="144"/>
      <c r="AM33" s="97"/>
      <c r="AN33" s="144"/>
      <c r="AO33" s="96">
        <v>0</v>
      </c>
      <c r="AP33" s="97"/>
      <c r="AQ33" s="572"/>
    </row>
    <row r="34" spans="2:47" ht="18.75" customHeight="1" x14ac:dyDescent="0.4">
      <c r="B34" s="626">
        <v>74</v>
      </c>
      <c r="C34" s="513">
        <v>74</v>
      </c>
      <c r="D34" s="504">
        <f t="shared" si="0"/>
        <v>0</v>
      </c>
      <c r="E34" s="465">
        <v>25</v>
      </c>
      <c r="F34" s="573" t="s">
        <v>129</v>
      </c>
      <c r="G34" s="467">
        <v>1</v>
      </c>
      <c r="H34" s="618">
        <v>30.5</v>
      </c>
      <c r="I34" s="619">
        <v>33.9</v>
      </c>
      <c r="J34" s="620">
        <f t="shared" si="1"/>
        <v>3.3999999999999986</v>
      </c>
      <c r="K34" s="465" t="s">
        <v>531</v>
      </c>
      <c r="L34" s="613" t="s">
        <v>531</v>
      </c>
      <c r="M34" s="465"/>
      <c r="N34" s="467"/>
      <c r="O34" s="467"/>
      <c r="P34" s="639"/>
      <c r="R34" s="606">
        <v>1</v>
      </c>
      <c r="S34" s="608" t="s">
        <v>612</v>
      </c>
      <c r="T34" s="608" t="s">
        <v>613</v>
      </c>
      <c r="U34" s="467">
        <v>106</v>
      </c>
      <c r="V34" s="572" t="s">
        <v>60</v>
      </c>
      <c r="W34" s="609">
        <v>25.459719148936173</v>
      </c>
      <c r="X34" s="610">
        <v>27</v>
      </c>
      <c r="Y34" s="467">
        <v>32</v>
      </c>
      <c r="Z34" s="611">
        <v>17</v>
      </c>
      <c r="AA34" s="59"/>
      <c r="AB34" s="59"/>
      <c r="AC34" s="572"/>
      <c r="AD34" s="144"/>
      <c r="AE34" s="612"/>
      <c r="AF34" s="467">
        <v>1</v>
      </c>
      <c r="AG34" s="613"/>
      <c r="AH34" s="595"/>
      <c r="AI34" s="637" t="s">
        <v>614</v>
      </c>
      <c r="AJ34" s="59" t="s">
        <v>523</v>
      </c>
      <c r="AK34" s="545" t="s">
        <v>523</v>
      </c>
      <c r="AL34" s="144"/>
      <c r="AM34" s="97"/>
      <c r="AN34" s="144"/>
      <c r="AO34" s="96">
        <v>3</v>
      </c>
      <c r="AP34" s="97"/>
      <c r="AQ34" s="572"/>
    </row>
    <row r="35" spans="2:47" ht="18.75" customHeight="1" x14ac:dyDescent="0.4">
      <c r="B35" s="616">
        <v>212</v>
      </c>
      <c r="C35" s="617">
        <v>206</v>
      </c>
      <c r="D35" s="504">
        <f t="shared" si="0"/>
        <v>6</v>
      </c>
      <c r="E35" s="465">
        <v>26</v>
      </c>
      <c r="F35" s="573" t="s">
        <v>130</v>
      </c>
      <c r="G35" s="467">
        <v>1</v>
      </c>
      <c r="H35" s="630">
        <v>31.1</v>
      </c>
      <c r="I35" s="631">
        <v>32.4</v>
      </c>
      <c r="J35" s="620">
        <f t="shared" si="1"/>
        <v>1.2999999999999972</v>
      </c>
      <c r="K35" s="465"/>
      <c r="L35" s="613" t="s">
        <v>531</v>
      </c>
      <c r="M35" s="465"/>
      <c r="N35" s="467" t="s">
        <v>531</v>
      </c>
      <c r="O35" s="467" t="s">
        <v>531</v>
      </c>
      <c r="P35" s="627" t="s">
        <v>531</v>
      </c>
      <c r="R35" s="606">
        <v>1</v>
      </c>
      <c r="S35" s="608" t="s">
        <v>615</v>
      </c>
      <c r="T35" s="607" t="s">
        <v>616</v>
      </c>
      <c r="U35" s="467">
        <v>92</v>
      </c>
      <c r="V35" s="572" t="s">
        <v>60</v>
      </c>
      <c r="W35" s="609">
        <v>25.749370212765811</v>
      </c>
      <c r="X35" s="610">
        <v>28</v>
      </c>
      <c r="Y35" s="467">
        <v>31</v>
      </c>
      <c r="Z35" s="611" t="s">
        <v>617</v>
      </c>
      <c r="AA35" s="59"/>
      <c r="AB35" s="59"/>
      <c r="AC35" s="572"/>
      <c r="AD35" s="144"/>
      <c r="AE35" s="612"/>
      <c r="AF35" s="467">
        <v>1</v>
      </c>
      <c r="AG35" s="613"/>
      <c r="AH35" s="595"/>
      <c r="AI35" s="212" t="s">
        <v>618</v>
      </c>
      <c r="AJ35" s="59" t="s">
        <v>523</v>
      </c>
      <c r="AK35" s="545"/>
      <c r="AL35" s="144"/>
      <c r="AM35" s="97"/>
      <c r="AN35" s="144"/>
      <c r="AO35" s="96">
        <v>0</v>
      </c>
      <c r="AP35" s="97"/>
      <c r="AQ35" s="572"/>
    </row>
    <row r="36" spans="2:47" ht="18.75" customHeight="1" x14ac:dyDescent="0.4">
      <c r="B36" s="626">
        <v>216</v>
      </c>
      <c r="C36" s="513">
        <v>216</v>
      </c>
      <c r="D36" s="504">
        <f t="shared" si="0"/>
        <v>0</v>
      </c>
      <c r="E36" s="465">
        <v>27</v>
      </c>
      <c r="F36" s="573" t="s">
        <v>131</v>
      </c>
      <c r="G36" s="467">
        <v>1</v>
      </c>
      <c r="H36" s="630">
        <v>34.880000000000003</v>
      </c>
      <c r="I36" s="641">
        <v>36.1</v>
      </c>
      <c r="J36" s="620">
        <f t="shared" si="1"/>
        <v>1.2199999999999989</v>
      </c>
      <c r="K36" s="465"/>
      <c r="L36" s="613" t="s">
        <v>531</v>
      </c>
      <c r="M36" s="465"/>
      <c r="N36" s="467" t="s">
        <v>531</v>
      </c>
      <c r="O36" s="467" t="s">
        <v>531</v>
      </c>
      <c r="P36" s="627" t="s">
        <v>531</v>
      </c>
      <c r="R36" s="606">
        <v>1</v>
      </c>
      <c r="S36" s="608" t="s">
        <v>619</v>
      </c>
      <c r="T36" s="608" t="s">
        <v>619</v>
      </c>
      <c r="U36" s="467">
        <v>85</v>
      </c>
      <c r="V36" s="572" t="s">
        <v>60</v>
      </c>
      <c r="W36" s="609">
        <v>26.216025531914969</v>
      </c>
      <c r="X36" s="610">
        <v>29</v>
      </c>
      <c r="Y36" s="467">
        <v>11</v>
      </c>
      <c r="Z36" s="611">
        <v>19</v>
      </c>
      <c r="AA36" s="59"/>
      <c r="AB36" s="59"/>
      <c r="AC36" s="615" t="s">
        <v>523</v>
      </c>
      <c r="AD36" s="640"/>
      <c r="AE36" s="612"/>
      <c r="AF36" s="467">
        <v>0</v>
      </c>
      <c r="AG36" s="613"/>
      <c r="AH36" s="595"/>
      <c r="AI36" s="637" t="s">
        <v>620</v>
      </c>
      <c r="AJ36" s="59" t="s">
        <v>523</v>
      </c>
      <c r="AK36" s="545" t="s">
        <v>523</v>
      </c>
      <c r="AL36" s="144"/>
      <c r="AM36" s="97"/>
      <c r="AN36" s="144"/>
      <c r="AO36" s="96">
        <v>3</v>
      </c>
      <c r="AP36" s="97"/>
      <c r="AQ36" s="572"/>
    </row>
    <row r="37" spans="2:47" ht="18.75" customHeight="1" x14ac:dyDescent="0.4">
      <c r="B37" s="626">
        <v>92</v>
      </c>
      <c r="C37" s="513">
        <v>92</v>
      </c>
      <c r="D37" s="504">
        <f t="shared" si="0"/>
        <v>0</v>
      </c>
      <c r="E37" s="465">
        <v>28</v>
      </c>
      <c r="F37" s="573" t="s">
        <v>132</v>
      </c>
      <c r="G37" s="467">
        <v>1</v>
      </c>
      <c r="H37" s="618">
        <v>35</v>
      </c>
      <c r="I37" s="631">
        <v>38.299999999999997</v>
      </c>
      <c r="J37" s="620">
        <f t="shared" si="1"/>
        <v>3.2999999999999972</v>
      </c>
      <c r="K37" s="465"/>
      <c r="L37" s="613"/>
      <c r="M37" s="465" t="s">
        <v>531</v>
      </c>
      <c r="N37" s="467"/>
      <c r="O37" s="467"/>
      <c r="P37" s="639"/>
      <c r="R37" s="606">
        <v>1</v>
      </c>
      <c r="S37" s="608" t="s">
        <v>621</v>
      </c>
      <c r="T37" s="608" t="s">
        <v>622</v>
      </c>
      <c r="U37" s="467">
        <v>85</v>
      </c>
      <c r="V37" s="572" t="s">
        <v>60</v>
      </c>
      <c r="W37" s="609">
        <v>26.33</v>
      </c>
      <c r="X37" s="610">
        <v>30</v>
      </c>
      <c r="Y37" s="467">
        <v>12</v>
      </c>
      <c r="Z37" s="611" t="s">
        <v>623</v>
      </c>
      <c r="AA37" s="59" t="s">
        <v>525</v>
      </c>
      <c r="AB37" s="59"/>
      <c r="AC37" s="572"/>
      <c r="AD37" s="144"/>
      <c r="AE37" s="612"/>
      <c r="AF37" s="467">
        <v>0</v>
      </c>
      <c r="AG37" s="613"/>
      <c r="AH37" s="595"/>
      <c r="AI37" s="212" t="s">
        <v>624</v>
      </c>
      <c r="AJ37" s="59" t="s">
        <v>523</v>
      </c>
      <c r="AK37" s="545"/>
      <c r="AL37" s="144"/>
      <c r="AM37" s="97"/>
      <c r="AN37" s="144"/>
      <c r="AO37" s="96">
        <v>0</v>
      </c>
      <c r="AP37" s="97"/>
      <c r="AQ37" s="572"/>
    </row>
    <row r="38" spans="2:47" ht="18.75" customHeight="1" x14ac:dyDescent="0.4">
      <c r="B38" s="626">
        <v>216</v>
      </c>
      <c r="C38" s="513">
        <v>216</v>
      </c>
      <c r="D38" s="504">
        <f t="shared" si="0"/>
        <v>0</v>
      </c>
      <c r="E38" s="465">
        <v>29</v>
      </c>
      <c r="F38" s="573" t="s">
        <v>133</v>
      </c>
      <c r="G38" s="467">
        <v>1</v>
      </c>
      <c r="H38" s="630">
        <v>35.299999999999997</v>
      </c>
      <c r="I38" s="641">
        <v>36.1</v>
      </c>
      <c r="J38" s="620">
        <f t="shared" si="1"/>
        <v>0.80000000000000426</v>
      </c>
      <c r="K38" s="465"/>
      <c r="L38" s="613" t="s">
        <v>531</v>
      </c>
      <c r="M38" s="465"/>
      <c r="N38" s="467" t="s">
        <v>531</v>
      </c>
      <c r="O38" s="467" t="s">
        <v>531</v>
      </c>
      <c r="P38" s="627" t="s">
        <v>531</v>
      </c>
      <c r="R38" s="606">
        <v>1</v>
      </c>
      <c r="S38" s="608" t="s">
        <v>625</v>
      </c>
      <c r="T38" s="608" t="s">
        <v>626</v>
      </c>
      <c r="U38" s="467">
        <v>83</v>
      </c>
      <c r="V38" s="572" t="s">
        <v>60</v>
      </c>
      <c r="W38" s="609">
        <v>27.4</v>
      </c>
      <c r="X38" s="610">
        <v>31</v>
      </c>
      <c r="Y38" s="467">
        <v>21</v>
      </c>
      <c r="Z38" s="611">
        <v>18</v>
      </c>
      <c r="AA38" s="59"/>
      <c r="AB38" s="59"/>
      <c r="AC38" s="572"/>
      <c r="AD38" s="144"/>
      <c r="AE38" s="612"/>
      <c r="AF38" s="467">
        <v>0</v>
      </c>
      <c r="AG38" s="613"/>
      <c r="AH38" s="595"/>
      <c r="AI38" s="212" t="s">
        <v>627</v>
      </c>
      <c r="AJ38" s="59" t="s">
        <v>523</v>
      </c>
      <c r="AK38" s="545"/>
      <c r="AL38" s="144"/>
      <c r="AM38" s="97"/>
      <c r="AN38" s="144"/>
      <c r="AO38" s="96">
        <v>0</v>
      </c>
      <c r="AP38" s="97"/>
      <c r="AQ38" s="572"/>
    </row>
    <row r="39" spans="2:47" ht="18.75" customHeight="1" x14ac:dyDescent="0.4">
      <c r="B39" s="626">
        <v>219</v>
      </c>
      <c r="C39" s="513">
        <v>218</v>
      </c>
      <c r="D39" s="504">
        <f t="shared" si="0"/>
        <v>1</v>
      </c>
      <c r="E39" s="465">
        <v>30</v>
      </c>
      <c r="F39" s="573" t="s">
        <v>134</v>
      </c>
      <c r="G39" s="467">
        <v>1</v>
      </c>
      <c r="H39" s="630">
        <v>35.4</v>
      </c>
      <c r="I39" s="641">
        <v>46.2</v>
      </c>
      <c r="J39" s="620">
        <f t="shared" si="1"/>
        <v>10.800000000000004</v>
      </c>
      <c r="K39" s="465"/>
      <c r="L39" s="613"/>
      <c r="M39" s="465"/>
      <c r="N39" s="467"/>
      <c r="O39" s="467" t="s">
        <v>531</v>
      </c>
      <c r="P39" s="627" t="s">
        <v>531</v>
      </c>
      <c r="R39" s="606">
        <v>1</v>
      </c>
      <c r="S39" s="608" t="s">
        <v>628</v>
      </c>
      <c r="T39" s="608" t="s">
        <v>628</v>
      </c>
      <c r="U39" s="467">
        <v>85</v>
      </c>
      <c r="V39" s="572" t="s">
        <v>60</v>
      </c>
      <c r="W39" s="609">
        <v>28.141855319148888</v>
      </c>
      <c r="X39" s="610">
        <v>32</v>
      </c>
      <c r="Y39" s="467">
        <v>11</v>
      </c>
      <c r="Z39" s="611">
        <v>21</v>
      </c>
      <c r="AA39" s="59"/>
      <c r="AB39" s="59"/>
      <c r="AC39" s="615" t="s">
        <v>523</v>
      </c>
      <c r="AD39" s="640"/>
      <c r="AE39" s="612"/>
      <c r="AF39" s="467">
        <v>0</v>
      </c>
      <c r="AG39" s="613"/>
      <c r="AH39" s="595"/>
      <c r="AI39" s="637" t="s">
        <v>629</v>
      </c>
      <c r="AJ39" s="59" t="s">
        <v>523</v>
      </c>
      <c r="AK39" s="545" t="s">
        <v>523</v>
      </c>
      <c r="AL39" s="144"/>
      <c r="AM39" s="97"/>
      <c r="AN39" s="144"/>
      <c r="AO39" s="96">
        <v>3</v>
      </c>
      <c r="AP39" s="97"/>
      <c r="AQ39" s="572"/>
    </row>
    <row r="40" spans="2:47" ht="18.75" customHeight="1" x14ac:dyDescent="0.4">
      <c r="B40" s="626">
        <v>216</v>
      </c>
      <c r="C40" s="513">
        <v>216</v>
      </c>
      <c r="D40" s="504">
        <f t="shared" si="0"/>
        <v>0</v>
      </c>
      <c r="E40" s="465">
        <v>31</v>
      </c>
      <c r="F40" s="573" t="s">
        <v>135</v>
      </c>
      <c r="G40" s="467">
        <v>1</v>
      </c>
      <c r="H40" s="630">
        <v>35.700000000000003</v>
      </c>
      <c r="I40" s="641">
        <v>36.1</v>
      </c>
      <c r="J40" s="620">
        <f t="shared" si="1"/>
        <v>0.39999999999999858</v>
      </c>
      <c r="K40" s="465"/>
      <c r="L40" s="613" t="s">
        <v>531</v>
      </c>
      <c r="M40" s="465"/>
      <c r="N40" s="467" t="s">
        <v>531</v>
      </c>
      <c r="O40" s="467" t="s">
        <v>531</v>
      </c>
      <c r="P40" s="627" t="s">
        <v>531</v>
      </c>
      <c r="R40" s="606">
        <v>1</v>
      </c>
      <c r="S40" s="608" t="s">
        <v>630</v>
      </c>
      <c r="T40" s="608" t="s">
        <v>631</v>
      </c>
      <c r="U40" s="467">
        <v>85</v>
      </c>
      <c r="V40" s="572" t="s">
        <v>60</v>
      </c>
      <c r="W40" s="609">
        <v>28.318144680851056</v>
      </c>
      <c r="X40" s="610">
        <v>33</v>
      </c>
      <c r="Y40" s="467">
        <v>12</v>
      </c>
      <c r="Z40" s="611" t="s">
        <v>632</v>
      </c>
      <c r="AA40" s="59" t="s">
        <v>525</v>
      </c>
      <c r="AB40" s="59"/>
      <c r="AC40" s="572"/>
      <c r="AD40" s="144"/>
      <c r="AE40" s="612"/>
      <c r="AF40" s="467">
        <v>0</v>
      </c>
      <c r="AG40" s="613"/>
      <c r="AH40" s="595"/>
      <c r="AI40" s="212" t="s">
        <v>633</v>
      </c>
      <c r="AJ40" s="59" t="s">
        <v>523</v>
      </c>
      <c r="AK40" s="59"/>
      <c r="AL40" s="144"/>
      <c r="AM40" s="97"/>
      <c r="AN40" s="144"/>
      <c r="AO40" s="96">
        <v>0</v>
      </c>
      <c r="AP40" s="97"/>
      <c r="AQ40" s="572"/>
    </row>
    <row r="41" spans="2:47" ht="18.75" customHeight="1" x14ac:dyDescent="0.4">
      <c r="B41" s="626">
        <v>216</v>
      </c>
      <c r="C41" s="513">
        <v>216</v>
      </c>
      <c r="D41" s="504">
        <f t="shared" si="0"/>
        <v>0</v>
      </c>
      <c r="E41" s="465">
        <v>32</v>
      </c>
      <c r="F41" s="573" t="s">
        <v>136</v>
      </c>
      <c r="G41" s="467">
        <v>1</v>
      </c>
      <c r="H41" s="630">
        <v>36.200000000000003</v>
      </c>
      <c r="I41" s="641">
        <v>36.1</v>
      </c>
      <c r="J41" s="620">
        <f t="shared" si="1"/>
        <v>0.10000000000000142</v>
      </c>
      <c r="K41" s="465"/>
      <c r="L41" s="613" t="s">
        <v>531</v>
      </c>
      <c r="M41" s="465"/>
      <c r="N41" s="467" t="s">
        <v>531</v>
      </c>
      <c r="O41" s="467" t="s">
        <v>531</v>
      </c>
      <c r="P41" s="627" t="s">
        <v>531</v>
      </c>
      <c r="R41" s="606">
        <v>1</v>
      </c>
      <c r="S41" s="608" t="s">
        <v>634</v>
      </c>
      <c r="T41" s="608" t="s">
        <v>635</v>
      </c>
      <c r="U41" s="467">
        <v>198</v>
      </c>
      <c r="V41" s="572" t="s">
        <v>60</v>
      </c>
      <c r="W41" s="609">
        <v>29.23</v>
      </c>
      <c r="X41" s="610">
        <v>34</v>
      </c>
      <c r="Y41" s="467">
        <v>36</v>
      </c>
      <c r="Z41" s="611">
        <v>22</v>
      </c>
      <c r="AA41" s="59"/>
      <c r="AB41" s="59"/>
      <c r="AC41" s="572"/>
      <c r="AD41" s="144"/>
      <c r="AE41" s="612"/>
      <c r="AF41" s="467">
        <v>3</v>
      </c>
      <c r="AG41" s="613">
        <v>1</v>
      </c>
      <c r="AH41" s="595"/>
      <c r="AI41" s="537" t="s">
        <v>636</v>
      </c>
      <c r="AJ41" s="59" t="s">
        <v>523</v>
      </c>
      <c r="AK41" s="59"/>
      <c r="AL41" s="144"/>
      <c r="AM41" s="97"/>
      <c r="AN41" s="642"/>
      <c r="AO41" s="419">
        <v>0</v>
      </c>
      <c r="AP41" s="108"/>
      <c r="AQ41" s="572"/>
    </row>
    <row r="42" spans="2:47" ht="18.75" customHeight="1" x14ac:dyDescent="0.4">
      <c r="B42" s="626">
        <v>191</v>
      </c>
      <c r="C42" s="513">
        <v>191</v>
      </c>
      <c r="D42" s="504">
        <f t="shared" ref="D42:D73" si="2">ABS(B42-C42)</f>
        <v>0</v>
      </c>
      <c r="E42" s="465">
        <v>33</v>
      </c>
      <c r="F42" s="573" t="s">
        <v>137</v>
      </c>
      <c r="G42" s="467">
        <v>1</v>
      </c>
      <c r="H42" s="618">
        <v>36.700000000000003</v>
      </c>
      <c r="I42" s="631">
        <v>37.6</v>
      </c>
      <c r="J42" s="620">
        <f t="shared" ref="J42:J73" si="3">ABS(I42-H42)</f>
        <v>0.89999999999999858</v>
      </c>
      <c r="K42" s="465"/>
      <c r="L42" s="613"/>
      <c r="M42" s="465" t="s">
        <v>531</v>
      </c>
      <c r="N42" s="467"/>
      <c r="O42" s="467"/>
      <c r="P42" s="639"/>
      <c r="R42" s="606">
        <v>1</v>
      </c>
      <c r="S42" s="608" t="s">
        <v>637</v>
      </c>
      <c r="T42" s="608" t="s">
        <v>638</v>
      </c>
      <c r="U42" s="467">
        <v>225</v>
      </c>
      <c r="V42" s="572" t="s">
        <v>60</v>
      </c>
      <c r="W42" s="609">
        <v>29.3</v>
      </c>
      <c r="X42" s="610">
        <v>35</v>
      </c>
      <c r="Y42" s="467">
        <v>13</v>
      </c>
      <c r="Z42" s="611">
        <v>23</v>
      </c>
      <c r="AA42" s="59"/>
      <c r="AB42" s="59"/>
      <c r="AC42" s="572"/>
      <c r="AD42" s="144"/>
      <c r="AE42" s="612"/>
      <c r="AF42" s="467">
        <v>0</v>
      </c>
      <c r="AG42" s="613"/>
      <c r="AH42" s="595"/>
      <c r="AI42" s="643" t="s">
        <v>639</v>
      </c>
      <c r="AJ42" s="644" t="s">
        <v>523</v>
      </c>
      <c r="AK42" s="98"/>
      <c r="AL42" s="44"/>
      <c r="AM42" s="78"/>
      <c r="AN42" s="44"/>
      <c r="AO42" s="439">
        <v>0</v>
      </c>
      <c r="AP42" s="78"/>
      <c r="AQ42" s="572"/>
    </row>
    <row r="43" spans="2:47" ht="18.75" customHeight="1" x14ac:dyDescent="0.4">
      <c r="B43" s="626">
        <v>217</v>
      </c>
      <c r="C43" s="513">
        <v>217</v>
      </c>
      <c r="D43" s="504">
        <f t="shared" si="2"/>
        <v>0</v>
      </c>
      <c r="E43" s="465">
        <v>34</v>
      </c>
      <c r="F43" s="573" t="s">
        <v>138</v>
      </c>
      <c r="G43" s="467">
        <v>1</v>
      </c>
      <c r="H43" s="618">
        <v>43.9</v>
      </c>
      <c r="I43" s="641">
        <v>46.2</v>
      </c>
      <c r="J43" s="620">
        <f t="shared" si="3"/>
        <v>2.3000000000000043</v>
      </c>
      <c r="K43" s="465"/>
      <c r="L43" s="613"/>
      <c r="M43" s="465" t="s">
        <v>531</v>
      </c>
      <c r="N43" s="467" t="s">
        <v>531</v>
      </c>
      <c r="O43" s="467" t="s">
        <v>531</v>
      </c>
      <c r="P43" s="627" t="s">
        <v>531</v>
      </c>
      <c r="R43" s="606">
        <v>1</v>
      </c>
      <c r="S43" s="608" t="s">
        <v>640</v>
      </c>
      <c r="T43" s="608" t="s">
        <v>640</v>
      </c>
      <c r="U43" s="467">
        <v>225</v>
      </c>
      <c r="V43" s="572" t="s">
        <v>60</v>
      </c>
      <c r="W43" s="609">
        <v>30</v>
      </c>
      <c r="X43" s="610">
        <v>36</v>
      </c>
      <c r="Y43" s="467">
        <v>11</v>
      </c>
      <c r="Z43" s="611">
        <v>23</v>
      </c>
      <c r="AA43" s="59"/>
      <c r="AB43" s="59"/>
      <c r="AC43" s="615" t="s">
        <v>523</v>
      </c>
      <c r="AD43" s="640"/>
      <c r="AE43" s="612"/>
      <c r="AF43" s="467">
        <v>0</v>
      </c>
      <c r="AG43" s="613"/>
      <c r="AH43" s="595"/>
      <c r="AI43" s="632" t="s">
        <v>641</v>
      </c>
      <c r="AJ43" s="145"/>
      <c r="AK43" s="59"/>
      <c r="AL43" s="144"/>
      <c r="AM43" s="633" t="s">
        <v>525</v>
      </c>
      <c r="AN43" s="144"/>
      <c r="AO43" s="96">
        <v>2</v>
      </c>
      <c r="AP43" s="97"/>
      <c r="AQ43" s="572"/>
    </row>
    <row r="44" spans="2:47" ht="18.75" customHeight="1" x14ac:dyDescent="0.4">
      <c r="B44" s="626">
        <v>191</v>
      </c>
      <c r="C44" s="513">
        <v>191</v>
      </c>
      <c r="D44" s="504">
        <f t="shared" si="2"/>
        <v>0</v>
      </c>
      <c r="E44" s="465">
        <v>35</v>
      </c>
      <c r="F44" s="573" t="s">
        <v>139</v>
      </c>
      <c r="G44" s="467">
        <v>1</v>
      </c>
      <c r="H44" s="630">
        <v>44.7</v>
      </c>
      <c r="I44" s="631">
        <v>47.8</v>
      </c>
      <c r="J44" s="620">
        <f t="shared" si="3"/>
        <v>3.0999999999999943</v>
      </c>
      <c r="K44" s="465"/>
      <c r="L44" s="613"/>
      <c r="M44" s="465" t="s">
        <v>531</v>
      </c>
      <c r="N44" s="467" t="s">
        <v>531</v>
      </c>
      <c r="O44" s="467" t="s">
        <v>531</v>
      </c>
      <c r="P44" s="627" t="s">
        <v>531</v>
      </c>
      <c r="R44" s="606">
        <v>1</v>
      </c>
      <c r="S44" s="608" t="s">
        <v>642</v>
      </c>
      <c r="T44" s="608" t="s">
        <v>643</v>
      </c>
      <c r="U44" s="467">
        <v>198</v>
      </c>
      <c r="V44" s="572" t="s">
        <v>60</v>
      </c>
      <c r="W44" s="609">
        <v>30.03</v>
      </c>
      <c r="X44" s="610">
        <v>37</v>
      </c>
      <c r="Y44" s="467">
        <v>36</v>
      </c>
      <c r="Z44" s="611">
        <v>22</v>
      </c>
      <c r="AA44" s="59"/>
      <c r="AB44" s="59"/>
      <c r="AC44" s="572"/>
      <c r="AD44" s="144"/>
      <c r="AE44" s="612"/>
      <c r="AF44" s="467">
        <v>3</v>
      </c>
      <c r="AG44" s="613">
        <v>1</v>
      </c>
      <c r="AH44" s="595"/>
      <c r="AI44" s="632" t="s">
        <v>644</v>
      </c>
      <c r="AJ44" s="145"/>
      <c r="AK44" s="59"/>
      <c r="AL44" s="144"/>
      <c r="AM44" s="633" t="s">
        <v>525</v>
      </c>
      <c r="AN44" s="144"/>
      <c r="AO44" s="96">
        <v>2</v>
      </c>
      <c r="AP44" s="97"/>
      <c r="AQ44" s="572"/>
      <c r="AR44" s="495"/>
      <c r="AS44" s="573"/>
      <c r="AT44" s="573"/>
      <c r="AU44" s="573"/>
    </row>
    <row r="45" spans="2:47" ht="18.75" customHeight="1" x14ac:dyDescent="0.4">
      <c r="B45" s="626">
        <v>231</v>
      </c>
      <c r="C45" s="513">
        <v>231</v>
      </c>
      <c r="D45" s="504">
        <f t="shared" si="2"/>
        <v>0</v>
      </c>
      <c r="E45" s="465">
        <v>36</v>
      </c>
      <c r="F45" s="573" t="s">
        <v>140</v>
      </c>
      <c r="G45" s="467">
        <v>1</v>
      </c>
      <c r="H45" s="618">
        <v>45</v>
      </c>
      <c r="I45" s="631">
        <v>45.9</v>
      </c>
      <c r="J45" s="620">
        <f t="shared" si="3"/>
        <v>0.89999999999999858</v>
      </c>
      <c r="K45" s="465"/>
      <c r="L45" s="613"/>
      <c r="M45" s="465"/>
      <c r="N45" s="467" t="s">
        <v>531</v>
      </c>
      <c r="O45" s="467" t="s">
        <v>531</v>
      </c>
      <c r="P45" s="627" t="s">
        <v>531</v>
      </c>
      <c r="R45" s="606">
        <v>1</v>
      </c>
      <c r="S45" s="608" t="s">
        <v>645</v>
      </c>
      <c r="T45" s="608" t="s">
        <v>646</v>
      </c>
      <c r="U45" s="467">
        <v>192</v>
      </c>
      <c r="V45" s="572" t="s">
        <v>60</v>
      </c>
      <c r="W45" s="609">
        <v>30.08</v>
      </c>
      <c r="X45" s="610">
        <v>38</v>
      </c>
      <c r="Y45" s="467">
        <v>35</v>
      </c>
      <c r="Z45" s="611">
        <v>24</v>
      </c>
      <c r="AA45" s="59"/>
      <c r="AB45" s="59"/>
      <c r="AC45" s="572"/>
      <c r="AD45" s="640" t="s">
        <v>523</v>
      </c>
      <c r="AE45" s="612"/>
      <c r="AF45" s="467">
        <v>3</v>
      </c>
      <c r="AG45" s="613"/>
      <c r="AH45" s="595"/>
      <c r="AI45" s="537" t="s">
        <v>647</v>
      </c>
      <c r="AJ45" s="145" t="s">
        <v>523</v>
      </c>
      <c r="AK45" s="59"/>
      <c r="AL45" s="144"/>
      <c r="AM45" s="634"/>
      <c r="AN45" s="144"/>
      <c r="AO45" s="96">
        <v>0</v>
      </c>
      <c r="AP45" s="97"/>
      <c r="AQ45" s="572"/>
      <c r="AR45" s="495"/>
      <c r="AS45" s="573"/>
      <c r="AT45" s="573"/>
      <c r="AU45" s="573"/>
    </row>
    <row r="46" spans="2:47" ht="18.75" customHeight="1" x14ac:dyDescent="0.4">
      <c r="B46" s="626">
        <v>191</v>
      </c>
      <c r="C46" s="513">
        <v>191</v>
      </c>
      <c r="D46" s="504">
        <f t="shared" si="2"/>
        <v>0</v>
      </c>
      <c r="E46" s="465">
        <v>37</v>
      </c>
      <c r="F46" s="573" t="s">
        <v>141</v>
      </c>
      <c r="G46" s="467">
        <v>1</v>
      </c>
      <c r="H46" s="630">
        <v>45.2</v>
      </c>
      <c r="I46" s="631">
        <v>47.8</v>
      </c>
      <c r="J46" s="620">
        <f t="shared" si="3"/>
        <v>2.5999999999999943</v>
      </c>
      <c r="K46" s="465"/>
      <c r="L46" s="613"/>
      <c r="M46" s="465" t="s">
        <v>531</v>
      </c>
      <c r="N46" s="467" t="s">
        <v>531</v>
      </c>
      <c r="O46" s="467" t="s">
        <v>531</v>
      </c>
      <c r="P46" s="627" t="s">
        <v>531</v>
      </c>
      <c r="R46" s="606">
        <v>1</v>
      </c>
      <c r="S46" s="608" t="s">
        <v>648</v>
      </c>
      <c r="T46" s="608" t="s">
        <v>648</v>
      </c>
      <c r="U46" s="467">
        <v>74</v>
      </c>
      <c r="V46" s="572" t="s">
        <v>60</v>
      </c>
      <c r="W46" s="609">
        <v>30.45</v>
      </c>
      <c r="X46" s="610">
        <v>39</v>
      </c>
      <c r="Y46" s="467">
        <v>41</v>
      </c>
      <c r="Z46" s="611" t="s">
        <v>649</v>
      </c>
      <c r="AA46" s="59"/>
      <c r="AB46" s="59"/>
      <c r="AC46" s="572"/>
      <c r="AD46" s="144"/>
      <c r="AE46" s="612"/>
      <c r="AF46" s="467">
        <v>0</v>
      </c>
      <c r="AG46" s="613"/>
      <c r="AH46" s="595"/>
      <c r="AI46" s="645" t="s">
        <v>650</v>
      </c>
      <c r="AJ46" s="145"/>
      <c r="AK46" s="59"/>
      <c r="AL46" s="546"/>
      <c r="AM46" s="634"/>
      <c r="AN46" s="144"/>
      <c r="AO46" s="96">
        <v>2</v>
      </c>
      <c r="AP46" s="548" t="s">
        <v>542</v>
      </c>
      <c r="AQ46" s="572"/>
      <c r="AR46" s="495"/>
      <c r="AS46" s="573"/>
      <c r="AT46" s="573"/>
      <c r="AU46" s="573"/>
    </row>
    <row r="47" spans="2:47" ht="18.75" customHeight="1" x14ac:dyDescent="0.4">
      <c r="B47" s="626">
        <v>191</v>
      </c>
      <c r="C47" s="513">
        <v>191</v>
      </c>
      <c r="D47" s="504">
        <f t="shared" si="2"/>
        <v>0</v>
      </c>
      <c r="E47" s="465">
        <v>38</v>
      </c>
      <c r="F47" s="573" t="s">
        <v>142</v>
      </c>
      <c r="G47" s="467">
        <v>1</v>
      </c>
      <c r="H47" s="630">
        <v>46.3</v>
      </c>
      <c r="I47" s="631">
        <v>47.8</v>
      </c>
      <c r="J47" s="620">
        <f t="shared" si="3"/>
        <v>1.5</v>
      </c>
      <c r="K47" s="465"/>
      <c r="L47" s="613"/>
      <c r="M47" s="465" t="s">
        <v>531</v>
      </c>
      <c r="N47" s="467" t="s">
        <v>531</v>
      </c>
      <c r="O47" s="467" t="s">
        <v>531</v>
      </c>
      <c r="P47" s="627" t="s">
        <v>531</v>
      </c>
      <c r="R47" s="606">
        <v>1</v>
      </c>
      <c r="S47" s="608" t="s">
        <v>651</v>
      </c>
      <c r="T47" s="608" t="s">
        <v>652</v>
      </c>
      <c r="U47" s="467">
        <v>192</v>
      </c>
      <c r="V47" s="572" t="s">
        <v>60</v>
      </c>
      <c r="W47" s="609">
        <v>30.52</v>
      </c>
      <c r="X47" s="610">
        <v>40</v>
      </c>
      <c r="Y47" s="467">
        <v>35</v>
      </c>
      <c r="Z47" s="611">
        <v>24</v>
      </c>
      <c r="AA47" s="59"/>
      <c r="AB47" s="59"/>
      <c r="AC47" s="572"/>
      <c r="AD47" s="144"/>
      <c r="AE47" s="612"/>
      <c r="AF47" s="467">
        <v>3</v>
      </c>
      <c r="AG47" s="613"/>
      <c r="AH47" s="595"/>
      <c r="AI47" s="632" t="s">
        <v>653</v>
      </c>
      <c r="AJ47" s="145"/>
      <c r="AK47" s="59"/>
      <c r="AL47" s="144"/>
      <c r="AM47" s="634" t="s">
        <v>523</v>
      </c>
      <c r="AN47" s="144"/>
      <c r="AO47" s="96">
        <v>2</v>
      </c>
      <c r="AP47" s="97"/>
      <c r="AQ47" s="572"/>
      <c r="AR47" s="495"/>
      <c r="AS47" s="573"/>
      <c r="AT47" s="573"/>
      <c r="AU47" s="573"/>
    </row>
    <row r="48" spans="2:47" ht="18.75" customHeight="1" x14ac:dyDescent="0.4">
      <c r="B48" s="626">
        <v>231</v>
      </c>
      <c r="C48" s="513">
        <v>231</v>
      </c>
      <c r="D48" s="504">
        <f t="shared" si="2"/>
        <v>0</v>
      </c>
      <c r="E48" s="465">
        <v>39</v>
      </c>
      <c r="F48" s="573" t="s">
        <v>143</v>
      </c>
      <c r="G48" s="467">
        <v>1</v>
      </c>
      <c r="H48" s="618">
        <v>46.6</v>
      </c>
      <c r="I48" s="631">
        <v>45.9</v>
      </c>
      <c r="J48" s="620">
        <f t="shared" si="3"/>
        <v>0.70000000000000284</v>
      </c>
      <c r="K48" s="465"/>
      <c r="L48" s="613"/>
      <c r="M48" s="465"/>
      <c r="N48" s="467" t="s">
        <v>531</v>
      </c>
      <c r="O48" s="467" t="s">
        <v>531</v>
      </c>
      <c r="P48" s="627" t="s">
        <v>531</v>
      </c>
      <c r="R48" s="606">
        <v>1</v>
      </c>
      <c r="S48" s="608" t="s">
        <v>654</v>
      </c>
      <c r="T48" s="608" t="s">
        <v>655</v>
      </c>
      <c r="U48" s="467">
        <v>212</v>
      </c>
      <c r="V48" s="572" t="s">
        <v>94</v>
      </c>
      <c r="W48" s="609">
        <v>31.05</v>
      </c>
      <c r="X48" s="610">
        <v>41</v>
      </c>
      <c r="Y48" s="467">
        <v>36</v>
      </c>
      <c r="Z48" s="611">
        <v>26</v>
      </c>
      <c r="AA48" s="59"/>
      <c r="AB48" s="59"/>
      <c r="AC48" s="572"/>
      <c r="AD48" s="144"/>
      <c r="AE48" s="612"/>
      <c r="AF48" s="467">
        <v>3</v>
      </c>
      <c r="AG48" s="613">
        <v>1</v>
      </c>
      <c r="AH48" s="595"/>
      <c r="AI48" s="537" t="s">
        <v>656</v>
      </c>
      <c r="AJ48" s="145" t="s">
        <v>523</v>
      </c>
      <c r="AK48" s="59"/>
      <c r="AL48" s="144"/>
      <c r="AM48" s="97"/>
      <c r="AN48" s="144"/>
      <c r="AO48" s="96">
        <v>0</v>
      </c>
      <c r="AP48" s="97"/>
      <c r="AQ48" s="572"/>
      <c r="AR48" s="495"/>
      <c r="AS48" s="573"/>
      <c r="AT48" s="573"/>
      <c r="AU48" s="573"/>
    </row>
    <row r="49" spans="2:47" ht="18.75" customHeight="1" x14ac:dyDescent="0.4">
      <c r="B49" s="626">
        <v>191</v>
      </c>
      <c r="C49" s="513">
        <v>191</v>
      </c>
      <c r="D49" s="504">
        <f t="shared" si="2"/>
        <v>0</v>
      </c>
      <c r="E49" s="465">
        <v>40</v>
      </c>
      <c r="F49" s="573" t="s">
        <v>144</v>
      </c>
      <c r="G49" s="467">
        <v>1</v>
      </c>
      <c r="H49" s="630">
        <v>46.8</v>
      </c>
      <c r="I49" s="631">
        <v>47.8</v>
      </c>
      <c r="J49" s="620">
        <f t="shared" si="3"/>
        <v>1</v>
      </c>
      <c r="K49" s="465"/>
      <c r="L49" s="613"/>
      <c r="M49" s="465" t="s">
        <v>531</v>
      </c>
      <c r="N49" s="467" t="s">
        <v>531</v>
      </c>
      <c r="O49" s="467" t="s">
        <v>531</v>
      </c>
      <c r="P49" s="627" t="s">
        <v>531</v>
      </c>
      <c r="R49" s="606">
        <v>1</v>
      </c>
      <c r="S49" s="608" t="s">
        <v>657</v>
      </c>
      <c r="T49" s="608" t="s">
        <v>658</v>
      </c>
      <c r="U49" s="467">
        <v>206</v>
      </c>
      <c r="V49" s="572" t="s">
        <v>94</v>
      </c>
      <c r="W49" s="609">
        <v>32.42</v>
      </c>
      <c r="X49" s="610">
        <v>42</v>
      </c>
      <c r="Y49" s="467">
        <v>35</v>
      </c>
      <c r="Z49" s="611">
        <v>26</v>
      </c>
      <c r="AA49" s="59"/>
      <c r="AB49" s="59"/>
      <c r="AC49" s="572"/>
      <c r="AD49" s="144"/>
      <c r="AE49" s="612"/>
      <c r="AF49" s="467">
        <v>3</v>
      </c>
      <c r="AG49" s="613"/>
      <c r="AH49" s="595"/>
      <c r="AI49" s="537" t="s">
        <v>659</v>
      </c>
      <c r="AJ49" s="145" t="s">
        <v>523</v>
      </c>
      <c r="AK49" s="59"/>
      <c r="AL49" s="144"/>
      <c r="AM49" s="97"/>
      <c r="AN49" s="144"/>
      <c r="AO49" s="96">
        <v>0</v>
      </c>
      <c r="AP49" s="97"/>
      <c r="AQ49" s="572"/>
      <c r="AR49" s="495"/>
      <c r="AS49" s="573"/>
      <c r="AT49" s="573"/>
      <c r="AU49" s="573"/>
    </row>
    <row r="50" spans="2:47" ht="18.75" customHeight="1" x14ac:dyDescent="0.4">
      <c r="B50" s="626">
        <v>191</v>
      </c>
      <c r="C50" s="513">
        <v>191</v>
      </c>
      <c r="D50" s="504">
        <f t="shared" si="2"/>
        <v>0</v>
      </c>
      <c r="E50" s="465">
        <v>41</v>
      </c>
      <c r="F50" s="573" t="s">
        <v>145</v>
      </c>
      <c r="G50" s="467">
        <v>1</v>
      </c>
      <c r="H50" s="630">
        <v>47.7</v>
      </c>
      <c r="I50" s="631">
        <v>47.8</v>
      </c>
      <c r="J50" s="620">
        <f t="shared" si="3"/>
        <v>9.9999999999994316E-2</v>
      </c>
      <c r="K50" s="465"/>
      <c r="L50" s="613"/>
      <c r="M50" s="465" t="s">
        <v>531</v>
      </c>
      <c r="N50" s="467" t="s">
        <v>531</v>
      </c>
      <c r="O50" s="467" t="s">
        <v>531</v>
      </c>
      <c r="P50" s="627" t="s">
        <v>531</v>
      </c>
      <c r="R50" s="606">
        <v>1</v>
      </c>
      <c r="S50" s="608" t="s">
        <v>660</v>
      </c>
      <c r="T50" s="608" t="s">
        <v>660</v>
      </c>
      <c r="U50" s="467">
        <v>74</v>
      </c>
      <c r="V50" s="572" t="s">
        <v>60</v>
      </c>
      <c r="W50" s="609">
        <v>33.86</v>
      </c>
      <c r="X50" s="610">
        <v>43</v>
      </c>
      <c r="Y50" s="467">
        <v>41</v>
      </c>
      <c r="Z50" s="611" t="s">
        <v>661</v>
      </c>
      <c r="AA50" s="59"/>
      <c r="AB50" s="59"/>
      <c r="AC50" s="572"/>
      <c r="AD50" s="144"/>
      <c r="AE50" s="612"/>
      <c r="AF50" s="467">
        <v>0</v>
      </c>
      <c r="AG50" s="613"/>
      <c r="AH50" s="595"/>
      <c r="AI50" s="537" t="s">
        <v>662</v>
      </c>
      <c r="AJ50" s="145" t="s">
        <v>523</v>
      </c>
      <c r="AK50" s="59"/>
      <c r="AL50" s="144"/>
      <c r="AM50" s="97"/>
      <c r="AN50" s="144"/>
      <c r="AO50" s="96">
        <v>0</v>
      </c>
      <c r="AP50" s="97"/>
      <c r="AQ50" s="572"/>
      <c r="AR50" s="495"/>
      <c r="AS50" s="573"/>
      <c r="AT50" s="573"/>
      <c r="AU50" s="573"/>
    </row>
    <row r="51" spans="2:47" ht="18.75" customHeight="1" x14ac:dyDescent="0.4">
      <c r="B51" s="626">
        <v>231</v>
      </c>
      <c r="C51" s="513">
        <v>231</v>
      </c>
      <c r="D51" s="504">
        <f t="shared" si="2"/>
        <v>0</v>
      </c>
      <c r="E51" s="465">
        <v>42</v>
      </c>
      <c r="F51" s="573" t="s">
        <v>146</v>
      </c>
      <c r="G51" s="467">
        <v>1</v>
      </c>
      <c r="H51" s="618">
        <v>47.8</v>
      </c>
      <c r="I51" s="631">
        <v>45.9</v>
      </c>
      <c r="J51" s="620">
        <f t="shared" si="3"/>
        <v>1.8999999999999986</v>
      </c>
      <c r="K51" s="465"/>
      <c r="L51" s="613"/>
      <c r="M51" s="465"/>
      <c r="N51" s="467" t="s">
        <v>531</v>
      </c>
      <c r="O51" s="467" t="s">
        <v>531</v>
      </c>
      <c r="P51" s="627" t="s">
        <v>531</v>
      </c>
      <c r="R51" s="606">
        <v>1</v>
      </c>
      <c r="S51" s="608" t="s">
        <v>663</v>
      </c>
      <c r="T51" s="608" t="s">
        <v>664</v>
      </c>
      <c r="U51" s="467">
        <v>216</v>
      </c>
      <c r="V51" s="572" t="s">
        <v>60</v>
      </c>
      <c r="W51" s="609">
        <v>34.880000000000003</v>
      </c>
      <c r="X51" s="610">
        <v>44</v>
      </c>
      <c r="Y51" s="467">
        <v>35</v>
      </c>
      <c r="Z51" s="611">
        <v>27</v>
      </c>
      <c r="AA51" s="59"/>
      <c r="AB51" s="545" t="s">
        <v>523</v>
      </c>
      <c r="AC51" s="572"/>
      <c r="AD51" s="144"/>
      <c r="AE51" s="612"/>
      <c r="AF51" s="467">
        <v>4</v>
      </c>
      <c r="AG51" s="613"/>
      <c r="AH51" s="595"/>
      <c r="AI51" s="537" t="s">
        <v>665</v>
      </c>
      <c r="AJ51" s="145" t="s">
        <v>523</v>
      </c>
      <c r="AK51" s="59"/>
      <c r="AL51" s="144"/>
      <c r="AM51" s="97"/>
      <c r="AN51" s="144"/>
      <c r="AO51" s="96">
        <v>0</v>
      </c>
      <c r="AP51" s="97"/>
      <c r="AQ51" s="624"/>
      <c r="AR51" s="495"/>
      <c r="AS51" s="625"/>
      <c r="AT51" s="573"/>
      <c r="AU51" s="573"/>
    </row>
    <row r="52" spans="2:47" ht="18.75" customHeight="1" x14ac:dyDescent="0.4">
      <c r="B52" s="626">
        <v>191</v>
      </c>
      <c r="C52" s="513">
        <v>191</v>
      </c>
      <c r="D52" s="504">
        <f t="shared" si="2"/>
        <v>0</v>
      </c>
      <c r="E52" s="465">
        <v>43</v>
      </c>
      <c r="F52" s="573" t="s">
        <v>147</v>
      </c>
      <c r="G52" s="467">
        <v>1</v>
      </c>
      <c r="H52" s="630">
        <v>48.9</v>
      </c>
      <c r="I52" s="631">
        <v>47.8</v>
      </c>
      <c r="J52" s="620">
        <f t="shared" si="3"/>
        <v>1.1000000000000014</v>
      </c>
      <c r="K52" s="465"/>
      <c r="L52" s="613"/>
      <c r="M52" s="465" t="s">
        <v>531</v>
      </c>
      <c r="N52" s="467" t="s">
        <v>531</v>
      </c>
      <c r="O52" s="467" t="s">
        <v>531</v>
      </c>
      <c r="P52" s="627" t="s">
        <v>531</v>
      </c>
      <c r="R52" s="606">
        <v>1</v>
      </c>
      <c r="S52" s="608" t="s">
        <v>666</v>
      </c>
      <c r="T52" s="608" t="s">
        <v>667</v>
      </c>
      <c r="U52" s="467">
        <v>92</v>
      </c>
      <c r="V52" s="572" t="s">
        <v>60</v>
      </c>
      <c r="W52" s="609">
        <v>35</v>
      </c>
      <c r="X52" s="610">
        <v>45</v>
      </c>
      <c r="Y52" s="467">
        <v>31</v>
      </c>
      <c r="Z52" s="611">
        <v>28</v>
      </c>
      <c r="AA52" s="59"/>
      <c r="AB52" s="59"/>
      <c r="AC52" s="572"/>
      <c r="AD52" s="144"/>
      <c r="AE52" s="612"/>
      <c r="AF52" s="467">
        <v>1</v>
      </c>
      <c r="AG52" s="613"/>
      <c r="AH52" s="595"/>
      <c r="AI52" s="635" t="s">
        <v>668</v>
      </c>
      <c r="AJ52" s="145"/>
      <c r="AK52" s="59"/>
      <c r="AL52" s="546"/>
      <c r="AM52" s="547"/>
      <c r="AN52" s="144"/>
      <c r="AO52" s="96">
        <v>2</v>
      </c>
      <c r="AP52" s="97"/>
      <c r="AQ52" s="572"/>
      <c r="AR52" s="495"/>
      <c r="AS52" s="573"/>
      <c r="AT52" s="573"/>
      <c r="AU52" s="573"/>
    </row>
    <row r="53" spans="2:47" ht="18.75" customHeight="1" x14ac:dyDescent="0.4">
      <c r="B53" s="646">
        <v>191</v>
      </c>
      <c r="C53" s="510">
        <v>191</v>
      </c>
      <c r="D53" s="509">
        <f t="shared" si="2"/>
        <v>0</v>
      </c>
      <c r="E53" s="470">
        <v>44</v>
      </c>
      <c r="F53" s="647" t="s">
        <v>148</v>
      </c>
      <c r="G53" s="472">
        <v>1</v>
      </c>
      <c r="H53" s="648">
        <v>49.3</v>
      </c>
      <c r="I53" s="649">
        <v>47.8</v>
      </c>
      <c r="J53" s="650">
        <f t="shared" si="3"/>
        <v>1.5</v>
      </c>
      <c r="K53" s="470"/>
      <c r="L53" s="604"/>
      <c r="M53" s="470" t="s">
        <v>531</v>
      </c>
      <c r="N53" s="472" t="s">
        <v>531</v>
      </c>
      <c r="O53" s="472" t="s">
        <v>531</v>
      </c>
      <c r="P53" s="598" t="s">
        <v>531</v>
      </c>
      <c r="R53" s="606">
        <v>1</v>
      </c>
      <c r="S53" s="608" t="s">
        <v>669</v>
      </c>
      <c r="T53" s="608" t="s">
        <v>670</v>
      </c>
      <c r="U53" s="467">
        <v>216</v>
      </c>
      <c r="V53" s="572" t="s">
        <v>60</v>
      </c>
      <c r="W53" s="609">
        <v>35.340000000000003</v>
      </c>
      <c r="X53" s="610">
        <v>46</v>
      </c>
      <c r="Y53" s="467">
        <v>34</v>
      </c>
      <c r="Z53" s="611">
        <v>29</v>
      </c>
      <c r="AA53" s="59"/>
      <c r="AB53" s="545" t="s">
        <v>523</v>
      </c>
      <c r="AC53" s="572"/>
      <c r="AD53" s="144"/>
      <c r="AE53" s="612"/>
      <c r="AF53" s="467">
        <v>4</v>
      </c>
      <c r="AG53" s="613"/>
      <c r="AH53" s="595"/>
      <c r="AI53" s="635" t="s">
        <v>671</v>
      </c>
      <c r="AJ53" s="145"/>
      <c r="AK53" s="59"/>
      <c r="AL53" s="546"/>
      <c r="AM53" s="547"/>
      <c r="AN53" s="144"/>
      <c r="AO53" s="96">
        <v>2</v>
      </c>
      <c r="AP53" s="97"/>
      <c r="AQ53" s="572"/>
      <c r="AR53" s="495"/>
      <c r="AS53" s="573"/>
      <c r="AT53" s="573"/>
      <c r="AU53" s="573"/>
    </row>
    <row r="54" spans="2:47" ht="18.75" customHeight="1" x14ac:dyDescent="0.4">
      <c r="B54" s="616">
        <v>138</v>
      </c>
      <c r="C54" s="617">
        <v>152</v>
      </c>
      <c r="D54" s="504">
        <f t="shared" si="2"/>
        <v>14</v>
      </c>
      <c r="E54" s="465">
        <v>45</v>
      </c>
      <c r="F54" s="573" t="s">
        <v>149</v>
      </c>
      <c r="G54" s="467"/>
      <c r="H54" s="618">
        <v>11.1</v>
      </c>
      <c r="I54" s="619">
        <v>12.3</v>
      </c>
      <c r="J54" s="620">
        <f t="shared" si="3"/>
        <v>1.2000000000000011</v>
      </c>
      <c r="K54" s="465"/>
      <c r="L54" s="613"/>
      <c r="M54" s="465"/>
      <c r="N54" s="467"/>
      <c r="O54" s="467"/>
      <c r="P54" s="582"/>
      <c r="R54" s="606">
        <v>1</v>
      </c>
      <c r="S54" s="608" t="s">
        <v>672</v>
      </c>
      <c r="T54" s="608" t="s">
        <v>673</v>
      </c>
      <c r="U54" s="467">
        <v>219</v>
      </c>
      <c r="V54" s="572" t="s">
        <v>60</v>
      </c>
      <c r="W54" s="609">
        <v>35.43</v>
      </c>
      <c r="X54" s="610">
        <v>47</v>
      </c>
      <c r="Y54" s="467">
        <v>35</v>
      </c>
      <c r="Z54" s="611">
        <v>30</v>
      </c>
      <c r="AA54" s="59"/>
      <c r="AB54" s="59"/>
      <c r="AC54" s="572"/>
      <c r="AD54" s="144"/>
      <c r="AE54" s="612"/>
      <c r="AF54" s="467">
        <v>3</v>
      </c>
      <c r="AG54" s="613"/>
      <c r="AH54" s="595"/>
      <c r="AI54" s="651" t="s">
        <v>674</v>
      </c>
      <c r="AJ54" s="145"/>
      <c r="AK54" s="638" t="s">
        <v>525</v>
      </c>
      <c r="AL54" s="546"/>
      <c r="AM54" s="547"/>
      <c r="AN54" s="144"/>
      <c r="AO54" s="96">
        <v>3</v>
      </c>
      <c r="AP54" s="97"/>
      <c r="AQ54" s="572"/>
      <c r="AR54" s="495"/>
      <c r="AS54" s="573"/>
      <c r="AT54" s="573"/>
      <c r="AU54" s="573"/>
    </row>
    <row r="55" spans="2:47" ht="18.75" customHeight="1" x14ac:dyDescent="0.4">
      <c r="B55" s="626">
        <v>135</v>
      </c>
      <c r="C55" s="513">
        <v>135</v>
      </c>
      <c r="D55" s="504">
        <f t="shared" si="2"/>
        <v>0</v>
      </c>
      <c r="E55" s="465">
        <v>46</v>
      </c>
      <c r="F55" s="573" t="s">
        <v>150</v>
      </c>
      <c r="G55" s="576"/>
      <c r="H55" s="618">
        <v>12.3</v>
      </c>
      <c r="I55" s="652">
        <v>14</v>
      </c>
      <c r="J55" s="620">
        <f t="shared" si="3"/>
        <v>1.6999999999999993</v>
      </c>
      <c r="K55" s="465"/>
      <c r="L55" s="613"/>
      <c r="M55" s="465"/>
      <c r="N55" s="467"/>
      <c r="O55" s="467"/>
      <c r="P55" s="582"/>
      <c r="R55" s="606">
        <v>1</v>
      </c>
      <c r="S55" s="608" t="s">
        <v>675</v>
      </c>
      <c r="T55" s="608" t="s">
        <v>676</v>
      </c>
      <c r="U55" s="467">
        <v>216</v>
      </c>
      <c r="V55" s="572" t="s">
        <v>60</v>
      </c>
      <c r="W55" s="609">
        <v>35.729999999999997</v>
      </c>
      <c r="X55" s="610">
        <v>48</v>
      </c>
      <c r="Y55" s="467">
        <v>35</v>
      </c>
      <c r="Z55" s="611">
        <v>31</v>
      </c>
      <c r="AA55" s="59"/>
      <c r="AB55" s="638" t="s">
        <v>525</v>
      </c>
      <c r="AC55" s="572"/>
      <c r="AD55" s="144"/>
      <c r="AE55" s="612"/>
      <c r="AF55" s="467">
        <v>4</v>
      </c>
      <c r="AG55" s="613"/>
      <c r="AH55" s="595"/>
      <c r="AI55" s="645" t="s">
        <v>677</v>
      </c>
      <c r="AJ55" s="145"/>
      <c r="AK55" s="545"/>
      <c r="AL55" s="546"/>
      <c r="AM55" s="97"/>
      <c r="AN55" s="144"/>
      <c r="AO55" s="96">
        <v>2</v>
      </c>
      <c r="AP55" s="548" t="s">
        <v>542</v>
      </c>
      <c r="AQ55" s="572"/>
      <c r="AR55" s="495"/>
      <c r="AS55" s="573"/>
      <c r="AT55" s="573"/>
      <c r="AU55" s="573"/>
    </row>
    <row r="56" spans="2:47" ht="18.75" customHeight="1" x14ac:dyDescent="0.4">
      <c r="B56" s="616">
        <v>163</v>
      </c>
      <c r="C56" s="617">
        <v>149</v>
      </c>
      <c r="D56" s="504">
        <f t="shared" si="2"/>
        <v>14</v>
      </c>
      <c r="E56" s="465">
        <v>47</v>
      </c>
      <c r="F56" s="573" t="s">
        <v>151</v>
      </c>
      <c r="G56" s="576"/>
      <c r="H56" s="618">
        <v>13</v>
      </c>
      <c r="I56" s="619">
        <v>14.5</v>
      </c>
      <c r="J56" s="620">
        <f t="shared" si="3"/>
        <v>1.5</v>
      </c>
      <c r="K56" s="465"/>
      <c r="L56" s="613"/>
      <c r="M56" s="465"/>
      <c r="N56" s="467"/>
      <c r="O56" s="467"/>
      <c r="P56" s="582"/>
      <c r="R56" s="606">
        <v>1</v>
      </c>
      <c r="S56" s="608" t="s">
        <v>678</v>
      </c>
      <c r="T56" s="608" t="s">
        <v>679</v>
      </c>
      <c r="U56" s="467">
        <v>216</v>
      </c>
      <c r="V56" s="572" t="s">
        <v>60</v>
      </c>
      <c r="W56" s="609">
        <v>36.1</v>
      </c>
      <c r="X56" s="610">
        <v>49</v>
      </c>
      <c r="Y56" s="467">
        <v>35</v>
      </c>
      <c r="Z56" s="611" t="s">
        <v>680</v>
      </c>
      <c r="AA56" s="59"/>
      <c r="AB56" s="638" t="s">
        <v>525</v>
      </c>
      <c r="AC56" s="572"/>
      <c r="AD56" s="144"/>
      <c r="AE56" s="612"/>
      <c r="AF56" s="467">
        <v>4</v>
      </c>
      <c r="AG56" s="613"/>
      <c r="AH56" s="595"/>
      <c r="AI56" s="653" t="s">
        <v>681</v>
      </c>
      <c r="AJ56" s="145"/>
      <c r="AK56" s="545"/>
      <c r="AL56" s="546"/>
      <c r="AM56" s="97"/>
      <c r="AN56" s="144"/>
      <c r="AO56" s="96">
        <v>3</v>
      </c>
      <c r="AP56" s="97"/>
      <c r="AQ56" s="572"/>
      <c r="AR56" s="495"/>
      <c r="AS56" s="573"/>
      <c r="AT56" s="573"/>
      <c r="AU56" s="573"/>
    </row>
    <row r="57" spans="2:47" ht="18.75" customHeight="1" x14ac:dyDescent="0.4">
      <c r="B57" s="626">
        <v>163</v>
      </c>
      <c r="C57" s="513">
        <v>163</v>
      </c>
      <c r="D57" s="504">
        <f t="shared" si="2"/>
        <v>0</v>
      </c>
      <c r="E57" s="465">
        <v>48</v>
      </c>
      <c r="F57" s="573" t="s">
        <v>152</v>
      </c>
      <c r="G57" s="576"/>
      <c r="H57" s="618">
        <v>13</v>
      </c>
      <c r="I57" s="619">
        <v>14.6</v>
      </c>
      <c r="J57" s="620">
        <f t="shared" si="3"/>
        <v>1.5999999999999996</v>
      </c>
      <c r="K57" s="465"/>
      <c r="L57" s="613"/>
      <c r="M57" s="465"/>
      <c r="N57" s="467"/>
      <c r="O57" s="467"/>
      <c r="P57" s="582"/>
      <c r="R57" s="606">
        <v>1</v>
      </c>
      <c r="S57" s="608" t="s">
        <v>682</v>
      </c>
      <c r="T57" s="608" t="s">
        <v>683</v>
      </c>
      <c r="U57" s="467">
        <v>216</v>
      </c>
      <c r="V57" s="572" t="s">
        <v>60</v>
      </c>
      <c r="W57" s="609">
        <v>36.21</v>
      </c>
      <c r="X57" s="610">
        <v>50</v>
      </c>
      <c r="Y57" s="467">
        <v>35</v>
      </c>
      <c r="Z57" s="611">
        <v>32</v>
      </c>
      <c r="AA57" s="59"/>
      <c r="AB57" s="638" t="s">
        <v>525</v>
      </c>
      <c r="AC57" s="572"/>
      <c r="AD57" s="144"/>
      <c r="AE57" s="612"/>
      <c r="AF57" s="467">
        <v>4</v>
      </c>
      <c r="AG57" s="613"/>
      <c r="AH57" s="595"/>
      <c r="AI57" s="653" t="s">
        <v>684</v>
      </c>
      <c r="AJ57" s="145"/>
      <c r="AK57" s="545"/>
      <c r="AL57" s="546"/>
      <c r="AM57" s="97"/>
      <c r="AN57" s="144"/>
      <c r="AO57" s="96">
        <v>3</v>
      </c>
      <c r="AP57" s="97"/>
      <c r="AQ57" s="572"/>
      <c r="AR57" s="495"/>
      <c r="AS57" s="573"/>
      <c r="AT57" s="573"/>
      <c r="AU57" s="573"/>
    </row>
    <row r="58" spans="2:47" ht="18.75" customHeight="1" x14ac:dyDescent="0.4">
      <c r="B58" s="616">
        <v>152</v>
      </c>
      <c r="C58" s="617">
        <v>166</v>
      </c>
      <c r="D58" s="504">
        <f t="shared" si="2"/>
        <v>14</v>
      </c>
      <c r="E58" s="465">
        <v>49</v>
      </c>
      <c r="F58" s="573" t="s">
        <v>153</v>
      </c>
      <c r="G58" s="467"/>
      <c r="H58" s="618">
        <v>13</v>
      </c>
      <c r="I58" s="619">
        <v>14.2</v>
      </c>
      <c r="J58" s="620">
        <f t="shared" si="3"/>
        <v>1.1999999999999993</v>
      </c>
      <c r="K58" s="465"/>
      <c r="L58" s="613"/>
      <c r="M58" s="465"/>
      <c r="N58" s="467"/>
      <c r="O58" s="467"/>
      <c r="P58" s="582"/>
      <c r="R58" s="606">
        <v>1</v>
      </c>
      <c r="S58" s="608" t="s">
        <v>685</v>
      </c>
      <c r="T58" s="608" t="s">
        <v>686</v>
      </c>
      <c r="U58" s="467">
        <v>191</v>
      </c>
      <c r="V58" s="572" t="s">
        <v>60</v>
      </c>
      <c r="W58" s="609">
        <v>36.74</v>
      </c>
      <c r="X58" s="610">
        <v>51</v>
      </c>
      <c r="Y58" s="467">
        <v>26</v>
      </c>
      <c r="Z58" s="611" t="s">
        <v>687</v>
      </c>
      <c r="AA58" s="59" t="s">
        <v>523</v>
      </c>
      <c r="AB58" s="59"/>
      <c r="AC58" s="572"/>
      <c r="AD58" s="144"/>
      <c r="AE58" s="612"/>
      <c r="AF58" s="467">
        <v>0</v>
      </c>
      <c r="AG58" s="613"/>
      <c r="AH58" s="595"/>
      <c r="AI58" s="645" t="s">
        <v>688</v>
      </c>
      <c r="AJ58" s="145"/>
      <c r="AK58" s="545"/>
      <c r="AL58" s="546"/>
      <c r="AM58" s="97"/>
      <c r="AN58" s="144"/>
      <c r="AO58" s="96">
        <v>3</v>
      </c>
      <c r="AP58" s="548" t="s">
        <v>542</v>
      </c>
      <c r="AQ58" s="572"/>
      <c r="AR58" s="495"/>
      <c r="AS58" s="573"/>
      <c r="AT58" s="573"/>
      <c r="AU58" s="573"/>
    </row>
    <row r="59" spans="2:47" ht="18.75" customHeight="1" x14ac:dyDescent="0.4">
      <c r="B59" s="626">
        <v>104</v>
      </c>
      <c r="C59" s="513">
        <v>104</v>
      </c>
      <c r="D59" s="504">
        <f t="shared" si="2"/>
        <v>0</v>
      </c>
      <c r="E59" s="465">
        <v>50</v>
      </c>
      <c r="F59" s="573" t="s">
        <v>154</v>
      </c>
      <c r="G59" s="467"/>
      <c r="H59" s="618">
        <v>14.1</v>
      </c>
      <c r="I59" s="619">
        <v>15.3</v>
      </c>
      <c r="J59" s="620">
        <f t="shared" si="3"/>
        <v>1.2000000000000011</v>
      </c>
      <c r="K59" s="465"/>
      <c r="L59" s="613"/>
      <c r="M59" s="465"/>
      <c r="N59" s="467"/>
      <c r="O59" s="467"/>
      <c r="P59" s="582"/>
      <c r="R59" s="606">
        <v>1</v>
      </c>
      <c r="S59" s="608" t="s">
        <v>689</v>
      </c>
      <c r="T59" s="608" t="s">
        <v>690</v>
      </c>
      <c r="U59" s="467">
        <v>191</v>
      </c>
      <c r="V59" s="572" t="s">
        <v>60</v>
      </c>
      <c r="W59" s="609">
        <v>37.549999999999997</v>
      </c>
      <c r="X59" s="610">
        <v>52</v>
      </c>
      <c r="Y59" s="467">
        <v>26</v>
      </c>
      <c r="Z59" s="611">
        <v>33</v>
      </c>
      <c r="AA59" s="59" t="s">
        <v>523</v>
      </c>
      <c r="AB59" s="59"/>
      <c r="AC59" s="572"/>
      <c r="AD59" s="144"/>
      <c r="AE59" s="612"/>
      <c r="AF59" s="467">
        <v>0</v>
      </c>
      <c r="AG59" s="613"/>
      <c r="AH59" s="595"/>
      <c r="AI59" s="653" t="s">
        <v>691</v>
      </c>
      <c r="AJ59" s="145"/>
      <c r="AK59" s="545"/>
      <c r="AL59" s="546"/>
      <c r="AM59" s="97"/>
      <c r="AN59" s="144"/>
      <c r="AO59" s="96">
        <v>3</v>
      </c>
      <c r="AP59" s="97"/>
      <c r="AQ59" s="572"/>
      <c r="AR59" s="495"/>
      <c r="AS59" s="573"/>
      <c r="AT59" s="573"/>
      <c r="AU59" s="573"/>
    </row>
    <row r="60" spans="2:47" ht="18.75" customHeight="1" x14ac:dyDescent="0.4">
      <c r="B60" s="616">
        <v>177</v>
      </c>
      <c r="C60" s="617">
        <v>135</v>
      </c>
      <c r="D60" s="498">
        <f t="shared" si="2"/>
        <v>42</v>
      </c>
      <c r="E60" s="465">
        <v>51</v>
      </c>
      <c r="F60" s="573" t="s">
        <v>155</v>
      </c>
      <c r="G60" s="467"/>
      <c r="H60" s="618">
        <v>15.5</v>
      </c>
      <c r="I60" s="619">
        <v>16.5</v>
      </c>
      <c r="J60" s="620">
        <f t="shared" si="3"/>
        <v>1</v>
      </c>
      <c r="K60" s="465"/>
      <c r="L60" s="613"/>
      <c r="M60" s="465"/>
      <c r="N60" s="467"/>
      <c r="O60" s="467"/>
      <c r="P60" s="582"/>
      <c r="R60" s="606">
        <v>1</v>
      </c>
      <c r="S60" s="608" t="s">
        <v>692</v>
      </c>
      <c r="T60" s="608" t="s">
        <v>693</v>
      </c>
      <c r="U60" s="467">
        <v>92</v>
      </c>
      <c r="V60" s="572" t="s">
        <v>60</v>
      </c>
      <c r="W60" s="609">
        <v>38.299999999999997</v>
      </c>
      <c r="X60" s="610">
        <v>53</v>
      </c>
      <c r="Y60" s="467">
        <v>31</v>
      </c>
      <c r="Z60" s="611">
        <v>28</v>
      </c>
      <c r="AA60" s="59"/>
      <c r="AB60" s="59"/>
      <c r="AC60" s="572"/>
      <c r="AD60" s="144"/>
      <c r="AE60" s="612"/>
      <c r="AF60" s="467">
        <v>1</v>
      </c>
      <c r="AG60" s="613"/>
      <c r="AH60" s="595"/>
      <c r="AI60" s="653" t="s">
        <v>694</v>
      </c>
      <c r="AJ60" s="145"/>
      <c r="AK60" s="545"/>
      <c r="AL60" s="546"/>
      <c r="AM60" s="97"/>
      <c r="AN60" s="144"/>
      <c r="AO60" s="96">
        <v>3</v>
      </c>
      <c r="AP60" s="97"/>
      <c r="AQ60" s="624"/>
      <c r="AR60" s="495" t="s">
        <v>31</v>
      </c>
      <c r="AS60" s="625" t="s">
        <v>32</v>
      </c>
      <c r="AT60" s="573"/>
      <c r="AU60" s="573"/>
    </row>
    <row r="61" spans="2:47" ht="18.75" customHeight="1" x14ac:dyDescent="0.4">
      <c r="B61" s="626">
        <v>177</v>
      </c>
      <c r="C61" s="513">
        <v>123</v>
      </c>
      <c r="D61" s="498">
        <f t="shared" si="2"/>
        <v>54</v>
      </c>
      <c r="E61" s="465">
        <v>52</v>
      </c>
      <c r="F61" s="573" t="s">
        <v>156</v>
      </c>
      <c r="G61" s="467"/>
      <c r="H61" s="630">
        <v>15.5</v>
      </c>
      <c r="I61" s="631">
        <v>23.4</v>
      </c>
      <c r="J61" s="620">
        <f t="shared" si="3"/>
        <v>7.8999999999999986</v>
      </c>
      <c r="K61" s="465"/>
      <c r="L61" s="613"/>
      <c r="M61" s="465"/>
      <c r="N61" s="467"/>
      <c r="O61" s="467"/>
      <c r="P61" s="582"/>
      <c r="R61" s="606">
        <v>1</v>
      </c>
      <c r="S61" s="608" t="s">
        <v>695</v>
      </c>
      <c r="T61" s="608" t="s">
        <v>696</v>
      </c>
      <c r="U61" s="467">
        <v>218</v>
      </c>
      <c r="V61" s="572" t="s">
        <v>60</v>
      </c>
      <c r="W61" s="609">
        <v>43.86</v>
      </c>
      <c r="X61" s="610">
        <v>54</v>
      </c>
      <c r="Y61" s="467">
        <v>28</v>
      </c>
      <c r="Z61" s="611">
        <v>34</v>
      </c>
      <c r="AA61" s="59"/>
      <c r="AB61" s="59"/>
      <c r="AC61" s="572"/>
      <c r="AD61" s="144"/>
      <c r="AE61" s="612"/>
      <c r="AF61" s="467">
        <v>0</v>
      </c>
      <c r="AG61" s="613"/>
      <c r="AH61" s="595"/>
      <c r="AI61" s="537" t="s">
        <v>697</v>
      </c>
      <c r="AJ61" s="145" t="s">
        <v>523</v>
      </c>
      <c r="AK61" s="545"/>
      <c r="AL61" s="144"/>
      <c r="AM61" s="97"/>
      <c r="AN61" s="144"/>
      <c r="AO61" s="96">
        <v>0</v>
      </c>
      <c r="AP61" s="97"/>
      <c r="AQ61" s="572"/>
      <c r="AR61" s="504">
        <v>11</v>
      </c>
      <c r="AS61" s="573" t="s">
        <v>193</v>
      </c>
      <c r="AT61" s="573"/>
      <c r="AU61" s="573"/>
    </row>
    <row r="62" spans="2:47" ht="18.75" customHeight="1" x14ac:dyDescent="0.4">
      <c r="B62" s="616">
        <v>106</v>
      </c>
      <c r="C62" s="617">
        <v>123</v>
      </c>
      <c r="D62" s="504">
        <f t="shared" si="2"/>
        <v>17</v>
      </c>
      <c r="E62" s="465">
        <v>53</v>
      </c>
      <c r="F62" s="573" t="s">
        <v>157</v>
      </c>
      <c r="G62" s="467"/>
      <c r="H62" s="630">
        <v>18.7</v>
      </c>
      <c r="I62" s="631">
        <v>23.4</v>
      </c>
      <c r="J62" s="620">
        <f t="shared" si="3"/>
        <v>4.6999999999999993</v>
      </c>
      <c r="K62" s="465"/>
      <c r="L62" s="613"/>
      <c r="M62" s="465"/>
      <c r="N62" s="467"/>
      <c r="O62" s="467"/>
      <c r="P62" s="582"/>
      <c r="R62" s="606">
        <v>1</v>
      </c>
      <c r="S62" s="608" t="s">
        <v>698</v>
      </c>
      <c r="T62" s="608" t="s">
        <v>699</v>
      </c>
      <c r="U62" s="467">
        <v>191</v>
      </c>
      <c r="V62" s="572" t="s">
        <v>60</v>
      </c>
      <c r="W62" s="609">
        <v>44.67</v>
      </c>
      <c r="X62" s="610">
        <v>55</v>
      </c>
      <c r="Y62" s="467">
        <v>27</v>
      </c>
      <c r="Z62" s="611">
        <v>35</v>
      </c>
      <c r="AA62" s="59" t="s">
        <v>523</v>
      </c>
      <c r="AB62" s="59"/>
      <c r="AC62" s="572"/>
      <c r="AD62" s="144"/>
      <c r="AE62" s="612"/>
      <c r="AF62" s="467">
        <v>0</v>
      </c>
      <c r="AG62" s="613"/>
      <c r="AH62" s="595"/>
      <c r="AI62" s="537" t="s">
        <v>700</v>
      </c>
      <c r="AJ62" s="145" t="s">
        <v>523</v>
      </c>
      <c r="AK62" s="545"/>
      <c r="AL62" s="144"/>
      <c r="AM62" s="97"/>
      <c r="AN62" s="144"/>
      <c r="AO62" s="96">
        <v>0</v>
      </c>
      <c r="AP62" s="97"/>
      <c r="AQ62" s="572"/>
      <c r="AR62" s="504">
        <v>12</v>
      </c>
      <c r="AS62" s="573" t="s">
        <v>196</v>
      </c>
      <c r="AT62" s="573"/>
      <c r="AU62" s="573"/>
    </row>
    <row r="63" spans="2:47" ht="18.75" customHeight="1" x14ac:dyDescent="0.4">
      <c r="B63" s="626">
        <v>106</v>
      </c>
      <c r="C63" s="513">
        <v>106</v>
      </c>
      <c r="D63" s="504">
        <f t="shared" si="2"/>
        <v>0</v>
      </c>
      <c r="E63" s="465">
        <v>54</v>
      </c>
      <c r="F63" s="573" t="s">
        <v>158</v>
      </c>
      <c r="G63" s="467"/>
      <c r="H63" s="630">
        <v>18.725753191489336</v>
      </c>
      <c r="I63" s="631">
        <v>19.100000000000001</v>
      </c>
      <c r="J63" s="620">
        <f t="shared" si="3"/>
        <v>0.37424680851066583</v>
      </c>
      <c r="K63" s="465"/>
      <c r="L63" s="613"/>
      <c r="M63" s="465"/>
      <c r="N63" s="467"/>
      <c r="O63" s="467"/>
      <c r="P63" s="582"/>
      <c r="R63" s="606">
        <v>1</v>
      </c>
      <c r="S63" s="608" t="s">
        <v>701</v>
      </c>
      <c r="T63" s="608" t="s">
        <v>701</v>
      </c>
      <c r="U63" s="467">
        <v>231</v>
      </c>
      <c r="V63" s="572" t="s">
        <v>60</v>
      </c>
      <c r="W63" s="609">
        <v>45</v>
      </c>
      <c r="X63" s="610">
        <v>56</v>
      </c>
      <c r="Y63" s="467">
        <v>37</v>
      </c>
      <c r="Z63" s="611">
        <v>36</v>
      </c>
      <c r="AA63" s="59" t="s">
        <v>523</v>
      </c>
      <c r="AB63" s="545" t="s">
        <v>523</v>
      </c>
      <c r="AC63" s="572"/>
      <c r="AD63" s="144"/>
      <c r="AE63" s="612"/>
      <c r="AF63" s="467">
        <v>3</v>
      </c>
      <c r="AG63" s="613"/>
      <c r="AH63" s="595"/>
      <c r="AI63" s="651" t="s">
        <v>702</v>
      </c>
      <c r="AJ63" s="145"/>
      <c r="AK63" s="638" t="s">
        <v>525</v>
      </c>
      <c r="AL63" s="144"/>
      <c r="AM63" s="97"/>
      <c r="AN63" s="144"/>
      <c r="AO63" s="96" t="s">
        <v>703</v>
      </c>
      <c r="AP63" s="97"/>
      <c r="AQ63" s="624"/>
      <c r="AR63" s="504">
        <v>13</v>
      </c>
      <c r="AS63" s="573" t="s">
        <v>199</v>
      </c>
      <c r="AT63" s="573"/>
      <c r="AU63" s="573"/>
    </row>
    <row r="64" spans="2:47" ht="18.75" customHeight="1" x14ac:dyDescent="0.4">
      <c r="B64" s="626">
        <v>92</v>
      </c>
      <c r="C64" s="513">
        <v>92</v>
      </c>
      <c r="D64" s="504">
        <f t="shared" si="2"/>
        <v>0</v>
      </c>
      <c r="E64" s="465">
        <v>55</v>
      </c>
      <c r="F64" s="573" t="s">
        <v>159</v>
      </c>
      <c r="G64" s="467"/>
      <c r="H64" s="618">
        <v>19</v>
      </c>
      <c r="I64" s="619">
        <v>25.7</v>
      </c>
      <c r="J64" s="620">
        <f t="shared" si="3"/>
        <v>6.6999999999999993</v>
      </c>
      <c r="K64" s="465"/>
      <c r="L64" s="613"/>
      <c r="M64" s="465"/>
      <c r="N64" s="467"/>
      <c r="O64" s="467"/>
      <c r="P64" s="582"/>
      <c r="R64" s="606">
        <v>1</v>
      </c>
      <c r="S64" s="608" t="s">
        <v>704</v>
      </c>
      <c r="T64" s="608" t="s">
        <v>705</v>
      </c>
      <c r="U64" s="467">
        <v>191</v>
      </c>
      <c r="V64" s="572" t="s">
        <v>60</v>
      </c>
      <c r="W64" s="609">
        <v>45.16</v>
      </c>
      <c r="X64" s="610">
        <v>57</v>
      </c>
      <c r="Y64" s="467">
        <v>27</v>
      </c>
      <c r="Z64" s="611">
        <v>37</v>
      </c>
      <c r="AA64" s="59" t="s">
        <v>523</v>
      </c>
      <c r="AB64" s="59"/>
      <c r="AC64" s="572"/>
      <c r="AD64" s="144"/>
      <c r="AE64" s="612"/>
      <c r="AF64" s="467">
        <v>0</v>
      </c>
      <c r="AG64" s="613"/>
      <c r="AH64" s="595"/>
      <c r="AI64" s="651" t="s">
        <v>706</v>
      </c>
      <c r="AJ64" s="145" t="s">
        <v>523</v>
      </c>
      <c r="AK64" s="545" t="s">
        <v>523</v>
      </c>
      <c r="AL64" s="144"/>
      <c r="AM64" s="97"/>
      <c r="AN64" s="144"/>
      <c r="AO64" s="96">
        <v>3</v>
      </c>
      <c r="AP64" s="97"/>
      <c r="AQ64" s="572"/>
      <c r="AR64" s="495"/>
      <c r="AS64" s="625" t="s">
        <v>202</v>
      </c>
      <c r="AT64" s="573"/>
      <c r="AU64" s="573"/>
    </row>
    <row r="65" spans="2:47" ht="18.75" customHeight="1" x14ac:dyDescent="0.4">
      <c r="B65" s="626">
        <v>123</v>
      </c>
      <c r="C65" s="513">
        <v>123</v>
      </c>
      <c r="D65" s="504">
        <f t="shared" si="2"/>
        <v>0</v>
      </c>
      <c r="E65" s="465">
        <v>56</v>
      </c>
      <c r="F65" s="573" t="s">
        <v>160</v>
      </c>
      <c r="G65" s="467"/>
      <c r="H65" s="618">
        <v>20.399999999999999</v>
      </c>
      <c r="I65" s="619">
        <v>21.5</v>
      </c>
      <c r="J65" s="620">
        <f t="shared" si="3"/>
        <v>1.1000000000000014</v>
      </c>
      <c r="K65" s="465"/>
      <c r="L65" s="613"/>
      <c r="M65" s="465"/>
      <c r="N65" s="467"/>
      <c r="O65" s="467"/>
      <c r="P65" s="582"/>
      <c r="R65" s="606">
        <v>1</v>
      </c>
      <c r="S65" s="608" t="s">
        <v>707</v>
      </c>
      <c r="T65" s="608" t="s">
        <v>707</v>
      </c>
      <c r="U65" s="467">
        <v>231</v>
      </c>
      <c r="V65" s="572" t="s">
        <v>60</v>
      </c>
      <c r="W65" s="609">
        <v>45.87</v>
      </c>
      <c r="X65" s="610">
        <v>58</v>
      </c>
      <c r="Y65" s="467">
        <v>37</v>
      </c>
      <c r="Z65" s="611" t="s">
        <v>708</v>
      </c>
      <c r="AA65" s="59" t="s">
        <v>523</v>
      </c>
      <c r="AB65" s="545" t="s">
        <v>523</v>
      </c>
      <c r="AC65" s="572"/>
      <c r="AD65" s="144"/>
      <c r="AE65" s="612"/>
      <c r="AF65" s="467">
        <v>3</v>
      </c>
      <c r="AG65" s="613"/>
      <c r="AH65" s="595"/>
      <c r="AI65" s="537" t="s">
        <v>709</v>
      </c>
      <c r="AJ65" s="145" t="s">
        <v>523</v>
      </c>
      <c r="AK65" s="545"/>
      <c r="AL65" s="144"/>
      <c r="AM65" s="97"/>
      <c r="AN65" s="144"/>
      <c r="AO65" s="96">
        <v>0</v>
      </c>
      <c r="AP65" s="97"/>
      <c r="AQ65" s="572"/>
      <c r="AR65" s="504">
        <v>21</v>
      </c>
      <c r="AS65" s="573" t="s">
        <v>204</v>
      </c>
      <c r="AT65" s="573"/>
      <c r="AU65" s="573"/>
    </row>
    <row r="66" spans="2:47" ht="18.75" customHeight="1" x14ac:dyDescent="0.4">
      <c r="B66" s="626">
        <v>156</v>
      </c>
      <c r="C66" s="513">
        <v>156</v>
      </c>
      <c r="D66" s="504">
        <f t="shared" si="2"/>
        <v>0</v>
      </c>
      <c r="E66" s="465">
        <v>57</v>
      </c>
      <c r="F66" s="573" t="s">
        <v>161</v>
      </c>
      <c r="G66" s="467"/>
      <c r="H66" s="630">
        <v>20.399999999999999</v>
      </c>
      <c r="I66" s="631">
        <v>20.399999999999999</v>
      </c>
      <c r="J66" s="620">
        <f t="shared" si="3"/>
        <v>0</v>
      </c>
      <c r="K66" s="465"/>
      <c r="L66" s="613"/>
      <c r="M66" s="465"/>
      <c r="N66" s="467"/>
      <c r="O66" s="467"/>
      <c r="P66" s="639"/>
      <c r="R66" s="606">
        <v>1</v>
      </c>
      <c r="S66" s="608" t="s">
        <v>710</v>
      </c>
      <c r="T66" s="608" t="s">
        <v>711</v>
      </c>
      <c r="U66" s="467">
        <v>218</v>
      </c>
      <c r="V66" s="572" t="s">
        <v>60</v>
      </c>
      <c r="W66" s="609">
        <v>46.21</v>
      </c>
      <c r="X66" s="610">
        <v>59</v>
      </c>
      <c r="Y66" s="467">
        <v>28</v>
      </c>
      <c r="Z66" s="611" t="s">
        <v>712</v>
      </c>
      <c r="AA66" s="59" t="s">
        <v>523</v>
      </c>
      <c r="AB66" s="59"/>
      <c r="AC66" s="572"/>
      <c r="AD66" s="144"/>
      <c r="AE66" s="612"/>
      <c r="AF66" s="467">
        <v>0</v>
      </c>
      <c r="AG66" s="613"/>
      <c r="AH66" s="595"/>
      <c r="AI66" s="651" t="s">
        <v>713</v>
      </c>
      <c r="AJ66" s="145" t="s">
        <v>523</v>
      </c>
      <c r="AK66" s="545" t="s">
        <v>523</v>
      </c>
      <c r="AL66" s="144"/>
      <c r="AM66" s="97"/>
      <c r="AN66" s="144"/>
      <c r="AO66" s="96">
        <v>3</v>
      </c>
      <c r="AP66" s="97"/>
      <c r="AQ66" s="572"/>
      <c r="AR66" s="504">
        <v>22</v>
      </c>
      <c r="AS66" s="573" t="s">
        <v>207</v>
      </c>
      <c r="AT66" s="573"/>
      <c r="AU66" s="573"/>
    </row>
    <row r="67" spans="2:47" ht="18.75" customHeight="1" x14ac:dyDescent="0.4">
      <c r="B67" s="616">
        <v>152</v>
      </c>
      <c r="C67" s="617">
        <v>156</v>
      </c>
      <c r="D67" s="504">
        <f t="shared" si="2"/>
        <v>4</v>
      </c>
      <c r="E67" s="465">
        <v>58</v>
      </c>
      <c r="F67" s="573" t="s">
        <v>162</v>
      </c>
      <c r="G67" s="467"/>
      <c r="H67" s="630">
        <v>21</v>
      </c>
      <c r="I67" s="631">
        <v>21.1</v>
      </c>
      <c r="J67" s="620">
        <f t="shared" si="3"/>
        <v>0.10000000000000142</v>
      </c>
      <c r="K67" s="465"/>
      <c r="L67" s="613"/>
      <c r="M67" s="465"/>
      <c r="N67" s="467"/>
      <c r="O67" s="467"/>
      <c r="P67" s="582"/>
      <c r="R67" s="606">
        <v>1</v>
      </c>
      <c r="S67" s="608" t="s">
        <v>714</v>
      </c>
      <c r="T67" s="608" t="s">
        <v>715</v>
      </c>
      <c r="U67" s="467">
        <v>191</v>
      </c>
      <c r="V67" s="572" t="s">
        <v>60</v>
      </c>
      <c r="W67" s="609">
        <v>46.28</v>
      </c>
      <c r="X67" s="610">
        <v>141</v>
      </c>
      <c r="Y67" s="467">
        <v>27</v>
      </c>
      <c r="Z67" s="611"/>
      <c r="AA67" s="59" t="s">
        <v>523</v>
      </c>
      <c r="AB67" s="59"/>
      <c r="AC67" s="572"/>
      <c r="AD67" s="144"/>
      <c r="AE67" s="612"/>
      <c r="AF67" s="467">
        <v>0</v>
      </c>
      <c r="AG67" s="613"/>
      <c r="AH67" s="595"/>
      <c r="AI67" s="651" t="s">
        <v>716</v>
      </c>
      <c r="AJ67" s="145"/>
      <c r="AK67" s="545" t="s">
        <v>523</v>
      </c>
      <c r="AL67" s="144"/>
      <c r="AM67" s="97"/>
      <c r="AN67" s="144"/>
      <c r="AO67" s="96">
        <v>4</v>
      </c>
      <c r="AP67" s="97"/>
      <c r="AQ67" s="572"/>
      <c r="AR67" s="504">
        <v>23</v>
      </c>
      <c r="AS67" s="573" t="s">
        <v>209</v>
      </c>
      <c r="AT67" s="573"/>
      <c r="AU67" s="573"/>
    </row>
    <row r="68" spans="2:47" ht="18.75" customHeight="1" x14ac:dyDescent="0.4">
      <c r="B68" s="616">
        <v>188</v>
      </c>
      <c r="C68" s="617">
        <v>187</v>
      </c>
      <c r="D68" s="504">
        <f t="shared" si="2"/>
        <v>1</v>
      </c>
      <c r="E68" s="465">
        <v>59</v>
      </c>
      <c r="F68" s="573" t="s">
        <v>163</v>
      </c>
      <c r="G68" s="467"/>
      <c r="H68" s="630">
        <v>22.5</v>
      </c>
      <c r="I68" s="631">
        <v>22.7</v>
      </c>
      <c r="J68" s="620">
        <f t="shared" si="3"/>
        <v>0.19999999999999929</v>
      </c>
      <c r="K68" s="465"/>
      <c r="L68" s="613"/>
      <c r="M68" s="465"/>
      <c r="N68" s="467"/>
      <c r="O68" s="467"/>
      <c r="P68" s="639"/>
      <c r="R68" s="606">
        <v>1</v>
      </c>
      <c r="S68" s="608" t="s">
        <v>717</v>
      </c>
      <c r="T68" s="608" t="s">
        <v>717</v>
      </c>
      <c r="U68" s="467">
        <v>231</v>
      </c>
      <c r="V68" s="572" t="s">
        <v>60</v>
      </c>
      <c r="W68" s="609">
        <v>46.6</v>
      </c>
      <c r="X68" s="610">
        <v>60</v>
      </c>
      <c r="Y68" s="467">
        <v>37</v>
      </c>
      <c r="Z68" s="611">
        <v>39</v>
      </c>
      <c r="AA68" s="59" t="s">
        <v>523</v>
      </c>
      <c r="AB68" s="545" t="s">
        <v>523</v>
      </c>
      <c r="AC68" s="572"/>
      <c r="AD68" s="144"/>
      <c r="AE68" s="612"/>
      <c r="AF68" s="467">
        <v>3</v>
      </c>
      <c r="AG68" s="613"/>
      <c r="AH68" s="595"/>
      <c r="AI68" s="537" t="s">
        <v>718</v>
      </c>
      <c r="AJ68" s="145" t="s">
        <v>523</v>
      </c>
      <c r="AK68" s="545"/>
      <c r="AL68" s="144"/>
      <c r="AM68" s="97"/>
      <c r="AN68" s="144"/>
      <c r="AO68" s="96">
        <v>0</v>
      </c>
      <c r="AP68" s="97"/>
      <c r="AQ68" s="572"/>
      <c r="AR68" s="504">
        <v>24</v>
      </c>
      <c r="AS68" s="573" t="s">
        <v>563</v>
      </c>
      <c r="AT68" s="573"/>
      <c r="AU68" s="573"/>
    </row>
    <row r="69" spans="2:47" ht="18.75" customHeight="1" x14ac:dyDescent="0.4">
      <c r="B69" s="626">
        <v>74</v>
      </c>
      <c r="C69" s="513">
        <v>74</v>
      </c>
      <c r="D69" s="504">
        <f t="shared" si="2"/>
        <v>0</v>
      </c>
      <c r="E69" s="465">
        <v>60</v>
      </c>
      <c r="F69" s="573" t="s">
        <v>164</v>
      </c>
      <c r="G69" s="467"/>
      <c r="H69" s="618">
        <v>22.6</v>
      </c>
      <c r="I69" s="619">
        <v>30.5</v>
      </c>
      <c r="J69" s="620">
        <f t="shared" si="3"/>
        <v>7.8999999999999986</v>
      </c>
      <c r="K69" s="465"/>
      <c r="L69" s="613"/>
      <c r="M69" s="465"/>
      <c r="N69" s="467"/>
      <c r="O69" s="467"/>
      <c r="P69" s="639"/>
      <c r="R69" s="606">
        <v>1</v>
      </c>
      <c r="S69" s="608" t="s">
        <v>719</v>
      </c>
      <c r="T69" s="608" t="s">
        <v>720</v>
      </c>
      <c r="U69" s="467">
        <v>191</v>
      </c>
      <c r="V69" s="572" t="s">
        <v>60</v>
      </c>
      <c r="W69" s="609">
        <v>46.78</v>
      </c>
      <c r="X69" s="610">
        <v>61</v>
      </c>
      <c r="Y69" s="467">
        <v>27</v>
      </c>
      <c r="Z69" s="611">
        <v>40</v>
      </c>
      <c r="AA69" s="59" t="s">
        <v>523</v>
      </c>
      <c r="AB69" s="59"/>
      <c r="AC69" s="572"/>
      <c r="AD69" s="144"/>
      <c r="AE69" s="612"/>
      <c r="AF69" s="467">
        <v>0</v>
      </c>
      <c r="AG69" s="613"/>
      <c r="AH69" s="595"/>
      <c r="AI69" s="537" t="s">
        <v>721</v>
      </c>
      <c r="AJ69" s="145" t="s">
        <v>523</v>
      </c>
      <c r="AK69" s="59"/>
      <c r="AL69" s="144"/>
      <c r="AM69" s="97"/>
      <c r="AN69" s="144"/>
      <c r="AO69" s="96">
        <v>0</v>
      </c>
      <c r="AP69" s="97"/>
      <c r="AQ69" s="572"/>
      <c r="AR69" s="504">
        <v>25</v>
      </c>
      <c r="AS69" s="573" t="s">
        <v>213</v>
      </c>
      <c r="AT69" s="573"/>
      <c r="AU69" s="573"/>
    </row>
    <row r="70" spans="2:47" ht="18.75" customHeight="1" x14ac:dyDescent="0.4">
      <c r="B70" s="626">
        <v>170</v>
      </c>
      <c r="C70" s="513">
        <v>170</v>
      </c>
      <c r="D70" s="504">
        <f t="shared" si="2"/>
        <v>0</v>
      </c>
      <c r="E70" s="465">
        <v>61</v>
      </c>
      <c r="F70" s="573" t="s">
        <v>165</v>
      </c>
      <c r="G70" s="467"/>
      <c r="H70" s="618">
        <v>22.7</v>
      </c>
      <c r="I70" s="619">
        <v>22.8</v>
      </c>
      <c r="J70" s="620">
        <f t="shared" si="3"/>
        <v>0.10000000000000142</v>
      </c>
      <c r="K70" s="465"/>
      <c r="L70" s="613"/>
      <c r="M70" s="465"/>
      <c r="N70" s="467"/>
      <c r="O70" s="467"/>
      <c r="P70" s="582"/>
      <c r="R70" s="606">
        <v>1</v>
      </c>
      <c r="S70" s="608" t="s">
        <v>722</v>
      </c>
      <c r="T70" s="608" t="s">
        <v>723</v>
      </c>
      <c r="U70" s="467">
        <v>191</v>
      </c>
      <c r="V70" s="572" t="s">
        <v>60</v>
      </c>
      <c r="W70" s="609">
        <v>47.7</v>
      </c>
      <c r="X70" s="610">
        <v>62</v>
      </c>
      <c r="Y70" s="467">
        <v>27</v>
      </c>
      <c r="Z70" s="611">
        <v>41</v>
      </c>
      <c r="AA70" s="59" t="s">
        <v>523</v>
      </c>
      <c r="AB70" s="59"/>
      <c r="AC70" s="572"/>
      <c r="AD70" s="144"/>
      <c r="AE70" s="612"/>
      <c r="AF70" s="467">
        <v>0</v>
      </c>
      <c r="AG70" s="613"/>
      <c r="AH70" s="595"/>
      <c r="AI70" s="537" t="s">
        <v>724</v>
      </c>
      <c r="AJ70" s="145" t="s">
        <v>523</v>
      </c>
      <c r="AK70" s="59"/>
      <c r="AL70" s="144"/>
      <c r="AM70" s="97"/>
      <c r="AN70" s="144"/>
      <c r="AO70" s="96">
        <v>0</v>
      </c>
      <c r="AP70" s="97"/>
      <c r="AQ70" s="572"/>
      <c r="AR70" s="504">
        <v>26</v>
      </c>
      <c r="AS70" s="573" t="s">
        <v>570</v>
      </c>
      <c r="AT70" s="573"/>
      <c r="AU70" s="573"/>
    </row>
    <row r="71" spans="2:47" ht="18.75" customHeight="1" x14ac:dyDescent="0.4">
      <c r="B71" s="616">
        <v>193</v>
      </c>
      <c r="C71" s="617">
        <v>123</v>
      </c>
      <c r="D71" s="498">
        <f t="shared" si="2"/>
        <v>70</v>
      </c>
      <c r="E71" s="465">
        <v>62</v>
      </c>
      <c r="F71" s="573" t="s">
        <v>166</v>
      </c>
      <c r="G71" s="467"/>
      <c r="H71" s="618">
        <v>23.2</v>
      </c>
      <c r="I71" s="619">
        <v>23.4</v>
      </c>
      <c r="J71" s="620">
        <f t="shared" si="3"/>
        <v>0.19999999999999929</v>
      </c>
      <c r="K71" s="465"/>
      <c r="L71" s="613"/>
      <c r="M71" s="465"/>
      <c r="N71" s="467"/>
      <c r="O71" s="467"/>
      <c r="P71" s="639"/>
      <c r="R71" s="606">
        <v>1</v>
      </c>
      <c r="S71" s="608" t="s">
        <v>725</v>
      </c>
      <c r="T71" s="608" t="s">
        <v>726</v>
      </c>
      <c r="U71" s="467">
        <v>191</v>
      </c>
      <c r="V71" s="572" t="s">
        <v>60</v>
      </c>
      <c r="W71" s="609">
        <v>47.77</v>
      </c>
      <c r="X71" s="610">
        <v>63</v>
      </c>
      <c r="Y71" s="467">
        <v>27</v>
      </c>
      <c r="Z71" s="611" t="s">
        <v>727</v>
      </c>
      <c r="AA71" s="59" t="s">
        <v>523</v>
      </c>
      <c r="AB71" s="59"/>
      <c r="AC71" s="572"/>
      <c r="AD71" s="144"/>
      <c r="AE71" s="612"/>
      <c r="AF71" s="467">
        <v>0</v>
      </c>
      <c r="AG71" s="613"/>
      <c r="AH71" s="595"/>
      <c r="AI71" s="537" t="s">
        <v>728</v>
      </c>
      <c r="AJ71" s="145" t="s">
        <v>523</v>
      </c>
      <c r="AK71" s="59"/>
      <c r="AL71" s="144"/>
      <c r="AM71" s="97"/>
      <c r="AN71" s="144"/>
      <c r="AO71" s="96">
        <v>0</v>
      </c>
      <c r="AP71" s="97"/>
      <c r="AQ71" s="572"/>
      <c r="AR71" s="504">
        <v>27</v>
      </c>
      <c r="AS71" s="573" t="s">
        <v>217</v>
      </c>
      <c r="AT71" s="573"/>
      <c r="AU71" s="573"/>
    </row>
    <row r="72" spans="2:47" ht="18.75" customHeight="1" x14ac:dyDescent="0.4">
      <c r="B72" s="626">
        <v>186</v>
      </c>
      <c r="C72" s="513">
        <v>186</v>
      </c>
      <c r="D72" s="504">
        <f t="shared" si="2"/>
        <v>0</v>
      </c>
      <c r="E72" s="465">
        <v>63</v>
      </c>
      <c r="F72" s="573" t="s">
        <v>167</v>
      </c>
      <c r="G72" s="467"/>
      <c r="H72" s="630">
        <v>26.2</v>
      </c>
      <c r="I72" s="631">
        <v>26.7</v>
      </c>
      <c r="J72" s="620">
        <f t="shared" si="3"/>
        <v>0.5</v>
      </c>
      <c r="K72" s="465"/>
      <c r="L72" s="613"/>
      <c r="M72" s="465"/>
      <c r="N72" s="467"/>
      <c r="O72" s="467"/>
      <c r="P72" s="639"/>
      <c r="R72" s="606">
        <v>1</v>
      </c>
      <c r="S72" s="608" t="s">
        <v>729</v>
      </c>
      <c r="T72" s="608" t="s">
        <v>729</v>
      </c>
      <c r="U72" s="467">
        <v>231</v>
      </c>
      <c r="V72" s="572" t="s">
        <v>60</v>
      </c>
      <c r="W72" s="609">
        <v>47.84</v>
      </c>
      <c r="X72" s="610">
        <v>64</v>
      </c>
      <c r="Y72" s="467">
        <v>37</v>
      </c>
      <c r="Z72" s="611">
        <v>42</v>
      </c>
      <c r="AA72" s="59" t="s">
        <v>523</v>
      </c>
      <c r="AB72" s="545" t="s">
        <v>523</v>
      </c>
      <c r="AC72" s="572"/>
      <c r="AD72" s="144"/>
      <c r="AE72" s="612"/>
      <c r="AF72" s="467">
        <v>3</v>
      </c>
      <c r="AG72" s="613"/>
      <c r="AH72" s="595"/>
      <c r="AI72" s="537" t="s">
        <v>730</v>
      </c>
      <c r="AJ72" s="145" t="s">
        <v>523</v>
      </c>
      <c r="AK72" s="59"/>
      <c r="AL72" s="144"/>
      <c r="AM72" s="97"/>
      <c r="AN72" s="144"/>
      <c r="AO72" s="96">
        <v>0</v>
      </c>
      <c r="AP72" s="97"/>
      <c r="AQ72" s="572"/>
      <c r="AR72" s="504">
        <v>28</v>
      </c>
      <c r="AS72" s="573" t="s">
        <v>219</v>
      </c>
      <c r="AT72" s="573"/>
      <c r="AU72" s="573"/>
    </row>
    <row r="73" spans="2:47" ht="18.75" customHeight="1" x14ac:dyDescent="0.4">
      <c r="B73" s="616">
        <v>180</v>
      </c>
      <c r="C73" s="617">
        <v>186</v>
      </c>
      <c r="D73" s="504">
        <f t="shared" si="2"/>
        <v>6</v>
      </c>
      <c r="E73" s="465">
        <v>64</v>
      </c>
      <c r="F73" s="573" t="s">
        <v>168</v>
      </c>
      <c r="G73" s="467"/>
      <c r="H73" s="618">
        <v>26.4</v>
      </c>
      <c r="I73" s="619">
        <v>26.7</v>
      </c>
      <c r="J73" s="620">
        <f t="shared" si="3"/>
        <v>0.30000000000000071</v>
      </c>
      <c r="K73" s="465"/>
      <c r="L73" s="613"/>
      <c r="M73" s="465"/>
      <c r="N73" s="467"/>
      <c r="O73" s="467"/>
      <c r="P73" s="639"/>
      <c r="R73" s="606">
        <v>1</v>
      </c>
      <c r="S73" s="608" t="s">
        <v>731</v>
      </c>
      <c r="T73" s="608" t="s">
        <v>731</v>
      </c>
      <c r="U73" s="467">
        <v>191</v>
      </c>
      <c r="V73" s="572" t="s">
        <v>60</v>
      </c>
      <c r="W73" s="609">
        <v>48.91</v>
      </c>
      <c r="X73" s="610">
        <v>65</v>
      </c>
      <c r="Y73" s="467">
        <v>27</v>
      </c>
      <c r="Z73" s="611">
        <v>43</v>
      </c>
      <c r="AA73" s="59" t="s">
        <v>523</v>
      </c>
      <c r="AB73" s="59"/>
      <c r="AC73" s="572"/>
      <c r="AD73" s="144"/>
      <c r="AE73" s="612"/>
      <c r="AF73" s="467">
        <v>0</v>
      </c>
      <c r="AG73" s="613"/>
      <c r="AH73" s="595"/>
      <c r="AI73" s="537" t="s">
        <v>732</v>
      </c>
      <c r="AJ73" s="145" t="s">
        <v>523</v>
      </c>
      <c r="AK73" s="59"/>
      <c r="AL73" s="144"/>
      <c r="AM73" s="97"/>
      <c r="AN73" s="144"/>
      <c r="AO73" s="96">
        <v>0</v>
      </c>
      <c r="AP73" s="97"/>
      <c r="AQ73" s="572"/>
      <c r="AR73" s="495"/>
      <c r="AS73" s="625" t="s">
        <v>69</v>
      </c>
      <c r="AT73" s="573"/>
      <c r="AU73" s="573"/>
    </row>
    <row r="74" spans="2:47" ht="18.75" customHeight="1" x14ac:dyDescent="0.4">
      <c r="B74" s="626">
        <v>74</v>
      </c>
      <c r="C74" s="513">
        <v>74</v>
      </c>
      <c r="D74" s="504">
        <f t="shared" ref="D74:D87" si="4">ABS(B74-C74)</f>
        <v>0</v>
      </c>
      <c r="E74" s="465">
        <v>65</v>
      </c>
      <c r="F74" s="573" t="s">
        <v>169</v>
      </c>
      <c r="G74" s="467"/>
      <c r="H74" s="618">
        <v>26.7</v>
      </c>
      <c r="I74" s="619">
        <v>30.5</v>
      </c>
      <c r="J74" s="620">
        <f t="shared" ref="J74:J79" si="5">ABS(I74-H74)</f>
        <v>3.8000000000000007</v>
      </c>
      <c r="K74" s="465"/>
      <c r="L74" s="613"/>
      <c r="M74" s="465"/>
      <c r="N74" s="467"/>
      <c r="O74" s="467"/>
      <c r="P74" s="639"/>
      <c r="R74" s="606">
        <v>1</v>
      </c>
      <c r="S74" s="608" t="s">
        <v>733</v>
      </c>
      <c r="T74" s="608" t="s">
        <v>734</v>
      </c>
      <c r="U74" s="467">
        <v>191</v>
      </c>
      <c r="V74" s="572" t="s">
        <v>60</v>
      </c>
      <c r="W74" s="609">
        <v>49.32</v>
      </c>
      <c r="X74" s="610">
        <v>66</v>
      </c>
      <c r="Y74" s="467">
        <v>27</v>
      </c>
      <c r="Z74" s="611">
        <v>44</v>
      </c>
      <c r="AA74" s="59" t="s">
        <v>523</v>
      </c>
      <c r="AB74" s="59"/>
      <c r="AC74" s="572"/>
      <c r="AD74" s="144"/>
      <c r="AE74" s="612"/>
      <c r="AF74" s="467">
        <v>0</v>
      </c>
      <c r="AG74" s="613"/>
      <c r="AH74" s="595"/>
      <c r="AI74" s="537" t="s">
        <v>735</v>
      </c>
      <c r="AJ74" s="145" t="s">
        <v>523</v>
      </c>
      <c r="AK74" s="59"/>
      <c r="AL74" s="144"/>
      <c r="AM74" s="97"/>
      <c r="AN74" s="144"/>
      <c r="AO74" s="96">
        <v>0</v>
      </c>
      <c r="AP74" s="97"/>
      <c r="AQ74" s="572"/>
      <c r="AR74" s="504">
        <v>31</v>
      </c>
      <c r="AS74" s="573" t="s">
        <v>221</v>
      </c>
      <c r="AT74" s="573"/>
      <c r="AU74" s="573"/>
    </row>
    <row r="75" spans="2:47" ht="18.75" customHeight="1" x14ac:dyDescent="0.4">
      <c r="B75" s="626">
        <v>74</v>
      </c>
      <c r="C75" s="513">
        <v>74</v>
      </c>
      <c r="D75" s="504">
        <f t="shared" si="4"/>
        <v>0</v>
      </c>
      <c r="E75" s="465">
        <v>66</v>
      </c>
      <c r="F75" s="573" t="s">
        <v>170</v>
      </c>
      <c r="G75" s="467"/>
      <c r="H75" s="618">
        <v>30.1</v>
      </c>
      <c r="I75" s="619">
        <v>30.5</v>
      </c>
      <c r="J75" s="620">
        <f t="shared" si="5"/>
        <v>0.39999999999999858</v>
      </c>
      <c r="K75" s="465"/>
      <c r="L75" s="613"/>
      <c r="M75" s="465"/>
      <c r="N75" s="467"/>
      <c r="O75" s="467"/>
      <c r="P75" s="639"/>
      <c r="R75" s="606"/>
      <c r="S75" s="608" t="s">
        <v>736</v>
      </c>
      <c r="T75" s="608" t="s">
        <v>737</v>
      </c>
      <c r="U75" s="467">
        <v>138</v>
      </c>
      <c r="V75" s="572" t="s">
        <v>60</v>
      </c>
      <c r="W75" s="609">
        <v>11.057263829787233</v>
      </c>
      <c r="X75" s="610">
        <v>67</v>
      </c>
      <c r="Y75" s="467">
        <v>22</v>
      </c>
      <c r="Z75" s="611">
        <v>45</v>
      </c>
      <c r="AA75" s="59" t="s">
        <v>523</v>
      </c>
      <c r="AB75" s="59"/>
      <c r="AC75" s="572"/>
      <c r="AD75" s="144"/>
      <c r="AE75" s="612"/>
      <c r="AF75" s="467">
        <v>0</v>
      </c>
      <c r="AG75" s="613"/>
      <c r="AH75" s="595"/>
      <c r="AI75" s="537" t="s">
        <v>738</v>
      </c>
      <c r="AJ75" s="145" t="s">
        <v>523</v>
      </c>
      <c r="AK75" s="59"/>
      <c r="AL75" s="144"/>
      <c r="AM75" s="97"/>
      <c r="AN75" s="144"/>
      <c r="AO75" s="96">
        <v>0</v>
      </c>
      <c r="AP75" s="97"/>
      <c r="AQ75" s="572"/>
      <c r="AR75" s="504">
        <v>32</v>
      </c>
      <c r="AS75" s="573" t="s">
        <v>223</v>
      </c>
      <c r="AT75" s="573"/>
      <c r="AU75" s="573"/>
    </row>
    <row r="76" spans="2:47" ht="18.75" customHeight="1" x14ac:dyDescent="0.4">
      <c r="B76" s="626">
        <v>206</v>
      </c>
      <c r="C76" s="513">
        <v>206</v>
      </c>
      <c r="D76" s="504">
        <f t="shared" si="4"/>
        <v>0</v>
      </c>
      <c r="E76" s="465">
        <v>67</v>
      </c>
      <c r="F76" s="573" t="s">
        <v>171</v>
      </c>
      <c r="G76" s="467"/>
      <c r="H76" s="630">
        <v>32.15</v>
      </c>
      <c r="I76" s="631">
        <v>32.700000000000003</v>
      </c>
      <c r="J76" s="620">
        <f t="shared" si="5"/>
        <v>0.55000000000000426</v>
      </c>
      <c r="K76" s="465"/>
      <c r="L76" s="613"/>
      <c r="M76" s="465"/>
      <c r="N76" s="467"/>
      <c r="O76" s="467"/>
      <c r="P76" s="639"/>
      <c r="R76" s="606"/>
      <c r="S76" s="608" t="s">
        <v>739</v>
      </c>
      <c r="T76" s="608" t="s">
        <v>740</v>
      </c>
      <c r="U76" s="467">
        <v>163</v>
      </c>
      <c r="V76" s="572" t="s">
        <v>60</v>
      </c>
      <c r="W76" s="609">
        <v>12.973948936170217</v>
      </c>
      <c r="X76" s="610">
        <v>68</v>
      </c>
      <c r="Y76" s="467">
        <v>23</v>
      </c>
      <c r="Z76" s="611" t="s">
        <v>741</v>
      </c>
      <c r="AA76" s="59" t="s">
        <v>523</v>
      </c>
      <c r="AB76" s="654"/>
      <c r="AC76" s="595"/>
      <c r="AD76" s="655"/>
      <c r="AE76" s="594"/>
      <c r="AF76" s="467">
        <v>0</v>
      </c>
      <c r="AG76" s="594"/>
      <c r="AH76" s="595"/>
      <c r="AI76" s="537" t="s">
        <v>742</v>
      </c>
      <c r="AJ76" s="145" t="s">
        <v>523</v>
      </c>
      <c r="AK76" s="59"/>
      <c r="AL76" s="144"/>
      <c r="AM76" s="97"/>
      <c r="AN76" s="144"/>
      <c r="AO76" s="96">
        <v>0</v>
      </c>
      <c r="AP76" s="97"/>
      <c r="AQ76" s="572"/>
      <c r="AR76" s="504">
        <v>33</v>
      </c>
      <c r="AS76" s="573" t="s">
        <v>225</v>
      </c>
      <c r="AT76" s="573"/>
      <c r="AU76" s="573"/>
    </row>
    <row r="77" spans="2:47" ht="18.75" customHeight="1" x14ac:dyDescent="0.4">
      <c r="B77" s="616">
        <v>226</v>
      </c>
      <c r="C77" s="617">
        <v>220</v>
      </c>
      <c r="D77" s="504">
        <f t="shared" si="4"/>
        <v>6</v>
      </c>
      <c r="E77" s="465">
        <v>68</v>
      </c>
      <c r="F77" s="573" t="s">
        <v>172</v>
      </c>
      <c r="G77" s="467"/>
      <c r="H77" s="630">
        <v>33</v>
      </c>
      <c r="I77" s="631">
        <v>34.4</v>
      </c>
      <c r="J77" s="620">
        <f t="shared" si="5"/>
        <v>1.3999999999999986</v>
      </c>
      <c r="K77" s="465"/>
      <c r="L77" s="613"/>
      <c r="M77" s="465"/>
      <c r="N77" s="467"/>
      <c r="O77" s="467"/>
      <c r="P77" s="639"/>
      <c r="R77" s="606"/>
      <c r="S77" s="608" t="s">
        <v>743</v>
      </c>
      <c r="T77" s="608" t="s">
        <v>744</v>
      </c>
      <c r="U77" s="467">
        <v>152</v>
      </c>
      <c r="V77" s="572" t="s">
        <v>94</v>
      </c>
      <c r="W77" s="609">
        <v>12.99</v>
      </c>
      <c r="X77" s="610">
        <v>69</v>
      </c>
      <c r="Y77" s="467">
        <v>22</v>
      </c>
      <c r="Z77" s="611">
        <v>49</v>
      </c>
      <c r="AA77" s="59" t="s">
        <v>523</v>
      </c>
      <c r="AB77" s="59"/>
      <c r="AC77" s="572"/>
      <c r="AD77" s="144"/>
      <c r="AE77" s="612"/>
      <c r="AF77" s="467">
        <v>0</v>
      </c>
      <c r="AG77" s="613"/>
      <c r="AH77" s="595"/>
      <c r="AI77" s="105" t="s">
        <v>745</v>
      </c>
      <c r="AJ77" s="571" t="s">
        <v>523</v>
      </c>
      <c r="AK77" s="184"/>
      <c r="AL77" s="642"/>
      <c r="AM77" s="108"/>
      <c r="AN77" s="642"/>
      <c r="AO77" s="419">
        <v>0</v>
      </c>
      <c r="AP77" s="108"/>
      <c r="AQ77" s="572"/>
      <c r="AR77" s="504">
        <v>34</v>
      </c>
      <c r="AS77" s="573" t="s">
        <v>227</v>
      </c>
      <c r="AT77" s="573"/>
      <c r="AU77" s="573"/>
    </row>
    <row r="78" spans="2:47" ht="18.75" customHeight="1" x14ac:dyDescent="0.4">
      <c r="B78" s="626">
        <v>74</v>
      </c>
      <c r="C78" s="513">
        <v>74</v>
      </c>
      <c r="D78" s="504">
        <f t="shared" si="4"/>
        <v>0</v>
      </c>
      <c r="E78" s="465">
        <v>69</v>
      </c>
      <c r="F78" s="573" t="s">
        <v>173</v>
      </c>
      <c r="G78" s="467"/>
      <c r="H78" s="618">
        <v>33.4</v>
      </c>
      <c r="I78" s="641">
        <v>33.86</v>
      </c>
      <c r="J78" s="620">
        <f t="shared" si="5"/>
        <v>0.46000000000000085</v>
      </c>
      <c r="K78" s="465"/>
      <c r="L78" s="613"/>
      <c r="M78" s="465"/>
      <c r="N78" s="467"/>
      <c r="O78" s="467"/>
      <c r="P78" s="639"/>
      <c r="R78" s="606"/>
      <c r="S78" s="608" t="s">
        <v>746</v>
      </c>
      <c r="T78" s="608" t="s">
        <v>747</v>
      </c>
      <c r="U78" s="467">
        <v>135</v>
      </c>
      <c r="V78" s="572" t="s">
        <v>60</v>
      </c>
      <c r="W78" s="609">
        <v>14.044208510638299</v>
      </c>
      <c r="X78" s="610">
        <v>70</v>
      </c>
      <c r="Y78" s="467">
        <v>23</v>
      </c>
      <c r="Z78" s="611">
        <v>46</v>
      </c>
      <c r="AA78" s="59" t="s">
        <v>523</v>
      </c>
      <c r="AB78" s="59"/>
      <c r="AC78" s="572"/>
      <c r="AD78" s="144"/>
      <c r="AE78" s="612"/>
      <c r="AF78" s="467">
        <v>0</v>
      </c>
      <c r="AG78" s="613"/>
      <c r="AH78" s="595"/>
      <c r="AI78" s="42" t="s">
        <v>748</v>
      </c>
      <c r="AJ78" s="89"/>
      <c r="AK78" s="43"/>
      <c r="AL78" s="44" t="s">
        <v>749</v>
      </c>
      <c r="AM78" s="44" t="s">
        <v>749</v>
      </c>
      <c r="AN78" s="89"/>
      <c r="AO78" s="43"/>
      <c r="AP78" s="45"/>
      <c r="AQ78" s="572"/>
      <c r="AR78" s="504">
        <v>35</v>
      </c>
      <c r="AS78" s="573" t="s">
        <v>230</v>
      </c>
      <c r="AT78" s="573"/>
      <c r="AU78" s="573"/>
    </row>
    <row r="79" spans="2:47" ht="18.75" customHeight="1" x14ac:dyDescent="0.4">
      <c r="B79" s="626">
        <v>74</v>
      </c>
      <c r="C79" s="513">
        <v>74</v>
      </c>
      <c r="D79" s="504">
        <f t="shared" si="4"/>
        <v>0</v>
      </c>
      <c r="E79" s="465">
        <v>70</v>
      </c>
      <c r="F79" s="573" t="s">
        <v>174</v>
      </c>
      <c r="G79" s="467"/>
      <c r="H79" s="618">
        <v>33.5</v>
      </c>
      <c r="I79" s="641">
        <v>33.86</v>
      </c>
      <c r="J79" s="620">
        <f t="shared" si="5"/>
        <v>0.35999999999999943</v>
      </c>
      <c r="K79" s="465"/>
      <c r="L79" s="613"/>
      <c r="M79" s="465"/>
      <c r="N79" s="467"/>
      <c r="O79" s="467"/>
      <c r="P79" s="639"/>
      <c r="R79" s="606"/>
      <c r="S79" s="608" t="s">
        <v>750</v>
      </c>
      <c r="T79" s="608" t="s">
        <v>751</v>
      </c>
      <c r="U79" s="467">
        <v>104</v>
      </c>
      <c r="V79" s="572" t="s">
        <v>60</v>
      </c>
      <c r="W79" s="609">
        <v>14.1</v>
      </c>
      <c r="X79" s="610">
        <v>71</v>
      </c>
      <c r="Y79" s="467">
        <v>33</v>
      </c>
      <c r="Z79" s="611">
        <v>50</v>
      </c>
      <c r="AA79" s="59"/>
      <c r="AB79" s="59"/>
      <c r="AC79" s="572"/>
      <c r="AD79" s="144"/>
      <c r="AE79" s="612"/>
      <c r="AF79" s="467">
        <v>1</v>
      </c>
      <c r="AG79" s="613"/>
      <c r="AH79" s="595"/>
      <c r="AI79" s="212" t="s">
        <v>752</v>
      </c>
      <c r="AJ79" s="145"/>
      <c r="AK79" s="144"/>
      <c r="AL79" s="144" t="s">
        <v>749</v>
      </c>
      <c r="AM79" s="144" t="s">
        <v>749</v>
      </c>
      <c r="AN79" s="52"/>
      <c r="AO79" s="100"/>
      <c r="AP79" s="81"/>
      <c r="AQ79" s="572"/>
      <c r="AR79" s="504">
        <v>36</v>
      </c>
      <c r="AS79" s="573" t="s">
        <v>232</v>
      </c>
      <c r="AT79" s="573"/>
      <c r="AU79" s="573"/>
    </row>
    <row r="80" spans="2:47" ht="18.75" customHeight="1" x14ac:dyDescent="0.4">
      <c r="B80" s="616">
        <v>290</v>
      </c>
      <c r="C80" s="617">
        <v>191</v>
      </c>
      <c r="D80" s="656">
        <f t="shared" si="4"/>
        <v>99</v>
      </c>
      <c r="E80" s="465">
        <v>71</v>
      </c>
      <c r="F80" s="573" t="s">
        <v>175</v>
      </c>
      <c r="G80" s="467"/>
      <c r="H80" s="630">
        <v>34</v>
      </c>
      <c r="I80" s="631">
        <v>36.700000000000003</v>
      </c>
      <c r="J80" s="620">
        <v>2.7000000000000028</v>
      </c>
      <c r="K80" s="465"/>
      <c r="L80" s="613"/>
      <c r="M80" s="465"/>
      <c r="N80" s="467"/>
      <c r="O80" s="467"/>
      <c r="P80" s="639"/>
      <c r="R80" s="606"/>
      <c r="S80" s="608" t="s">
        <v>753</v>
      </c>
      <c r="T80" s="608" t="s">
        <v>754</v>
      </c>
      <c r="U80" s="467">
        <v>149</v>
      </c>
      <c r="V80" s="572" t="s">
        <v>60</v>
      </c>
      <c r="W80" s="609">
        <v>14.303940425531936</v>
      </c>
      <c r="X80" s="610">
        <v>72</v>
      </c>
      <c r="Y80" s="467">
        <v>23</v>
      </c>
      <c r="Z80" s="611"/>
      <c r="AA80" s="59" t="s">
        <v>523</v>
      </c>
      <c r="AB80" s="59"/>
      <c r="AC80" s="572"/>
      <c r="AD80" s="144"/>
      <c r="AE80" s="612"/>
      <c r="AF80" s="467">
        <v>0</v>
      </c>
      <c r="AG80" s="613"/>
      <c r="AH80" s="595"/>
      <c r="AI80" s="212" t="s">
        <v>755</v>
      </c>
      <c r="AJ80" s="145"/>
      <c r="AK80" s="144"/>
      <c r="AL80" s="144" t="s">
        <v>749</v>
      </c>
      <c r="AM80" s="144" t="s">
        <v>749</v>
      </c>
      <c r="AN80" s="145"/>
      <c r="AO80" s="297"/>
      <c r="AP80" s="97"/>
      <c r="AQ80" s="572"/>
      <c r="AR80" s="504">
        <v>37</v>
      </c>
      <c r="AS80" s="573" t="s">
        <v>601</v>
      </c>
      <c r="AT80" s="573"/>
      <c r="AU80" s="573"/>
    </row>
    <row r="81" spans="2:47" ht="18.75" customHeight="1" x14ac:dyDescent="0.4">
      <c r="B81" s="616">
        <v>191</v>
      </c>
      <c r="C81" s="617">
        <v>106</v>
      </c>
      <c r="D81" s="656">
        <f t="shared" si="4"/>
        <v>85</v>
      </c>
      <c r="E81" s="465">
        <v>72</v>
      </c>
      <c r="F81" s="573" t="s">
        <v>176</v>
      </c>
      <c r="G81" s="467"/>
      <c r="H81" s="618">
        <v>36.700000000000003</v>
      </c>
      <c r="I81" s="631">
        <v>42.2</v>
      </c>
      <c r="J81" s="620">
        <f t="shared" ref="J81:J87" si="6">ABS(I81-H81)</f>
        <v>5.5</v>
      </c>
      <c r="K81" s="465"/>
      <c r="L81" s="613"/>
      <c r="M81" s="465"/>
      <c r="N81" s="467"/>
      <c r="O81" s="467"/>
      <c r="P81" s="639"/>
      <c r="R81" s="606"/>
      <c r="S81" s="607" t="s">
        <v>756</v>
      </c>
      <c r="T81" s="607" t="s">
        <v>757</v>
      </c>
      <c r="U81" s="532">
        <v>128</v>
      </c>
      <c r="V81" s="536" t="s">
        <v>60</v>
      </c>
      <c r="W81" s="620">
        <v>14.45</v>
      </c>
      <c r="X81" s="610">
        <v>73</v>
      </c>
      <c r="Y81" s="532">
        <v>34</v>
      </c>
      <c r="Z81" s="611"/>
      <c r="AA81" s="59"/>
      <c r="AB81" s="59"/>
      <c r="AC81" s="572"/>
      <c r="AD81" s="640" t="s">
        <v>523</v>
      </c>
      <c r="AE81" s="612"/>
      <c r="AF81" s="467">
        <v>2</v>
      </c>
      <c r="AG81" s="613"/>
      <c r="AH81" s="595"/>
      <c r="AI81" s="212" t="s">
        <v>758</v>
      </c>
      <c r="AJ81" s="145"/>
      <c r="AK81" s="144"/>
      <c r="AL81" s="144" t="s">
        <v>749</v>
      </c>
      <c r="AM81" s="144" t="s">
        <v>749</v>
      </c>
      <c r="AN81" s="537"/>
      <c r="AO81" s="26"/>
      <c r="AP81" s="128"/>
      <c r="AQ81" s="572"/>
      <c r="AR81" s="495"/>
      <c r="AS81" s="625" t="s">
        <v>604</v>
      </c>
      <c r="AT81" s="573"/>
      <c r="AU81" s="573"/>
    </row>
    <row r="82" spans="2:47" ht="18.75" customHeight="1" x14ac:dyDescent="0.4">
      <c r="B82" s="626">
        <v>74</v>
      </c>
      <c r="C82" s="513">
        <v>74</v>
      </c>
      <c r="D82" s="657">
        <f t="shared" si="4"/>
        <v>0</v>
      </c>
      <c r="E82" s="465">
        <v>73</v>
      </c>
      <c r="F82" s="573" t="s">
        <v>177</v>
      </c>
      <c r="G82" s="467"/>
      <c r="H82" s="618">
        <v>37</v>
      </c>
      <c r="I82" s="631">
        <v>33.86</v>
      </c>
      <c r="J82" s="658">
        <f t="shared" si="6"/>
        <v>3.1400000000000006</v>
      </c>
      <c r="K82" s="465"/>
      <c r="L82" s="613"/>
      <c r="M82" s="465"/>
      <c r="N82" s="467"/>
      <c r="O82" s="467"/>
      <c r="P82" s="639"/>
      <c r="R82" s="606"/>
      <c r="S82" s="608" t="s">
        <v>759</v>
      </c>
      <c r="T82" s="608" t="s">
        <v>760</v>
      </c>
      <c r="U82" s="467">
        <v>149</v>
      </c>
      <c r="V82" s="572" t="s">
        <v>60</v>
      </c>
      <c r="W82" s="609">
        <v>14.45032765957445</v>
      </c>
      <c r="X82" s="610">
        <v>74</v>
      </c>
      <c r="Y82" s="467">
        <v>23</v>
      </c>
      <c r="Z82" s="611">
        <v>47</v>
      </c>
      <c r="AA82" s="59" t="s">
        <v>523</v>
      </c>
      <c r="AB82" s="59"/>
      <c r="AC82" s="572"/>
      <c r="AD82" s="144"/>
      <c r="AE82" s="612"/>
      <c r="AF82" s="467">
        <v>0</v>
      </c>
      <c r="AG82" s="613"/>
      <c r="AH82" s="595"/>
      <c r="AI82" s="212" t="s">
        <v>761</v>
      </c>
      <c r="AJ82" s="145"/>
      <c r="AK82" s="144"/>
      <c r="AL82" s="144" t="s">
        <v>749</v>
      </c>
      <c r="AM82" s="144" t="s">
        <v>749</v>
      </c>
      <c r="AN82" s="537"/>
      <c r="AO82" s="26"/>
      <c r="AP82" s="128"/>
      <c r="AQ82" s="572"/>
      <c r="AR82" s="504">
        <v>41</v>
      </c>
      <c r="AS82" s="573" t="s">
        <v>82</v>
      </c>
      <c r="AT82" s="573"/>
      <c r="AU82" s="573"/>
    </row>
    <row r="83" spans="2:47" ht="18.75" customHeight="1" x14ac:dyDescent="0.4">
      <c r="B83" s="626">
        <v>231</v>
      </c>
      <c r="C83" s="513">
        <v>231</v>
      </c>
      <c r="D83" s="657">
        <f t="shared" si="4"/>
        <v>0</v>
      </c>
      <c r="E83" s="465">
        <v>74</v>
      </c>
      <c r="F83" s="573" t="s">
        <v>178</v>
      </c>
      <c r="G83" s="467"/>
      <c r="H83" s="618">
        <v>38.700000000000003</v>
      </c>
      <c r="I83" s="631">
        <v>40</v>
      </c>
      <c r="J83" s="658">
        <f t="shared" si="6"/>
        <v>1.2999999999999972</v>
      </c>
      <c r="K83" s="465"/>
      <c r="L83" s="613"/>
      <c r="M83" s="465"/>
      <c r="N83" s="467"/>
      <c r="O83" s="467"/>
      <c r="P83" s="639"/>
      <c r="R83" s="606"/>
      <c r="S83" s="608" t="s">
        <v>762</v>
      </c>
      <c r="T83" s="608" t="s">
        <v>763</v>
      </c>
      <c r="U83" s="467">
        <v>163</v>
      </c>
      <c r="V83" s="572" t="s">
        <v>60</v>
      </c>
      <c r="W83" s="609">
        <v>14.618714893617014</v>
      </c>
      <c r="X83" s="610">
        <v>75</v>
      </c>
      <c r="Y83" s="467">
        <v>23</v>
      </c>
      <c r="Z83" s="611">
        <v>48</v>
      </c>
      <c r="AA83" s="59" t="s">
        <v>523</v>
      </c>
      <c r="AB83" s="59"/>
      <c r="AC83" s="572"/>
      <c r="AD83" s="144"/>
      <c r="AE83" s="612"/>
      <c r="AF83" s="467">
        <v>0</v>
      </c>
      <c r="AG83" s="613"/>
      <c r="AH83" s="595"/>
      <c r="AI83" s="212" t="s">
        <v>764</v>
      </c>
      <c r="AJ83" s="145"/>
      <c r="AK83" s="144"/>
      <c r="AL83" s="144" t="s">
        <v>749</v>
      </c>
      <c r="AM83" s="144" t="s">
        <v>749</v>
      </c>
      <c r="AN83" s="537"/>
      <c r="AO83" s="26"/>
      <c r="AP83" s="128"/>
      <c r="AQ83" s="659"/>
      <c r="AR83" s="495"/>
      <c r="AS83" s="573"/>
      <c r="AT83" s="573"/>
      <c r="AU83" s="573"/>
    </row>
    <row r="84" spans="2:47" ht="18.75" customHeight="1" x14ac:dyDescent="0.4">
      <c r="B84" s="626">
        <v>231</v>
      </c>
      <c r="C84" s="513">
        <v>231</v>
      </c>
      <c r="D84" s="657">
        <f t="shared" si="4"/>
        <v>0</v>
      </c>
      <c r="E84" s="465">
        <v>75</v>
      </c>
      <c r="F84" s="573" t="s">
        <v>179</v>
      </c>
      <c r="G84" s="613"/>
      <c r="H84" s="618">
        <v>40</v>
      </c>
      <c r="I84" s="631">
        <v>45.9</v>
      </c>
      <c r="J84" s="658">
        <f t="shared" si="6"/>
        <v>5.8999999999999986</v>
      </c>
      <c r="K84" s="465"/>
      <c r="L84" s="613"/>
      <c r="M84" s="465"/>
      <c r="N84" s="467"/>
      <c r="O84" s="467"/>
      <c r="P84" s="639"/>
      <c r="R84" s="606"/>
      <c r="S84" s="608" t="s">
        <v>765</v>
      </c>
      <c r="T84" s="608" t="s">
        <v>766</v>
      </c>
      <c r="U84" s="467">
        <v>166</v>
      </c>
      <c r="V84" s="572" t="s">
        <v>94</v>
      </c>
      <c r="W84" s="609">
        <v>15</v>
      </c>
      <c r="X84" s="610">
        <v>76</v>
      </c>
      <c r="Y84" s="467">
        <v>22</v>
      </c>
      <c r="Z84" s="611">
        <v>49</v>
      </c>
      <c r="AA84" s="59" t="s">
        <v>523</v>
      </c>
      <c r="AB84" s="59"/>
      <c r="AC84" s="572"/>
      <c r="AD84" s="144"/>
      <c r="AE84" s="612"/>
      <c r="AF84" s="467">
        <v>0</v>
      </c>
      <c r="AG84" s="613"/>
      <c r="AH84" s="595"/>
      <c r="AI84" s="212" t="s">
        <v>767</v>
      </c>
      <c r="AJ84" s="145"/>
      <c r="AK84" s="144"/>
      <c r="AL84" s="144" t="s">
        <v>749</v>
      </c>
      <c r="AM84" s="144" t="s">
        <v>749</v>
      </c>
      <c r="AN84" s="537"/>
      <c r="AO84" s="297"/>
      <c r="AP84" s="97"/>
      <c r="AQ84" s="659"/>
      <c r="AR84" s="495"/>
      <c r="AS84" s="573"/>
      <c r="AT84" s="573"/>
      <c r="AU84" s="573"/>
    </row>
    <row r="85" spans="2:47" ht="18.75" customHeight="1" x14ac:dyDescent="0.4">
      <c r="B85" s="626">
        <v>191</v>
      </c>
      <c r="C85" s="513">
        <v>191</v>
      </c>
      <c r="D85" s="657">
        <f t="shared" si="4"/>
        <v>0</v>
      </c>
      <c r="E85" s="465">
        <v>76</v>
      </c>
      <c r="F85" s="573" t="s">
        <v>180</v>
      </c>
      <c r="G85" s="613"/>
      <c r="H85" s="618">
        <v>43.2</v>
      </c>
      <c r="I85" s="631">
        <v>47.8</v>
      </c>
      <c r="J85" s="658">
        <f t="shared" si="6"/>
        <v>4.5999999999999943</v>
      </c>
      <c r="K85" s="465"/>
      <c r="L85" s="613"/>
      <c r="M85" s="465"/>
      <c r="N85" s="467"/>
      <c r="O85" s="467"/>
      <c r="P85" s="582"/>
      <c r="R85" s="606"/>
      <c r="S85" s="608" t="s">
        <v>768</v>
      </c>
      <c r="T85" s="608" t="s">
        <v>769</v>
      </c>
      <c r="U85" s="467">
        <v>163</v>
      </c>
      <c r="V85" s="572" t="s">
        <v>60</v>
      </c>
      <c r="W85" s="609">
        <v>15.433302127659609</v>
      </c>
      <c r="X85" s="610">
        <v>77</v>
      </c>
      <c r="Y85" s="467">
        <v>23</v>
      </c>
      <c r="Z85" s="611"/>
      <c r="AA85" s="59" t="s">
        <v>523</v>
      </c>
      <c r="AB85" s="59"/>
      <c r="AC85" s="572"/>
      <c r="AD85" s="144"/>
      <c r="AE85" s="612"/>
      <c r="AF85" s="467">
        <v>0</v>
      </c>
      <c r="AG85" s="613"/>
      <c r="AH85" s="595"/>
      <c r="AI85" s="212" t="s">
        <v>770</v>
      </c>
      <c r="AJ85" s="145"/>
      <c r="AK85" s="144"/>
      <c r="AL85" s="144" t="s">
        <v>749</v>
      </c>
      <c r="AM85" s="144" t="s">
        <v>749</v>
      </c>
      <c r="AN85" s="537"/>
      <c r="AO85" s="297"/>
      <c r="AP85" s="97"/>
      <c r="AQ85" s="572"/>
      <c r="AR85" s="495"/>
      <c r="AS85" s="573"/>
      <c r="AT85" s="573"/>
      <c r="AU85" s="573"/>
    </row>
    <row r="86" spans="2:47" ht="18.75" customHeight="1" x14ac:dyDescent="0.4">
      <c r="B86" s="626">
        <v>252</v>
      </c>
      <c r="C86" s="513">
        <v>252</v>
      </c>
      <c r="D86" s="657">
        <f t="shared" si="4"/>
        <v>0</v>
      </c>
      <c r="E86" s="465">
        <v>77</v>
      </c>
      <c r="F86" s="573" t="s">
        <v>181</v>
      </c>
      <c r="G86" s="613"/>
      <c r="H86" s="630">
        <v>44.4</v>
      </c>
      <c r="I86" s="631">
        <v>44.2</v>
      </c>
      <c r="J86" s="658">
        <f t="shared" si="6"/>
        <v>0.19999999999999574</v>
      </c>
      <c r="K86" s="465"/>
      <c r="L86" s="613"/>
      <c r="M86" s="465"/>
      <c r="N86" s="467"/>
      <c r="O86" s="467"/>
      <c r="P86" s="582"/>
      <c r="R86" s="606"/>
      <c r="S86" s="608" t="s">
        <v>771</v>
      </c>
      <c r="T86" s="608" t="s">
        <v>771</v>
      </c>
      <c r="U86" s="467">
        <v>177</v>
      </c>
      <c r="V86" s="572" t="s">
        <v>60</v>
      </c>
      <c r="W86" s="609">
        <v>15.52158297872348</v>
      </c>
      <c r="X86" s="610">
        <v>78</v>
      </c>
      <c r="Y86" s="467">
        <v>23</v>
      </c>
      <c r="Z86" s="611" t="s">
        <v>772</v>
      </c>
      <c r="AA86" s="59" t="s">
        <v>523</v>
      </c>
      <c r="AB86" s="59"/>
      <c r="AC86" s="572"/>
      <c r="AD86" s="144"/>
      <c r="AE86" s="612"/>
      <c r="AF86" s="467">
        <v>0</v>
      </c>
      <c r="AG86" s="613"/>
      <c r="AH86" s="595"/>
      <c r="AI86" s="212" t="s">
        <v>773</v>
      </c>
      <c r="AJ86" s="145"/>
      <c r="AK86" s="144"/>
      <c r="AL86" s="144" t="s">
        <v>749</v>
      </c>
      <c r="AM86" s="144" t="s">
        <v>749</v>
      </c>
      <c r="AN86" s="537"/>
      <c r="AO86" s="660"/>
      <c r="AP86" s="661"/>
      <c r="AQ86" s="573"/>
      <c r="AR86" s="495"/>
      <c r="AS86" s="573"/>
      <c r="AT86" s="573"/>
      <c r="AU86" s="573"/>
    </row>
    <row r="87" spans="2:47" ht="18.75" customHeight="1" x14ac:dyDescent="0.4">
      <c r="B87" s="626">
        <v>217</v>
      </c>
      <c r="C87" s="513">
        <v>217</v>
      </c>
      <c r="D87" s="662">
        <f t="shared" si="4"/>
        <v>0</v>
      </c>
      <c r="E87" s="465">
        <v>78</v>
      </c>
      <c r="F87" s="573" t="s">
        <v>182</v>
      </c>
      <c r="G87" s="613"/>
      <c r="H87" s="618">
        <v>45.9</v>
      </c>
      <c r="I87" s="641">
        <v>46.7</v>
      </c>
      <c r="J87" s="658">
        <f t="shared" si="6"/>
        <v>0.80000000000000426</v>
      </c>
      <c r="K87" s="465"/>
      <c r="L87" s="613"/>
      <c r="M87" s="465"/>
      <c r="N87" s="467"/>
      <c r="O87" s="467"/>
      <c r="P87" s="582"/>
      <c r="R87" s="606"/>
      <c r="S87" s="608" t="s">
        <v>774</v>
      </c>
      <c r="T87" s="608" t="s">
        <v>775</v>
      </c>
      <c r="U87" s="467">
        <v>142</v>
      </c>
      <c r="V87" s="572" t="s">
        <v>60</v>
      </c>
      <c r="W87" s="609">
        <v>17.7</v>
      </c>
      <c r="X87" s="610">
        <v>79</v>
      </c>
      <c r="Y87" s="467">
        <v>35</v>
      </c>
      <c r="Z87" s="611"/>
      <c r="AA87" s="59"/>
      <c r="AB87" s="59"/>
      <c r="AC87" s="572"/>
      <c r="AD87" s="640" t="s">
        <v>523</v>
      </c>
      <c r="AE87" s="612"/>
      <c r="AF87" s="467">
        <v>2</v>
      </c>
      <c r="AG87" s="613"/>
      <c r="AH87" s="595"/>
      <c r="AI87" s="114" t="s">
        <v>776</v>
      </c>
      <c r="AJ87" s="571"/>
      <c r="AK87" s="642"/>
      <c r="AL87" s="642" t="s">
        <v>749</v>
      </c>
      <c r="AM87" s="642" t="s">
        <v>749</v>
      </c>
      <c r="AN87" s="105"/>
      <c r="AO87" s="112"/>
      <c r="AP87" s="183"/>
      <c r="AQ87" s="573"/>
      <c r="AR87" s="495"/>
      <c r="AS87" s="573"/>
      <c r="AT87" s="573"/>
      <c r="AU87" s="573"/>
    </row>
    <row r="88" spans="2:47" ht="18.75" customHeight="1" x14ac:dyDescent="0.4">
      <c r="B88" s="452"/>
      <c r="C88" s="452"/>
      <c r="D88" s="452" t="s">
        <v>777</v>
      </c>
      <c r="E88" s="663"/>
      <c r="F88" s="664"/>
      <c r="G88" s="554"/>
      <c r="H88" s="665"/>
      <c r="I88" s="587"/>
      <c r="J88" s="666"/>
      <c r="K88" s="621"/>
      <c r="L88" s="667"/>
      <c r="M88" s="554"/>
      <c r="N88" s="554"/>
      <c r="O88" s="554"/>
      <c r="P88" s="668"/>
      <c r="R88" s="606"/>
      <c r="S88" s="608" t="s">
        <v>778</v>
      </c>
      <c r="T88" s="608" t="s">
        <v>779</v>
      </c>
      <c r="U88" s="467">
        <v>106</v>
      </c>
      <c r="V88" s="572" t="s">
        <v>60</v>
      </c>
      <c r="W88" s="609">
        <v>18.725753191489336</v>
      </c>
      <c r="X88" s="610">
        <v>80</v>
      </c>
      <c r="Y88" s="467">
        <v>32</v>
      </c>
      <c r="Z88" s="611" t="s">
        <v>780</v>
      </c>
      <c r="AA88" s="59"/>
      <c r="AB88" s="59"/>
      <c r="AC88" s="561" t="s">
        <v>781</v>
      </c>
      <c r="AD88" s="144"/>
      <c r="AE88" s="612"/>
      <c r="AF88" s="467">
        <v>1</v>
      </c>
      <c r="AG88" s="613"/>
      <c r="AH88" s="595"/>
      <c r="AI88" s="144"/>
      <c r="AJ88" s="144"/>
      <c r="AK88" s="144"/>
      <c r="AL88" s="144"/>
      <c r="AM88" s="669"/>
      <c r="AN88" s="669"/>
      <c r="AO88" s="660"/>
      <c r="AP88" s="669"/>
      <c r="AQ88" s="573"/>
      <c r="AR88" s="495"/>
      <c r="AS88" s="573"/>
      <c r="AT88" s="573"/>
      <c r="AU88" s="573"/>
    </row>
    <row r="89" spans="2:47" ht="18.75" customHeight="1" x14ac:dyDescent="0.4">
      <c r="B89" s="530"/>
      <c r="D89" s="670" t="s">
        <v>782</v>
      </c>
      <c r="K89" s="599">
        <f t="shared" ref="K89:P89" si="7">COUNTIF(K10:K87,"X")</f>
        <v>24</v>
      </c>
      <c r="L89" s="671">
        <f t="shared" si="7"/>
        <v>23</v>
      </c>
      <c r="M89" s="672">
        <f t="shared" si="7"/>
        <v>10</v>
      </c>
      <c r="N89" s="672">
        <f t="shared" si="7"/>
        <v>22</v>
      </c>
      <c r="O89" s="672">
        <f t="shared" si="7"/>
        <v>23</v>
      </c>
      <c r="P89" s="671">
        <f t="shared" si="7"/>
        <v>23</v>
      </c>
      <c r="R89" s="606"/>
      <c r="S89" s="608" t="s">
        <v>783</v>
      </c>
      <c r="T89" s="608" t="s">
        <v>784</v>
      </c>
      <c r="U89" s="467">
        <v>169</v>
      </c>
      <c r="V89" s="572" t="s">
        <v>60</v>
      </c>
      <c r="W89" s="609">
        <v>19.100000000000001</v>
      </c>
      <c r="X89" s="610">
        <v>81</v>
      </c>
      <c r="Y89" s="467">
        <v>13</v>
      </c>
      <c r="Z89" s="611"/>
      <c r="AA89" s="59"/>
      <c r="AB89" s="59"/>
      <c r="AC89" s="572"/>
      <c r="AD89" s="144"/>
      <c r="AE89" s="612"/>
      <c r="AF89" s="467">
        <v>0</v>
      </c>
      <c r="AG89" s="613"/>
      <c r="AH89" s="595"/>
      <c r="AI89" s="673" t="s">
        <v>785</v>
      </c>
      <c r="AJ89" s="44"/>
      <c r="AK89" s="44"/>
      <c r="AL89" s="78"/>
      <c r="AM89" s="28"/>
      <c r="AN89" s="28"/>
      <c r="AO89" s="26"/>
      <c r="AP89" s="28"/>
      <c r="AQ89" s="572"/>
      <c r="AU89" s="573"/>
    </row>
    <row r="90" spans="2:47" ht="18.75" customHeight="1" x14ac:dyDescent="0.4">
      <c r="B90" s="530"/>
      <c r="J90" s="674" t="s">
        <v>786</v>
      </c>
      <c r="K90" s="558" t="s">
        <v>518</v>
      </c>
      <c r="L90" s="559" t="s">
        <v>519</v>
      </c>
      <c r="M90" s="560" t="s">
        <v>497</v>
      </c>
      <c r="N90" s="560" t="s">
        <v>498</v>
      </c>
      <c r="O90" s="560" t="s">
        <v>499</v>
      </c>
      <c r="P90" s="559" t="s">
        <v>500</v>
      </c>
      <c r="R90" s="606"/>
      <c r="S90" s="608" t="s">
        <v>787</v>
      </c>
      <c r="T90" s="608" t="s">
        <v>788</v>
      </c>
      <c r="U90" s="467">
        <v>106</v>
      </c>
      <c r="V90" s="572" t="s">
        <v>60</v>
      </c>
      <c r="W90" s="609">
        <v>19.107902127659653</v>
      </c>
      <c r="X90" s="610">
        <v>82</v>
      </c>
      <c r="Y90" s="467">
        <v>32</v>
      </c>
      <c r="Z90" s="611">
        <v>54</v>
      </c>
      <c r="AA90" s="59"/>
      <c r="AB90" s="59"/>
      <c r="AC90" s="572"/>
      <c r="AD90" s="144"/>
      <c r="AE90" s="612"/>
      <c r="AF90" s="467">
        <v>1</v>
      </c>
      <c r="AG90" s="613"/>
      <c r="AH90" s="595"/>
      <c r="AI90" s="212" t="s">
        <v>789</v>
      </c>
      <c r="AJ90" s="144"/>
      <c r="AK90" s="144"/>
      <c r="AL90" s="97"/>
      <c r="AM90" s="675"/>
      <c r="AN90" s="675"/>
      <c r="AO90" s="676"/>
      <c r="AP90" s="675"/>
      <c r="AQ90" s="572"/>
      <c r="AU90" s="573"/>
    </row>
    <row r="91" spans="2:47" ht="18.75" customHeight="1" x14ac:dyDescent="0.4">
      <c r="B91" s="530"/>
      <c r="K91" s="455" t="s">
        <v>496</v>
      </c>
      <c r="L91" s="570" t="s">
        <v>496</v>
      </c>
      <c r="M91" s="472"/>
      <c r="N91" s="472"/>
      <c r="O91" s="472"/>
      <c r="P91" s="605"/>
      <c r="R91" s="606"/>
      <c r="S91" s="608" t="s">
        <v>790</v>
      </c>
      <c r="T91" s="608" t="s">
        <v>791</v>
      </c>
      <c r="U91" s="467">
        <v>113</v>
      </c>
      <c r="V91" s="572" t="s">
        <v>60</v>
      </c>
      <c r="W91" s="609">
        <v>19.22</v>
      </c>
      <c r="X91" s="610">
        <v>83</v>
      </c>
      <c r="Y91" s="467">
        <v>12</v>
      </c>
      <c r="Z91" s="611"/>
      <c r="AA91" s="59"/>
      <c r="AB91" s="59"/>
      <c r="AC91" s="572"/>
      <c r="AD91" s="144"/>
      <c r="AE91" s="612"/>
      <c r="AF91" s="467">
        <v>0</v>
      </c>
      <c r="AG91" s="613"/>
      <c r="AH91" s="595"/>
      <c r="AI91" s="212" t="s">
        <v>792</v>
      </c>
      <c r="AJ91" s="144"/>
      <c r="AK91" s="144"/>
      <c r="AL91" s="128"/>
      <c r="AM91" s="675"/>
      <c r="AN91" s="675"/>
      <c r="AO91" s="676"/>
      <c r="AP91" s="675"/>
      <c r="AQ91" s="677"/>
      <c r="AU91" s="573"/>
    </row>
    <row r="92" spans="2:47" ht="18.75" customHeight="1" x14ac:dyDescent="0.4">
      <c r="R92" s="606"/>
      <c r="S92" s="608" t="s">
        <v>793</v>
      </c>
      <c r="T92" s="608" t="s">
        <v>794</v>
      </c>
      <c r="U92" s="467">
        <v>156</v>
      </c>
      <c r="V92" s="572" t="s">
        <v>60</v>
      </c>
      <c r="W92" s="466">
        <v>20.3</v>
      </c>
      <c r="X92" s="610">
        <v>84</v>
      </c>
      <c r="Y92" s="467">
        <v>35</v>
      </c>
      <c r="Z92" s="611">
        <v>57</v>
      </c>
      <c r="AA92" s="59"/>
      <c r="AB92" s="59"/>
      <c r="AC92" s="572"/>
      <c r="AD92" s="640" t="s">
        <v>523</v>
      </c>
      <c r="AE92" s="612"/>
      <c r="AF92" s="467">
        <v>2</v>
      </c>
      <c r="AG92" s="613"/>
      <c r="AH92" s="595"/>
      <c r="AI92" s="212"/>
      <c r="AJ92" s="28"/>
      <c r="AK92" s="144"/>
      <c r="AL92" s="128"/>
      <c r="AM92" s="678"/>
      <c r="AN92" s="678"/>
      <c r="AO92" s="679"/>
      <c r="AP92" s="678"/>
      <c r="AQ92" s="573"/>
      <c r="AU92" s="573"/>
    </row>
    <row r="93" spans="2:47" ht="18.75" customHeight="1" x14ac:dyDescent="0.4">
      <c r="B93" s="495"/>
      <c r="C93" s="495"/>
      <c r="D93" s="495"/>
      <c r="E93" s="495"/>
      <c r="F93" s="572"/>
      <c r="G93" s="497"/>
      <c r="H93" s="680"/>
      <c r="J93" s="681"/>
      <c r="R93" s="606"/>
      <c r="S93" s="607" t="s">
        <v>795</v>
      </c>
      <c r="T93" s="607" t="s">
        <v>796</v>
      </c>
      <c r="U93" s="467">
        <v>156</v>
      </c>
      <c r="V93" s="572" t="s">
        <v>60</v>
      </c>
      <c r="W93" s="466">
        <v>20.399999999999999</v>
      </c>
      <c r="X93" s="610">
        <v>85</v>
      </c>
      <c r="Y93" s="467">
        <v>35</v>
      </c>
      <c r="Z93" s="606">
        <v>57</v>
      </c>
      <c r="AA93" s="682"/>
      <c r="AB93" s="682"/>
      <c r="AC93" s="536"/>
      <c r="AD93" s="640" t="s">
        <v>523</v>
      </c>
      <c r="AE93" s="683"/>
      <c r="AF93" s="532">
        <v>2</v>
      </c>
      <c r="AG93" s="652"/>
      <c r="AH93" s="595"/>
      <c r="AI93" s="684" t="s">
        <v>797</v>
      </c>
      <c r="AJ93" s="144"/>
      <c r="AK93" s="144"/>
      <c r="AL93" s="128"/>
      <c r="AM93" s="678"/>
      <c r="AN93" s="678"/>
      <c r="AO93" s="679"/>
      <c r="AP93" s="678"/>
      <c r="AQ93" s="677"/>
      <c r="AU93" s="573"/>
    </row>
    <row r="94" spans="2:47" ht="18.75" customHeight="1" x14ac:dyDescent="0.4">
      <c r="B94" s="495"/>
      <c r="C94" s="495"/>
      <c r="D94" s="495"/>
      <c r="E94" s="495"/>
      <c r="F94" s="685"/>
      <c r="G94" s="686"/>
      <c r="H94" s="687"/>
      <c r="I94" s="609"/>
      <c r="J94" s="609"/>
      <c r="K94" s="670"/>
      <c r="R94" s="606"/>
      <c r="S94" s="608" t="s">
        <v>798</v>
      </c>
      <c r="T94" s="608" t="s">
        <v>798</v>
      </c>
      <c r="U94" s="467">
        <v>123</v>
      </c>
      <c r="V94" s="572" t="s">
        <v>60</v>
      </c>
      <c r="W94" s="609">
        <v>20.43</v>
      </c>
      <c r="X94" s="610">
        <v>86</v>
      </c>
      <c r="Y94" s="467">
        <v>24</v>
      </c>
      <c r="Z94" s="611">
        <v>56</v>
      </c>
      <c r="AA94" s="59" t="s">
        <v>523</v>
      </c>
      <c r="AB94" s="59"/>
      <c r="AC94" s="572"/>
      <c r="AD94" s="144"/>
      <c r="AE94" s="612"/>
      <c r="AF94" s="467">
        <v>0</v>
      </c>
      <c r="AG94" s="613"/>
      <c r="AH94" s="595"/>
      <c r="AI94" s="212" t="s">
        <v>799</v>
      </c>
      <c r="AJ94" s="144"/>
      <c r="AK94" s="144"/>
      <c r="AL94" s="97"/>
      <c r="AM94" s="678"/>
      <c r="AN94" s="678"/>
      <c r="AO94" s="679"/>
      <c r="AP94" s="678"/>
      <c r="AQ94" s="573"/>
      <c r="AU94" s="573"/>
    </row>
    <row r="95" spans="2:47" ht="18.75" customHeight="1" x14ac:dyDescent="0.4">
      <c r="B95" s="530"/>
      <c r="R95" s="606"/>
      <c r="S95" s="608" t="s">
        <v>800</v>
      </c>
      <c r="T95" s="608" t="s">
        <v>801</v>
      </c>
      <c r="U95" s="532">
        <v>162</v>
      </c>
      <c r="V95" s="572" t="s">
        <v>94</v>
      </c>
      <c r="W95" s="609">
        <v>20.45</v>
      </c>
      <c r="X95" s="610">
        <v>87</v>
      </c>
      <c r="Y95" s="467">
        <v>36</v>
      </c>
      <c r="Z95" s="611"/>
      <c r="AA95" s="59"/>
      <c r="AB95" s="59"/>
      <c r="AC95" s="572"/>
      <c r="AD95" s="144"/>
      <c r="AE95" s="612"/>
      <c r="AF95" s="467">
        <v>3</v>
      </c>
      <c r="AG95" s="613">
        <v>1</v>
      </c>
      <c r="AH95" s="595"/>
      <c r="AI95" s="212" t="s">
        <v>802</v>
      </c>
      <c r="AJ95" s="144"/>
      <c r="AK95" s="144"/>
      <c r="AL95" s="97"/>
      <c r="AM95" s="279"/>
      <c r="AN95" s="279"/>
      <c r="AO95" s="254"/>
      <c r="AP95" s="279"/>
      <c r="AQ95" s="688"/>
      <c r="AU95" s="573"/>
    </row>
    <row r="96" spans="2:47" ht="18.75" customHeight="1" x14ac:dyDescent="0.4">
      <c r="B96" s="530"/>
      <c r="F96" s="689"/>
      <c r="G96" s="690"/>
      <c r="R96" s="606"/>
      <c r="S96" s="608" t="s">
        <v>803</v>
      </c>
      <c r="T96" s="608" t="s">
        <v>804</v>
      </c>
      <c r="U96" s="467">
        <v>152</v>
      </c>
      <c r="V96" s="572" t="s">
        <v>60</v>
      </c>
      <c r="W96" s="467">
        <v>21</v>
      </c>
      <c r="X96" s="610">
        <v>88</v>
      </c>
      <c r="Y96" s="467">
        <v>34</v>
      </c>
      <c r="Z96" s="611">
        <v>58</v>
      </c>
      <c r="AA96" s="59"/>
      <c r="AB96" s="545" t="s">
        <v>523</v>
      </c>
      <c r="AC96" s="572"/>
      <c r="AD96" s="640" t="s">
        <v>523</v>
      </c>
      <c r="AE96" s="691" t="s">
        <v>523</v>
      </c>
      <c r="AF96" s="467">
        <v>2</v>
      </c>
      <c r="AG96" s="613"/>
      <c r="AH96" s="595"/>
      <c r="AI96" s="692" t="s">
        <v>805</v>
      </c>
      <c r="AJ96" s="144"/>
      <c r="AK96" s="144"/>
      <c r="AL96" s="97"/>
      <c r="AM96" s="678"/>
      <c r="AN96" s="678"/>
      <c r="AO96" s="679"/>
      <c r="AP96" s="678"/>
      <c r="AQ96" s="688"/>
      <c r="AU96" s="573"/>
    </row>
    <row r="97" spans="2:47" ht="18.75" customHeight="1" x14ac:dyDescent="0.4">
      <c r="B97" s="530"/>
      <c r="E97" s="693" t="s">
        <v>806</v>
      </c>
      <c r="M97" s="467"/>
      <c r="R97" s="606"/>
      <c r="S97" s="608" t="s">
        <v>807</v>
      </c>
      <c r="T97" s="608" t="s">
        <v>808</v>
      </c>
      <c r="U97" s="467">
        <v>106</v>
      </c>
      <c r="V97" s="572" t="s">
        <v>60</v>
      </c>
      <c r="W97" s="609">
        <v>21.087008510638288</v>
      </c>
      <c r="X97" s="610">
        <v>89</v>
      </c>
      <c r="Y97" s="467">
        <v>32</v>
      </c>
      <c r="Z97" s="611"/>
      <c r="AA97" s="59"/>
      <c r="AB97" s="59"/>
      <c r="AC97" s="572"/>
      <c r="AD97" s="144"/>
      <c r="AE97" s="612"/>
      <c r="AF97" s="467">
        <v>1</v>
      </c>
      <c r="AG97" s="613"/>
      <c r="AH97" s="595"/>
      <c r="AI97" s="645" t="s">
        <v>809</v>
      </c>
      <c r="AJ97" s="100"/>
      <c r="AK97" s="100"/>
      <c r="AL97" s="661"/>
      <c r="AM97" s="279"/>
      <c r="AN97" s="279"/>
      <c r="AO97" s="254"/>
      <c r="AP97" s="279"/>
      <c r="AQ97" s="694"/>
      <c r="AU97" s="573"/>
    </row>
    <row r="98" spans="2:47" ht="18.75" customHeight="1" x14ac:dyDescent="0.4">
      <c r="B98" s="530"/>
      <c r="R98" s="606"/>
      <c r="S98" s="608" t="s">
        <v>810</v>
      </c>
      <c r="T98" s="608" t="s">
        <v>811</v>
      </c>
      <c r="U98" s="467">
        <v>169</v>
      </c>
      <c r="V98" s="572" t="s">
        <v>60</v>
      </c>
      <c r="W98" s="609">
        <v>21.1</v>
      </c>
      <c r="X98" s="610">
        <v>90</v>
      </c>
      <c r="Y98" s="467">
        <v>13</v>
      </c>
      <c r="Z98" s="611"/>
      <c r="AA98" s="59"/>
      <c r="AB98" s="59"/>
      <c r="AC98" s="572"/>
      <c r="AD98" s="144"/>
      <c r="AE98" s="612"/>
      <c r="AF98" s="467">
        <v>0</v>
      </c>
      <c r="AG98" s="613"/>
      <c r="AH98" s="595"/>
      <c r="AI98" s="651" t="s">
        <v>812</v>
      </c>
      <c r="AJ98" s="100"/>
      <c r="AK98" s="100"/>
      <c r="AL98" s="128"/>
      <c r="AM98" s="279"/>
      <c r="AN98" s="279"/>
      <c r="AO98" s="254"/>
      <c r="AP98" s="279"/>
      <c r="AQ98" s="694"/>
      <c r="AU98" s="573"/>
    </row>
    <row r="99" spans="2:47" ht="18.75" customHeight="1" x14ac:dyDescent="0.4">
      <c r="B99" s="530"/>
      <c r="E99" s="530" t="s">
        <v>813</v>
      </c>
      <c r="F99" s="531" t="s">
        <v>814</v>
      </c>
      <c r="R99" s="606"/>
      <c r="S99" s="608" t="s">
        <v>815</v>
      </c>
      <c r="T99" s="608" t="s">
        <v>816</v>
      </c>
      <c r="U99" s="467">
        <v>156</v>
      </c>
      <c r="V99" s="572" t="s">
        <v>60</v>
      </c>
      <c r="W99" s="466">
        <v>21.1</v>
      </c>
      <c r="X99" s="610">
        <v>91</v>
      </c>
      <c r="Y99" s="467">
        <v>35</v>
      </c>
      <c r="Z99" s="611">
        <v>58</v>
      </c>
      <c r="AA99" s="59"/>
      <c r="AB99" s="59"/>
      <c r="AC99" s="572"/>
      <c r="AD99" s="640" t="s">
        <v>523</v>
      </c>
      <c r="AE99" s="612"/>
      <c r="AF99" s="467">
        <v>2</v>
      </c>
      <c r="AG99" s="613"/>
      <c r="AH99" s="595"/>
      <c r="AI99" s="632" t="s">
        <v>817</v>
      </c>
      <c r="AJ99" s="100"/>
      <c r="AK99" s="100"/>
      <c r="AL99" s="661"/>
      <c r="AM99" s="279"/>
      <c r="AN99" s="279"/>
      <c r="AO99" s="254"/>
      <c r="AP99" s="279"/>
      <c r="AQ99" s="694"/>
      <c r="AU99" s="573"/>
    </row>
    <row r="100" spans="2:47" ht="18.75" customHeight="1" x14ac:dyDescent="0.4">
      <c r="B100" s="530"/>
      <c r="E100" s="530" t="s">
        <v>651</v>
      </c>
      <c r="F100" s="531" t="s">
        <v>818</v>
      </c>
      <c r="R100" s="606"/>
      <c r="S100" s="608" t="s">
        <v>819</v>
      </c>
      <c r="T100" s="608" t="s">
        <v>820</v>
      </c>
      <c r="U100" s="467">
        <v>113</v>
      </c>
      <c r="V100" s="572" t="s">
        <v>60</v>
      </c>
      <c r="W100" s="609">
        <v>21.18</v>
      </c>
      <c r="X100" s="610">
        <v>92</v>
      </c>
      <c r="Y100" s="467">
        <v>12</v>
      </c>
      <c r="Z100" s="611"/>
      <c r="AA100" s="59"/>
      <c r="AB100" s="59"/>
      <c r="AC100" s="572"/>
      <c r="AD100" s="144"/>
      <c r="AE100" s="612"/>
      <c r="AF100" s="467">
        <v>0</v>
      </c>
      <c r="AG100" s="613"/>
      <c r="AH100" s="595"/>
      <c r="AI100" s="695" t="s">
        <v>821</v>
      </c>
      <c r="AJ100" s="107"/>
      <c r="AK100" s="107"/>
      <c r="AL100" s="183"/>
      <c r="AM100" s="279"/>
      <c r="AN100" s="279"/>
      <c r="AO100" s="254"/>
      <c r="AP100" s="279"/>
      <c r="AQ100" s="387"/>
      <c r="AU100" s="573"/>
    </row>
    <row r="101" spans="2:47" ht="18.75" customHeight="1" x14ac:dyDescent="0.4">
      <c r="B101" s="530"/>
      <c r="E101" s="530" t="s">
        <v>625</v>
      </c>
      <c r="F101" s="531" t="s">
        <v>822</v>
      </c>
      <c r="R101" s="606"/>
      <c r="S101" s="608" t="s">
        <v>823</v>
      </c>
      <c r="T101" s="608" t="s">
        <v>823</v>
      </c>
      <c r="U101" s="467">
        <v>106</v>
      </c>
      <c r="V101" s="572" t="s">
        <v>60</v>
      </c>
      <c r="W101" s="609">
        <v>21.479170212765951</v>
      </c>
      <c r="X101" s="610">
        <v>93</v>
      </c>
      <c r="Y101" s="467">
        <v>32</v>
      </c>
      <c r="Z101" s="611"/>
      <c r="AA101" s="59"/>
      <c r="AB101" s="59"/>
      <c r="AC101" s="572"/>
      <c r="AD101" s="144"/>
      <c r="AE101" s="612"/>
      <c r="AF101" s="467">
        <v>1</v>
      </c>
      <c r="AG101" s="613"/>
      <c r="AH101" s="595"/>
      <c r="AQ101" s="694"/>
      <c r="AU101" s="573"/>
    </row>
    <row r="102" spans="2:47" ht="18.75" customHeight="1" x14ac:dyDescent="0.4">
      <c r="B102" s="530"/>
      <c r="E102" s="530" t="s">
        <v>824</v>
      </c>
      <c r="F102" s="531" t="s">
        <v>825</v>
      </c>
      <c r="R102" s="606"/>
      <c r="S102" s="608" t="s">
        <v>826</v>
      </c>
      <c r="T102" s="608" t="s">
        <v>827</v>
      </c>
      <c r="U102" s="467">
        <v>188</v>
      </c>
      <c r="V102" s="572" t="s">
        <v>60</v>
      </c>
      <c r="W102" s="609">
        <v>22.5</v>
      </c>
      <c r="X102" s="610">
        <v>94</v>
      </c>
      <c r="Y102" s="467">
        <v>25</v>
      </c>
      <c r="Z102" s="611">
        <v>59</v>
      </c>
      <c r="AA102" s="59" t="s">
        <v>523</v>
      </c>
      <c r="AB102" s="59"/>
      <c r="AC102" s="572"/>
      <c r="AD102" s="144"/>
      <c r="AE102" s="612"/>
      <c r="AF102" s="467">
        <v>0</v>
      </c>
      <c r="AG102" s="613"/>
      <c r="AH102" s="595"/>
      <c r="AQ102" s="387"/>
      <c r="AU102" s="573"/>
    </row>
    <row r="103" spans="2:47" ht="18.75" customHeight="1" x14ac:dyDescent="0.4">
      <c r="B103" s="530"/>
      <c r="E103" s="530" t="s">
        <v>828</v>
      </c>
      <c r="F103" s="531" t="s">
        <v>827</v>
      </c>
      <c r="R103" s="606"/>
      <c r="S103" s="608" t="s">
        <v>829</v>
      </c>
      <c r="T103" s="608" t="s">
        <v>829</v>
      </c>
      <c r="U103" s="467">
        <v>74</v>
      </c>
      <c r="V103" s="572" t="s">
        <v>60</v>
      </c>
      <c r="W103" s="609">
        <v>22.57</v>
      </c>
      <c r="X103" s="610">
        <v>95</v>
      </c>
      <c r="Y103" s="467">
        <v>41</v>
      </c>
      <c r="Z103" s="611">
        <v>60</v>
      </c>
      <c r="AA103" s="59"/>
      <c r="AB103" s="59"/>
      <c r="AC103" s="572"/>
      <c r="AD103" s="144"/>
      <c r="AE103" s="612"/>
      <c r="AF103" s="467">
        <v>0</v>
      </c>
      <c r="AG103" s="613"/>
      <c r="AH103" s="595"/>
      <c r="AQ103" s="387"/>
      <c r="AU103" s="573"/>
    </row>
    <row r="104" spans="2:47" ht="18.75" customHeight="1" x14ac:dyDescent="0.4">
      <c r="B104" s="530"/>
      <c r="E104" s="530" t="s">
        <v>212</v>
      </c>
      <c r="F104" s="531" t="s">
        <v>830</v>
      </c>
      <c r="R104" s="606"/>
      <c r="S104" s="608" t="s">
        <v>831</v>
      </c>
      <c r="T104" s="608" t="s">
        <v>832</v>
      </c>
      <c r="U104" s="467">
        <v>187</v>
      </c>
      <c r="V104" s="572" t="s">
        <v>60</v>
      </c>
      <c r="W104" s="609">
        <v>22.7</v>
      </c>
      <c r="X104" s="610">
        <v>96</v>
      </c>
      <c r="Y104" s="467">
        <v>25</v>
      </c>
      <c r="Z104" s="611">
        <v>59</v>
      </c>
      <c r="AA104" s="59" t="s">
        <v>523</v>
      </c>
      <c r="AB104" s="59"/>
      <c r="AC104" s="572"/>
      <c r="AD104" s="144"/>
      <c r="AE104" s="612"/>
      <c r="AF104" s="467">
        <v>0</v>
      </c>
      <c r="AG104" s="613"/>
      <c r="AH104" s="595"/>
      <c r="AQ104" s="387"/>
      <c r="AU104" s="573"/>
    </row>
    <row r="105" spans="2:47" ht="18.75" customHeight="1" x14ac:dyDescent="0.4">
      <c r="B105" s="530"/>
      <c r="E105" s="530" t="s">
        <v>833</v>
      </c>
      <c r="F105" s="531" t="s">
        <v>834</v>
      </c>
      <c r="R105" s="606"/>
      <c r="S105" s="608" t="s">
        <v>835</v>
      </c>
      <c r="T105" s="608" t="s">
        <v>835</v>
      </c>
      <c r="U105" s="467">
        <v>170</v>
      </c>
      <c r="V105" s="572" t="s">
        <v>60</v>
      </c>
      <c r="W105" s="609">
        <v>22.7</v>
      </c>
      <c r="X105" s="610">
        <v>97</v>
      </c>
      <c r="Y105" s="467">
        <v>35</v>
      </c>
      <c r="Z105" s="611">
        <v>61</v>
      </c>
      <c r="AA105" s="59"/>
      <c r="AB105" s="59"/>
      <c r="AC105" s="572"/>
      <c r="AD105" s="640" t="s">
        <v>523</v>
      </c>
      <c r="AE105" s="612"/>
      <c r="AF105" s="467">
        <v>2</v>
      </c>
      <c r="AG105" s="613"/>
      <c r="AH105" s="595"/>
      <c r="AQ105" s="387"/>
      <c r="AU105" s="573"/>
    </row>
    <row r="106" spans="2:47" ht="18.75" customHeight="1" x14ac:dyDescent="0.4">
      <c r="B106" s="530"/>
      <c r="E106" s="530" t="s">
        <v>836</v>
      </c>
      <c r="F106" s="531" t="s">
        <v>837</v>
      </c>
      <c r="R106" s="606"/>
      <c r="S106" s="608" t="s">
        <v>838</v>
      </c>
      <c r="T106" s="608" t="s">
        <v>838</v>
      </c>
      <c r="U106" s="467">
        <v>170</v>
      </c>
      <c r="V106" s="572" t="s">
        <v>60</v>
      </c>
      <c r="W106" s="609">
        <v>22.8</v>
      </c>
      <c r="X106" s="610">
        <v>98</v>
      </c>
      <c r="Y106" s="467">
        <v>35</v>
      </c>
      <c r="Z106" s="611">
        <v>61</v>
      </c>
      <c r="AA106" s="59"/>
      <c r="AB106" s="59"/>
      <c r="AC106" s="572"/>
      <c r="AD106" s="640" t="s">
        <v>523</v>
      </c>
      <c r="AE106" s="612"/>
      <c r="AF106" s="467">
        <v>2</v>
      </c>
      <c r="AG106" s="613"/>
      <c r="AH106" s="595"/>
      <c r="AI106" s="572"/>
      <c r="AJ106" s="572"/>
      <c r="AK106" s="572"/>
      <c r="AL106" s="572"/>
      <c r="AM106" s="572"/>
      <c r="AN106" s="572"/>
      <c r="AO106" s="467"/>
      <c r="AP106" s="573"/>
      <c r="AQ106" s="573"/>
      <c r="AU106" s="573"/>
    </row>
    <row r="107" spans="2:47" ht="18.75" customHeight="1" x14ac:dyDescent="0.4">
      <c r="B107" s="530"/>
      <c r="R107" s="606"/>
      <c r="S107" s="608" t="s">
        <v>839</v>
      </c>
      <c r="T107" s="608" t="s">
        <v>840</v>
      </c>
      <c r="U107" s="467">
        <v>83</v>
      </c>
      <c r="V107" s="572" t="s">
        <v>60</v>
      </c>
      <c r="W107" s="609">
        <v>23.2</v>
      </c>
      <c r="X107" s="610">
        <v>99</v>
      </c>
      <c r="Y107" s="467">
        <v>21</v>
      </c>
      <c r="Z107" s="611"/>
      <c r="AA107" s="59"/>
      <c r="AB107" s="59"/>
      <c r="AC107" s="572"/>
      <c r="AD107" s="144"/>
      <c r="AE107" s="612"/>
      <c r="AF107" s="467">
        <v>0</v>
      </c>
      <c r="AG107" s="613"/>
      <c r="AH107" s="595"/>
      <c r="AI107" s="572"/>
      <c r="AJ107" s="572"/>
      <c r="AK107" s="572"/>
      <c r="AL107" s="572"/>
      <c r="AM107" s="572"/>
      <c r="AN107" s="572"/>
      <c r="AO107" s="467"/>
      <c r="AP107" s="573"/>
      <c r="AQ107" s="573"/>
      <c r="AU107" s="573"/>
    </row>
    <row r="108" spans="2:47" ht="18.75" customHeight="1" x14ac:dyDescent="0.4">
      <c r="B108" s="530"/>
      <c r="R108" s="606"/>
      <c r="S108" s="608" t="s">
        <v>841</v>
      </c>
      <c r="T108" s="608" t="s">
        <v>842</v>
      </c>
      <c r="U108" s="467">
        <v>106</v>
      </c>
      <c r="V108" s="572" t="s">
        <v>60</v>
      </c>
      <c r="W108" s="609">
        <v>25.847795744680948</v>
      </c>
      <c r="X108" s="610">
        <v>100</v>
      </c>
      <c r="Y108" s="467">
        <v>32</v>
      </c>
      <c r="Z108" s="611"/>
      <c r="AA108" s="59"/>
      <c r="AB108" s="59"/>
      <c r="AC108" s="572"/>
      <c r="AD108" s="144"/>
      <c r="AE108" s="612"/>
      <c r="AF108" s="467">
        <v>1</v>
      </c>
      <c r="AG108" s="613"/>
      <c r="AH108" s="595"/>
      <c r="AI108" s="572"/>
      <c r="AJ108" s="572"/>
      <c r="AK108" s="572"/>
      <c r="AL108" s="572"/>
      <c r="AM108" s="572"/>
      <c r="AN108" s="572"/>
      <c r="AO108" s="467"/>
      <c r="AP108" s="573"/>
      <c r="AQ108" s="573"/>
      <c r="AU108" s="573"/>
    </row>
    <row r="109" spans="2:47" ht="18.75" customHeight="1" x14ac:dyDescent="0.4">
      <c r="B109" s="530"/>
      <c r="R109" s="606"/>
      <c r="S109" s="608" t="s">
        <v>843</v>
      </c>
      <c r="T109" s="608" t="s">
        <v>844</v>
      </c>
      <c r="U109" s="467">
        <v>186</v>
      </c>
      <c r="V109" s="572" t="s">
        <v>60</v>
      </c>
      <c r="W109" s="609">
        <v>26.2</v>
      </c>
      <c r="X109" s="610">
        <v>101</v>
      </c>
      <c r="Y109" s="467">
        <v>33</v>
      </c>
      <c r="Z109" s="611">
        <v>63</v>
      </c>
      <c r="AA109" s="59"/>
      <c r="AB109" s="59"/>
      <c r="AC109" s="572"/>
      <c r="AD109" s="144"/>
      <c r="AE109" s="612"/>
      <c r="AF109" s="467">
        <v>1</v>
      </c>
      <c r="AG109" s="613"/>
      <c r="AH109" s="595"/>
      <c r="AI109" s="572"/>
      <c r="AJ109" s="572"/>
      <c r="AK109" s="572"/>
      <c r="AL109" s="572"/>
      <c r="AM109" s="572"/>
      <c r="AN109" s="572"/>
      <c r="AO109" s="467"/>
      <c r="AP109" s="573"/>
      <c r="AQ109" s="573"/>
      <c r="AU109" s="573"/>
    </row>
    <row r="110" spans="2:47" ht="18.75" customHeight="1" x14ac:dyDescent="0.4">
      <c r="B110" s="530"/>
      <c r="R110" s="606"/>
      <c r="S110" s="608" t="s">
        <v>845</v>
      </c>
      <c r="T110" s="608" t="s">
        <v>846</v>
      </c>
      <c r="U110" s="467">
        <v>180</v>
      </c>
      <c r="V110" s="572" t="s">
        <v>60</v>
      </c>
      <c r="W110" s="609">
        <v>26.39</v>
      </c>
      <c r="X110" s="610">
        <v>102</v>
      </c>
      <c r="Y110" s="467">
        <v>35</v>
      </c>
      <c r="Z110" s="611">
        <v>64</v>
      </c>
      <c r="AA110" s="59"/>
      <c r="AB110" s="59"/>
      <c r="AC110" s="572"/>
      <c r="AD110" s="640" t="s">
        <v>523</v>
      </c>
      <c r="AE110" s="612"/>
      <c r="AF110" s="467">
        <v>3</v>
      </c>
      <c r="AG110" s="613"/>
      <c r="AH110" s="595"/>
      <c r="AI110" s="572"/>
      <c r="AJ110" s="572"/>
      <c r="AK110" s="572"/>
      <c r="AL110" s="572"/>
      <c r="AM110" s="572"/>
      <c r="AN110" s="572"/>
      <c r="AO110" s="467"/>
      <c r="AP110" s="573"/>
      <c r="AQ110" s="573"/>
      <c r="AU110" s="573"/>
    </row>
    <row r="111" spans="2:47" ht="18.75" customHeight="1" x14ac:dyDescent="0.4">
      <c r="B111" s="530"/>
      <c r="R111" s="606"/>
      <c r="S111" s="608" t="s">
        <v>847</v>
      </c>
      <c r="T111" s="608" t="s">
        <v>848</v>
      </c>
      <c r="U111" s="467">
        <v>186</v>
      </c>
      <c r="V111" s="572" t="s">
        <v>60</v>
      </c>
      <c r="W111" s="609">
        <v>26.7</v>
      </c>
      <c r="X111" s="610">
        <v>103</v>
      </c>
      <c r="Y111" s="467">
        <v>33</v>
      </c>
      <c r="Z111" s="611" t="s">
        <v>849</v>
      </c>
      <c r="AA111" s="59"/>
      <c r="AB111" s="59"/>
      <c r="AC111" s="572"/>
      <c r="AD111" s="144"/>
      <c r="AE111" s="612"/>
      <c r="AF111" s="467">
        <v>1</v>
      </c>
      <c r="AG111" s="613"/>
      <c r="AH111" s="595"/>
      <c r="AI111" s="572"/>
      <c r="AJ111" s="572"/>
      <c r="AK111" s="572"/>
      <c r="AL111" s="572"/>
      <c r="AM111" s="572"/>
      <c r="AN111" s="572"/>
      <c r="AO111" s="467"/>
      <c r="AP111" s="573"/>
      <c r="AQ111" s="573"/>
      <c r="AU111" s="573"/>
    </row>
    <row r="112" spans="2:47" ht="18.75" customHeight="1" x14ac:dyDescent="0.4">
      <c r="B112" s="530"/>
      <c r="R112" s="606"/>
      <c r="S112" s="608" t="s">
        <v>850</v>
      </c>
      <c r="T112" s="608" t="s">
        <v>850</v>
      </c>
      <c r="U112" s="467">
        <v>74</v>
      </c>
      <c r="V112" s="572" t="s">
        <v>60</v>
      </c>
      <c r="W112" s="609">
        <v>26.7</v>
      </c>
      <c r="X112" s="610">
        <v>104</v>
      </c>
      <c r="Y112" s="467">
        <v>41</v>
      </c>
      <c r="Z112" s="611">
        <v>65</v>
      </c>
      <c r="AA112" s="59"/>
      <c r="AB112" s="59"/>
      <c r="AC112" s="572"/>
      <c r="AD112" s="144"/>
      <c r="AE112" s="612"/>
      <c r="AF112" s="467">
        <v>0</v>
      </c>
      <c r="AG112" s="613"/>
      <c r="AH112" s="595"/>
      <c r="AI112" s="572"/>
      <c r="AJ112" s="572"/>
      <c r="AK112" s="572"/>
      <c r="AL112" s="572"/>
      <c r="AM112" s="572"/>
      <c r="AN112" s="572"/>
      <c r="AO112" s="467"/>
      <c r="AP112" s="573"/>
      <c r="AQ112" s="573"/>
      <c r="AU112" s="573"/>
    </row>
    <row r="113" spans="2:47" ht="18.75" customHeight="1" x14ac:dyDescent="0.4">
      <c r="B113" s="530"/>
      <c r="R113" s="606"/>
      <c r="S113" s="608" t="s">
        <v>851</v>
      </c>
      <c r="T113" s="608" t="s">
        <v>852</v>
      </c>
      <c r="U113" s="467">
        <v>225</v>
      </c>
      <c r="V113" s="572" t="s">
        <v>60</v>
      </c>
      <c r="W113" s="609">
        <v>27.6</v>
      </c>
      <c r="X113" s="610">
        <v>105</v>
      </c>
      <c r="Y113" s="467">
        <v>13</v>
      </c>
      <c r="Z113" s="611"/>
      <c r="AA113" s="59"/>
      <c r="AB113" s="59"/>
      <c r="AC113" s="572"/>
      <c r="AD113" s="144"/>
      <c r="AE113" s="612"/>
      <c r="AF113" s="467">
        <v>0</v>
      </c>
      <c r="AG113" s="613"/>
      <c r="AH113" s="595"/>
      <c r="AI113" s="572"/>
      <c r="AJ113" s="572"/>
      <c r="AK113" s="572"/>
      <c r="AL113" s="572"/>
      <c r="AM113" s="572"/>
      <c r="AN113" s="572"/>
      <c r="AO113" s="467"/>
      <c r="AP113" s="573"/>
      <c r="AQ113" s="573"/>
      <c r="AU113" s="573"/>
    </row>
    <row r="114" spans="2:47" ht="18.75" customHeight="1" x14ac:dyDescent="0.4">
      <c r="B114" s="530"/>
      <c r="R114" s="606"/>
      <c r="S114" s="608" t="s">
        <v>853</v>
      </c>
      <c r="T114" s="608" t="s">
        <v>854</v>
      </c>
      <c r="U114" s="467">
        <v>194</v>
      </c>
      <c r="V114" s="572" t="s">
        <v>94</v>
      </c>
      <c r="W114" s="609">
        <v>28.76</v>
      </c>
      <c r="X114" s="610">
        <v>106</v>
      </c>
      <c r="Y114" s="467">
        <v>35</v>
      </c>
      <c r="Z114" s="611"/>
      <c r="AA114" s="59"/>
      <c r="AB114" s="59"/>
      <c r="AC114" s="572"/>
      <c r="AD114" s="640" t="s">
        <v>523</v>
      </c>
      <c r="AE114" s="612"/>
      <c r="AF114" s="467">
        <v>3</v>
      </c>
      <c r="AG114" s="613"/>
      <c r="AH114" s="595"/>
      <c r="AI114" s="572"/>
      <c r="AJ114" s="572"/>
      <c r="AK114" s="572"/>
      <c r="AL114" s="572"/>
      <c r="AM114" s="572"/>
      <c r="AN114" s="572"/>
      <c r="AO114" s="467"/>
      <c r="AP114" s="573"/>
      <c r="AQ114" s="573"/>
      <c r="AR114" s="497" t="s">
        <v>509</v>
      </c>
      <c r="AS114" s="573"/>
      <c r="AT114" s="573"/>
      <c r="AU114" s="573"/>
    </row>
    <row r="115" spans="2:47" ht="18.75" customHeight="1" x14ac:dyDescent="0.4">
      <c r="B115" s="530"/>
      <c r="R115" s="606"/>
      <c r="S115" s="608" t="s">
        <v>855</v>
      </c>
      <c r="T115" s="608" t="s">
        <v>856</v>
      </c>
      <c r="U115" s="467">
        <v>225</v>
      </c>
      <c r="V115" s="572" t="s">
        <v>60</v>
      </c>
      <c r="W115" s="609">
        <v>29.224</v>
      </c>
      <c r="X115" s="610">
        <v>107</v>
      </c>
      <c r="Y115" s="467">
        <v>13</v>
      </c>
      <c r="Z115" s="611"/>
      <c r="AA115" s="59"/>
      <c r="AB115" s="59"/>
      <c r="AC115" s="572"/>
      <c r="AD115" s="144"/>
      <c r="AE115" s="612"/>
      <c r="AF115" s="467">
        <v>0</v>
      </c>
      <c r="AG115" s="613"/>
      <c r="AH115" s="595"/>
      <c r="AI115" s="572"/>
      <c r="AJ115" s="572"/>
      <c r="AK115" s="572"/>
      <c r="AL115" s="572"/>
      <c r="AM115" s="572"/>
      <c r="AN115" s="572"/>
      <c r="AO115" s="467"/>
      <c r="AP115" s="573"/>
      <c r="AQ115" s="573"/>
      <c r="AR115" s="495"/>
      <c r="AS115" s="573"/>
      <c r="AT115" s="573"/>
      <c r="AU115" s="573"/>
    </row>
    <row r="116" spans="2:47" ht="18.75" customHeight="1" x14ac:dyDescent="0.4">
      <c r="B116" s="530"/>
      <c r="R116" s="606"/>
      <c r="S116" s="608" t="s">
        <v>857</v>
      </c>
      <c r="T116" s="608" t="s">
        <v>858</v>
      </c>
      <c r="U116" s="467">
        <v>106</v>
      </c>
      <c r="V116" s="572" t="s">
        <v>60</v>
      </c>
      <c r="W116" s="466">
        <v>29.4</v>
      </c>
      <c r="X116" s="610">
        <v>108</v>
      </c>
      <c r="Y116" s="467">
        <v>32</v>
      </c>
      <c r="Z116" s="611"/>
      <c r="AA116" s="59"/>
      <c r="AB116" s="59"/>
      <c r="AC116" s="572"/>
      <c r="AD116" s="144"/>
      <c r="AE116" s="612"/>
      <c r="AF116" s="467">
        <v>1</v>
      </c>
      <c r="AG116" s="613"/>
      <c r="AH116" s="595"/>
      <c r="AI116" s="572"/>
      <c r="AJ116" s="572"/>
      <c r="AK116" s="572"/>
      <c r="AL116" s="572"/>
      <c r="AM116" s="572"/>
      <c r="AN116" s="572"/>
      <c r="AO116" s="467"/>
      <c r="AP116" s="573"/>
      <c r="AQ116" s="573"/>
      <c r="AR116" s="495"/>
      <c r="AS116" s="573"/>
      <c r="AT116" s="573"/>
      <c r="AU116" s="573"/>
    </row>
    <row r="117" spans="2:47" ht="18.75" customHeight="1" x14ac:dyDescent="0.4">
      <c r="B117" s="530"/>
      <c r="R117" s="606"/>
      <c r="S117" s="608" t="s">
        <v>859</v>
      </c>
      <c r="T117" s="607" t="s">
        <v>860</v>
      </c>
      <c r="U117" s="467">
        <v>92</v>
      </c>
      <c r="V117" s="572" t="s">
        <v>60</v>
      </c>
      <c r="W117" s="609">
        <v>29.7</v>
      </c>
      <c r="X117" s="610">
        <v>109</v>
      </c>
      <c r="Y117" s="467">
        <v>31</v>
      </c>
      <c r="Z117" s="611"/>
      <c r="AA117" s="59"/>
      <c r="AB117" s="59"/>
      <c r="AC117" s="572"/>
      <c r="AD117" s="144"/>
      <c r="AE117" s="612"/>
      <c r="AF117" s="467">
        <v>1</v>
      </c>
      <c r="AG117" s="613"/>
      <c r="AH117" s="595"/>
      <c r="AI117" s="572"/>
      <c r="AJ117" s="572"/>
      <c r="AK117" s="572"/>
      <c r="AL117" s="572"/>
      <c r="AM117" s="572"/>
      <c r="AN117" s="572"/>
      <c r="AO117" s="467"/>
      <c r="AP117" s="573"/>
      <c r="AQ117" s="573"/>
      <c r="AR117" s="576" t="s">
        <v>31</v>
      </c>
      <c r="AS117" s="625" t="s">
        <v>32</v>
      </c>
      <c r="AT117" s="573"/>
      <c r="AU117" s="573"/>
    </row>
    <row r="118" spans="2:47" ht="18.75" customHeight="1" x14ac:dyDescent="0.4">
      <c r="B118" s="530"/>
      <c r="R118" s="606"/>
      <c r="S118" s="608" t="s">
        <v>861</v>
      </c>
      <c r="T118" s="608" t="s">
        <v>862</v>
      </c>
      <c r="U118" s="467">
        <v>106</v>
      </c>
      <c r="V118" s="572" t="s">
        <v>60</v>
      </c>
      <c r="W118" s="466">
        <v>29.8</v>
      </c>
      <c r="X118" s="610">
        <v>110</v>
      </c>
      <c r="Y118" s="467">
        <v>32</v>
      </c>
      <c r="Z118" s="611"/>
      <c r="AA118" s="59"/>
      <c r="AB118" s="59"/>
      <c r="AC118" s="572"/>
      <c r="AD118" s="144"/>
      <c r="AE118" s="612"/>
      <c r="AF118" s="467">
        <v>1</v>
      </c>
      <c r="AG118" s="613"/>
      <c r="AH118" s="595"/>
      <c r="AI118" s="572"/>
      <c r="AJ118" s="572"/>
      <c r="AK118" s="572"/>
      <c r="AL118" s="572"/>
      <c r="AM118" s="572"/>
      <c r="AN118" s="572"/>
      <c r="AO118" s="467"/>
      <c r="AP118" s="573"/>
      <c r="AQ118" s="573"/>
      <c r="AR118" s="467">
        <v>11</v>
      </c>
      <c r="AS118" s="573" t="s">
        <v>193</v>
      </c>
      <c r="AT118" s="573"/>
      <c r="AU118" s="573"/>
    </row>
    <row r="119" spans="2:47" ht="18.75" customHeight="1" x14ac:dyDescent="0.4">
      <c r="B119" s="530"/>
      <c r="R119" s="606"/>
      <c r="S119" s="608" t="s">
        <v>863</v>
      </c>
      <c r="T119" s="608" t="s">
        <v>863</v>
      </c>
      <c r="U119" s="467">
        <v>74</v>
      </c>
      <c r="V119" s="572" t="s">
        <v>60</v>
      </c>
      <c r="W119" s="609">
        <v>30.07</v>
      </c>
      <c r="X119" s="610">
        <v>111</v>
      </c>
      <c r="Y119" s="467">
        <v>41</v>
      </c>
      <c r="Z119" s="611">
        <v>66</v>
      </c>
      <c r="AA119" s="59"/>
      <c r="AB119" s="59"/>
      <c r="AC119" s="572"/>
      <c r="AD119" s="144"/>
      <c r="AE119" s="612"/>
      <c r="AF119" s="467">
        <v>0</v>
      </c>
      <c r="AG119" s="613"/>
      <c r="AH119" s="595"/>
      <c r="AI119" s="572"/>
      <c r="AJ119" s="572"/>
      <c r="AK119" s="572"/>
      <c r="AL119" s="572"/>
      <c r="AM119" s="572"/>
      <c r="AN119" s="572"/>
      <c r="AO119" s="467"/>
      <c r="AP119" s="573"/>
      <c r="AQ119" s="573"/>
      <c r="AR119" s="467">
        <v>12</v>
      </c>
      <c r="AS119" s="573" t="s">
        <v>196</v>
      </c>
      <c r="AT119" s="573"/>
      <c r="AU119" s="573"/>
    </row>
    <row r="120" spans="2:47" ht="18.75" customHeight="1" x14ac:dyDescent="0.4">
      <c r="B120" s="530"/>
      <c r="R120" s="606"/>
      <c r="S120" s="608" t="s">
        <v>864</v>
      </c>
      <c r="T120" s="607" t="s">
        <v>865</v>
      </c>
      <c r="U120" s="532">
        <v>192</v>
      </c>
      <c r="V120" s="536" t="s">
        <v>60</v>
      </c>
      <c r="W120" s="620">
        <v>30.24</v>
      </c>
      <c r="X120" s="610">
        <v>112</v>
      </c>
      <c r="Y120" s="532">
        <v>35</v>
      </c>
      <c r="Z120" s="611"/>
      <c r="AA120" s="59"/>
      <c r="AB120" s="638" t="s">
        <v>525</v>
      </c>
      <c r="AC120" s="572"/>
      <c r="AD120" s="640" t="s">
        <v>523</v>
      </c>
      <c r="AE120" s="691" t="s">
        <v>523</v>
      </c>
      <c r="AF120" s="467">
        <v>3</v>
      </c>
      <c r="AG120" s="613"/>
      <c r="AH120" s="595"/>
      <c r="AI120" s="572"/>
      <c r="AJ120" s="572"/>
      <c r="AK120" s="572"/>
      <c r="AL120" s="572"/>
      <c r="AM120" s="572"/>
      <c r="AN120" s="572"/>
      <c r="AO120" s="467"/>
      <c r="AP120" s="573"/>
      <c r="AQ120" s="573"/>
      <c r="AR120" s="467">
        <v>13</v>
      </c>
      <c r="AS120" s="573" t="s">
        <v>199</v>
      </c>
      <c r="AT120" s="573"/>
      <c r="AU120" s="573"/>
    </row>
    <row r="121" spans="2:47" ht="18.75" customHeight="1" x14ac:dyDescent="0.4">
      <c r="B121" s="530"/>
      <c r="R121" s="606"/>
      <c r="S121" s="608" t="s">
        <v>866</v>
      </c>
      <c r="T121" s="608" t="s">
        <v>867</v>
      </c>
      <c r="U121" s="467">
        <v>206</v>
      </c>
      <c r="V121" s="572" t="s">
        <v>60</v>
      </c>
      <c r="W121" s="609">
        <v>32.15</v>
      </c>
      <c r="X121" s="610">
        <v>113</v>
      </c>
      <c r="Y121" s="467">
        <v>35</v>
      </c>
      <c r="Z121" s="611">
        <v>67</v>
      </c>
      <c r="AA121" s="59"/>
      <c r="AB121" s="59"/>
      <c r="AC121" s="572"/>
      <c r="AD121" s="144"/>
      <c r="AE121" s="612"/>
      <c r="AF121" s="467">
        <v>3</v>
      </c>
      <c r="AG121" s="613"/>
      <c r="AH121" s="595"/>
      <c r="AI121" s="572"/>
      <c r="AJ121" s="572"/>
      <c r="AK121" s="572"/>
      <c r="AL121" s="572"/>
      <c r="AM121" s="572"/>
      <c r="AN121" s="572"/>
      <c r="AO121" s="467"/>
      <c r="AP121" s="573"/>
      <c r="AQ121" s="573"/>
      <c r="AR121" s="467"/>
      <c r="AS121" s="625" t="s">
        <v>202</v>
      </c>
      <c r="AT121" s="573"/>
      <c r="AU121" s="573"/>
    </row>
    <row r="122" spans="2:47" ht="18.75" customHeight="1" x14ac:dyDescent="0.4">
      <c r="B122" s="530"/>
      <c r="R122" s="606"/>
      <c r="S122" s="608" t="s">
        <v>868</v>
      </c>
      <c r="T122" s="608" t="s">
        <v>869</v>
      </c>
      <c r="U122" s="467">
        <v>206</v>
      </c>
      <c r="V122" s="572" t="s">
        <v>60</v>
      </c>
      <c r="W122" s="609">
        <v>32.67</v>
      </c>
      <c r="X122" s="610">
        <v>114</v>
      </c>
      <c r="Y122" s="467">
        <v>35</v>
      </c>
      <c r="Z122" s="611">
        <v>67</v>
      </c>
      <c r="AA122" s="59"/>
      <c r="AB122" s="59"/>
      <c r="AC122" s="572"/>
      <c r="AD122" s="144"/>
      <c r="AE122" s="612"/>
      <c r="AF122" s="467">
        <v>3</v>
      </c>
      <c r="AG122" s="613"/>
      <c r="AH122" s="595"/>
      <c r="AI122" s="572"/>
      <c r="AJ122" s="572"/>
      <c r="AK122" s="572"/>
      <c r="AL122" s="572"/>
      <c r="AM122" s="572"/>
      <c r="AN122" s="572"/>
      <c r="AO122" s="467"/>
      <c r="AP122" s="573"/>
      <c r="AQ122" s="573"/>
      <c r="AR122" s="467">
        <v>21</v>
      </c>
      <c r="AS122" s="573" t="s">
        <v>204</v>
      </c>
      <c r="AT122" s="573"/>
      <c r="AU122" s="573"/>
    </row>
    <row r="123" spans="2:47" ht="18.75" customHeight="1" x14ac:dyDescent="0.4">
      <c r="B123" s="530"/>
      <c r="R123" s="606"/>
      <c r="S123" s="608" t="s">
        <v>870</v>
      </c>
      <c r="T123" s="608" t="s">
        <v>871</v>
      </c>
      <c r="U123" s="467">
        <v>226</v>
      </c>
      <c r="V123" s="572" t="s">
        <v>94</v>
      </c>
      <c r="W123" s="609">
        <v>33.03</v>
      </c>
      <c r="X123" s="610">
        <v>115</v>
      </c>
      <c r="Y123" s="467">
        <v>36</v>
      </c>
      <c r="Z123" s="611">
        <v>68</v>
      </c>
      <c r="AA123" s="59"/>
      <c r="AB123" s="59"/>
      <c r="AC123" s="572"/>
      <c r="AD123" s="144"/>
      <c r="AE123" s="612"/>
      <c r="AF123" s="467">
        <v>3</v>
      </c>
      <c r="AG123" s="613">
        <v>1</v>
      </c>
      <c r="AH123" s="595"/>
      <c r="AI123" s="572"/>
      <c r="AJ123" s="572"/>
      <c r="AK123" s="572"/>
      <c r="AL123" s="572"/>
      <c r="AM123" s="572"/>
      <c r="AN123" s="572"/>
      <c r="AO123" s="467"/>
      <c r="AP123" s="573"/>
      <c r="AQ123" s="573"/>
      <c r="AR123" s="467">
        <v>22</v>
      </c>
      <c r="AS123" s="573" t="s">
        <v>207</v>
      </c>
      <c r="AT123" s="573"/>
      <c r="AU123" s="573"/>
    </row>
    <row r="124" spans="2:47" ht="18.75" customHeight="1" x14ac:dyDescent="0.4">
      <c r="B124" s="530"/>
      <c r="R124" s="606"/>
      <c r="S124" s="608" t="s">
        <v>872</v>
      </c>
      <c r="T124" s="608" t="s">
        <v>872</v>
      </c>
      <c r="U124" s="467">
        <v>74</v>
      </c>
      <c r="V124" s="572" t="s">
        <v>60</v>
      </c>
      <c r="W124" s="609">
        <v>33.35</v>
      </c>
      <c r="X124" s="610">
        <v>116</v>
      </c>
      <c r="Y124" s="467">
        <v>41</v>
      </c>
      <c r="Z124" s="611">
        <v>69</v>
      </c>
      <c r="AA124" s="59"/>
      <c r="AB124" s="59"/>
      <c r="AC124" s="572"/>
      <c r="AD124" s="144"/>
      <c r="AE124" s="612"/>
      <c r="AF124" s="467">
        <v>0</v>
      </c>
      <c r="AG124" s="613"/>
      <c r="AH124" s="595"/>
      <c r="AI124" s="572"/>
      <c r="AJ124" s="572"/>
      <c r="AK124" s="572"/>
      <c r="AL124" s="572"/>
      <c r="AM124" s="572"/>
      <c r="AN124" s="572"/>
      <c r="AO124" s="467"/>
      <c r="AP124" s="573"/>
      <c r="AQ124" s="573"/>
      <c r="AR124" s="467">
        <v>23</v>
      </c>
      <c r="AS124" s="573" t="s">
        <v>209</v>
      </c>
      <c r="AT124" s="573"/>
      <c r="AU124" s="573"/>
    </row>
    <row r="125" spans="2:47" ht="18.75" customHeight="1" x14ac:dyDescent="0.4">
      <c r="B125" s="530"/>
      <c r="R125" s="606"/>
      <c r="S125" s="494" t="s">
        <v>873</v>
      </c>
      <c r="T125" s="573" t="s">
        <v>874</v>
      </c>
      <c r="U125" s="467">
        <v>74</v>
      </c>
      <c r="V125" s="572" t="s">
        <v>60</v>
      </c>
      <c r="W125" s="609">
        <v>33.450000000000003</v>
      </c>
      <c r="X125" s="610">
        <v>117</v>
      </c>
      <c r="Y125" s="467">
        <v>41</v>
      </c>
      <c r="Z125" s="611">
        <v>70</v>
      </c>
      <c r="AA125" s="59"/>
      <c r="AB125" s="59"/>
      <c r="AC125" s="572"/>
      <c r="AD125" s="144"/>
      <c r="AE125" s="612"/>
      <c r="AF125" s="467">
        <v>0</v>
      </c>
      <c r="AG125" s="613"/>
      <c r="AH125" s="595"/>
      <c r="AI125" s="572"/>
      <c r="AJ125" s="572"/>
      <c r="AK125" s="572"/>
      <c r="AL125" s="572"/>
      <c r="AM125" s="572"/>
      <c r="AN125" s="572"/>
      <c r="AO125" s="467"/>
      <c r="AP125" s="573"/>
      <c r="AQ125" s="573"/>
      <c r="AR125" s="467">
        <v>24</v>
      </c>
      <c r="AS125" s="573" t="s">
        <v>563</v>
      </c>
      <c r="AT125" s="573"/>
      <c r="AU125" s="573"/>
    </row>
    <row r="126" spans="2:47" ht="18.75" customHeight="1" x14ac:dyDescent="0.4">
      <c r="B126" s="530"/>
      <c r="R126" s="606"/>
      <c r="S126" s="494" t="s">
        <v>875</v>
      </c>
      <c r="T126" s="573" t="s">
        <v>876</v>
      </c>
      <c r="U126" s="467">
        <v>290</v>
      </c>
      <c r="V126" s="572" t="s">
        <v>60</v>
      </c>
      <c r="W126" s="609">
        <v>34</v>
      </c>
      <c r="X126" s="610">
        <v>119</v>
      </c>
      <c r="Y126" s="467">
        <v>26</v>
      </c>
      <c r="Z126" s="611">
        <v>71</v>
      </c>
      <c r="AA126" s="59" t="s">
        <v>523</v>
      </c>
      <c r="AB126" s="59"/>
      <c r="AC126" s="572"/>
      <c r="AD126" s="144"/>
      <c r="AE126" s="612"/>
      <c r="AF126" s="467">
        <v>0</v>
      </c>
      <c r="AG126" s="613"/>
      <c r="AH126" s="595"/>
      <c r="AI126" s="572"/>
      <c r="AJ126" s="572"/>
      <c r="AK126" s="572"/>
      <c r="AL126" s="572"/>
      <c r="AM126" s="572"/>
      <c r="AN126" s="572"/>
      <c r="AO126" s="467"/>
      <c r="AP126" s="573"/>
      <c r="AQ126" s="573"/>
      <c r="AR126" s="467">
        <v>26</v>
      </c>
      <c r="AS126" s="573" t="s">
        <v>570</v>
      </c>
      <c r="AT126" s="573"/>
      <c r="AU126" s="573"/>
    </row>
    <row r="127" spans="2:47" ht="18.75" customHeight="1" x14ac:dyDescent="0.4">
      <c r="B127" s="530"/>
      <c r="R127" s="606"/>
      <c r="S127" s="494" t="s">
        <v>813</v>
      </c>
      <c r="T127" s="573" t="s">
        <v>877</v>
      </c>
      <c r="U127" s="467">
        <v>220</v>
      </c>
      <c r="V127" s="572" t="s">
        <v>94</v>
      </c>
      <c r="W127" s="609">
        <v>34.42</v>
      </c>
      <c r="X127" s="610">
        <v>120</v>
      </c>
      <c r="Y127" s="467">
        <v>35</v>
      </c>
      <c r="Z127" s="611">
        <v>68</v>
      </c>
      <c r="AA127" s="59"/>
      <c r="AB127" s="59"/>
      <c r="AC127" s="572"/>
      <c r="AD127" s="144"/>
      <c r="AE127" s="612"/>
      <c r="AF127" s="467">
        <v>3</v>
      </c>
      <c r="AG127" s="613"/>
      <c r="AH127" s="595"/>
      <c r="AI127" s="572"/>
      <c r="AJ127" s="572"/>
      <c r="AK127" s="572"/>
      <c r="AL127" s="572"/>
      <c r="AM127" s="572"/>
      <c r="AN127" s="572"/>
      <c r="AO127" s="467"/>
      <c r="AP127" s="573"/>
      <c r="AQ127" s="573"/>
      <c r="AR127" s="467">
        <v>27</v>
      </c>
      <c r="AS127" s="573" t="s">
        <v>217</v>
      </c>
      <c r="AT127" s="573"/>
      <c r="AU127" s="573"/>
    </row>
    <row r="128" spans="2:47" ht="18.75" customHeight="1" x14ac:dyDescent="0.4">
      <c r="B128" s="530"/>
      <c r="R128" s="606"/>
      <c r="S128" s="494" t="s">
        <v>878</v>
      </c>
      <c r="T128" s="573" t="s">
        <v>879</v>
      </c>
      <c r="U128" s="467">
        <v>234</v>
      </c>
      <c r="V128" s="572" t="s">
        <v>94</v>
      </c>
      <c r="W128" s="609">
        <v>35.43</v>
      </c>
      <c r="X128" s="610">
        <v>121</v>
      </c>
      <c r="Y128" s="467">
        <v>35</v>
      </c>
      <c r="Z128" s="611"/>
      <c r="AA128" s="59"/>
      <c r="AB128" s="59"/>
      <c r="AC128" s="572"/>
      <c r="AD128" s="144"/>
      <c r="AE128" s="612"/>
      <c r="AF128" s="467">
        <v>3</v>
      </c>
      <c r="AG128" s="613"/>
      <c r="AH128" s="595"/>
      <c r="AI128" s="572"/>
      <c r="AJ128" s="572"/>
      <c r="AK128" s="572"/>
      <c r="AL128" s="572"/>
      <c r="AM128" s="572"/>
      <c r="AN128" s="572"/>
      <c r="AO128" s="467"/>
      <c r="AP128" s="573"/>
      <c r="AQ128" s="573"/>
      <c r="AR128" s="467">
        <v>28</v>
      </c>
      <c r="AS128" s="573" t="s">
        <v>219</v>
      </c>
      <c r="AT128" s="573"/>
      <c r="AU128" s="573"/>
    </row>
    <row r="129" spans="2:47" ht="18.75" customHeight="1" x14ac:dyDescent="0.4">
      <c r="B129" s="530"/>
      <c r="R129" s="606"/>
      <c r="S129" s="494" t="s">
        <v>880</v>
      </c>
      <c r="T129" s="573" t="s">
        <v>880</v>
      </c>
      <c r="U129" s="467">
        <v>74</v>
      </c>
      <c r="V129" s="572" t="s">
        <v>60</v>
      </c>
      <c r="W129" s="609">
        <v>36.6</v>
      </c>
      <c r="X129" s="610">
        <v>122</v>
      </c>
      <c r="Y129" s="467">
        <v>41</v>
      </c>
      <c r="Z129" s="611"/>
      <c r="AA129" s="59"/>
      <c r="AB129" s="59"/>
      <c r="AC129" s="572"/>
      <c r="AD129" s="144"/>
      <c r="AE129" s="612"/>
      <c r="AF129" s="467">
        <v>0</v>
      </c>
      <c r="AG129" s="613"/>
      <c r="AH129" s="595"/>
      <c r="AI129" s="572"/>
      <c r="AJ129" s="572"/>
      <c r="AK129" s="572"/>
      <c r="AL129" s="572"/>
      <c r="AM129" s="572"/>
      <c r="AN129" s="572"/>
      <c r="AO129" s="467"/>
      <c r="AP129" s="573"/>
      <c r="AQ129" s="573"/>
      <c r="AR129" s="467"/>
      <c r="AS129" s="625" t="s">
        <v>69</v>
      </c>
      <c r="AT129" s="573"/>
      <c r="AU129" s="573"/>
    </row>
    <row r="130" spans="2:47" ht="18.75" customHeight="1" x14ac:dyDescent="0.4">
      <c r="B130" s="530"/>
      <c r="R130" s="606"/>
      <c r="S130" s="494" t="s">
        <v>881</v>
      </c>
      <c r="T130" s="573" t="s">
        <v>882</v>
      </c>
      <c r="U130" s="467">
        <v>234</v>
      </c>
      <c r="V130" s="572" t="s">
        <v>60</v>
      </c>
      <c r="W130" s="609">
        <v>36.79</v>
      </c>
      <c r="X130" s="610">
        <v>123</v>
      </c>
      <c r="Y130" s="467">
        <v>35</v>
      </c>
      <c r="Z130" s="611"/>
      <c r="AA130" s="59"/>
      <c r="AB130" s="545" t="s">
        <v>523</v>
      </c>
      <c r="AC130" s="572"/>
      <c r="AD130" s="144"/>
      <c r="AE130" s="612"/>
      <c r="AF130" s="467">
        <v>3</v>
      </c>
      <c r="AG130" s="613"/>
      <c r="AH130" s="595"/>
      <c r="AI130" s="572"/>
      <c r="AJ130" s="572"/>
      <c r="AK130" s="572"/>
      <c r="AL130" s="572"/>
      <c r="AM130" s="572"/>
      <c r="AN130" s="572"/>
      <c r="AO130" s="467"/>
      <c r="AP130" s="573"/>
      <c r="AQ130" s="573"/>
      <c r="AR130" s="467">
        <v>31</v>
      </c>
      <c r="AS130" s="573" t="s">
        <v>221</v>
      </c>
      <c r="AT130" s="573"/>
    </row>
    <row r="131" spans="2:47" ht="18.75" customHeight="1" x14ac:dyDescent="0.4">
      <c r="B131" s="530"/>
      <c r="R131" s="606"/>
      <c r="S131" s="494" t="s">
        <v>883</v>
      </c>
      <c r="T131" s="573" t="s">
        <v>883</v>
      </c>
      <c r="U131" s="467">
        <v>74</v>
      </c>
      <c r="V131" s="572" t="s">
        <v>60</v>
      </c>
      <c r="W131" s="609">
        <v>37</v>
      </c>
      <c r="X131" s="610">
        <v>124</v>
      </c>
      <c r="Y131" s="467">
        <v>41</v>
      </c>
      <c r="Z131" s="611">
        <v>73</v>
      </c>
      <c r="AA131" s="59"/>
      <c r="AB131" s="59"/>
      <c r="AC131" s="572"/>
      <c r="AD131" s="144"/>
      <c r="AE131" s="612"/>
      <c r="AF131" s="467">
        <v>0</v>
      </c>
      <c r="AG131" s="613"/>
      <c r="AH131" s="595"/>
      <c r="AI131" s="572"/>
      <c r="AJ131" s="572"/>
      <c r="AK131" s="572"/>
      <c r="AL131" s="572"/>
      <c r="AM131" s="572"/>
      <c r="AN131" s="572"/>
      <c r="AO131" s="467"/>
      <c r="AP131" s="573"/>
      <c r="AQ131" s="573"/>
      <c r="AR131" s="467">
        <v>32</v>
      </c>
      <c r="AS131" s="573" t="s">
        <v>223</v>
      </c>
      <c r="AT131" s="573"/>
    </row>
    <row r="132" spans="2:47" ht="18.75" customHeight="1" x14ac:dyDescent="0.4">
      <c r="B132" s="530"/>
      <c r="R132" s="606"/>
      <c r="S132" s="494" t="s">
        <v>884</v>
      </c>
      <c r="T132" s="573" t="s">
        <v>885</v>
      </c>
      <c r="U132" s="467">
        <v>230</v>
      </c>
      <c r="V132" s="572" t="s">
        <v>94</v>
      </c>
      <c r="W132" s="609">
        <v>37.630000000000003</v>
      </c>
      <c r="X132" s="610">
        <v>125</v>
      </c>
      <c r="Y132" s="467">
        <v>35</v>
      </c>
      <c r="Z132" s="611"/>
      <c r="AA132" s="59"/>
      <c r="AB132" s="638" t="s">
        <v>525</v>
      </c>
      <c r="AC132" s="572"/>
      <c r="AD132" s="144"/>
      <c r="AE132" s="612"/>
      <c r="AF132" s="467">
        <v>4</v>
      </c>
      <c r="AG132" s="613"/>
      <c r="AH132" s="595"/>
      <c r="AI132" s="572"/>
      <c r="AJ132" s="572"/>
      <c r="AK132" s="572"/>
      <c r="AL132" s="572"/>
      <c r="AM132" s="572"/>
      <c r="AN132" s="572"/>
      <c r="AO132" s="467"/>
      <c r="AP132" s="573"/>
      <c r="AQ132" s="573"/>
      <c r="AR132" s="467">
        <v>33</v>
      </c>
      <c r="AS132" s="573" t="s">
        <v>225</v>
      </c>
      <c r="AT132" s="573"/>
    </row>
    <row r="133" spans="2:47" ht="18.75" customHeight="1" x14ac:dyDescent="0.4">
      <c r="B133" s="530"/>
      <c r="R133" s="606"/>
      <c r="S133" s="494" t="s">
        <v>886</v>
      </c>
      <c r="T133" s="573" t="s">
        <v>887</v>
      </c>
      <c r="U133" s="467">
        <v>234</v>
      </c>
      <c r="V133" s="572" t="s">
        <v>60</v>
      </c>
      <c r="W133" s="609">
        <v>37.909999999999997</v>
      </c>
      <c r="X133" s="610">
        <v>126</v>
      </c>
      <c r="Y133" s="467">
        <v>36</v>
      </c>
      <c r="Z133" s="611"/>
      <c r="AA133" s="59"/>
      <c r="AB133" s="545" t="s">
        <v>523</v>
      </c>
      <c r="AC133" s="572"/>
      <c r="AD133" s="144"/>
      <c r="AE133" s="612"/>
      <c r="AF133" s="467">
        <v>3</v>
      </c>
      <c r="AG133" s="613">
        <v>1</v>
      </c>
      <c r="AH133" s="595"/>
      <c r="AI133" s="572"/>
      <c r="AJ133" s="572"/>
      <c r="AK133" s="572"/>
      <c r="AL133" s="572"/>
      <c r="AM133" s="572"/>
      <c r="AN133" s="572"/>
      <c r="AO133" s="467"/>
      <c r="AP133" s="573"/>
      <c r="AQ133" s="573"/>
      <c r="AR133" s="467">
        <v>34</v>
      </c>
      <c r="AS133" s="573" t="s">
        <v>227</v>
      </c>
      <c r="AT133" s="573"/>
    </row>
    <row r="134" spans="2:47" ht="18.75" customHeight="1" x14ac:dyDescent="0.4">
      <c r="B134" s="530"/>
      <c r="R134" s="606"/>
      <c r="S134" s="494" t="s">
        <v>888</v>
      </c>
      <c r="T134" s="573" t="s">
        <v>888</v>
      </c>
      <c r="U134" s="467">
        <v>231</v>
      </c>
      <c r="V134" s="572" t="s">
        <v>60</v>
      </c>
      <c r="W134" s="609">
        <v>38.67</v>
      </c>
      <c r="X134" s="610">
        <v>127</v>
      </c>
      <c r="Y134" s="467">
        <v>37</v>
      </c>
      <c r="Z134" s="611">
        <v>74</v>
      </c>
      <c r="AA134" s="59" t="s">
        <v>523</v>
      </c>
      <c r="AB134" s="545" t="s">
        <v>523</v>
      </c>
      <c r="AC134" s="572"/>
      <c r="AD134" s="144"/>
      <c r="AE134" s="612"/>
      <c r="AF134" s="467">
        <v>3</v>
      </c>
      <c r="AG134" s="613"/>
      <c r="AH134" s="595"/>
      <c r="AI134" s="572"/>
      <c r="AJ134" s="572"/>
      <c r="AK134" s="572"/>
      <c r="AL134" s="572"/>
      <c r="AM134" s="572"/>
      <c r="AN134" s="572"/>
      <c r="AO134" s="467"/>
      <c r="AP134" s="573"/>
      <c r="AQ134" s="573"/>
      <c r="AR134" s="467">
        <v>35</v>
      </c>
      <c r="AS134" s="573" t="s">
        <v>230</v>
      </c>
      <c r="AT134" s="573"/>
    </row>
    <row r="135" spans="2:47" ht="18.75" customHeight="1" x14ac:dyDescent="0.4">
      <c r="B135" s="530"/>
      <c r="R135" s="606"/>
      <c r="S135" s="494" t="s">
        <v>889</v>
      </c>
      <c r="T135" s="573" t="s">
        <v>890</v>
      </c>
      <c r="U135" s="467">
        <v>191</v>
      </c>
      <c r="V135" s="572" t="s">
        <v>60</v>
      </c>
      <c r="W135" s="609">
        <v>39.18</v>
      </c>
      <c r="X135" s="610">
        <v>128</v>
      </c>
      <c r="Y135" s="467">
        <v>26</v>
      </c>
      <c r="Z135" s="611"/>
      <c r="AA135" s="59" t="s">
        <v>523</v>
      </c>
      <c r="AB135" s="59"/>
      <c r="AC135" s="572"/>
      <c r="AD135" s="144"/>
      <c r="AE135" s="612"/>
      <c r="AF135" s="467">
        <v>0</v>
      </c>
      <c r="AG135" s="613"/>
      <c r="AH135" s="595"/>
      <c r="AI135" s="572"/>
      <c r="AJ135" s="572"/>
      <c r="AK135" s="572"/>
      <c r="AL135" s="572"/>
      <c r="AM135" s="572"/>
      <c r="AN135" s="572"/>
      <c r="AO135" s="467"/>
      <c r="AP135" s="573"/>
      <c r="AQ135" s="573"/>
      <c r="AR135" s="467">
        <v>36</v>
      </c>
      <c r="AS135" s="573" t="s">
        <v>232</v>
      </c>
      <c r="AT135" s="573"/>
    </row>
    <row r="136" spans="2:47" ht="18.75" customHeight="1" x14ac:dyDescent="0.4">
      <c r="B136" s="530"/>
      <c r="R136" s="606"/>
      <c r="S136" s="494" t="s">
        <v>891</v>
      </c>
      <c r="T136" s="573" t="s">
        <v>891</v>
      </c>
      <c r="U136" s="467">
        <v>231</v>
      </c>
      <c r="V136" s="572" t="s">
        <v>60</v>
      </c>
      <c r="W136" s="609">
        <v>40.03</v>
      </c>
      <c r="X136" s="610">
        <v>129</v>
      </c>
      <c r="Y136" s="467">
        <v>37</v>
      </c>
      <c r="Z136" s="611" t="s">
        <v>892</v>
      </c>
      <c r="AA136" s="59" t="s">
        <v>523</v>
      </c>
      <c r="AB136" s="545" t="s">
        <v>523</v>
      </c>
      <c r="AC136" s="572"/>
      <c r="AD136" s="144"/>
      <c r="AE136" s="612"/>
      <c r="AF136" s="467">
        <v>3</v>
      </c>
      <c r="AG136" s="613"/>
      <c r="AH136" s="595"/>
      <c r="AI136" s="572"/>
      <c r="AJ136" s="572"/>
      <c r="AK136" s="572"/>
      <c r="AL136" s="572"/>
      <c r="AM136" s="572"/>
      <c r="AN136" s="572"/>
      <c r="AO136" s="467"/>
      <c r="AP136" s="573"/>
      <c r="AQ136" s="573"/>
      <c r="AR136" s="467">
        <v>37</v>
      </c>
      <c r="AS136" s="573" t="s">
        <v>601</v>
      </c>
      <c r="AT136" s="573"/>
    </row>
    <row r="137" spans="2:47" ht="18.75" customHeight="1" x14ac:dyDescent="0.4">
      <c r="B137" s="530"/>
      <c r="R137" s="606"/>
      <c r="S137" s="494" t="s">
        <v>893</v>
      </c>
      <c r="T137" s="531" t="s">
        <v>894</v>
      </c>
      <c r="U137" s="532">
        <v>106</v>
      </c>
      <c r="V137" s="536" t="s">
        <v>60</v>
      </c>
      <c r="W137" s="696">
        <v>40.200000000000003</v>
      </c>
      <c r="X137" s="610">
        <v>130</v>
      </c>
      <c r="Y137" s="532">
        <v>32</v>
      </c>
      <c r="Z137" s="606">
        <v>72</v>
      </c>
      <c r="AA137" s="682"/>
      <c r="AB137" s="682"/>
      <c r="AC137" s="536"/>
      <c r="AD137" s="697"/>
      <c r="AE137" s="683"/>
      <c r="AF137" s="532">
        <v>1</v>
      </c>
      <c r="AG137" s="652"/>
      <c r="AH137" s="595"/>
      <c r="AI137" s="572"/>
      <c r="AJ137" s="572"/>
      <c r="AK137" s="572"/>
      <c r="AL137" s="572"/>
      <c r="AM137" s="572"/>
      <c r="AN137" s="572"/>
      <c r="AO137" s="467"/>
      <c r="AP137" s="573"/>
      <c r="AQ137" s="573"/>
      <c r="AR137" s="467"/>
      <c r="AS137" s="625" t="s">
        <v>604</v>
      </c>
    </row>
    <row r="138" spans="2:47" ht="18.75" customHeight="1" x14ac:dyDescent="0.4">
      <c r="B138" s="530"/>
      <c r="R138" s="606"/>
      <c r="S138" s="608" t="s">
        <v>895</v>
      </c>
      <c r="T138" s="608" t="s">
        <v>896</v>
      </c>
      <c r="U138" s="467">
        <v>242</v>
      </c>
      <c r="V138" s="572" t="s">
        <v>94</v>
      </c>
      <c r="W138" s="609">
        <v>40.74</v>
      </c>
      <c r="X138" s="610">
        <v>131</v>
      </c>
      <c r="Y138" s="467">
        <v>35</v>
      </c>
      <c r="Z138" s="611"/>
      <c r="AA138" s="59"/>
      <c r="AB138" s="545" t="s">
        <v>523</v>
      </c>
      <c r="AC138" s="572"/>
      <c r="AD138" s="144"/>
      <c r="AE138" s="612"/>
      <c r="AF138" s="467">
        <v>4</v>
      </c>
      <c r="AG138" s="613"/>
      <c r="AH138" s="595"/>
      <c r="AI138" s="572"/>
      <c r="AJ138" s="572"/>
      <c r="AK138" s="572"/>
      <c r="AL138" s="572"/>
      <c r="AM138" s="572"/>
      <c r="AN138" s="572"/>
      <c r="AO138" s="467"/>
      <c r="AP138" s="573"/>
      <c r="AQ138" s="573"/>
      <c r="AR138" s="467">
        <v>41</v>
      </c>
      <c r="AS138" s="573" t="s">
        <v>82</v>
      </c>
    </row>
    <row r="139" spans="2:47" ht="18.75" customHeight="1" x14ac:dyDescent="0.4">
      <c r="B139" s="530"/>
      <c r="R139" s="606"/>
      <c r="S139" s="608" t="s">
        <v>897</v>
      </c>
      <c r="T139" s="608" t="s">
        <v>898</v>
      </c>
      <c r="U139" s="467">
        <v>217</v>
      </c>
      <c r="V139" s="572" t="s">
        <v>60</v>
      </c>
      <c r="W139" s="609">
        <v>41.68</v>
      </c>
      <c r="X139" s="610">
        <v>132</v>
      </c>
      <c r="Y139" s="467">
        <v>28</v>
      </c>
      <c r="Z139" s="611"/>
      <c r="AA139" s="59"/>
      <c r="AB139" s="59"/>
      <c r="AC139" s="572"/>
      <c r="AD139" s="144"/>
      <c r="AE139" s="612"/>
      <c r="AF139" s="467">
        <v>0</v>
      </c>
      <c r="AG139" s="613"/>
      <c r="AH139" s="595"/>
      <c r="AI139" s="536"/>
      <c r="AJ139" s="536"/>
      <c r="AK139" s="536"/>
      <c r="AL139" s="536"/>
      <c r="AM139" s="536"/>
      <c r="AN139" s="536"/>
      <c r="AO139" s="532"/>
      <c r="AP139" s="573"/>
      <c r="AQ139" s="573"/>
    </row>
    <row r="140" spans="2:47" ht="18.75" customHeight="1" x14ac:dyDescent="0.4">
      <c r="B140" s="530"/>
      <c r="R140" s="606"/>
      <c r="S140" s="608" t="s">
        <v>899</v>
      </c>
      <c r="T140" s="608" t="s">
        <v>900</v>
      </c>
      <c r="U140" s="467">
        <v>217</v>
      </c>
      <c r="V140" s="572" t="s">
        <v>60</v>
      </c>
      <c r="W140" s="609">
        <v>42.14</v>
      </c>
      <c r="X140" s="610">
        <v>133</v>
      </c>
      <c r="Y140" s="467">
        <v>28</v>
      </c>
      <c r="Z140" s="611"/>
      <c r="AA140" s="59"/>
      <c r="AB140" s="59"/>
      <c r="AC140" s="572"/>
      <c r="AD140" s="144"/>
      <c r="AE140" s="612"/>
      <c r="AF140" s="467">
        <v>0</v>
      </c>
      <c r="AG140" s="613"/>
      <c r="AH140" s="595"/>
      <c r="AI140" s="572"/>
      <c r="AJ140" s="572"/>
      <c r="AK140" s="572"/>
      <c r="AL140" s="572"/>
      <c r="AM140" s="572"/>
      <c r="AN140" s="572"/>
      <c r="AO140" s="467"/>
      <c r="AP140" s="573"/>
      <c r="AQ140" s="573"/>
    </row>
    <row r="141" spans="2:47" ht="18.75" customHeight="1" x14ac:dyDescent="0.4">
      <c r="B141" s="530"/>
      <c r="R141" s="606"/>
      <c r="S141" s="608" t="s">
        <v>901</v>
      </c>
      <c r="T141" s="608" t="s">
        <v>902</v>
      </c>
      <c r="U141" s="467">
        <v>191</v>
      </c>
      <c r="V141" s="572" t="s">
        <v>60</v>
      </c>
      <c r="W141" s="609">
        <v>43.17</v>
      </c>
      <c r="X141" s="610">
        <v>134</v>
      </c>
      <c r="Y141" s="467">
        <v>27</v>
      </c>
      <c r="Z141" s="611">
        <v>76</v>
      </c>
      <c r="AA141" s="59" t="s">
        <v>523</v>
      </c>
      <c r="AB141" s="59"/>
      <c r="AC141" s="572"/>
      <c r="AD141" s="144"/>
      <c r="AE141" s="612"/>
      <c r="AF141" s="467">
        <v>0</v>
      </c>
      <c r="AG141" s="613"/>
      <c r="AH141" s="595"/>
      <c r="AI141" s="572"/>
      <c r="AJ141" s="572"/>
      <c r="AK141" s="572"/>
      <c r="AL141" s="572"/>
      <c r="AM141" s="572"/>
      <c r="AN141" s="572"/>
      <c r="AO141" s="467"/>
      <c r="AP141" s="573"/>
      <c r="AQ141" s="573"/>
    </row>
    <row r="142" spans="2:47" ht="18.75" customHeight="1" x14ac:dyDescent="0.4">
      <c r="B142" s="530"/>
      <c r="R142" s="606"/>
      <c r="S142" s="608" t="s">
        <v>903</v>
      </c>
      <c r="T142" s="608" t="s">
        <v>904</v>
      </c>
      <c r="U142" s="467">
        <v>191</v>
      </c>
      <c r="V142" s="572" t="s">
        <v>60</v>
      </c>
      <c r="W142" s="609">
        <v>43.95</v>
      </c>
      <c r="X142" s="610">
        <v>135</v>
      </c>
      <c r="Y142" s="467">
        <v>27</v>
      </c>
      <c r="Z142" s="611"/>
      <c r="AA142" s="59" t="s">
        <v>523</v>
      </c>
      <c r="AB142" s="59"/>
      <c r="AC142" s="572"/>
      <c r="AD142" s="144"/>
      <c r="AE142" s="612"/>
      <c r="AF142" s="467">
        <v>0</v>
      </c>
      <c r="AG142" s="613"/>
      <c r="AH142" s="595"/>
      <c r="AI142" s="572"/>
      <c r="AJ142" s="572"/>
      <c r="AK142" s="572"/>
      <c r="AL142" s="572"/>
      <c r="AM142" s="572"/>
      <c r="AN142" s="572"/>
      <c r="AO142" s="467"/>
      <c r="AP142" s="573"/>
      <c r="AQ142" s="573"/>
    </row>
    <row r="143" spans="2:47" ht="18.75" customHeight="1" x14ac:dyDescent="0.4">
      <c r="B143" s="530"/>
      <c r="R143" s="606"/>
      <c r="S143" s="608" t="s">
        <v>905</v>
      </c>
      <c r="T143" s="607" t="s">
        <v>906</v>
      </c>
      <c r="U143" s="467">
        <v>252</v>
      </c>
      <c r="V143" s="572" t="s">
        <v>60</v>
      </c>
      <c r="W143" s="466">
        <v>44.2</v>
      </c>
      <c r="X143" s="610">
        <v>136</v>
      </c>
      <c r="Y143" s="467">
        <v>34</v>
      </c>
      <c r="Z143" s="611">
        <v>77</v>
      </c>
      <c r="AA143" s="59"/>
      <c r="AB143" s="545" t="s">
        <v>523</v>
      </c>
      <c r="AC143" s="572"/>
      <c r="AD143" s="144"/>
      <c r="AE143" s="691" t="s">
        <v>523</v>
      </c>
      <c r="AF143" s="467">
        <v>5</v>
      </c>
      <c r="AG143" s="613"/>
      <c r="AH143" s="595"/>
      <c r="AI143" s="572"/>
      <c r="AJ143" s="572"/>
      <c r="AK143" s="572"/>
      <c r="AL143" s="572"/>
      <c r="AM143" s="572"/>
      <c r="AN143" s="572"/>
      <c r="AO143" s="467"/>
      <c r="AP143" s="573"/>
      <c r="AQ143" s="573"/>
    </row>
    <row r="144" spans="2:47" ht="18.75" customHeight="1" x14ac:dyDescent="0.4">
      <c r="B144" s="530"/>
      <c r="R144" s="606"/>
      <c r="S144" s="608" t="s">
        <v>907</v>
      </c>
      <c r="T144" s="607" t="s">
        <v>908</v>
      </c>
      <c r="U144" s="467">
        <v>252</v>
      </c>
      <c r="V144" s="572" t="s">
        <v>60</v>
      </c>
      <c r="W144" s="466">
        <v>44.4</v>
      </c>
      <c r="X144" s="610">
        <v>137</v>
      </c>
      <c r="Y144" s="467">
        <v>34</v>
      </c>
      <c r="Z144" s="611">
        <v>77</v>
      </c>
      <c r="AA144" s="59"/>
      <c r="AB144" s="545" t="s">
        <v>523</v>
      </c>
      <c r="AC144" s="572"/>
      <c r="AD144" s="144"/>
      <c r="AE144" s="691" t="s">
        <v>523</v>
      </c>
      <c r="AF144" s="467">
        <v>5</v>
      </c>
      <c r="AG144" s="613"/>
      <c r="AH144" s="595"/>
      <c r="AI144" s="572"/>
      <c r="AJ144" s="572"/>
      <c r="AK144" s="572"/>
      <c r="AL144" s="572"/>
      <c r="AM144" s="572"/>
      <c r="AN144" s="572"/>
      <c r="AO144" s="467"/>
      <c r="AP144" s="573"/>
      <c r="AQ144" s="573"/>
    </row>
    <row r="145" spans="2:47" ht="18.75" customHeight="1" x14ac:dyDescent="0.4">
      <c r="B145" s="530"/>
      <c r="R145" s="606"/>
      <c r="S145" s="608" t="s">
        <v>909</v>
      </c>
      <c r="T145" s="608" t="s">
        <v>910</v>
      </c>
      <c r="U145" s="467">
        <v>218</v>
      </c>
      <c r="V145" s="572" t="s">
        <v>60</v>
      </c>
      <c r="W145" s="609">
        <v>45.22</v>
      </c>
      <c r="X145" s="610">
        <v>138</v>
      </c>
      <c r="Y145" s="467">
        <v>28</v>
      </c>
      <c r="Z145" s="611"/>
      <c r="AA145" s="59" t="s">
        <v>523</v>
      </c>
      <c r="AB145" s="59"/>
      <c r="AC145" s="572"/>
      <c r="AD145" s="144"/>
      <c r="AE145" s="612"/>
      <c r="AF145" s="467">
        <v>0</v>
      </c>
      <c r="AG145" s="613"/>
      <c r="AH145" s="595"/>
      <c r="AI145" s="572"/>
      <c r="AJ145" s="572"/>
      <c r="AK145" s="572"/>
      <c r="AL145" s="572"/>
      <c r="AM145" s="572"/>
      <c r="AN145" s="572"/>
      <c r="AO145" s="467"/>
      <c r="AP145" s="573"/>
      <c r="AQ145" s="573"/>
    </row>
    <row r="146" spans="2:47" ht="18.75" customHeight="1" x14ac:dyDescent="0.4">
      <c r="B146" s="530"/>
      <c r="R146" s="606"/>
      <c r="S146" s="608" t="s">
        <v>911</v>
      </c>
      <c r="T146" s="608" t="s">
        <v>912</v>
      </c>
      <c r="U146" s="467">
        <v>217</v>
      </c>
      <c r="V146" s="572" t="s">
        <v>60</v>
      </c>
      <c r="W146" s="609">
        <v>45.6</v>
      </c>
      <c r="X146" s="610">
        <v>139</v>
      </c>
      <c r="Y146" s="467">
        <v>28</v>
      </c>
      <c r="Z146" s="611"/>
      <c r="AA146" s="59" t="s">
        <v>523</v>
      </c>
      <c r="AB146" s="59"/>
      <c r="AC146" s="572"/>
      <c r="AD146" s="144"/>
      <c r="AE146" s="612"/>
      <c r="AF146" s="467">
        <v>0</v>
      </c>
      <c r="AG146" s="613"/>
      <c r="AH146" s="595"/>
      <c r="AI146" s="572"/>
      <c r="AJ146" s="572"/>
      <c r="AK146" s="572"/>
      <c r="AL146" s="572"/>
      <c r="AM146" s="572"/>
      <c r="AN146" s="572"/>
      <c r="AO146" s="467"/>
      <c r="AP146" s="573"/>
      <c r="AQ146" s="573"/>
    </row>
    <row r="147" spans="2:47" ht="18.75" customHeight="1" x14ac:dyDescent="0.4">
      <c r="B147" s="530"/>
      <c r="R147" s="606"/>
      <c r="S147" s="608" t="s">
        <v>913</v>
      </c>
      <c r="T147" s="608" t="s">
        <v>914</v>
      </c>
      <c r="U147" s="467">
        <v>217</v>
      </c>
      <c r="V147" s="572" t="s">
        <v>60</v>
      </c>
      <c r="W147" s="609">
        <v>45.93</v>
      </c>
      <c r="X147" s="610">
        <v>140</v>
      </c>
      <c r="Y147" s="467">
        <v>28</v>
      </c>
      <c r="Z147" s="611">
        <v>78</v>
      </c>
      <c r="AA147" s="59" t="s">
        <v>523</v>
      </c>
      <c r="AB147" s="59"/>
      <c r="AC147" s="572"/>
      <c r="AD147" s="144"/>
      <c r="AE147" s="612"/>
      <c r="AF147" s="467">
        <v>0</v>
      </c>
      <c r="AG147" s="613"/>
      <c r="AH147" s="595"/>
      <c r="AI147" s="572"/>
      <c r="AJ147" s="572"/>
      <c r="AK147" s="572"/>
      <c r="AL147" s="572"/>
      <c r="AM147" s="572"/>
      <c r="AN147" s="572"/>
      <c r="AO147" s="467"/>
      <c r="AP147" s="573"/>
      <c r="AQ147" s="573"/>
    </row>
    <row r="148" spans="2:47" ht="18.75" customHeight="1" x14ac:dyDescent="0.4">
      <c r="B148" s="530"/>
      <c r="R148" s="606"/>
      <c r="S148" s="608" t="s">
        <v>915</v>
      </c>
      <c r="T148" s="608" t="s">
        <v>916</v>
      </c>
      <c r="U148" s="467">
        <v>177</v>
      </c>
      <c r="V148" s="572" t="s">
        <v>60</v>
      </c>
      <c r="W148" s="609">
        <v>46.5</v>
      </c>
      <c r="X148" s="610">
        <v>142</v>
      </c>
      <c r="Y148" s="467">
        <v>27</v>
      </c>
      <c r="Z148" s="611"/>
      <c r="AA148" s="59" t="s">
        <v>523</v>
      </c>
      <c r="AB148" s="59"/>
      <c r="AC148" s="572"/>
      <c r="AD148" s="144"/>
      <c r="AE148" s="612"/>
      <c r="AF148" s="467">
        <v>0</v>
      </c>
      <c r="AG148" s="613"/>
      <c r="AH148" s="595"/>
      <c r="AI148" s="572"/>
      <c r="AJ148" s="572"/>
      <c r="AK148" s="572"/>
      <c r="AL148" s="572"/>
      <c r="AM148" s="572"/>
      <c r="AN148" s="572"/>
      <c r="AO148" s="467"/>
      <c r="AP148" s="573"/>
      <c r="AQ148" s="573"/>
    </row>
    <row r="149" spans="2:47" ht="18.75" customHeight="1" x14ac:dyDescent="0.4">
      <c r="B149" s="530"/>
      <c r="R149" s="606"/>
      <c r="S149" s="608" t="s">
        <v>917</v>
      </c>
      <c r="T149" s="608" t="s">
        <v>918</v>
      </c>
      <c r="U149" s="467">
        <v>217</v>
      </c>
      <c r="V149" s="572" t="s">
        <v>60</v>
      </c>
      <c r="W149" s="609">
        <v>46.66</v>
      </c>
      <c r="X149" s="610">
        <v>143</v>
      </c>
      <c r="Y149" s="467">
        <v>28</v>
      </c>
      <c r="Z149" s="611">
        <v>78</v>
      </c>
      <c r="AA149" s="59" t="s">
        <v>523</v>
      </c>
      <c r="AB149" s="59"/>
      <c r="AC149" s="572"/>
      <c r="AD149" s="144"/>
      <c r="AE149" s="612"/>
      <c r="AF149" s="467">
        <v>0</v>
      </c>
      <c r="AG149" s="613"/>
      <c r="AH149" s="595"/>
      <c r="AI149" s="572"/>
      <c r="AJ149" s="572"/>
      <c r="AK149" s="572"/>
      <c r="AL149" s="572"/>
      <c r="AM149" s="572"/>
      <c r="AN149" s="572"/>
      <c r="AO149" s="467"/>
      <c r="AP149" s="573"/>
      <c r="AQ149" s="573"/>
    </row>
    <row r="150" spans="2:47" ht="18.75" customHeight="1" x14ac:dyDescent="0.4">
      <c r="B150" s="530"/>
      <c r="R150" s="698"/>
      <c r="S150" s="494" t="s">
        <v>919</v>
      </c>
      <c r="T150" s="573" t="s">
        <v>920</v>
      </c>
      <c r="U150" s="467">
        <v>191</v>
      </c>
      <c r="V150" s="572" t="s">
        <v>60</v>
      </c>
      <c r="W150" s="609">
        <v>46.86</v>
      </c>
      <c r="X150" s="610">
        <v>144</v>
      </c>
      <c r="Y150" s="467">
        <v>27</v>
      </c>
      <c r="Z150" s="611"/>
      <c r="AA150" s="59" t="s">
        <v>523</v>
      </c>
      <c r="AB150" s="59"/>
      <c r="AC150" s="572"/>
      <c r="AD150" s="144"/>
      <c r="AE150" s="612"/>
      <c r="AF150" s="467">
        <v>0</v>
      </c>
      <c r="AG150" s="613"/>
      <c r="AH150" s="595"/>
      <c r="AI150" s="572"/>
      <c r="AJ150" s="572"/>
      <c r="AK150" s="572"/>
      <c r="AL150" s="572"/>
      <c r="AM150" s="572"/>
      <c r="AN150" s="572"/>
      <c r="AO150" s="467"/>
      <c r="AP150" s="573"/>
      <c r="AQ150" s="573"/>
    </row>
    <row r="151" spans="2:47" ht="18.75" customHeight="1" x14ac:dyDescent="0.4">
      <c r="B151" s="530"/>
      <c r="R151" s="698"/>
      <c r="S151" s="494" t="s">
        <v>921</v>
      </c>
      <c r="T151" s="573" t="s">
        <v>922</v>
      </c>
      <c r="U151" s="467">
        <v>191</v>
      </c>
      <c r="V151" s="572" t="s">
        <v>60</v>
      </c>
      <c r="W151" s="609">
        <v>48.22</v>
      </c>
      <c r="X151" s="610">
        <v>145</v>
      </c>
      <c r="Y151" s="467">
        <v>27</v>
      </c>
      <c r="Z151" s="611"/>
      <c r="AA151" s="59" t="s">
        <v>523</v>
      </c>
      <c r="AB151" s="59"/>
      <c r="AC151" s="572"/>
      <c r="AD151" s="144"/>
      <c r="AE151" s="612"/>
      <c r="AF151" s="467">
        <v>0</v>
      </c>
      <c r="AG151" s="613"/>
      <c r="AH151" s="595"/>
      <c r="AI151" s="572"/>
      <c r="AJ151" s="572"/>
      <c r="AK151" s="572"/>
      <c r="AL151" s="572"/>
      <c r="AM151" s="572"/>
      <c r="AN151" s="572"/>
      <c r="AO151" s="467"/>
      <c r="AP151" s="573"/>
      <c r="AQ151" s="573"/>
    </row>
    <row r="152" spans="2:47" ht="18.75" customHeight="1" x14ac:dyDescent="0.4">
      <c r="B152" s="530"/>
      <c r="R152" s="699"/>
      <c r="S152" s="516" t="s">
        <v>923</v>
      </c>
      <c r="T152" s="647" t="s">
        <v>924</v>
      </c>
      <c r="U152" s="700">
        <v>191</v>
      </c>
      <c r="V152" s="701" t="s">
        <v>60</v>
      </c>
      <c r="W152" s="702">
        <v>49.79</v>
      </c>
      <c r="X152" s="703">
        <v>146</v>
      </c>
      <c r="Y152" s="472">
        <v>27</v>
      </c>
      <c r="Z152" s="704"/>
      <c r="AA152" s="642" t="s">
        <v>523</v>
      </c>
      <c r="AB152" s="184"/>
      <c r="AC152" s="701"/>
      <c r="AD152" s="642"/>
      <c r="AE152" s="705"/>
      <c r="AF152" s="472">
        <v>0</v>
      </c>
      <c r="AG152" s="604"/>
      <c r="AH152" s="595"/>
      <c r="AI152" s="572"/>
      <c r="AJ152" s="572"/>
      <c r="AK152" s="572"/>
      <c r="AL152" s="572"/>
      <c r="AM152" s="572"/>
      <c r="AN152" s="572"/>
      <c r="AO152" s="467"/>
      <c r="AP152" s="573"/>
      <c r="AQ152" s="573"/>
    </row>
    <row r="153" spans="2:47" ht="18.75" customHeight="1" x14ac:dyDescent="0.4">
      <c r="B153" s="530"/>
      <c r="R153" s="530"/>
      <c r="T153" s="531"/>
      <c r="W153" s="533"/>
      <c r="X153" s="534"/>
      <c r="Y153" s="530"/>
      <c r="AP153" s="573"/>
      <c r="AQ153" s="573"/>
    </row>
    <row r="154" spans="2:47" ht="18.75" customHeight="1" x14ac:dyDescent="0.4">
      <c r="B154" s="530"/>
      <c r="S154" s="531"/>
      <c r="T154" s="531"/>
      <c r="U154" s="532"/>
      <c r="W154" s="533"/>
      <c r="X154" s="534"/>
      <c r="Z154" s="532"/>
      <c r="AA154" s="536"/>
      <c r="AB154" s="536"/>
      <c r="AC154" s="536"/>
      <c r="AD154" s="536"/>
      <c r="AE154" s="536"/>
      <c r="AF154" s="532"/>
      <c r="AG154" s="532"/>
      <c r="AH154" s="536"/>
      <c r="AI154" s="536"/>
      <c r="AJ154" s="536"/>
      <c r="AK154" s="536"/>
      <c r="AL154" s="536"/>
      <c r="AM154" s="536"/>
      <c r="AN154" s="536"/>
      <c r="AO154" s="532"/>
    </row>
    <row r="155" spans="2:47" ht="18.75" customHeight="1" x14ac:dyDescent="0.4">
      <c r="B155" s="530"/>
      <c r="S155" s="531"/>
      <c r="T155" s="531"/>
      <c r="U155" s="532"/>
      <c r="W155" s="533"/>
      <c r="X155" s="534"/>
      <c r="Z155" s="532"/>
      <c r="AA155" s="536"/>
      <c r="AB155" s="536"/>
      <c r="AC155" s="536"/>
      <c r="AD155" s="536"/>
      <c r="AE155" s="536"/>
      <c r="AF155" s="532"/>
      <c r="AG155" s="532"/>
      <c r="AH155" s="536"/>
      <c r="AI155" s="536"/>
      <c r="AJ155" s="536"/>
      <c r="AK155" s="536"/>
      <c r="AL155" s="536"/>
      <c r="AM155" s="536"/>
      <c r="AN155" s="536"/>
      <c r="AO155" s="532"/>
    </row>
    <row r="156" spans="2:47" ht="18.75" customHeight="1" x14ac:dyDescent="0.4">
      <c r="B156" s="530"/>
      <c r="S156" s="531"/>
      <c r="T156" s="573"/>
      <c r="U156" s="467"/>
      <c r="V156" s="573"/>
      <c r="W156" s="706"/>
      <c r="X156" s="706"/>
      <c r="Y156" s="467"/>
      <c r="Z156" s="467"/>
      <c r="AA156" s="572"/>
      <c r="AB156" s="572"/>
      <c r="AC156" s="572"/>
      <c r="AD156" s="572"/>
      <c r="AE156" s="572"/>
      <c r="AF156" s="467"/>
      <c r="AG156" s="467"/>
      <c r="AH156" s="572"/>
      <c r="AI156" s="572"/>
      <c r="AJ156" s="572"/>
      <c r="AK156" s="572"/>
      <c r="AL156" s="572"/>
      <c r="AM156" s="572"/>
      <c r="AN156" s="572"/>
      <c r="AO156" s="467"/>
    </row>
    <row r="157" spans="2:47" ht="18.75" customHeight="1" x14ac:dyDescent="0.4">
      <c r="B157" s="530"/>
      <c r="S157" s="531"/>
      <c r="T157" s="573"/>
      <c r="U157" s="532"/>
      <c r="V157" s="573"/>
      <c r="W157" s="706"/>
      <c r="X157" s="706"/>
      <c r="Y157" s="467"/>
      <c r="Z157" s="467"/>
      <c r="AA157" s="572"/>
      <c r="AB157" s="572"/>
      <c r="AC157" s="572"/>
      <c r="AD157" s="572"/>
      <c r="AE157" s="572"/>
      <c r="AF157" s="467"/>
      <c r="AG157" s="467"/>
      <c r="AH157" s="572"/>
      <c r="AI157" s="572"/>
      <c r="AJ157" s="572"/>
      <c r="AK157" s="572"/>
      <c r="AL157" s="572"/>
      <c r="AM157" s="572"/>
      <c r="AN157" s="572"/>
      <c r="AO157" s="467"/>
      <c r="AT157" s="573"/>
      <c r="AU157" s="573"/>
    </row>
    <row r="158" spans="2:47" ht="18.75" customHeight="1" x14ac:dyDescent="0.4">
      <c r="B158" s="530"/>
      <c r="S158" s="531"/>
      <c r="T158" s="573"/>
      <c r="U158" s="532"/>
      <c r="V158" s="573"/>
      <c r="W158" s="706"/>
      <c r="X158" s="706"/>
      <c r="Y158" s="467"/>
      <c r="Z158" s="467"/>
      <c r="AA158" s="572"/>
      <c r="AB158" s="572"/>
      <c r="AC158" s="572"/>
      <c r="AD158" s="572"/>
      <c r="AE158" s="572"/>
      <c r="AF158" s="467"/>
      <c r="AG158" s="467"/>
      <c r="AH158" s="572"/>
      <c r="AI158" s="572"/>
      <c r="AJ158" s="572"/>
      <c r="AK158" s="572"/>
      <c r="AL158" s="572"/>
      <c r="AM158" s="572"/>
      <c r="AN158" s="572"/>
      <c r="AO158" s="467"/>
    </row>
    <row r="159" spans="2:47" ht="18.75" customHeight="1" x14ac:dyDescent="0.4">
      <c r="B159" s="530"/>
      <c r="S159" s="531"/>
      <c r="T159" s="531"/>
      <c r="U159" s="532"/>
      <c r="W159" s="533"/>
      <c r="X159" s="534"/>
      <c r="Z159" s="467"/>
      <c r="AA159" s="572"/>
      <c r="AB159" s="572"/>
      <c r="AC159" s="572"/>
      <c r="AD159" s="572"/>
      <c r="AE159" s="572"/>
      <c r="AF159" s="467"/>
      <c r="AG159" s="467"/>
      <c r="AH159" s="572"/>
      <c r="AI159" s="572"/>
      <c r="AJ159" s="572"/>
      <c r="AK159" s="572"/>
      <c r="AL159" s="572"/>
      <c r="AM159" s="572"/>
      <c r="AN159" s="572"/>
      <c r="AO159" s="467"/>
    </row>
    <row r="160" spans="2:47" ht="18.75" customHeight="1" x14ac:dyDescent="0.4">
      <c r="B160" s="530"/>
      <c r="S160" s="531"/>
      <c r="T160" s="531"/>
      <c r="U160" s="532"/>
      <c r="W160" s="533"/>
      <c r="X160" s="534"/>
      <c r="Z160" s="467"/>
      <c r="AA160" s="572"/>
      <c r="AB160" s="572"/>
      <c r="AC160" s="572"/>
      <c r="AD160" s="572"/>
      <c r="AE160" s="572"/>
      <c r="AF160" s="467"/>
      <c r="AG160" s="467"/>
      <c r="AH160" s="572"/>
      <c r="AI160" s="572"/>
      <c r="AJ160" s="572"/>
      <c r="AK160" s="572"/>
      <c r="AL160" s="572"/>
      <c r="AM160" s="572"/>
      <c r="AN160" s="572"/>
      <c r="AO160" s="467"/>
    </row>
    <row r="161" spans="2:41" ht="18.75" customHeight="1" x14ac:dyDescent="0.4">
      <c r="B161" s="530"/>
      <c r="S161" s="531"/>
      <c r="T161" s="573"/>
      <c r="U161" s="467"/>
      <c r="V161" s="573"/>
      <c r="W161" s="706"/>
      <c r="X161" s="706"/>
      <c r="Y161" s="467"/>
      <c r="Z161" s="467"/>
      <c r="AA161" s="572"/>
      <c r="AB161" s="572"/>
      <c r="AC161" s="572"/>
      <c r="AD161" s="572"/>
      <c r="AE161" s="572"/>
      <c r="AF161" s="467"/>
      <c r="AG161" s="467"/>
      <c r="AH161" s="572"/>
      <c r="AI161" s="572"/>
      <c r="AJ161" s="572"/>
      <c r="AK161" s="572"/>
      <c r="AL161" s="572"/>
      <c r="AM161" s="572"/>
      <c r="AN161" s="572"/>
      <c r="AO161" s="467"/>
    </row>
    <row r="162" spans="2:41" ht="18.75" customHeight="1" x14ac:dyDescent="0.4">
      <c r="B162" s="530"/>
      <c r="S162" s="531"/>
      <c r="T162" s="573"/>
      <c r="U162" s="467"/>
      <c r="V162" s="573"/>
      <c r="W162" s="706"/>
      <c r="X162" s="706"/>
      <c r="Y162" s="467"/>
      <c r="Z162" s="467"/>
      <c r="AA162" s="572"/>
      <c r="AB162" s="572"/>
      <c r="AC162" s="572"/>
      <c r="AD162" s="572"/>
      <c r="AE162" s="572"/>
      <c r="AF162" s="467"/>
      <c r="AG162" s="467"/>
      <c r="AH162" s="572"/>
      <c r="AI162" s="572"/>
      <c r="AJ162" s="572"/>
      <c r="AK162" s="572"/>
      <c r="AL162" s="572"/>
      <c r="AM162" s="572"/>
      <c r="AN162" s="572"/>
      <c r="AO162" s="467"/>
    </row>
    <row r="163" spans="2:41" ht="18.75" customHeight="1" x14ac:dyDescent="0.4">
      <c r="B163" s="530"/>
      <c r="S163" s="531"/>
      <c r="T163" s="531"/>
      <c r="U163" s="532"/>
      <c r="W163" s="533"/>
      <c r="X163" s="534"/>
      <c r="Z163" s="467"/>
      <c r="AA163" s="572"/>
      <c r="AB163" s="572"/>
      <c r="AC163" s="572"/>
      <c r="AD163" s="572"/>
      <c r="AE163" s="572"/>
      <c r="AF163" s="467"/>
      <c r="AG163" s="467"/>
      <c r="AH163" s="572"/>
      <c r="AI163" s="572"/>
      <c r="AJ163" s="572"/>
      <c r="AK163" s="572"/>
      <c r="AL163" s="572"/>
      <c r="AM163" s="572"/>
      <c r="AN163" s="572"/>
      <c r="AO163" s="467"/>
    </row>
    <row r="164" spans="2:41" ht="18.75" customHeight="1" x14ac:dyDescent="0.4">
      <c r="B164" s="530"/>
      <c r="S164" s="531"/>
      <c r="T164" s="573"/>
      <c r="U164" s="467"/>
      <c r="V164" s="573"/>
      <c r="W164" s="706"/>
      <c r="X164" s="706"/>
      <c r="Y164" s="467"/>
      <c r="Z164" s="467"/>
      <c r="AA164" s="572"/>
      <c r="AB164" s="572"/>
      <c r="AC164" s="572"/>
      <c r="AD164" s="572"/>
      <c r="AE164" s="572"/>
      <c r="AF164" s="467"/>
      <c r="AG164" s="467"/>
      <c r="AH164" s="572"/>
      <c r="AI164" s="572"/>
      <c r="AJ164" s="572"/>
      <c r="AK164" s="572"/>
      <c r="AL164" s="572"/>
      <c r="AM164" s="572"/>
      <c r="AN164" s="572"/>
      <c r="AO164" s="467"/>
    </row>
    <row r="165" spans="2:41" ht="18.75" customHeight="1" x14ac:dyDescent="0.4">
      <c r="B165" s="530"/>
      <c r="S165" s="531"/>
      <c r="T165" s="531"/>
      <c r="U165" s="532"/>
      <c r="W165" s="533"/>
      <c r="X165" s="534"/>
      <c r="Z165" s="467"/>
      <c r="AA165" s="572"/>
      <c r="AB165" s="572"/>
      <c r="AC165" s="572"/>
      <c r="AD165" s="572"/>
      <c r="AE165" s="572"/>
      <c r="AF165" s="467"/>
      <c r="AG165" s="467"/>
      <c r="AH165" s="572"/>
      <c r="AI165" s="572"/>
      <c r="AJ165" s="572"/>
      <c r="AK165" s="572"/>
      <c r="AL165" s="572"/>
      <c r="AM165" s="572"/>
      <c r="AN165" s="572"/>
      <c r="AO165" s="467"/>
    </row>
    <row r="166" spans="2:41" ht="18.75" customHeight="1" x14ac:dyDescent="0.4">
      <c r="B166" s="530"/>
      <c r="S166" s="531"/>
      <c r="T166" s="531"/>
      <c r="U166" s="532"/>
      <c r="W166" s="533"/>
      <c r="X166" s="534"/>
      <c r="Z166" s="467"/>
      <c r="AA166" s="572"/>
      <c r="AB166" s="572"/>
      <c r="AC166" s="572"/>
      <c r="AD166" s="572"/>
      <c r="AE166" s="572"/>
      <c r="AF166" s="467"/>
      <c r="AG166" s="467"/>
      <c r="AH166" s="572"/>
      <c r="AI166" s="572"/>
      <c r="AJ166" s="572"/>
      <c r="AK166" s="572"/>
      <c r="AL166" s="572"/>
      <c r="AM166" s="572"/>
      <c r="AN166" s="572"/>
      <c r="AO166" s="467"/>
    </row>
    <row r="167" spans="2:41" ht="18.75" customHeight="1" x14ac:dyDescent="0.4">
      <c r="B167" s="530"/>
      <c r="S167" s="531"/>
      <c r="T167" s="531"/>
      <c r="U167" s="532"/>
      <c r="W167" s="533"/>
      <c r="X167" s="534"/>
      <c r="Z167" s="467"/>
      <c r="AA167" s="572"/>
      <c r="AB167" s="572"/>
      <c r="AC167" s="572"/>
      <c r="AD167" s="572"/>
      <c r="AE167" s="572"/>
      <c r="AF167" s="467"/>
      <c r="AG167" s="467"/>
      <c r="AH167" s="572"/>
      <c r="AI167" s="572"/>
      <c r="AJ167" s="572"/>
      <c r="AK167" s="572"/>
      <c r="AL167" s="572"/>
      <c r="AM167" s="572"/>
      <c r="AN167" s="572"/>
      <c r="AO167" s="467"/>
    </row>
    <row r="168" spans="2:41" ht="18.75" customHeight="1" x14ac:dyDescent="0.4">
      <c r="Y168" s="467"/>
    </row>
    <row r="169" spans="2:41" ht="18.75" customHeight="1" x14ac:dyDescent="0.4">
      <c r="S169" s="573"/>
      <c r="T169" s="572"/>
      <c r="U169" s="495"/>
      <c r="V169" s="706"/>
      <c r="W169" s="609"/>
      <c r="X169" s="659"/>
      <c r="Y169" s="467"/>
    </row>
    <row r="170" spans="2:41" ht="18.75" customHeight="1" x14ac:dyDescent="0.4">
      <c r="Y170" s="467"/>
    </row>
    <row r="171" spans="2:41" ht="18.75" customHeight="1" x14ac:dyDescent="0.4">
      <c r="Y171" s="467"/>
    </row>
    <row r="172" spans="2:41" ht="18.75" customHeight="1" x14ac:dyDescent="0.4">
      <c r="Y172" s="467"/>
    </row>
    <row r="173" spans="2:41" ht="18.75" customHeight="1" x14ac:dyDescent="0.4">
      <c r="Y173" s="467"/>
    </row>
    <row r="174" spans="2:41" ht="18.75" customHeight="1" x14ac:dyDescent="0.4">
      <c r="Y174" s="467"/>
    </row>
    <row r="175" spans="2:41" ht="18.75" customHeight="1" x14ac:dyDescent="0.4">
      <c r="S175" s="573"/>
      <c r="T175" s="572"/>
      <c r="U175" s="495"/>
      <c r="V175" s="706"/>
      <c r="W175" s="609"/>
      <c r="X175" s="659"/>
      <c r="Y175" s="467"/>
    </row>
    <row r="176" spans="2:41" ht="18.75" customHeight="1" x14ac:dyDescent="0.4">
      <c r="Y176" s="467"/>
    </row>
    <row r="177" spans="19:46" ht="18.75" customHeight="1" x14ac:dyDescent="0.4">
      <c r="S177" s="573"/>
      <c r="T177" s="572"/>
      <c r="U177" s="495"/>
      <c r="V177" s="706"/>
      <c r="W177" s="609"/>
      <c r="X177" s="659"/>
      <c r="Y177" s="467"/>
    </row>
    <row r="178" spans="19:46" ht="18.75" customHeight="1" x14ac:dyDescent="0.4">
      <c r="S178" s="573"/>
      <c r="T178" s="572"/>
      <c r="U178" s="495"/>
      <c r="V178" s="706"/>
      <c r="W178" s="609"/>
      <c r="X178" s="659"/>
      <c r="Y178" s="467"/>
    </row>
    <row r="179" spans="19:46" ht="18.75" customHeight="1" x14ac:dyDescent="0.4">
      <c r="S179" s="573"/>
      <c r="T179" s="572"/>
      <c r="U179" s="495"/>
      <c r="V179" s="706"/>
      <c r="W179" s="609"/>
      <c r="X179" s="659"/>
      <c r="Y179" s="467"/>
    </row>
    <row r="180" spans="19:46" ht="18.75" customHeight="1" x14ac:dyDescent="0.4">
      <c r="S180" s="573"/>
      <c r="T180" s="572"/>
      <c r="U180" s="495"/>
      <c r="V180" s="706"/>
      <c r="W180" s="609"/>
      <c r="X180" s="659"/>
      <c r="Y180" s="467"/>
    </row>
    <row r="181" spans="19:46" ht="18.75" customHeight="1" x14ac:dyDescent="0.4">
      <c r="S181" s="573"/>
      <c r="T181" s="572"/>
      <c r="U181" s="495"/>
      <c r="V181" s="706"/>
      <c r="W181" s="609"/>
      <c r="X181" s="659"/>
      <c r="Y181" s="467"/>
      <c r="Z181" s="495"/>
      <c r="AA181" s="573"/>
      <c r="AB181" s="573"/>
      <c r="AC181" s="573"/>
      <c r="AD181" s="573"/>
      <c r="AE181" s="573"/>
      <c r="AF181" s="495"/>
      <c r="AG181" s="495"/>
      <c r="AH181" s="573"/>
      <c r="AI181" s="573"/>
      <c r="AJ181" s="573"/>
      <c r="AK181" s="573"/>
      <c r="AL181" s="573"/>
      <c r="AM181" s="573"/>
      <c r="AN181" s="573"/>
      <c r="AO181" s="495"/>
      <c r="AP181" s="573"/>
      <c r="AQ181" s="573"/>
      <c r="AR181" s="495"/>
      <c r="AS181" s="573"/>
      <c r="AT181" s="573"/>
    </row>
    <row r="182" spans="19:46" ht="18.75" customHeight="1" x14ac:dyDescent="0.4">
      <c r="S182" s="573"/>
      <c r="T182" s="572"/>
      <c r="U182" s="495"/>
      <c r="V182" s="706"/>
      <c r="W182" s="609"/>
      <c r="X182" s="659"/>
      <c r="Y182" s="467"/>
      <c r="Z182" s="495"/>
      <c r="AA182" s="573"/>
      <c r="AB182" s="573"/>
      <c r="AC182" s="573"/>
      <c r="AD182" s="573"/>
      <c r="AE182" s="573"/>
      <c r="AF182" s="495"/>
      <c r="AG182" s="495"/>
      <c r="AH182" s="573"/>
      <c r="AI182" s="573"/>
      <c r="AJ182" s="573"/>
      <c r="AK182" s="573"/>
      <c r="AL182" s="573"/>
      <c r="AM182" s="573"/>
      <c r="AN182" s="573"/>
      <c r="AO182" s="495"/>
      <c r="AP182" s="573"/>
      <c r="AQ182" s="573"/>
      <c r="AR182" s="495"/>
      <c r="AS182" s="573"/>
      <c r="AT182" s="573"/>
    </row>
    <row r="183" spans="19:46" ht="18.75" customHeight="1" x14ac:dyDescent="0.4">
      <c r="S183" s="573"/>
      <c r="T183" s="572"/>
      <c r="U183" s="495"/>
      <c r="V183" s="706"/>
      <c r="W183" s="609"/>
      <c r="X183" s="659"/>
      <c r="Y183" s="467"/>
      <c r="AP183" s="573"/>
      <c r="AQ183" s="573"/>
      <c r="AR183" s="495"/>
      <c r="AS183" s="573"/>
      <c r="AT183" s="573"/>
    </row>
    <row r="184" spans="19:46" ht="18.75" customHeight="1" x14ac:dyDescent="0.4">
      <c r="Y184" s="467"/>
      <c r="AP184" s="573"/>
      <c r="AQ184" s="573"/>
      <c r="AR184" s="495"/>
      <c r="AS184" s="573"/>
      <c r="AT184" s="573"/>
    </row>
    <row r="185" spans="19:46" ht="18.75" customHeight="1" x14ac:dyDescent="0.4">
      <c r="Y185" s="467"/>
      <c r="AP185" s="573"/>
      <c r="AQ185" s="573"/>
      <c r="AR185" s="495"/>
      <c r="AS185" s="573"/>
      <c r="AT185" s="573"/>
    </row>
    <row r="186" spans="19:46" ht="18.75" customHeight="1" x14ac:dyDescent="0.4">
      <c r="Y186" s="467"/>
      <c r="AP186" s="573"/>
      <c r="AQ186" s="573"/>
      <c r="AR186" s="495"/>
      <c r="AS186" s="573"/>
      <c r="AT186" s="573"/>
    </row>
    <row r="187" spans="19:46" ht="18.75" customHeight="1" x14ac:dyDescent="0.4">
      <c r="Y187" s="467"/>
      <c r="Z187" s="495"/>
      <c r="AA187" s="573"/>
      <c r="AB187" s="573"/>
      <c r="AC187" s="573"/>
      <c r="AD187" s="573"/>
      <c r="AE187" s="573"/>
      <c r="AF187" s="495"/>
      <c r="AG187" s="495"/>
      <c r="AH187" s="573"/>
      <c r="AI187" s="573"/>
      <c r="AJ187" s="573"/>
      <c r="AK187" s="573"/>
      <c r="AL187" s="573"/>
      <c r="AM187" s="573"/>
      <c r="AN187" s="573"/>
      <c r="AO187" s="495"/>
      <c r="AP187" s="573"/>
      <c r="AQ187" s="573"/>
      <c r="AR187" s="495"/>
      <c r="AS187" s="573"/>
      <c r="AT187" s="573"/>
    </row>
    <row r="188" spans="19:46" ht="18.75" customHeight="1" x14ac:dyDescent="0.4">
      <c r="S188" s="573"/>
      <c r="T188" s="572"/>
      <c r="U188" s="495"/>
      <c r="V188" s="706"/>
      <c r="W188" s="609"/>
      <c r="X188" s="659"/>
      <c r="Y188" s="467"/>
      <c r="Z188" s="495"/>
      <c r="AA188" s="573"/>
      <c r="AB188" s="573"/>
      <c r="AC188" s="573"/>
      <c r="AD188" s="573"/>
      <c r="AE188" s="573"/>
      <c r="AF188" s="495"/>
      <c r="AG188" s="495"/>
      <c r="AH188" s="573"/>
      <c r="AI188" s="573"/>
      <c r="AJ188" s="573"/>
      <c r="AK188" s="573"/>
      <c r="AL188" s="573"/>
      <c r="AM188" s="573"/>
      <c r="AN188" s="573"/>
      <c r="AO188" s="495"/>
      <c r="AP188" s="573"/>
      <c r="AQ188" s="573"/>
      <c r="AR188" s="495"/>
      <c r="AS188" s="573"/>
      <c r="AT188" s="573"/>
    </row>
    <row r="189" spans="19:46" ht="18.75" customHeight="1" x14ac:dyDescent="0.4">
      <c r="Y189" s="467"/>
      <c r="Z189" s="495"/>
      <c r="AA189" s="573"/>
      <c r="AB189" s="573"/>
      <c r="AC189" s="573"/>
      <c r="AD189" s="573"/>
      <c r="AE189" s="573"/>
      <c r="AF189" s="495"/>
      <c r="AG189" s="495"/>
      <c r="AH189" s="573"/>
      <c r="AI189" s="573"/>
      <c r="AJ189" s="573"/>
      <c r="AK189" s="573"/>
      <c r="AL189" s="573"/>
      <c r="AM189" s="573"/>
      <c r="AN189" s="573"/>
      <c r="AO189" s="495"/>
      <c r="AP189" s="573"/>
      <c r="AQ189" s="573"/>
      <c r="AR189" s="495"/>
      <c r="AS189" s="573"/>
      <c r="AT189" s="573"/>
    </row>
    <row r="190" spans="19:46" ht="18.75" customHeight="1" x14ac:dyDescent="0.4">
      <c r="Y190" s="467"/>
      <c r="Z190" s="495"/>
      <c r="AA190" s="573"/>
      <c r="AB190" s="573"/>
      <c r="AC190" s="573"/>
      <c r="AD190" s="573"/>
      <c r="AE190" s="573"/>
      <c r="AF190" s="495"/>
      <c r="AG190" s="495"/>
      <c r="AH190" s="573"/>
      <c r="AI190" s="573"/>
      <c r="AJ190" s="573"/>
      <c r="AK190" s="573"/>
      <c r="AL190" s="573"/>
      <c r="AM190" s="573"/>
      <c r="AN190" s="573"/>
      <c r="AO190" s="495"/>
      <c r="AP190" s="573"/>
      <c r="AQ190" s="573"/>
      <c r="AR190" s="495"/>
      <c r="AS190" s="573"/>
      <c r="AT190" s="573"/>
    </row>
    <row r="191" spans="19:46" ht="18.75" customHeight="1" x14ac:dyDescent="0.4">
      <c r="S191" s="573"/>
      <c r="T191" s="572"/>
      <c r="U191" s="495"/>
      <c r="V191" s="706"/>
      <c r="W191" s="609"/>
      <c r="X191" s="659"/>
      <c r="Y191" s="467"/>
      <c r="Z191" s="495"/>
      <c r="AA191" s="573"/>
      <c r="AB191" s="573"/>
      <c r="AC191" s="573"/>
      <c r="AD191" s="573"/>
      <c r="AE191" s="573"/>
      <c r="AF191" s="495"/>
      <c r="AG191" s="495"/>
      <c r="AH191" s="573"/>
      <c r="AI191" s="573"/>
      <c r="AJ191" s="573"/>
      <c r="AK191" s="573"/>
      <c r="AL191" s="573"/>
      <c r="AM191" s="573"/>
      <c r="AN191" s="573"/>
      <c r="AO191" s="495"/>
      <c r="AP191" s="573"/>
      <c r="AQ191" s="573"/>
      <c r="AR191" s="495"/>
      <c r="AS191" s="573"/>
      <c r="AT191" s="573"/>
    </row>
    <row r="192" spans="19:46" ht="18.75" customHeight="1" x14ac:dyDescent="0.4">
      <c r="S192" s="573"/>
      <c r="T192" s="572"/>
      <c r="U192" s="495"/>
      <c r="V192" s="706"/>
      <c r="W192" s="609"/>
      <c r="X192" s="659"/>
      <c r="Y192" s="467"/>
      <c r="Z192" s="495"/>
      <c r="AA192" s="573"/>
      <c r="AB192" s="573"/>
      <c r="AC192" s="573"/>
      <c r="AD192" s="573"/>
      <c r="AE192" s="573"/>
      <c r="AF192" s="495"/>
      <c r="AG192" s="495"/>
      <c r="AH192" s="573"/>
      <c r="AI192" s="573"/>
      <c r="AJ192" s="573"/>
      <c r="AK192" s="573"/>
      <c r="AL192" s="573"/>
      <c r="AM192" s="573"/>
      <c r="AN192" s="573"/>
      <c r="AO192" s="495"/>
      <c r="AP192" s="573"/>
      <c r="AQ192" s="573"/>
      <c r="AR192" s="495"/>
      <c r="AS192" s="573"/>
      <c r="AT192" s="573"/>
    </row>
    <row r="193" spans="19:46" ht="18.75" customHeight="1" x14ac:dyDescent="0.4">
      <c r="Y193" s="467"/>
      <c r="Z193" s="495"/>
      <c r="AA193" s="573"/>
      <c r="AB193" s="573"/>
      <c r="AC193" s="573"/>
      <c r="AD193" s="573"/>
      <c r="AE193" s="573"/>
      <c r="AF193" s="495"/>
      <c r="AG193" s="495"/>
      <c r="AH193" s="573"/>
      <c r="AI193" s="573"/>
      <c r="AJ193" s="573"/>
      <c r="AK193" s="573"/>
      <c r="AL193" s="573"/>
      <c r="AM193" s="573"/>
      <c r="AN193" s="573"/>
      <c r="AO193" s="495"/>
      <c r="AP193" s="573"/>
      <c r="AQ193" s="573"/>
      <c r="AR193" s="495"/>
      <c r="AS193" s="573"/>
      <c r="AT193" s="573"/>
    </row>
    <row r="194" spans="19:46" ht="18.75" customHeight="1" x14ac:dyDescent="0.4">
      <c r="Y194" s="467"/>
      <c r="Z194" s="495"/>
      <c r="AA194" s="573"/>
      <c r="AB194" s="573"/>
      <c r="AC194" s="573"/>
      <c r="AD194" s="573"/>
      <c r="AE194" s="573"/>
      <c r="AF194" s="495"/>
      <c r="AG194" s="495"/>
      <c r="AH194" s="573"/>
      <c r="AI194" s="573"/>
      <c r="AJ194" s="573"/>
      <c r="AK194" s="573"/>
      <c r="AL194" s="573"/>
      <c r="AM194" s="573"/>
      <c r="AN194" s="573"/>
      <c r="AO194" s="495"/>
      <c r="AP194" s="573"/>
      <c r="AQ194" s="573"/>
      <c r="AR194" s="495"/>
      <c r="AS194" s="573"/>
      <c r="AT194" s="573"/>
    </row>
    <row r="195" spans="19:46" ht="18.75" customHeight="1" x14ac:dyDescent="0.4">
      <c r="Y195" s="467"/>
      <c r="Z195" s="495"/>
      <c r="AA195" s="573"/>
      <c r="AB195" s="573"/>
      <c r="AC195" s="573"/>
      <c r="AD195" s="573"/>
      <c r="AE195" s="573"/>
      <c r="AF195" s="495"/>
      <c r="AG195" s="495"/>
      <c r="AH195" s="573"/>
      <c r="AI195" s="573"/>
      <c r="AJ195" s="573"/>
      <c r="AK195" s="573"/>
      <c r="AL195" s="573"/>
      <c r="AM195" s="573"/>
      <c r="AN195" s="573"/>
      <c r="AO195" s="495"/>
      <c r="AP195" s="573"/>
      <c r="AQ195" s="573"/>
      <c r="AR195" s="495"/>
      <c r="AS195" s="573"/>
      <c r="AT195" s="573"/>
    </row>
    <row r="196" spans="19:46" ht="18.75" customHeight="1" x14ac:dyDescent="0.4">
      <c r="Y196" s="467"/>
      <c r="Z196" s="495"/>
      <c r="AA196" s="573"/>
      <c r="AB196" s="573"/>
      <c r="AC196" s="573"/>
      <c r="AD196" s="573"/>
      <c r="AE196" s="573"/>
      <c r="AF196" s="495"/>
      <c r="AG196" s="495"/>
      <c r="AH196" s="573"/>
      <c r="AI196" s="573"/>
      <c r="AJ196" s="573"/>
      <c r="AK196" s="573"/>
      <c r="AL196" s="573"/>
      <c r="AM196" s="573"/>
      <c r="AN196" s="573"/>
      <c r="AO196" s="495"/>
      <c r="AP196" s="573"/>
      <c r="AQ196" s="573"/>
      <c r="AR196" s="495"/>
      <c r="AS196" s="573"/>
      <c r="AT196" s="573"/>
    </row>
    <row r="197" spans="19:46" ht="18.75" customHeight="1" x14ac:dyDescent="0.4">
      <c r="Y197" s="467"/>
      <c r="Z197" s="495"/>
      <c r="AA197" s="573"/>
      <c r="AB197" s="573"/>
      <c r="AC197" s="573"/>
      <c r="AD197" s="573"/>
      <c r="AE197" s="573"/>
      <c r="AF197" s="495"/>
      <c r="AG197" s="495"/>
      <c r="AH197" s="573"/>
      <c r="AI197" s="573"/>
      <c r="AJ197" s="573"/>
      <c r="AK197" s="573"/>
      <c r="AL197" s="573"/>
      <c r="AM197" s="573"/>
      <c r="AN197" s="573"/>
      <c r="AO197" s="495"/>
      <c r="AP197" s="573"/>
      <c r="AQ197" s="573"/>
      <c r="AR197" s="495"/>
      <c r="AS197" s="573"/>
      <c r="AT197" s="573"/>
    </row>
    <row r="198" spans="19:46" ht="18.75" customHeight="1" x14ac:dyDescent="0.4">
      <c r="Y198" s="467"/>
      <c r="Z198" s="495"/>
      <c r="AA198" s="573"/>
      <c r="AB198" s="573"/>
      <c r="AC198" s="573"/>
      <c r="AD198" s="573"/>
      <c r="AE198" s="573"/>
      <c r="AF198" s="495"/>
      <c r="AG198" s="495"/>
      <c r="AH198" s="573"/>
      <c r="AI198" s="573"/>
      <c r="AJ198" s="573"/>
      <c r="AK198" s="573"/>
      <c r="AL198" s="573"/>
      <c r="AM198" s="573"/>
      <c r="AN198" s="573"/>
      <c r="AO198" s="495"/>
      <c r="AP198" s="573"/>
      <c r="AQ198" s="573"/>
      <c r="AR198" s="495"/>
      <c r="AS198" s="573"/>
      <c r="AT198" s="573"/>
    </row>
    <row r="199" spans="19:46" ht="18.75" customHeight="1" x14ac:dyDescent="0.4">
      <c r="Y199" s="467"/>
      <c r="Z199" s="495"/>
      <c r="AA199" s="573"/>
      <c r="AB199" s="573"/>
      <c r="AC199" s="573"/>
      <c r="AD199" s="573"/>
      <c r="AE199" s="573"/>
      <c r="AF199" s="495"/>
      <c r="AG199" s="495"/>
      <c r="AH199" s="573"/>
      <c r="AI199" s="573"/>
      <c r="AJ199" s="573"/>
      <c r="AK199" s="573"/>
      <c r="AL199" s="573"/>
      <c r="AM199" s="573"/>
      <c r="AN199" s="573"/>
      <c r="AO199" s="495"/>
      <c r="AP199" s="573"/>
      <c r="AQ199" s="573"/>
      <c r="AR199" s="495"/>
      <c r="AS199" s="573"/>
      <c r="AT199" s="573"/>
    </row>
    <row r="200" spans="19:46" ht="18.75" customHeight="1" x14ac:dyDescent="0.4">
      <c r="S200" s="573"/>
      <c r="T200" s="572"/>
      <c r="U200" s="495"/>
      <c r="V200" s="706"/>
      <c r="W200" s="609"/>
      <c r="X200" s="659"/>
      <c r="Y200" s="467"/>
      <c r="Z200" s="495"/>
      <c r="AA200" s="573"/>
      <c r="AB200" s="573"/>
      <c r="AC200" s="573"/>
      <c r="AD200" s="573"/>
      <c r="AE200" s="573"/>
      <c r="AF200" s="495"/>
      <c r="AG200" s="495"/>
      <c r="AH200" s="573"/>
      <c r="AI200" s="573"/>
      <c r="AJ200" s="573"/>
      <c r="AK200" s="573"/>
      <c r="AL200" s="573"/>
      <c r="AM200" s="573"/>
      <c r="AN200" s="573"/>
      <c r="AO200" s="495"/>
      <c r="AP200" s="573"/>
      <c r="AQ200" s="573"/>
      <c r="AR200" s="495"/>
      <c r="AS200" s="573"/>
      <c r="AT200" s="573"/>
    </row>
    <row r="201" spans="19:46" ht="18.75" customHeight="1" x14ac:dyDescent="0.4">
      <c r="S201" s="573"/>
      <c r="T201" s="572"/>
      <c r="U201" s="495"/>
      <c r="V201" s="706"/>
      <c r="W201" s="609"/>
      <c r="X201" s="659"/>
      <c r="Y201" s="467"/>
      <c r="Z201" s="495"/>
      <c r="AA201" s="573"/>
      <c r="AB201" s="573"/>
      <c r="AC201" s="573"/>
      <c r="AD201" s="573"/>
      <c r="AE201" s="573"/>
      <c r="AF201" s="495"/>
      <c r="AG201" s="495"/>
      <c r="AH201" s="573"/>
      <c r="AI201" s="573"/>
      <c r="AJ201" s="573"/>
      <c r="AK201" s="573"/>
      <c r="AL201" s="573"/>
      <c r="AM201" s="573"/>
      <c r="AN201" s="573"/>
      <c r="AO201" s="495"/>
      <c r="AP201" s="573"/>
      <c r="AQ201" s="573"/>
      <c r="AR201" s="495"/>
      <c r="AS201" s="573"/>
      <c r="AT201" s="573"/>
    </row>
    <row r="202" spans="19:46" ht="18.75" customHeight="1" x14ac:dyDescent="0.4">
      <c r="S202" s="573"/>
      <c r="T202" s="572"/>
      <c r="U202" s="495"/>
      <c r="V202" s="706"/>
      <c r="W202" s="609"/>
      <c r="X202" s="659"/>
      <c r="Y202" s="467"/>
      <c r="Z202" s="495"/>
      <c r="AA202" s="573"/>
      <c r="AB202" s="573"/>
      <c r="AC202" s="573"/>
      <c r="AD202" s="573"/>
      <c r="AE202" s="573"/>
      <c r="AF202" s="495"/>
      <c r="AG202" s="495"/>
      <c r="AH202" s="573"/>
      <c r="AI202" s="573"/>
      <c r="AJ202" s="573"/>
      <c r="AK202" s="573"/>
      <c r="AL202" s="573"/>
      <c r="AM202" s="573"/>
      <c r="AN202" s="573"/>
      <c r="AO202" s="495"/>
      <c r="AP202" s="573"/>
      <c r="AQ202" s="573"/>
      <c r="AR202" s="495"/>
      <c r="AS202" s="573"/>
      <c r="AT202" s="573"/>
    </row>
    <row r="203" spans="19:46" ht="18.75" customHeight="1" x14ac:dyDescent="0.4">
      <c r="S203" s="573"/>
      <c r="T203" s="572"/>
      <c r="U203" s="495"/>
      <c r="V203" s="706"/>
      <c r="W203" s="609"/>
      <c r="X203" s="659"/>
      <c r="Y203" s="467"/>
      <c r="Z203" s="495"/>
      <c r="AA203" s="573"/>
      <c r="AB203" s="573"/>
      <c r="AC203" s="573"/>
      <c r="AD203" s="573"/>
      <c r="AE203" s="573"/>
      <c r="AF203" s="495"/>
      <c r="AG203" s="495"/>
      <c r="AH203" s="573"/>
      <c r="AI203" s="573"/>
      <c r="AJ203" s="573"/>
      <c r="AK203" s="573"/>
      <c r="AL203" s="573"/>
      <c r="AM203" s="573"/>
      <c r="AN203" s="573"/>
      <c r="AO203" s="495"/>
      <c r="AP203" s="573"/>
      <c r="AQ203" s="573"/>
      <c r="AR203" s="495"/>
      <c r="AS203" s="573"/>
      <c r="AT203" s="573"/>
    </row>
    <row r="204" spans="19:46" ht="18.75" customHeight="1" x14ac:dyDescent="0.4">
      <c r="S204" s="573"/>
      <c r="T204" s="572"/>
      <c r="U204" s="495"/>
      <c r="V204" s="706"/>
      <c r="W204" s="609"/>
      <c r="X204" s="659"/>
      <c r="Y204" s="467"/>
      <c r="Z204" s="495"/>
      <c r="AA204" s="573"/>
      <c r="AB204" s="573"/>
      <c r="AC204" s="573"/>
      <c r="AD204" s="573"/>
      <c r="AE204" s="573"/>
      <c r="AF204" s="495"/>
      <c r="AG204" s="495"/>
      <c r="AH204" s="573"/>
      <c r="AI204" s="573"/>
      <c r="AJ204" s="573"/>
      <c r="AK204" s="573"/>
      <c r="AL204" s="573"/>
      <c r="AM204" s="573"/>
      <c r="AN204" s="573"/>
      <c r="AO204" s="495"/>
      <c r="AP204" s="573"/>
      <c r="AQ204" s="573"/>
      <c r="AR204" s="495"/>
      <c r="AS204" s="573"/>
      <c r="AT204" s="573"/>
    </row>
    <row r="205" spans="19:46" ht="18.75" customHeight="1" x14ac:dyDescent="0.4">
      <c r="S205" s="573"/>
      <c r="T205" s="572"/>
      <c r="U205" s="495"/>
      <c r="V205" s="706"/>
      <c r="W205" s="609"/>
      <c r="X205" s="659"/>
      <c r="Y205" s="467"/>
      <c r="Z205" s="495"/>
      <c r="AA205" s="573"/>
      <c r="AB205" s="573"/>
      <c r="AC205" s="573"/>
      <c r="AD205" s="573"/>
      <c r="AE205" s="573"/>
      <c r="AF205" s="495"/>
      <c r="AG205" s="495"/>
      <c r="AH205" s="573"/>
      <c r="AI205" s="573"/>
      <c r="AJ205" s="573"/>
      <c r="AK205" s="573"/>
      <c r="AL205" s="573"/>
      <c r="AM205" s="573"/>
      <c r="AN205" s="573"/>
      <c r="AO205" s="495"/>
      <c r="AP205" s="573"/>
      <c r="AQ205" s="573"/>
      <c r="AR205" s="495"/>
      <c r="AS205" s="573"/>
      <c r="AT205" s="573"/>
    </row>
    <row r="206" spans="19:46" ht="18.75" customHeight="1" x14ac:dyDescent="0.4">
      <c r="S206" s="573"/>
      <c r="T206" s="572"/>
      <c r="U206" s="495"/>
      <c r="V206" s="706"/>
      <c r="W206" s="609"/>
      <c r="X206" s="659"/>
      <c r="Y206" s="467"/>
      <c r="Z206" s="495"/>
      <c r="AA206" s="573"/>
      <c r="AB206" s="573"/>
      <c r="AC206" s="573"/>
      <c r="AD206" s="573"/>
      <c r="AE206" s="573"/>
      <c r="AF206" s="495"/>
      <c r="AG206" s="495"/>
      <c r="AH206" s="573"/>
      <c r="AI206" s="573"/>
      <c r="AJ206" s="573"/>
      <c r="AK206" s="573"/>
      <c r="AL206" s="573"/>
      <c r="AM206" s="573"/>
      <c r="AN206" s="573"/>
      <c r="AO206" s="495"/>
      <c r="AP206" s="573"/>
      <c r="AQ206" s="573"/>
      <c r="AR206" s="495"/>
      <c r="AS206" s="573"/>
      <c r="AT206" s="573"/>
    </row>
    <row r="207" spans="19:46" ht="18.75" customHeight="1" x14ac:dyDescent="0.4">
      <c r="S207" s="573"/>
      <c r="T207" s="572"/>
      <c r="U207" s="495"/>
      <c r="V207" s="706"/>
      <c r="W207" s="609"/>
      <c r="X207" s="659"/>
      <c r="Y207" s="467"/>
      <c r="Z207" s="495"/>
      <c r="AA207" s="573"/>
      <c r="AB207" s="573"/>
      <c r="AC207" s="573"/>
      <c r="AD207" s="573"/>
      <c r="AE207" s="573"/>
      <c r="AF207" s="495"/>
      <c r="AG207" s="495"/>
      <c r="AH207" s="573"/>
      <c r="AI207" s="573"/>
      <c r="AJ207" s="573"/>
      <c r="AK207" s="573"/>
      <c r="AL207" s="573"/>
      <c r="AM207" s="573"/>
      <c r="AN207" s="573"/>
      <c r="AO207" s="495"/>
      <c r="AP207" s="573"/>
      <c r="AQ207" s="573"/>
      <c r="AR207" s="495"/>
      <c r="AS207" s="573"/>
      <c r="AT207" s="573"/>
    </row>
    <row r="208" spans="19:46" ht="18.75" customHeight="1" x14ac:dyDescent="0.4">
      <c r="S208" s="573"/>
      <c r="T208" s="572"/>
      <c r="U208" s="495"/>
      <c r="V208" s="706"/>
      <c r="W208" s="609"/>
      <c r="X208" s="659"/>
      <c r="Y208" s="467"/>
      <c r="Z208" s="495"/>
      <c r="AA208" s="573"/>
      <c r="AB208" s="573"/>
      <c r="AC208" s="573"/>
      <c r="AD208" s="573"/>
      <c r="AE208" s="573"/>
      <c r="AF208" s="495"/>
      <c r="AG208" s="495"/>
      <c r="AH208" s="573"/>
      <c r="AI208" s="573"/>
      <c r="AJ208" s="573"/>
      <c r="AK208" s="573"/>
      <c r="AL208" s="573"/>
      <c r="AM208" s="573"/>
      <c r="AN208" s="573"/>
      <c r="AO208" s="495"/>
      <c r="AP208" s="573"/>
      <c r="AQ208" s="573"/>
      <c r="AR208" s="495"/>
      <c r="AS208" s="573"/>
      <c r="AT208" s="573"/>
    </row>
    <row r="209" spans="19:46" ht="18.75" customHeight="1" x14ac:dyDescent="0.4">
      <c r="S209" s="573"/>
      <c r="T209" s="572"/>
      <c r="U209" s="495"/>
      <c r="V209" s="706"/>
      <c r="W209" s="609"/>
      <c r="X209" s="659"/>
      <c r="Y209" s="467"/>
      <c r="Z209" s="495"/>
      <c r="AA209" s="573"/>
      <c r="AB209" s="573"/>
      <c r="AC209" s="573"/>
      <c r="AD209" s="573"/>
      <c r="AE209" s="573"/>
      <c r="AF209" s="495"/>
      <c r="AG209" s="495"/>
      <c r="AH209" s="573"/>
      <c r="AI209" s="573"/>
      <c r="AJ209" s="573"/>
      <c r="AK209" s="573"/>
      <c r="AL209" s="573"/>
      <c r="AM209" s="573"/>
      <c r="AN209" s="573"/>
      <c r="AO209" s="495"/>
      <c r="AP209" s="573"/>
      <c r="AQ209" s="573"/>
      <c r="AR209" s="495"/>
      <c r="AS209" s="573"/>
      <c r="AT209" s="573"/>
    </row>
    <row r="210" spans="19:46" ht="18.75" customHeight="1" x14ac:dyDescent="0.4">
      <c r="S210" s="573"/>
      <c r="T210" s="572"/>
      <c r="U210" s="495"/>
      <c r="V210" s="706"/>
      <c r="W210" s="609"/>
      <c r="X210" s="659"/>
      <c r="Y210" s="467"/>
      <c r="Z210" s="495"/>
      <c r="AA210" s="573"/>
      <c r="AB210" s="573"/>
      <c r="AC210" s="573"/>
      <c r="AD210" s="573"/>
      <c r="AE210" s="573"/>
      <c r="AF210" s="495"/>
      <c r="AG210" s="495"/>
      <c r="AH210" s="573"/>
      <c r="AI210" s="573"/>
      <c r="AJ210" s="573"/>
      <c r="AK210" s="573"/>
      <c r="AL210" s="573"/>
      <c r="AM210" s="573"/>
      <c r="AN210" s="573"/>
      <c r="AO210" s="495"/>
      <c r="AP210" s="573"/>
      <c r="AQ210" s="573"/>
      <c r="AR210" s="495"/>
      <c r="AS210" s="573"/>
      <c r="AT210" s="573"/>
    </row>
    <row r="211" spans="19:46" ht="18.75" customHeight="1" x14ac:dyDescent="0.4">
      <c r="S211" s="573"/>
      <c r="T211" s="572"/>
      <c r="U211" s="495"/>
      <c r="V211" s="573"/>
      <c r="W211" s="609"/>
      <c r="X211" s="659"/>
      <c r="Y211" s="467"/>
      <c r="Z211" s="495"/>
      <c r="AA211" s="573"/>
      <c r="AB211" s="573"/>
      <c r="AC211" s="573"/>
      <c r="AD211" s="573"/>
      <c r="AE211" s="573"/>
      <c r="AF211" s="495"/>
      <c r="AG211" s="495"/>
      <c r="AH211" s="573"/>
      <c r="AI211" s="573"/>
      <c r="AJ211" s="573"/>
      <c r="AK211" s="573"/>
      <c r="AL211" s="573"/>
      <c r="AM211" s="573"/>
      <c r="AN211" s="573"/>
      <c r="AO211" s="495"/>
      <c r="AP211" s="573"/>
      <c r="AQ211" s="573"/>
      <c r="AR211" s="495"/>
      <c r="AS211" s="573"/>
      <c r="AT211" s="573"/>
    </row>
    <row r="212" spans="19:46" ht="18.75" customHeight="1" x14ac:dyDescent="0.4">
      <c r="S212" s="573"/>
      <c r="T212" s="572"/>
      <c r="U212" s="495"/>
      <c r="V212" s="573"/>
      <c r="W212" s="609"/>
      <c r="X212" s="659"/>
      <c r="Y212" s="467"/>
      <c r="Z212" s="495"/>
      <c r="AA212" s="573"/>
      <c r="AB212" s="573"/>
      <c r="AC212" s="573"/>
      <c r="AD212" s="573"/>
      <c r="AE212" s="573"/>
      <c r="AF212" s="495"/>
      <c r="AG212" s="495"/>
      <c r="AH212" s="573"/>
      <c r="AI212" s="573"/>
      <c r="AJ212" s="573"/>
      <c r="AK212" s="573"/>
      <c r="AL212" s="573"/>
      <c r="AM212" s="573"/>
      <c r="AN212" s="573"/>
      <c r="AO212" s="495"/>
      <c r="AP212" s="573"/>
      <c r="AQ212" s="573"/>
      <c r="AR212" s="495"/>
      <c r="AS212" s="573"/>
      <c r="AT212" s="573"/>
    </row>
    <row r="213" spans="19:46" ht="18.75" customHeight="1" x14ac:dyDescent="0.4">
      <c r="S213" s="573"/>
      <c r="T213" s="572"/>
      <c r="U213" s="495"/>
      <c r="V213" s="706"/>
      <c r="W213" s="609"/>
      <c r="X213" s="659"/>
      <c r="Y213" s="467"/>
      <c r="Z213" s="495"/>
      <c r="AA213" s="573"/>
      <c r="AB213" s="573"/>
      <c r="AC213" s="573"/>
      <c r="AD213" s="573"/>
      <c r="AE213" s="573"/>
      <c r="AF213" s="495"/>
      <c r="AG213" s="495"/>
      <c r="AH213" s="573"/>
      <c r="AI213" s="573"/>
      <c r="AJ213" s="573"/>
      <c r="AK213" s="573"/>
      <c r="AL213" s="573"/>
      <c r="AM213" s="573"/>
      <c r="AN213" s="573"/>
      <c r="AO213" s="495"/>
      <c r="AP213" s="573"/>
      <c r="AQ213" s="573"/>
      <c r="AR213" s="495"/>
      <c r="AS213" s="573"/>
      <c r="AT213" s="573"/>
    </row>
    <row r="214" spans="19:46" ht="18.75" customHeight="1" x14ac:dyDescent="0.4">
      <c r="S214" s="573"/>
      <c r="T214" s="572"/>
      <c r="U214" s="495"/>
      <c r="V214" s="706"/>
      <c r="W214" s="609"/>
      <c r="X214" s="659"/>
      <c r="Y214" s="467"/>
      <c r="Z214" s="495"/>
      <c r="AA214" s="573"/>
      <c r="AB214" s="573"/>
      <c r="AC214" s="573"/>
      <c r="AD214" s="573"/>
      <c r="AE214" s="573"/>
      <c r="AF214" s="495"/>
      <c r="AG214" s="495"/>
      <c r="AH214" s="573"/>
      <c r="AI214" s="573"/>
      <c r="AJ214" s="573"/>
      <c r="AK214" s="573"/>
      <c r="AL214" s="573"/>
      <c r="AM214" s="573"/>
      <c r="AN214" s="573"/>
      <c r="AO214" s="495"/>
      <c r="AP214" s="573"/>
      <c r="AQ214" s="573"/>
      <c r="AR214" s="495"/>
      <c r="AS214" s="573"/>
      <c r="AT214" s="573"/>
    </row>
    <row r="215" spans="19:46" ht="18.75" customHeight="1" x14ac:dyDescent="0.4">
      <c r="S215" s="573"/>
      <c r="T215" s="572"/>
      <c r="U215" s="495"/>
      <c r="V215" s="706"/>
      <c r="W215" s="609"/>
      <c r="X215" s="659"/>
      <c r="Y215" s="467"/>
      <c r="Z215" s="495"/>
      <c r="AA215" s="573"/>
      <c r="AB215" s="573"/>
      <c r="AC215" s="573"/>
      <c r="AD215" s="573"/>
      <c r="AE215" s="573"/>
      <c r="AF215" s="495"/>
      <c r="AG215" s="495"/>
      <c r="AH215" s="573"/>
      <c r="AI215" s="573"/>
      <c r="AJ215" s="573"/>
      <c r="AK215" s="573"/>
      <c r="AL215" s="573"/>
      <c r="AM215" s="573"/>
      <c r="AN215" s="573"/>
      <c r="AO215" s="495"/>
      <c r="AP215" s="573"/>
      <c r="AQ215" s="573"/>
      <c r="AR215" s="495"/>
      <c r="AS215" s="573"/>
      <c r="AT215" s="573"/>
    </row>
    <row r="216" spans="19:46" ht="18.75" customHeight="1" x14ac:dyDescent="0.4">
      <c r="S216" s="573"/>
      <c r="T216" s="572"/>
      <c r="U216" s="495"/>
      <c r="V216" s="706"/>
      <c r="W216" s="609"/>
      <c r="X216" s="659"/>
      <c r="Y216" s="467"/>
      <c r="Z216" s="495"/>
      <c r="AA216" s="573"/>
      <c r="AB216" s="573"/>
      <c r="AC216" s="573"/>
      <c r="AD216" s="573"/>
      <c r="AE216" s="573"/>
      <c r="AF216" s="495"/>
      <c r="AG216" s="495"/>
      <c r="AH216" s="573"/>
      <c r="AI216" s="573"/>
      <c r="AJ216" s="573"/>
      <c r="AK216" s="573"/>
      <c r="AL216" s="573"/>
      <c r="AM216" s="573"/>
      <c r="AN216" s="573"/>
      <c r="AO216" s="495"/>
      <c r="AP216" s="573"/>
      <c r="AQ216" s="573"/>
      <c r="AR216" s="495"/>
      <c r="AS216" s="573"/>
      <c r="AT216" s="573"/>
    </row>
    <row r="217" spans="19:46" ht="18.75" customHeight="1" x14ac:dyDescent="0.4">
      <c r="S217" s="573"/>
      <c r="T217" s="572"/>
      <c r="U217" s="495"/>
      <c r="V217" s="706"/>
      <c r="W217" s="609"/>
      <c r="X217" s="659"/>
      <c r="Y217" s="467"/>
      <c r="Z217" s="495"/>
      <c r="AA217" s="573"/>
      <c r="AB217" s="573"/>
      <c r="AC217" s="573"/>
      <c r="AD217" s="573"/>
      <c r="AE217" s="573"/>
      <c r="AF217" s="495"/>
      <c r="AG217" s="495"/>
      <c r="AH217" s="573"/>
      <c r="AI217" s="573"/>
      <c r="AJ217" s="573"/>
      <c r="AK217" s="573"/>
      <c r="AL217" s="573"/>
      <c r="AM217" s="573"/>
      <c r="AN217" s="573"/>
      <c r="AO217" s="495"/>
      <c r="AP217" s="573"/>
      <c r="AQ217" s="573"/>
      <c r="AR217" s="495"/>
      <c r="AS217" s="573"/>
      <c r="AT217" s="573"/>
    </row>
    <row r="218" spans="19:46" ht="18.75" customHeight="1" x14ac:dyDescent="0.4">
      <c r="S218" s="573"/>
      <c r="T218" s="572"/>
      <c r="U218" s="495"/>
      <c r="V218" s="706"/>
      <c r="W218" s="609"/>
      <c r="X218" s="659"/>
      <c r="Y218" s="467"/>
      <c r="Z218" s="495"/>
      <c r="AA218" s="573"/>
      <c r="AB218" s="573"/>
      <c r="AC218" s="573"/>
      <c r="AD218" s="573"/>
      <c r="AE218" s="573"/>
      <c r="AF218" s="495"/>
      <c r="AG218" s="495"/>
      <c r="AH218" s="573"/>
      <c r="AI218" s="573"/>
      <c r="AJ218" s="573"/>
      <c r="AK218" s="573"/>
      <c r="AL218" s="573"/>
      <c r="AM218" s="573"/>
      <c r="AN218" s="573"/>
      <c r="AO218" s="495"/>
      <c r="AP218" s="573"/>
      <c r="AQ218" s="573"/>
      <c r="AR218" s="495"/>
      <c r="AS218" s="573"/>
      <c r="AT218" s="573"/>
    </row>
    <row r="219" spans="19:46" ht="18.75" customHeight="1" x14ac:dyDescent="0.4">
      <c r="S219" s="573"/>
      <c r="T219" s="572"/>
      <c r="U219" s="495"/>
      <c r="V219" s="573"/>
      <c r="W219" s="609"/>
      <c r="X219" s="659"/>
      <c r="Y219" s="467"/>
      <c r="Z219" s="495"/>
      <c r="AA219" s="573"/>
      <c r="AB219" s="573"/>
      <c r="AC219" s="573"/>
      <c r="AD219" s="573"/>
      <c r="AE219" s="573"/>
      <c r="AF219" s="495"/>
      <c r="AG219" s="495"/>
      <c r="AH219" s="573"/>
      <c r="AI219" s="573"/>
      <c r="AJ219" s="573"/>
      <c r="AK219" s="573"/>
      <c r="AL219" s="573"/>
      <c r="AM219" s="573"/>
      <c r="AN219" s="573"/>
      <c r="AO219" s="495"/>
      <c r="AP219" s="573"/>
      <c r="AQ219" s="573"/>
      <c r="AR219" s="495"/>
      <c r="AS219" s="573"/>
      <c r="AT219" s="573"/>
    </row>
    <row r="220" spans="19:46" ht="18.75" customHeight="1" x14ac:dyDescent="0.4">
      <c r="S220" s="573"/>
      <c r="T220" s="572"/>
      <c r="U220" s="495"/>
      <c r="V220" s="573"/>
      <c r="W220" s="609"/>
      <c r="X220" s="659"/>
      <c r="Y220" s="467"/>
      <c r="Z220" s="495"/>
      <c r="AA220" s="573"/>
      <c r="AB220" s="573"/>
      <c r="AC220" s="573"/>
      <c r="AD220" s="573"/>
      <c r="AE220" s="573"/>
      <c r="AF220" s="495"/>
      <c r="AG220" s="495"/>
      <c r="AH220" s="573"/>
      <c r="AI220" s="573"/>
      <c r="AJ220" s="573"/>
      <c r="AK220" s="573"/>
      <c r="AL220" s="573"/>
      <c r="AM220" s="573"/>
      <c r="AN220" s="573"/>
      <c r="AO220" s="495"/>
      <c r="AP220" s="573"/>
      <c r="AQ220" s="573"/>
      <c r="AR220" s="495"/>
      <c r="AS220" s="573"/>
      <c r="AT220" s="573"/>
    </row>
    <row r="221" spans="19:46" ht="18.75" customHeight="1" x14ac:dyDescent="0.4">
      <c r="S221" s="573"/>
      <c r="T221" s="572"/>
      <c r="U221" s="495"/>
      <c r="V221" s="573"/>
      <c r="W221" s="609"/>
      <c r="X221" s="659"/>
      <c r="Y221" s="467"/>
      <c r="Z221" s="495"/>
      <c r="AA221" s="573"/>
      <c r="AB221" s="573"/>
      <c r="AC221" s="573"/>
      <c r="AD221" s="573"/>
      <c r="AE221" s="573"/>
      <c r="AF221" s="495"/>
      <c r="AG221" s="495"/>
      <c r="AH221" s="573"/>
      <c r="AI221" s="573"/>
      <c r="AJ221" s="573"/>
      <c r="AK221" s="573"/>
      <c r="AL221" s="573"/>
      <c r="AM221" s="573"/>
      <c r="AN221" s="573"/>
      <c r="AO221" s="495"/>
      <c r="AP221" s="573"/>
      <c r="AQ221" s="573"/>
      <c r="AR221" s="495"/>
      <c r="AS221" s="573"/>
      <c r="AT221" s="573"/>
    </row>
    <row r="222" spans="19:46" ht="18.75" customHeight="1" x14ac:dyDescent="0.4">
      <c r="S222" s="573"/>
      <c r="T222" s="572"/>
      <c r="U222" s="495"/>
      <c r="V222" s="573"/>
      <c r="W222" s="609"/>
      <c r="X222" s="659"/>
      <c r="Y222" s="467"/>
      <c r="Z222" s="495"/>
      <c r="AA222" s="573"/>
      <c r="AB222" s="573"/>
      <c r="AC222" s="573"/>
      <c r="AD222" s="573"/>
      <c r="AE222" s="573"/>
      <c r="AF222" s="495"/>
      <c r="AG222" s="495"/>
      <c r="AH222" s="573"/>
      <c r="AI222" s="573"/>
      <c r="AJ222" s="573"/>
      <c r="AK222" s="573"/>
      <c r="AL222" s="573"/>
      <c r="AM222" s="573"/>
      <c r="AN222" s="573"/>
      <c r="AO222" s="495"/>
      <c r="AP222" s="573"/>
      <c r="AQ222" s="573"/>
      <c r="AR222" s="495"/>
      <c r="AS222" s="573"/>
      <c r="AT222" s="573"/>
    </row>
    <row r="223" spans="19:46" ht="18.75" customHeight="1" x14ac:dyDescent="0.4">
      <c r="S223" s="573"/>
      <c r="T223" s="572"/>
      <c r="U223" s="495"/>
      <c r="V223" s="573"/>
      <c r="W223" s="609"/>
      <c r="X223" s="659"/>
      <c r="Y223" s="467"/>
      <c r="Z223" s="495"/>
      <c r="AA223" s="573"/>
      <c r="AB223" s="573"/>
      <c r="AC223" s="573"/>
      <c r="AD223" s="573"/>
      <c r="AE223" s="573"/>
      <c r="AF223" s="495"/>
      <c r="AG223" s="495"/>
      <c r="AH223" s="573"/>
      <c r="AI223" s="573"/>
      <c r="AJ223" s="573"/>
      <c r="AK223" s="573"/>
      <c r="AL223" s="573"/>
      <c r="AM223" s="573"/>
      <c r="AN223" s="573"/>
      <c r="AO223" s="495"/>
      <c r="AP223" s="573"/>
      <c r="AQ223" s="573"/>
      <c r="AR223" s="495"/>
      <c r="AS223" s="573"/>
      <c r="AT223" s="57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ON159"/>
  <sheetViews>
    <sheetView zoomScaleNormal="100" workbookViewId="0">
      <pane ySplit="10" topLeftCell="A142" activePane="bottomLeft" state="frozen"/>
      <selection pane="bottomLeft" activeCell="A144" sqref="A144"/>
    </sheetView>
  </sheetViews>
  <sheetFormatPr defaultRowHeight="14.6" x14ac:dyDescent="0.4"/>
  <cols>
    <col min="1" max="1" width="24.53515625" bestFit="1" customWidth="1"/>
    <col min="2" max="2" width="4.15234375" style="5" bestFit="1" customWidth="1"/>
    <col min="3" max="3" width="2.84375" bestFit="1" customWidth="1"/>
    <col min="4" max="4" width="6.84375" style="2" bestFit="1" customWidth="1"/>
    <col min="5" max="5" width="12" style="5" bestFit="1" customWidth="1"/>
    <col min="6" max="6" width="6" style="2" bestFit="1" customWidth="1"/>
    <col min="7" max="7" width="12.15234375" style="5" bestFit="1" customWidth="1"/>
    <col min="8" max="8" width="6" style="2" bestFit="1" customWidth="1"/>
    <col min="9" max="9" width="10.84375" style="5" bestFit="1" customWidth="1"/>
    <col min="10" max="10" width="7.53515625" style="2" bestFit="1" customWidth="1"/>
    <col min="11" max="11" width="12.15234375" style="5" bestFit="1" customWidth="1"/>
    <col min="12" max="12" width="6.53515625" style="2" bestFit="1" customWidth="1"/>
    <col min="13" max="13" width="10.15234375" style="5" bestFit="1" customWidth="1"/>
    <col min="14" max="14" width="7.53515625" style="2" bestFit="1" customWidth="1"/>
    <col min="15" max="15" width="10.15234375" style="5" bestFit="1" customWidth="1"/>
    <col min="16" max="16" width="7.53515625" style="2" bestFit="1" customWidth="1"/>
    <col min="17" max="17" width="11.4609375" style="5" bestFit="1" customWidth="1"/>
    <col min="18" max="18" width="7.53515625" style="2" bestFit="1" customWidth="1"/>
    <col min="19" max="19" width="13" style="5" bestFit="1" customWidth="1"/>
    <col min="20" max="20" width="7.53515625" style="2" bestFit="1" customWidth="1"/>
    <col min="21" max="21" width="11.84375" style="5" bestFit="1" customWidth="1"/>
    <col min="22" max="22" width="7.53515625" style="2" bestFit="1" customWidth="1"/>
    <col min="23" max="23" width="12.15234375" style="5" bestFit="1" customWidth="1"/>
    <col min="24" max="24" width="7.53515625" style="2" bestFit="1" customWidth="1"/>
    <col min="25" max="25" width="10.84375" style="5" bestFit="1" customWidth="1"/>
    <col min="26" max="26" width="7.53515625" style="2" bestFit="1" customWidth="1"/>
    <col min="27" max="27" width="10.84375" style="5" bestFit="1" customWidth="1"/>
    <col min="28" max="28" width="6.4609375" style="5" bestFit="1" customWidth="1"/>
    <col min="29" max="29" width="10.84375" style="5" bestFit="1" customWidth="1"/>
    <col min="30" max="30" width="5.4609375" style="5" bestFit="1" customWidth="1"/>
    <col min="31" max="31" width="10.84375" style="5" bestFit="1" customWidth="1"/>
    <col min="32" max="32" width="6.15234375" style="5" bestFit="1" customWidth="1"/>
    <col min="33" max="33" width="13.15234375" style="5" bestFit="1" customWidth="1"/>
    <col min="34" max="34" width="5" style="5" bestFit="1" customWidth="1"/>
    <col min="35" max="35" width="13.15234375" style="5" bestFit="1" customWidth="1"/>
    <col min="36" max="36" width="5.15234375" style="5" bestFit="1" customWidth="1"/>
    <col min="37" max="37" width="13.15234375" style="5" bestFit="1" customWidth="1"/>
    <col min="38" max="38" width="5.84375" style="5" bestFit="1" customWidth="1"/>
    <col min="39" max="39" width="13.15234375" style="5" bestFit="1" customWidth="1"/>
    <col min="40" max="40" width="5.15234375" style="5" bestFit="1" customWidth="1"/>
    <col min="41" max="41" width="11.84375" style="5" bestFit="1" customWidth="1"/>
    <col min="42" max="42" width="6.15234375" style="5" bestFit="1" customWidth="1"/>
    <col min="43" max="43" width="11.84375" style="5" bestFit="1" customWidth="1"/>
    <col min="44" max="44" width="5.4609375" style="5" bestFit="1" customWidth="1"/>
    <col min="45" max="45" width="9.53515625" style="5" bestFit="1" customWidth="1"/>
    <col min="46" max="46" width="3.84375" style="5" bestFit="1" customWidth="1"/>
    <col min="47" max="47" width="10.84375" style="5" bestFit="1" customWidth="1"/>
    <col min="48" max="48" width="3.84375" style="5" bestFit="1" customWidth="1"/>
    <col min="49" max="49" width="10.84375" style="5" bestFit="1" customWidth="1"/>
    <col min="50" max="50" width="3.84375" style="5" bestFit="1" customWidth="1"/>
    <col min="51" max="51" width="10.84375" style="5" bestFit="1" customWidth="1"/>
    <col min="52" max="52" width="4.84375" style="5" bestFit="1" customWidth="1"/>
    <col min="53" max="53" width="13.15234375" style="5" bestFit="1" customWidth="1"/>
    <col min="54" max="54" width="4.4609375" style="5" bestFit="1" customWidth="1"/>
    <col min="55" max="55" width="13.15234375" style="5" bestFit="1" customWidth="1"/>
    <col min="56" max="56" width="5.53515625" style="5" bestFit="1" customWidth="1"/>
    <col min="57" max="57" width="11.15234375" style="5" bestFit="1" customWidth="1"/>
    <col min="58" max="58" width="3.84375" style="5" bestFit="1" customWidth="1"/>
    <col min="59" max="59" width="13.15234375" style="5" bestFit="1" customWidth="1"/>
    <col min="60" max="60" width="5.15234375" style="5" bestFit="1" customWidth="1"/>
    <col min="61" max="61" width="11.84375" style="5" bestFit="1" customWidth="1"/>
    <col min="62" max="62" width="5.84375" style="5" bestFit="1" customWidth="1"/>
    <col min="63" max="63" width="11.84375" style="5" bestFit="1" customWidth="1"/>
    <col min="64" max="64" width="5.53515625" style="5" bestFit="1" customWidth="1"/>
    <col min="65" max="65" width="10.84375" style="5" bestFit="1" customWidth="1"/>
    <col min="66" max="66" width="5.15234375" style="5" bestFit="1" customWidth="1"/>
    <col min="67" max="67" width="10.84375" style="5" bestFit="1" customWidth="1"/>
    <col min="68" max="68" width="5.15234375" style="5" bestFit="1" customWidth="1"/>
    <col min="69" max="69" width="10.84375" style="5" bestFit="1" customWidth="1"/>
    <col min="70" max="70" width="5.84375" style="5" bestFit="1" customWidth="1"/>
    <col min="71" max="71" width="10.84375" style="5" bestFit="1" customWidth="1"/>
    <col min="72" max="72" width="5.4609375" style="5" bestFit="1" customWidth="1"/>
    <col min="73" max="73" width="10.84375" style="5" bestFit="1" customWidth="1"/>
    <col min="74" max="74" width="5" style="5" bestFit="1" customWidth="1"/>
    <col min="75" max="75" width="13.15234375" style="5" bestFit="1" customWidth="1"/>
    <col min="76" max="76" width="5" style="5" bestFit="1" customWidth="1"/>
    <col min="77" max="77" width="13.15234375" style="5" bestFit="1" customWidth="1"/>
    <col min="78" max="78" width="5.15234375" style="5" bestFit="1" customWidth="1"/>
    <col min="79" max="79" width="13.15234375" style="5" bestFit="1" customWidth="1"/>
    <col min="80" max="80" width="5.15234375" style="5" bestFit="1" customWidth="1"/>
    <col min="81" max="81" width="11.84375" style="5" bestFit="1" customWidth="1"/>
    <col min="82" max="82" width="5.15234375" style="5" bestFit="1" customWidth="1"/>
    <col min="83" max="83" width="11.84375" style="5" bestFit="1" customWidth="1"/>
    <col min="84" max="84" width="4.84375" style="5" bestFit="1" customWidth="1"/>
    <col min="85" max="85" width="10.84375" style="5" bestFit="1" customWidth="1"/>
    <col min="86" max="86" width="3.84375" style="5" bestFit="1" customWidth="1"/>
    <col min="87" max="87" width="10.84375" style="5" bestFit="1" customWidth="1"/>
    <col min="88" max="88" width="3.84375" style="5" bestFit="1" customWidth="1"/>
    <col min="89" max="89" width="10.84375" style="5" bestFit="1" customWidth="1"/>
    <col min="90" max="90" width="3.84375" style="5" bestFit="1" customWidth="1"/>
    <col min="91" max="91" width="10.84375" style="5" bestFit="1" customWidth="1"/>
    <col min="92" max="92" width="3.84375" style="5" bestFit="1" customWidth="1"/>
    <col min="93" max="93" width="13.15234375" style="5" bestFit="1" customWidth="1"/>
    <col min="94" max="94" width="3.84375" style="5" bestFit="1" customWidth="1"/>
    <col min="95" max="95" width="13.15234375" style="5" bestFit="1" customWidth="1"/>
    <col min="96" max="96" width="3.84375" style="5" bestFit="1" customWidth="1"/>
    <col min="97" max="97" width="13.15234375" style="5" bestFit="1" customWidth="1"/>
    <col min="98" max="98" width="3.84375" style="5" bestFit="1" customWidth="1"/>
    <col min="99" max="99" width="13.15234375" style="5" bestFit="1" customWidth="1"/>
    <col min="100" max="100" width="3.84375" style="5" bestFit="1" customWidth="1"/>
    <col min="101" max="101" width="11.84375" style="5" bestFit="1" customWidth="1"/>
    <col min="102" max="102" width="3.84375" style="5" bestFit="1" customWidth="1"/>
    <col min="103" max="103" width="11.84375" style="5" bestFit="1" customWidth="1"/>
    <col min="104" max="104" width="3.84375" style="5" bestFit="1" customWidth="1"/>
    <col min="105" max="105" width="10.84375" style="5" bestFit="1" customWidth="1"/>
    <col min="106" max="106" width="3.84375" style="5" bestFit="1" customWidth="1"/>
    <col min="107" max="107" width="10.84375" style="5" bestFit="1" customWidth="1"/>
    <col min="108" max="108" width="3.84375" style="5" bestFit="1" customWidth="1"/>
    <col min="109" max="109" width="10.84375" style="5" bestFit="1" customWidth="1"/>
    <col min="110" max="110" width="3.84375" style="5" bestFit="1" customWidth="1"/>
    <col min="111" max="111" width="10.84375" style="5" bestFit="1" customWidth="1"/>
    <col min="112" max="112" width="3.84375" style="5" bestFit="1" customWidth="1"/>
    <col min="113" max="113" width="13.15234375" style="5" bestFit="1" customWidth="1"/>
    <col min="114" max="114" width="3.84375" style="5" bestFit="1" customWidth="1"/>
    <col min="115" max="115" width="13.15234375" style="5" bestFit="1" customWidth="1"/>
    <col min="116" max="116" width="6" style="5" bestFit="1" customWidth="1"/>
    <col min="117" max="117" width="13.15234375" style="5" bestFit="1" customWidth="1"/>
    <col min="118" max="118" width="6" style="5" bestFit="1" customWidth="1"/>
    <col min="119" max="119" width="13.15234375" style="5" bestFit="1" customWidth="1"/>
    <col min="120" max="120" width="6" style="5" bestFit="1" customWidth="1"/>
    <col min="121" max="121" width="11.84375" style="5" bestFit="1" customWidth="1"/>
    <col min="122" max="122" width="6" style="5" bestFit="1" customWidth="1"/>
    <col min="123" max="123" width="11.84375" style="5" bestFit="1" customWidth="1"/>
    <col min="124" max="124" width="6" style="5" bestFit="1" customWidth="1"/>
    <col min="125" max="125" width="10.84375" style="5" bestFit="1" customWidth="1"/>
    <col min="126" max="126" width="6" style="5" bestFit="1" customWidth="1"/>
    <col min="127" max="127" width="10.84375" style="5" bestFit="1" customWidth="1"/>
    <col min="128" max="128" width="6" style="5" bestFit="1" customWidth="1"/>
    <col min="129" max="129" width="10.84375" style="5" bestFit="1" customWidth="1"/>
    <col min="130" max="130" width="6" style="5" bestFit="1" customWidth="1"/>
    <col min="131" max="131" width="10.84375" style="5" bestFit="1" customWidth="1"/>
    <col min="132" max="132" width="6" style="5" bestFit="1" customWidth="1"/>
    <col min="133" max="133" width="13.15234375" style="5" bestFit="1" customWidth="1"/>
    <col min="134" max="134" width="6" style="5" bestFit="1" customWidth="1"/>
    <col min="135" max="135" width="13.15234375" style="5" bestFit="1" customWidth="1"/>
    <col min="136" max="136" width="6" style="5" bestFit="1" customWidth="1"/>
    <col min="137" max="137" width="13.15234375" style="5" bestFit="1" customWidth="1"/>
    <col min="138" max="138" width="6" style="5" bestFit="1" customWidth="1"/>
    <col min="139" max="139" width="13.15234375" style="5" bestFit="1" customWidth="1"/>
    <col min="140" max="140" width="6.15234375" style="5" bestFit="1" customWidth="1"/>
    <col min="141" max="141" width="11.84375" style="5" bestFit="1" customWidth="1"/>
    <col min="142" max="142" width="6.15234375" style="5" bestFit="1" customWidth="1"/>
    <col min="143" max="143" width="11.84375" style="5" bestFit="1" customWidth="1"/>
    <col min="144" max="144" width="3.84375" style="5" bestFit="1" customWidth="1"/>
    <col min="145" max="145" width="10.84375" style="5" bestFit="1" customWidth="1"/>
    <col min="146" max="146" width="3.84375" style="5" bestFit="1" customWidth="1"/>
    <col min="147" max="147" width="10.84375" style="5" bestFit="1" customWidth="1"/>
    <col min="148" max="148" width="3.84375" style="5" bestFit="1" customWidth="1"/>
    <col min="149" max="149" width="10.84375" style="5" bestFit="1" customWidth="1"/>
    <col min="150" max="150" width="3.84375" style="5" bestFit="1" customWidth="1"/>
    <col min="151" max="151" width="10.84375" style="5" bestFit="1" customWidth="1"/>
    <col min="152" max="152" width="3.84375" style="5" bestFit="1" customWidth="1"/>
    <col min="153" max="153" width="13.15234375" style="5" bestFit="1" customWidth="1"/>
    <col min="154" max="154" width="3.84375" style="5" bestFit="1" customWidth="1"/>
    <col min="155" max="155" width="13.15234375" style="5" bestFit="1" customWidth="1"/>
    <col min="156" max="156" width="3.84375" style="5" bestFit="1" customWidth="1"/>
    <col min="157" max="157" width="13.15234375" style="5" bestFit="1" customWidth="1"/>
    <col min="158" max="158" width="3.84375" style="5" bestFit="1" customWidth="1"/>
    <col min="159" max="159" width="13.15234375" style="5" bestFit="1" customWidth="1"/>
    <col min="160" max="160" width="3.84375" style="5" bestFit="1" customWidth="1"/>
    <col min="161" max="161" width="11.84375" style="5" bestFit="1" customWidth="1"/>
    <col min="162" max="162" width="3.84375" style="5" bestFit="1" customWidth="1"/>
    <col min="163" max="163" width="11.84375" style="5" bestFit="1" customWidth="1"/>
    <col min="164" max="164" width="3.84375" style="5" bestFit="1" customWidth="1"/>
    <col min="165" max="165" width="10.84375" style="5" bestFit="1" customWidth="1"/>
    <col min="166" max="166" width="3.84375" style="5" bestFit="1" customWidth="1"/>
    <col min="167" max="167" width="10.84375" style="5" bestFit="1" customWidth="1"/>
    <col min="168" max="168" width="3.84375" style="5" bestFit="1" customWidth="1"/>
    <col min="169" max="169" width="10.84375" style="5" bestFit="1" customWidth="1"/>
    <col min="170" max="170" width="3.84375" style="5" bestFit="1" customWidth="1"/>
    <col min="171" max="171" width="10.84375" style="5" bestFit="1" customWidth="1"/>
    <col min="172" max="172" width="3.84375" style="5" bestFit="1" customWidth="1"/>
    <col min="173" max="173" width="13.15234375" style="5" bestFit="1" customWidth="1"/>
    <col min="174" max="174" width="3.84375" style="5" bestFit="1" customWidth="1"/>
    <col min="175" max="175" width="13.15234375" style="5" bestFit="1" customWidth="1"/>
    <col min="176" max="176" width="3.84375" style="5" bestFit="1" customWidth="1"/>
    <col min="177" max="177" width="13.15234375" style="5" bestFit="1" customWidth="1"/>
    <col min="178" max="178" width="3.84375" style="5" bestFit="1" customWidth="1"/>
    <col min="179" max="179" width="13.15234375" style="5" bestFit="1" customWidth="1"/>
    <col min="180" max="180" width="3.84375" style="5" bestFit="1" customWidth="1"/>
    <col min="181" max="181" width="11.84375" style="5" bestFit="1" customWidth="1"/>
    <col min="182" max="182" width="3.84375" style="5" bestFit="1" customWidth="1"/>
    <col min="183" max="183" width="11.84375" style="5" bestFit="1" customWidth="1"/>
    <col min="184" max="184" width="3.84375" style="5" bestFit="1" customWidth="1"/>
    <col min="185" max="185" width="10.84375" style="5" bestFit="1" customWidth="1"/>
    <col min="186" max="186" width="3.84375" style="5" bestFit="1" customWidth="1"/>
    <col min="187" max="187" width="10.84375" style="5" bestFit="1" customWidth="1"/>
    <col min="188" max="188" width="3.84375" style="5" bestFit="1" customWidth="1"/>
    <col min="189" max="189" width="10.84375" style="5" bestFit="1" customWidth="1"/>
    <col min="190" max="190" width="3.84375" style="5" bestFit="1" customWidth="1"/>
    <col min="191" max="191" width="10.84375" style="5" bestFit="1" customWidth="1"/>
    <col min="192" max="192" width="3.84375" style="5" bestFit="1" customWidth="1"/>
    <col min="193" max="193" width="13.15234375" style="5" bestFit="1" customWidth="1"/>
    <col min="194" max="194" width="3.84375" style="5" bestFit="1" customWidth="1"/>
    <col min="195" max="195" width="13.15234375" style="5" bestFit="1" customWidth="1"/>
    <col min="196" max="196" width="3.84375" style="5" bestFit="1" customWidth="1"/>
    <col min="197" max="197" width="13.15234375" style="5" bestFit="1" customWidth="1"/>
    <col min="198" max="198" width="3.84375" style="5" bestFit="1" customWidth="1"/>
    <col min="199" max="199" width="13.15234375" style="5" bestFit="1" customWidth="1"/>
    <col min="200" max="200" width="3.84375" style="5" bestFit="1" customWidth="1"/>
    <col min="201" max="201" width="11.84375" style="5" bestFit="1" customWidth="1"/>
    <col min="202" max="202" width="3.84375" style="5" bestFit="1" customWidth="1"/>
    <col min="203" max="203" width="11.84375" style="5" bestFit="1" customWidth="1"/>
    <col min="204" max="204" width="3.84375" style="5" bestFit="1" customWidth="1"/>
    <col min="205" max="205" width="10.84375" style="5" bestFit="1" customWidth="1"/>
    <col min="206" max="206" width="3.84375" style="5" bestFit="1" customWidth="1"/>
    <col min="207" max="207" width="10.84375" style="5" bestFit="1" customWidth="1"/>
    <col min="208" max="208" width="3.84375" style="5" bestFit="1" customWidth="1"/>
    <col min="209" max="209" width="10.84375" style="5" bestFit="1" customWidth="1"/>
    <col min="210" max="210" width="3.84375" style="5" bestFit="1" customWidth="1"/>
    <col min="211" max="211" width="10.84375" style="5" bestFit="1" customWidth="1"/>
    <col min="212" max="212" width="3.84375" style="5" bestFit="1" customWidth="1"/>
    <col min="213" max="213" width="13.15234375" style="5" bestFit="1" customWidth="1"/>
    <col min="214" max="214" width="3.84375" style="5" bestFit="1" customWidth="1"/>
    <col min="215" max="215" width="13.15234375" style="5" bestFit="1" customWidth="1"/>
    <col min="216" max="216" width="3.84375" style="5" bestFit="1" customWidth="1"/>
    <col min="217" max="217" width="13.15234375" style="5" bestFit="1" customWidth="1"/>
    <col min="218" max="218" width="3.84375" style="5" bestFit="1" customWidth="1"/>
    <col min="219" max="219" width="13.15234375" style="5" bestFit="1" customWidth="1"/>
    <col min="220" max="220" width="3.84375" style="5" bestFit="1" customWidth="1"/>
    <col min="221" max="221" width="11.84375" style="5" bestFit="1" customWidth="1"/>
    <col min="222" max="222" width="3.84375" style="5" bestFit="1" customWidth="1"/>
    <col min="223" max="223" width="11.84375" style="5" bestFit="1" customWidth="1"/>
    <col min="224" max="224" width="3.84375" style="5" bestFit="1" customWidth="1"/>
    <col min="225" max="225" width="10.84375" style="5" bestFit="1" customWidth="1"/>
    <col min="226" max="226" width="3.84375" style="5" bestFit="1" customWidth="1"/>
    <col min="227" max="227" width="10.84375" style="5" bestFit="1" customWidth="1"/>
    <col min="228" max="228" width="3.84375" style="5" bestFit="1" customWidth="1"/>
    <col min="229" max="229" width="10.84375" style="5" bestFit="1" customWidth="1"/>
    <col min="230" max="230" width="3.84375" style="5" bestFit="1" customWidth="1"/>
    <col min="231" max="231" width="10.84375" style="5" bestFit="1" customWidth="1"/>
    <col min="232" max="232" width="3.84375" style="5" bestFit="1" customWidth="1"/>
    <col min="233" max="233" width="13.15234375" style="5" bestFit="1" customWidth="1"/>
    <col min="234" max="234" width="3.84375" style="5" bestFit="1" customWidth="1"/>
    <col min="235" max="235" width="13.15234375" style="5" bestFit="1" customWidth="1"/>
    <col min="236" max="236" width="3.84375" style="5" bestFit="1" customWidth="1"/>
    <col min="237" max="237" width="13.15234375" style="5" bestFit="1" customWidth="1"/>
    <col min="238" max="238" width="3.84375" style="5" bestFit="1" customWidth="1"/>
    <col min="239" max="239" width="13.15234375" style="5" bestFit="1" customWidth="1"/>
    <col min="240" max="240" width="3.84375" style="5" bestFit="1" customWidth="1"/>
    <col min="241" max="241" width="11.84375" style="5" bestFit="1" customWidth="1"/>
    <col min="242" max="242" width="3.84375" style="5" bestFit="1" customWidth="1"/>
    <col min="243" max="243" width="11.84375" style="5" bestFit="1" customWidth="1"/>
    <col min="244" max="244" width="3.84375" style="5" bestFit="1" customWidth="1"/>
    <col min="245" max="245" width="10.84375" style="5" bestFit="1" customWidth="1"/>
    <col min="246" max="246" width="3.84375" style="5" bestFit="1" customWidth="1"/>
    <col min="247" max="247" width="10.84375" style="5" bestFit="1" customWidth="1"/>
    <col min="248" max="248" width="3.84375" style="5" bestFit="1" customWidth="1"/>
    <col min="249" max="249" width="10.84375" style="5" bestFit="1" customWidth="1"/>
    <col min="250" max="250" width="3.84375" style="5" bestFit="1" customWidth="1"/>
    <col min="251" max="251" width="10.84375" style="5" bestFit="1" customWidth="1"/>
    <col min="252" max="252" width="3.84375" style="5" bestFit="1" customWidth="1"/>
    <col min="253" max="253" width="13.15234375" style="5" bestFit="1" customWidth="1"/>
    <col min="254" max="254" width="3.84375" style="5" bestFit="1" customWidth="1"/>
    <col min="255" max="255" width="13.15234375" style="5" bestFit="1" customWidth="1"/>
    <col min="256" max="256" width="3.84375" style="5" bestFit="1" customWidth="1"/>
    <col min="257" max="257" width="13.15234375" style="5" bestFit="1" customWidth="1"/>
    <col min="258" max="258" width="3.84375" style="5" bestFit="1" customWidth="1"/>
    <col min="259" max="259" width="13.15234375" style="5" bestFit="1" customWidth="1"/>
    <col min="260" max="260" width="3.84375" style="5" bestFit="1" customWidth="1"/>
    <col min="261" max="261" width="11.84375" style="5" bestFit="1" customWidth="1"/>
    <col min="262" max="262" width="3.84375" style="5" bestFit="1" customWidth="1"/>
    <col min="263" max="263" width="11.84375" style="5" bestFit="1" customWidth="1"/>
    <col min="264" max="264" width="3.84375" style="5" bestFit="1" customWidth="1"/>
    <col min="265" max="265" width="10.84375" style="5" bestFit="1" customWidth="1"/>
    <col min="266" max="266" width="3.84375" style="5" bestFit="1" customWidth="1"/>
    <col min="267" max="267" width="10.84375" style="5" bestFit="1" customWidth="1"/>
    <col min="268" max="268" width="3.84375" style="5" bestFit="1" customWidth="1"/>
    <col min="269" max="269" width="10.84375" style="5" bestFit="1" customWidth="1"/>
    <col min="270" max="270" width="3.84375" style="5" bestFit="1" customWidth="1"/>
    <col min="271" max="271" width="10.84375" style="5" bestFit="1" customWidth="1"/>
    <col min="272" max="272" width="3.84375" style="5" bestFit="1" customWidth="1"/>
    <col min="273" max="273" width="13.15234375" style="5" bestFit="1" customWidth="1"/>
    <col min="274" max="274" width="3.84375" style="5" bestFit="1" customWidth="1"/>
    <col min="275" max="275" width="13.15234375" style="5" bestFit="1" customWidth="1"/>
    <col min="276" max="276" width="3.84375" style="5" bestFit="1" customWidth="1"/>
    <col min="277" max="277" width="13.15234375" style="5" bestFit="1" customWidth="1"/>
    <col min="278" max="278" width="3.84375" style="5" bestFit="1" customWidth="1"/>
    <col min="279" max="279" width="13.15234375" style="5" bestFit="1" customWidth="1"/>
    <col min="280" max="280" width="3.84375" style="5" bestFit="1" customWidth="1"/>
    <col min="281" max="281" width="11.84375" style="5" bestFit="1" customWidth="1"/>
    <col min="282" max="282" width="3.84375" style="5" bestFit="1" customWidth="1"/>
    <col min="283" max="283" width="11.84375" style="5" bestFit="1" customWidth="1"/>
    <col min="284" max="284" width="3.84375" style="5" bestFit="1" customWidth="1"/>
    <col min="285" max="285" width="10.84375" style="5" bestFit="1" customWidth="1"/>
    <col min="286" max="286" width="3.84375" style="5" bestFit="1" customWidth="1"/>
    <col min="287" max="287" width="10.84375" style="5" bestFit="1" customWidth="1"/>
    <col min="288" max="288" width="3.84375" style="5" bestFit="1" customWidth="1"/>
    <col min="289" max="289" width="10.84375" style="5" bestFit="1" customWidth="1"/>
    <col min="290" max="290" width="3.84375" style="5" bestFit="1" customWidth="1"/>
    <col min="291" max="291" width="10.84375" style="5" bestFit="1" customWidth="1"/>
    <col min="292" max="292" width="3.84375" style="5" bestFit="1" customWidth="1"/>
    <col min="293" max="293" width="13.15234375" style="5" bestFit="1" customWidth="1"/>
    <col min="294" max="294" width="3.84375" style="5" bestFit="1" customWidth="1"/>
    <col min="295" max="295" width="13.15234375" style="5" bestFit="1" customWidth="1"/>
    <col min="296" max="296" width="3.84375" style="5" bestFit="1" customWidth="1"/>
    <col min="297" max="297" width="13.15234375" style="5" bestFit="1" customWidth="1"/>
    <col min="298" max="298" width="3.84375" style="5" bestFit="1" customWidth="1"/>
    <col min="299" max="299" width="13.15234375" style="5" bestFit="1" customWidth="1"/>
    <col min="300" max="300" width="3.84375" style="5" bestFit="1" customWidth="1"/>
    <col min="301" max="301" width="11.84375" style="5" bestFit="1" customWidth="1"/>
    <col min="302" max="302" width="3.84375" style="5" bestFit="1" customWidth="1"/>
    <col min="303" max="303" width="11.84375" style="5" bestFit="1" customWidth="1"/>
    <col min="304" max="304" width="3.84375" style="5" bestFit="1" customWidth="1"/>
    <col min="305" max="305" width="10.84375" style="5" bestFit="1" customWidth="1"/>
    <col min="306" max="306" width="3.84375" style="5" bestFit="1" customWidth="1"/>
    <col min="307" max="307" width="10.84375" style="5" bestFit="1" customWidth="1"/>
    <col min="308" max="308" width="3.84375" style="5" bestFit="1" customWidth="1"/>
    <col min="309" max="309" width="10.84375" style="5" bestFit="1" customWidth="1"/>
    <col min="310" max="310" width="3.84375" style="5" bestFit="1" customWidth="1"/>
    <col min="311" max="311" width="10.84375" style="5" bestFit="1" customWidth="1"/>
    <col min="312" max="312" width="3.84375" style="5" bestFit="1" customWidth="1"/>
    <col min="313" max="313" width="13.15234375" style="5" bestFit="1" customWidth="1"/>
    <col min="314" max="314" width="3.84375" style="5" bestFit="1" customWidth="1"/>
    <col min="315" max="315" width="13.15234375" style="5" bestFit="1" customWidth="1"/>
    <col min="316" max="316" width="3.84375" style="5" bestFit="1" customWidth="1"/>
    <col min="317" max="317" width="13.15234375" style="5" bestFit="1" customWidth="1"/>
    <col min="318" max="318" width="3.84375" style="5" bestFit="1" customWidth="1"/>
    <col min="319" max="319" width="13.15234375" style="5" bestFit="1" customWidth="1"/>
    <col min="320" max="320" width="3.84375" style="5" bestFit="1" customWidth="1"/>
    <col min="321" max="321" width="11.84375" style="5" bestFit="1" customWidth="1"/>
    <col min="322" max="322" width="3.84375" style="5" bestFit="1" customWidth="1"/>
    <col min="323" max="323" width="11.84375" style="5" bestFit="1" customWidth="1"/>
    <col min="324" max="324" width="3.84375" style="5" bestFit="1" customWidth="1"/>
    <col min="325" max="325" width="10.84375" style="5" bestFit="1" customWidth="1"/>
    <col min="326" max="326" width="3.84375" style="5" bestFit="1" customWidth="1"/>
    <col min="327" max="327" width="10.84375" style="5" bestFit="1" customWidth="1"/>
    <col min="328" max="328" width="3.84375" style="5" bestFit="1" customWidth="1"/>
    <col min="329" max="329" width="10.84375" style="5" bestFit="1" customWidth="1"/>
    <col min="330" max="330" width="3.84375" style="5" bestFit="1" customWidth="1"/>
    <col min="331" max="331" width="10.84375" style="5" bestFit="1" customWidth="1"/>
    <col min="332" max="332" width="3.84375" style="5" bestFit="1" customWidth="1"/>
    <col min="333" max="333" width="13.15234375" style="5" bestFit="1" customWidth="1"/>
    <col min="334" max="334" width="3.84375" style="5" bestFit="1" customWidth="1"/>
    <col min="335" max="335" width="13.15234375" style="5" bestFit="1" customWidth="1"/>
    <col min="336" max="336" width="3.84375" style="5" bestFit="1" customWidth="1"/>
    <col min="337" max="337" width="13.15234375" style="5" bestFit="1" customWidth="1"/>
    <col min="338" max="338" width="3.84375" style="5" bestFit="1" customWidth="1"/>
    <col min="339" max="339" width="13.15234375" style="5" bestFit="1" customWidth="1"/>
    <col min="340" max="340" width="3.84375" style="5" bestFit="1" customWidth="1"/>
    <col min="341" max="341" width="11.84375" style="5" bestFit="1" customWidth="1"/>
    <col min="342" max="342" width="3.84375" style="5" bestFit="1" customWidth="1"/>
    <col min="343" max="343" width="11.84375" style="5" bestFit="1" customWidth="1"/>
    <col min="344" max="344" width="3.84375" style="5" bestFit="1" customWidth="1"/>
    <col min="345" max="345" width="10.84375" style="5" bestFit="1" customWidth="1"/>
    <col min="346" max="346" width="3.84375" style="5" bestFit="1" customWidth="1"/>
    <col min="347" max="347" width="10.84375" style="5" bestFit="1" customWidth="1"/>
    <col min="348" max="348" width="3.84375" style="5" bestFit="1" customWidth="1"/>
    <col min="349" max="349" width="10.84375" style="5" bestFit="1" customWidth="1"/>
    <col min="350" max="350" width="3.84375" style="5" bestFit="1" customWidth="1"/>
    <col min="351" max="351" width="10.84375" style="5" bestFit="1" customWidth="1"/>
    <col min="352" max="352" width="3.84375" style="5" bestFit="1" customWidth="1"/>
    <col min="353" max="353" width="13.15234375" style="5" bestFit="1" customWidth="1"/>
    <col min="354" max="354" width="3.84375" style="5" bestFit="1" customWidth="1"/>
    <col min="355" max="355" width="13.15234375" style="5" bestFit="1" customWidth="1"/>
    <col min="356" max="356" width="3.84375" style="5" bestFit="1" customWidth="1"/>
    <col min="357" max="357" width="13.15234375" style="5" bestFit="1" customWidth="1"/>
    <col min="358" max="358" width="3.84375" style="5" bestFit="1" customWidth="1"/>
    <col min="359" max="359" width="13.15234375" style="5" bestFit="1" customWidth="1"/>
    <col min="360" max="360" width="3.84375" style="5" bestFit="1" customWidth="1"/>
    <col min="361" max="361" width="11.84375" style="5" bestFit="1" customWidth="1"/>
    <col min="362" max="362" width="3.84375" style="5" bestFit="1" customWidth="1"/>
    <col min="363" max="363" width="11.84375" style="5" bestFit="1" customWidth="1"/>
    <col min="364" max="364" width="3.84375" style="5" bestFit="1" customWidth="1"/>
    <col min="365" max="365" width="10.84375" style="5" bestFit="1" customWidth="1"/>
    <col min="366" max="366" width="3.84375" style="5" bestFit="1" customWidth="1"/>
    <col min="367" max="367" width="10.84375" style="5" bestFit="1" customWidth="1"/>
    <col min="368" max="368" width="3.84375" style="5" bestFit="1" customWidth="1"/>
    <col min="369" max="369" width="10.84375" style="5" bestFit="1" customWidth="1"/>
    <col min="370" max="370" width="3.84375" style="5" bestFit="1" customWidth="1"/>
    <col min="371" max="371" width="10.84375" style="5" bestFit="1" customWidth="1"/>
    <col min="372" max="372" width="3.84375" style="5" bestFit="1" customWidth="1"/>
    <col min="373" max="373" width="13.15234375" style="5" bestFit="1" customWidth="1"/>
    <col min="374" max="374" width="3.84375" style="5" bestFit="1" customWidth="1"/>
    <col min="375" max="375" width="13.15234375" style="5" bestFit="1" customWidth="1"/>
    <col min="376" max="376" width="3.84375" style="5" bestFit="1" customWidth="1"/>
    <col min="377" max="377" width="13.15234375" style="5" bestFit="1" customWidth="1"/>
    <col min="378" max="378" width="3.84375" style="5" bestFit="1" customWidth="1"/>
    <col min="379" max="379" width="13.15234375" style="5" bestFit="1" customWidth="1"/>
    <col min="380" max="380" width="3.84375" style="5" bestFit="1" customWidth="1"/>
    <col min="381" max="381" width="11.84375" style="5" bestFit="1" customWidth="1"/>
    <col min="382" max="382" width="3.84375" style="5" bestFit="1" customWidth="1"/>
    <col min="383" max="383" width="11.84375" style="5" bestFit="1" customWidth="1"/>
    <col min="384" max="384" width="3.84375" style="5" bestFit="1" customWidth="1"/>
    <col min="385" max="385" width="10.84375" style="5" bestFit="1" customWidth="1"/>
    <col min="386" max="386" width="3.84375" style="5" bestFit="1" customWidth="1"/>
    <col min="387" max="387" width="10.84375" style="5" bestFit="1" customWidth="1"/>
    <col min="388" max="388" width="3.84375" style="5" bestFit="1" customWidth="1"/>
    <col min="389" max="389" width="10.84375" style="5" bestFit="1" customWidth="1"/>
    <col min="390" max="390" width="3.84375" style="5" bestFit="1" customWidth="1"/>
    <col min="391" max="391" width="10.84375" style="5" bestFit="1" customWidth="1"/>
    <col min="392" max="392" width="3.84375" style="5" bestFit="1" customWidth="1"/>
    <col min="393" max="393" width="13.15234375" style="5" bestFit="1" customWidth="1"/>
    <col min="394" max="394" width="3.84375" style="5" bestFit="1" customWidth="1"/>
    <col min="395" max="395" width="13.15234375" style="5" bestFit="1" customWidth="1"/>
    <col min="396" max="396" width="3.84375" style="5" bestFit="1" customWidth="1"/>
    <col min="397" max="397" width="13.15234375" style="5" bestFit="1" customWidth="1"/>
    <col min="398" max="398" width="3.84375" style="5" bestFit="1" customWidth="1"/>
    <col min="399" max="399" width="13.15234375" style="5" bestFit="1" customWidth="1"/>
    <col min="400" max="400" width="3.84375" style="5" bestFit="1" customWidth="1"/>
    <col min="401" max="401" width="11.84375" style="5" bestFit="1" customWidth="1"/>
    <col min="402" max="402" width="3.84375" style="5" bestFit="1" customWidth="1"/>
    <col min="403" max="403" width="13.15234375" style="5" bestFit="1" customWidth="1"/>
    <col min="404" max="404" width="3.15234375" bestFit="1" customWidth="1"/>
  </cols>
  <sheetData>
    <row r="1" spans="1:404" ht="18.75" customHeight="1" x14ac:dyDescent="0.4">
      <c r="A1" s="309" t="s">
        <v>444</v>
      </c>
      <c r="K1" s="447" t="s">
        <v>445</v>
      </c>
      <c r="L1" s="448"/>
      <c r="M1" s="449"/>
      <c r="O1" s="450" t="s">
        <v>446</v>
      </c>
      <c r="P1" s="451"/>
      <c r="Q1" s="452"/>
      <c r="R1" s="732" t="s">
        <v>447</v>
      </c>
      <c r="S1" s="733"/>
      <c r="T1" s="734"/>
    </row>
    <row r="2" spans="1:404" ht="18.75" customHeight="1" x14ac:dyDescent="0.4">
      <c r="A2" s="28" t="s">
        <v>448</v>
      </c>
      <c r="D2" s="11" t="s">
        <v>449</v>
      </c>
      <c r="E2" s="26"/>
      <c r="F2" s="385"/>
      <c r="K2" s="453" t="s">
        <v>450</v>
      </c>
      <c r="M2" s="454">
        <v>21</v>
      </c>
      <c r="O2" s="455" t="s">
        <v>437</v>
      </c>
      <c r="P2" s="456"/>
      <c r="Q2" s="457" t="s">
        <v>438</v>
      </c>
      <c r="R2" s="456"/>
      <c r="S2" s="457" t="s">
        <v>439</v>
      </c>
      <c r="T2" s="458"/>
    </row>
    <row r="3" spans="1:404" ht="18.75" customHeight="1" x14ac:dyDescent="0.4">
      <c r="E3" s="459"/>
      <c r="F3" s="460"/>
      <c r="G3" s="461"/>
      <c r="K3" s="462" t="s">
        <v>451</v>
      </c>
      <c r="L3" s="463"/>
      <c r="M3" s="464">
        <v>98</v>
      </c>
      <c r="O3" s="465">
        <v>21</v>
      </c>
      <c r="P3" s="466"/>
      <c r="Q3" s="467">
        <v>21</v>
      </c>
      <c r="R3" s="466"/>
      <c r="S3" s="467">
        <v>21</v>
      </c>
      <c r="T3" s="468"/>
      <c r="AA3" s="469" t="s">
        <v>452</v>
      </c>
      <c r="AU3" s="469" t="s">
        <v>452</v>
      </c>
      <c r="CI3" s="469" t="s">
        <v>452</v>
      </c>
    </row>
    <row r="4" spans="1:404" ht="18.75" customHeight="1" x14ac:dyDescent="0.4">
      <c r="D4" s="31" t="s">
        <v>453</v>
      </c>
      <c r="E4" s="26"/>
      <c r="F4" s="385"/>
      <c r="G4" s="26"/>
      <c r="H4" s="12"/>
      <c r="O4" s="470">
        <v>87</v>
      </c>
      <c r="P4" s="471"/>
      <c r="Q4" s="472">
        <v>98</v>
      </c>
      <c r="R4" s="471"/>
      <c r="S4" s="472">
        <v>167</v>
      </c>
      <c r="T4" s="458"/>
    </row>
    <row r="5" spans="1:404" ht="15" customHeight="1" x14ac:dyDescent="0.4">
      <c r="A5" s="473" t="s">
        <v>454</v>
      </c>
      <c r="D5" s="474"/>
      <c r="E5" s="475"/>
      <c r="F5" s="476" t="s">
        <v>455</v>
      </c>
      <c r="G5" s="477"/>
      <c r="H5" s="478"/>
      <c r="I5" s="475"/>
      <c r="J5" s="474"/>
      <c r="K5" s="475"/>
      <c r="L5" s="479"/>
      <c r="M5" s="480"/>
      <c r="N5" s="479"/>
      <c r="O5" s="481"/>
      <c r="P5" s="479"/>
      <c r="Q5" s="481"/>
      <c r="R5" s="479"/>
      <c r="S5" s="481"/>
      <c r="T5" s="479"/>
      <c r="U5" s="481"/>
      <c r="V5" s="479"/>
      <c r="W5" s="481"/>
      <c r="X5" s="479"/>
      <c r="Y5" s="481"/>
      <c r="Z5" s="479"/>
      <c r="AA5" s="481"/>
      <c r="AB5" s="481"/>
      <c r="AC5" s="481"/>
      <c r="AD5" s="482"/>
      <c r="AE5" s="483"/>
      <c r="AF5" s="484"/>
      <c r="AG5" s="484"/>
      <c r="AH5" s="484"/>
      <c r="AI5" s="485"/>
      <c r="AJ5" s="484"/>
      <c r="AK5" s="484"/>
      <c r="AL5" s="484"/>
      <c r="AM5" s="484"/>
      <c r="AN5" s="484"/>
      <c r="AO5" s="484"/>
      <c r="AP5" s="484"/>
      <c r="AQ5" s="484"/>
      <c r="AR5" s="484"/>
      <c r="AS5" s="484"/>
      <c r="AT5" s="484"/>
      <c r="AU5" s="484"/>
      <c r="AV5" s="484"/>
      <c r="AW5" s="484"/>
      <c r="AX5" s="484"/>
      <c r="AY5" s="483"/>
      <c r="AZ5" s="484"/>
      <c r="BA5" s="484"/>
      <c r="BB5" s="484"/>
      <c r="BC5" s="484"/>
      <c r="BH5" s="486"/>
      <c r="BI5" s="486"/>
      <c r="BJ5" s="486"/>
      <c r="BK5" s="486"/>
      <c r="BL5" s="486"/>
      <c r="BM5" s="486"/>
      <c r="BN5" s="486"/>
      <c r="BO5" s="486"/>
      <c r="BP5" s="486"/>
      <c r="BQ5" s="486"/>
      <c r="BR5" s="486"/>
      <c r="BS5" s="487"/>
      <c r="BT5" s="486"/>
      <c r="BU5" s="486"/>
      <c r="BV5" s="486"/>
      <c r="BW5" s="486"/>
      <c r="BX5" s="486"/>
      <c r="BY5" s="486"/>
      <c r="BZ5" s="486"/>
      <c r="CA5" s="486"/>
      <c r="CB5" s="486"/>
      <c r="CC5" s="486"/>
      <c r="CD5" s="486"/>
      <c r="CE5" s="486"/>
      <c r="CF5" s="486"/>
      <c r="CG5" s="486"/>
    </row>
    <row r="6" spans="1:404" ht="15" customHeight="1" x14ac:dyDescent="0.4">
      <c r="D6" s="488">
        <v>1</v>
      </c>
      <c r="E6" s="489">
        <v>1001</v>
      </c>
      <c r="F6" s="488">
        <v>2</v>
      </c>
      <c r="G6" s="489">
        <v>2001</v>
      </c>
      <c r="H6" s="488">
        <v>3</v>
      </c>
      <c r="I6" s="489">
        <v>3001</v>
      </c>
      <c r="J6" s="488">
        <v>4</v>
      </c>
      <c r="K6" s="489">
        <v>4001</v>
      </c>
      <c r="L6" s="488">
        <v>5</v>
      </c>
      <c r="M6" s="489">
        <v>5001</v>
      </c>
      <c r="N6" s="488">
        <v>6</v>
      </c>
      <c r="O6" s="489">
        <v>6001</v>
      </c>
      <c r="P6" s="488">
        <v>7</v>
      </c>
      <c r="Q6" s="489">
        <v>7001</v>
      </c>
      <c r="R6" s="488">
        <v>8</v>
      </c>
      <c r="S6" s="489">
        <v>8001</v>
      </c>
      <c r="T6" s="488">
        <v>9</v>
      </c>
      <c r="U6" s="489">
        <v>9001</v>
      </c>
      <c r="V6" s="488">
        <v>10</v>
      </c>
      <c r="W6" s="489">
        <v>10001</v>
      </c>
      <c r="X6" s="488">
        <v>11</v>
      </c>
      <c r="Y6" s="489">
        <v>11001</v>
      </c>
      <c r="Z6" s="488">
        <v>12</v>
      </c>
      <c r="AA6" s="489">
        <v>12001</v>
      </c>
      <c r="AB6" s="333">
        <v>13</v>
      </c>
      <c r="AC6" s="489">
        <v>13001</v>
      </c>
      <c r="AD6" s="333">
        <v>14</v>
      </c>
      <c r="AE6" s="489">
        <v>14001</v>
      </c>
      <c r="AF6" s="333">
        <v>15</v>
      </c>
      <c r="AG6" s="489">
        <v>15001</v>
      </c>
      <c r="AH6" s="333">
        <v>16</v>
      </c>
      <c r="AI6" s="489">
        <v>16001</v>
      </c>
      <c r="AJ6" s="333">
        <v>17</v>
      </c>
      <c r="AK6" s="489">
        <v>17001</v>
      </c>
      <c r="AL6" s="333">
        <v>18</v>
      </c>
      <c r="AM6" s="489">
        <v>18001</v>
      </c>
      <c r="AN6" s="333">
        <v>19</v>
      </c>
      <c r="AO6" s="489">
        <v>19001</v>
      </c>
      <c r="AP6" s="333">
        <v>20</v>
      </c>
      <c r="AQ6" s="489">
        <v>20001</v>
      </c>
      <c r="AR6" s="333">
        <v>21</v>
      </c>
      <c r="AS6" s="489">
        <v>21001</v>
      </c>
      <c r="AT6" s="333">
        <v>22</v>
      </c>
      <c r="AU6" s="489">
        <v>22001</v>
      </c>
      <c r="AV6" s="333">
        <v>23</v>
      </c>
      <c r="AW6" s="489">
        <v>23001</v>
      </c>
      <c r="AX6" s="333">
        <v>24</v>
      </c>
      <c r="AY6" s="489">
        <v>24001</v>
      </c>
      <c r="AZ6" s="333">
        <v>25</v>
      </c>
      <c r="BA6" s="489">
        <v>25001</v>
      </c>
      <c r="BB6" s="333">
        <v>26</v>
      </c>
      <c r="BC6" s="489">
        <v>26001</v>
      </c>
      <c r="BD6" s="333">
        <v>27</v>
      </c>
      <c r="BE6" s="489">
        <v>27001</v>
      </c>
      <c r="BF6" s="333">
        <v>28</v>
      </c>
      <c r="BG6" s="489">
        <v>28001</v>
      </c>
      <c r="BH6" s="333">
        <v>29</v>
      </c>
      <c r="BI6" s="489">
        <v>29001</v>
      </c>
      <c r="BJ6" s="333">
        <v>30</v>
      </c>
      <c r="BK6" s="489">
        <v>30001</v>
      </c>
      <c r="BL6" s="333">
        <v>31</v>
      </c>
      <c r="BM6" s="489">
        <v>31001</v>
      </c>
      <c r="BN6" s="333">
        <v>32</v>
      </c>
      <c r="BO6" s="489">
        <v>32001</v>
      </c>
      <c r="BP6" s="490">
        <v>33</v>
      </c>
      <c r="BQ6" s="489">
        <v>33001</v>
      </c>
      <c r="BR6" s="490">
        <v>34</v>
      </c>
      <c r="BS6" s="489">
        <v>34001</v>
      </c>
      <c r="BT6" s="490">
        <v>35</v>
      </c>
      <c r="BU6" s="489">
        <v>35001</v>
      </c>
      <c r="BV6" s="490">
        <v>36</v>
      </c>
      <c r="BW6" s="489">
        <v>36001</v>
      </c>
      <c r="BX6" s="490">
        <v>37</v>
      </c>
      <c r="BY6" s="489">
        <v>37001</v>
      </c>
      <c r="BZ6" s="490">
        <v>38</v>
      </c>
      <c r="CA6" s="489">
        <v>38001</v>
      </c>
      <c r="CB6" s="490">
        <v>39</v>
      </c>
      <c r="CC6" s="489">
        <v>39001</v>
      </c>
      <c r="CD6" s="490">
        <v>40</v>
      </c>
      <c r="CE6" s="489">
        <v>40001</v>
      </c>
      <c r="CF6" s="490">
        <v>41</v>
      </c>
      <c r="CG6" s="489">
        <v>41001</v>
      </c>
      <c r="CH6" s="490">
        <v>42</v>
      </c>
      <c r="CI6" s="489">
        <v>42001</v>
      </c>
      <c r="CJ6" s="490">
        <v>43</v>
      </c>
      <c r="CK6" s="489">
        <v>43001</v>
      </c>
      <c r="CL6" s="490">
        <v>44</v>
      </c>
      <c r="CM6" s="489">
        <v>44001</v>
      </c>
      <c r="CN6" s="490">
        <v>45</v>
      </c>
      <c r="CO6" s="489">
        <v>45001</v>
      </c>
      <c r="CP6" s="490">
        <v>46</v>
      </c>
      <c r="CQ6" s="489">
        <v>46001</v>
      </c>
      <c r="CR6" s="490">
        <v>47</v>
      </c>
      <c r="CS6" s="489">
        <v>47001</v>
      </c>
      <c r="CT6" s="490">
        <v>48</v>
      </c>
      <c r="CU6" s="489">
        <v>48001</v>
      </c>
      <c r="CV6" s="490">
        <v>49</v>
      </c>
      <c r="CW6" s="489">
        <v>49001</v>
      </c>
      <c r="CX6" s="490">
        <v>50</v>
      </c>
      <c r="CY6" s="489">
        <v>50001</v>
      </c>
      <c r="CZ6" s="490">
        <v>51</v>
      </c>
      <c r="DA6" s="489">
        <v>51001</v>
      </c>
      <c r="DB6" s="490">
        <v>52</v>
      </c>
      <c r="DC6" s="489">
        <v>52001</v>
      </c>
      <c r="DD6" s="333">
        <v>53</v>
      </c>
      <c r="DE6" s="489">
        <v>53001</v>
      </c>
      <c r="DF6" s="333">
        <v>54</v>
      </c>
      <c r="DG6" s="489">
        <v>54001</v>
      </c>
      <c r="DH6" s="333">
        <v>55</v>
      </c>
      <c r="DI6" s="489">
        <v>55001</v>
      </c>
      <c r="DJ6" s="333">
        <v>56</v>
      </c>
      <c r="DK6" s="489">
        <v>56001</v>
      </c>
      <c r="DL6" s="333">
        <v>57</v>
      </c>
      <c r="DM6" s="489">
        <v>57001</v>
      </c>
      <c r="DN6" s="333">
        <v>58</v>
      </c>
      <c r="DO6" s="489">
        <v>58001</v>
      </c>
      <c r="DP6" s="333">
        <v>59</v>
      </c>
      <c r="DQ6" s="489">
        <v>59001</v>
      </c>
      <c r="DR6" s="333">
        <v>60</v>
      </c>
      <c r="DS6" s="489">
        <v>60001</v>
      </c>
      <c r="DT6" s="333">
        <v>61</v>
      </c>
      <c r="DU6" s="489">
        <v>61001</v>
      </c>
      <c r="DV6" s="333">
        <v>62</v>
      </c>
      <c r="DW6" s="489">
        <v>62001</v>
      </c>
      <c r="DX6" s="333">
        <v>63</v>
      </c>
      <c r="DY6" s="489">
        <v>63001</v>
      </c>
      <c r="DZ6" s="333">
        <v>64</v>
      </c>
      <c r="EA6" s="489">
        <v>64001</v>
      </c>
      <c r="EB6" s="333">
        <v>65</v>
      </c>
      <c r="EC6" s="489">
        <v>65001</v>
      </c>
      <c r="ED6" s="333">
        <v>66</v>
      </c>
      <c r="EE6" s="489">
        <v>66001</v>
      </c>
      <c r="EF6" s="333">
        <v>67</v>
      </c>
      <c r="EG6" s="489">
        <v>67001</v>
      </c>
      <c r="EH6" s="333">
        <v>68</v>
      </c>
      <c r="EI6" s="489">
        <v>68001</v>
      </c>
      <c r="EJ6" s="333">
        <v>69</v>
      </c>
      <c r="EK6" s="489">
        <v>69001</v>
      </c>
      <c r="EL6" s="333">
        <v>70</v>
      </c>
      <c r="EM6" s="489">
        <v>70001</v>
      </c>
      <c r="EN6" s="333">
        <v>71</v>
      </c>
      <c r="EO6" s="489">
        <v>71001</v>
      </c>
      <c r="EP6" s="333">
        <v>72</v>
      </c>
      <c r="EQ6" s="489">
        <v>72001</v>
      </c>
      <c r="ER6" s="333">
        <v>73</v>
      </c>
      <c r="ES6" s="489">
        <v>73001</v>
      </c>
      <c r="ET6" s="333">
        <v>74</v>
      </c>
      <c r="EU6" s="489">
        <v>74001</v>
      </c>
      <c r="EV6" s="333">
        <v>75</v>
      </c>
      <c r="EW6" s="489">
        <v>75001</v>
      </c>
      <c r="EX6" s="333">
        <v>76</v>
      </c>
      <c r="EY6" s="489">
        <v>76001</v>
      </c>
      <c r="EZ6" s="333">
        <v>77</v>
      </c>
      <c r="FA6" s="489">
        <v>77001</v>
      </c>
      <c r="FB6" s="333">
        <v>78</v>
      </c>
      <c r="FC6" s="489">
        <v>78001</v>
      </c>
      <c r="FD6" s="333">
        <v>79</v>
      </c>
      <c r="FE6" s="489">
        <v>79001</v>
      </c>
      <c r="FF6" s="333">
        <v>80</v>
      </c>
      <c r="FG6" s="489">
        <v>80001</v>
      </c>
      <c r="FH6" s="333">
        <v>81</v>
      </c>
      <c r="FI6" s="489">
        <v>81001</v>
      </c>
      <c r="FJ6" s="333">
        <v>82</v>
      </c>
      <c r="FK6" s="489">
        <v>82001</v>
      </c>
      <c r="FL6" s="333">
        <v>83</v>
      </c>
      <c r="FM6" s="489">
        <v>83001</v>
      </c>
      <c r="FN6" s="333">
        <v>84</v>
      </c>
      <c r="FO6" s="489">
        <v>84001</v>
      </c>
      <c r="FP6" s="333">
        <v>85</v>
      </c>
      <c r="FQ6" s="489">
        <v>85001</v>
      </c>
      <c r="FR6" s="333">
        <v>86</v>
      </c>
      <c r="FS6" s="489">
        <v>86001</v>
      </c>
      <c r="FT6" s="333">
        <v>87</v>
      </c>
      <c r="FU6" s="489">
        <v>87001</v>
      </c>
      <c r="FV6" s="333">
        <v>88</v>
      </c>
      <c r="FW6" s="489">
        <v>88001</v>
      </c>
      <c r="FX6" s="333">
        <v>89</v>
      </c>
      <c r="FY6" s="489">
        <v>89001</v>
      </c>
      <c r="FZ6" s="333">
        <v>90</v>
      </c>
      <c r="GA6" s="489">
        <f>FZ6*1000+1</f>
        <v>90001</v>
      </c>
      <c r="GB6" s="333">
        <v>91</v>
      </c>
      <c r="GC6" s="489">
        <f>GB6*1000+1</f>
        <v>91001</v>
      </c>
      <c r="GD6" s="333">
        <v>92</v>
      </c>
      <c r="GE6" s="489">
        <f>GD6*1000+1</f>
        <v>92001</v>
      </c>
      <c r="GF6" s="333">
        <v>93</v>
      </c>
      <c r="GG6" s="489">
        <f>GF6*1000+1</f>
        <v>93001</v>
      </c>
      <c r="GH6" s="333">
        <v>94</v>
      </c>
      <c r="GI6" s="489">
        <f>GH6*1000+1</f>
        <v>94001</v>
      </c>
      <c r="GJ6" s="333">
        <v>95</v>
      </c>
      <c r="GK6" s="489">
        <f>GJ6*1000+1</f>
        <v>95001</v>
      </c>
      <c r="GL6" s="333">
        <v>96</v>
      </c>
      <c r="GM6" s="489">
        <f>GL6*1000+1</f>
        <v>96001</v>
      </c>
      <c r="GN6" s="333">
        <v>97</v>
      </c>
      <c r="GO6" s="489">
        <f>GN6*1000+1</f>
        <v>97001</v>
      </c>
      <c r="GP6" s="333">
        <v>98</v>
      </c>
      <c r="GQ6" s="489">
        <f>GP6*1000+1</f>
        <v>98001</v>
      </c>
      <c r="GR6" s="333">
        <v>99</v>
      </c>
      <c r="GS6" s="489">
        <f>GR6*1000+1</f>
        <v>99001</v>
      </c>
      <c r="GT6" s="333">
        <f>GR6+1</f>
        <v>100</v>
      </c>
      <c r="GU6" s="489">
        <f>GT6*1000+1</f>
        <v>100001</v>
      </c>
      <c r="GV6" s="333">
        <f>GT6+1</f>
        <v>101</v>
      </c>
      <c r="GW6" s="489">
        <f>GV6*1000+1</f>
        <v>101001</v>
      </c>
      <c r="GX6" s="333">
        <f>GV6+1</f>
        <v>102</v>
      </c>
      <c r="GY6" s="489">
        <f>GX6*1000+1</f>
        <v>102001</v>
      </c>
      <c r="GZ6" s="333">
        <f>GX6+1</f>
        <v>103</v>
      </c>
      <c r="HA6" s="489">
        <f>GZ6*1000+1</f>
        <v>103001</v>
      </c>
      <c r="HB6" s="333">
        <f>GZ6+1</f>
        <v>104</v>
      </c>
      <c r="HC6" s="489">
        <f>HB6*1000+1</f>
        <v>104001</v>
      </c>
      <c r="HD6" s="333">
        <f>HB6+1</f>
        <v>105</v>
      </c>
      <c r="HE6" s="489">
        <f>HD6*1000+1</f>
        <v>105001</v>
      </c>
      <c r="HF6" s="333">
        <f>HD6+1</f>
        <v>106</v>
      </c>
      <c r="HG6" s="489">
        <f>HF6*1000+1</f>
        <v>106001</v>
      </c>
      <c r="HH6" s="333">
        <f>HF6+1</f>
        <v>107</v>
      </c>
      <c r="HI6" s="489">
        <f>HH6*1000+1</f>
        <v>107001</v>
      </c>
      <c r="HJ6" s="333">
        <f>HH6+1</f>
        <v>108</v>
      </c>
      <c r="HK6" s="489">
        <f>HJ6*1000+1</f>
        <v>108001</v>
      </c>
      <c r="HL6" s="333">
        <f>HJ6+1</f>
        <v>109</v>
      </c>
      <c r="HM6" s="489">
        <f>HL6*1000+1</f>
        <v>109001</v>
      </c>
      <c r="HN6" s="333">
        <f>HL6+1</f>
        <v>110</v>
      </c>
      <c r="HO6" s="489">
        <f>HN6*1000+1</f>
        <v>110001</v>
      </c>
      <c r="HP6" s="333">
        <f>HN6+1</f>
        <v>111</v>
      </c>
      <c r="HQ6" s="489">
        <f>HP6*1000+1</f>
        <v>111001</v>
      </c>
      <c r="HR6" s="333">
        <f>HP6+1</f>
        <v>112</v>
      </c>
      <c r="HS6" s="489">
        <f>HR6*1000+1</f>
        <v>112001</v>
      </c>
      <c r="HT6" s="333">
        <f>HR6+1</f>
        <v>113</v>
      </c>
      <c r="HU6" s="489">
        <f>HT6*1000+1</f>
        <v>113001</v>
      </c>
      <c r="HV6" s="333">
        <f>HT6+1</f>
        <v>114</v>
      </c>
      <c r="HW6" s="489">
        <f>HV6*1000+1</f>
        <v>114001</v>
      </c>
      <c r="HX6" s="333">
        <f>HV6+1</f>
        <v>115</v>
      </c>
      <c r="HY6" s="489">
        <f>HX6*1000+1</f>
        <v>115001</v>
      </c>
      <c r="HZ6" s="333">
        <f>HX6+1</f>
        <v>116</v>
      </c>
      <c r="IA6" s="489">
        <f>HZ6*1000+1</f>
        <v>116001</v>
      </c>
      <c r="IB6" s="333">
        <f>HZ6+1</f>
        <v>117</v>
      </c>
      <c r="IC6" s="489">
        <f>IB6*1000+1</f>
        <v>117001</v>
      </c>
      <c r="ID6" s="333">
        <f>IB6+1</f>
        <v>118</v>
      </c>
      <c r="IE6" s="489">
        <f>ID6*1000+1</f>
        <v>118001</v>
      </c>
      <c r="IF6" s="333">
        <f>ID6+1</f>
        <v>119</v>
      </c>
      <c r="IG6" s="489">
        <f>IF6*1000+1</f>
        <v>119001</v>
      </c>
      <c r="IH6" s="333">
        <f>IF6+1</f>
        <v>120</v>
      </c>
      <c r="II6" s="489">
        <f>IH6*1000+1</f>
        <v>120001</v>
      </c>
      <c r="IJ6" s="333">
        <f>IH6+1</f>
        <v>121</v>
      </c>
      <c r="IK6" s="489">
        <f>IJ6*1000+1</f>
        <v>121001</v>
      </c>
      <c r="IL6" s="333">
        <f>IJ6+1</f>
        <v>122</v>
      </c>
      <c r="IM6" s="489">
        <f>IL6*1000+1</f>
        <v>122001</v>
      </c>
      <c r="IN6" s="333">
        <f>IL6+1</f>
        <v>123</v>
      </c>
      <c r="IO6" s="489">
        <f>IN6*1000+1</f>
        <v>123001</v>
      </c>
      <c r="IP6" s="333">
        <f>IN6+1</f>
        <v>124</v>
      </c>
      <c r="IQ6" s="489">
        <f>IP6*1000+1</f>
        <v>124001</v>
      </c>
      <c r="IR6" s="333">
        <f>IP6+1</f>
        <v>125</v>
      </c>
      <c r="IS6" s="489">
        <f>IR6*1000+1</f>
        <v>125001</v>
      </c>
      <c r="IT6" s="333">
        <f>IR6+1</f>
        <v>126</v>
      </c>
      <c r="IU6" s="489">
        <f>IT6*1000+1</f>
        <v>126001</v>
      </c>
      <c r="IV6" s="333">
        <f>IT6+1</f>
        <v>127</v>
      </c>
      <c r="IW6" s="489">
        <f>IV6*1000+1</f>
        <v>127001</v>
      </c>
      <c r="IX6" s="333">
        <f>IV6+1</f>
        <v>128</v>
      </c>
      <c r="IY6" s="489">
        <f>IX6*1000+1</f>
        <v>128001</v>
      </c>
      <c r="IZ6" s="333">
        <f>IX6+1</f>
        <v>129</v>
      </c>
      <c r="JA6" s="489">
        <f>IZ6*1000+1</f>
        <v>129001</v>
      </c>
      <c r="JB6" s="333">
        <f>IZ6+1</f>
        <v>130</v>
      </c>
      <c r="JC6" s="489">
        <f>JB6*1000+1</f>
        <v>130001</v>
      </c>
      <c r="JD6" s="333">
        <f>JB6+1</f>
        <v>131</v>
      </c>
      <c r="JE6" s="489">
        <f>JD6*1000+1</f>
        <v>131001</v>
      </c>
      <c r="JF6" s="333">
        <f>JD6+1</f>
        <v>132</v>
      </c>
      <c r="JG6" s="489">
        <f>JF6*1000+1</f>
        <v>132001</v>
      </c>
      <c r="JH6" s="333">
        <f>JF6+1</f>
        <v>133</v>
      </c>
      <c r="JI6" s="489">
        <f>JH6*1000+1</f>
        <v>133001</v>
      </c>
      <c r="JJ6" s="333">
        <f>JH6+1</f>
        <v>134</v>
      </c>
      <c r="JK6" s="489">
        <f>JJ6*1000+1</f>
        <v>134001</v>
      </c>
      <c r="JL6" s="333">
        <f>JJ6+1</f>
        <v>135</v>
      </c>
      <c r="JM6" s="489">
        <f>JL6*1000+1</f>
        <v>135001</v>
      </c>
      <c r="JN6" s="333">
        <f>JL6+1</f>
        <v>136</v>
      </c>
      <c r="JO6" s="489">
        <f>JN6*1000+1</f>
        <v>136001</v>
      </c>
      <c r="JP6" s="333">
        <f>JN6+1</f>
        <v>137</v>
      </c>
      <c r="JQ6" s="489">
        <f>JP6*1000+1</f>
        <v>137001</v>
      </c>
      <c r="JR6" s="333">
        <f>JP6+1</f>
        <v>138</v>
      </c>
      <c r="JS6" s="489">
        <f>JR6*1000+1</f>
        <v>138001</v>
      </c>
      <c r="JT6" s="333">
        <f>JR6+1</f>
        <v>139</v>
      </c>
      <c r="JU6" s="489">
        <f>JT6*1000+1</f>
        <v>139001</v>
      </c>
      <c r="JV6" s="333">
        <f>JT6+1</f>
        <v>140</v>
      </c>
      <c r="JW6" s="489">
        <f>JV6*1000+1</f>
        <v>140001</v>
      </c>
      <c r="JX6" s="333">
        <f>JV6+1</f>
        <v>141</v>
      </c>
      <c r="JY6" s="489">
        <f>JX6*1000+1</f>
        <v>141001</v>
      </c>
      <c r="JZ6" s="333">
        <f>JX6+1</f>
        <v>142</v>
      </c>
      <c r="KA6" s="489">
        <f>JZ6*1000+1</f>
        <v>142001</v>
      </c>
      <c r="KB6" s="333">
        <f>JZ6+1</f>
        <v>143</v>
      </c>
      <c r="KC6" s="489">
        <f>KB6*1000+1</f>
        <v>143001</v>
      </c>
      <c r="KD6" s="333">
        <f>KB6+1</f>
        <v>144</v>
      </c>
      <c r="KE6" s="489">
        <f>KD6*1000+1</f>
        <v>144001</v>
      </c>
      <c r="KF6" s="333">
        <f>KD6+1</f>
        <v>145</v>
      </c>
      <c r="KG6" s="489">
        <f>KF6*1000+1</f>
        <v>145001</v>
      </c>
      <c r="KH6" s="333">
        <f>KF6+1</f>
        <v>146</v>
      </c>
      <c r="KI6" s="489">
        <f>KH6*1000+1</f>
        <v>146001</v>
      </c>
      <c r="KJ6" s="333">
        <f>KH6+1</f>
        <v>147</v>
      </c>
      <c r="KK6" s="489">
        <f>KJ6*1000+1</f>
        <v>147001</v>
      </c>
      <c r="KL6" s="333">
        <f>KJ6+1</f>
        <v>148</v>
      </c>
      <c r="KM6" s="489">
        <f>KL6*1000+1</f>
        <v>148001</v>
      </c>
      <c r="KN6" s="333">
        <f>KL6+1</f>
        <v>149</v>
      </c>
      <c r="KO6" s="489">
        <f>KN6*1000+1</f>
        <v>149001</v>
      </c>
      <c r="KP6" s="333">
        <f>KN6+1</f>
        <v>150</v>
      </c>
      <c r="KQ6" s="489">
        <f>KP6*1000+1</f>
        <v>150001</v>
      </c>
      <c r="KR6" s="333">
        <f>KP6+1</f>
        <v>151</v>
      </c>
      <c r="KS6" s="489">
        <f>KR6*1000+1</f>
        <v>151001</v>
      </c>
      <c r="KT6" s="333">
        <f>KR6+1</f>
        <v>152</v>
      </c>
      <c r="KU6" s="489">
        <f>KT6*1000+1</f>
        <v>152001</v>
      </c>
      <c r="KV6" s="333">
        <f>KT6+1</f>
        <v>153</v>
      </c>
      <c r="KW6" s="489">
        <f>KV6*1000+1</f>
        <v>153001</v>
      </c>
      <c r="KX6" s="333">
        <f>KV6+1</f>
        <v>154</v>
      </c>
      <c r="KY6" s="489">
        <f>KX6*1000+1</f>
        <v>154001</v>
      </c>
      <c r="KZ6" s="333">
        <f>KX6+1</f>
        <v>155</v>
      </c>
      <c r="LA6" s="489">
        <f>KZ6*1000+1</f>
        <v>155001</v>
      </c>
      <c r="LB6" s="333">
        <f>KZ6+1</f>
        <v>156</v>
      </c>
      <c r="LC6" s="489">
        <f>LB6*1000+1</f>
        <v>156001</v>
      </c>
      <c r="LD6" s="333">
        <f>LB6+1</f>
        <v>157</v>
      </c>
      <c r="LE6" s="489">
        <f>LD6*1000+1</f>
        <v>157001</v>
      </c>
      <c r="LF6" s="333">
        <f>LD6+1</f>
        <v>158</v>
      </c>
      <c r="LG6" s="489">
        <f>LF6*1000+1</f>
        <v>158001</v>
      </c>
      <c r="LH6" s="333">
        <f>LF6+1</f>
        <v>159</v>
      </c>
      <c r="LI6" s="489">
        <f>LH6*1000+1</f>
        <v>159001</v>
      </c>
      <c r="LJ6" s="333">
        <f>LH6+1</f>
        <v>160</v>
      </c>
      <c r="LK6" s="489">
        <f>LJ6*1000+1</f>
        <v>160001</v>
      </c>
      <c r="LL6" s="333">
        <f>LJ6+1</f>
        <v>161</v>
      </c>
      <c r="LM6" s="489">
        <f>LL6*1000+1</f>
        <v>161001</v>
      </c>
      <c r="LN6" s="333">
        <f>LL6+1</f>
        <v>162</v>
      </c>
      <c r="LO6" s="489">
        <f>LN6*1000+1</f>
        <v>162001</v>
      </c>
      <c r="LP6" s="333">
        <f>LN6+1</f>
        <v>163</v>
      </c>
      <c r="LQ6" s="489">
        <f>LP6*1000+1</f>
        <v>163001</v>
      </c>
      <c r="LR6" s="333">
        <f>LP6+1</f>
        <v>164</v>
      </c>
      <c r="LS6" s="489">
        <f>LR6*1000+1</f>
        <v>164001</v>
      </c>
      <c r="LT6" s="333">
        <f>LR6+1</f>
        <v>165</v>
      </c>
      <c r="LU6" s="489">
        <f>LT6*1000+1</f>
        <v>165001</v>
      </c>
      <c r="LV6" s="333">
        <f>LT6+1</f>
        <v>166</v>
      </c>
      <c r="LW6" s="489">
        <f>LV6*1000+1</f>
        <v>166001</v>
      </c>
      <c r="LX6" s="333">
        <f>LV6+1</f>
        <v>167</v>
      </c>
      <c r="LY6" s="489">
        <f>LX6*1000+1</f>
        <v>167001</v>
      </c>
      <c r="LZ6" s="333">
        <f>LX6+1</f>
        <v>168</v>
      </c>
      <c r="MA6" s="489">
        <f>LZ6*1000+1</f>
        <v>168001</v>
      </c>
      <c r="MB6" s="333">
        <f>LZ6+1</f>
        <v>169</v>
      </c>
      <c r="MC6" s="489">
        <f>MB6*1000+1</f>
        <v>169001</v>
      </c>
      <c r="MD6" s="333">
        <f>MB6+1</f>
        <v>170</v>
      </c>
      <c r="ME6" s="489">
        <f>MD6*1000+1</f>
        <v>170001</v>
      </c>
      <c r="MF6" s="333">
        <f>MD6+1</f>
        <v>171</v>
      </c>
      <c r="MG6" s="489">
        <f>MF6*1000+1</f>
        <v>171001</v>
      </c>
      <c r="MH6" s="333">
        <f>MF6+1</f>
        <v>172</v>
      </c>
      <c r="MI6" s="489">
        <f>MH6*1000+1</f>
        <v>172001</v>
      </c>
      <c r="MJ6" s="333">
        <f>MH6+1</f>
        <v>173</v>
      </c>
      <c r="MK6" s="489">
        <f>MJ6*1000+1</f>
        <v>173001</v>
      </c>
      <c r="ML6" s="333">
        <f>MJ6+1</f>
        <v>174</v>
      </c>
      <c r="MM6" s="489">
        <f>ML6*1000+1</f>
        <v>174001</v>
      </c>
      <c r="MN6" s="333">
        <f>ML6+1</f>
        <v>175</v>
      </c>
      <c r="MO6" s="489">
        <f>MN6*1000+1</f>
        <v>175001</v>
      </c>
      <c r="MP6" s="333">
        <f>MN6+1</f>
        <v>176</v>
      </c>
      <c r="MQ6" s="489">
        <f>MP6*1000+1</f>
        <v>176001</v>
      </c>
      <c r="MR6" s="333">
        <f>MP6+1</f>
        <v>177</v>
      </c>
      <c r="MS6" s="489">
        <f>MR6*1000+1</f>
        <v>177001</v>
      </c>
      <c r="MT6" s="333">
        <f>MR6+1</f>
        <v>178</v>
      </c>
      <c r="MU6" s="489">
        <f>MT6*1000+1</f>
        <v>178001</v>
      </c>
      <c r="MV6" s="333">
        <f>MT6+1</f>
        <v>179</v>
      </c>
      <c r="MW6" s="489">
        <f>MV6*1000+1</f>
        <v>179001</v>
      </c>
      <c r="MX6" s="333">
        <f>MV6+1</f>
        <v>180</v>
      </c>
      <c r="MY6" s="489">
        <f>MX6*1000+1</f>
        <v>180001</v>
      </c>
      <c r="MZ6" s="333">
        <f>MX6+1</f>
        <v>181</v>
      </c>
      <c r="NA6" s="489">
        <f>MZ6*1000+1</f>
        <v>181001</v>
      </c>
      <c r="NB6" s="333">
        <f>MZ6+1</f>
        <v>182</v>
      </c>
      <c r="NC6" s="489">
        <f>NB6*1000+1</f>
        <v>182001</v>
      </c>
      <c r="ND6" s="333">
        <f>NB6+1</f>
        <v>183</v>
      </c>
      <c r="NE6" s="489">
        <f>ND6*1000+1</f>
        <v>183001</v>
      </c>
      <c r="NF6" s="333">
        <f>ND6+1</f>
        <v>184</v>
      </c>
      <c r="NG6" s="489">
        <f>NF6*1000+1</f>
        <v>184001</v>
      </c>
      <c r="NH6" s="333">
        <f>NF6+1</f>
        <v>185</v>
      </c>
      <c r="NI6" s="489">
        <f>NH6*1000+1</f>
        <v>185001</v>
      </c>
      <c r="NJ6" s="333">
        <f>NH6+1</f>
        <v>186</v>
      </c>
      <c r="NK6" s="489">
        <f>NJ6*1000+1</f>
        <v>186001</v>
      </c>
      <c r="NL6" s="333">
        <f>NJ6+1</f>
        <v>187</v>
      </c>
      <c r="NM6" s="489">
        <f>NL6*1000+1</f>
        <v>187001</v>
      </c>
      <c r="NN6" s="333">
        <f>NL6+1</f>
        <v>188</v>
      </c>
      <c r="NO6" s="489">
        <f>NN6*1000+1</f>
        <v>188001</v>
      </c>
      <c r="NP6" s="333">
        <f>NN6+1</f>
        <v>189</v>
      </c>
      <c r="NQ6" s="489">
        <f>NP6*1000+1</f>
        <v>189001</v>
      </c>
      <c r="NR6" s="333">
        <f>NP6+1</f>
        <v>190</v>
      </c>
      <c r="NS6" s="489">
        <f>NR6*1000+1</f>
        <v>190001</v>
      </c>
      <c r="NT6" s="333">
        <f>NR6+1</f>
        <v>191</v>
      </c>
      <c r="NU6" s="489">
        <f>NT6*1000+1</f>
        <v>191001</v>
      </c>
      <c r="NV6" s="333">
        <f>NT6+1</f>
        <v>192</v>
      </c>
      <c r="NW6" s="489">
        <f>NV6*1000+1</f>
        <v>192001</v>
      </c>
      <c r="NX6" s="333">
        <f>NV6+1</f>
        <v>193</v>
      </c>
      <c r="NY6" s="489">
        <f>NX6*1000+1</f>
        <v>193001</v>
      </c>
      <c r="NZ6" s="333">
        <f>NX6+1</f>
        <v>194</v>
      </c>
      <c r="OA6" s="489">
        <f>NZ6*1000+1</f>
        <v>194001</v>
      </c>
      <c r="OB6" s="333">
        <f>NZ6+1</f>
        <v>195</v>
      </c>
      <c r="OC6" s="489">
        <f>OB6*1000+1</f>
        <v>195001</v>
      </c>
      <c r="OD6" s="333">
        <f>OB6+1</f>
        <v>196</v>
      </c>
      <c r="OE6" s="489">
        <f>OD6*1000+1</f>
        <v>196001</v>
      </c>
      <c r="OF6" s="333">
        <f>OD6+1</f>
        <v>197</v>
      </c>
      <c r="OG6" s="489">
        <f>OF6*1000+1</f>
        <v>197001</v>
      </c>
      <c r="OH6" s="333">
        <f>OF6+1</f>
        <v>198</v>
      </c>
      <c r="OI6" s="489">
        <f>OH6*1000+1</f>
        <v>198001</v>
      </c>
      <c r="OJ6" s="333">
        <f>OH6+1</f>
        <v>199</v>
      </c>
      <c r="OK6" s="489">
        <f>OJ6*1000+1</f>
        <v>199001</v>
      </c>
      <c r="OL6" s="333">
        <f>OJ6+1</f>
        <v>200</v>
      </c>
      <c r="OM6" s="489">
        <f>OL6*1000+1</f>
        <v>200001</v>
      </c>
      <c r="ON6" s="491"/>
    </row>
    <row r="7" spans="1:404" ht="18.75" customHeight="1" x14ac:dyDescent="0.4">
      <c r="A7" s="338" t="s">
        <v>259</v>
      </c>
      <c r="B7" s="339" t="s">
        <v>260</v>
      </c>
      <c r="C7" s="338" t="s">
        <v>94</v>
      </c>
      <c r="D7" s="352"/>
      <c r="E7" s="492" t="s">
        <v>456</v>
      </c>
      <c r="F7" s="493"/>
      <c r="G7" s="492" t="s">
        <v>94</v>
      </c>
      <c r="H7" s="352"/>
      <c r="I7" s="492" t="s">
        <v>262</v>
      </c>
      <c r="J7" s="493"/>
      <c r="K7" s="492" t="s">
        <v>263</v>
      </c>
      <c r="L7" s="352"/>
      <c r="M7" s="492"/>
      <c r="N7" s="493"/>
      <c r="O7" s="492"/>
      <c r="P7" s="352"/>
      <c r="Q7" s="492"/>
      <c r="R7" s="493"/>
      <c r="S7" s="492"/>
      <c r="T7" s="352"/>
      <c r="U7" s="492"/>
      <c r="V7" s="493"/>
      <c r="W7" s="492"/>
      <c r="X7" s="352"/>
      <c r="Y7" s="492"/>
      <c r="Z7" s="493"/>
      <c r="AA7" s="492"/>
      <c r="AB7" s="335"/>
      <c r="AC7" s="492"/>
      <c r="AD7" s="354"/>
      <c r="AE7" s="492"/>
      <c r="AF7" s="335"/>
      <c r="AG7" s="492"/>
      <c r="AH7" s="354"/>
      <c r="AI7" s="492"/>
      <c r="AJ7" s="335"/>
      <c r="AK7" s="492"/>
      <c r="AL7" s="354"/>
      <c r="AM7" s="492"/>
      <c r="AN7" s="335"/>
      <c r="AO7" s="492"/>
      <c r="AP7" s="354"/>
      <c r="AQ7" s="492"/>
      <c r="AR7" s="335"/>
      <c r="AS7" s="492"/>
      <c r="AT7" s="354"/>
      <c r="AU7" s="492"/>
      <c r="AV7" s="335"/>
      <c r="AW7" s="492"/>
      <c r="AX7" s="354"/>
      <c r="AY7" s="492"/>
      <c r="AZ7" s="335"/>
      <c r="BA7" s="492"/>
      <c r="BB7" s="354"/>
      <c r="BC7" s="492"/>
      <c r="BD7" s="335"/>
      <c r="BE7" s="492"/>
      <c r="BF7" s="354"/>
      <c r="BG7" s="492"/>
      <c r="BH7" s="335"/>
      <c r="BI7" s="492"/>
      <c r="BJ7" s="354"/>
      <c r="BK7" s="492"/>
      <c r="BL7" s="335"/>
      <c r="BM7" s="492"/>
      <c r="BN7" s="354"/>
      <c r="BO7" s="492"/>
      <c r="BP7" s="335"/>
      <c r="BQ7" s="492"/>
      <c r="BR7" s="354"/>
      <c r="BS7" s="492"/>
      <c r="BT7" s="335"/>
      <c r="BU7" s="492"/>
      <c r="BV7" s="354"/>
      <c r="BW7" s="492"/>
      <c r="BX7" s="335"/>
      <c r="BY7" s="492"/>
      <c r="BZ7" s="354"/>
      <c r="CA7" s="492"/>
      <c r="CB7" s="335"/>
      <c r="CC7" s="492"/>
      <c r="CD7" s="354"/>
      <c r="CE7" s="492"/>
      <c r="CF7" s="335"/>
      <c r="CG7" s="492"/>
      <c r="CH7" s="354"/>
      <c r="CI7" s="492"/>
      <c r="CJ7" s="335"/>
      <c r="CK7" s="492"/>
      <c r="CL7" s="354"/>
      <c r="CM7" s="492"/>
      <c r="CN7" s="335"/>
      <c r="CO7" s="492"/>
      <c r="CP7" s="354"/>
      <c r="CQ7" s="492"/>
      <c r="CR7" s="335"/>
      <c r="CS7" s="492"/>
      <c r="CT7" s="354"/>
      <c r="CU7" s="492"/>
      <c r="CV7" s="335"/>
      <c r="CW7" s="492"/>
      <c r="CX7" s="354"/>
      <c r="CY7" s="492"/>
      <c r="CZ7" s="335"/>
      <c r="DA7" s="492"/>
      <c r="DB7" s="354"/>
      <c r="DC7" s="492"/>
      <c r="DD7" s="335"/>
      <c r="DE7" s="492"/>
      <c r="DF7" s="354"/>
      <c r="DG7" s="492"/>
      <c r="DH7" s="335"/>
      <c r="DI7" s="492"/>
      <c r="DJ7" s="354"/>
      <c r="DK7" s="492"/>
      <c r="DL7" s="335"/>
      <c r="DM7" s="492"/>
      <c r="DN7" s="354"/>
      <c r="DO7" s="492"/>
      <c r="DP7" s="335"/>
      <c r="DQ7" s="492"/>
      <c r="DR7" s="354"/>
      <c r="DS7" s="492"/>
      <c r="DT7" s="335"/>
      <c r="DU7" s="492"/>
      <c r="DV7" s="354"/>
      <c r="DW7" s="492"/>
      <c r="DX7" s="335"/>
      <c r="DY7" s="492"/>
      <c r="DZ7" s="354"/>
      <c r="EA7" s="492"/>
      <c r="EB7" s="335"/>
      <c r="EC7" s="492"/>
      <c r="ED7" s="354"/>
      <c r="EE7" s="492"/>
      <c r="EF7" s="335"/>
      <c r="EG7" s="492"/>
      <c r="EH7" s="354"/>
      <c r="EI7" s="492"/>
      <c r="EJ7" s="335"/>
      <c r="EK7" s="492"/>
      <c r="EL7" s="354"/>
      <c r="EM7" s="492"/>
      <c r="EN7" s="335"/>
      <c r="EO7" s="492"/>
      <c r="EP7" s="354"/>
      <c r="EQ7" s="492"/>
      <c r="ER7" s="335"/>
      <c r="ES7" s="492"/>
      <c r="ET7" s="354"/>
      <c r="EU7" s="492"/>
      <c r="EV7" s="335"/>
      <c r="EW7" s="492"/>
      <c r="EX7" s="354"/>
      <c r="EY7" s="492"/>
      <c r="EZ7" s="335"/>
      <c r="FA7" s="492"/>
      <c r="FB7" s="354"/>
      <c r="FC7" s="492"/>
      <c r="FD7" s="335"/>
      <c r="FE7" s="492"/>
      <c r="FF7" s="354"/>
      <c r="FG7" s="492"/>
      <c r="FH7" s="335"/>
      <c r="FI7" s="492"/>
      <c r="FJ7" s="354"/>
      <c r="FK7" s="492"/>
      <c r="FL7" s="335"/>
      <c r="FM7" s="492"/>
      <c r="FN7" s="354"/>
      <c r="FO7" s="492"/>
      <c r="FP7" s="335"/>
      <c r="FQ7" s="492"/>
      <c r="FR7" s="354"/>
      <c r="FS7" s="492"/>
      <c r="FT7" s="335"/>
      <c r="FU7" s="492"/>
      <c r="FV7" s="354"/>
      <c r="FW7" s="492"/>
      <c r="FX7" s="335"/>
      <c r="FY7" s="492"/>
      <c r="FZ7" s="354"/>
      <c r="GA7" s="492"/>
      <c r="GB7" s="335"/>
      <c r="GC7" s="492"/>
      <c r="GD7" s="354"/>
      <c r="GE7" s="492"/>
      <c r="GF7" s="335"/>
      <c r="GG7" s="492"/>
      <c r="GH7" s="354"/>
      <c r="GI7" s="492"/>
      <c r="GJ7" s="335"/>
      <c r="GK7" s="492"/>
      <c r="GL7" s="354"/>
      <c r="GM7" s="492"/>
      <c r="GN7" s="335"/>
      <c r="GO7" s="492"/>
      <c r="GP7" s="354"/>
      <c r="GQ7" s="492"/>
      <c r="GR7" s="335"/>
      <c r="GS7" s="492"/>
      <c r="GT7" s="354"/>
      <c r="GU7" s="492"/>
      <c r="GV7" s="335"/>
      <c r="GW7" s="492"/>
      <c r="GX7" s="354"/>
      <c r="GY7" s="492"/>
      <c r="GZ7" s="335"/>
      <c r="HA7" s="492"/>
      <c r="HB7" s="354"/>
      <c r="HC7" s="492"/>
      <c r="HD7" s="335"/>
      <c r="HE7" s="492"/>
      <c r="HF7" s="354"/>
      <c r="HG7" s="492"/>
      <c r="HH7" s="335"/>
      <c r="HI7" s="492"/>
      <c r="HJ7" s="354"/>
      <c r="HK7" s="492"/>
      <c r="HL7" s="335"/>
      <c r="HM7" s="492"/>
      <c r="HN7" s="354"/>
      <c r="HO7" s="492"/>
      <c r="HP7" s="335"/>
      <c r="HQ7" s="492"/>
      <c r="HR7" s="354"/>
      <c r="HS7" s="492"/>
      <c r="HT7" s="335"/>
      <c r="HU7" s="492"/>
      <c r="HV7" s="354"/>
      <c r="HW7" s="492"/>
      <c r="HX7" s="335"/>
      <c r="HY7" s="492"/>
      <c r="HZ7" s="354"/>
      <c r="IA7" s="492"/>
      <c r="IB7" s="335"/>
      <c r="IC7" s="492"/>
      <c r="ID7" s="354"/>
      <c r="IE7" s="492"/>
      <c r="IF7" s="335"/>
      <c r="IG7" s="492"/>
      <c r="IH7" s="354"/>
      <c r="II7" s="492"/>
      <c r="IJ7" s="335"/>
      <c r="IK7" s="492"/>
      <c r="IL7" s="354"/>
      <c r="IM7" s="492"/>
      <c r="IN7" s="335"/>
      <c r="IO7" s="492"/>
      <c r="IP7" s="354"/>
      <c r="IQ7" s="492"/>
      <c r="IR7" s="335"/>
      <c r="IS7" s="492"/>
      <c r="IT7" s="354"/>
      <c r="IU7" s="492"/>
      <c r="IV7" s="335"/>
      <c r="IW7" s="492"/>
      <c r="IX7" s="354"/>
      <c r="IY7" s="492"/>
      <c r="IZ7" s="335"/>
      <c r="JA7" s="492"/>
      <c r="JB7" s="354"/>
      <c r="JC7" s="492"/>
      <c r="JD7" s="335"/>
      <c r="JE7" s="492"/>
      <c r="JF7" s="354"/>
      <c r="JG7" s="492"/>
      <c r="JH7" s="335"/>
      <c r="JI7" s="492"/>
      <c r="JJ7" s="354"/>
      <c r="JK7" s="492"/>
      <c r="JL7" s="335"/>
      <c r="JM7" s="492"/>
      <c r="JN7" s="354"/>
      <c r="JO7" s="492"/>
      <c r="JP7" s="335"/>
      <c r="JQ7" s="492"/>
      <c r="JR7" s="354"/>
      <c r="JS7" s="492"/>
      <c r="JT7" s="335"/>
      <c r="JU7" s="492"/>
      <c r="JV7" s="354"/>
      <c r="JW7" s="492"/>
      <c r="JX7" s="335"/>
      <c r="JY7" s="492"/>
      <c r="JZ7" s="354"/>
      <c r="KA7" s="492"/>
      <c r="KB7" s="335"/>
      <c r="KC7" s="492"/>
      <c r="KD7" s="354"/>
      <c r="KE7" s="492"/>
      <c r="KF7" s="335"/>
      <c r="KG7" s="492"/>
      <c r="KH7" s="354"/>
      <c r="KI7" s="492"/>
      <c r="KJ7" s="335"/>
      <c r="KK7" s="492"/>
      <c r="KL7" s="354"/>
      <c r="KM7" s="492"/>
      <c r="KN7" s="335"/>
      <c r="KO7" s="492"/>
      <c r="KP7" s="354"/>
      <c r="KQ7" s="492"/>
      <c r="KR7" s="335"/>
      <c r="KS7" s="492"/>
      <c r="KT7" s="354"/>
      <c r="KU7" s="492"/>
      <c r="KV7" s="335"/>
      <c r="KW7" s="492"/>
      <c r="KX7" s="354"/>
      <c r="KY7" s="492"/>
      <c r="KZ7" s="335"/>
      <c r="LA7" s="492"/>
      <c r="LB7" s="354"/>
      <c r="LC7" s="492"/>
      <c r="LD7" s="335"/>
      <c r="LE7" s="492"/>
      <c r="LF7" s="354"/>
      <c r="LG7" s="492"/>
      <c r="LH7" s="335"/>
      <c r="LI7" s="492"/>
      <c r="LJ7" s="354"/>
      <c r="LK7" s="492"/>
      <c r="LL7" s="335"/>
      <c r="LM7" s="492"/>
      <c r="LN7" s="354"/>
      <c r="LO7" s="492"/>
      <c r="LP7" s="335"/>
      <c r="LQ7" s="492"/>
      <c r="LR7" s="354"/>
      <c r="LS7" s="492"/>
      <c r="LT7" s="335"/>
      <c r="LU7" s="492"/>
      <c r="LV7" s="354"/>
      <c r="LW7" s="492"/>
      <c r="LX7" s="335"/>
      <c r="LY7" s="492"/>
      <c r="LZ7" s="354"/>
      <c r="MA7" s="492"/>
      <c r="MB7" s="335"/>
      <c r="MC7" s="492"/>
      <c r="MD7" s="354"/>
      <c r="ME7" s="492"/>
      <c r="MF7" s="335"/>
      <c r="MG7" s="492"/>
      <c r="MH7" s="354"/>
      <c r="MI7" s="492"/>
      <c r="MJ7" s="335"/>
      <c r="MK7" s="492"/>
      <c r="ML7" s="354"/>
      <c r="MM7" s="492"/>
      <c r="MN7" s="335"/>
      <c r="MO7" s="492"/>
      <c r="MP7" s="354"/>
      <c r="MQ7" s="492"/>
      <c r="MR7" s="335"/>
      <c r="MS7" s="492"/>
      <c r="MT7" s="354"/>
      <c r="MU7" s="492"/>
      <c r="MV7" s="335"/>
      <c r="MW7" s="492"/>
      <c r="MX7" s="354"/>
      <c r="MY7" s="492"/>
      <c r="MZ7" s="335"/>
      <c r="NA7" s="492"/>
      <c r="NB7" s="354"/>
      <c r="NC7" s="492"/>
      <c r="ND7" s="335"/>
      <c r="NE7" s="492"/>
      <c r="NF7" s="354"/>
      <c r="NG7" s="492"/>
      <c r="NH7" s="335"/>
      <c r="NI7" s="492"/>
      <c r="NJ7" s="354"/>
      <c r="NK7" s="492"/>
      <c r="NL7" s="335"/>
      <c r="NM7" s="492"/>
      <c r="NN7" s="354"/>
      <c r="NO7" s="492"/>
      <c r="NP7" s="335"/>
      <c r="NQ7" s="492"/>
      <c r="NR7" s="354"/>
      <c r="NS7" s="492"/>
      <c r="NT7" s="335"/>
      <c r="NU7" s="492"/>
      <c r="NV7" s="354"/>
      <c r="NW7" s="492"/>
      <c r="NX7" s="335"/>
      <c r="NY7" s="492"/>
      <c r="NZ7" s="354"/>
      <c r="OA7" s="492"/>
      <c r="OB7" s="335"/>
      <c r="OC7" s="492"/>
      <c r="OD7" s="354"/>
      <c r="OE7" s="492"/>
      <c r="OF7" s="335"/>
      <c r="OG7" s="492"/>
      <c r="OH7" s="354"/>
      <c r="OI7" s="492"/>
      <c r="OJ7" s="335"/>
      <c r="OK7" s="492"/>
      <c r="OL7" s="354"/>
      <c r="OM7" s="492"/>
      <c r="ON7" s="494"/>
    </row>
    <row r="8" spans="1:404" ht="18.75" customHeight="1" x14ac:dyDescent="0.4">
      <c r="A8" s="355"/>
      <c r="B8" s="356"/>
      <c r="C8" s="338" t="s">
        <v>60</v>
      </c>
      <c r="D8" s="177" t="s">
        <v>268</v>
      </c>
      <c r="E8" s="495"/>
      <c r="F8" s="12" t="s">
        <v>268</v>
      </c>
      <c r="G8" s="495"/>
      <c r="H8" s="177" t="s">
        <v>268</v>
      </c>
      <c r="I8" s="495"/>
      <c r="J8" s="12" t="s">
        <v>268</v>
      </c>
      <c r="K8" s="495"/>
      <c r="L8" s="177" t="s">
        <v>268</v>
      </c>
      <c r="M8" s="495"/>
      <c r="N8" s="385"/>
      <c r="O8" s="495"/>
      <c r="P8" s="496"/>
      <c r="Q8" s="495"/>
      <c r="R8" s="385"/>
      <c r="S8" s="495"/>
      <c r="T8" s="496"/>
      <c r="U8" s="495"/>
      <c r="V8" s="12" t="s">
        <v>268</v>
      </c>
      <c r="W8" s="495"/>
      <c r="X8" s="177" t="s">
        <v>268</v>
      </c>
      <c r="Y8" s="495"/>
      <c r="Z8" s="12" t="s">
        <v>268</v>
      </c>
      <c r="AA8" s="495"/>
      <c r="AB8" s="240" t="s">
        <v>268</v>
      </c>
      <c r="AC8" s="495"/>
      <c r="AD8" s="26" t="s">
        <v>268</v>
      </c>
      <c r="AE8" s="495"/>
      <c r="AF8" s="240" t="s">
        <v>268</v>
      </c>
      <c r="AG8" s="495"/>
      <c r="AH8" s="26" t="s">
        <v>268</v>
      </c>
      <c r="AI8" s="495"/>
      <c r="AJ8" s="240" t="s">
        <v>268</v>
      </c>
      <c r="AK8" s="495"/>
      <c r="AL8" s="26" t="s">
        <v>268</v>
      </c>
      <c r="AM8" s="495"/>
      <c r="AN8" s="240" t="s">
        <v>268</v>
      </c>
      <c r="AO8" s="495"/>
      <c r="AP8" s="26" t="s">
        <v>268</v>
      </c>
      <c r="AQ8" s="495"/>
      <c r="AR8" s="240" t="s">
        <v>268</v>
      </c>
      <c r="AS8" s="495"/>
      <c r="AT8" s="26" t="s">
        <v>268</v>
      </c>
      <c r="AU8" s="495"/>
      <c r="AV8" s="240" t="s">
        <v>268</v>
      </c>
      <c r="AW8" s="495"/>
      <c r="AX8" s="26" t="s">
        <v>268</v>
      </c>
      <c r="AY8" s="495"/>
      <c r="AZ8" s="240" t="s">
        <v>268</v>
      </c>
      <c r="BA8" s="495"/>
      <c r="BB8" s="26" t="s">
        <v>268</v>
      </c>
      <c r="BC8" s="495"/>
      <c r="BD8" s="240" t="s">
        <v>268</v>
      </c>
      <c r="BE8" s="495"/>
      <c r="BF8" s="26" t="s">
        <v>268</v>
      </c>
      <c r="BG8" s="495"/>
      <c r="BH8" s="240" t="s">
        <v>268</v>
      </c>
      <c r="BI8" s="495"/>
      <c r="BJ8" s="26" t="s">
        <v>268</v>
      </c>
      <c r="BK8" s="495"/>
      <c r="BL8" s="240" t="s">
        <v>268</v>
      </c>
      <c r="BM8" s="495"/>
      <c r="BN8" s="26" t="s">
        <v>268</v>
      </c>
      <c r="BO8" s="495"/>
      <c r="BP8" s="240" t="s">
        <v>268</v>
      </c>
      <c r="BQ8" s="495"/>
      <c r="BR8" s="26" t="s">
        <v>268</v>
      </c>
      <c r="BS8" s="495"/>
      <c r="BT8" s="240" t="s">
        <v>268</v>
      </c>
      <c r="BU8" s="495"/>
      <c r="BV8" s="26" t="s">
        <v>268</v>
      </c>
      <c r="BW8" s="495"/>
      <c r="BX8" s="240" t="s">
        <v>268</v>
      </c>
      <c r="BY8" s="495"/>
      <c r="BZ8" s="26" t="s">
        <v>268</v>
      </c>
      <c r="CA8" s="495"/>
      <c r="CB8" s="240" t="s">
        <v>268</v>
      </c>
      <c r="CC8" s="495"/>
      <c r="CD8" s="26" t="s">
        <v>268</v>
      </c>
      <c r="CE8" s="495"/>
      <c r="CF8" s="240" t="s">
        <v>268</v>
      </c>
      <c r="CG8" s="495"/>
      <c r="CH8" s="26" t="s">
        <v>268</v>
      </c>
      <c r="CI8" s="495"/>
      <c r="CJ8" s="240" t="s">
        <v>268</v>
      </c>
      <c r="CK8" s="495"/>
      <c r="CL8" s="26" t="s">
        <v>268</v>
      </c>
      <c r="CM8" s="495"/>
      <c r="CN8" s="240" t="s">
        <v>268</v>
      </c>
      <c r="CO8" s="495"/>
      <c r="CP8" s="26" t="s">
        <v>268</v>
      </c>
      <c r="CQ8" s="495"/>
      <c r="CR8" s="240" t="s">
        <v>268</v>
      </c>
      <c r="CS8" s="495"/>
      <c r="CT8" s="26" t="s">
        <v>268</v>
      </c>
      <c r="CU8" s="495"/>
      <c r="CV8" s="240" t="s">
        <v>268</v>
      </c>
      <c r="CW8" s="495"/>
      <c r="CX8" s="26" t="s">
        <v>268</v>
      </c>
      <c r="CY8" s="495"/>
      <c r="CZ8" s="240" t="s">
        <v>268</v>
      </c>
      <c r="DA8" s="495"/>
      <c r="DB8" s="26" t="s">
        <v>268</v>
      </c>
      <c r="DC8" s="495"/>
      <c r="DD8" s="240" t="s">
        <v>268</v>
      </c>
      <c r="DE8" s="495"/>
      <c r="DF8" s="26" t="s">
        <v>268</v>
      </c>
      <c r="DG8" s="495"/>
      <c r="DH8" s="240" t="s">
        <v>268</v>
      </c>
      <c r="DI8" s="495"/>
      <c r="DJ8" s="26" t="s">
        <v>268</v>
      </c>
      <c r="DK8" s="495"/>
      <c r="DL8" s="240" t="s">
        <v>268</v>
      </c>
      <c r="DM8" s="495"/>
      <c r="DN8" s="26" t="s">
        <v>268</v>
      </c>
      <c r="DO8" s="495"/>
      <c r="DP8" s="240" t="s">
        <v>268</v>
      </c>
      <c r="DQ8" s="495"/>
      <c r="DR8" s="26" t="s">
        <v>268</v>
      </c>
      <c r="DS8" s="495"/>
      <c r="DT8" s="240" t="s">
        <v>268</v>
      </c>
      <c r="DU8" s="495"/>
      <c r="DV8" s="26" t="s">
        <v>268</v>
      </c>
      <c r="DW8" s="495"/>
      <c r="DX8" s="240" t="s">
        <v>268</v>
      </c>
      <c r="DY8" s="495"/>
      <c r="DZ8" s="26" t="s">
        <v>268</v>
      </c>
      <c r="EA8" s="495"/>
      <c r="EB8" s="240" t="s">
        <v>268</v>
      </c>
      <c r="EC8" s="495"/>
      <c r="ED8" s="26" t="s">
        <v>268</v>
      </c>
      <c r="EE8" s="495"/>
      <c r="EF8" s="240" t="s">
        <v>268</v>
      </c>
      <c r="EG8" s="495"/>
      <c r="EH8" s="26" t="s">
        <v>268</v>
      </c>
      <c r="EI8" s="495"/>
      <c r="EJ8" s="240" t="s">
        <v>268</v>
      </c>
      <c r="EK8" s="495"/>
      <c r="EL8" s="26" t="s">
        <v>268</v>
      </c>
      <c r="EM8" s="495"/>
      <c r="EN8" s="240" t="s">
        <v>268</v>
      </c>
      <c r="EO8" s="495"/>
      <c r="EP8" s="26" t="s">
        <v>268</v>
      </c>
      <c r="EQ8" s="495"/>
      <c r="ER8" s="240" t="s">
        <v>268</v>
      </c>
      <c r="ES8" s="495"/>
      <c r="ET8" s="26" t="s">
        <v>268</v>
      </c>
      <c r="EU8" s="495"/>
      <c r="EV8" s="240" t="s">
        <v>268</v>
      </c>
      <c r="EW8" s="495"/>
      <c r="EX8" s="26" t="s">
        <v>268</v>
      </c>
      <c r="EY8" s="495"/>
      <c r="EZ8" s="240" t="s">
        <v>268</v>
      </c>
      <c r="FA8" s="495"/>
      <c r="FB8" s="26" t="s">
        <v>268</v>
      </c>
      <c r="FC8" s="495"/>
      <c r="FD8" s="240" t="s">
        <v>268</v>
      </c>
      <c r="FE8" s="495"/>
      <c r="FF8" s="26" t="s">
        <v>268</v>
      </c>
      <c r="FG8" s="495"/>
      <c r="FH8" s="240" t="s">
        <v>268</v>
      </c>
      <c r="FI8" s="495"/>
      <c r="FJ8" s="26" t="s">
        <v>268</v>
      </c>
      <c r="FK8" s="495"/>
      <c r="FL8" s="240" t="s">
        <v>268</v>
      </c>
      <c r="FM8" s="495"/>
      <c r="FN8" s="26" t="s">
        <v>268</v>
      </c>
      <c r="FO8" s="495"/>
      <c r="FP8" s="240" t="s">
        <v>268</v>
      </c>
      <c r="FQ8" s="495"/>
      <c r="FR8" s="26" t="s">
        <v>268</v>
      </c>
      <c r="FS8" s="495"/>
      <c r="FT8" s="240" t="s">
        <v>268</v>
      </c>
      <c r="FU8" s="495"/>
      <c r="FV8" s="26" t="s">
        <v>268</v>
      </c>
      <c r="FW8" s="495"/>
      <c r="FX8" s="240" t="s">
        <v>268</v>
      </c>
      <c r="FY8" s="495"/>
      <c r="FZ8" s="26" t="s">
        <v>268</v>
      </c>
      <c r="GA8" s="495"/>
      <c r="GB8" s="240" t="s">
        <v>268</v>
      </c>
      <c r="GC8" s="495"/>
      <c r="GD8" s="26" t="s">
        <v>268</v>
      </c>
      <c r="GE8" s="495"/>
      <c r="GF8" s="240" t="s">
        <v>268</v>
      </c>
      <c r="GG8" s="495"/>
      <c r="GH8" s="26" t="s">
        <v>268</v>
      </c>
      <c r="GI8" s="495"/>
      <c r="GJ8" s="240" t="s">
        <v>268</v>
      </c>
      <c r="GK8" s="495"/>
      <c r="GL8" s="26" t="s">
        <v>268</v>
      </c>
      <c r="GM8" s="495"/>
      <c r="GN8" s="240" t="s">
        <v>268</v>
      </c>
      <c r="GO8" s="495"/>
      <c r="GP8" s="26" t="s">
        <v>268</v>
      </c>
      <c r="GQ8" s="495"/>
      <c r="GR8" s="240" t="s">
        <v>268</v>
      </c>
      <c r="GS8" s="495"/>
      <c r="GT8" s="26" t="s">
        <v>268</v>
      </c>
      <c r="GU8" s="495"/>
      <c r="GV8" s="240" t="s">
        <v>268</v>
      </c>
      <c r="GW8" s="495"/>
      <c r="GX8" s="26" t="s">
        <v>268</v>
      </c>
      <c r="GY8" s="495"/>
      <c r="GZ8" s="240" t="s">
        <v>268</v>
      </c>
      <c r="HA8" s="495"/>
      <c r="HB8" s="26" t="s">
        <v>268</v>
      </c>
      <c r="HC8" s="495"/>
      <c r="HD8" s="240" t="s">
        <v>268</v>
      </c>
      <c r="HE8" s="495"/>
      <c r="HF8" s="26" t="s">
        <v>268</v>
      </c>
      <c r="HG8" s="495"/>
      <c r="HH8" s="240" t="s">
        <v>268</v>
      </c>
      <c r="HI8" s="495"/>
      <c r="HJ8" s="26" t="s">
        <v>268</v>
      </c>
      <c r="HK8" s="495"/>
      <c r="HL8" s="240" t="s">
        <v>268</v>
      </c>
      <c r="HM8" s="495"/>
      <c r="HN8" s="26" t="s">
        <v>268</v>
      </c>
      <c r="HO8" s="495"/>
      <c r="HP8" s="240" t="s">
        <v>268</v>
      </c>
      <c r="HQ8" s="495"/>
      <c r="HR8" s="26" t="s">
        <v>268</v>
      </c>
      <c r="HS8" s="495"/>
      <c r="HT8" s="240" t="s">
        <v>268</v>
      </c>
      <c r="HU8" s="495"/>
      <c r="HV8" s="26" t="s">
        <v>268</v>
      </c>
      <c r="HW8" s="495"/>
      <c r="HX8" s="240" t="s">
        <v>268</v>
      </c>
      <c r="HY8" s="495"/>
      <c r="HZ8" s="26" t="s">
        <v>268</v>
      </c>
      <c r="IA8" s="495"/>
      <c r="IB8" s="240" t="s">
        <v>268</v>
      </c>
      <c r="IC8" s="495"/>
      <c r="ID8" s="26" t="s">
        <v>268</v>
      </c>
      <c r="IE8" s="495"/>
      <c r="IF8" s="240" t="s">
        <v>268</v>
      </c>
      <c r="IG8" s="495"/>
      <c r="IH8" s="26" t="s">
        <v>268</v>
      </c>
      <c r="II8" s="495"/>
      <c r="IJ8" s="240" t="s">
        <v>268</v>
      </c>
      <c r="IK8" s="495"/>
      <c r="IL8" s="26" t="s">
        <v>268</v>
      </c>
      <c r="IM8" s="495"/>
      <c r="IN8" s="240" t="s">
        <v>268</v>
      </c>
      <c r="IO8" s="495"/>
      <c r="IP8" s="26" t="s">
        <v>268</v>
      </c>
      <c r="IQ8" s="495"/>
      <c r="IR8" s="240" t="s">
        <v>268</v>
      </c>
      <c r="IS8" s="495"/>
      <c r="IT8" s="26" t="s">
        <v>268</v>
      </c>
      <c r="IU8" s="495"/>
      <c r="IV8" s="240" t="s">
        <v>268</v>
      </c>
      <c r="IW8" s="495"/>
      <c r="IX8" s="26" t="s">
        <v>268</v>
      </c>
      <c r="IY8" s="495"/>
      <c r="IZ8" s="240" t="s">
        <v>268</v>
      </c>
      <c r="JA8" s="495"/>
      <c r="JB8" s="26" t="s">
        <v>268</v>
      </c>
      <c r="JC8" s="495"/>
      <c r="JD8" s="240" t="s">
        <v>268</v>
      </c>
      <c r="JE8" s="495"/>
      <c r="JF8" s="26" t="s">
        <v>268</v>
      </c>
      <c r="JG8" s="495"/>
      <c r="JH8" s="240" t="s">
        <v>268</v>
      </c>
      <c r="JI8" s="495"/>
      <c r="JJ8" s="26" t="s">
        <v>268</v>
      </c>
      <c r="JK8" s="495"/>
      <c r="JL8" s="240" t="s">
        <v>268</v>
      </c>
      <c r="JM8" s="495"/>
      <c r="JN8" s="26" t="s">
        <v>268</v>
      </c>
      <c r="JO8" s="495"/>
      <c r="JP8" s="240" t="s">
        <v>268</v>
      </c>
      <c r="JQ8" s="495"/>
      <c r="JR8" s="26" t="s">
        <v>268</v>
      </c>
      <c r="JS8" s="495"/>
      <c r="JT8" s="240" t="s">
        <v>268</v>
      </c>
      <c r="JU8" s="495"/>
      <c r="JV8" s="26" t="s">
        <v>268</v>
      </c>
      <c r="JW8" s="495"/>
      <c r="JX8" s="240" t="s">
        <v>268</v>
      </c>
      <c r="JY8" s="495"/>
      <c r="JZ8" s="26" t="s">
        <v>268</v>
      </c>
      <c r="KA8" s="495"/>
      <c r="KB8" s="240" t="s">
        <v>268</v>
      </c>
      <c r="KC8" s="495"/>
      <c r="KD8" s="26" t="s">
        <v>268</v>
      </c>
      <c r="KE8" s="495"/>
      <c r="KF8" s="240" t="s">
        <v>268</v>
      </c>
      <c r="KG8" s="495"/>
      <c r="KH8" s="26" t="s">
        <v>268</v>
      </c>
      <c r="KI8" s="495"/>
      <c r="KJ8" s="240" t="s">
        <v>268</v>
      </c>
      <c r="KK8" s="495"/>
      <c r="KL8" s="26" t="s">
        <v>268</v>
      </c>
      <c r="KM8" s="495"/>
      <c r="KN8" s="240" t="s">
        <v>268</v>
      </c>
      <c r="KO8" s="495"/>
      <c r="KP8" s="26" t="s">
        <v>268</v>
      </c>
      <c r="KQ8" s="495"/>
      <c r="KR8" s="240" t="s">
        <v>268</v>
      </c>
      <c r="KS8" s="495"/>
      <c r="KT8" s="26" t="s">
        <v>268</v>
      </c>
      <c r="KU8" s="495"/>
      <c r="KV8" s="240" t="s">
        <v>268</v>
      </c>
      <c r="KW8" s="495"/>
      <c r="KX8" s="26" t="s">
        <v>268</v>
      </c>
      <c r="KY8" s="495"/>
      <c r="KZ8" s="240" t="s">
        <v>268</v>
      </c>
      <c r="LA8" s="495"/>
      <c r="LB8" s="26" t="s">
        <v>268</v>
      </c>
      <c r="LC8" s="495"/>
      <c r="LD8" s="240" t="s">
        <v>268</v>
      </c>
      <c r="LE8" s="495"/>
      <c r="LF8" s="26" t="s">
        <v>268</v>
      </c>
      <c r="LG8" s="495"/>
      <c r="LH8" s="240" t="s">
        <v>268</v>
      </c>
      <c r="LI8" s="495"/>
      <c r="LJ8" s="26" t="s">
        <v>268</v>
      </c>
      <c r="LK8" s="495"/>
      <c r="LL8" s="240" t="s">
        <v>268</v>
      </c>
      <c r="LM8" s="495"/>
      <c r="LN8" s="26" t="s">
        <v>268</v>
      </c>
      <c r="LO8" s="495"/>
      <c r="LP8" s="240" t="s">
        <v>268</v>
      </c>
      <c r="LQ8" s="495"/>
      <c r="LR8" s="26" t="s">
        <v>268</v>
      </c>
      <c r="LS8" s="495"/>
      <c r="LT8" s="240" t="s">
        <v>268</v>
      </c>
      <c r="LU8" s="495"/>
      <c r="LV8" s="26" t="s">
        <v>268</v>
      </c>
      <c r="LW8" s="495"/>
      <c r="LX8" s="240" t="s">
        <v>268</v>
      </c>
      <c r="LY8" s="495"/>
      <c r="LZ8" s="26" t="s">
        <v>268</v>
      </c>
      <c r="MA8" s="495"/>
      <c r="MB8" s="240" t="s">
        <v>268</v>
      </c>
      <c r="MC8" s="495"/>
      <c r="MD8" s="26" t="s">
        <v>268</v>
      </c>
      <c r="ME8" s="495"/>
      <c r="MF8" s="240" t="s">
        <v>268</v>
      </c>
      <c r="MG8" s="495"/>
      <c r="MH8" s="26" t="s">
        <v>268</v>
      </c>
      <c r="MI8" s="495"/>
      <c r="MJ8" s="240" t="s">
        <v>268</v>
      </c>
      <c r="MK8" s="495"/>
      <c r="ML8" s="26" t="s">
        <v>268</v>
      </c>
      <c r="MM8" s="495"/>
      <c r="MN8" s="240" t="s">
        <v>268</v>
      </c>
      <c r="MO8" s="495"/>
      <c r="MP8" s="26" t="s">
        <v>268</v>
      </c>
      <c r="MQ8" s="495"/>
      <c r="MR8" s="240" t="s">
        <v>268</v>
      </c>
      <c r="MS8" s="495"/>
      <c r="MT8" s="26" t="s">
        <v>268</v>
      </c>
      <c r="MU8" s="495"/>
      <c r="MV8" s="240" t="s">
        <v>268</v>
      </c>
      <c r="MW8" s="495"/>
      <c r="MX8" s="26" t="s">
        <v>268</v>
      </c>
      <c r="MY8" s="495"/>
      <c r="MZ8" s="240" t="s">
        <v>268</v>
      </c>
      <c r="NA8" s="495"/>
      <c r="NB8" s="26" t="s">
        <v>268</v>
      </c>
      <c r="NC8" s="495"/>
      <c r="ND8" s="240" t="s">
        <v>268</v>
      </c>
      <c r="NE8" s="495"/>
      <c r="NF8" s="26" t="s">
        <v>268</v>
      </c>
      <c r="NG8" s="495"/>
      <c r="NH8" s="240" t="s">
        <v>268</v>
      </c>
      <c r="NI8" s="495"/>
      <c r="NJ8" s="26" t="s">
        <v>268</v>
      </c>
      <c r="NK8" s="495"/>
      <c r="NL8" s="240" t="s">
        <v>268</v>
      </c>
      <c r="NM8" s="495"/>
      <c r="NN8" s="26" t="s">
        <v>268</v>
      </c>
      <c r="NO8" s="495"/>
      <c r="NP8" s="240" t="s">
        <v>268</v>
      </c>
      <c r="NQ8" s="495"/>
      <c r="NR8" s="26" t="s">
        <v>268</v>
      </c>
      <c r="NS8" s="495"/>
      <c r="NT8" s="240" t="s">
        <v>268</v>
      </c>
      <c r="NU8" s="495"/>
      <c r="NV8" s="26" t="s">
        <v>268</v>
      </c>
      <c r="NW8" s="495"/>
      <c r="NX8" s="240" t="s">
        <v>268</v>
      </c>
      <c r="NY8" s="495"/>
      <c r="NZ8" s="26" t="s">
        <v>268</v>
      </c>
      <c r="OA8" s="495"/>
      <c r="OB8" s="240" t="s">
        <v>268</v>
      </c>
      <c r="OC8" s="495"/>
      <c r="OD8" s="26" t="s">
        <v>268</v>
      </c>
      <c r="OE8" s="495"/>
      <c r="OF8" s="240" t="s">
        <v>268</v>
      </c>
      <c r="OG8" s="495"/>
      <c r="OH8" s="26" t="s">
        <v>268</v>
      </c>
      <c r="OI8" s="495"/>
      <c r="OJ8" s="240" t="s">
        <v>268</v>
      </c>
      <c r="OK8" s="495"/>
      <c r="OL8" s="26" t="s">
        <v>268</v>
      </c>
      <c r="OM8" s="495"/>
      <c r="ON8" s="494"/>
    </row>
    <row r="9" spans="1:404" ht="18.75" customHeight="1" x14ac:dyDescent="0.4">
      <c r="A9" s="355"/>
      <c r="B9" s="356"/>
      <c r="C9" s="355"/>
      <c r="D9" s="260" t="s">
        <v>271</v>
      </c>
      <c r="E9" s="497"/>
      <c r="F9" s="99" t="s">
        <v>271</v>
      </c>
      <c r="G9" s="497"/>
      <c r="H9" s="260" t="s">
        <v>271</v>
      </c>
      <c r="I9" s="498">
        <v>0</v>
      </c>
      <c r="J9" s="99" t="s">
        <v>271</v>
      </c>
      <c r="K9" s="497"/>
      <c r="L9" s="260" t="s">
        <v>271</v>
      </c>
      <c r="M9" s="497"/>
      <c r="N9" s="99"/>
      <c r="O9" s="497"/>
      <c r="P9" s="260"/>
      <c r="Q9" s="497"/>
      <c r="R9" s="99"/>
      <c r="S9" s="497"/>
      <c r="T9" s="260"/>
      <c r="U9" s="497"/>
      <c r="V9" s="99" t="s">
        <v>271</v>
      </c>
      <c r="W9" s="497"/>
      <c r="X9" s="260" t="s">
        <v>271</v>
      </c>
      <c r="Y9" s="497"/>
      <c r="Z9" s="99" t="s">
        <v>271</v>
      </c>
      <c r="AA9" s="497"/>
      <c r="AB9" s="96" t="s">
        <v>271</v>
      </c>
      <c r="AC9" s="497"/>
      <c r="AD9" s="297" t="s">
        <v>271</v>
      </c>
      <c r="AE9" s="497"/>
      <c r="AF9" s="96" t="s">
        <v>271</v>
      </c>
      <c r="AG9" s="497"/>
      <c r="AH9" s="297" t="s">
        <v>271</v>
      </c>
      <c r="AI9" s="497"/>
      <c r="AJ9" s="96" t="s">
        <v>271</v>
      </c>
      <c r="AK9" s="497"/>
      <c r="AL9" s="297" t="s">
        <v>271</v>
      </c>
      <c r="AM9" s="497"/>
      <c r="AN9" s="96" t="s">
        <v>271</v>
      </c>
      <c r="AO9" s="497"/>
      <c r="AP9" s="297" t="s">
        <v>271</v>
      </c>
      <c r="AQ9" s="497"/>
      <c r="AR9" s="96" t="s">
        <v>271</v>
      </c>
      <c r="AS9" s="497"/>
      <c r="AT9" s="297" t="s">
        <v>271</v>
      </c>
      <c r="AU9" s="497"/>
      <c r="AV9" s="96" t="s">
        <v>271</v>
      </c>
      <c r="AW9" s="497"/>
      <c r="AX9" s="297" t="s">
        <v>271</v>
      </c>
      <c r="AY9" s="497"/>
      <c r="AZ9" s="96" t="s">
        <v>271</v>
      </c>
      <c r="BA9" s="497"/>
      <c r="BB9" s="297" t="s">
        <v>271</v>
      </c>
      <c r="BC9" s="497"/>
      <c r="BD9" s="96" t="s">
        <v>271</v>
      </c>
      <c r="BE9" s="497"/>
      <c r="BF9" s="297" t="s">
        <v>271</v>
      </c>
      <c r="BG9" s="497"/>
      <c r="BH9" s="96" t="s">
        <v>271</v>
      </c>
      <c r="BI9" s="497"/>
      <c r="BJ9" s="297" t="s">
        <v>271</v>
      </c>
      <c r="BK9" s="497"/>
      <c r="BL9" s="96" t="s">
        <v>271</v>
      </c>
      <c r="BM9" s="497"/>
      <c r="BN9" s="297" t="s">
        <v>271</v>
      </c>
      <c r="BO9" s="497"/>
      <c r="BP9" s="96" t="s">
        <v>271</v>
      </c>
      <c r="BQ9" s="497"/>
      <c r="BR9" s="297" t="s">
        <v>271</v>
      </c>
      <c r="BS9" s="497"/>
      <c r="BT9" s="96" t="s">
        <v>271</v>
      </c>
      <c r="BU9" s="497"/>
      <c r="BV9" s="297" t="s">
        <v>271</v>
      </c>
      <c r="BW9" s="497"/>
      <c r="BX9" s="96" t="s">
        <v>271</v>
      </c>
      <c r="BY9" s="497"/>
      <c r="BZ9" s="297" t="s">
        <v>271</v>
      </c>
      <c r="CA9" s="497"/>
      <c r="CB9" s="96" t="s">
        <v>271</v>
      </c>
      <c r="CC9" s="497"/>
      <c r="CD9" s="297" t="s">
        <v>271</v>
      </c>
      <c r="CE9" s="497"/>
      <c r="CF9" s="96" t="s">
        <v>271</v>
      </c>
      <c r="CG9" s="497"/>
      <c r="CH9" s="297" t="s">
        <v>271</v>
      </c>
      <c r="CI9" s="497"/>
      <c r="CJ9" s="96" t="s">
        <v>271</v>
      </c>
      <c r="CK9" s="497"/>
      <c r="CL9" s="297" t="s">
        <v>271</v>
      </c>
      <c r="CM9" s="497"/>
      <c r="CN9" s="96" t="s">
        <v>271</v>
      </c>
      <c r="CO9" s="497"/>
      <c r="CP9" s="297" t="s">
        <v>271</v>
      </c>
      <c r="CQ9" s="497"/>
      <c r="CR9" s="96" t="s">
        <v>271</v>
      </c>
      <c r="CS9" s="497"/>
      <c r="CT9" s="297" t="s">
        <v>271</v>
      </c>
      <c r="CU9" s="497"/>
      <c r="CV9" s="96" t="s">
        <v>271</v>
      </c>
      <c r="CW9" s="497"/>
      <c r="CX9" s="297" t="s">
        <v>271</v>
      </c>
      <c r="CY9" s="497"/>
      <c r="CZ9" s="96" t="s">
        <v>271</v>
      </c>
      <c r="DA9" s="497"/>
      <c r="DB9" s="297" t="s">
        <v>271</v>
      </c>
      <c r="DC9" s="497"/>
      <c r="DD9" s="96" t="s">
        <v>271</v>
      </c>
      <c r="DE9" s="497"/>
      <c r="DF9" s="297" t="s">
        <v>271</v>
      </c>
      <c r="DG9" s="497"/>
      <c r="DH9" s="96" t="s">
        <v>271</v>
      </c>
      <c r="DI9" s="497"/>
      <c r="DJ9" s="297" t="s">
        <v>271</v>
      </c>
      <c r="DK9" s="497"/>
      <c r="DL9" s="96" t="s">
        <v>271</v>
      </c>
      <c r="DM9" s="497"/>
      <c r="DN9" s="297" t="s">
        <v>271</v>
      </c>
      <c r="DO9" s="497"/>
      <c r="DP9" s="96" t="s">
        <v>271</v>
      </c>
      <c r="DQ9" s="497"/>
      <c r="DR9" s="297" t="s">
        <v>271</v>
      </c>
      <c r="DS9" s="497"/>
      <c r="DT9" s="96" t="s">
        <v>271</v>
      </c>
      <c r="DU9" s="497"/>
      <c r="DV9" s="297" t="s">
        <v>271</v>
      </c>
      <c r="DW9" s="497"/>
      <c r="DX9" s="96" t="s">
        <v>271</v>
      </c>
      <c r="DY9" s="497"/>
      <c r="DZ9" s="297" t="s">
        <v>271</v>
      </c>
      <c r="EA9" s="497"/>
      <c r="EB9" s="96" t="s">
        <v>271</v>
      </c>
      <c r="EC9" s="497"/>
      <c r="ED9" s="297" t="s">
        <v>271</v>
      </c>
      <c r="EE9" s="497"/>
      <c r="EF9" s="96" t="s">
        <v>271</v>
      </c>
      <c r="EG9" s="497"/>
      <c r="EH9" s="297" t="s">
        <v>271</v>
      </c>
      <c r="EI9" s="497"/>
      <c r="EJ9" s="96" t="s">
        <v>271</v>
      </c>
      <c r="EK9" s="497"/>
      <c r="EL9" s="297" t="s">
        <v>271</v>
      </c>
      <c r="EM9" s="497"/>
      <c r="EN9" s="96" t="s">
        <v>271</v>
      </c>
      <c r="EO9" s="497"/>
      <c r="EP9" s="297" t="s">
        <v>271</v>
      </c>
      <c r="EQ9" s="497"/>
      <c r="ER9" s="96" t="s">
        <v>271</v>
      </c>
      <c r="ES9" s="497"/>
      <c r="ET9" s="297" t="s">
        <v>271</v>
      </c>
      <c r="EU9" s="497"/>
      <c r="EV9" s="96" t="s">
        <v>271</v>
      </c>
      <c r="EW9" s="497"/>
      <c r="EX9" s="297" t="s">
        <v>271</v>
      </c>
      <c r="EY9" s="497"/>
      <c r="EZ9" s="96" t="s">
        <v>271</v>
      </c>
      <c r="FA9" s="497"/>
      <c r="FB9" s="297" t="s">
        <v>271</v>
      </c>
      <c r="FC9" s="497"/>
      <c r="FD9" s="96" t="s">
        <v>271</v>
      </c>
      <c r="FE9" s="497"/>
      <c r="FF9" s="297" t="s">
        <v>271</v>
      </c>
      <c r="FG9" s="497"/>
      <c r="FH9" s="96" t="s">
        <v>271</v>
      </c>
      <c r="FI9" s="497"/>
      <c r="FJ9" s="297" t="s">
        <v>271</v>
      </c>
      <c r="FK9" s="497"/>
      <c r="FL9" s="96" t="s">
        <v>271</v>
      </c>
      <c r="FM9" s="497"/>
      <c r="FN9" s="297" t="s">
        <v>271</v>
      </c>
      <c r="FO9" s="497"/>
      <c r="FP9" s="96" t="s">
        <v>271</v>
      </c>
      <c r="FQ9" s="497"/>
      <c r="FR9" s="297" t="s">
        <v>271</v>
      </c>
      <c r="FS9" s="497"/>
      <c r="FT9" s="96" t="s">
        <v>271</v>
      </c>
      <c r="FU9" s="497"/>
      <c r="FV9" s="297" t="s">
        <v>271</v>
      </c>
      <c r="FW9" s="497"/>
      <c r="FX9" s="96" t="s">
        <v>271</v>
      </c>
      <c r="FY9" s="497"/>
      <c r="FZ9" s="297" t="s">
        <v>271</v>
      </c>
      <c r="GA9" s="497"/>
      <c r="GB9" s="96" t="s">
        <v>271</v>
      </c>
      <c r="GC9" s="497"/>
      <c r="GD9" s="297" t="s">
        <v>271</v>
      </c>
      <c r="GE9" s="497"/>
      <c r="GF9" s="96" t="s">
        <v>271</v>
      </c>
      <c r="GG9" s="497"/>
      <c r="GH9" s="297" t="s">
        <v>271</v>
      </c>
      <c r="GI9" s="497"/>
      <c r="GJ9" s="96" t="s">
        <v>271</v>
      </c>
      <c r="GK9" s="497"/>
      <c r="GL9" s="297" t="s">
        <v>271</v>
      </c>
      <c r="GM9" s="497"/>
      <c r="GN9" s="96" t="s">
        <v>271</v>
      </c>
      <c r="GO9" s="497"/>
      <c r="GP9" s="297" t="s">
        <v>271</v>
      </c>
      <c r="GQ9" s="497"/>
      <c r="GR9" s="96" t="s">
        <v>271</v>
      </c>
      <c r="GS9" s="497"/>
      <c r="GT9" s="297" t="s">
        <v>271</v>
      </c>
      <c r="GU9" s="497"/>
      <c r="GV9" s="96" t="s">
        <v>271</v>
      </c>
      <c r="GW9" s="497"/>
      <c r="GX9" s="297" t="s">
        <v>271</v>
      </c>
      <c r="GY9" s="497"/>
      <c r="GZ9" s="96" t="s">
        <v>271</v>
      </c>
      <c r="HA9" s="497"/>
      <c r="HB9" s="297" t="s">
        <v>271</v>
      </c>
      <c r="HC9" s="497"/>
      <c r="HD9" s="96" t="s">
        <v>271</v>
      </c>
      <c r="HE9" s="497"/>
      <c r="HF9" s="297" t="s">
        <v>271</v>
      </c>
      <c r="HG9" s="497"/>
      <c r="HH9" s="96" t="s">
        <v>271</v>
      </c>
      <c r="HI9" s="497"/>
      <c r="HJ9" s="297" t="s">
        <v>271</v>
      </c>
      <c r="HK9" s="497"/>
      <c r="HL9" s="96" t="s">
        <v>271</v>
      </c>
      <c r="HM9" s="497"/>
      <c r="HN9" s="297" t="s">
        <v>271</v>
      </c>
      <c r="HO9" s="497"/>
      <c r="HP9" s="96" t="s">
        <v>271</v>
      </c>
      <c r="HQ9" s="497"/>
      <c r="HR9" s="297" t="s">
        <v>271</v>
      </c>
      <c r="HS9" s="497"/>
      <c r="HT9" s="96" t="s">
        <v>271</v>
      </c>
      <c r="HU9" s="497"/>
      <c r="HV9" s="297" t="s">
        <v>271</v>
      </c>
      <c r="HW9" s="497"/>
      <c r="HX9" s="96" t="s">
        <v>271</v>
      </c>
      <c r="HY9" s="497"/>
      <c r="HZ9" s="297" t="s">
        <v>271</v>
      </c>
      <c r="IA9" s="497"/>
      <c r="IB9" s="96" t="s">
        <v>271</v>
      </c>
      <c r="IC9" s="497"/>
      <c r="ID9" s="297" t="s">
        <v>271</v>
      </c>
      <c r="IE9" s="497"/>
      <c r="IF9" s="96" t="s">
        <v>271</v>
      </c>
      <c r="IG9" s="497"/>
      <c r="IH9" s="297" t="s">
        <v>271</v>
      </c>
      <c r="II9" s="497"/>
      <c r="IJ9" s="96" t="s">
        <v>271</v>
      </c>
      <c r="IK9" s="497"/>
      <c r="IL9" s="297" t="s">
        <v>271</v>
      </c>
      <c r="IM9" s="497"/>
      <c r="IN9" s="96" t="s">
        <v>271</v>
      </c>
      <c r="IO9" s="497"/>
      <c r="IP9" s="297" t="s">
        <v>271</v>
      </c>
      <c r="IQ9" s="497"/>
      <c r="IR9" s="96" t="s">
        <v>271</v>
      </c>
      <c r="IS9" s="497"/>
      <c r="IT9" s="297" t="s">
        <v>271</v>
      </c>
      <c r="IU9" s="497"/>
      <c r="IV9" s="96" t="s">
        <v>271</v>
      </c>
      <c r="IW9" s="497"/>
      <c r="IX9" s="297" t="s">
        <v>271</v>
      </c>
      <c r="IY9" s="497"/>
      <c r="IZ9" s="96" t="s">
        <v>271</v>
      </c>
      <c r="JA9" s="497"/>
      <c r="JB9" s="297" t="s">
        <v>271</v>
      </c>
      <c r="JC9" s="497"/>
      <c r="JD9" s="96" t="s">
        <v>271</v>
      </c>
      <c r="JE9" s="497"/>
      <c r="JF9" s="297" t="s">
        <v>271</v>
      </c>
      <c r="JG9" s="497"/>
      <c r="JH9" s="96" t="s">
        <v>271</v>
      </c>
      <c r="JI9" s="497"/>
      <c r="JJ9" s="297" t="s">
        <v>271</v>
      </c>
      <c r="JK9" s="497"/>
      <c r="JL9" s="96" t="s">
        <v>271</v>
      </c>
      <c r="JM9" s="497"/>
      <c r="JN9" s="297" t="s">
        <v>271</v>
      </c>
      <c r="JO9" s="497"/>
      <c r="JP9" s="96" t="s">
        <v>271</v>
      </c>
      <c r="JQ9" s="497"/>
      <c r="JR9" s="297" t="s">
        <v>271</v>
      </c>
      <c r="JS9" s="497"/>
      <c r="JT9" s="96" t="s">
        <v>271</v>
      </c>
      <c r="JU9" s="497"/>
      <c r="JV9" s="297" t="s">
        <v>271</v>
      </c>
      <c r="JW9" s="497"/>
      <c r="JX9" s="96" t="s">
        <v>271</v>
      </c>
      <c r="JY9" s="497"/>
      <c r="JZ9" s="297" t="s">
        <v>271</v>
      </c>
      <c r="KA9" s="497"/>
      <c r="KB9" s="96" t="s">
        <v>271</v>
      </c>
      <c r="KC9" s="497"/>
      <c r="KD9" s="297" t="s">
        <v>271</v>
      </c>
      <c r="KE9" s="497"/>
      <c r="KF9" s="96" t="s">
        <v>271</v>
      </c>
      <c r="KG9" s="497"/>
      <c r="KH9" s="297" t="s">
        <v>271</v>
      </c>
      <c r="KI9" s="497"/>
      <c r="KJ9" s="96" t="s">
        <v>271</v>
      </c>
      <c r="KK9" s="497"/>
      <c r="KL9" s="297" t="s">
        <v>271</v>
      </c>
      <c r="KM9" s="497"/>
      <c r="KN9" s="96" t="s">
        <v>271</v>
      </c>
      <c r="KO9" s="497"/>
      <c r="KP9" s="297" t="s">
        <v>271</v>
      </c>
      <c r="KQ9" s="497"/>
      <c r="KR9" s="96" t="s">
        <v>271</v>
      </c>
      <c r="KS9" s="497"/>
      <c r="KT9" s="297" t="s">
        <v>271</v>
      </c>
      <c r="KU9" s="497"/>
      <c r="KV9" s="96" t="s">
        <v>271</v>
      </c>
      <c r="KW9" s="497"/>
      <c r="KX9" s="297" t="s">
        <v>271</v>
      </c>
      <c r="KY9" s="497"/>
      <c r="KZ9" s="96" t="s">
        <v>271</v>
      </c>
      <c r="LA9" s="497"/>
      <c r="LB9" s="297" t="s">
        <v>271</v>
      </c>
      <c r="LC9" s="497"/>
      <c r="LD9" s="96" t="s">
        <v>271</v>
      </c>
      <c r="LE9" s="497"/>
      <c r="LF9" s="297" t="s">
        <v>271</v>
      </c>
      <c r="LG9" s="497"/>
      <c r="LH9" s="96" t="s">
        <v>271</v>
      </c>
      <c r="LI9" s="497"/>
      <c r="LJ9" s="297" t="s">
        <v>271</v>
      </c>
      <c r="LK9" s="497"/>
      <c r="LL9" s="96" t="s">
        <v>271</v>
      </c>
      <c r="LM9" s="497"/>
      <c r="LN9" s="297" t="s">
        <v>271</v>
      </c>
      <c r="LO9" s="497"/>
      <c r="LP9" s="96" t="s">
        <v>271</v>
      </c>
      <c r="LQ9" s="497"/>
      <c r="LR9" s="297" t="s">
        <v>271</v>
      </c>
      <c r="LS9" s="497"/>
      <c r="LT9" s="96" t="s">
        <v>271</v>
      </c>
      <c r="LU9" s="497"/>
      <c r="LV9" s="297" t="s">
        <v>271</v>
      </c>
      <c r="LW9" s="497"/>
      <c r="LX9" s="96" t="s">
        <v>271</v>
      </c>
      <c r="LY9" s="497"/>
      <c r="LZ9" s="297" t="s">
        <v>271</v>
      </c>
      <c r="MA9" s="497"/>
      <c r="MB9" s="96" t="s">
        <v>271</v>
      </c>
      <c r="MC9" s="497"/>
      <c r="MD9" s="297" t="s">
        <v>271</v>
      </c>
      <c r="ME9" s="497"/>
      <c r="MF9" s="96" t="s">
        <v>271</v>
      </c>
      <c r="MG9" s="497"/>
      <c r="MH9" s="297" t="s">
        <v>271</v>
      </c>
      <c r="MI9" s="497"/>
      <c r="MJ9" s="96" t="s">
        <v>271</v>
      </c>
      <c r="MK9" s="497"/>
      <c r="ML9" s="297" t="s">
        <v>271</v>
      </c>
      <c r="MM9" s="497"/>
      <c r="MN9" s="96" t="s">
        <v>271</v>
      </c>
      <c r="MO9" s="497"/>
      <c r="MP9" s="297" t="s">
        <v>271</v>
      </c>
      <c r="MQ9" s="497"/>
      <c r="MR9" s="96" t="s">
        <v>271</v>
      </c>
      <c r="MS9" s="497"/>
      <c r="MT9" s="297" t="s">
        <v>271</v>
      </c>
      <c r="MU9" s="497"/>
      <c r="MV9" s="96" t="s">
        <v>271</v>
      </c>
      <c r="MW9" s="497"/>
      <c r="MX9" s="297" t="s">
        <v>271</v>
      </c>
      <c r="MY9" s="497"/>
      <c r="MZ9" s="96" t="s">
        <v>271</v>
      </c>
      <c r="NA9" s="497"/>
      <c r="NB9" s="297" t="s">
        <v>271</v>
      </c>
      <c r="NC9" s="497"/>
      <c r="ND9" s="96" t="s">
        <v>271</v>
      </c>
      <c r="NE9" s="497"/>
      <c r="NF9" s="297" t="s">
        <v>271</v>
      </c>
      <c r="NG9" s="497"/>
      <c r="NH9" s="96" t="s">
        <v>271</v>
      </c>
      <c r="NI9" s="497"/>
      <c r="NJ9" s="297" t="s">
        <v>271</v>
      </c>
      <c r="NK9" s="497"/>
      <c r="NL9" s="96" t="s">
        <v>271</v>
      </c>
      <c r="NM9" s="497"/>
      <c r="NN9" s="297" t="s">
        <v>271</v>
      </c>
      <c r="NO9" s="497"/>
      <c r="NP9" s="96" t="s">
        <v>271</v>
      </c>
      <c r="NQ9" s="497"/>
      <c r="NR9" s="297" t="s">
        <v>271</v>
      </c>
      <c r="NS9" s="497"/>
      <c r="NT9" s="96" t="s">
        <v>271</v>
      </c>
      <c r="NU9" s="497"/>
      <c r="NV9" s="297" t="s">
        <v>271</v>
      </c>
      <c r="NW9" s="497"/>
      <c r="NX9" s="96" t="s">
        <v>271</v>
      </c>
      <c r="NY9" s="497"/>
      <c r="NZ9" s="297" t="s">
        <v>271</v>
      </c>
      <c r="OA9" s="497"/>
      <c r="OB9" s="96" t="s">
        <v>271</v>
      </c>
      <c r="OC9" s="497"/>
      <c r="OD9" s="297" t="s">
        <v>271</v>
      </c>
      <c r="OE9" s="497"/>
      <c r="OF9" s="96" t="s">
        <v>271</v>
      </c>
      <c r="OG9" s="497"/>
      <c r="OH9" s="297" t="s">
        <v>271</v>
      </c>
      <c r="OI9" s="497"/>
      <c r="OJ9" s="96" t="s">
        <v>271</v>
      </c>
      <c r="OK9" s="497"/>
      <c r="OL9" s="297" t="s">
        <v>271</v>
      </c>
      <c r="OM9" s="497"/>
      <c r="ON9" s="494"/>
    </row>
    <row r="10" spans="1:404" ht="18.75" customHeight="1" x14ac:dyDescent="0.4">
      <c r="A10" s="355"/>
      <c r="B10" s="356"/>
      <c r="C10" s="355"/>
      <c r="D10" s="499"/>
      <c r="E10" s="500"/>
      <c r="F10" s="431"/>
      <c r="G10" s="500"/>
      <c r="H10" s="181"/>
      <c r="I10" s="500"/>
      <c r="J10" s="431"/>
      <c r="K10" s="500"/>
      <c r="L10" s="499"/>
      <c r="M10" s="500"/>
      <c r="N10" s="431"/>
      <c r="O10" s="500"/>
      <c r="P10" s="499"/>
      <c r="Q10" s="500"/>
      <c r="R10" s="431"/>
      <c r="S10" s="500"/>
      <c r="T10" s="499"/>
      <c r="U10" s="500"/>
      <c r="V10" s="431"/>
      <c r="W10" s="500"/>
      <c r="X10" s="499"/>
      <c r="Y10" s="500"/>
      <c r="Z10" s="431"/>
      <c r="AA10" s="500"/>
      <c r="AB10" s="243"/>
      <c r="AC10" s="500"/>
      <c r="AD10" s="112"/>
      <c r="AE10" s="500"/>
      <c r="AF10" s="243"/>
      <c r="AG10" s="500" t="s">
        <v>457</v>
      </c>
      <c r="AH10" s="112"/>
      <c r="AI10" s="500" t="s">
        <v>458</v>
      </c>
      <c r="AJ10" s="243"/>
      <c r="AK10" s="500" t="s">
        <v>457</v>
      </c>
      <c r="AL10" s="112"/>
      <c r="AM10" s="500" t="s">
        <v>458</v>
      </c>
      <c r="AN10" s="243"/>
      <c r="AO10" s="500" t="s">
        <v>457</v>
      </c>
      <c r="AP10" s="112"/>
      <c r="AQ10" s="500" t="s">
        <v>458</v>
      </c>
      <c r="AR10" s="243"/>
      <c r="AS10" s="500" t="s">
        <v>457</v>
      </c>
      <c r="AT10" s="112"/>
      <c r="AU10" s="500" t="s">
        <v>458</v>
      </c>
      <c r="AV10" s="243"/>
      <c r="AW10" s="500" t="s">
        <v>457</v>
      </c>
      <c r="AX10" s="112"/>
      <c r="AY10" s="500" t="s">
        <v>458</v>
      </c>
      <c r="AZ10" s="243"/>
      <c r="BA10" s="500" t="s">
        <v>457</v>
      </c>
      <c r="BB10" s="112"/>
      <c r="BC10" s="500" t="s">
        <v>458</v>
      </c>
      <c r="BD10" s="243"/>
      <c r="BE10" s="500" t="s">
        <v>457</v>
      </c>
      <c r="BF10" s="112"/>
      <c r="BG10" s="500" t="s">
        <v>458</v>
      </c>
      <c r="BH10" s="243"/>
      <c r="BI10" s="500" t="s">
        <v>457</v>
      </c>
      <c r="BJ10" s="112"/>
      <c r="BK10" s="500" t="s">
        <v>458</v>
      </c>
      <c r="BL10" s="243"/>
      <c r="BM10" s="500" t="s">
        <v>457</v>
      </c>
      <c r="BN10" s="112"/>
      <c r="BO10" s="500" t="s">
        <v>458</v>
      </c>
      <c r="BP10" s="243"/>
      <c r="BQ10" s="500" t="s">
        <v>457</v>
      </c>
      <c r="BR10" s="112"/>
      <c r="BS10" s="500" t="s">
        <v>459</v>
      </c>
      <c r="BT10" s="243"/>
      <c r="BU10" s="500" t="s">
        <v>460</v>
      </c>
      <c r="BV10" s="112"/>
      <c r="BW10" s="500" t="s">
        <v>458</v>
      </c>
      <c r="BX10" s="243"/>
      <c r="BY10" s="500" t="s">
        <v>457</v>
      </c>
      <c r="BZ10" s="112"/>
      <c r="CA10" s="500" t="s">
        <v>458</v>
      </c>
      <c r="CB10" s="243"/>
      <c r="CC10" s="500" t="s">
        <v>457</v>
      </c>
      <c r="CD10" s="112"/>
      <c r="CE10" s="500" t="s">
        <v>458</v>
      </c>
      <c r="CF10" s="243"/>
      <c r="CG10" s="500" t="s">
        <v>457</v>
      </c>
      <c r="CH10" s="112"/>
      <c r="CI10" s="500" t="s">
        <v>458</v>
      </c>
      <c r="CJ10" s="243"/>
      <c r="CK10" s="500" t="s">
        <v>457</v>
      </c>
      <c r="CL10" s="112"/>
      <c r="CM10" s="500" t="s">
        <v>459</v>
      </c>
      <c r="CN10" s="243"/>
      <c r="CO10" s="500" t="s">
        <v>460</v>
      </c>
      <c r="CP10" s="112"/>
      <c r="CQ10" s="500" t="s">
        <v>458</v>
      </c>
      <c r="CR10" s="243"/>
      <c r="CS10" s="500" t="s">
        <v>457</v>
      </c>
      <c r="CT10" s="112"/>
      <c r="CU10" s="500" t="s">
        <v>458</v>
      </c>
      <c r="CV10" s="243"/>
      <c r="CW10" s="500" t="s">
        <v>457</v>
      </c>
      <c r="CX10" s="112"/>
      <c r="CY10" s="500" t="s">
        <v>458</v>
      </c>
      <c r="CZ10" s="243"/>
      <c r="DA10" s="500" t="s">
        <v>457</v>
      </c>
      <c r="DB10" s="112"/>
      <c r="DC10" s="500" t="s">
        <v>458</v>
      </c>
      <c r="DD10" s="243"/>
      <c r="DE10" s="500" t="s">
        <v>457</v>
      </c>
      <c r="DF10" s="112"/>
      <c r="DG10" s="500" t="s">
        <v>459</v>
      </c>
      <c r="DH10" s="243"/>
      <c r="DI10" s="500" t="s">
        <v>460</v>
      </c>
      <c r="DJ10" s="112"/>
      <c r="DK10" s="500" t="s">
        <v>458</v>
      </c>
      <c r="DL10" s="243"/>
      <c r="DM10" s="500" t="s">
        <v>457</v>
      </c>
      <c r="DN10" s="112"/>
      <c r="DO10" s="500" t="s">
        <v>458</v>
      </c>
      <c r="DP10" s="243"/>
      <c r="DQ10" s="500" t="s">
        <v>457</v>
      </c>
      <c r="DR10" s="112"/>
      <c r="DS10" s="500" t="s">
        <v>458</v>
      </c>
      <c r="DT10" s="243"/>
      <c r="DU10" s="500" t="s">
        <v>457</v>
      </c>
      <c r="DV10" s="112"/>
      <c r="DW10" s="500" t="s">
        <v>458</v>
      </c>
      <c r="DX10" s="243"/>
      <c r="DY10" s="500" t="s">
        <v>457</v>
      </c>
      <c r="DZ10" s="112"/>
      <c r="EA10" s="500" t="s">
        <v>458</v>
      </c>
      <c r="EB10" s="243"/>
      <c r="EC10" s="500" t="s">
        <v>457</v>
      </c>
      <c r="ED10" s="112"/>
      <c r="EE10" s="500" t="s">
        <v>458</v>
      </c>
      <c r="EF10" s="243"/>
      <c r="EG10" s="500" t="s">
        <v>457</v>
      </c>
      <c r="EH10" s="112"/>
      <c r="EI10" s="500" t="s">
        <v>458</v>
      </c>
      <c r="EJ10" s="243"/>
      <c r="EK10" s="500" t="s">
        <v>457</v>
      </c>
      <c r="EL10" s="112"/>
      <c r="EM10" s="500" t="s">
        <v>458</v>
      </c>
      <c r="EN10" s="243"/>
      <c r="EO10" s="500" t="s">
        <v>457</v>
      </c>
      <c r="EP10" s="112"/>
      <c r="EQ10" s="500" t="s">
        <v>458</v>
      </c>
      <c r="ER10" s="243"/>
      <c r="ES10" s="500" t="s">
        <v>457</v>
      </c>
      <c r="ET10" s="112"/>
      <c r="EU10" s="500" t="s">
        <v>458</v>
      </c>
      <c r="EV10" s="243"/>
      <c r="EW10" s="500" t="s">
        <v>457</v>
      </c>
      <c r="EX10" s="112"/>
      <c r="EY10" s="500" t="s">
        <v>458</v>
      </c>
      <c r="EZ10" s="243"/>
      <c r="FA10" s="500" t="s">
        <v>457</v>
      </c>
      <c r="FB10" s="112"/>
      <c r="FC10" s="500" t="s">
        <v>458</v>
      </c>
      <c r="FD10" s="243"/>
      <c r="FE10" s="500" t="s">
        <v>457</v>
      </c>
      <c r="FF10" s="112"/>
      <c r="FG10" s="500" t="s">
        <v>458</v>
      </c>
      <c r="FH10" s="243"/>
      <c r="FI10" s="500" t="s">
        <v>457</v>
      </c>
      <c r="FJ10" s="112"/>
      <c r="FK10" s="500" t="s">
        <v>458</v>
      </c>
      <c r="FL10" s="243"/>
      <c r="FM10" s="500" t="s">
        <v>457</v>
      </c>
      <c r="FN10" s="112"/>
      <c r="FO10" s="500" t="s">
        <v>458</v>
      </c>
      <c r="FP10" s="243"/>
      <c r="FQ10" s="500" t="s">
        <v>457</v>
      </c>
      <c r="FR10" s="112"/>
      <c r="FS10" s="500" t="s">
        <v>458</v>
      </c>
      <c r="FT10" s="243"/>
      <c r="FU10" s="500" t="s">
        <v>457</v>
      </c>
      <c r="FV10" s="112"/>
      <c r="FW10" s="500" t="s">
        <v>458</v>
      </c>
      <c r="FX10" s="243"/>
      <c r="FY10" s="500" t="s">
        <v>457</v>
      </c>
      <c r="FZ10" s="112"/>
      <c r="GA10" s="500" t="s">
        <v>458</v>
      </c>
      <c r="GB10" s="243"/>
      <c r="GC10" s="500" t="s">
        <v>457</v>
      </c>
      <c r="GD10" s="112"/>
      <c r="GE10" s="500" t="s">
        <v>458</v>
      </c>
      <c r="GF10" s="243"/>
      <c r="GG10" s="500" t="s">
        <v>457</v>
      </c>
      <c r="GH10" s="112"/>
      <c r="GI10" s="500" t="s">
        <v>458</v>
      </c>
      <c r="GJ10" s="243"/>
      <c r="GK10" s="500" t="s">
        <v>457</v>
      </c>
      <c r="GL10" s="112"/>
      <c r="GM10" s="500" t="s">
        <v>458</v>
      </c>
      <c r="GN10" s="243"/>
      <c r="GO10" s="500" t="s">
        <v>457</v>
      </c>
      <c r="GP10" s="112"/>
      <c r="GQ10" s="500" t="s">
        <v>458</v>
      </c>
      <c r="GR10" s="243"/>
      <c r="GS10" s="500" t="s">
        <v>457</v>
      </c>
      <c r="GT10" s="112"/>
      <c r="GU10" s="500" t="s">
        <v>458</v>
      </c>
      <c r="GV10" s="243"/>
      <c r="GW10" s="500" t="s">
        <v>457</v>
      </c>
      <c r="GX10" s="112"/>
      <c r="GY10" s="500" t="s">
        <v>458</v>
      </c>
      <c r="GZ10" s="243"/>
      <c r="HA10" s="500" t="s">
        <v>457</v>
      </c>
      <c r="HB10" s="112"/>
      <c r="HC10" s="500" t="s">
        <v>458</v>
      </c>
      <c r="HD10" s="243"/>
      <c r="HE10" s="500" t="s">
        <v>457</v>
      </c>
      <c r="HF10" s="112"/>
      <c r="HG10" s="500" t="s">
        <v>458</v>
      </c>
      <c r="HH10" s="243"/>
      <c r="HI10" s="500" t="s">
        <v>457</v>
      </c>
      <c r="HJ10" s="112"/>
      <c r="HK10" s="500" t="s">
        <v>458</v>
      </c>
      <c r="HL10" s="243"/>
      <c r="HM10" s="500" t="s">
        <v>457</v>
      </c>
      <c r="HN10" s="112"/>
      <c r="HO10" s="500" t="s">
        <v>458</v>
      </c>
      <c r="HP10" s="243"/>
      <c r="HQ10" s="500" t="s">
        <v>457</v>
      </c>
      <c r="HR10" s="112"/>
      <c r="HS10" s="500" t="s">
        <v>458</v>
      </c>
      <c r="HT10" s="243"/>
      <c r="HU10" s="500" t="s">
        <v>457</v>
      </c>
      <c r="HV10" s="112"/>
      <c r="HW10" s="500" t="s">
        <v>458</v>
      </c>
      <c r="HX10" s="243"/>
      <c r="HY10" s="500" t="s">
        <v>457</v>
      </c>
      <c r="HZ10" s="112"/>
      <c r="IA10" s="500" t="s">
        <v>458</v>
      </c>
      <c r="IB10" s="243"/>
      <c r="IC10" s="500" t="s">
        <v>457</v>
      </c>
      <c r="ID10" s="112"/>
      <c r="IE10" s="500" t="s">
        <v>458</v>
      </c>
      <c r="IF10" s="243"/>
      <c r="IG10" s="500" t="s">
        <v>457</v>
      </c>
      <c r="IH10" s="112"/>
      <c r="II10" s="500" t="s">
        <v>458</v>
      </c>
      <c r="IJ10" s="243"/>
      <c r="IK10" s="500" t="s">
        <v>457</v>
      </c>
      <c r="IL10" s="112"/>
      <c r="IM10" s="500" t="s">
        <v>458</v>
      </c>
      <c r="IN10" s="243"/>
      <c r="IO10" s="500" t="s">
        <v>457</v>
      </c>
      <c r="IP10" s="112"/>
      <c r="IQ10" s="500" t="s">
        <v>458</v>
      </c>
      <c r="IR10" s="243"/>
      <c r="IS10" s="500" t="s">
        <v>457</v>
      </c>
      <c r="IT10" s="112"/>
      <c r="IU10" s="500" t="s">
        <v>458</v>
      </c>
      <c r="IV10" s="243"/>
      <c r="IW10" s="500" t="s">
        <v>457</v>
      </c>
      <c r="IX10" s="112"/>
      <c r="IY10" s="500" t="s">
        <v>458</v>
      </c>
      <c r="IZ10" s="243"/>
      <c r="JA10" s="500" t="s">
        <v>457</v>
      </c>
      <c r="JB10" s="112"/>
      <c r="JC10" s="500" t="s">
        <v>458</v>
      </c>
      <c r="JD10" s="243"/>
      <c r="JE10" s="500" t="s">
        <v>457</v>
      </c>
      <c r="JF10" s="112"/>
      <c r="JG10" s="500" t="s">
        <v>458</v>
      </c>
      <c r="JH10" s="243"/>
      <c r="JI10" s="500" t="s">
        <v>457</v>
      </c>
      <c r="JJ10" s="112"/>
      <c r="JK10" s="500" t="s">
        <v>458</v>
      </c>
      <c r="JL10" s="243"/>
      <c r="JM10" s="500" t="s">
        <v>457</v>
      </c>
      <c r="JN10" s="112"/>
      <c r="JO10" s="500" t="s">
        <v>458</v>
      </c>
      <c r="JP10" s="243"/>
      <c r="JQ10" s="500" t="s">
        <v>457</v>
      </c>
      <c r="JR10" s="112"/>
      <c r="JS10" s="500" t="s">
        <v>458</v>
      </c>
      <c r="JT10" s="243"/>
      <c r="JU10" s="500" t="s">
        <v>457</v>
      </c>
      <c r="JV10" s="112"/>
      <c r="JW10" s="500" t="s">
        <v>458</v>
      </c>
      <c r="JX10" s="243"/>
      <c r="JY10" s="500" t="s">
        <v>457</v>
      </c>
      <c r="JZ10" s="112"/>
      <c r="KA10" s="500" t="s">
        <v>458</v>
      </c>
      <c r="KB10" s="243"/>
      <c r="KC10" s="500" t="s">
        <v>457</v>
      </c>
      <c r="KD10" s="112"/>
      <c r="KE10" s="500" t="s">
        <v>458</v>
      </c>
      <c r="KF10" s="243"/>
      <c r="KG10" s="500" t="s">
        <v>457</v>
      </c>
      <c r="KH10" s="112"/>
      <c r="KI10" s="500" t="s">
        <v>458</v>
      </c>
      <c r="KJ10" s="243"/>
      <c r="KK10" s="500" t="s">
        <v>457</v>
      </c>
      <c r="KL10" s="112"/>
      <c r="KM10" s="500" t="s">
        <v>458</v>
      </c>
      <c r="KN10" s="243"/>
      <c r="KO10" s="500" t="s">
        <v>457</v>
      </c>
      <c r="KP10" s="112"/>
      <c r="KQ10" s="500" t="s">
        <v>458</v>
      </c>
      <c r="KR10" s="243"/>
      <c r="KS10" s="500" t="s">
        <v>457</v>
      </c>
      <c r="KT10" s="112"/>
      <c r="KU10" s="500" t="s">
        <v>458</v>
      </c>
      <c r="KV10" s="243"/>
      <c r="KW10" s="500" t="s">
        <v>457</v>
      </c>
      <c r="KX10" s="112"/>
      <c r="KY10" s="500" t="s">
        <v>458</v>
      </c>
      <c r="KZ10" s="243"/>
      <c r="LA10" s="500" t="s">
        <v>457</v>
      </c>
      <c r="LB10" s="112"/>
      <c r="LC10" s="500" t="s">
        <v>458</v>
      </c>
      <c r="LD10" s="243"/>
      <c r="LE10" s="500" t="s">
        <v>457</v>
      </c>
      <c r="LF10" s="112"/>
      <c r="LG10" s="500" t="s">
        <v>458</v>
      </c>
      <c r="LH10" s="243"/>
      <c r="LI10" s="500" t="s">
        <v>457</v>
      </c>
      <c r="LJ10" s="112"/>
      <c r="LK10" s="500" t="s">
        <v>458</v>
      </c>
      <c r="LL10" s="243"/>
      <c r="LM10" s="500" t="s">
        <v>457</v>
      </c>
      <c r="LN10" s="112"/>
      <c r="LO10" s="500" t="s">
        <v>458</v>
      </c>
      <c r="LP10" s="243"/>
      <c r="LQ10" s="500" t="s">
        <v>457</v>
      </c>
      <c r="LR10" s="112"/>
      <c r="LS10" s="500" t="s">
        <v>458</v>
      </c>
      <c r="LT10" s="243"/>
      <c r="LU10" s="500" t="s">
        <v>457</v>
      </c>
      <c r="LV10" s="112"/>
      <c r="LW10" s="500" t="s">
        <v>458</v>
      </c>
      <c r="LX10" s="243"/>
      <c r="LY10" s="500" t="s">
        <v>457</v>
      </c>
      <c r="LZ10" s="112"/>
      <c r="MA10" s="500" t="s">
        <v>458</v>
      </c>
      <c r="MB10" s="243"/>
      <c r="MC10" s="500" t="s">
        <v>457</v>
      </c>
      <c r="MD10" s="112"/>
      <c r="ME10" s="500" t="s">
        <v>458</v>
      </c>
      <c r="MF10" s="243"/>
      <c r="MG10" s="500" t="s">
        <v>457</v>
      </c>
      <c r="MH10" s="112"/>
      <c r="MI10" s="500" t="s">
        <v>458</v>
      </c>
      <c r="MJ10" s="243"/>
      <c r="MK10" s="500" t="s">
        <v>457</v>
      </c>
      <c r="ML10" s="112"/>
      <c r="MM10" s="500" t="s">
        <v>458</v>
      </c>
      <c r="MN10" s="243"/>
      <c r="MO10" s="500" t="s">
        <v>457</v>
      </c>
      <c r="MP10" s="112"/>
      <c r="MQ10" s="500" t="s">
        <v>458</v>
      </c>
      <c r="MR10" s="243"/>
      <c r="MS10" s="500" t="s">
        <v>457</v>
      </c>
      <c r="MT10" s="112"/>
      <c r="MU10" s="500" t="s">
        <v>458</v>
      </c>
      <c r="MV10" s="243"/>
      <c r="MW10" s="500" t="s">
        <v>457</v>
      </c>
      <c r="MX10" s="112"/>
      <c r="MY10" s="500" t="s">
        <v>458</v>
      </c>
      <c r="MZ10" s="243"/>
      <c r="NA10" s="500" t="s">
        <v>457</v>
      </c>
      <c r="NB10" s="112"/>
      <c r="NC10" s="500" t="s">
        <v>458</v>
      </c>
      <c r="ND10" s="243"/>
      <c r="NE10" s="500" t="s">
        <v>457</v>
      </c>
      <c r="NF10" s="112"/>
      <c r="NG10" s="500" t="s">
        <v>458</v>
      </c>
      <c r="NH10" s="243"/>
      <c r="NI10" s="500" t="s">
        <v>457</v>
      </c>
      <c r="NJ10" s="112"/>
      <c r="NK10" s="500" t="s">
        <v>458</v>
      </c>
      <c r="NL10" s="243"/>
      <c r="NM10" s="500" t="s">
        <v>457</v>
      </c>
      <c r="NN10" s="112"/>
      <c r="NO10" s="500" t="s">
        <v>458</v>
      </c>
      <c r="NP10" s="243"/>
      <c r="NQ10" s="500" t="s">
        <v>457</v>
      </c>
      <c r="NR10" s="112"/>
      <c r="NS10" s="500" t="s">
        <v>458</v>
      </c>
      <c r="NT10" s="243"/>
      <c r="NU10" s="500" t="s">
        <v>457</v>
      </c>
      <c r="NV10" s="112"/>
      <c r="NW10" s="500" t="s">
        <v>458</v>
      </c>
      <c r="NX10" s="243"/>
      <c r="NY10" s="500" t="s">
        <v>457</v>
      </c>
      <c r="NZ10" s="112"/>
      <c r="OA10" s="500" t="s">
        <v>458</v>
      </c>
      <c r="OB10" s="243"/>
      <c r="OC10" s="500" t="s">
        <v>457</v>
      </c>
      <c r="OD10" s="112"/>
      <c r="OE10" s="500" t="s">
        <v>458</v>
      </c>
      <c r="OF10" s="243"/>
      <c r="OG10" s="500" t="s">
        <v>457</v>
      </c>
      <c r="OH10" s="112"/>
      <c r="OI10" s="500" t="s">
        <v>458</v>
      </c>
      <c r="OJ10" s="243"/>
      <c r="OK10" s="500" t="s">
        <v>457</v>
      </c>
      <c r="OL10" s="112"/>
      <c r="OM10" s="500" t="s">
        <v>458</v>
      </c>
      <c r="ON10" s="494"/>
    </row>
    <row r="11" spans="1:404" ht="18.75" customHeight="1" x14ac:dyDescent="0.4">
      <c r="A11" s="355" t="s">
        <v>281</v>
      </c>
      <c r="B11" s="358">
        <v>135</v>
      </c>
      <c r="C11" s="355" t="s">
        <v>60</v>
      </c>
      <c r="D11" s="501">
        <v>12.22</v>
      </c>
      <c r="E11" s="502">
        <v>26414</v>
      </c>
      <c r="F11" s="501">
        <v>12.22</v>
      </c>
      <c r="G11" s="502">
        <v>3004</v>
      </c>
      <c r="H11" s="501">
        <v>12.22</v>
      </c>
      <c r="I11" s="502">
        <v>14631</v>
      </c>
      <c r="J11" s="501">
        <v>12.22</v>
      </c>
      <c r="K11" s="502">
        <v>23763</v>
      </c>
      <c r="V11" s="501"/>
      <c r="W11" s="503"/>
      <c r="X11" s="501"/>
      <c r="Y11" s="503"/>
      <c r="Z11" s="501"/>
      <c r="AA11" s="503"/>
      <c r="AB11" s="495"/>
      <c r="AC11" s="504">
        <v>0</v>
      </c>
      <c r="AD11" s="504">
        <v>0</v>
      </c>
      <c r="AE11" s="504">
        <v>0</v>
      </c>
      <c r="AF11" s="504">
        <v>0</v>
      </c>
      <c r="AG11" s="504">
        <v>0</v>
      </c>
      <c r="AH11" s="504">
        <v>0</v>
      </c>
      <c r="AI11" s="504">
        <v>0</v>
      </c>
      <c r="AJ11" s="504">
        <v>0</v>
      </c>
      <c r="AK11" s="504">
        <v>0</v>
      </c>
      <c r="AL11" s="504">
        <v>0</v>
      </c>
      <c r="AM11" s="504">
        <v>0</v>
      </c>
      <c r="AN11" s="504">
        <v>0</v>
      </c>
      <c r="AO11" s="504">
        <v>0</v>
      </c>
      <c r="AP11" s="504">
        <v>0</v>
      </c>
      <c r="AQ11" s="504">
        <v>0</v>
      </c>
      <c r="AR11" s="504">
        <v>0</v>
      </c>
      <c r="AS11" s="504">
        <v>0</v>
      </c>
      <c r="AT11" s="504">
        <v>0</v>
      </c>
      <c r="AU11" s="504">
        <v>0</v>
      </c>
      <c r="AV11" s="504">
        <v>0</v>
      </c>
      <c r="AW11" s="504">
        <v>0</v>
      </c>
      <c r="AX11" s="504">
        <v>0</v>
      </c>
      <c r="AY11" s="504">
        <v>0</v>
      </c>
      <c r="AZ11" s="504">
        <v>0</v>
      </c>
      <c r="BA11" s="504">
        <v>0</v>
      </c>
      <c r="BB11" s="504">
        <v>0</v>
      </c>
      <c r="BC11" s="504">
        <v>0</v>
      </c>
      <c r="BD11" s="504">
        <v>0</v>
      </c>
      <c r="BE11" s="504">
        <v>0</v>
      </c>
      <c r="BF11" s="504">
        <v>0</v>
      </c>
      <c r="BG11" s="504">
        <v>0</v>
      </c>
      <c r="BH11" s="504">
        <v>0</v>
      </c>
      <c r="BI11" s="504">
        <v>0</v>
      </c>
      <c r="BJ11" s="504">
        <v>0</v>
      </c>
      <c r="BK11" s="504">
        <v>0</v>
      </c>
      <c r="BL11" s="504">
        <v>0</v>
      </c>
      <c r="BM11" s="504">
        <v>0</v>
      </c>
      <c r="BN11" s="504">
        <v>0</v>
      </c>
      <c r="BO11" s="504">
        <v>0</v>
      </c>
      <c r="BP11" s="504">
        <v>0</v>
      </c>
      <c r="BQ11" s="504">
        <v>0</v>
      </c>
      <c r="BR11" s="504">
        <v>0</v>
      </c>
      <c r="BS11" s="504">
        <v>0</v>
      </c>
      <c r="BT11" s="504">
        <v>0</v>
      </c>
      <c r="BU11" s="504">
        <v>0</v>
      </c>
      <c r="BV11" s="504">
        <v>0</v>
      </c>
      <c r="BW11" s="504">
        <v>0</v>
      </c>
      <c r="BX11" s="504">
        <v>0</v>
      </c>
      <c r="BY11" s="504">
        <v>0</v>
      </c>
      <c r="BZ11" s="504">
        <v>0</v>
      </c>
      <c r="CA11" s="504">
        <v>0</v>
      </c>
      <c r="CB11" s="504">
        <v>0</v>
      </c>
      <c r="CC11" s="504">
        <v>0</v>
      </c>
      <c r="CD11" s="504">
        <v>0</v>
      </c>
      <c r="CE11" s="504">
        <v>0</v>
      </c>
      <c r="CF11" s="504">
        <v>0</v>
      </c>
      <c r="CG11" s="504">
        <v>0</v>
      </c>
      <c r="CH11" s="504">
        <v>0</v>
      </c>
      <c r="CI11" s="504">
        <v>0</v>
      </c>
      <c r="CJ11" s="504">
        <v>0</v>
      </c>
      <c r="CK11" s="504">
        <v>0</v>
      </c>
      <c r="CL11" s="504">
        <v>0</v>
      </c>
      <c r="CM11" s="504">
        <v>0</v>
      </c>
      <c r="CN11" s="504">
        <v>0</v>
      </c>
      <c r="CO11" s="504">
        <v>0</v>
      </c>
      <c r="CP11" s="504">
        <v>0</v>
      </c>
      <c r="CQ11" s="504">
        <v>0</v>
      </c>
      <c r="CR11" s="504">
        <v>0</v>
      </c>
      <c r="CS11" s="504">
        <v>0</v>
      </c>
      <c r="CT11" s="504">
        <v>0</v>
      </c>
      <c r="CU11" s="504">
        <v>0</v>
      </c>
      <c r="CV11" s="504">
        <v>0</v>
      </c>
      <c r="CW11" s="504">
        <v>0</v>
      </c>
      <c r="CX11" s="504">
        <v>0</v>
      </c>
      <c r="CY11" s="504">
        <v>0</v>
      </c>
      <c r="CZ11" s="504">
        <v>0</v>
      </c>
      <c r="DA11" s="504">
        <v>0</v>
      </c>
      <c r="DB11" s="504">
        <v>0</v>
      </c>
      <c r="DC11" s="504">
        <v>0</v>
      </c>
      <c r="DD11" s="504">
        <v>0</v>
      </c>
      <c r="DE11" s="504">
        <v>0</v>
      </c>
      <c r="DF11" s="504">
        <v>0</v>
      </c>
      <c r="DG11" s="504">
        <v>0</v>
      </c>
      <c r="DH11" s="504">
        <v>0</v>
      </c>
      <c r="DI11" s="504">
        <v>0</v>
      </c>
      <c r="DJ11" s="504">
        <v>0</v>
      </c>
      <c r="DK11" s="504">
        <v>0</v>
      </c>
      <c r="DL11" s="504">
        <v>0</v>
      </c>
      <c r="DM11" s="504">
        <v>0</v>
      </c>
      <c r="DN11" s="504">
        <v>0</v>
      </c>
      <c r="DO11" s="504">
        <v>0</v>
      </c>
      <c r="DP11" s="504">
        <v>0</v>
      </c>
      <c r="DQ11" s="504">
        <v>0</v>
      </c>
      <c r="DR11" s="504">
        <v>0</v>
      </c>
      <c r="DS11" s="504">
        <v>0</v>
      </c>
      <c r="DT11" s="504">
        <v>0</v>
      </c>
      <c r="DU11" s="504">
        <v>0</v>
      </c>
      <c r="DV11" s="504">
        <v>0</v>
      </c>
      <c r="DW11" s="504">
        <v>0</v>
      </c>
      <c r="DX11" s="504">
        <v>0</v>
      </c>
      <c r="DY11" s="504">
        <v>0</v>
      </c>
      <c r="DZ11" s="504">
        <v>0</v>
      </c>
      <c r="EA11" s="504">
        <v>0</v>
      </c>
      <c r="EB11" s="504">
        <v>0</v>
      </c>
      <c r="EC11" s="504">
        <v>0</v>
      </c>
      <c r="ED11" s="504">
        <v>0</v>
      </c>
      <c r="EE11" s="504">
        <v>0</v>
      </c>
      <c r="EF11" s="504">
        <v>0</v>
      </c>
      <c r="EG11" s="504">
        <v>0</v>
      </c>
      <c r="EH11" s="504">
        <v>0</v>
      </c>
      <c r="EI11" s="504">
        <v>0</v>
      </c>
      <c r="EJ11" s="504">
        <v>0</v>
      </c>
      <c r="EK11" s="504">
        <v>0</v>
      </c>
      <c r="EL11" s="504">
        <v>0</v>
      </c>
      <c r="EM11" s="504">
        <v>0</v>
      </c>
      <c r="EN11" s="504">
        <v>0</v>
      </c>
      <c r="EO11" s="504">
        <v>0</v>
      </c>
      <c r="EP11" s="504">
        <v>0</v>
      </c>
      <c r="EQ11" s="504">
        <v>0</v>
      </c>
      <c r="ER11" s="504">
        <v>0</v>
      </c>
      <c r="ES11" s="504">
        <v>0</v>
      </c>
      <c r="ET11" s="504">
        <v>0</v>
      </c>
      <c r="EU11" s="504">
        <v>0</v>
      </c>
      <c r="EV11" s="504">
        <v>0</v>
      </c>
      <c r="EW11" s="504">
        <v>0</v>
      </c>
      <c r="EX11" s="504">
        <v>0</v>
      </c>
      <c r="EY11" s="504">
        <v>0</v>
      </c>
      <c r="EZ11" s="504">
        <v>0</v>
      </c>
      <c r="FA11" s="504">
        <v>0</v>
      </c>
      <c r="FB11" s="504">
        <v>0</v>
      </c>
      <c r="FC11" s="504">
        <v>0</v>
      </c>
      <c r="FD11" s="504">
        <v>0</v>
      </c>
      <c r="FE11" s="504">
        <v>0</v>
      </c>
      <c r="FF11" s="504">
        <v>0</v>
      </c>
      <c r="FG11" s="504">
        <v>0</v>
      </c>
      <c r="FH11" s="504">
        <v>0</v>
      </c>
      <c r="FI11" s="504">
        <v>0</v>
      </c>
      <c r="FJ11" s="504">
        <v>0</v>
      </c>
      <c r="FK11" s="504">
        <v>0</v>
      </c>
      <c r="FL11" s="504">
        <v>0</v>
      </c>
      <c r="FM11" s="504">
        <v>0</v>
      </c>
      <c r="FN11" s="504">
        <v>0</v>
      </c>
      <c r="FO11" s="504">
        <v>0</v>
      </c>
      <c r="FP11" s="504">
        <v>0</v>
      </c>
      <c r="FQ11" s="504">
        <v>0</v>
      </c>
      <c r="FR11" s="504">
        <v>0</v>
      </c>
      <c r="FS11" s="504">
        <v>0</v>
      </c>
      <c r="FT11" s="504">
        <v>0</v>
      </c>
      <c r="FU11" s="504">
        <v>0</v>
      </c>
      <c r="FV11" s="504">
        <v>0</v>
      </c>
      <c r="FW11" s="504">
        <v>0</v>
      </c>
      <c r="FX11" s="504">
        <v>0</v>
      </c>
      <c r="FY11" s="504">
        <v>0</v>
      </c>
      <c r="FZ11" s="504">
        <v>0</v>
      </c>
      <c r="GA11" s="504">
        <v>0</v>
      </c>
      <c r="GB11" s="504">
        <v>0</v>
      </c>
      <c r="GC11" s="504">
        <v>0</v>
      </c>
      <c r="GD11" s="504">
        <v>0</v>
      </c>
      <c r="GE11" s="504">
        <v>0</v>
      </c>
      <c r="GF11" s="504">
        <v>0</v>
      </c>
      <c r="GG11" s="504">
        <v>0</v>
      </c>
      <c r="GH11" s="504">
        <v>0</v>
      </c>
      <c r="GI11" s="504">
        <v>0</v>
      </c>
      <c r="GJ11" s="504">
        <v>0</v>
      </c>
      <c r="GK11" s="504">
        <v>0</v>
      </c>
      <c r="GL11" s="504">
        <v>0</v>
      </c>
      <c r="GM11" s="504">
        <v>0</v>
      </c>
      <c r="GN11" s="504">
        <v>0</v>
      </c>
      <c r="GO11" s="504">
        <v>0</v>
      </c>
      <c r="GP11" s="504">
        <v>0</v>
      </c>
      <c r="GQ11" s="504">
        <v>0</v>
      </c>
      <c r="GR11" s="504">
        <v>0</v>
      </c>
      <c r="GS11" s="504">
        <v>0</v>
      </c>
      <c r="GT11" s="504">
        <v>0</v>
      </c>
      <c r="GU11" s="504">
        <v>0</v>
      </c>
      <c r="GV11" s="504">
        <v>0</v>
      </c>
      <c r="GW11" s="504">
        <v>0</v>
      </c>
      <c r="GX11" s="504">
        <v>0</v>
      </c>
      <c r="GY11" s="504">
        <v>0</v>
      </c>
      <c r="GZ11" s="504">
        <v>0</v>
      </c>
      <c r="HA11" s="504">
        <v>0</v>
      </c>
      <c r="HB11" s="504">
        <v>0</v>
      </c>
      <c r="HC11" s="504">
        <v>0</v>
      </c>
      <c r="HD11" s="504">
        <v>0</v>
      </c>
      <c r="HE11" s="504">
        <v>0</v>
      </c>
      <c r="HF11" s="504">
        <v>0</v>
      </c>
      <c r="HG11" s="504">
        <v>0</v>
      </c>
      <c r="HH11" s="504">
        <v>0</v>
      </c>
      <c r="HI11" s="504">
        <v>0</v>
      </c>
      <c r="HJ11" s="504">
        <v>0</v>
      </c>
      <c r="HK11" s="504">
        <v>0</v>
      </c>
      <c r="HL11" s="504">
        <v>0</v>
      </c>
      <c r="HM11" s="504">
        <v>0</v>
      </c>
      <c r="HN11" s="504">
        <v>0</v>
      </c>
      <c r="HO11" s="504">
        <v>0</v>
      </c>
      <c r="HP11" s="504">
        <v>0</v>
      </c>
      <c r="HQ11" s="504">
        <v>0</v>
      </c>
      <c r="HR11" s="504">
        <v>0</v>
      </c>
      <c r="HS11" s="504">
        <v>0</v>
      </c>
      <c r="HT11" s="504">
        <v>0</v>
      </c>
      <c r="HU11" s="504">
        <v>0</v>
      </c>
      <c r="HV11" s="504">
        <v>0</v>
      </c>
      <c r="HW11" s="504">
        <v>0</v>
      </c>
      <c r="HX11" s="504">
        <v>0</v>
      </c>
      <c r="HY11" s="504">
        <v>0</v>
      </c>
      <c r="HZ11" s="504">
        <v>0</v>
      </c>
      <c r="IA11" s="504">
        <v>0</v>
      </c>
      <c r="IB11" s="504">
        <v>0</v>
      </c>
      <c r="IC11" s="504">
        <v>0</v>
      </c>
      <c r="ID11" s="504">
        <v>0</v>
      </c>
      <c r="IE11" s="504">
        <v>0</v>
      </c>
      <c r="IF11" s="504">
        <v>0</v>
      </c>
      <c r="IG11" s="504">
        <v>0</v>
      </c>
      <c r="IH11" s="504">
        <v>0</v>
      </c>
      <c r="II11" s="504">
        <v>0</v>
      </c>
      <c r="IJ11" s="504">
        <v>0</v>
      </c>
      <c r="IK11" s="504">
        <v>0</v>
      </c>
      <c r="IL11" s="504">
        <v>0</v>
      </c>
      <c r="IM11" s="504">
        <v>0</v>
      </c>
      <c r="IN11" s="504">
        <v>0</v>
      </c>
      <c r="IO11" s="504">
        <v>0</v>
      </c>
      <c r="IP11" s="504">
        <v>0</v>
      </c>
      <c r="IQ11" s="504">
        <v>0</v>
      </c>
      <c r="IR11" s="504">
        <v>0</v>
      </c>
      <c r="IS11" s="504">
        <v>0</v>
      </c>
      <c r="IT11" s="504">
        <v>0</v>
      </c>
      <c r="IU11" s="504">
        <v>0</v>
      </c>
      <c r="IV11" s="504">
        <v>0</v>
      </c>
      <c r="IW11" s="504">
        <v>0</v>
      </c>
      <c r="IX11" s="504">
        <v>0</v>
      </c>
      <c r="IY11" s="504">
        <v>0</v>
      </c>
      <c r="IZ11" s="504">
        <v>0</v>
      </c>
      <c r="JA11" s="504">
        <v>0</v>
      </c>
      <c r="JB11" s="504">
        <v>0</v>
      </c>
      <c r="JC11" s="504">
        <v>0</v>
      </c>
      <c r="JD11" s="504">
        <v>0</v>
      </c>
      <c r="JE11" s="504">
        <v>0</v>
      </c>
      <c r="JF11" s="504">
        <v>0</v>
      </c>
      <c r="JG11" s="504">
        <v>0</v>
      </c>
      <c r="JH11" s="504">
        <v>0</v>
      </c>
      <c r="JI11" s="504">
        <v>0</v>
      </c>
      <c r="JJ11" s="504">
        <v>0</v>
      </c>
      <c r="JK11" s="504">
        <v>0</v>
      </c>
      <c r="JL11" s="504">
        <v>0</v>
      </c>
      <c r="JM11" s="504">
        <v>0</v>
      </c>
      <c r="JN11" s="504">
        <v>0</v>
      </c>
      <c r="JO11" s="504">
        <v>0</v>
      </c>
      <c r="JP11" s="504">
        <v>0</v>
      </c>
      <c r="JQ11" s="504">
        <v>0</v>
      </c>
      <c r="JR11" s="504">
        <v>0</v>
      </c>
      <c r="JS11" s="504">
        <v>0</v>
      </c>
      <c r="JT11" s="504">
        <v>0</v>
      </c>
      <c r="JU11" s="504">
        <v>0</v>
      </c>
      <c r="JV11" s="504">
        <v>0</v>
      </c>
      <c r="JW11" s="504">
        <v>0</v>
      </c>
      <c r="JX11" s="504">
        <v>0</v>
      </c>
      <c r="JY11" s="504">
        <v>0</v>
      </c>
      <c r="JZ11" s="504">
        <v>0</v>
      </c>
      <c r="KA11" s="504">
        <v>0</v>
      </c>
      <c r="KB11" s="504">
        <v>0</v>
      </c>
      <c r="KC11" s="504">
        <v>0</v>
      </c>
      <c r="KD11" s="504">
        <v>0</v>
      </c>
      <c r="KE11" s="504">
        <v>0</v>
      </c>
      <c r="KF11" s="504">
        <v>0</v>
      </c>
      <c r="KG11" s="504">
        <v>0</v>
      </c>
      <c r="KH11" s="504">
        <v>0</v>
      </c>
      <c r="KI11" s="504">
        <v>0</v>
      </c>
      <c r="KJ11" s="504">
        <v>0</v>
      </c>
      <c r="KK11" s="504">
        <v>0</v>
      </c>
      <c r="KL11" s="504">
        <v>0</v>
      </c>
      <c r="KM11" s="504">
        <v>0</v>
      </c>
      <c r="KN11" s="504">
        <v>0</v>
      </c>
      <c r="KO11" s="504">
        <v>0</v>
      </c>
      <c r="KP11" s="504">
        <v>0</v>
      </c>
      <c r="KQ11" s="504">
        <v>0</v>
      </c>
      <c r="KR11" s="504">
        <v>0</v>
      </c>
      <c r="KS11" s="504">
        <v>0</v>
      </c>
      <c r="KT11" s="504">
        <v>0</v>
      </c>
      <c r="KU11" s="504">
        <v>0</v>
      </c>
      <c r="KV11" s="504">
        <v>0</v>
      </c>
      <c r="KW11" s="504">
        <v>0</v>
      </c>
      <c r="KX11" s="504">
        <v>0</v>
      </c>
      <c r="KY11" s="504">
        <v>0</v>
      </c>
      <c r="KZ11" s="504">
        <v>0</v>
      </c>
      <c r="LA11" s="504">
        <v>0</v>
      </c>
      <c r="LB11" s="504">
        <v>0</v>
      </c>
      <c r="LC11" s="504">
        <v>0</v>
      </c>
      <c r="LD11" s="504">
        <v>0</v>
      </c>
      <c r="LE11" s="504">
        <v>0</v>
      </c>
      <c r="LF11" s="504">
        <v>0</v>
      </c>
      <c r="LG11" s="504">
        <v>0</v>
      </c>
      <c r="LH11" s="504">
        <v>0</v>
      </c>
      <c r="LI11" s="504">
        <v>0</v>
      </c>
      <c r="LJ11" s="504">
        <v>0</v>
      </c>
      <c r="LK11" s="504">
        <v>0</v>
      </c>
      <c r="LL11" s="504">
        <v>0</v>
      </c>
      <c r="LM11" s="504">
        <v>0</v>
      </c>
      <c r="LN11" s="504">
        <v>0</v>
      </c>
      <c r="LO11" s="504">
        <v>0</v>
      </c>
      <c r="LP11" s="504">
        <v>0</v>
      </c>
      <c r="LQ11" s="504">
        <v>0</v>
      </c>
      <c r="LR11" s="504">
        <v>0</v>
      </c>
      <c r="LS11" s="504">
        <v>0</v>
      </c>
      <c r="LT11" s="504">
        <v>0</v>
      </c>
      <c r="LU11" s="504">
        <v>0</v>
      </c>
      <c r="LV11" s="504">
        <v>0</v>
      </c>
      <c r="LW11" s="504">
        <v>0</v>
      </c>
      <c r="LX11" s="504">
        <v>0</v>
      </c>
      <c r="LY11" s="504">
        <v>0</v>
      </c>
      <c r="LZ11" s="504">
        <v>0</v>
      </c>
      <c r="MA11" s="504">
        <v>0</v>
      </c>
      <c r="MB11" s="504">
        <v>0</v>
      </c>
      <c r="MC11" s="504">
        <v>0</v>
      </c>
      <c r="MD11" s="504">
        <v>0</v>
      </c>
      <c r="ME11" s="504">
        <v>0</v>
      </c>
      <c r="MF11" s="504">
        <v>0</v>
      </c>
      <c r="MG11" s="504">
        <v>0</v>
      </c>
      <c r="MH11" s="504">
        <v>0</v>
      </c>
      <c r="MI11" s="504">
        <v>0</v>
      </c>
      <c r="MJ11" s="504">
        <v>0</v>
      </c>
      <c r="MK11" s="504">
        <v>0</v>
      </c>
      <c r="ML11" s="504">
        <v>0</v>
      </c>
      <c r="MM11" s="504">
        <v>0</v>
      </c>
      <c r="MN11" s="504">
        <v>0</v>
      </c>
      <c r="MO11" s="504">
        <v>0</v>
      </c>
      <c r="MP11" s="504">
        <v>0</v>
      </c>
      <c r="MQ11" s="504">
        <v>0</v>
      </c>
      <c r="MR11" s="504">
        <v>0</v>
      </c>
      <c r="MS11" s="504">
        <v>0</v>
      </c>
      <c r="MT11" s="504">
        <v>0</v>
      </c>
      <c r="MU11" s="504">
        <v>0</v>
      </c>
      <c r="MV11" s="504">
        <v>0</v>
      </c>
      <c r="MW11" s="504">
        <v>0</v>
      </c>
      <c r="MX11" s="504">
        <v>0</v>
      </c>
      <c r="MY11" s="504">
        <v>0</v>
      </c>
      <c r="MZ11" s="504">
        <v>0</v>
      </c>
      <c r="NA11" s="504">
        <v>0</v>
      </c>
      <c r="NB11" s="504">
        <v>0</v>
      </c>
      <c r="NC11" s="504">
        <v>0</v>
      </c>
      <c r="ND11" s="504">
        <v>0</v>
      </c>
      <c r="NE11" s="504">
        <v>0</v>
      </c>
      <c r="NF11" s="504">
        <v>0</v>
      </c>
      <c r="NG11" s="504">
        <v>0</v>
      </c>
      <c r="NH11" s="504">
        <v>0</v>
      </c>
      <c r="NI11" s="504">
        <v>0</v>
      </c>
      <c r="NJ11" s="504">
        <v>0</v>
      </c>
      <c r="NK11" s="504">
        <v>0</v>
      </c>
      <c r="NL11" s="504">
        <v>0</v>
      </c>
      <c r="NM11" s="504">
        <v>0</v>
      </c>
      <c r="NN11" s="504">
        <v>0</v>
      </c>
      <c r="NO11" s="504">
        <v>0</v>
      </c>
      <c r="NP11" s="504">
        <v>0</v>
      </c>
      <c r="NQ11" s="504">
        <v>0</v>
      </c>
      <c r="NR11" s="504">
        <v>0</v>
      </c>
      <c r="NS11" s="504">
        <v>0</v>
      </c>
      <c r="NT11" s="504">
        <v>0</v>
      </c>
      <c r="NU11" s="504">
        <v>0</v>
      </c>
      <c r="NV11" s="504">
        <v>0</v>
      </c>
      <c r="NW11" s="504">
        <v>0</v>
      </c>
      <c r="NX11" s="504">
        <v>0</v>
      </c>
      <c r="NY11" s="504">
        <v>0</v>
      </c>
      <c r="NZ11" s="504">
        <v>0</v>
      </c>
      <c r="OA11" s="504">
        <v>0</v>
      </c>
      <c r="OB11" s="504">
        <v>0</v>
      </c>
      <c r="OC11" s="504">
        <v>0</v>
      </c>
      <c r="OD11" s="504">
        <v>0</v>
      </c>
      <c r="OE11" s="504">
        <v>0</v>
      </c>
      <c r="OF11" s="504">
        <v>0</v>
      </c>
      <c r="OG11" s="504">
        <v>0</v>
      </c>
      <c r="OH11" s="504">
        <v>0</v>
      </c>
      <c r="OI11" s="504">
        <v>0</v>
      </c>
      <c r="OJ11" s="504">
        <v>0</v>
      </c>
      <c r="OK11" s="504">
        <v>0</v>
      </c>
      <c r="OL11" s="504">
        <v>0</v>
      </c>
      <c r="OM11" s="504">
        <v>0</v>
      </c>
      <c r="ON11" s="494"/>
    </row>
    <row r="12" spans="1:404" ht="18.75" customHeight="1" x14ac:dyDescent="0.4">
      <c r="A12" s="355" t="s">
        <v>283</v>
      </c>
      <c r="B12" s="358">
        <v>149</v>
      </c>
      <c r="C12" s="355" t="s">
        <v>60</v>
      </c>
      <c r="D12" s="501">
        <v>15.18</v>
      </c>
      <c r="E12" s="502">
        <v>17969</v>
      </c>
      <c r="F12" s="501">
        <v>15.18</v>
      </c>
      <c r="G12" s="502">
        <v>2723</v>
      </c>
      <c r="H12" s="501">
        <v>15.17</v>
      </c>
      <c r="I12" s="502">
        <v>9497</v>
      </c>
      <c r="J12" s="501">
        <v>15.17</v>
      </c>
      <c r="K12" s="502">
        <v>12903</v>
      </c>
      <c r="V12" s="501"/>
      <c r="W12" s="503"/>
      <c r="X12" s="501"/>
      <c r="Y12" s="503"/>
      <c r="Z12" s="501"/>
      <c r="AA12" s="503"/>
      <c r="AB12" s="495"/>
      <c r="AC12" s="504">
        <v>0</v>
      </c>
      <c r="AD12" s="504">
        <v>0</v>
      </c>
      <c r="AE12" s="504">
        <v>0</v>
      </c>
      <c r="AF12" s="504">
        <v>0</v>
      </c>
      <c r="AG12" s="504">
        <v>0</v>
      </c>
      <c r="AH12" s="504">
        <v>0</v>
      </c>
      <c r="AI12" s="504">
        <v>0</v>
      </c>
      <c r="AJ12" s="504">
        <v>0</v>
      </c>
      <c r="AK12" s="504">
        <v>0</v>
      </c>
      <c r="AL12" s="504">
        <v>0</v>
      </c>
      <c r="AM12" s="504">
        <v>0</v>
      </c>
      <c r="AN12" s="504">
        <v>0</v>
      </c>
      <c r="AO12" s="504">
        <v>0</v>
      </c>
      <c r="AP12" s="504">
        <v>0</v>
      </c>
      <c r="AQ12" s="504">
        <v>0</v>
      </c>
      <c r="AR12" s="504">
        <v>0</v>
      </c>
      <c r="AS12" s="504">
        <v>0</v>
      </c>
      <c r="AT12" s="504">
        <v>0</v>
      </c>
      <c r="AU12" s="504">
        <v>0</v>
      </c>
      <c r="AV12" s="504">
        <v>0</v>
      </c>
      <c r="AW12" s="504">
        <v>0</v>
      </c>
      <c r="AX12" s="504">
        <v>0</v>
      </c>
      <c r="AY12" s="504">
        <v>0</v>
      </c>
      <c r="AZ12" s="504">
        <v>0</v>
      </c>
      <c r="BA12" s="504">
        <v>0</v>
      </c>
      <c r="BB12" s="504">
        <v>0</v>
      </c>
      <c r="BC12" s="504">
        <v>0</v>
      </c>
      <c r="BD12" s="504">
        <v>0</v>
      </c>
      <c r="BE12" s="504">
        <v>0</v>
      </c>
      <c r="BF12" s="504">
        <v>0</v>
      </c>
      <c r="BG12" s="504">
        <v>0</v>
      </c>
      <c r="BH12" s="504">
        <v>0</v>
      </c>
      <c r="BI12" s="504">
        <v>0</v>
      </c>
      <c r="BJ12" s="504">
        <v>0</v>
      </c>
      <c r="BK12" s="504">
        <v>0</v>
      </c>
      <c r="BL12" s="504">
        <v>0</v>
      </c>
      <c r="BM12" s="504">
        <v>0</v>
      </c>
      <c r="BN12" s="504">
        <v>0</v>
      </c>
      <c r="BO12" s="504">
        <v>0</v>
      </c>
      <c r="BP12" s="504">
        <v>0</v>
      </c>
      <c r="BQ12" s="504">
        <v>0</v>
      </c>
      <c r="BR12" s="504">
        <v>0</v>
      </c>
      <c r="BS12" s="504">
        <v>0</v>
      </c>
      <c r="BT12" s="504">
        <v>0</v>
      </c>
      <c r="BU12" s="504">
        <v>0</v>
      </c>
      <c r="BV12" s="504">
        <v>0</v>
      </c>
      <c r="BW12" s="504">
        <v>0</v>
      </c>
      <c r="BX12" s="504">
        <v>0</v>
      </c>
      <c r="BY12" s="504">
        <v>0</v>
      </c>
      <c r="BZ12" s="504">
        <v>0</v>
      </c>
      <c r="CA12" s="504">
        <v>0</v>
      </c>
      <c r="CB12" s="504">
        <v>0</v>
      </c>
      <c r="CC12" s="504">
        <v>0</v>
      </c>
      <c r="CD12" s="504">
        <v>0</v>
      </c>
      <c r="CE12" s="504">
        <v>0</v>
      </c>
      <c r="CF12" s="504">
        <v>0</v>
      </c>
      <c r="CG12" s="504">
        <v>0</v>
      </c>
      <c r="CH12" s="504">
        <v>0</v>
      </c>
      <c r="CI12" s="504">
        <v>0</v>
      </c>
      <c r="CJ12" s="504">
        <v>0</v>
      </c>
      <c r="CK12" s="504">
        <v>0</v>
      </c>
      <c r="CL12" s="504">
        <v>0</v>
      </c>
      <c r="CM12" s="504">
        <v>0</v>
      </c>
      <c r="CN12" s="504">
        <v>0</v>
      </c>
      <c r="CO12" s="504">
        <v>0</v>
      </c>
      <c r="CP12" s="504">
        <v>0</v>
      </c>
      <c r="CQ12" s="504">
        <v>0</v>
      </c>
      <c r="CR12" s="504">
        <v>0</v>
      </c>
      <c r="CS12" s="504">
        <v>0</v>
      </c>
      <c r="CT12" s="504">
        <v>0</v>
      </c>
      <c r="CU12" s="504">
        <v>0</v>
      </c>
      <c r="CV12" s="504">
        <v>0</v>
      </c>
      <c r="CW12" s="504">
        <v>0</v>
      </c>
      <c r="CX12" s="504">
        <v>0</v>
      </c>
      <c r="CY12" s="504">
        <v>0</v>
      </c>
      <c r="CZ12" s="504">
        <v>0</v>
      </c>
      <c r="DA12" s="504">
        <v>0</v>
      </c>
      <c r="DB12" s="504">
        <v>0</v>
      </c>
      <c r="DC12" s="504">
        <v>0</v>
      </c>
      <c r="DD12" s="504">
        <v>0</v>
      </c>
      <c r="DE12" s="504">
        <v>0</v>
      </c>
      <c r="DF12" s="504">
        <v>0</v>
      </c>
      <c r="DG12" s="504">
        <v>0</v>
      </c>
      <c r="DH12" s="504">
        <v>0</v>
      </c>
      <c r="DI12" s="504">
        <v>0</v>
      </c>
      <c r="DJ12" s="504">
        <v>0</v>
      </c>
      <c r="DK12" s="504">
        <v>0</v>
      </c>
      <c r="DL12" s="504">
        <v>0</v>
      </c>
      <c r="DM12" s="504">
        <v>0</v>
      </c>
      <c r="DN12" s="504">
        <v>0</v>
      </c>
      <c r="DO12" s="504">
        <v>0</v>
      </c>
      <c r="DP12" s="504">
        <v>0</v>
      </c>
      <c r="DQ12" s="504">
        <v>0</v>
      </c>
      <c r="DR12" s="504">
        <v>0</v>
      </c>
      <c r="DS12" s="504">
        <v>0</v>
      </c>
      <c r="DT12" s="504">
        <v>0</v>
      </c>
      <c r="DU12" s="504">
        <v>0</v>
      </c>
      <c r="DV12" s="504">
        <v>0</v>
      </c>
      <c r="DW12" s="504">
        <v>0</v>
      </c>
      <c r="DX12" s="504">
        <v>0</v>
      </c>
      <c r="DY12" s="504">
        <v>0</v>
      </c>
      <c r="DZ12" s="504">
        <v>0</v>
      </c>
      <c r="EA12" s="504">
        <v>0</v>
      </c>
      <c r="EB12" s="504">
        <v>0</v>
      </c>
      <c r="EC12" s="504">
        <v>0</v>
      </c>
      <c r="ED12" s="504">
        <v>0</v>
      </c>
      <c r="EE12" s="504">
        <v>0</v>
      </c>
      <c r="EF12" s="504">
        <v>0</v>
      </c>
      <c r="EG12" s="504">
        <v>0</v>
      </c>
      <c r="EH12" s="504">
        <v>0</v>
      </c>
      <c r="EI12" s="504">
        <v>0</v>
      </c>
      <c r="EJ12" s="504">
        <v>0</v>
      </c>
      <c r="EK12" s="504">
        <v>0</v>
      </c>
      <c r="EL12" s="504">
        <v>0</v>
      </c>
      <c r="EM12" s="504">
        <v>0</v>
      </c>
      <c r="EN12" s="504">
        <v>0</v>
      </c>
      <c r="EO12" s="504">
        <v>0</v>
      </c>
      <c r="EP12" s="504">
        <v>0</v>
      </c>
      <c r="EQ12" s="504">
        <v>0</v>
      </c>
      <c r="ER12" s="504">
        <v>0</v>
      </c>
      <c r="ES12" s="504">
        <v>0</v>
      </c>
      <c r="ET12" s="504">
        <v>0</v>
      </c>
      <c r="EU12" s="504">
        <v>0</v>
      </c>
      <c r="EV12" s="504">
        <v>0</v>
      </c>
      <c r="EW12" s="504">
        <v>0</v>
      </c>
      <c r="EX12" s="504">
        <v>0</v>
      </c>
      <c r="EY12" s="504">
        <v>0</v>
      </c>
      <c r="EZ12" s="504">
        <v>0</v>
      </c>
      <c r="FA12" s="504">
        <v>0</v>
      </c>
      <c r="FB12" s="504">
        <v>0</v>
      </c>
      <c r="FC12" s="504">
        <v>0</v>
      </c>
      <c r="FD12" s="504">
        <v>0</v>
      </c>
      <c r="FE12" s="504">
        <v>0</v>
      </c>
      <c r="FF12" s="504">
        <v>0</v>
      </c>
      <c r="FG12" s="504">
        <v>0</v>
      </c>
      <c r="FH12" s="504">
        <v>0</v>
      </c>
      <c r="FI12" s="504">
        <v>0</v>
      </c>
      <c r="FJ12" s="504">
        <v>0</v>
      </c>
      <c r="FK12" s="504">
        <v>0</v>
      </c>
      <c r="FL12" s="504">
        <v>0</v>
      </c>
      <c r="FM12" s="504">
        <v>0</v>
      </c>
      <c r="FN12" s="504">
        <v>0</v>
      </c>
      <c r="FO12" s="504">
        <v>0</v>
      </c>
      <c r="FP12" s="504">
        <v>0</v>
      </c>
      <c r="FQ12" s="504">
        <v>0</v>
      </c>
      <c r="FR12" s="504">
        <v>0</v>
      </c>
      <c r="FS12" s="504">
        <v>0</v>
      </c>
      <c r="FT12" s="504">
        <v>0</v>
      </c>
      <c r="FU12" s="504">
        <v>0</v>
      </c>
      <c r="FV12" s="504">
        <v>0</v>
      </c>
      <c r="FW12" s="504">
        <v>0</v>
      </c>
      <c r="FX12" s="504">
        <v>0</v>
      </c>
      <c r="FY12" s="504">
        <v>0</v>
      </c>
      <c r="FZ12" s="504">
        <v>0</v>
      </c>
      <c r="GA12" s="504">
        <v>0</v>
      </c>
      <c r="GB12" s="504">
        <v>0</v>
      </c>
      <c r="GC12" s="504">
        <v>0</v>
      </c>
      <c r="GD12" s="504">
        <v>0</v>
      </c>
      <c r="GE12" s="504">
        <v>0</v>
      </c>
      <c r="GF12" s="504">
        <v>0</v>
      </c>
      <c r="GG12" s="504">
        <v>0</v>
      </c>
      <c r="GH12" s="504">
        <v>0</v>
      </c>
      <c r="GI12" s="504">
        <v>0</v>
      </c>
      <c r="GJ12" s="504">
        <v>0</v>
      </c>
      <c r="GK12" s="504">
        <v>0</v>
      </c>
      <c r="GL12" s="504">
        <v>0</v>
      </c>
      <c r="GM12" s="504">
        <v>0</v>
      </c>
      <c r="GN12" s="504">
        <v>0</v>
      </c>
      <c r="GO12" s="504">
        <v>0</v>
      </c>
      <c r="GP12" s="504">
        <v>0</v>
      </c>
      <c r="GQ12" s="504">
        <v>0</v>
      </c>
      <c r="GR12" s="504">
        <v>0</v>
      </c>
      <c r="GS12" s="504">
        <v>0</v>
      </c>
      <c r="GT12" s="504">
        <v>0</v>
      </c>
      <c r="GU12" s="504">
        <v>0</v>
      </c>
      <c r="GV12" s="504">
        <v>0</v>
      </c>
      <c r="GW12" s="504">
        <v>0</v>
      </c>
      <c r="GX12" s="504">
        <v>0</v>
      </c>
      <c r="GY12" s="504">
        <v>0</v>
      </c>
      <c r="GZ12" s="504">
        <v>0</v>
      </c>
      <c r="HA12" s="504">
        <v>0</v>
      </c>
      <c r="HB12" s="504">
        <v>0</v>
      </c>
      <c r="HC12" s="504">
        <v>0</v>
      </c>
      <c r="HD12" s="504">
        <v>0</v>
      </c>
      <c r="HE12" s="504">
        <v>0</v>
      </c>
      <c r="HF12" s="504">
        <v>0</v>
      </c>
      <c r="HG12" s="504">
        <v>0</v>
      </c>
      <c r="HH12" s="504">
        <v>0</v>
      </c>
      <c r="HI12" s="504">
        <v>0</v>
      </c>
      <c r="HJ12" s="504">
        <v>0</v>
      </c>
      <c r="HK12" s="504">
        <v>0</v>
      </c>
      <c r="HL12" s="504">
        <v>0</v>
      </c>
      <c r="HM12" s="504">
        <v>0</v>
      </c>
      <c r="HN12" s="504">
        <v>0</v>
      </c>
      <c r="HO12" s="504">
        <v>0</v>
      </c>
      <c r="HP12" s="504">
        <v>0</v>
      </c>
      <c r="HQ12" s="504">
        <v>0</v>
      </c>
      <c r="HR12" s="504">
        <v>0</v>
      </c>
      <c r="HS12" s="504">
        <v>0</v>
      </c>
      <c r="HT12" s="504">
        <v>0</v>
      </c>
      <c r="HU12" s="504">
        <v>0</v>
      </c>
      <c r="HV12" s="504">
        <v>0</v>
      </c>
      <c r="HW12" s="504">
        <v>0</v>
      </c>
      <c r="HX12" s="504">
        <v>0</v>
      </c>
      <c r="HY12" s="504">
        <v>0</v>
      </c>
      <c r="HZ12" s="504">
        <v>0</v>
      </c>
      <c r="IA12" s="504">
        <v>0</v>
      </c>
      <c r="IB12" s="504">
        <v>0</v>
      </c>
      <c r="IC12" s="504">
        <v>0</v>
      </c>
      <c r="ID12" s="504">
        <v>0</v>
      </c>
      <c r="IE12" s="504">
        <v>0</v>
      </c>
      <c r="IF12" s="504">
        <v>0</v>
      </c>
      <c r="IG12" s="504">
        <v>0</v>
      </c>
      <c r="IH12" s="504">
        <v>0</v>
      </c>
      <c r="II12" s="504">
        <v>0</v>
      </c>
      <c r="IJ12" s="504">
        <v>0</v>
      </c>
      <c r="IK12" s="504">
        <v>0</v>
      </c>
      <c r="IL12" s="504">
        <v>0</v>
      </c>
      <c r="IM12" s="504">
        <v>0</v>
      </c>
      <c r="IN12" s="504">
        <v>0</v>
      </c>
      <c r="IO12" s="504">
        <v>0</v>
      </c>
      <c r="IP12" s="504">
        <v>0</v>
      </c>
      <c r="IQ12" s="504">
        <v>0</v>
      </c>
      <c r="IR12" s="504">
        <v>0</v>
      </c>
      <c r="IS12" s="504">
        <v>0</v>
      </c>
      <c r="IT12" s="504">
        <v>0</v>
      </c>
      <c r="IU12" s="504">
        <v>0</v>
      </c>
      <c r="IV12" s="504">
        <v>0</v>
      </c>
      <c r="IW12" s="504">
        <v>0</v>
      </c>
      <c r="IX12" s="504">
        <v>0</v>
      </c>
      <c r="IY12" s="504">
        <v>0</v>
      </c>
      <c r="IZ12" s="504">
        <v>0</v>
      </c>
      <c r="JA12" s="504">
        <v>0</v>
      </c>
      <c r="JB12" s="504">
        <v>0</v>
      </c>
      <c r="JC12" s="504">
        <v>0</v>
      </c>
      <c r="JD12" s="504">
        <v>0</v>
      </c>
      <c r="JE12" s="504">
        <v>0</v>
      </c>
      <c r="JF12" s="504">
        <v>0</v>
      </c>
      <c r="JG12" s="504">
        <v>0</v>
      </c>
      <c r="JH12" s="504">
        <v>0</v>
      </c>
      <c r="JI12" s="504">
        <v>0</v>
      </c>
      <c r="JJ12" s="504">
        <v>0</v>
      </c>
      <c r="JK12" s="504">
        <v>0</v>
      </c>
      <c r="JL12" s="504">
        <v>0</v>
      </c>
      <c r="JM12" s="504">
        <v>0</v>
      </c>
      <c r="JN12" s="504">
        <v>0</v>
      </c>
      <c r="JO12" s="504">
        <v>0</v>
      </c>
      <c r="JP12" s="504">
        <v>0</v>
      </c>
      <c r="JQ12" s="504">
        <v>0</v>
      </c>
      <c r="JR12" s="504">
        <v>0</v>
      </c>
      <c r="JS12" s="504">
        <v>0</v>
      </c>
      <c r="JT12" s="504">
        <v>0</v>
      </c>
      <c r="JU12" s="504">
        <v>0</v>
      </c>
      <c r="JV12" s="504">
        <v>0</v>
      </c>
      <c r="JW12" s="504">
        <v>0</v>
      </c>
      <c r="JX12" s="504">
        <v>0</v>
      </c>
      <c r="JY12" s="504">
        <v>0</v>
      </c>
      <c r="JZ12" s="504">
        <v>0</v>
      </c>
      <c r="KA12" s="504">
        <v>0</v>
      </c>
      <c r="KB12" s="504">
        <v>0</v>
      </c>
      <c r="KC12" s="504">
        <v>0</v>
      </c>
      <c r="KD12" s="504">
        <v>0</v>
      </c>
      <c r="KE12" s="504">
        <v>0</v>
      </c>
      <c r="KF12" s="504">
        <v>0</v>
      </c>
      <c r="KG12" s="504">
        <v>0</v>
      </c>
      <c r="KH12" s="504">
        <v>0</v>
      </c>
      <c r="KI12" s="504">
        <v>0</v>
      </c>
      <c r="KJ12" s="504">
        <v>0</v>
      </c>
      <c r="KK12" s="504">
        <v>0</v>
      </c>
      <c r="KL12" s="504">
        <v>0</v>
      </c>
      <c r="KM12" s="504">
        <v>0</v>
      </c>
      <c r="KN12" s="504">
        <v>0</v>
      </c>
      <c r="KO12" s="504">
        <v>0</v>
      </c>
      <c r="KP12" s="504">
        <v>0</v>
      </c>
      <c r="KQ12" s="504">
        <v>0</v>
      </c>
      <c r="KR12" s="504">
        <v>0</v>
      </c>
      <c r="KS12" s="504">
        <v>0</v>
      </c>
      <c r="KT12" s="504">
        <v>0</v>
      </c>
      <c r="KU12" s="504">
        <v>0</v>
      </c>
      <c r="KV12" s="504">
        <v>0</v>
      </c>
      <c r="KW12" s="504">
        <v>0</v>
      </c>
      <c r="KX12" s="504">
        <v>0</v>
      </c>
      <c r="KY12" s="504">
        <v>0</v>
      </c>
      <c r="KZ12" s="504">
        <v>0</v>
      </c>
      <c r="LA12" s="504">
        <v>0</v>
      </c>
      <c r="LB12" s="504">
        <v>0</v>
      </c>
      <c r="LC12" s="504">
        <v>0</v>
      </c>
      <c r="LD12" s="504">
        <v>0</v>
      </c>
      <c r="LE12" s="504">
        <v>0</v>
      </c>
      <c r="LF12" s="504">
        <v>0</v>
      </c>
      <c r="LG12" s="504">
        <v>0</v>
      </c>
      <c r="LH12" s="504">
        <v>0</v>
      </c>
      <c r="LI12" s="504">
        <v>0</v>
      </c>
      <c r="LJ12" s="504">
        <v>0</v>
      </c>
      <c r="LK12" s="504">
        <v>0</v>
      </c>
      <c r="LL12" s="504">
        <v>0</v>
      </c>
      <c r="LM12" s="504">
        <v>0</v>
      </c>
      <c r="LN12" s="504">
        <v>0</v>
      </c>
      <c r="LO12" s="504">
        <v>0</v>
      </c>
      <c r="LP12" s="504">
        <v>0</v>
      </c>
      <c r="LQ12" s="504">
        <v>0</v>
      </c>
      <c r="LR12" s="504">
        <v>0</v>
      </c>
      <c r="LS12" s="504">
        <v>0</v>
      </c>
      <c r="LT12" s="504">
        <v>0</v>
      </c>
      <c r="LU12" s="504">
        <v>0</v>
      </c>
      <c r="LV12" s="504">
        <v>0</v>
      </c>
      <c r="LW12" s="504">
        <v>0</v>
      </c>
      <c r="LX12" s="504">
        <v>0</v>
      </c>
      <c r="LY12" s="504">
        <v>0</v>
      </c>
      <c r="LZ12" s="504">
        <v>0</v>
      </c>
      <c r="MA12" s="504">
        <v>0</v>
      </c>
      <c r="MB12" s="504">
        <v>0</v>
      </c>
      <c r="MC12" s="504">
        <v>0</v>
      </c>
      <c r="MD12" s="504">
        <v>0</v>
      </c>
      <c r="ME12" s="504">
        <v>0</v>
      </c>
      <c r="MF12" s="504">
        <v>0</v>
      </c>
      <c r="MG12" s="504">
        <v>0</v>
      </c>
      <c r="MH12" s="504">
        <v>0</v>
      </c>
      <c r="MI12" s="504">
        <v>0</v>
      </c>
      <c r="MJ12" s="504">
        <v>0</v>
      </c>
      <c r="MK12" s="504">
        <v>0</v>
      </c>
      <c r="ML12" s="504">
        <v>0</v>
      </c>
      <c r="MM12" s="504">
        <v>0</v>
      </c>
      <c r="MN12" s="504">
        <v>0</v>
      </c>
      <c r="MO12" s="504">
        <v>0</v>
      </c>
      <c r="MP12" s="504">
        <v>0</v>
      </c>
      <c r="MQ12" s="504">
        <v>0</v>
      </c>
      <c r="MR12" s="504">
        <v>0</v>
      </c>
      <c r="MS12" s="504">
        <v>0</v>
      </c>
      <c r="MT12" s="504">
        <v>0</v>
      </c>
      <c r="MU12" s="504">
        <v>0</v>
      </c>
      <c r="MV12" s="504">
        <v>0</v>
      </c>
      <c r="MW12" s="504">
        <v>0</v>
      </c>
      <c r="MX12" s="504">
        <v>0</v>
      </c>
      <c r="MY12" s="504">
        <v>0</v>
      </c>
      <c r="MZ12" s="504">
        <v>0</v>
      </c>
      <c r="NA12" s="504">
        <v>0</v>
      </c>
      <c r="NB12" s="504">
        <v>0</v>
      </c>
      <c r="NC12" s="504">
        <v>0</v>
      </c>
      <c r="ND12" s="504">
        <v>0</v>
      </c>
      <c r="NE12" s="504">
        <v>0</v>
      </c>
      <c r="NF12" s="504">
        <v>0</v>
      </c>
      <c r="NG12" s="504">
        <v>0</v>
      </c>
      <c r="NH12" s="504">
        <v>0</v>
      </c>
      <c r="NI12" s="504">
        <v>0</v>
      </c>
      <c r="NJ12" s="504">
        <v>0</v>
      </c>
      <c r="NK12" s="504">
        <v>0</v>
      </c>
      <c r="NL12" s="504">
        <v>0</v>
      </c>
      <c r="NM12" s="504">
        <v>0</v>
      </c>
      <c r="NN12" s="504">
        <v>0</v>
      </c>
      <c r="NO12" s="504">
        <v>0</v>
      </c>
      <c r="NP12" s="504">
        <v>0</v>
      </c>
      <c r="NQ12" s="504">
        <v>0</v>
      </c>
      <c r="NR12" s="504">
        <v>0</v>
      </c>
      <c r="NS12" s="504">
        <v>0</v>
      </c>
      <c r="NT12" s="504">
        <v>0</v>
      </c>
      <c r="NU12" s="504">
        <v>0</v>
      </c>
      <c r="NV12" s="504">
        <v>0</v>
      </c>
      <c r="NW12" s="504">
        <v>0</v>
      </c>
      <c r="NX12" s="504">
        <v>0</v>
      </c>
      <c r="NY12" s="504">
        <v>0</v>
      </c>
      <c r="NZ12" s="504">
        <v>0</v>
      </c>
      <c r="OA12" s="504">
        <v>0</v>
      </c>
      <c r="OB12" s="504">
        <v>0</v>
      </c>
      <c r="OC12" s="504">
        <v>0</v>
      </c>
      <c r="OD12" s="504">
        <v>0</v>
      </c>
      <c r="OE12" s="504">
        <v>0</v>
      </c>
      <c r="OF12" s="504">
        <v>0</v>
      </c>
      <c r="OG12" s="504">
        <v>0</v>
      </c>
      <c r="OH12" s="504">
        <v>0</v>
      </c>
      <c r="OI12" s="504">
        <v>0</v>
      </c>
      <c r="OJ12" s="504">
        <v>0</v>
      </c>
      <c r="OK12" s="504">
        <v>0</v>
      </c>
      <c r="OL12" s="504">
        <v>0</v>
      </c>
      <c r="OM12" s="504">
        <v>0</v>
      </c>
      <c r="ON12" s="494"/>
    </row>
    <row r="13" spans="1:404" ht="18.75" customHeight="1" x14ac:dyDescent="0.4">
      <c r="A13" s="355" t="s">
        <v>285</v>
      </c>
      <c r="B13" s="358">
        <v>113</v>
      </c>
      <c r="C13" s="355" t="s">
        <v>60</v>
      </c>
      <c r="D13" s="501">
        <v>15.56</v>
      </c>
      <c r="E13" s="502">
        <v>37058</v>
      </c>
      <c r="F13" s="501">
        <v>15.55</v>
      </c>
      <c r="G13" s="502">
        <v>2108</v>
      </c>
      <c r="H13" s="501">
        <v>15.55</v>
      </c>
      <c r="I13" s="502">
        <v>10892</v>
      </c>
      <c r="J13" s="501">
        <v>15.55</v>
      </c>
      <c r="K13" s="502">
        <v>14144</v>
      </c>
      <c r="V13" s="501"/>
      <c r="W13" s="503"/>
      <c r="X13" s="501"/>
      <c r="Y13" s="503"/>
      <c r="Z13" s="501"/>
      <c r="AA13" s="503"/>
      <c r="AB13" s="495"/>
      <c r="AC13" s="504">
        <v>0</v>
      </c>
      <c r="AD13" s="504">
        <v>0</v>
      </c>
      <c r="AE13" s="504">
        <v>0</v>
      </c>
      <c r="AF13" s="504">
        <v>0</v>
      </c>
      <c r="AG13" s="504">
        <v>0</v>
      </c>
      <c r="AH13" s="504">
        <v>0</v>
      </c>
      <c r="AI13" s="504">
        <v>0</v>
      </c>
      <c r="AJ13" s="504">
        <v>0</v>
      </c>
      <c r="AK13" s="504">
        <v>0</v>
      </c>
      <c r="AL13" s="504">
        <v>0</v>
      </c>
      <c r="AM13" s="504">
        <v>0</v>
      </c>
      <c r="AN13" s="504">
        <v>0</v>
      </c>
      <c r="AO13" s="504">
        <v>0</v>
      </c>
      <c r="AP13" s="504">
        <v>0</v>
      </c>
      <c r="AQ13" s="504">
        <v>0</v>
      </c>
      <c r="AR13" s="504">
        <v>0</v>
      </c>
      <c r="AS13" s="504">
        <v>0</v>
      </c>
      <c r="AT13" s="504">
        <v>0</v>
      </c>
      <c r="AU13" s="504">
        <v>0</v>
      </c>
      <c r="AV13" s="504">
        <v>0</v>
      </c>
      <c r="AW13" s="504">
        <v>0</v>
      </c>
      <c r="AX13" s="504">
        <v>0</v>
      </c>
      <c r="AY13" s="504">
        <v>0</v>
      </c>
      <c r="AZ13" s="504">
        <v>0</v>
      </c>
      <c r="BA13" s="504">
        <v>0</v>
      </c>
      <c r="BB13" s="504">
        <v>0</v>
      </c>
      <c r="BC13" s="504">
        <v>0</v>
      </c>
      <c r="BD13" s="504">
        <v>0</v>
      </c>
      <c r="BE13" s="504">
        <v>0</v>
      </c>
      <c r="BF13" s="504">
        <v>0</v>
      </c>
      <c r="BG13" s="504">
        <v>0</v>
      </c>
      <c r="BH13" s="504">
        <v>0</v>
      </c>
      <c r="BI13" s="504">
        <v>0</v>
      </c>
      <c r="BJ13" s="504">
        <v>0</v>
      </c>
      <c r="BK13" s="504">
        <v>0</v>
      </c>
      <c r="BL13" s="504">
        <v>0</v>
      </c>
      <c r="BM13" s="504">
        <v>0</v>
      </c>
      <c r="BN13" s="504">
        <v>0</v>
      </c>
      <c r="BO13" s="504">
        <v>0</v>
      </c>
      <c r="BP13" s="504">
        <v>0</v>
      </c>
      <c r="BQ13" s="504">
        <v>0</v>
      </c>
      <c r="BR13" s="504">
        <v>0</v>
      </c>
      <c r="BS13" s="504">
        <v>0</v>
      </c>
      <c r="BT13" s="504">
        <v>0</v>
      </c>
      <c r="BU13" s="504">
        <v>0</v>
      </c>
      <c r="BV13" s="504">
        <v>0</v>
      </c>
      <c r="BW13" s="504">
        <v>0</v>
      </c>
      <c r="BX13" s="504">
        <v>0</v>
      </c>
      <c r="BY13" s="504">
        <v>0</v>
      </c>
      <c r="BZ13" s="504">
        <v>0</v>
      </c>
      <c r="CA13" s="504">
        <v>0</v>
      </c>
      <c r="CB13" s="504">
        <v>0</v>
      </c>
      <c r="CC13" s="504">
        <v>0</v>
      </c>
      <c r="CD13" s="504">
        <v>0</v>
      </c>
      <c r="CE13" s="504">
        <v>0</v>
      </c>
      <c r="CF13" s="504">
        <v>0</v>
      </c>
      <c r="CG13" s="504">
        <v>0</v>
      </c>
      <c r="CH13" s="504">
        <v>0</v>
      </c>
      <c r="CI13" s="504">
        <v>0</v>
      </c>
      <c r="CJ13" s="504">
        <v>0</v>
      </c>
      <c r="CK13" s="504">
        <v>0</v>
      </c>
      <c r="CL13" s="504">
        <v>0</v>
      </c>
      <c r="CM13" s="504">
        <v>0</v>
      </c>
      <c r="CN13" s="504">
        <v>0</v>
      </c>
      <c r="CO13" s="504">
        <v>0</v>
      </c>
      <c r="CP13" s="504">
        <v>0</v>
      </c>
      <c r="CQ13" s="504">
        <v>0</v>
      </c>
      <c r="CR13" s="504">
        <v>0</v>
      </c>
      <c r="CS13" s="504">
        <v>0</v>
      </c>
      <c r="CT13" s="504">
        <v>0</v>
      </c>
      <c r="CU13" s="504">
        <v>0</v>
      </c>
      <c r="CV13" s="504">
        <v>0</v>
      </c>
      <c r="CW13" s="504">
        <v>0</v>
      </c>
      <c r="CX13" s="504">
        <v>0</v>
      </c>
      <c r="CY13" s="504">
        <v>0</v>
      </c>
      <c r="CZ13" s="504">
        <v>0</v>
      </c>
      <c r="DA13" s="504">
        <v>0</v>
      </c>
      <c r="DB13" s="504">
        <v>0</v>
      </c>
      <c r="DC13" s="504">
        <v>0</v>
      </c>
      <c r="DD13" s="504">
        <v>0</v>
      </c>
      <c r="DE13" s="504">
        <v>0</v>
      </c>
      <c r="DF13" s="504">
        <v>0</v>
      </c>
      <c r="DG13" s="504">
        <v>0</v>
      </c>
      <c r="DH13" s="504">
        <v>0</v>
      </c>
      <c r="DI13" s="504">
        <v>0</v>
      </c>
      <c r="DJ13" s="504">
        <v>0</v>
      </c>
      <c r="DK13" s="504">
        <v>0</v>
      </c>
      <c r="DL13" s="504">
        <v>0</v>
      </c>
      <c r="DM13" s="504">
        <v>0</v>
      </c>
      <c r="DN13" s="504">
        <v>0</v>
      </c>
      <c r="DO13" s="504">
        <v>0</v>
      </c>
      <c r="DP13" s="504">
        <v>0</v>
      </c>
      <c r="DQ13" s="504">
        <v>0</v>
      </c>
      <c r="DR13" s="504">
        <v>0</v>
      </c>
      <c r="DS13" s="504">
        <v>0</v>
      </c>
      <c r="DT13" s="504">
        <v>0</v>
      </c>
      <c r="DU13" s="504">
        <v>0</v>
      </c>
      <c r="DV13" s="504">
        <v>0</v>
      </c>
      <c r="DW13" s="504">
        <v>0</v>
      </c>
      <c r="DX13" s="504">
        <v>0</v>
      </c>
      <c r="DY13" s="504">
        <v>0</v>
      </c>
      <c r="DZ13" s="504">
        <v>0</v>
      </c>
      <c r="EA13" s="504">
        <v>0</v>
      </c>
      <c r="EB13" s="504">
        <v>0</v>
      </c>
      <c r="EC13" s="504">
        <v>0</v>
      </c>
      <c r="ED13" s="504">
        <v>0</v>
      </c>
      <c r="EE13" s="504">
        <v>0</v>
      </c>
      <c r="EF13" s="504">
        <v>0</v>
      </c>
      <c r="EG13" s="504">
        <v>0</v>
      </c>
      <c r="EH13" s="504">
        <v>0</v>
      </c>
      <c r="EI13" s="504">
        <v>0</v>
      </c>
      <c r="EJ13" s="504">
        <v>0</v>
      </c>
      <c r="EK13" s="504">
        <v>0</v>
      </c>
      <c r="EL13" s="504">
        <v>0</v>
      </c>
      <c r="EM13" s="504">
        <v>0</v>
      </c>
      <c r="EN13" s="504">
        <v>0</v>
      </c>
      <c r="EO13" s="504">
        <v>0</v>
      </c>
      <c r="EP13" s="504">
        <v>0</v>
      </c>
      <c r="EQ13" s="504">
        <v>0</v>
      </c>
      <c r="ER13" s="504">
        <v>0</v>
      </c>
      <c r="ES13" s="504">
        <v>0</v>
      </c>
      <c r="ET13" s="504">
        <v>0</v>
      </c>
      <c r="EU13" s="504">
        <v>0</v>
      </c>
      <c r="EV13" s="504">
        <v>0</v>
      </c>
      <c r="EW13" s="504">
        <v>0</v>
      </c>
      <c r="EX13" s="504">
        <v>0</v>
      </c>
      <c r="EY13" s="504">
        <v>0</v>
      </c>
      <c r="EZ13" s="504">
        <v>0</v>
      </c>
      <c r="FA13" s="504">
        <v>0</v>
      </c>
      <c r="FB13" s="504">
        <v>0</v>
      </c>
      <c r="FC13" s="504">
        <v>0</v>
      </c>
      <c r="FD13" s="504">
        <v>0</v>
      </c>
      <c r="FE13" s="504">
        <v>0</v>
      </c>
      <c r="FF13" s="504">
        <v>0</v>
      </c>
      <c r="FG13" s="504">
        <v>0</v>
      </c>
      <c r="FH13" s="504">
        <v>0</v>
      </c>
      <c r="FI13" s="504">
        <v>0</v>
      </c>
      <c r="FJ13" s="504">
        <v>0</v>
      </c>
      <c r="FK13" s="504">
        <v>0</v>
      </c>
      <c r="FL13" s="504">
        <v>0</v>
      </c>
      <c r="FM13" s="504">
        <v>0</v>
      </c>
      <c r="FN13" s="504">
        <v>0</v>
      </c>
      <c r="FO13" s="504">
        <v>0</v>
      </c>
      <c r="FP13" s="504">
        <v>0</v>
      </c>
      <c r="FQ13" s="504">
        <v>0</v>
      </c>
      <c r="FR13" s="504">
        <v>0</v>
      </c>
      <c r="FS13" s="504">
        <v>0</v>
      </c>
      <c r="FT13" s="504">
        <v>0</v>
      </c>
      <c r="FU13" s="504">
        <v>0</v>
      </c>
      <c r="FV13" s="504">
        <v>0</v>
      </c>
      <c r="FW13" s="504">
        <v>0</v>
      </c>
      <c r="FX13" s="504">
        <v>0</v>
      </c>
      <c r="FY13" s="504">
        <v>0</v>
      </c>
      <c r="FZ13" s="504">
        <v>0</v>
      </c>
      <c r="GA13" s="504">
        <v>0</v>
      </c>
      <c r="GB13" s="504">
        <v>0</v>
      </c>
      <c r="GC13" s="504">
        <v>0</v>
      </c>
      <c r="GD13" s="504">
        <v>0</v>
      </c>
      <c r="GE13" s="504">
        <v>0</v>
      </c>
      <c r="GF13" s="504">
        <v>0</v>
      </c>
      <c r="GG13" s="504">
        <v>0</v>
      </c>
      <c r="GH13" s="504">
        <v>0</v>
      </c>
      <c r="GI13" s="504">
        <v>0</v>
      </c>
      <c r="GJ13" s="504">
        <v>0</v>
      </c>
      <c r="GK13" s="504">
        <v>0</v>
      </c>
      <c r="GL13" s="504">
        <v>0</v>
      </c>
      <c r="GM13" s="504">
        <v>0</v>
      </c>
      <c r="GN13" s="504">
        <v>0</v>
      </c>
      <c r="GO13" s="504">
        <v>0</v>
      </c>
      <c r="GP13" s="504">
        <v>0</v>
      </c>
      <c r="GQ13" s="504">
        <v>0</v>
      </c>
      <c r="GR13" s="504">
        <v>0</v>
      </c>
      <c r="GS13" s="504">
        <v>0</v>
      </c>
      <c r="GT13" s="504">
        <v>0</v>
      </c>
      <c r="GU13" s="504">
        <v>0</v>
      </c>
      <c r="GV13" s="504">
        <v>0</v>
      </c>
      <c r="GW13" s="504">
        <v>0</v>
      </c>
      <c r="GX13" s="504">
        <v>0</v>
      </c>
      <c r="GY13" s="504">
        <v>0</v>
      </c>
      <c r="GZ13" s="504">
        <v>0</v>
      </c>
      <c r="HA13" s="504">
        <v>0</v>
      </c>
      <c r="HB13" s="504">
        <v>0</v>
      </c>
      <c r="HC13" s="504">
        <v>0</v>
      </c>
      <c r="HD13" s="504">
        <v>0</v>
      </c>
      <c r="HE13" s="504">
        <v>0</v>
      </c>
      <c r="HF13" s="504">
        <v>0</v>
      </c>
      <c r="HG13" s="504">
        <v>0</v>
      </c>
      <c r="HH13" s="504">
        <v>0</v>
      </c>
      <c r="HI13" s="504">
        <v>0</v>
      </c>
      <c r="HJ13" s="504">
        <v>0</v>
      </c>
      <c r="HK13" s="504">
        <v>0</v>
      </c>
      <c r="HL13" s="504">
        <v>0</v>
      </c>
      <c r="HM13" s="504">
        <v>0</v>
      </c>
      <c r="HN13" s="504">
        <v>0</v>
      </c>
      <c r="HO13" s="504">
        <v>0</v>
      </c>
      <c r="HP13" s="504">
        <v>0</v>
      </c>
      <c r="HQ13" s="504">
        <v>0</v>
      </c>
      <c r="HR13" s="504">
        <v>0</v>
      </c>
      <c r="HS13" s="504">
        <v>0</v>
      </c>
      <c r="HT13" s="504">
        <v>0</v>
      </c>
      <c r="HU13" s="504">
        <v>0</v>
      </c>
      <c r="HV13" s="504">
        <v>0</v>
      </c>
      <c r="HW13" s="504">
        <v>0</v>
      </c>
      <c r="HX13" s="504">
        <v>0</v>
      </c>
      <c r="HY13" s="504">
        <v>0</v>
      </c>
      <c r="HZ13" s="504">
        <v>0</v>
      </c>
      <c r="IA13" s="504">
        <v>0</v>
      </c>
      <c r="IB13" s="504">
        <v>0</v>
      </c>
      <c r="IC13" s="504">
        <v>0</v>
      </c>
      <c r="ID13" s="504">
        <v>0</v>
      </c>
      <c r="IE13" s="504">
        <v>0</v>
      </c>
      <c r="IF13" s="504">
        <v>0</v>
      </c>
      <c r="IG13" s="504">
        <v>0</v>
      </c>
      <c r="IH13" s="504">
        <v>0</v>
      </c>
      <c r="II13" s="504">
        <v>0</v>
      </c>
      <c r="IJ13" s="504">
        <v>0</v>
      </c>
      <c r="IK13" s="504">
        <v>0</v>
      </c>
      <c r="IL13" s="504">
        <v>0</v>
      </c>
      <c r="IM13" s="504">
        <v>0</v>
      </c>
      <c r="IN13" s="504">
        <v>0</v>
      </c>
      <c r="IO13" s="504">
        <v>0</v>
      </c>
      <c r="IP13" s="504">
        <v>0</v>
      </c>
      <c r="IQ13" s="504">
        <v>0</v>
      </c>
      <c r="IR13" s="504">
        <v>0</v>
      </c>
      <c r="IS13" s="504">
        <v>0</v>
      </c>
      <c r="IT13" s="504">
        <v>0</v>
      </c>
      <c r="IU13" s="504">
        <v>0</v>
      </c>
      <c r="IV13" s="504">
        <v>0</v>
      </c>
      <c r="IW13" s="504">
        <v>0</v>
      </c>
      <c r="IX13" s="504">
        <v>0</v>
      </c>
      <c r="IY13" s="504">
        <v>0</v>
      </c>
      <c r="IZ13" s="504">
        <v>0</v>
      </c>
      <c r="JA13" s="504">
        <v>0</v>
      </c>
      <c r="JB13" s="504">
        <v>0</v>
      </c>
      <c r="JC13" s="504">
        <v>0</v>
      </c>
      <c r="JD13" s="504">
        <v>0</v>
      </c>
      <c r="JE13" s="504">
        <v>0</v>
      </c>
      <c r="JF13" s="504">
        <v>0</v>
      </c>
      <c r="JG13" s="504">
        <v>0</v>
      </c>
      <c r="JH13" s="504">
        <v>0</v>
      </c>
      <c r="JI13" s="504">
        <v>0</v>
      </c>
      <c r="JJ13" s="504">
        <v>0</v>
      </c>
      <c r="JK13" s="504">
        <v>0</v>
      </c>
      <c r="JL13" s="504">
        <v>0</v>
      </c>
      <c r="JM13" s="504">
        <v>0</v>
      </c>
      <c r="JN13" s="504">
        <v>0</v>
      </c>
      <c r="JO13" s="504">
        <v>0</v>
      </c>
      <c r="JP13" s="504">
        <v>0</v>
      </c>
      <c r="JQ13" s="504">
        <v>0</v>
      </c>
      <c r="JR13" s="504">
        <v>0</v>
      </c>
      <c r="JS13" s="504">
        <v>0</v>
      </c>
      <c r="JT13" s="504">
        <v>0</v>
      </c>
      <c r="JU13" s="504">
        <v>0</v>
      </c>
      <c r="JV13" s="504">
        <v>0</v>
      </c>
      <c r="JW13" s="504">
        <v>0</v>
      </c>
      <c r="JX13" s="504">
        <v>0</v>
      </c>
      <c r="JY13" s="504">
        <v>0</v>
      </c>
      <c r="JZ13" s="504">
        <v>0</v>
      </c>
      <c r="KA13" s="504">
        <v>0</v>
      </c>
      <c r="KB13" s="504">
        <v>0</v>
      </c>
      <c r="KC13" s="504">
        <v>0</v>
      </c>
      <c r="KD13" s="504">
        <v>0</v>
      </c>
      <c r="KE13" s="504">
        <v>0</v>
      </c>
      <c r="KF13" s="504">
        <v>0</v>
      </c>
      <c r="KG13" s="504">
        <v>0</v>
      </c>
      <c r="KH13" s="504">
        <v>0</v>
      </c>
      <c r="KI13" s="504">
        <v>0</v>
      </c>
      <c r="KJ13" s="504">
        <v>0</v>
      </c>
      <c r="KK13" s="504">
        <v>0</v>
      </c>
      <c r="KL13" s="504">
        <v>0</v>
      </c>
      <c r="KM13" s="504">
        <v>0</v>
      </c>
      <c r="KN13" s="504">
        <v>0</v>
      </c>
      <c r="KO13" s="504">
        <v>0</v>
      </c>
      <c r="KP13" s="504">
        <v>0</v>
      </c>
      <c r="KQ13" s="504">
        <v>0</v>
      </c>
      <c r="KR13" s="504">
        <v>0</v>
      </c>
      <c r="KS13" s="504">
        <v>0</v>
      </c>
      <c r="KT13" s="504">
        <v>0</v>
      </c>
      <c r="KU13" s="504">
        <v>0</v>
      </c>
      <c r="KV13" s="504">
        <v>0</v>
      </c>
      <c r="KW13" s="504">
        <v>0</v>
      </c>
      <c r="KX13" s="504">
        <v>0</v>
      </c>
      <c r="KY13" s="504">
        <v>0</v>
      </c>
      <c r="KZ13" s="504">
        <v>0</v>
      </c>
      <c r="LA13" s="504">
        <v>0</v>
      </c>
      <c r="LB13" s="504">
        <v>0</v>
      </c>
      <c r="LC13" s="504">
        <v>0</v>
      </c>
      <c r="LD13" s="504">
        <v>0</v>
      </c>
      <c r="LE13" s="504">
        <v>0</v>
      </c>
      <c r="LF13" s="504">
        <v>0</v>
      </c>
      <c r="LG13" s="504">
        <v>0</v>
      </c>
      <c r="LH13" s="504">
        <v>0</v>
      </c>
      <c r="LI13" s="504">
        <v>0</v>
      </c>
      <c r="LJ13" s="504">
        <v>0</v>
      </c>
      <c r="LK13" s="504">
        <v>0</v>
      </c>
      <c r="LL13" s="504">
        <v>0</v>
      </c>
      <c r="LM13" s="504">
        <v>0</v>
      </c>
      <c r="LN13" s="504">
        <v>0</v>
      </c>
      <c r="LO13" s="504">
        <v>0</v>
      </c>
      <c r="LP13" s="504">
        <v>0</v>
      </c>
      <c r="LQ13" s="504">
        <v>0</v>
      </c>
      <c r="LR13" s="504">
        <v>0</v>
      </c>
      <c r="LS13" s="504">
        <v>0</v>
      </c>
      <c r="LT13" s="504">
        <v>0</v>
      </c>
      <c r="LU13" s="504">
        <v>0</v>
      </c>
      <c r="LV13" s="504">
        <v>0</v>
      </c>
      <c r="LW13" s="504">
        <v>0</v>
      </c>
      <c r="LX13" s="504">
        <v>0</v>
      </c>
      <c r="LY13" s="504">
        <v>0</v>
      </c>
      <c r="LZ13" s="504">
        <v>0</v>
      </c>
      <c r="MA13" s="504">
        <v>0</v>
      </c>
      <c r="MB13" s="504">
        <v>0</v>
      </c>
      <c r="MC13" s="504">
        <v>0</v>
      </c>
      <c r="MD13" s="504">
        <v>0</v>
      </c>
      <c r="ME13" s="504">
        <v>0</v>
      </c>
      <c r="MF13" s="504">
        <v>0</v>
      </c>
      <c r="MG13" s="504">
        <v>0</v>
      </c>
      <c r="MH13" s="504">
        <v>0</v>
      </c>
      <c r="MI13" s="504">
        <v>0</v>
      </c>
      <c r="MJ13" s="504">
        <v>0</v>
      </c>
      <c r="MK13" s="504">
        <v>0</v>
      </c>
      <c r="ML13" s="504">
        <v>0</v>
      </c>
      <c r="MM13" s="504">
        <v>0</v>
      </c>
      <c r="MN13" s="504">
        <v>0</v>
      </c>
      <c r="MO13" s="504">
        <v>0</v>
      </c>
      <c r="MP13" s="504">
        <v>0</v>
      </c>
      <c r="MQ13" s="504">
        <v>0</v>
      </c>
      <c r="MR13" s="504">
        <v>0</v>
      </c>
      <c r="MS13" s="504">
        <v>0</v>
      </c>
      <c r="MT13" s="504">
        <v>0</v>
      </c>
      <c r="MU13" s="504">
        <v>0</v>
      </c>
      <c r="MV13" s="504">
        <v>0</v>
      </c>
      <c r="MW13" s="504">
        <v>0</v>
      </c>
      <c r="MX13" s="504">
        <v>0</v>
      </c>
      <c r="MY13" s="504">
        <v>0</v>
      </c>
      <c r="MZ13" s="504">
        <v>0</v>
      </c>
      <c r="NA13" s="504">
        <v>0</v>
      </c>
      <c r="NB13" s="504">
        <v>0</v>
      </c>
      <c r="NC13" s="504">
        <v>0</v>
      </c>
      <c r="ND13" s="504">
        <v>0</v>
      </c>
      <c r="NE13" s="504">
        <v>0</v>
      </c>
      <c r="NF13" s="504">
        <v>0</v>
      </c>
      <c r="NG13" s="504">
        <v>0</v>
      </c>
      <c r="NH13" s="504">
        <v>0</v>
      </c>
      <c r="NI13" s="504">
        <v>0</v>
      </c>
      <c r="NJ13" s="504">
        <v>0</v>
      </c>
      <c r="NK13" s="504">
        <v>0</v>
      </c>
      <c r="NL13" s="504">
        <v>0</v>
      </c>
      <c r="NM13" s="504">
        <v>0</v>
      </c>
      <c r="NN13" s="504">
        <v>0</v>
      </c>
      <c r="NO13" s="504">
        <v>0</v>
      </c>
      <c r="NP13" s="504">
        <v>0</v>
      </c>
      <c r="NQ13" s="504">
        <v>0</v>
      </c>
      <c r="NR13" s="504">
        <v>0</v>
      </c>
      <c r="NS13" s="504">
        <v>0</v>
      </c>
      <c r="NT13" s="504">
        <v>0</v>
      </c>
      <c r="NU13" s="504">
        <v>0</v>
      </c>
      <c r="NV13" s="504">
        <v>0</v>
      </c>
      <c r="NW13" s="504">
        <v>0</v>
      </c>
      <c r="NX13" s="504">
        <v>0</v>
      </c>
      <c r="NY13" s="504">
        <v>0</v>
      </c>
      <c r="NZ13" s="504">
        <v>0</v>
      </c>
      <c r="OA13" s="504">
        <v>0</v>
      </c>
      <c r="OB13" s="504">
        <v>0</v>
      </c>
      <c r="OC13" s="504">
        <v>0</v>
      </c>
      <c r="OD13" s="504">
        <v>0</v>
      </c>
      <c r="OE13" s="504">
        <v>0</v>
      </c>
      <c r="OF13" s="504">
        <v>0</v>
      </c>
      <c r="OG13" s="504">
        <v>0</v>
      </c>
      <c r="OH13" s="504">
        <v>0</v>
      </c>
      <c r="OI13" s="504">
        <v>0</v>
      </c>
      <c r="OJ13" s="504">
        <v>0</v>
      </c>
      <c r="OK13" s="504">
        <v>0</v>
      </c>
      <c r="OL13" s="504">
        <v>0</v>
      </c>
      <c r="OM13" s="504">
        <v>0</v>
      </c>
      <c r="ON13" s="494"/>
    </row>
    <row r="14" spans="1:404" ht="18.75" customHeight="1" x14ac:dyDescent="0.4">
      <c r="A14" s="355" t="s">
        <v>287</v>
      </c>
      <c r="B14" s="358">
        <v>104</v>
      </c>
      <c r="C14" s="355" t="s">
        <v>60</v>
      </c>
      <c r="D14" s="501">
        <v>15.46</v>
      </c>
      <c r="E14" s="502">
        <v>33278</v>
      </c>
      <c r="F14" s="501">
        <v>15.46</v>
      </c>
      <c r="G14" s="502">
        <v>8771</v>
      </c>
      <c r="H14" s="501">
        <v>15.46</v>
      </c>
      <c r="I14" s="502">
        <v>33691</v>
      </c>
      <c r="J14" s="501">
        <v>15.46</v>
      </c>
      <c r="K14" s="502">
        <v>41435</v>
      </c>
      <c r="V14" s="501"/>
      <c r="W14" s="503"/>
      <c r="X14" s="501"/>
      <c r="Y14" s="503"/>
      <c r="Z14" s="501"/>
      <c r="AA14" s="503"/>
      <c r="AB14" s="495"/>
      <c r="AC14" s="504">
        <v>0</v>
      </c>
      <c r="AD14" s="504">
        <v>0</v>
      </c>
      <c r="AE14" s="504">
        <v>0</v>
      </c>
      <c r="AF14" s="504">
        <v>0</v>
      </c>
      <c r="AG14" s="504">
        <v>0</v>
      </c>
      <c r="AH14" s="504">
        <v>0</v>
      </c>
      <c r="AI14" s="504">
        <v>0</v>
      </c>
      <c r="AJ14" s="504">
        <v>0</v>
      </c>
      <c r="AK14" s="504">
        <v>0</v>
      </c>
      <c r="AL14" s="504">
        <v>0</v>
      </c>
      <c r="AM14" s="504">
        <v>0</v>
      </c>
      <c r="AN14" s="504">
        <v>0</v>
      </c>
      <c r="AO14" s="504">
        <v>0</v>
      </c>
      <c r="AP14" s="504">
        <v>0</v>
      </c>
      <c r="AQ14" s="504">
        <v>0</v>
      </c>
      <c r="AR14" s="504">
        <v>0</v>
      </c>
      <c r="AS14" s="504">
        <v>0</v>
      </c>
      <c r="AT14" s="504">
        <v>0</v>
      </c>
      <c r="AU14" s="504">
        <v>0</v>
      </c>
      <c r="AV14" s="504">
        <v>0</v>
      </c>
      <c r="AW14" s="504">
        <v>0</v>
      </c>
      <c r="AX14" s="504">
        <v>0</v>
      </c>
      <c r="AY14" s="504">
        <v>0</v>
      </c>
      <c r="AZ14" s="504">
        <v>0</v>
      </c>
      <c r="BA14" s="504">
        <v>0</v>
      </c>
      <c r="BB14" s="504">
        <v>0</v>
      </c>
      <c r="BC14" s="504">
        <v>0</v>
      </c>
      <c r="BD14" s="504">
        <v>0</v>
      </c>
      <c r="BE14" s="504">
        <v>0</v>
      </c>
      <c r="BF14" s="504">
        <v>0</v>
      </c>
      <c r="BG14" s="504">
        <v>0</v>
      </c>
      <c r="BH14" s="504">
        <v>0</v>
      </c>
      <c r="BI14" s="504">
        <v>0</v>
      </c>
      <c r="BJ14" s="504">
        <v>0</v>
      </c>
      <c r="BK14" s="504">
        <v>0</v>
      </c>
      <c r="BL14" s="504">
        <v>0</v>
      </c>
      <c r="BM14" s="504">
        <v>0</v>
      </c>
      <c r="BN14" s="504">
        <v>0</v>
      </c>
      <c r="BO14" s="504">
        <v>0</v>
      </c>
      <c r="BP14" s="504">
        <v>0</v>
      </c>
      <c r="BQ14" s="504">
        <v>0</v>
      </c>
      <c r="BR14" s="504">
        <v>0</v>
      </c>
      <c r="BS14" s="504">
        <v>0</v>
      </c>
      <c r="BT14" s="504">
        <v>0</v>
      </c>
      <c r="BU14" s="504">
        <v>0</v>
      </c>
      <c r="BV14" s="504">
        <v>0</v>
      </c>
      <c r="BW14" s="504">
        <v>0</v>
      </c>
      <c r="BX14" s="504">
        <v>0</v>
      </c>
      <c r="BY14" s="504">
        <v>0</v>
      </c>
      <c r="BZ14" s="504">
        <v>0</v>
      </c>
      <c r="CA14" s="504">
        <v>0</v>
      </c>
      <c r="CB14" s="504">
        <v>0</v>
      </c>
      <c r="CC14" s="504">
        <v>0</v>
      </c>
      <c r="CD14" s="504">
        <v>0</v>
      </c>
      <c r="CE14" s="504">
        <v>0</v>
      </c>
      <c r="CF14" s="504">
        <v>0</v>
      </c>
      <c r="CG14" s="504">
        <v>0</v>
      </c>
      <c r="CH14" s="504">
        <v>0</v>
      </c>
      <c r="CI14" s="504">
        <v>0</v>
      </c>
      <c r="CJ14" s="504">
        <v>0</v>
      </c>
      <c r="CK14" s="504">
        <v>0</v>
      </c>
      <c r="CL14" s="504">
        <v>0</v>
      </c>
      <c r="CM14" s="504">
        <v>0</v>
      </c>
      <c r="CN14" s="504">
        <v>0</v>
      </c>
      <c r="CO14" s="504">
        <v>0</v>
      </c>
      <c r="CP14" s="504">
        <v>0</v>
      </c>
      <c r="CQ14" s="504">
        <v>0</v>
      </c>
      <c r="CR14" s="504">
        <v>0</v>
      </c>
      <c r="CS14" s="504">
        <v>0</v>
      </c>
      <c r="CT14" s="504">
        <v>0</v>
      </c>
      <c r="CU14" s="504">
        <v>0</v>
      </c>
      <c r="CV14" s="504">
        <v>0</v>
      </c>
      <c r="CW14" s="504">
        <v>0</v>
      </c>
      <c r="CX14" s="504">
        <v>0</v>
      </c>
      <c r="CY14" s="504">
        <v>0</v>
      </c>
      <c r="CZ14" s="504">
        <v>0</v>
      </c>
      <c r="DA14" s="504">
        <v>0</v>
      </c>
      <c r="DB14" s="504">
        <v>0</v>
      </c>
      <c r="DC14" s="504">
        <v>0</v>
      </c>
      <c r="DD14" s="504">
        <v>0</v>
      </c>
      <c r="DE14" s="504">
        <v>0</v>
      </c>
      <c r="DF14" s="504">
        <v>0</v>
      </c>
      <c r="DG14" s="504">
        <v>0</v>
      </c>
      <c r="DH14" s="504">
        <v>0</v>
      </c>
      <c r="DI14" s="504">
        <v>0</v>
      </c>
      <c r="DJ14" s="504">
        <v>0</v>
      </c>
      <c r="DK14" s="504">
        <v>0</v>
      </c>
      <c r="DL14" s="504">
        <v>0</v>
      </c>
      <c r="DM14" s="504">
        <v>0</v>
      </c>
      <c r="DN14" s="504">
        <v>0</v>
      </c>
      <c r="DO14" s="504">
        <v>0</v>
      </c>
      <c r="DP14" s="504">
        <v>0</v>
      </c>
      <c r="DQ14" s="504">
        <v>0</v>
      </c>
      <c r="DR14" s="504">
        <v>0</v>
      </c>
      <c r="DS14" s="504">
        <v>0</v>
      </c>
      <c r="DT14" s="504">
        <v>0</v>
      </c>
      <c r="DU14" s="504">
        <v>0</v>
      </c>
      <c r="DV14" s="504">
        <v>0</v>
      </c>
      <c r="DW14" s="504">
        <v>0</v>
      </c>
      <c r="DX14" s="504">
        <v>0</v>
      </c>
      <c r="DY14" s="504">
        <v>0</v>
      </c>
      <c r="DZ14" s="504">
        <v>0</v>
      </c>
      <c r="EA14" s="504">
        <v>0</v>
      </c>
      <c r="EB14" s="504">
        <v>0</v>
      </c>
      <c r="EC14" s="504">
        <v>0</v>
      </c>
      <c r="ED14" s="504">
        <v>0</v>
      </c>
      <c r="EE14" s="504">
        <v>0</v>
      </c>
      <c r="EF14" s="504">
        <v>0</v>
      </c>
      <c r="EG14" s="504">
        <v>0</v>
      </c>
      <c r="EH14" s="504">
        <v>0</v>
      </c>
      <c r="EI14" s="504">
        <v>0</v>
      </c>
      <c r="EJ14" s="504">
        <v>0</v>
      </c>
      <c r="EK14" s="504">
        <v>0</v>
      </c>
      <c r="EL14" s="504">
        <v>0</v>
      </c>
      <c r="EM14" s="504">
        <v>0</v>
      </c>
      <c r="EN14" s="504">
        <v>0</v>
      </c>
      <c r="EO14" s="504">
        <v>0</v>
      </c>
      <c r="EP14" s="504">
        <v>0</v>
      </c>
      <c r="EQ14" s="504">
        <v>0</v>
      </c>
      <c r="ER14" s="504">
        <v>0</v>
      </c>
      <c r="ES14" s="504">
        <v>0</v>
      </c>
      <c r="ET14" s="504">
        <v>0</v>
      </c>
      <c r="EU14" s="504">
        <v>0</v>
      </c>
      <c r="EV14" s="504">
        <v>0</v>
      </c>
      <c r="EW14" s="504">
        <v>0</v>
      </c>
      <c r="EX14" s="504">
        <v>0</v>
      </c>
      <c r="EY14" s="504">
        <v>0</v>
      </c>
      <c r="EZ14" s="504">
        <v>0</v>
      </c>
      <c r="FA14" s="504">
        <v>0</v>
      </c>
      <c r="FB14" s="504">
        <v>0</v>
      </c>
      <c r="FC14" s="504">
        <v>0</v>
      </c>
      <c r="FD14" s="504">
        <v>0</v>
      </c>
      <c r="FE14" s="504">
        <v>0</v>
      </c>
      <c r="FF14" s="504">
        <v>0</v>
      </c>
      <c r="FG14" s="504">
        <v>0</v>
      </c>
      <c r="FH14" s="504">
        <v>0</v>
      </c>
      <c r="FI14" s="504">
        <v>0</v>
      </c>
      <c r="FJ14" s="504">
        <v>0</v>
      </c>
      <c r="FK14" s="504">
        <v>0</v>
      </c>
      <c r="FL14" s="504">
        <v>0</v>
      </c>
      <c r="FM14" s="504">
        <v>0</v>
      </c>
      <c r="FN14" s="504">
        <v>0</v>
      </c>
      <c r="FO14" s="504">
        <v>0</v>
      </c>
      <c r="FP14" s="504">
        <v>0</v>
      </c>
      <c r="FQ14" s="504">
        <v>0</v>
      </c>
      <c r="FR14" s="504">
        <v>0</v>
      </c>
      <c r="FS14" s="504">
        <v>0</v>
      </c>
      <c r="FT14" s="504">
        <v>0</v>
      </c>
      <c r="FU14" s="504">
        <v>0</v>
      </c>
      <c r="FV14" s="504">
        <v>0</v>
      </c>
      <c r="FW14" s="504">
        <v>0</v>
      </c>
      <c r="FX14" s="504">
        <v>0</v>
      </c>
      <c r="FY14" s="504">
        <v>0</v>
      </c>
      <c r="FZ14" s="504">
        <v>0</v>
      </c>
      <c r="GA14" s="504">
        <v>0</v>
      </c>
      <c r="GB14" s="504">
        <v>0</v>
      </c>
      <c r="GC14" s="504">
        <v>0</v>
      </c>
      <c r="GD14" s="504">
        <v>0</v>
      </c>
      <c r="GE14" s="504">
        <v>0</v>
      </c>
      <c r="GF14" s="504">
        <v>0</v>
      </c>
      <c r="GG14" s="504">
        <v>0</v>
      </c>
      <c r="GH14" s="504">
        <v>0</v>
      </c>
      <c r="GI14" s="504">
        <v>0</v>
      </c>
      <c r="GJ14" s="504">
        <v>0</v>
      </c>
      <c r="GK14" s="504">
        <v>0</v>
      </c>
      <c r="GL14" s="504">
        <v>0</v>
      </c>
      <c r="GM14" s="504">
        <v>0</v>
      </c>
      <c r="GN14" s="504">
        <v>0</v>
      </c>
      <c r="GO14" s="504">
        <v>0</v>
      </c>
      <c r="GP14" s="504">
        <v>0</v>
      </c>
      <c r="GQ14" s="504">
        <v>0</v>
      </c>
      <c r="GR14" s="504">
        <v>0</v>
      </c>
      <c r="GS14" s="504">
        <v>0</v>
      </c>
      <c r="GT14" s="504">
        <v>0</v>
      </c>
      <c r="GU14" s="504">
        <v>0</v>
      </c>
      <c r="GV14" s="504">
        <v>0</v>
      </c>
      <c r="GW14" s="504">
        <v>0</v>
      </c>
      <c r="GX14" s="504">
        <v>0</v>
      </c>
      <c r="GY14" s="504">
        <v>0</v>
      </c>
      <c r="GZ14" s="504">
        <v>0</v>
      </c>
      <c r="HA14" s="504">
        <v>0</v>
      </c>
      <c r="HB14" s="504">
        <v>0</v>
      </c>
      <c r="HC14" s="504">
        <v>0</v>
      </c>
      <c r="HD14" s="504">
        <v>0</v>
      </c>
      <c r="HE14" s="504">
        <v>0</v>
      </c>
      <c r="HF14" s="504">
        <v>0</v>
      </c>
      <c r="HG14" s="504">
        <v>0</v>
      </c>
      <c r="HH14" s="504">
        <v>0</v>
      </c>
      <c r="HI14" s="504">
        <v>0</v>
      </c>
      <c r="HJ14" s="504">
        <v>0</v>
      </c>
      <c r="HK14" s="504">
        <v>0</v>
      </c>
      <c r="HL14" s="504">
        <v>0</v>
      </c>
      <c r="HM14" s="504">
        <v>0</v>
      </c>
      <c r="HN14" s="504">
        <v>0</v>
      </c>
      <c r="HO14" s="504">
        <v>0</v>
      </c>
      <c r="HP14" s="504">
        <v>0</v>
      </c>
      <c r="HQ14" s="504">
        <v>0</v>
      </c>
      <c r="HR14" s="504">
        <v>0</v>
      </c>
      <c r="HS14" s="504">
        <v>0</v>
      </c>
      <c r="HT14" s="504">
        <v>0</v>
      </c>
      <c r="HU14" s="504">
        <v>0</v>
      </c>
      <c r="HV14" s="504">
        <v>0</v>
      </c>
      <c r="HW14" s="504">
        <v>0</v>
      </c>
      <c r="HX14" s="504">
        <v>0</v>
      </c>
      <c r="HY14" s="504">
        <v>0</v>
      </c>
      <c r="HZ14" s="504">
        <v>0</v>
      </c>
      <c r="IA14" s="504">
        <v>0</v>
      </c>
      <c r="IB14" s="504">
        <v>0</v>
      </c>
      <c r="IC14" s="504">
        <v>0</v>
      </c>
      <c r="ID14" s="504">
        <v>0</v>
      </c>
      <c r="IE14" s="504">
        <v>0</v>
      </c>
      <c r="IF14" s="504">
        <v>0</v>
      </c>
      <c r="IG14" s="504">
        <v>0</v>
      </c>
      <c r="IH14" s="504">
        <v>0</v>
      </c>
      <c r="II14" s="504">
        <v>0</v>
      </c>
      <c r="IJ14" s="504">
        <v>0</v>
      </c>
      <c r="IK14" s="504">
        <v>0</v>
      </c>
      <c r="IL14" s="504">
        <v>0</v>
      </c>
      <c r="IM14" s="504">
        <v>0</v>
      </c>
      <c r="IN14" s="504">
        <v>0</v>
      </c>
      <c r="IO14" s="504">
        <v>0</v>
      </c>
      <c r="IP14" s="504">
        <v>0</v>
      </c>
      <c r="IQ14" s="504">
        <v>0</v>
      </c>
      <c r="IR14" s="504">
        <v>0</v>
      </c>
      <c r="IS14" s="504">
        <v>0</v>
      </c>
      <c r="IT14" s="504">
        <v>0</v>
      </c>
      <c r="IU14" s="504">
        <v>0</v>
      </c>
      <c r="IV14" s="504">
        <v>0</v>
      </c>
      <c r="IW14" s="504">
        <v>0</v>
      </c>
      <c r="IX14" s="504">
        <v>0</v>
      </c>
      <c r="IY14" s="504">
        <v>0</v>
      </c>
      <c r="IZ14" s="504">
        <v>0</v>
      </c>
      <c r="JA14" s="504">
        <v>0</v>
      </c>
      <c r="JB14" s="504">
        <v>0</v>
      </c>
      <c r="JC14" s="504">
        <v>0</v>
      </c>
      <c r="JD14" s="504">
        <v>0</v>
      </c>
      <c r="JE14" s="504">
        <v>0</v>
      </c>
      <c r="JF14" s="504">
        <v>0</v>
      </c>
      <c r="JG14" s="504">
        <v>0</v>
      </c>
      <c r="JH14" s="504">
        <v>0</v>
      </c>
      <c r="JI14" s="504">
        <v>0</v>
      </c>
      <c r="JJ14" s="504">
        <v>0</v>
      </c>
      <c r="JK14" s="504">
        <v>0</v>
      </c>
      <c r="JL14" s="504">
        <v>0</v>
      </c>
      <c r="JM14" s="504">
        <v>0</v>
      </c>
      <c r="JN14" s="504">
        <v>0</v>
      </c>
      <c r="JO14" s="504">
        <v>0</v>
      </c>
      <c r="JP14" s="504">
        <v>0</v>
      </c>
      <c r="JQ14" s="504">
        <v>0</v>
      </c>
      <c r="JR14" s="504">
        <v>0</v>
      </c>
      <c r="JS14" s="504">
        <v>0</v>
      </c>
      <c r="JT14" s="504">
        <v>0</v>
      </c>
      <c r="JU14" s="504">
        <v>0</v>
      </c>
      <c r="JV14" s="504">
        <v>0</v>
      </c>
      <c r="JW14" s="504">
        <v>0</v>
      </c>
      <c r="JX14" s="504">
        <v>0</v>
      </c>
      <c r="JY14" s="504">
        <v>0</v>
      </c>
      <c r="JZ14" s="504">
        <v>0</v>
      </c>
      <c r="KA14" s="504">
        <v>0</v>
      </c>
      <c r="KB14" s="504">
        <v>0</v>
      </c>
      <c r="KC14" s="504">
        <v>0</v>
      </c>
      <c r="KD14" s="504">
        <v>0</v>
      </c>
      <c r="KE14" s="504">
        <v>0</v>
      </c>
      <c r="KF14" s="504">
        <v>0</v>
      </c>
      <c r="KG14" s="504">
        <v>0</v>
      </c>
      <c r="KH14" s="504">
        <v>0</v>
      </c>
      <c r="KI14" s="504">
        <v>0</v>
      </c>
      <c r="KJ14" s="504">
        <v>0</v>
      </c>
      <c r="KK14" s="504">
        <v>0</v>
      </c>
      <c r="KL14" s="504">
        <v>0</v>
      </c>
      <c r="KM14" s="504">
        <v>0</v>
      </c>
      <c r="KN14" s="504">
        <v>0</v>
      </c>
      <c r="KO14" s="504">
        <v>0</v>
      </c>
      <c r="KP14" s="504">
        <v>0</v>
      </c>
      <c r="KQ14" s="504">
        <v>0</v>
      </c>
      <c r="KR14" s="504">
        <v>0</v>
      </c>
      <c r="KS14" s="504">
        <v>0</v>
      </c>
      <c r="KT14" s="504">
        <v>0</v>
      </c>
      <c r="KU14" s="504">
        <v>0</v>
      </c>
      <c r="KV14" s="504">
        <v>0</v>
      </c>
      <c r="KW14" s="504">
        <v>0</v>
      </c>
      <c r="KX14" s="504">
        <v>0</v>
      </c>
      <c r="KY14" s="504">
        <v>0</v>
      </c>
      <c r="KZ14" s="504">
        <v>0</v>
      </c>
      <c r="LA14" s="504">
        <v>0</v>
      </c>
      <c r="LB14" s="504">
        <v>0</v>
      </c>
      <c r="LC14" s="504">
        <v>0</v>
      </c>
      <c r="LD14" s="504">
        <v>0</v>
      </c>
      <c r="LE14" s="504">
        <v>0</v>
      </c>
      <c r="LF14" s="504">
        <v>0</v>
      </c>
      <c r="LG14" s="504">
        <v>0</v>
      </c>
      <c r="LH14" s="504">
        <v>0</v>
      </c>
      <c r="LI14" s="504">
        <v>0</v>
      </c>
      <c r="LJ14" s="504">
        <v>0</v>
      </c>
      <c r="LK14" s="504">
        <v>0</v>
      </c>
      <c r="LL14" s="504">
        <v>0</v>
      </c>
      <c r="LM14" s="504">
        <v>0</v>
      </c>
      <c r="LN14" s="504">
        <v>0</v>
      </c>
      <c r="LO14" s="504">
        <v>0</v>
      </c>
      <c r="LP14" s="504">
        <v>0</v>
      </c>
      <c r="LQ14" s="504">
        <v>0</v>
      </c>
      <c r="LR14" s="504">
        <v>0</v>
      </c>
      <c r="LS14" s="504">
        <v>0</v>
      </c>
      <c r="LT14" s="504">
        <v>0</v>
      </c>
      <c r="LU14" s="504">
        <v>0</v>
      </c>
      <c r="LV14" s="504">
        <v>0</v>
      </c>
      <c r="LW14" s="504">
        <v>0</v>
      </c>
      <c r="LX14" s="504">
        <v>0</v>
      </c>
      <c r="LY14" s="504">
        <v>0</v>
      </c>
      <c r="LZ14" s="504">
        <v>0</v>
      </c>
      <c r="MA14" s="504">
        <v>0</v>
      </c>
      <c r="MB14" s="504">
        <v>0</v>
      </c>
      <c r="MC14" s="504">
        <v>0</v>
      </c>
      <c r="MD14" s="504">
        <v>0</v>
      </c>
      <c r="ME14" s="504">
        <v>0</v>
      </c>
      <c r="MF14" s="504">
        <v>0</v>
      </c>
      <c r="MG14" s="504">
        <v>0</v>
      </c>
      <c r="MH14" s="504">
        <v>0</v>
      </c>
      <c r="MI14" s="504">
        <v>0</v>
      </c>
      <c r="MJ14" s="504">
        <v>0</v>
      </c>
      <c r="MK14" s="504">
        <v>0</v>
      </c>
      <c r="ML14" s="504">
        <v>0</v>
      </c>
      <c r="MM14" s="504">
        <v>0</v>
      </c>
      <c r="MN14" s="504">
        <v>0</v>
      </c>
      <c r="MO14" s="504">
        <v>0</v>
      </c>
      <c r="MP14" s="504">
        <v>0</v>
      </c>
      <c r="MQ14" s="504">
        <v>0</v>
      </c>
      <c r="MR14" s="504">
        <v>0</v>
      </c>
      <c r="MS14" s="504">
        <v>0</v>
      </c>
      <c r="MT14" s="504">
        <v>0</v>
      </c>
      <c r="MU14" s="504">
        <v>0</v>
      </c>
      <c r="MV14" s="504">
        <v>0</v>
      </c>
      <c r="MW14" s="504">
        <v>0</v>
      </c>
      <c r="MX14" s="504">
        <v>0</v>
      </c>
      <c r="MY14" s="504">
        <v>0</v>
      </c>
      <c r="MZ14" s="504">
        <v>0</v>
      </c>
      <c r="NA14" s="504">
        <v>0</v>
      </c>
      <c r="NB14" s="504">
        <v>0</v>
      </c>
      <c r="NC14" s="504">
        <v>0</v>
      </c>
      <c r="ND14" s="504">
        <v>0</v>
      </c>
      <c r="NE14" s="504">
        <v>0</v>
      </c>
      <c r="NF14" s="504">
        <v>0</v>
      </c>
      <c r="NG14" s="504">
        <v>0</v>
      </c>
      <c r="NH14" s="504">
        <v>0</v>
      </c>
      <c r="NI14" s="504">
        <v>0</v>
      </c>
      <c r="NJ14" s="504">
        <v>0</v>
      </c>
      <c r="NK14" s="504">
        <v>0</v>
      </c>
      <c r="NL14" s="504">
        <v>0</v>
      </c>
      <c r="NM14" s="504">
        <v>0</v>
      </c>
      <c r="NN14" s="504">
        <v>0</v>
      </c>
      <c r="NO14" s="504">
        <v>0</v>
      </c>
      <c r="NP14" s="504">
        <v>0</v>
      </c>
      <c r="NQ14" s="504">
        <v>0</v>
      </c>
      <c r="NR14" s="504">
        <v>0</v>
      </c>
      <c r="NS14" s="504">
        <v>0</v>
      </c>
      <c r="NT14" s="504">
        <v>0</v>
      </c>
      <c r="NU14" s="504">
        <v>0</v>
      </c>
      <c r="NV14" s="504">
        <v>0</v>
      </c>
      <c r="NW14" s="504">
        <v>0</v>
      </c>
      <c r="NX14" s="504">
        <v>0</v>
      </c>
      <c r="NY14" s="504">
        <v>0</v>
      </c>
      <c r="NZ14" s="504">
        <v>0</v>
      </c>
      <c r="OA14" s="504">
        <v>0</v>
      </c>
      <c r="OB14" s="504">
        <v>0</v>
      </c>
      <c r="OC14" s="504">
        <v>0</v>
      </c>
      <c r="OD14" s="504">
        <v>0</v>
      </c>
      <c r="OE14" s="504">
        <v>0</v>
      </c>
      <c r="OF14" s="504">
        <v>0</v>
      </c>
      <c r="OG14" s="504">
        <v>0</v>
      </c>
      <c r="OH14" s="504">
        <v>0</v>
      </c>
      <c r="OI14" s="504">
        <v>0</v>
      </c>
      <c r="OJ14" s="504">
        <v>0</v>
      </c>
      <c r="OK14" s="504">
        <v>0</v>
      </c>
      <c r="OL14" s="504">
        <v>0</v>
      </c>
      <c r="OM14" s="504">
        <v>0</v>
      </c>
      <c r="ON14" s="494"/>
    </row>
    <row r="15" spans="1:404" ht="18.75" customHeight="1" x14ac:dyDescent="0.4">
      <c r="A15" s="355" t="s">
        <v>289</v>
      </c>
      <c r="B15" s="358">
        <v>163</v>
      </c>
      <c r="C15" s="355" t="s">
        <v>60</v>
      </c>
      <c r="D15" s="501">
        <v>15.38</v>
      </c>
      <c r="E15" s="502">
        <v>10710</v>
      </c>
      <c r="F15" s="501">
        <v>15.37</v>
      </c>
      <c r="G15" s="502">
        <v>1912</v>
      </c>
      <c r="H15" s="501">
        <v>15.37</v>
      </c>
      <c r="I15" s="502">
        <v>6980</v>
      </c>
      <c r="J15" s="501">
        <v>15.37</v>
      </c>
      <c r="K15" s="502">
        <v>8799</v>
      </c>
      <c r="V15" s="501"/>
      <c r="W15" s="503"/>
      <c r="X15" s="501"/>
      <c r="Y15" s="503"/>
      <c r="Z15" s="501"/>
      <c r="AA15" s="503"/>
      <c r="AB15" s="495"/>
      <c r="AC15" s="504">
        <v>0</v>
      </c>
      <c r="AD15" s="504">
        <v>0</v>
      </c>
      <c r="AE15" s="504">
        <v>0</v>
      </c>
      <c r="AF15" s="504">
        <v>0</v>
      </c>
      <c r="AG15" s="504">
        <v>0</v>
      </c>
      <c r="AH15" s="504">
        <v>0</v>
      </c>
      <c r="AI15" s="504">
        <v>0</v>
      </c>
      <c r="AJ15" s="504">
        <v>0</v>
      </c>
      <c r="AK15" s="504">
        <v>0</v>
      </c>
      <c r="AL15" s="504">
        <v>0</v>
      </c>
      <c r="AM15" s="504">
        <v>0</v>
      </c>
      <c r="AN15" s="504">
        <v>0</v>
      </c>
      <c r="AO15" s="504">
        <v>0</v>
      </c>
      <c r="AP15" s="504">
        <v>0</v>
      </c>
      <c r="AQ15" s="504">
        <v>0</v>
      </c>
      <c r="AR15" s="504">
        <v>0</v>
      </c>
      <c r="AS15" s="504">
        <v>0</v>
      </c>
      <c r="AT15" s="504">
        <v>0</v>
      </c>
      <c r="AU15" s="504">
        <v>0</v>
      </c>
      <c r="AV15" s="504">
        <v>0</v>
      </c>
      <c r="AW15" s="504">
        <v>0</v>
      </c>
      <c r="AX15" s="504">
        <v>0</v>
      </c>
      <c r="AY15" s="504">
        <v>0</v>
      </c>
      <c r="AZ15" s="504">
        <v>0</v>
      </c>
      <c r="BA15" s="504">
        <v>0</v>
      </c>
      <c r="BB15" s="504">
        <v>0</v>
      </c>
      <c r="BC15" s="504">
        <v>0</v>
      </c>
      <c r="BD15" s="504">
        <v>0</v>
      </c>
      <c r="BE15" s="504">
        <v>0</v>
      </c>
      <c r="BF15" s="504">
        <v>0</v>
      </c>
      <c r="BG15" s="504">
        <v>0</v>
      </c>
      <c r="BH15" s="504">
        <v>0</v>
      </c>
      <c r="BI15" s="504">
        <v>0</v>
      </c>
      <c r="BJ15" s="504">
        <v>0</v>
      </c>
      <c r="BK15" s="504">
        <v>0</v>
      </c>
      <c r="BL15" s="504">
        <v>0</v>
      </c>
      <c r="BM15" s="504">
        <v>0</v>
      </c>
      <c r="BN15" s="504">
        <v>0</v>
      </c>
      <c r="BO15" s="504">
        <v>0</v>
      </c>
      <c r="BP15" s="504">
        <v>0</v>
      </c>
      <c r="BQ15" s="504">
        <v>0</v>
      </c>
      <c r="BR15" s="504">
        <v>0</v>
      </c>
      <c r="BS15" s="504">
        <v>0</v>
      </c>
      <c r="BT15" s="504">
        <v>0</v>
      </c>
      <c r="BU15" s="504">
        <v>0</v>
      </c>
      <c r="BV15" s="504">
        <v>0</v>
      </c>
      <c r="BW15" s="504">
        <v>0</v>
      </c>
      <c r="BX15" s="504">
        <v>0</v>
      </c>
      <c r="BY15" s="504">
        <v>0</v>
      </c>
      <c r="BZ15" s="504">
        <v>0</v>
      </c>
      <c r="CA15" s="504">
        <v>0</v>
      </c>
      <c r="CB15" s="504">
        <v>0</v>
      </c>
      <c r="CC15" s="504">
        <v>0</v>
      </c>
      <c r="CD15" s="504">
        <v>0</v>
      </c>
      <c r="CE15" s="504">
        <v>0</v>
      </c>
      <c r="CF15" s="504">
        <v>0</v>
      </c>
      <c r="CG15" s="504">
        <v>0</v>
      </c>
      <c r="CH15" s="504">
        <v>0</v>
      </c>
      <c r="CI15" s="504">
        <v>0</v>
      </c>
      <c r="CJ15" s="504">
        <v>0</v>
      </c>
      <c r="CK15" s="504">
        <v>0</v>
      </c>
      <c r="CL15" s="504">
        <v>0</v>
      </c>
      <c r="CM15" s="504">
        <v>0</v>
      </c>
      <c r="CN15" s="504">
        <v>0</v>
      </c>
      <c r="CO15" s="504">
        <v>0</v>
      </c>
      <c r="CP15" s="504">
        <v>0</v>
      </c>
      <c r="CQ15" s="504">
        <v>0</v>
      </c>
      <c r="CR15" s="504">
        <v>0</v>
      </c>
      <c r="CS15" s="504">
        <v>0</v>
      </c>
      <c r="CT15" s="504">
        <v>0</v>
      </c>
      <c r="CU15" s="504">
        <v>0</v>
      </c>
      <c r="CV15" s="504">
        <v>0</v>
      </c>
      <c r="CW15" s="504">
        <v>0</v>
      </c>
      <c r="CX15" s="504">
        <v>0</v>
      </c>
      <c r="CY15" s="504">
        <v>0</v>
      </c>
      <c r="CZ15" s="504">
        <v>0</v>
      </c>
      <c r="DA15" s="504">
        <v>0</v>
      </c>
      <c r="DB15" s="504">
        <v>0</v>
      </c>
      <c r="DC15" s="504">
        <v>0</v>
      </c>
      <c r="DD15" s="504">
        <v>0</v>
      </c>
      <c r="DE15" s="504">
        <v>0</v>
      </c>
      <c r="DF15" s="504">
        <v>0</v>
      </c>
      <c r="DG15" s="504">
        <v>0</v>
      </c>
      <c r="DH15" s="504">
        <v>0</v>
      </c>
      <c r="DI15" s="504">
        <v>0</v>
      </c>
      <c r="DJ15" s="504">
        <v>0</v>
      </c>
      <c r="DK15" s="504">
        <v>0</v>
      </c>
      <c r="DL15" s="504">
        <v>0</v>
      </c>
      <c r="DM15" s="504">
        <v>0</v>
      </c>
      <c r="DN15" s="504">
        <v>0</v>
      </c>
      <c r="DO15" s="504">
        <v>0</v>
      </c>
      <c r="DP15" s="504">
        <v>0</v>
      </c>
      <c r="DQ15" s="504">
        <v>0</v>
      </c>
      <c r="DR15" s="504">
        <v>0</v>
      </c>
      <c r="DS15" s="504">
        <v>0</v>
      </c>
      <c r="DT15" s="504">
        <v>0</v>
      </c>
      <c r="DU15" s="504">
        <v>0</v>
      </c>
      <c r="DV15" s="504">
        <v>0</v>
      </c>
      <c r="DW15" s="504">
        <v>0</v>
      </c>
      <c r="DX15" s="504">
        <v>0</v>
      </c>
      <c r="DY15" s="504">
        <v>0</v>
      </c>
      <c r="DZ15" s="504">
        <v>0</v>
      </c>
      <c r="EA15" s="504">
        <v>0</v>
      </c>
      <c r="EB15" s="504">
        <v>0</v>
      </c>
      <c r="EC15" s="504">
        <v>0</v>
      </c>
      <c r="ED15" s="504">
        <v>0</v>
      </c>
      <c r="EE15" s="504">
        <v>0</v>
      </c>
      <c r="EF15" s="504">
        <v>0</v>
      </c>
      <c r="EG15" s="504">
        <v>0</v>
      </c>
      <c r="EH15" s="504">
        <v>0</v>
      </c>
      <c r="EI15" s="504">
        <v>0</v>
      </c>
      <c r="EJ15" s="504">
        <v>0</v>
      </c>
      <c r="EK15" s="504">
        <v>0</v>
      </c>
      <c r="EL15" s="504">
        <v>0</v>
      </c>
      <c r="EM15" s="504">
        <v>0</v>
      </c>
      <c r="EN15" s="504">
        <v>0</v>
      </c>
      <c r="EO15" s="504">
        <v>0</v>
      </c>
      <c r="EP15" s="504">
        <v>0</v>
      </c>
      <c r="EQ15" s="504">
        <v>0</v>
      </c>
      <c r="ER15" s="504">
        <v>0</v>
      </c>
      <c r="ES15" s="504">
        <v>0</v>
      </c>
      <c r="ET15" s="504">
        <v>0</v>
      </c>
      <c r="EU15" s="504">
        <v>0</v>
      </c>
      <c r="EV15" s="504">
        <v>0</v>
      </c>
      <c r="EW15" s="504">
        <v>0</v>
      </c>
      <c r="EX15" s="504">
        <v>0</v>
      </c>
      <c r="EY15" s="504">
        <v>0</v>
      </c>
      <c r="EZ15" s="504">
        <v>0</v>
      </c>
      <c r="FA15" s="504">
        <v>0</v>
      </c>
      <c r="FB15" s="504">
        <v>0</v>
      </c>
      <c r="FC15" s="504">
        <v>0</v>
      </c>
      <c r="FD15" s="504">
        <v>0</v>
      </c>
      <c r="FE15" s="504">
        <v>0</v>
      </c>
      <c r="FF15" s="504">
        <v>0</v>
      </c>
      <c r="FG15" s="504">
        <v>0</v>
      </c>
      <c r="FH15" s="504">
        <v>0</v>
      </c>
      <c r="FI15" s="504">
        <v>0</v>
      </c>
      <c r="FJ15" s="504">
        <v>0</v>
      </c>
      <c r="FK15" s="504">
        <v>0</v>
      </c>
      <c r="FL15" s="504">
        <v>0</v>
      </c>
      <c r="FM15" s="504">
        <v>0</v>
      </c>
      <c r="FN15" s="504">
        <v>0</v>
      </c>
      <c r="FO15" s="504">
        <v>0</v>
      </c>
      <c r="FP15" s="504">
        <v>0</v>
      </c>
      <c r="FQ15" s="504">
        <v>0</v>
      </c>
      <c r="FR15" s="504">
        <v>0</v>
      </c>
      <c r="FS15" s="504">
        <v>0</v>
      </c>
      <c r="FT15" s="504">
        <v>0</v>
      </c>
      <c r="FU15" s="504">
        <v>0</v>
      </c>
      <c r="FV15" s="504">
        <v>0</v>
      </c>
      <c r="FW15" s="504">
        <v>0</v>
      </c>
      <c r="FX15" s="504">
        <v>0</v>
      </c>
      <c r="FY15" s="504">
        <v>0</v>
      </c>
      <c r="FZ15" s="504">
        <v>0</v>
      </c>
      <c r="GA15" s="504">
        <v>0</v>
      </c>
      <c r="GB15" s="504">
        <v>0</v>
      </c>
      <c r="GC15" s="504">
        <v>0</v>
      </c>
      <c r="GD15" s="504">
        <v>0</v>
      </c>
      <c r="GE15" s="504">
        <v>0</v>
      </c>
      <c r="GF15" s="504">
        <v>0</v>
      </c>
      <c r="GG15" s="504">
        <v>0</v>
      </c>
      <c r="GH15" s="504">
        <v>0</v>
      </c>
      <c r="GI15" s="504">
        <v>0</v>
      </c>
      <c r="GJ15" s="504">
        <v>0</v>
      </c>
      <c r="GK15" s="504">
        <v>0</v>
      </c>
      <c r="GL15" s="504">
        <v>0</v>
      </c>
      <c r="GM15" s="504">
        <v>0</v>
      </c>
      <c r="GN15" s="504">
        <v>0</v>
      </c>
      <c r="GO15" s="504">
        <v>0</v>
      </c>
      <c r="GP15" s="504">
        <v>0</v>
      </c>
      <c r="GQ15" s="504">
        <v>0</v>
      </c>
      <c r="GR15" s="504">
        <v>0</v>
      </c>
      <c r="GS15" s="504">
        <v>0</v>
      </c>
      <c r="GT15" s="504">
        <v>0</v>
      </c>
      <c r="GU15" s="504">
        <v>0</v>
      </c>
      <c r="GV15" s="504">
        <v>0</v>
      </c>
      <c r="GW15" s="504">
        <v>0</v>
      </c>
      <c r="GX15" s="504">
        <v>0</v>
      </c>
      <c r="GY15" s="504">
        <v>0</v>
      </c>
      <c r="GZ15" s="504">
        <v>0</v>
      </c>
      <c r="HA15" s="504">
        <v>0</v>
      </c>
      <c r="HB15" s="504">
        <v>0</v>
      </c>
      <c r="HC15" s="504">
        <v>0</v>
      </c>
      <c r="HD15" s="504">
        <v>0</v>
      </c>
      <c r="HE15" s="504">
        <v>0</v>
      </c>
      <c r="HF15" s="504">
        <v>0</v>
      </c>
      <c r="HG15" s="504">
        <v>0</v>
      </c>
      <c r="HH15" s="504">
        <v>0</v>
      </c>
      <c r="HI15" s="504">
        <v>0</v>
      </c>
      <c r="HJ15" s="504">
        <v>0</v>
      </c>
      <c r="HK15" s="504">
        <v>0</v>
      </c>
      <c r="HL15" s="504">
        <v>0</v>
      </c>
      <c r="HM15" s="504">
        <v>0</v>
      </c>
      <c r="HN15" s="504">
        <v>0</v>
      </c>
      <c r="HO15" s="504">
        <v>0</v>
      </c>
      <c r="HP15" s="504">
        <v>0</v>
      </c>
      <c r="HQ15" s="504">
        <v>0</v>
      </c>
      <c r="HR15" s="504">
        <v>0</v>
      </c>
      <c r="HS15" s="504">
        <v>0</v>
      </c>
      <c r="HT15" s="504">
        <v>0</v>
      </c>
      <c r="HU15" s="504">
        <v>0</v>
      </c>
      <c r="HV15" s="504">
        <v>0</v>
      </c>
      <c r="HW15" s="504">
        <v>0</v>
      </c>
      <c r="HX15" s="504">
        <v>0</v>
      </c>
      <c r="HY15" s="504">
        <v>0</v>
      </c>
      <c r="HZ15" s="504">
        <v>0</v>
      </c>
      <c r="IA15" s="504">
        <v>0</v>
      </c>
      <c r="IB15" s="504">
        <v>0</v>
      </c>
      <c r="IC15" s="504">
        <v>0</v>
      </c>
      <c r="ID15" s="504">
        <v>0</v>
      </c>
      <c r="IE15" s="504">
        <v>0</v>
      </c>
      <c r="IF15" s="504">
        <v>0</v>
      </c>
      <c r="IG15" s="504">
        <v>0</v>
      </c>
      <c r="IH15" s="504">
        <v>0</v>
      </c>
      <c r="II15" s="504">
        <v>0</v>
      </c>
      <c r="IJ15" s="504">
        <v>0</v>
      </c>
      <c r="IK15" s="504">
        <v>0</v>
      </c>
      <c r="IL15" s="504">
        <v>0</v>
      </c>
      <c r="IM15" s="504">
        <v>0</v>
      </c>
      <c r="IN15" s="504">
        <v>0</v>
      </c>
      <c r="IO15" s="504">
        <v>0</v>
      </c>
      <c r="IP15" s="504">
        <v>0</v>
      </c>
      <c r="IQ15" s="504">
        <v>0</v>
      </c>
      <c r="IR15" s="504">
        <v>0</v>
      </c>
      <c r="IS15" s="504">
        <v>0</v>
      </c>
      <c r="IT15" s="504">
        <v>0</v>
      </c>
      <c r="IU15" s="504">
        <v>0</v>
      </c>
      <c r="IV15" s="504">
        <v>0</v>
      </c>
      <c r="IW15" s="504">
        <v>0</v>
      </c>
      <c r="IX15" s="504">
        <v>0</v>
      </c>
      <c r="IY15" s="504">
        <v>0</v>
      </c>
      <c r="IZ15" s="504">
        <v>0</v>
      </c>
      <c r="JA15" s="504">
        <v>0</v>
      </c>
      <c r="JB15" s="504">
        <v>0</v>
      </c>
      <c r="JC15" s="504">
        <v>0</v>
      </c>
      <c r="JD15" s="504">
        <v>0</v>
      </c>
      <c r="JE15" s="504">
        <v>0</v>
      </c>
      <c r="JF15" s="504">
        <v>0</v>
      </c>
      <c r="JG15" s="504">
        <v>0</v>
      </c>
      <c r="JH15" s="504">
        <v>0</v>
      </c>
      <c r="JI15" s="504">
        <v>0</v>
      </c>
      <c r="JJ15" s="504">
        <v>0</v>
      </c>
      <c r="JK15" s="504">
        <v>0</v>
      </c>
      <c r="JL15" s="504">
        <v>0</v>
      </c>
      <c r="JM15" s="504">
        <v>0</v>
      </c>
      <c r="JN15" s="504">
        <v>0</v>
      </c>
      <c r="JO15" s="504">
        <v>0</v>
      </c>
      <c r="JP15" s="504">
        <v>0</v>
      </c>
      <c r="JQ15" s="504">
        <v>0</v>
      </c>
      <c r="JR15" s="504">
        <v>0</v>
      </c>
      <c r="JS15" s="504">
        <v>0</v>
      </c>
      <c r="JT15" s="504">
        <v>0</v>
      </c>
      <c r="JU15" s="504">
        <v>0</v>
      </c>
      <c r="JV15" s="504">
        <v>0</v>
      </c>
      <c r="JW15" s="504">
        <v>0</v>
      </c>
      <c r="JX15" s="504">
        <v>0</v>
      </c>
      <c r="JY15" s="504">
        <v>0</v>
      </c>
      <c r="JZ15" s="504">
        <v>0</v>
      </c>
      <c r="KA15" s="504">
        <v>0</v>
      </c>
      <c r="KB15" s="504">
        <v>0</v>
      </c>
      <c r="KC15" s="504">
        <v>0</v>
      </c>
      <c r="KD15" s="504">
        <v>0</v>
      </c>
      <c r="KE15" s="504">
        <v>0</v>
      </c>
      <c r="KF15" s="504">
        <v>0</v>
      </c>
      <c r="KG15" s="504">
        <v>0</v>
      </c>
      <c r="KH15" s="504">
        <v>0</v>
      </c>
      <c r="KI15" s="504">
        <v>0</v>
      </c>
      <c r="KJ15" s="504">
        <v>0</v>
      </c>
      <c r="KK15" s="504">
        <v>0</v>
      </c>
      <c r="KL15" s="504">
        <v>0</v>
      </c>
      <c r="KM15" s="504">
        <v>0</v>
      </c>
      <c r="KN15" s="504">
        <v>0</v>
      </c>
      <c r="KO15" s="504">
        <v>0</v>
      </c>
      <c r="KP15" s="504">
        <v>0</v>
      </c>
      <c r="KQ15" s="504">
        <v>0</v>
      </c>
      <c r="KR15" s="504">
        <v>0</v>
      </c>
      <c r="KS15" s="504">
        <v>0</v>
      </c>
      <c r="KT15" s="504">
        <v>0</v>
      </c>
      <c r="KU15" s="504">
        <v>0</v>
      </c>
      <c r="KV15" s="504">
        <v>0</v>
      </c>
      <c r="KW15" s="504">
        <v>0</v>
      </c>
      <c r="KX15" s="504">
        <v>0</v>
      </c>
      <c r="KY15" s="504">
        <v>0</v>
      </c>
      <c r="KZ15" s="504">
        <v>0</v>
      </c>
      <c r="LA15" s="504">
        <v>0</v>
      </c>
      <c r="LB15" s="504">
        <v>0</v>
      </c>
      <c r="LC15" s="504">
        <v>0</v>
      </c>
      <c r="LD15" s="504">
        <v>0</v>
      </c>
      <c r="LE15" s="504">
        <v>0</v>
      </c>
      <c r="LF15" s="504">
        <v>0</v>
      </c>
      <c r="LG15" s="504">
        <v>0</v>
      </c>
      <c r="LH15" s="504">
        <v>0</v>
      </c>
      <c r="LI15" s="504">
        <v>0</v>
      </c>
      <c r="LJ15" s="504">
        <v>0</v>
      </c>
      <c r="LK15" s="504">
        <v>0</v>
      </c>
      <c r="LL15" s="504">
        <v>0</v>
      </c>
      <c r="LM15" s="504">
        <v>0</v>
      </c>
      <c r="LN15" s="504">
        <v>0</v>
      </c>
      <c r="LO15" s="504">
        <v>0</v>
      </c>
      <c r="LP15" s="504">
        <v>0</v>
      </c>
      <c r="LQ15" s="504">
        <v>0</v>
      </c>
      <c r="LR15" s="504">
        <v>0</v>
      </c>
      <c r="LS15" s="504">
        <v>0</v>
      </c>
      <c r="LT15" s="504">
        <v>0</v>
      </c>
      <c r="LU15" s="504">
        <v>0</v>
      </c>
      <c r="LV15" s="504">
        <v>0</v>
      </c>
      <c r="LW15" s="504">
        <v>0</v>
      </c>
      <c r="LX15" s="504">
        <v>0</v>
      </c>
      <c r="LY15" s="504">
        <v>0</v>
      </c>
      <c r="LZ15" s="504">
        <v>0</v>
      </c>
      <c r="MA15" s="504">
        <v>0</v>
      </c>
      <c r="MB15" s="504">
        <v>0</v>
      </c>
      <c r="MC15" s="504">
        <v>0</v>
      </c>
      <c r="MD15" s="504">
        <v>0</v>
      </c>
      <c r="ME15" s="504">
        <v>0</v>
      </c>
      <c r="MF15" s="504">
        <v>0</v>
      </c>
      <c r="MG15" s="504">
        <v>0</v>
      </c>
      <c r="MH15" s="504">
        <v>0</v>
      </c>
      <c r="MI15" s="504">
        <v>0</v>
      </c>
      <c r="MJ15" s="504">
        <v>0</v>
      </c>
      <c r="MK15" s="504">
        <v>0</v>
      </c>
      <c r="ML15" s="504">
        <v>0</v>
      </c>
      <c r="MM15" s="504">
        <v>0</v>
      </c>
      <c r="MN15" s="504">
        <v>0</v>
      </c>
      <c r="MO15" s="504">
        <v>0</v>
      </c>
      <c r="MP15" s="504">
        <v>0</v>
      </c>
      <c r="MQ15" s="504">
        <v>0</v>
      </c>
      <c r="MR15" s="504">
        <v>0</v>
      </c>
      <c r="MS15" s="504">
        <v>0</v>
      </c>
      <c r="MT15" s="504">
        <v>0</v>
      </c>
      <c r="MU15" s="504">
        <v>0</v>
      </c>
      <c r="MV15" s="504">
        <v>0</v>
      </c>
      <c r="MW15" s="504">
        <v>0</v>
      </c>
      <c r="MX15" s="504">
        <v>0</v>
      </c>
      <c r="MY15" s="504">
        <v>0</v>
      </c>
      <c r="MZ15" s="504">
        <v>0</v>
      </c>
      <c r="NA15" s="504">
        <v>0</v>
      </c>
      <c r="NB15" s="504">
        <v>0</v>
      </c>
      <c r="NC15" s="504">
        <v>0</v>
      </c>
      <c r="ND15" s="504">
        <v>0</v>
      </c>
      <c r="NE15" s="504">
        <v>0</v>
      </c>
      <c r="NF15" s="504">
        <v>0</v>
      </c>
      <c r="NG15" s="504">
        <v>0</v>
      </c>
      <c r="NH15" s="504">
        <v>0</v>
      </c>
      <c r="NI15" s="504">
        <v>0</v>
      </c>
      <c r="NJ15" s="504">
        <v>0</v>
      </c>
      <c r="NK15" s="504">
        <v>0</v>
      </c>
      <c r="NL15" s="504">
        <v>0</v>
      </c>
      <c r="NM15" s="504">
        <v>0</v>
      </c>
      <c r="NN15" s="504">
        <v>0</v>
      </c>
      <c r="NO15" s="504">
        <v>0</v>
      </c>
      <c r="NP15" s="504">
        <v>0</v>
      </c>
      <c r="NQ15" s="504">
        <v>0</v>
      </c>
      <c r="NR15" s="504">
        <v>0</v>
      </c>
      <c r="NS15" s="504">
        <v>0</v>
      </c>
      <c r="NT15" s="504">
        <v>0</v>
      </c>
      <c r="NU15" s="504">
        <v>0</v>
      </c>
      <c r="NV15" s="504">
        <v>0</v>
      </c>
      <c r="NW15" s="504">
        <v>0</v>
      </c>
      <c r="NX15" s="504">
        <v>0</v>
      </c>
      <c r="NY15" s="504">
        <v>0</v>
      </c>
      <c r="NZ15" s="504">
        <v>0</v>
      </c>
      <c r="OA15" s="504">
        <v>0</v>
      </c>
      <c r="OB15" s="504">
        <v>0</v>
      </c>
      <c r="OC15" s="504">
        <v>0</v>
      </c>
      <c r="OD15" s="504">
        <v>0</v>
      </c>
      <c r="OE15" s="504">
        <v>0</v>
      </c>
      <c r="OF15" s="504">
        <v>0</v>
      </c>
      <c r="OG15" s="504">
        <v>0</v>
      </c>
      <c r="OH15" s="504">
        <v>0</v>
      </c>
      <c r="OI15" s="504">
        <v>0</v>
      </c>
      <c r="OJ15" s="504">
        <v>0</v>
      </c>
      <c r="OK15" s="504">
        <v>0</v>
      </c>
      <c r="OL15" s="504">
        <v>0</v>
      </c>
      <c r="OM15" s="504">
        <v>0</v>
      </c>
      <c r="ON15" s="494"/>
    </row>
    <row r="16" spans="1:404" ht="18.75" customHeight="1" x14ac:dyDescent="0.4">
      <c r="A16" s="355" t="s">
        <v>291</v>
      </c>
      <c r="B16" s="358">
        <v>92</v>
      </c>
      <c r="C16" s="355" t="s">
        <v>60</v>
      </c>
      <c r="D16" s="501">
        <v>16.670000000000002</v>
      </c>
      <c r="E16" s="502">
        <v>20020</v>
      </c>
      <c r="F16" s="501">
        <v>16.66</v>
      </c>
      <c r="G16" s="502">
        <v>2352</v>
      </c>
      <c r="H16" s="501">
        <v>16.66</v>
      </c>
      <c r="I16" s="502">
        <v>11214</v>
      </c>
      <c r="J16" s="501">
        <v>16.66</v>
      </c>
      <c r="K16" s="502">
        <v>13585</v>
      </c>
      <c r="V16" s="501"/>
      <c r="W16" s="503"/>
      <c r="X16" s="501"/>
      <c r="Y16" s="503"/>
      <c r="Z16" s="501"/>
      <c r="AA16" s="503"/>
      <c r="AB16" s="495"/>
      <c r="AC16" s="504">
        <v>0</v>
      </c>
      <c r="AD16" s="504">
        <v>0</v>
      </c>
      <c r="AE16" s="504">
        <v>0</v>
      </c>
      <c r="AF16" s="504">
        <v>0</v>
      </c>
      <c r="AG16" s="504">
        <v>0</v>
      </c>
      <c r="AH16" s="504">
        <v>0</v>
      </c>
      <c r="AI16" s="504">
        <v>0</v>
      </c>
      <c r="AJ16" s="504">
        <v>0</v>
      </c>
      <c r="AK16" s="504">
        <v>0</v>
      </c>
      <c r="AL16" s="504">
        <v>0</v>
      </c>
      <c r="AM16" s="504">
        <v>0</v>
      </c>
      <c r="AN16" s="504">
        <v>0</v>
      </c>
      <c r="AO16" s="504">
        <v>0</v>
      </c>
      <c r="AP16" s="504">
        <v>0</v>
      </c>
      <c r="AQ16" s="504">
        <v>0</v>
      </c>
      <c r="AR16" s="504">
        <v>0</v>
      </c>
      <c r="AS16" s="504">
        <v>0</v>
      </c>
      <c r="AT16" s="504">
        <v>0</v>
      </c>
      <c r="AU16" s="504">
        <v>0</v>
      </c>
      <c r="AV16" s="504">
        <v>0</v>
      </c>
      <c r="AW16" s="504">
        <v>0</v>
      </c>
      <c r="AX16" s="504">
        <v>0</v>
      </c>
      <c r="AY16" s="504">
        <v>0</v>
      </c>
      <c r="AZ16" s="504">
        <v>0</v>
      </c>
      <c r="BA16" s="504">
        <v>0</v>
      </c>
      <c r="BB16" s="504">
        <v>0</v>
      </c>
      <c r="BC16" s="504">
        <v>0</v>
      </c>
      <c r="BD16" s="504">
        <v>0</v>
      </c>
      <c r="BE16" s="504">
        <v>0</v>
      </c>
      <c r="BF16" s="504">
        <v>0</v>
      </c>
      <c r="BG16" s="504">
        <v>0</v>
      </c>
      <c r="BH16" s="504">
        <v>0</v>
      </c>
      <c r="BI16" s="504">
        <v>0</v>
      </c>
      <c r="BJ16" s="504">
        <v>0</v>
      </c>
      <c r="BK16" s="504">
        <v>0</v>
      </c>
      <c r="BL16" s="504">
        <v>0</v>
      </c>
      <c r="BM16" s="504">
        <v>0</v>
      </c>
      <c r="BN16" s="504">
        <v>0</v>
      </c>
      <c r="BO16" s="504">
        <v>0</v>
      </c>
      <c r="BP16" s="504">
        <v>0</v>
      </c>
      <c r="BQ16" s="504">
        <v>0</v>
      </c>
      <c r="BR16" s="504">
        <v>0</v>
      </c>
      <c r="BS16" s="504">
        <v>0</v>
      </c>
      <c r="BT16" s="504">
        <v>0</v>
      </c>
      <c r="BU16" s="504">
        <v>0</v>
      </c>
      <c r="BV16" s="504">
        <v>0</v>
      </c>
      <c r="BW16" s="504">
        <v>0</v>
      </c>
      <c r="BX16" s="504">
        <v>0</v>
      </c>
      <c r="BY16" s="504">
        <v>0</v>
      </c>
      <c r="BZ16" s="504">
        <v>0</v>
      </c>
      <c r="CA16" s="504">
        <v>0</v>
      </c>
      <c r="CB16" s="504">
        <v>0</v>
      </c>
      <c r="CC16" s="504">
        <v>0</v>
      </c>
      <c r="CD16" s="504">
        <v>0</v>
      </c>
      <c r="CE16" s="504">
        <v>0</v>
      </c>
      <c r="CF16" s="504">
        <v>0</v>
      </c>
      <c r="CG16" s="504">
        <v>0</v>
      </c>
      <c r="CH16" s="504">
        <v>0</v>
      </c>
      <c r="CI16" s="504">
        <v>0</v>
      </c>
      <c r="CJ16" s="504">
        <v>0</v>
      </c>
      <c r="CK16" s="504">
        <v>0</v>
      </c>
      <c r="CL16" s="504">
        <v>0</v>
      </c>
      <c r="CM16" s="504">
        <v>0</v>
      </c>
      <c r="CN16" s="504">
        <v>0</v>
      </c>
      <c r="CO16" s="504">
        <v>0</v>
      </c>
      <c r="CP16" s="504">
        <v>0</v>
      </c>
      <c r="CQ16" s="504">
        <v>0</v>
      </c>
      <c r="CR16" s="504">
        <v>0</v>
      </c>
      <c r="CS16" s="504">
        <v>0</v>
      </c>
      <c r="CT16" s="504">
        <v>0</v>
      </c>
      <c r="CU16" s="504">
        <v>0</v>
      </c>
      <c r="CV16" s="504">
        <v>0</v>
      </c>
      <c r="CW16" s="504">
        <v>0</v>
      </c>
      <c r="CX16" s="504">
        <v>0</v>
      </c>
      <c r="CY16" s="504">
        <v>0</v>
      </c>
      <c r="CZ16" s="504">
        <v>0</v>
      </c>
      <c r="DA16" s="504">
        <v>0</v>
      </c>
      <c r="DB16" s="504">
        <v>0</v>
      </c>
      <c r="DC16" s="504">
        <v>0</v>
      </c>
      <c r="DD16" s="504">
        <v>0</v>
      </c>
      <c r="DE16" s="504">
        <v>0</v>
      </c>
      <c r="DF16" s="504">
        <v>0</v>
      </c>
      <c r="DG16" s="504">
        <v>0</v>
      </c>
      <c r="DH16" s="504">
        <v>0</v>
      </c>
      <c r="DI16" s="504">
        <v>0</v>
      </c>
      <c r="DJ16" s="504">
        <v>0</v>
      </c>
      <c r="DK16" s="504">
        <v>0</v>
      </c>
      <c r="DL16" s="504">
        <v>0</v>
      </c>
      <c r="DM16" s="504">
        <v>0</v>
      </c>
      <c r="DN16" s="504">
        <v>0</v>
      </c>
      <c r="DO16" s="504">
        <v>0</v>
      </c>
      <c r="DP16" s="504">
        <v>0</v>
      </c>
      <c r="DQ16" s="504">
        <v>0</v>
      </c>
      <c r="DR16" s="504">
        <v>0</v>
      </c>
      <c r="DS16" s="504">
        <v>0</v>
      </c>
      <c r="DT16" s="504">
        <v>0</v>
      </c>
      <c r="DU16" s="504">
        <v>0</v>
      </c>
      <c r="DV16" s="504">
        <v>0</v>
      </c>
      <c r="DW16" s="504">
        <v>0</v>
      </c>
      <c r="DX16" s="504">
        <v>0</v>
      </c>
      <c r="DY16" s="504">
        <v>0</v>
      </c>
      <c r="DZ16" s="504">
        <v>0</v>
      </c>
      <c r="EA16" s="504">
        <v>0</v>
      </c>
      <c r="EB16" s="504">
        <v>0</v>
      </c>
      <c r="EC16" s="504">
        <v>0</v>
      </c>
      <c r="ED16" s="504">
        <v>0</v>
      </c>
      <c r="EE16" s="504">
        <v>0</v>
      </c>
      <c r="EF16" s="504">
        <v>0</v>
      </c>
      <c r="EG16" s="504">
        <v>0</v>
      </c>
      <c r="EH16" s="504">
        <v>0</v>
      </c>
      <c r="EI16" s="504">
        <v>0</v>
      </c>
      <c r="EJ16" s="504">
        <v>0</v>
      </c>
      <c r="EK16" s="504">
        <v>0</v>
      </c>
      <c r="EL16" s="504">
        <v>0</v>
      </c>
      <c r="EM16" s="504">
        <v>0</v>
      </c>
      <c r="EN16" s="504">
        <v>0</v>
      </c>
      <c r="EO16" s="504">
        <v>0</v>
      </c>
      <c r="EP16" s="504">
        <v>0</v>
      </c>
      <c r="EQ16" s="504">
        <v>0</v>
      </c>
      <c r="ER16" s="504">
        <v>0</v>
      </c>
      <c r="ES16" s="504">
        <v>0</v>
      </c>
      <c r="ET16" s="504">
        <v>0</v>
      </c>
      <c r="EU16" s="504">
        <v>0</v>
      </c>
      <c r="EV16" s="504">
        <v>0</v>
      </c>
      <c r="EW16" s="504">
        <v>0</v>
      </c>
      <c r="EX16" s="504">
        <v>0</v>
      </c>
      <c r="EY16" s="504">
        <v>0</v>
      </c>
      <c r="EZ16" s="504">
        <v>0</v>
      </c>
      <c r="FA16" s="504">
        <v>0</v>
      </c>
      <c r="FB16" s="504">
        <v>0</v>
      </c>
      <c r="FC16" s="504">
        <v>0</v>
      </c>
      <c r="FD16" s="504">
        <v>0</v>
      </c>
      <c r="FE16" s="504">
        <v>0</v>
      </c>
      <c r="FF16" s="504">
        <v>0</v>
      </c>
      <c r="FG16" s="504">
        <v>0</v>
      </c>
      <c r="FH16" s="504">
        <v>0</v>
      </c>
      <c r="FI16" s="504">
        <v>0</v>
      </c>
      <c r="FJ16" s="504">
        <v>0</v>
      </c>
      <c r="FK16" s="504">
        <v>0</v>
      </c>
      <c r="FL16" s="504">
        <v>0</v>
      </c>
      <c r="FM16" s="504">
        <v>0</v>
      </c>
      <c r="FN16" s="504">
        <v>0</v>
      </c>
      <c r="FO16" s="504">
        <v>0</v>
      </c>
      <c r="FP16" s="504">
        <v>0</v>
      </c>
      <c r="FQ16" s="504">
        <v>0</v>
      </c>
      <c r="FR16" s="504">
        <v>0</v>
      </c>
      <c r="FS16" s="504">
        <v>0</v>
      </c>
      <c r="FT16" s="504">
        <v>0</v>
      </c>
      <c r="FU16" s="504">
        <v>0</v>
      </c>
      <c r="FV16" s="504">
        <v>0</v>
      </c>
      <c r="FW16" s="504">
        <v>0</v>
      </c>
      <c r="FX16" s="504">
        <v>0</v>
      </c>
      <c r="FY16" s="504">
        <v>0</v>
      </c>
      <c r="FZ16" s="504">
        <v>0</v>
      </c>
      <c r="GA16" s="504">
        <v>0</v>
      </c>
      <c r="GB16" s="504">
        <v>0</v>
      </c>
      <c r="GC16" s="504">
        <v>0</v>
      </c>
      <c r="GD16" s="504">
        <v>0</v>
      </c>
      <c r="GE16" s="504">
        <v>0</v>
      </c>
      <c r="GF16" s="504">
        <v>0</v>
      </c>
      <c r="GG16" s="504">
        <v>0</v>
      </c>
      <c r="GH16" s="504">
        <v>0</v>
      </c>
      <c r="GI16" s="504">
        <v>0</v>
      </c>
      <c r="GJ16" s="504">
        <v>0</v>
      </c>
      <c r="GK16" s="504">
        <v>0</v>
      </c>
      <c r="GL16" s="504">
        <v>0</v>
      </c>
      <c r="GM16" s="504">
        <v>0</v>
      </c>
      <c r="GN16" s="504">
        <v>0</v>
      </c>
      <c r="GO16" s="504">
        <v>0</v>
      </c>
      <c r="GP16" s="504">
        <v>0</v>
      </c>
      <c r="GQ16" s="504">
        <v>0</v>
      </c>
      <c r="GR16" s="504">
        <v>0</v>
      </c>
      <c r="GS16" s="504">
        <v>0</v>
      </c>
      <c r="GT16" s="504">
        <v>0</v>
      </c>
      <c r="GU16" s="504">
        <v>0</v>
      </c>
      <c r="GV16" s="504">
        <v>0</v>
      </c>
      <c r="GW16" s="504">
        <v>0</v>
      </c>
      <c r="GX16" s="504">
        <v>0</v>
      </c>
      <c r="GY16" s="504">
        <v>0</v>
      </c>
      <c r="GZ16" s="504">
        <v>0</v>
      </c>
      <c r="HA16" s="504">
        <v>0</v>
      </c>
      <c r="HB16" s="504">
        <v>0</v>
      </c>
      <c r="HC16" s="504">
        <v>0</v>
      </c>
      <c r="HD16" s="504">
        <v>0</v>
      </c>
      <c r="HE16" s="504">
        <v>0</v>
      </c>
      <c r="HF16" s="504">
        <v>0</v>
      </c>
      <c r="HG16" s="504">
        <v>0</v>
      </c>
      <c r="HH16" s="504">
        <v>0</v>
      </c>
      <c r="HI16" s="504">
        <v>0</v>
      </c>
      <c r="HJ16" s="504">
        <v>0</v>
      </c>
      <c r="HK16" s="504">
        <v>0</v>
      </c>
      <c r="HL16" s="504">
        <v>0</v>
      </c>
      <c r="HM16" s="504">
        <v>0</v>
      </c>
      <c r="HN16" s="504">
        <v>0</v>
      </c>
      <c r="HO16" s="504">
        <v>0</v>
      </c>
      <c r="HP16" s="504">
        <v>0</v>
      </c>
      <c r="HQ16" s="504">
        <v>0</v>
      </c>
      <c r="HR16" s="504">
        <v>0</v>
      </c>
      <c r="HS16" s="504">
        <v>0</v>
      </c>
      <c r="HT16" s="504">
        <v>0</v>
      </c>
      <c r="HU16" s="504">
        <v>0</v>
      </c>
      <c r="HV16" s="504">
        <v>0</v>
      </c>
      <c r="HW16" s="504">
        <v>0</v>
      </c>
      <c r="HX16" s="504">
        <v>0</v>
      </c>
      <c r="HY16" s="504">
        <v>0</v>
      </c>
      <c r="HZ16" s="504">
        <v>0</v>
      </c>
      <c r="IA16" s="504">
        <v>0</v>
      </c>
      <c r="IB16" s="504">
        <v>0</v>
      </c>
      <c r="IC16" s="504">
        <v>0</v>
      </c>
      <c r="ID16" s="504">
        <v>0</v>
      </c>
      <c r="IE16" s="504">
        <v>0</v>
      </c>
      <c r="IF16" s="504">
        <v>0</v>
      </c>
      <c r="IG16" s="504">
        <v>0</v>
      </c>
      <c r="IH16" s="504">
        <v>0</v>
      </c>
      <c r="II16" s="504">
        <v>0</v>
      </c>
      <c r="IJ16" s="504">
        <v>0</v>
      </c>
      <c r="IK16" s="504">
        <v>0</v>
      </c>
      <c r="IL16" s="504">
        <v>0</v>
      </c>
      <c r="IM16" s="504">
        <v>0</v>
      </c>
      <c r="IN16" s="504">
        <v>0</v>
      </c>
      <c r="IO16" s="504">
        <v>0</v>
      </c>
      <c r="IP16" s="504">
        <v>0</v>
      </c>
      <c r="IQ16" s="504">
        <v>0</v>
      </c>
      <c r="IR16" s="504">
        <v>0</v>
      </c>
      <c r="IS16" s="504">
        <v>0</v>
      </c>
      <c r="IT16" s="504">
        <v>0</v>
      </c>
      <c r="IU16" s="504">
        <v>0</v>
      </c>
      <c r="IV16" s="504">
        <v>0</v>
      </c>
      <c r="IW16" s="504">
        <v>0</v>
      </c>
      <c r="IX16" s="504">
        <v>0</v>
      </c>
      <c r="IY16" s="504">
        <v>0</v>
      </c>
      <c r="IZ16" s="504">
        <v>0</v>
      </c>
      <c r="JA16" s="504">
        <v>0</v>
      </c>
      <c r="JB16" s="504">
        <v>0</v>
      </c>
      <c r="JC16" s="504">
        <v>0</v>
      </c>
      <c r="JD16" s="504">
        <v>0</v>
      </c>
      <c r="JE16" s="504">
        <v>0</v>
      </c>
      <c r="JF16" s="504">
        <v>0</v>
      </c>
      <c r="JG16" s="504">
        <v>0</v>
      </c>
      <c r="JH16" s="504">
        <v>0</v>
      </c>
      <c r="JI16" s="504">
        <v>0</v>
      </c>
      <c r="JJ16" s="504">
        <v>0</v>
      </c>
      <c r="JK16" s="504">
        <v>0</v>
      </c>
      <c r="JL16" s="504">
        <v>0</v>
      </c>
      <c r="JM16" s="504">
        <v>0</v>
      </c>
      <c r="JN16" s="504">
        <v>0</v>
      </c>
      <c r="JO16" s="504">
        <v>0</v>
      </c>
      <c r="JP16" s="504">
        <v>0</v>
      </c>
      <c r="JQ16" s="504">
        <v>0</v>
      </c>
      <c r="JR16" s="504">
        <v>0</v>
      </c>
      <c r="JS16" s="504">
        <v>0</v>
      </c>
      <c r="JT16" s="504">
        <v>0</v>
      </c>
      <c r="JU16" s="504">
        <v>0</v>
      </c>
      <c r="JV16" s="504">
        <v>0</v>
      </c>
      <c r="JW16" s="504">
        <v>0</v>
      </c>
      <c r="JX16" s="504">
        <v>0</v>
      </c>
      <c r="JY16" s="504">
        <v>0</v>
      </c>
      <c r="JZ16" s="504">
        <v>0</v>
      </c>
      <c r="KA16" s="504">
        <v>0</v>
      </c>
      <c r="KB16" s="504">
        <v>0</v>
      </c>
      <c r="KC16" s="504">
        <v>0</v>
      </c>
      <c r="KD16" s="504">
        <v>0</v>
      </c>
      <c r="KE16" s="504">
        <v>0</v>
      </c>
      <c r="KF16" s="504">
        <v>0</v>
      </c>
      <c r="KG16" s="504">
        <v>0</v>
      </c>
      <c r="KH16" s="504">
        <v>0</v>
      </c>
      <c r="KI16" s="504">
        <v>0</v>
      </c>
      <c r="KJ16" s="504">
        <v>0</v>
      </c>
      <c r="KK16" s="504">
        <v>0</v>
      </c>
      <c r="KL16" s="504">
        <v>0</v>
      </c>
      <c r="KM16" s="504">
        <v>0</v>
      </c>
      <c r="KN16" s="504">
        <v>0</v>
      </c>
      <c r="KO16" s="504">
        <v>0</v>
      </c>
      <c r="KP16" s="504">
        <v>0</v>
      </c>
      <c r="KQ16" s="504">
        <v>0</v>
      </c>
      <c r="KR16" s="504">
        <v>0</v>
      </c>
      <c r="KS16" s="504">
        <v>0</v>
      </c>
      <c r="KT16" s="504">
        <v>0</v>
      </c>
      <c r="KU16" s="504">
        <v>0</v>
      </c>
      <c r="KV16" s="504">
        <v>0</v>
      </c>
      <c r="KW16" s="504">
        <v>0</v>
      </c>
      <c r="KX16" s="504">
        <v>0</v>
      </c>
      <c r="KY16" s="504">
        <v>0</v>
      </c>
      <c r="KZ16" s="504">
        <v>0</v>
      </c>
      <c r="LA16" s="504">
        <v>0</v>
      </c>
      <c r="LB16" s="504">
        <v>0</v>
      </c>
      <c r="LC16" s="504">
        <v>0</v>
      </c>
      <c r="LD16" s="504">
        <v>0</v>
      </c>
      <c r="LE16" s="504">
        <v>0</v>
      </c>
      <c r="LF16" s="504">
        <v>0</v>
      </c>
      <c r="LG16" s="504">
        <v>0</v>
      </c>
      <c r="LH16" s="504">
        <v>0</v>
      </c>
      <c r="LI16" s="504">
        <v>0</v>
      </c>
      <c r="LJ16" s="504">
        <v>0</v>
      </c>
      <c r="LK16" s="504">
        <v>0</v>
      </c>
      <c r="LL16" s="504">
        <v>0</v>
      </c>
      <c r="LM16" s="504">
        <v>0</v>
      </c>
      <c r="LN16" s="504">
        <v>0</v>
      </c>
      <c r="LO16" s="504">
        <v>0</v>
      </c>
      <c r="LP16" s="504">
        <v>0</v>
      </c>
      <c r="LQ16" s="504">
        <v>0</v>
      </c>
      <c r="LR16" s="504">
        <v>0</v>
      </c>
      <c r="LS16" s="504">
        <v>0</v>
      </c>
      <c r="LT16" s="504">
        <v>0</v>
      </c>
      <c r="LU16" s="504">
        <v>0</v>
      </c>
      <c r="LV16" s="504">
        <v>0</v>
      </c>
      <c r="LW16" s="504">
        <v>0</v>
      </c>
      <c r="LX16" s="504">
        <v>0</v>
      </c>
      <c r="LY16" s="504">
        <v>0</v>
      </c>
      <c r="LZ16" s="504">
        <v>0</v>
      </c>
      <c r="MA16" s="504">
        <v>0</v>
      </c>
      <c r="MB16" s="504">
        <v>0</v>
      </c>
      <c r="MC16" s="504">
        <v>0</v>
      </c>
      <c r="MD16" s="504">
        <v>0</v>
      </c>
      <c r="ME16" s="504">
        <v>0</v>
      </c>
      <c r="MF16" s="504">
        <v>0</v>
      </c>
      <c r="MG16" s="504">
        <v>0</v>
      </c>
      <c r="MH16" s="504">
        <v>0</v>
      </c>
      <c r="MI16" s="504">
        <v>0</v>
      </c>
      <c r="MJ16" s="504">
        <v>0</v>
      </c>
      <c r="MK16" s="504">
        <v>0</v>
      </c>
      <c r="ML16" s="504">
        <v>0</v>
      </c>
      <c r="MM16" s="504">
        <v>0</v>
      </c>
      <c r="MN16" s="504">
        <v>0</v>
      </c>
      <c r="MO16" s="504">
        <v>0</v>
      </c>
      <c r="MP16" s="504">
        <v>0</v>
      </c>
      <c r="MQ16" s="504">
        <v>0</v>
      </c>
      <c r="MR16" s="504">
        <v>0</v>
      </c>
      <c r="MS16" s="504">
        <v>0</v>
      </c>
      <c r="MT16" s="504">
        <v>0</v>
      </c>
      <c r="MU16" s="504">
        <v>0</v>
      </c>
      <c r="MV16" s="504">
        <v>0</v>
      </c>
      <c r="MW16" s="504">
        <v>0</v>
      </c>
      <c r="MX16" s="504">
        <v>0</v>
      </c>
      <c r="MY16" s="504">
        <v>0</v>
      </c>
      <c r="MZ16" s="504">
        <v>0</v>
      </c>
      <c r="NA16" s="504">
        <v>0</v>
      </c>
      <c r="NB16" s="504">
        <v>0</v>
      </c>
      <c r="NC16" s="504">
        <v>0</v>
      </c>
      <c r="ND16" s="504">
        <v>0</v>
      </c>
      <c r="NE16" s="504">
        <v>0</v>
      </c>
      <c r="NF16" s="504">
        <v>0</v>
      </c>
      <c r="NG16" s="504">
        <v>0</v>
      </c>
      <c r="NH16" s="504">
        <v>0</v>
      </c>
      <c r="NI16" s="504">
        <v>0</v>
      </c>
      <c r="NJ16" s="504">
        <v>0</v>
      </c>
      <c r="NK16" s="504">
        <v>0</v>
      </c>
      <c r="NL16" s="504">
        <v>0</v>
      </c>
      <c r="NM16" s="504">
        <v>0</v>
      </c>
      <c r="NN16" s="504">
        <v>0</v>
      </c>
      <c r="NO16" s="504">
        <v>0</v>
      </c>
      <c r="NP16" s="504">
        <v>0</v>
      </c>
      <c r="NQ16" s="504">
        <v>0</v>
      </c>
      <c r="NR16" s="504">
        <v>0</v>
      </c>
      <c r="NS16" s="504">
        <v>0</v>
      </c>
      <c r="NT16" s="504">
        <v>0</v>
      </c>
      <c r="NU16" s="504">
        <v>0</v>
      </c>
      <c r="NV16" s="504">
        <v>0</v>
      </c>
      <c r="NW16" s="504">
        <v>0</v>
      </c>
      <c r="NX16" s="504">
        <v>0</v>
      </c>
      <c r="NY16" s="504">
        <v>0</v>
      </c>
      <c r="NZ16" s="504">
        <v>0</v>
      </c>
      <c r="OA16" s="504">
        <v>0</v>
      </c>
      <c r="OB16" s="504">
        <v>0</v>
      </c>
      <c r="OC16" s="504">
        <v>0</v>
      </c>
      <c r="OD16" s="504">
        <v>0</v>
      </c>
      <c r="OE16" s="504">
        <v>0</v>
      </c>
      <c r="OF16" s="504">
        <v>0</v>
      </c>
      <c r="OG16" s="504">
        <v>0</v>
      </c>
      <c r="OH16" s="504">
        <v>0</v>
      </c>
      <c r="OI16" s="504">
        <v>0</v>
      </c>
      <c r="OJ16" s="504">
        <v>0</v>
      </c>
      <c r="OK16" s="504">
        <v>0</v>
      </c>
      <c r="OL16" s="504">
        <v>0</v>
      </c>
      <c r="OM16" s="504">
        <v>0</v>
      </c>
      <c r="ON16" s="494"/>
    </row>
    <row r="17" spans="1:404" ht="18.75" customHeight="1" x14ac:dyDescent="0.4">
      <c r="A17" s="355" t="s">
        <v>293</v>
      </c>
      <c r="B17" s="358">
        <v>113</v>
      </c>
      <c r="C17" s="355" t="s">
        <v>60</v>
      </c>
      <c r="D17" s="501">
        <v>17.079999999999998</v>
      </c>
      <c r="E17" s="502">
        <v>72567</v>
      </c>
      <c r="F17" s="501">
        <v>17.059999999999999</v>
      </c>
      <c r="G17" s="502">
        <v>7346</v>
      </c>
      <c r="H17" s="501">
        <v>17.059999999999999</v>
      </c>
      <c r="I17" s="502">
        <v>24627</v>
      </c>
      <c r="J17" s="501">
        <v>17.07</v>
      </c>
      <c r="K17" s="502">
        <v>29544</v>
      </c>
      <c r="V17" s="501"/>
      <c r="W17" s="503"/>
      <c r="X17" s="501"/>
      <c r="Y17" s="503"/>
      <c r="Z17" s="501"/>
      <c r="AA17" s="503"/>
      <c r="AB17" s="495"/>
      <c r="AC17" s="504">
        <v>0</v>
      </c>
      <c r="AD17" s="504">
        <v>0</v>
      </c>
      <c r="AE17" s="504">
        <v>0</v>
      </c>
      <c r="AF17" s="504">
        <v>0</v>
      </c>
      <c r="AG17" s="504">
        <v>0</v>
      </c>
      <c r="AH17" s="504">
        <v>0</v>
      </c>
      <c r="AI17" s="504">
        <v>0</v>
      </c>
      <c r="AJ17" s="504">
        <v>0</v>
      </c>
      <c r="AK17" s="504">
        <v>0</v>
      </c>
      <c r="AL17" s="504">
        <v>0</v>
      </c>
      <c r="AM17" s="504">
        <v>0</v>
      </c>
      <c r="AN17" s="504">
        <v>0</v>
      </c>
      <c r="AO17" s="504">
        <v>0</v>
      </c>
      <c r="AP17" s="504">
        <v>0</v>
      </c>
      <c r="AQ17" s="504">
        <v>0</v>
      </c>
      <c r="AR17" s="504">
        <v>0</v>
      </c>
      <c r="AS17" s="504">
        <v>0</v>
      </c>
      <c r="AT17" s="504">
        <v>0</v>
      </c>
      <c r="AU17" s="504">
        <v>0</v>
      </c>
      <c r="AV17" s="504">
        <v>0</v>
      </c>
      <c r="AW17" s="504">
        <v>0</v>
      </c>
      <c r="AX17" s="504">
        <v>0</v>
      </c>
      <c r="AY17" s="504">
        <v>0</v>
      </c>
      <c r="AZ17" s="504">
        <v>0</v>
      </c>
      <c r="BA17" s="504">
        <v>0</v>
      </c>
      <c r="BB17" s="504">
        <v>0</v>
      </c>
      <c r="BC17" s="504">
        <v>0</v>
      </c>
      <c r="BD17" s="504">
        <v>0</v>
      </c>
      <c r="BE17" s="504">
        <v>0</v>
      </c>
      <c r="BF17" s="504">
        <v>0</v>
      </c>
      <c r="BG17" s="504">
        <v>0</v>
      </c>
      <c r="BH17" s="504">
        <v>0</v>
      </c>
      <c r="BI17" s="504">
        <v>0</v>
      </c>
      <c r="BJ17" s="504">
        <v>0</v>
      </c>
      <c r="BK17" s="504">
        <v>0</v>
      </c>
      <c r="BL17" s="504">
        <v>0</v>
      </c>
      <c r="BM17" s="504">
        <v>0</v>
      </c>
      <c r="BN17" s="504">
        <v>0</v>
      </c>
      <c r="BO17" s="504">
        <v>0</v>
      </c>
      <c r="BP17" s="504">
        <v>0</v>
      </c>
      <c r="BQ17" s="504">
        <v>0</v>
      </c>
      <c r="BR17" s="504">
        <v>0</v>
      </c>
      <c r="BS17" s="504">
        <v>0</v>
      </c>
      <c r="BT17" s="504">
        <v>0</v>
      </c>
      <c r="BU17" s="504">
        <v>0</v>
      </c>
      <c r="BV17" s="504">
        <v>0</v>
      </c>
      <c r="BW17" s="504">
        <v>0</v>
      </c>
      <c r="BX17" s="504">
        <v>0</v>
      </c>
      <c r="BY17" s="504">
        <v>0</v>
      </c>
      <c r="BZ17" s="504">
        <v>0</v>
      </c>
      <c r="CA17" s="504">
        <v>0</v>
      </c>
      <c r="CB17" s="504">
        <v>0</v>
      </c>
      <c r="CC17" s="504">
        <v>0</v>
      </c>
      <c r="CD17" s="504">
        <v>0</v>
      </c>
      <c r="CE17" s="504">
        <v>0</v>
      </c>
      <c r="CF17" s="504">
        <v>0</v>
      </c>
      <c r="CG17" s="504">
        <v>0</v>
      </c>
      <c r="CH17" s="504">
        <v>0</v>
      </c>
      <c r="CI17" s="504">
        <v>0</v>
      </c>
      <c r="CJ17" s="504">
        <v>0</v>
      </c>
      <c r="CK17" s="504">
        <v>0</v>
      </c>
      <c r="CL17" s="504">
        <v>0</v>
      </c>
      <c r="CM17" s="504">
        <v>0</v>
      </c>
      <c r="CN17" s="504">
        <v>0</v>
      </c>
      <c r="CO17" s="504">
        <v>0</v>
      </c>
      <c r="CP17" s="504">
        <v>0</v>
      </c>
      <c r="CQ17" s="504">
        <v>0</v>
      </c>
      <c r="CR17" s="504">
        <v>0</v>
      </c>
      <c r="CS17" s="504">
        <v>0</v>
      </c>
      <c r="CT17" s="504">
        <v>0</v>
      </c>
      <c r="CU17" s="504">
        <v>0</v>
      </c>
      <c r="CV17" s="504">
        <v>0</v>
      </c>
      <c r="CW17" s="504">
        <v>0</v>
      </c>
      <c r="CX17" s="504">
        <v>0</v>
      </c>
      <c r="CY17" s="504">
        <v>0</v>
      </c>
      <c r="CZ17" s="504">
        <v>0</v>
      </c>
      <c r="DA17" s="504">
        <v>0</v>
      </c>
      <c r="DB17" s="504">
        <v>0</v>
      </c>
      <c r="DC17" s="504">
        <v>0</v>
      </c>
      <c r="DD17" s="504">
        <v>0</v>
      </c>
      <c r="DE17" s="504">
        <v>0</v>
      </c>
      <c r="DF17" s="504">
        <v>0</v>
      </c>
      <c r="DG17" s="504">
        <v>0</v>
      </c>
      <c r="DH17" s="504">
        <v>0</v>
      </c>
      <c r="DI17" s="504">
        <v>0</v>
      </c>
      <c r="DJ17" s="504">
        <v>0</v>
      </c>
      <c r="DK17" s="504">
        <v>0</v>
      </c>
      <c r="DL17" s="504">
        <v>0</v>
      </c>
      <c r="DM17" s="504">
        <v>0</v>
      </c>
      <c r="DN17" s="504">
        <v>0</v>
      </c>
      <c r="DO17" s="504">
        <v>0</v>
      </c>
      <c r="DP17" s="504">
        <v>0</v>
      </c>
      <c r="DQ17" s="504">
        <v>0</v>
      </c>
      <c r="DR17" s="504">
        <v>0</v>
      </c>
      <c r="DS17" s="504">
        <v>0</v>
      </c>
      <c r="DT17" s="504">
        <v>0</v>
      </c>
      <c r="DU17" s="504">
        <v>0</v>
      </c>
      <c r="DV17" s="504">
        <v>0</v>
      </c>
      <c r="DW17" s="504">
        <v>0</v>
      </c>
      <c r="DX17" s="504">
        <v>0</v>
      </c>
      <c r="DY17" s="504">
        <v>0</v>
      </c>
      <c r="DZ17" s="504">
        <v>0</v>
      </c>
      <c r="EA17" s="504">
        <v>0</v>
      </c>
      <c r="EB17" s="504">
        <v>0</v>
      </c>
      <c r="EC17" s="504">
        <v>0</v>
      </c>
      <c r="ED17" s="504">
        <v>0</v>
      </c>
      <c r="EE17" s="504">
        <v>0</v>
      </c>
      <c r="EF17" s="504">
        <v>0</v>
      </c>
      <c r="EG17" s="504">
        <v>0</v>
      </c>
      <c r="EH17" s="504">
        <v>0</v>
      </c>
      <c r="EI17" s="504">
        <v>0</v>
      </c>
      <c r="EJ17" s="504">
        <v>0</v>
      </c>
      <c r="EK17" s="504">
        <v>0</v>
      </c>
      <c r="EL17" s="504">
        <v>0</v>
      </c>
      <c r="EM17" s="504">
        <v>0</v>
      </c>
      <c r="EN17" s="504">
        <v>0</v>
      </c>
      <c r="EO17" s="504">
        <v>0</v>
      </c>
      <c r="EP17" s="504">
        <v>0</v>
      </c>
      <c r="EQ17" s="504">
        <v>0</v>
      </c>
      <c r="ER17" s="504">
        <v>0</v>
      </c>
      <c r="ES17" s="504">
        <v>0</v>
      </c>
      <c r="ET17" s="504">
        <v>0</v>
      </c>
      <c r="EU17" s="504">
        <v>0</v>
      </c>
      <c r="EV17" s="504">
        <v>0</v>
      </c>
      <c r="EW17" s="504">
        <v>0</v>
      </c>
      <c r="EX17" s="504">
        <v>0</v>
      </c>
      <c r="EY17" s="504">
        <v>0</v>
      </c>
      <c r="EZ17" s="504">
        <v>0</v>
      </c>
      <c r="FA17" s="504">
        <v>0</v>
      </c>
      <c r="FB17" s="504">
        <v>0</v>
      </c>
      <c r="FC17" s="504">
        <v>0</v>
      </c>
      <c r="FD17" s="504">
        <v>0</v>
      </c>
      <c r="FE17" s="504">
        <v>0</v>
      </c>
      <c r="FF17" s="504">
        <v>0</v>
      </c>
      <c r="FG17" s="504">
        <v>0</v>
      </c>
      <c r="FH17" s="504">
        <v>0</v>
      </c>
      <c r="FI17" s="504">
        <v>0</v>
      </c>
      <c r="FJ17" s="504">
        <v>0</v>
      </c>
      <c r="FK17" s="504">
        <v>0</v>
      </c>
      <c r="FL17" s="504">
        <v>0</v>
      </c>
      <c r="FM17" s="504">
        <v>0</v>
      </c>
      <c r="FN17" s="504">
        <v>0</v>
      </c>
      <c r="FO17" s="504">
        <v>0</v>
      </c>
      <c r="FP17" s="504">
        <v>0</v>
      </c>
      <c r="FQ17" s="504">
        <v>0</v>
      </c>
      <c r="FR17" s="504">
        <v>0</v>
      </c>
      <c r="FS17" s="504">
        <v>0</v>
      </c>
      <c r="FT17" s="504">
        <v>0</v>
      </c>
      <c r="FU17" s="504">
        <v>0</v>
      </c>
      <c r="FV17" s="504">
        <v>0</v>
      </c>
      <c r="FW17" s="504">
        <v>0</v>
      </c>
      <c r="FX17" s="504">
        <v>0</v>
      </c>
      <c r="FY17" s="504">
        <v>0</v>
      </c>
      <c r="FZ17" s="504">
        <v>0</v>
      </c>
      <c r="GA17" s="504">
        <v>0</v>
      </c>
      <c r="GB17" s="504">
        <v>0</v>
      </c>
      <c r="GC17" s="504">
        <v>0</v>
      </c>
      <c r="GD17" s="504">
        <v>0</v>
      </c>
      <c r="GE17" s="504">
        <v>0</v>
      </c>
      <c r="GF17" s="504">
        <v>0</v>
      </c>
      <c r="GG17" s="504">
        <v>0</v>
      </c>
      <c r="GH17" s="504">
        <v>0</v>
      </c>
      <c r="GI17" s="504">
        <v>0</v>
      </c>
      <c r="GJ17" s="504">
        <v>0</v>
      </c>
      <c r="GK17" s="504">
        <v>0</v>
      </c>
      <c r="GL17" s="504">
        <v>0</v>
      </c>
      <c r="GM17" s="504">
        <v>0</v>
      </c>
      <c r="GN17" s="504">
        <v>0</v>
      </c>
      <c r="GO17" s="504">
        <v>0</v>
      </c>
      <c r="GP17" s="504">
        <v>0</v>
      </c>
      <c r="GQ17" s="504">
        <v>0</v>
      </c>
      <c r="GR17" s="504">
        <v>0</v>
      </c>
      <c r="GS17" s="504">
        <v>0</v>
      </c>
      <c r="GT17" s="504">
        <v>0</v>
      </c>
      <c r="GU17" s="504">
        <v>0</v>
      </c>
      <c r="GV17" s="504">
        <v>0</v>
      </c>
      <c r="GW17" s="504">
        <v>0</v>
      </c>
      <c r="GX17" s="504">
        <v>0</v>
      </c>
      <c r="GY17" s="504">
        <v>0</v>
      </c>
      <c r="GZ17" s="504">
        <v>0</v>
      </c>
      <c r="HA17" s="504">
        <v>0</v>
      </c>
      <c r="HB17" s="504">
        <v>0</v>
      </c>
      <c r="HC17" s="504">
        <v>0</v>
      </c>
      <c r="HD17" s="504">
        <v>0</v>
      </c>
      <c r="HE17" s="504">
        <v>0</v>
      </c>
      <c r="HF17" s="504">
        <v>0</v>
      </c>
      <c r="HG17" s="504">
        <v>0</v>
      </c>
      <c r="HH17" s="504">
        <v>0</v>
      </c>
      <c r="HI17" s="504">
        <v>0</v>
      </c>
      <c r="HJ17" s="504">
        <v>0</v>
      </c>
      <c r="HK17" s="504">
        <v>0</v>
      </c>
      <c r="HL17" s="504">
        <v>0</v>
      </c>
      <c r="HM17" s="504">
        <v>0</v>
      </c>
      <c r="HN17" s="504">
        <v>0</v>
      </c>
      <c r="HO17" s="504">
        <v>0</v>
      </c>
      <c r="HP17" s="504">
        <v>0</v>
      </c>
      <c r="HQ17" s="504">
        <v>0</v>
      </c>
      <c r="HR17" s="504">
        <v>0</v>
      </c>
      <c r="HS17" s="504">
        <v>0</v>
      </c>
      <c r="HT17" s="504">
        <v>0</v>
      </c>
      <c r="HU17" s="504">
        <v>0</v>
      </c>
      <c r="HV17" s="504">
        <v>0</v>
      </c>
      <c r="HW17" s="504">
        <v>0</v>
      </c>
      <c r="HX17" s="504">
        <v>0</v>
      </c>
      <c r="HY17" s="504">
        <v>0</v>
      </c>
      <c r="HZ17" s="504">
        <v>0</v>
      </c>
      <c r="IA17" s="504">
        <v>0</v>
      </c>
      <c r="IB17" s="504">
        <v>0</v>
      </c>
      <c r="IC17" s="504">
        <v>0</v>
      </c>
      <c r="ID17" s="504">
        <v>0</v>
      </c>
      <c r="IE17" s="504">
        <v>0</v>
      </c>
      <c r="IF17" s="504">
        <v>0</v>
      </c>
      <c r="IG17" s="504">
        <v>0</v>
      </c>
      <c r="IH17" s="504">
        <v>0</v>
      </c>
      <c r="II17" s="504">
        <v>0</v>
      </c>
      <c r="IJ17" s="504">
        <v>0</v>
      </c>
      <c r="IK17" s="504">
        <v>0</v>
      </c>
      <c r="IL17" s="504">
        <v>0</v>
      </c>
      <c r="IM17" s="504">
        <v>0</v>
      </c>
      <c r="IN17" s="504">
        <v>0</v>
      </c>
      <c r="IO17" s="504">
        <v>0</v>
      </c>
      <c r="IP17" s="504">
        <v>0</v>
      </c>
      <c r="IQ17" s="504">
        <v>0</v>
      </c>
      <c r="IR17" s="504">
        <v>0</v>
      </c>
      <c r="IS17" s="504">
        <v>0</v>
      </c>
      <c r="IT17" s="504">
        <v>0</v>
      </c>
      <c r="IU17" s="504">
        <v>0</v>
      </c>
      <c r="IV17" s="504">
        <v>0</v>
      </c>
      <c r="IW17" s="504">
        <v>0</v>
      </c>
      <c r="IX17" s="504">
        <v>0</v>
      </c>
      <c r="IY17" s="504">
        <v>0</v>
      </c>
      <c r="IZ17" s="504">
        <v>0</v>
      </c>
      <c r="JA17" s="504">
        <v>0</v>
      </c>
      <c r="JB17" s="504">
        <v>0</v>
      </c>
      <c r="JC17" s="504">
        <v>0</v>
      </c>
      <c r="JD17" s="504">
        <v>0</v>
      </c>
      <c r="JE17" s="504">
        <v>0</v>
      </c>
      <c r="JF17" s="504">
        <v>0</v>
      </c>
      <c r="JG17" s="504">
        <v>0</v>
      </c>
      <c r="JH17" s="504">
        <v>0</v>
      </c>
      <c r="JI17" s="504">
        <v>0</v>
      </c>
      <c r="JJ17" s="504">
        <v>0</v>
      </c>
      <c r="JK17" s="504">
        <v>0</v>
      </c>
      <c r="JL17" s="504">
        <v>0</v>
      </c>
      <c r="JM17" s="504">
        <v>0</v>
      </c>
      <c r="JN17" s="504">
        <v>0</v>
      </c>
      <c r="JO17" s="504">
        <v>0</v>
      </c>
      <c r="JP17" s="504">
        <v>0</v>
      </c>
      <c r="JQ17" s="504">
        <v>0</v>
      </c>
      <c r="JR17" s="504">
        <v>0</v>
      </c>
      <c r="JS17" s="504">
        <v>0</v>
      </c>
      <c r="JT17" s="504">
        <v>0</v>
      </c>
      <c r="JU17" s="504">
        <v>0</v>
      </c>
      <c r="JV17" s="504">
        <v>0</v>
      </c>
      <c r="JW17" s="504">
        <v>0</v>
      </c>
      <c r="JX17" s="504">
        <v>0</v>
      </c>
      <c r="JY17" s="504">
        <v>0</v>
      </c>
      <c r="JZ17" s="504">
        <v>0</v>
      </c>
      <c r="KA17" s="504">
        <v>0</v>
      </c>
      <c r="KB17" s="504">
        <v>0</v>
      </c>
      <c r="KC17" s="504">
        <v>0</v>
      </c>
      <c r="KD17" s="504">
        <v>0</v>
      </c>
      <c r="KE17" s="504">
        <v>0</v>
      </c>
      <c r="KF17" s="504">
        <v>0</v>
      </c>
      <c r="KG17" s="504">
        <v>0</v>
      </c>
      <c r="KH17" s="504">
        <v>0</v>
      </c>
      <c r="KI17" s="504">
        <v>0</v>
      </c>
      <c r="KJ17" s="504">
        <v>0</v>
      </c>
      <c r="KK17" s="504">
        <v>0</v>
      </c>
      <c r="KL17" s="504">
        <v>0</v>
      </c>
      <c r="KM17" s="504">
        <v>0</v>
      </c>
      <c r="KN17" s="504">
        <v>0</v>
      </c>
      <c r="KO17" s="504">
        <v>0</v>
      </c>
      <c r="KP17" s="504">
        <v>0</v>
      </c>
      <c r="KQ17" s="504">
        <v>0</v>
      </c>
      <c r="KR17" s="504">
        <v>0</v>
      </c>
      <c r="KS17" s="504">
        <v>0</v>
      </c>
      <c r="KT17" s="504">
        <v>0</v>
      </c>
      <c r="KU17" s="504">
        <v>0</v>
      </c>
      <c r="KV17" s="504">
        <v>0</v>
      </c>
      <c r="KW17" s="504">
        <v>0</v>
      </c>
      <c r="KX17" s="504">
        <v>0</v>
      </c>
      <c r="KY17" s="504">
        <v>0</v>
      </c>
      <c r="KZ17" s="504">
        <v>0</v>
      </c>
      <c r="LA17" s="504">
        <v>0</v>
      </c>
      <c r="LB17" s="504">
        <v>0</v>
      </c>
      <c r="LC17" s="504">
        <v>0</v>
      </c>
      <c r="LD17" s="504">
        <v>0</v>
      </c>
      <c r="LE17" s="504">
        <v>0</v>
      </c>
      <c r="LF17" s="504">
        <v>0</v>
      </c>
      <c r="LG17" s="504">
        <v>0</v>
      </c>
      <c r="LH17" s="504">
        <v>0</v>
      </c>
      <c r="LI17" s="504">
        <v>0</v>
      </c>
      <c r="LJ17" s="504">
        <v>0</v>
      </c>
      <c r="LK17" s="504">
        <v>0</v>
      </c>
      <c r="LL17" s="504">
        <v>0</v>
      </c>
      <c r="LM17" s="504">
        <v>0</v>
      </c>
      <c r="LN17" s="504">
        <v>0</v>
      </c>
      <c r="LO17" s="504">
        <v>0</v>
      </c>
      <c r="LP17" s="504">
        <v>0</v>
      </c>
      <c r="LQ17" s="504">
        <v>0</v>
      </c>
      <c r="LR17" s="504">
        <v>0</v>
      </c>
      <c r="LS17" s="504">
        <v>0</v>
      </c>
      <c r="LT17" s="504">
        <v>0</v>
      </c>
      <c r="LU17" s="504">
        <v>0</v>
      </c>
      <c r="LV17" s="504">
        <v>0</v>
      </c>
      <c r="LW17" s="504">
        <v>0</v>
      </c>
      <c r="LX17" s="504">
        <v>0</v>
      </c>
      <c r="LY17" s="504">
        <v>0</v>
      </c>
      <c r="LZ17" s="504">
        <v>0</v>
      </c>
      <c r="MA17" s="504">
        <v>0</v>
      </c>
      <c r="MB17" s="504">
        <v>0</v>
      </c>
      <c r="MC17" s="504">
        <v>0</v>
      </c>
      <c r="MD17" s="504">
        <v>0</v>
      </c>
      <c r="ME17" s="504">
        <v>0</v>
      </c>
      <c r="MF17" s="504">
        <v>0</v>
      </c>
      <c r="MG17" s="504">
        <v>0</v>
      </c>
      <c r="MH17" s="504">
        <v>0</v>
      </c>
      <c r="MI17" s="504">
        <v>0</v>
      </c>
      <c r="MJ17" s="504">
        <v>0</v>
      </c>
      <c r="MK17" s="504">
        <v>0</v>
      </c>
      <c r="ML17" s="504">
        <v>0</v>
      </c>
      <c r="MM17" s="504">
        <v>0</v>
      </c>
      <c r="MN17" s="504">
        <v>0</v>
      </c>
      <c r="MO17" s="504">
        <v>0</v>
      </c>
      <c r="MP17" s="504">
        <v>0</v>
      </c>
      <c r="MQ17" s="504">
        <v>0</v>
      </c>
      <c r="MR17" s="504">
        <v>0</v>
      </c>
      <c r="MS17" s="504">
        <v>0</v>
      </c>
      <c r="MT17" s="504">
        <v>0</v>
      </c>
      <c r="MU17" s="504">
        <v>0</v>
      </c>
      <c r="MV17" s="504">
        <v>0</v>
      </c>
      <c r="MW17" s="504">
        <v>0</v>
      </c>
      <c r="MX17" s="504">
        <v>0</v>
      </c>
      <c r="MY17" s="504">
        <v>0</v>
      </c>
      <c r="MZ17" s="504">
        <v>0</v>
      </c>
      <c r="NA17" s="504">
        <v>0</v>
      </c>
      <c r="NB17" s="504">
        <v>0</v>
      </c>
      <c r="NC17" s="504">
        <v>0</v>
      </c>
      <c r="ND17" s="504">
        <v>0</v>
      </c>
      <c r="NE17" s="504">
        <v>0</v>
      </c>
      <c r="NF17" s="504">
        <v>0</v>
      </c>
      <c r="NG17" s="504">
        <v>0</v>
      </c>
      <c r="NH17" s="504">
        <v>0</v>
      </c>
      <c r="NI17" s="504">
        <v>0</v>
      </c>
      <c r="NJ17" s="504">
        <v>0</v>
      </c>
      <c r="NK17" s="504">
        <v>0</v>
      </c>
      <c r="NL17" s="504">
        <v>0</v>
      </c>
      <c r="NM17" s="504">
        <v>0</v>
      </c>
      <c r="NN17" s="504">
        <v>0</v>
      </c>
      <c r="NO17" s="504">
        <v>0</v>
      </c>
      <c r="NP17" s="504">
        <v>0</v>
      </c>
      <c r="NQ17" s="504">
        <v>0</v>
      </c>
      <c r="NR17" s="504">
        <v>0</v>
      </c>
      <c r="NS17" s="504">
        <v>0</v>
      </c>
      <c r="NT17" s="504">
        <v>0</v>
      </c>
      <c r="NU17" s="504">
        <v>0</v>
      </c>
      <c r="NV17" s="504">
        <v>0</v>
      </c>
      <c r="NW17" s="504">
        <v>0</v>
      </c>
      <c r="NX17" s="504">
        <v>0</v>
      </c>
      <c r="NY17" s="504">
        <v>0</v>
      </c>
      <c r="NZ17" s="504">
        <v>0</v>
      </c>
      <c r="OA17" s="504">
        <v>0</v>
      </c>
      <c r="OB17" s="504">
        <v>0</v>
      </c>
      <c r="OC17" s="504">
        <v>0</v>
      </c>
      <c r="OD17" s="504">
        <v>0</v>
      </c>
      <c r="OE17" s="504">
        <v>0</v>
      </c>
      <c r="OF17" s="504">
        <v>0</v>
      </c>
      <c r="OG17" s="504">
        <v>0</v>
      </c>
      <c r="OH17" s="504">
        <v>0</v>
      </c>
      <c r="OI17" s="504">
        <v>0</v>
      </c>
      <c r="OJ17" s="504">
        <v>0</v>
      </c>
      <c r="OK17" s="504">
        <v>0</v>
      </c>
      <c r="OL17" s="504">
        <v>0</v>
      </c>
      <c r="OM17" s="504">
        <v>0</v>
      </c>
      <c r="ON17" s="494"/>
    </row>
    <row r="18" spans="1:404" ht="18.75" customHeight="1" x14ac:dyDescent="0.4">
      <c r="A18" s="355" t="s">
        <v>294</v>
      </c>
      <c r="B18" s="358">
        <v>135</v>
      </c>
      <c r="C18" s="355" t="s">
        <v>60</v>
      </c>
      <c r="D18" s="501">
        <v>16.64</v>
      </c>
      <c r="E18" s="502">
        <v>22269</v>
      </c>
      <c r="F18" s="501">
        <v>16.64</v>
      </c>
      <c r="G18" s="502">
        <v>2814</v>
      </c>
      <c r="H18" s="501">
        <v>16.63</v>
      </c>
      <c r="I18" s="502">
        <v>8961</v>
      </c>
      <c r="J18" s="501">
        <v>16.63</v>
      </c>
      <c r="K18" s="502">
        <v>11100</v>
      </c>
      <c r="V18" s="501"/>
      <c r="W18" s="503"/>
      <c r="X18" s="501"/>
      <c r="Y18" s="503"/>
      <c r="Z18" s="501"/>
      <c r="AA18" s="503"/>
      <c r="AB18" s="495"/>
      <c r="AC18" s="504">
        <v>0</v>
      </c>
      <c r="AD18" s="504">
        <v>0</v>
      </c>
      <c r="AE18" s="504">
        <v>0</v>
      </c>
      <c r="AF18" s="504">
        <v>0</v>
      </c>
      <c r="AG18" s="504">
        <v>0</v>
      </c>
      <c r="AH18" s="504">
        <v>0</v>
      </c>
      <c r="AI18" s="504">
        <v>0</v>
      </c>
      <c r="AJ18" s="504">
        <v>0</v>
      </c>
      <c r="AK18" s="504">
        <v>0</v>
      </c>
      <c r="AL18" s="504">
        <v>0</v>
      </c>
      <c r="AM18" s="504">
        <v>0</v>
      </c>
      <c r="AN18" s="504">
        <v>0</v>
      </c>
      <c r="AO18" s="504">
        <v>0</v>
      </c>
      <c r="AP18" s="504">
        <v>0</v>
      </c>
      <c r="AQ18" s="504">
        <v>0</v>
      </c>
      <c r="AR18" s="504">
        <v>0</v>
      </c>
      <c r="AS18" s="504">
        <v>0</v>
      </c>
      <c r="AT18" s="504">
        <v>0</v>
      </c>
      <c r="AU18" s="504">
        <v>0</v>
      </c>
      <c r="AV18" s="504">
        <v>0</v>
      </c>
      <c r="AW18" s="504">
        <v>0</v>
      </c>
      <c r="AX18" s="504">
        <v>0</v>
      </c>
      <c r="AY18" s="504">
        <v>0</v>
      </c>
      <c r="AZ18" s="504">
        <v>0</v>
      </c>
      <c r="BA18" s="504">
        <v>0</v>
      </c>
      <c r="BB18" s="504">
        <v>0</v>
      </c>
      <c r="BC18" s="504">
        <v>0</v>
      </c>
      <c r="BD18" s="504">
        <v>0</v>
      </c>
      <c r="BE18" s="504">
        <v>0</v>
      </c>
      <c r="BF18" s="504">
        <v>0</v>
      </c>
      <c r="BG18" s="504">
        <v>0</v>
      </c>
      <c r="BH18" s="504">
        <v>0</v>
      </c>
      <c r="BI18" s="504">
        <v>0</v>
      </c>
      <c r="BJ18" s="504">
        <v>0</v>
      </c>
      <c r="BK18" s="504">
        <v>0</v>
      </c>
      <c r="BL18" s="504">
        <v>0</v>
      </c>
      <c r="BM18" s="504">
        <v>0</v>
      </c>
      <c r="BN18" s="504">
        <v>0</v>
      </c>
      <c r="BO18" s="504">
        <v>0</v>
      </c>
      <c r="BP18" s="504">
        <v>0</v>
      </c>
      <c r="BQ18" s="504">
        <v>0</v>
      </c>
      <c r="BR18" s="504">
        <v>0</v>
      </c>
      <c r="BS18" s="504">
        <v>0</v>
      </c>
      <c r="BT18" s="504">
        <v>0</v>
      </c>
      <c r="BU18" s="504">
        <v>0</v>
      </c>
      <c r="BV18" s="504">
        <v>0</v>
      </c>
      <c r="BW18" s="504">
        <v>0</v>
      </c>
      <c r="BX18" s="504">
        <v>0</v>
      </c>
      <c r="BY18" s="504">
        <v>0</v>
      </c>
      <c r="BZ18" s="504">
        <v>0</v>
      </c>
      <c r="CA18" s="504">
        <v>0</v>
      </c>
      <c r="CB18" s="504">
        <v>0</v>
      </c>
      <c r="CC18" s="504">
        <v>0</v>
      </c>
      <c r="CD18" s="504">
        <v>0</v>
      </c>
      <c r="CE18" s="504">
        <v>0</v>
      </c>
      <c r="CF18" s="504">
        <v>0</v>
      </c>
      <c r="CG18" s="504">
        <v>0</v>
      </c>
      <c r="CH18" s="504">
        <v>0</v>
      </c>
      <c r="CI18" s="504">
        <v>0</v>
      </c>
      <c r="CJ18" s="504">
        <v>0</v>
      </c>
      <c r="CK18" s="504">
        <v>0</v>
      </c>
      <c r="CL18" s="504">
        <v>0</v>
      </c>
      <c r="CM18" s="504">
        <v>0</v>
      </c>
      <c r="CN18" s="504">
        <v>0</v>
      </c>
      <c r="CO18" s="504">
        <v>0</v>
      </c>
      <c r="CP18" s="504">
        <v>0</v>
      </c>
      <c r="CQ18" s="504">
        <v>0</v>
      </c>
      <c r="CR18" s="504">
        <v>0</v>
      </c>
      <c r="CS18" s="504">
        <v>0</v>
      </c>
      <c r="CT18" s="504">
        <v>0</v>
      </c>
      <c r="CU18" s="504">
        <v>0</v>
      </c>
      <c r="CV18" s="504">
        <v>0</v>
      </c>
      <c r="CW18" s="504">
        <v>0</v>
      </c>
      <c r="CX18" s="504">
        <v>0</v>
      </c>
      <c r="CY18" s="504">
        <v>0</v>
      </c>
      <c r="CZ18" s="504">
        <v>0</v>
      </c>
      <c r="DA18" s="504">
        <v>0</v>
      </c>
      <c r="DB18" s="504">
        <v>0</v>
      </c>
      <c r="DC18" s="504">
        <v>0</v>
      </c>
      <c r="DD18" s="504">
        <v>0</v>
      </c>
      <c r="DE18" s="504">
        <v>0</v>
      </c>
      <c r="DF18" s="504">
        <v>0</v>
      </c>
      <c r="DG18" s="504">
        <v>0</v>
      </c>
      <c r="DH18" s="504">
        <v>0</v>
      </c>
      <c r="DI18" s="504">
        <v>0</v>
      </c>
      <c r="DJ18" s="504">
        <v>0</v>
      </c>
      <c r="DK18" s="504">
        <v>0</v>
      </c>
      <c r="DL18" s="504">
        <v>0</v>
      </c>
      <c r="DM18" s="504">
        <v>0</v>
      </c>
      <c r="DN18" s="504">
        <v>0</v>
      </c>
      <c r="DO18" s="504">
        <v>0</v>
      </c>
      <c r="DP18" s="504">
        <v>0</v>
      </c>
      <c r="DQ18" s="504">
        <v>0</v>
      </c>
      <c r="DR18" s="504">
        <v>0</v>
      </c>
      <c r="DS18" s="504">
        <v>0</v>
      </c>
      <c r="DT18" s="504">
        <v>0</v>
      </c>
      <c r="DU18" s="504">
        <v>0</v>
      </c>
      <c r="DV18" s="504">
        <v>0</v>
      </c>
      <c r="DW18" s="504">
        <v>0</v>
      </c>
      <c r="DX18" s="504">
        <v>0</v>
      </c>
      <c r="DY18" s="504">
        <v>0</v>
      </c>
      <c r="DZ18" s="504">
        <v>0</v>
      </c>
      <c r="EA18" s="504">
        <v>0</v>
      </c>
      <c r="EB18" s="504">
        <v>0</v>
      </c>
      <c r="EC18" s="504">
        <v>0</v>
      </c>
      <c r="ED18" s="504">
        <v>0</v>
      </c>
      <c r="EE18" s="504">
        <v>0</v>
      </c>
      <c r="EF18" s="504">
        <v>0</v>
      </c>
      <c r="EG18" s="504">
        <v>0</v>
      </c>
      <c r="EH18" s="504">
        <v>0</v>
      </c>
      <c r="EI18" s="504">
        <v>0</v>
      </c>
      <c r="EJ18" s="504">
        <v>0</v>
      </c>
      <c r="EK18" s="504">
        <v>0</v>
      </c>
      <c r="EL18" s="504">
        <v>0</v>
      </c>
      <c r="EM18" s="504">
        <v>0</v>
      </c>
      <c r="EN18" s="504">
        <v>0</v>
      </c>
      <c r="EO18" s="504">
        <v>0</v>
      </c>
      <c r="EP18" s="504">
        <v>0</v>
      </c>
      <c r="EQ18" s="504">
        <v>0</v>
      </c>
      <c r="ER18" s="504">
        <v>0</v>
      </c>
      <c r="ES18" s="504">
        <v>0</v>
      </c>
      <c r="ET18" s="504">
        <v>0</v>
      </c>
      <c r="EU18" s="504">
        <v>0</v>
      </c>
      <c r="EV18" s="504">
        <v>0</v>
      </c>
      <c r="EW18" s="504">
        <v>0</v>
      </c>
      <c r="EX18" s="504">
        <v>0</v>
      </c>
      <c r="EY18" s="504">
        <v>0</v>
      </c>
      <c r="EZ18" s="504">
        <v>0</v>
      </c>
      <c r="FA18" s="504">
        <v>0</v>
      </c>
      <c r="FB18" s="504">
        <v>0</v>
      </c>
      <c r="FC18" s="504">
        <v>0</v>
      </c>
      <c r="FD18" s="504">
        <v>0</v>
      </c>
      <c r="FE18" s="504">
        <v>0</v>
      </c>
      <c r="FF18" s="504">
        <v>0</v>
      </c>
      <c r="FG18" s="504">
        <v>0</v>
      </c>
      <c r="FH18" s="504">
        <v>0</v>
      </c>
      <c r="FI18" s="504">
        <v>0</v>
      </c>
      <c r="FJ18" s="504">
        <v>0</v>
      </c>
      <c r="FK18" s="504">
        <v>0</v>
      </c>
      <c r="FL18" s="504">
        <v>0</v>
      </c>
      <c r="FM18" s="504">
        <v>0</v>
      </c>
      <c r="FN18" s="504">
        <v>0</v>
      </c>
      <c r="FO18" s="504">
        <v>0</v>
      </c>
      <c r="FP18" s="504">
        <v>0</v>
      </c>
      <c r="FQ18" s="504">
        <v>0</v>
      </c>
      <c r="FR18" s="504">
        <v>0</v>
      </c>
      <c r="FS18" s="504">
        <v>0</v>
      </c>
      <c r="FT18" s="504">
        <v>0</v>
      </c>
      <c r="FU18" s="504">
        <v>0</v>
      </c>
      <c r="FV18" s="504">
        <v>0</v>
      </c>
      <c r="FW18" s="504">
        <v>0</v>
      </c>
      <c r="FX18" s="504">
        <v>0</v>
      </c>
      <c r="FY18" s="504">
        <v>0</v>
      </c>
      <c r="FZ18" s="504">
        <v>0</v>
      </c>
      <c r="GA18" s="504">
        <v>0</v>
      </c>
      <c r="GB18" s="504">
        <v>0</v>
      </c>
      <c r="GC18" s="504">
        <v>0</v>
      </c>
      <c r="GD18" s="504">
        <v>0</v>
      </c>
      <c r="GE18" s="504">
        <v>0</v>
      </c>
      <c r="GF18" s="504">
        <v>0</v>
      </c>
      <c r="GG18" s="504">
        <v>0</v>
      </c>
      <c r="GH18" s="504">
        <v>0</v>
      </c>
      <c r="GI18" s="504">
        <v>0</v>
      </c>
      <c r="GJ18" s="504">
        <v>0</v>
      </c>
      <c r="GK18" s="504">
        <v>0</v>
      </c>
      <c r="GL18" s="504">
        <v>0</v>
      </c>
      <c r="GM18" s="504">
        <v>0</v>
      </c>
      <c r="GN18" s="504">
        <v>0</v>
      </c>
      <c r="GO18" s="504">
        <v>0</v>
      </c>
      <c r="GP18" s="504">
        <v>0</v>
      </c>
      <c r="GQ18" s="504">
        <v>0</v>
      </c>
      <c r="GR18" s="504">
        <v>0</v>
      </c>
      <c r="GS18" s="504">
        <v>0</v>
      </c>
      <c r="GT18" s="504">
        <v>0</v>
      </c>
      <c r="GU18" s="504">
        <v>0</v>
      </c>
      <c r="GV18" s="504">
        <v>0</v>
      </c>
      <c r="GW18" s="504">
        <v>0</v>
      </c>
      <c r="GX18" s="504">
        <v>0</v>
      </c>
      <c r="GY18" s="504">
        <v>0</v>
      </c>
      <c r="GZ18" s="504">
        <v>0</v>
      </c>
      <c r="HA18" s="504">
        <v>0</v>
      </c>
      <c r="HB18" s="504">
        <v>0</v>
      </c>
      <c r="HC18" s="504">
        <v>0</v>
      </c>
      <c r="HD18" s="504">
        <v>0</v>
      </c>
      <c r="HE18" s="504">
        <v>0</v>
      </c>
      <c r="HF18" s="504">
        <v>0</v>
      </c>
      <c r="HG18" s="504">
        <v>0</v>
      </c>
      <c r="HH18" s="504">
        <v>0</v>
      </c>
      <c r="HI18" s="504">
        <v>0</v>
      </c>
      <c r="HJ18" s="504">
        <v>0</v>
      </c>
      <c r="HK18" s="504">
        <v>0</v>
      </c>
      <c r="HL18" s="504">
        <v>0</v>
      </c>
      <c r="HM18" s="504">
        <v>0</v>
      </c>
      <c r="HN18" s="504">
        <v>0</v>
      </c>
      <c r="HO18" s="504">
        <v>0</v>
      </c>
      <c r="HP18" s="504">
        <v>0</v>
      </c>
      <c r="HQ18" s="504">
        <v>0</v>
      </c>
      <c r="HR18" s="504">
        <v>0</v>
      </c>
      <c r="HS18" s="504">
        <v>0</v>
      </c>
      <c r="HT18" s="504">
        <v>0</v>
      </c>
      <c r="HU18" s="504">
        <v>0</v>
      </c>
      <c r="HV18" s="504">
        <v>0</v>
      </c>
      <c r="HW18" s="504">
        <v>0</v>
      </c>
      <c r="HX18" s="504">
        <v>0</v>
      </c>
      <c r="HY18" s="504">
        <v>0</v>
      </c>
      <c r="HZ18" s="504">
        <v>0</v>
      </c>
      <c r="IA18" s="504">
        <v>0</v>
      </c>
      <c r="IB18" s="504">
        <v>0</v>
      </c>
      <c r="IC18" s="504">
        <v>0</v>
      </c>
      <c r="ID18" s="504">
        <v>0</v>
      </c>
      <c r="IE18" s="504">
        <v>0</v>
      </c>
      <c r="IF18" s="504">
        <v>0</v>
      </c>
      <c r="IG18" s="504">
        <v>0</v>
      </c>
      <c r="IH18" s="504">
        <v>0</v>
      </c>
      <c r="II18" s="504">
        <v>0</v>
      </c>
      <c r="IJ18" s="504">
        <v>0</v>
      </c>
      <c r="IK18" s="504">
        <v>0</v>
      </c>
      <c r="IL18" s="504">
        <v>0</v>
      </c>
      <c r="IM18" s="504">
        <v>0</v>
      </c>
      <c r="IN18" s="504">
        <v>0</v>
      </c>
      <c r="IO18" s="504">
        <v>0</v>
      </c>
      <c r="IP18" s="504">
        <v>0</v>
      </c>
      <c r="IQ18" s="504">
        <v>0</v>
      </c>
      <c r="IR18" s="504">
        <v>0</v>
      </c>
      <c r="IS18" s="504">
        <v>0</v>
      </c>
      <c r="IT18" s="504">
        <v>0</v>
      </c>
      <c r="IU18" s="504">
        <v>0</v>
      </c>
      <c r="IV18" s="504">
        <v>0</v>
      </c>
      <c r="IW18" s="504">
        <v>0</v>
      </c>
      <c r="IX18" s="504">
        <v>0</v>
      </c>
      <c r="IY18" s="504">
        <v>0</v>
      </c>
      <c r="IZ18" s="504">
        <v>0</v>
      </c>
      <c r="JA18" s="504">
        <v>0</v>
      </c>
      <c r="JB18" s="504">
        <v>0</v>
      </c>
      <c r="JC18" s="504">
        <v>0</v>
      </c>
      <c r="JD18" s="504">
        <v>0</v>
      </c>
      <c r="JE18" s="504">
        <v>0</v>
      </c>
      <c r="JF18" s="504">
        <v>0</v>
      </c>
      <c r="JG18" s="504">
        <v>0</v>
      </c>
      <c r="JH18" s="504">
        <v>0</v>
      </c>
      <c r="JI18" s="504">
        <v>0</v>
      </c>
      <c r="JJ18" s="504">
        <v>0</v>
      </c>
      <c r="JK18" s="504">
        <v>0</v>
      </c>
      <c r="JL18" s="504">
        <v>0</v>
      </c>
      <c r="JM18" s="504">
        <v>0</v>
      </c>
      <c r="JN18" s="504">
        <v>0</v>
      </c>
      <c r="JO18" s="504">
        <v>0</v>
      </c>
      <c r="JP18" s="504">
        <v>0</v>
      </c>
      <c r="JQ18" s="504">
        <v>0</v>
      </c>
      <c r="JR18" s="504">
        <v>0</v>
      </c>
      <c r="JS18" s="504">
        <v>0</v>
      </c>
      <c r="JT18" s="504">
        <v>0</v>
      </c>
      <c r="JU18" s="504">
        <v>0</v>
      </c>
      <c r="JV18" s="504">
        <v>0</v>
      </c>
      <c r="JW18" s="504">
        <v>0</v>
      </c>
      <c r="JX18" s="504">
        <v>0</v>
      </c>
      <c r="JY18" s="504">
        <v>0</v>
      </c>
      <c r="JZ18" s="504">
        <v>0</v>
      </c>
      <c r="KA18" s="504">
        <v>0</v>
      </c>
      <c r="KB18" s="504">
        <v>0</v>
      </c>
      <c r="KC18" s="504">
        <v>0</v>
      </c>
      <c r="KD18" s="504">
        <v>0</v>
      </c>
      <c r="KE18" s="504">
        <v>0</v>
      </c>
      <c r="KF18" s="504">
        <v>0</v>
      </c>
      <c r="KG18" s="504">
        <v>0</v>
      </c>
      <c r="KH18" s="504">
        <v>0</v>
      </c>
      <c r="KI18" s="504">
        <v>0</v>
      </c>
      <c r="KJ18" s="504">
        <v>0</v>
      </c>
      <c r="KK18" s="504">
        <v>0</v>
      </c>
      <c r="KL18" s="504">
        <v>0</v>
      </c>
      <c r="KM18" s="504">
        <v>0</v>
      </c>
      <c r="KN18" s="504">
        <v>0</v>
      </c>
      <c r="KO18" s="504">
        <v>0</v>
      </c>
      <c r="KP18" s="504">
        <v>0</v>
      </c>
      <c r="KQ18" s="504">
        <v>0</v>
      </c>
      <c r="KR18" s="504">
        <v>0</v>
      </c>
      <c r="KS18" s="504">
        <v>0</v>
      </c>
      <c r="KT18" s="504">
        <v>0</v>
      </c>
      <c r="KU18" s="504">
        <v>0</v>
      </c>
      <c r="KV18" s="504">
        <v>0</v>
      </c>
      <c r="KW18" s="504">
        <v>0</v>
      </c>
      <c r="KX18" s="504">
        <v>0</v>
      </c>
      <c r="KY18" s="504">
        <v>0</v>
      </c>
      <c r="KZ18" s="504">
        <v>0</v>
      </c>
      <c r="LA18" s="504">
        <v>0</v>
      </c>
      <c r="LB18" s="504">
        <v>0</v>
      </c>
      <c r="LC18" s="504">
        <v>0</v>
      </c>
      <c r="LD18" s="504">
        <v>0</v>
      </c>
      <c r="LE18" s="504">
        <v>0</v>
      </c>
      <c r="LF18" s="504">
        <v>0</v>
      </c>
      <c r="LG18" s="504">
        <v>0</v>
      </c>
      <c r="LH18" s="504">
        <v>0</v>
      </c>
      <c r="LI18" s="504">
        <v>0</v>
      </c>
      <c r="LJ18" s="504">
        <v>0</v>
      </c>
      <c r="LK18" s="504">
        <v>0</v>
      </c>
      <c r="LL18" s="504">
        <v>0</v>
      </c>
      <c r="LM18" s="504">
        <v>0</v>
      </c>
      <c r="LN18" s="504">
        <v>0</v>
      </c>
      <c r="LO18" s="504">
        <v>0</v>
      </c>
      <c r="LP18" s="504">
        <v>0</v>
      </c>
      <c r="LQ18" s="504">
        <v>0</v>
      </c>
      <c r="LR18" s="504">
        <v>0</v>
      </c>
      <c r="LS18" s="504">
        <v>0</v>
      </c>
      <c r="LT18" s="504">
        <v>0</v>
      </c>
      <c r="LU18" s="504">
        <v>0</v>
      </c>
      <c r="LV18" s="504">
        <v>0</v>
      </c>
      <c r="LW18" s="504">
        <v>0</v>
      </c>
      <c r="LX18" s="504">
        <v>0</v>
      </c>
      <c r="LY18" s="504">
        <v>0</v>
      </c>
      <c r="LZ18" s="504">
        <v>0</v>
      </c>
      <c r="MA18" s="504">
        <v>0</v>
      </c>
      <c r="MB18" s="504">
        <v>0</v>
      </c>
      <c r="MC18" s="504">
        <v>0</v>
      </c>
      <c r="MD18" s="504">
        <v>0</v>
      </c>
      <c r="ME18" s="504">
        <v>0</v>
      </c>
      <c r="MF18" s="504">
        <v>0</v>
      </c>
      <c r="MG18" s="504">
        <v>0</v>
      </c>
      <c r="MH18" s="504">
        <v>0</v>
      </c>
      <c r="MI18" s="504">
        <v>0</v>
      </c>
      <c r="MJ18" s="504">
        <v>0</v>
      </c>
      <c r="MK18" s="504">
        <v>0</v>
      </c>
      <c r="ML18" s="504">
        <v>0</v>
      </c>
      <c r="MM18" s="504">
        <v>0</v>
      </c>
      <c r="MN18" s="504">
        <v>0</v>
      </c>
      <c r="MO18" s="504">
        <v>0</v>
      </c>
      <c r="MP18" s="504">
        <v>0</v>
      </c>
      <c r="MQ18" s="504">
        <v>0</v>
      </c>
      <c r="MR18" s="504">
        <v>0</v>
      </c>
      <c r="MS18" s="504">
        <v>0</v>
      </c>
      <c r="MT18" s="504">
        <v>0</v>
      </c>
      <c r="MU18" s="504">
        <v>0</v>
      </c>
      <c r="MV18" s="504">
        <v>0</v>
      </c>
      <c r="MW18" s="504">
        <v>0</v>
      </c>
      <c r="MX18" s="504">
        <v>0</v>
      </c>
      <c r="MY18" s="504">
        <v>0</v>
      </c>
      <c r="MZ18" s="504">
        <v>0</v>
      </c>
      <c r="NA18" s="504">
        <v>0</v>
      </c>
      <c r="NB18" s="504">
        <v>0</v>
      </c>
      <c r="NC18" s="504">
        <v>0</v>
      </c>
      <c r="ND18" s="504">
        <v>0</v>
      </c>
      <c r="NE18" s="504">
        <v>0</v>
      </c>
      <c r="NF18" s="504">
        <v>0</v>
      </c>
      <c r="NG18" s="504">
        <v>0</v>
      </c>
      <c r="NH18" s="504">
        <v>0</v>
      </c>
      <c r="NI18" s="504">
        <v>0</v>
      </c>
      <c r="NJ18" s="504">
        <v>0</v>
      </c>
      <c r="NK18" s="504">
        <v>0</v>
      </c>
      <c r="NL18" s="504">
        <v>0</v>
      </c>
      <c r="NM18" s="504">
        <v>0</v>
      </c>
      <c r="NN18" s="504">
        <v>0</v>
      </c>
      <c r="NO18" s="504">
        <v>0</v>
      </c>
      <c r="NP18" s="504">
        <v>0</v>
      </c>
      <c r="NQ18" s="504">
        <v>0</v>
      </c>
      <c r="NR18" s="504">
        <v>0</v>
      </c>
      <c r="NS18" s="504">
        <v>0</v>
      </c>
      <c r="NT18" s="504">
        <v>0</v>
      </c>
      <c r="NU18" s="504">
        <v>0</v>
      </c>
      <c r="NV18" s="504">
        <v>0</v>
      </c>
      <c r="NW18" s="504">
        <v>0</v>
      </c>
      <c r="NX18" s="504">
        <v>0</v>
      </c>
      <c r="NY18" s="504">
        <v>0</v>
      </c>
      <c r="NZ18" s="504">
        <v>0</v>
      </c>
      <c r="OA18" s="504">
        <v>0</v>
      </c>
      <c r="OB18" s="504">
        <v>0</v>
      </c>
      <c r="OC18" s="504">
        <v>0</v>
      </c>
      <c r="OD18" s="504">
        <v>0</v>
      </c>
      <c r="OE18" s="504">
        <v>0</v>
      </c>
      <c r="OF18" s="504">
        <v>0</v>
      </c>
      <c r="OG18" s="504">
        <v>0</v>
      </c>
      <c r="OH18" s="504">
        <v>0</v>
      </c>
      <c r="OI18" s="504">
        <v>0</v>
      </c>
      <c r="OJ18" s="504">
        <v>0</v>
      </c>
      <c r="OK18" s="504">
        <v>0</v>
      </c>
      <c r="OL18" s="504">
        <v>0</v>
      </c>
      <c r="OM18" s="504">
        <v>0</v>
      </c>
      <c r="ON18" s="494"/>
    </row>
    <row r="19" spans="1:404" ht="18.75" customHeight="1" x14ac:dyDescent="0.4">
      <c r="A19" s="355" t="s">
        <v>295</v>
      </c>
      <c r="B19" s="358">
        <v>179</v>
      </c>
      <c r="C19" s="355" t="s">
        <v>60</v>
      </c>
      <c r="D19" s="501">
        <v>18.600000000000001</v>
      </c>
      <c r="E19" s="502">
        <v>29641</v>
      </c>
      <c r="F19" s="501">
        <v>18.600000000000001</v>
      </c>
      <c r="G19" s="502">
        <v>7857</v>
      </c>
      <c r="H19" s="501">
        <v>18.600000000000001</v>
      </c>
      <c r="I19" s="502">
        <v>24363</v>
      </c>
      <c r="J19" s="501">
        <v>18.600000000000001</v>
      </c>
      <c r="K19" s="502">
        <v>28287</v>
      </c>
      <c r="V19" s="501"/>
      <c r="W19" s="503"/>
      <c r="X19" s="501"/>
      <c r="Y19" s="503"/>
      <c r="Z19" s="501"/>
      <c r="AA19" s="503"/>
      <c r="AB19" s="495"/>
      <c r="AC19" s="504">
        <v>0</v>
      </c>
      <c r="AD19" s="504">
        <v>0</v>
      </c>
      <c r="AE19" s="504">
        <v>0</v>
      </c>
      <c r="AF19" s="504">
        <v>0</v>
      </c>
      <c r="AG19" s="504">
        <v>0</v>
      </c>
      <c r="AH19" s="504">
        <v>0</v>
      </c>
      <c r="AI19" s="504">
        <v>0</v>
      </c>
      <c r="AJ19" s="504">
        <v>0</v>
      </c>
      <c r="AK19" s="504">
        <v>0</v>
      </c>
      <c r="AL19" s="504">
        <v>0</v>
      </c>
      <c r="AM19" s="504">
        <v>0</v>
      </c>
      <c r="AN19" s="504">
        <v>0</v>
      </c>
      <c r="AO19" s="504">
        <v>0</v>
      </c>
      <c r="AP19" s="504">
        <v>0</v>
      </c>
      <c r="AQ19" s="504">
        <v>0</v>
      </c>
      <c r="AR19" s="504">
        <v>0</v>
      </c>
      <c r="AS19" s="504">
        <v>0</v>
      </c>
      <c r="AT19" s="504">
        <v>0</v>
      </c>
      <c r="AU19" s="504">
        <v>0</v>
      </c>
      <c r="AV19" s="504">
        <v>0</v>
      </c>
      <c r="AW19" s="504">
        <v>0</v>
      </c>
      <c r="AX19" s="504">
        <v>0</v>
      </c>
      <c r="AY19" s="504">
        <v>0</v>
      </c>
      <c r="AZ19" s="504">
        <v>0</v>
      </c>
      <c r="BA19" s="504">
        <v>0</v>
      </c>
      <c r="BB19" s="504">
        <v>0</v>
      </c>
      <c r="BC19" s="504">
        <v>0</v>
      </c>
      <c r="BD19" s="504">
        <v>0</v>
      </c>
      <c r="BE19" s="504">
        <v>0</v>
      </c>
      <c r="BF19" s="504">
        <v>0</v>
      </c>
      <c r="BG19" s="504">
        <v>0</v>
      </c>
      <c r="BH19" s="504">
        <v>0</v>
      </c>
      <c r="BI19" s="504">
        <v>0</v>
      </c>
      <c r="BJ19" s="504">
        <v>0</v>
      </c>
      <c r="BK19" s="504">
        <v>0</v>
      </c>
      <c r="BL19" s="504">
        <v>0</v>
      </c>
      <c r="BM19" s="504">
        <v>0</v>
      </c>
      <c r="BN19" s="504">
        <v>0</v>
      </c>
      <c r="BO19" s="504">
        <v>0</v>
      </c>
      <c r="BP19" s="504">
        <v>0</v>
      </c>
      <c r="BQ19" s="504">
        <v>0</v>
      </c>
      <c r="BR19" s="504">
        <v>0</v>
      </c>
      <c r="BS19" s="504">
        <v>0</v>
      </c>
      <c r="BT19" s="504">
        <v>0</v>
      </c>
      <c r="BU19" s="504">
        <v>0</v>
      </c>
      <c r="BV19" s="504">
        <v>0</v>
      </c>
      <c r="BW19" s="504">
        <v>0</v>
      </c>
      <c r="BX19" s="504">
        <v>0</v>
      </c>
      <c r="BY19" s="504">
        <v>0</v>
      </c>
      <c r="BZ19" s="504">
        <v>0</v>
      </c>
      <c r="CA19" s="504">
        <v>0</v>
      </c>
      <c r="CB19" s="504">
        <v>0</v>
      </c>
      <c r="CC19" s="504">
        <v>0</v>
      </c>
      <c r="CD19" s="504">
        <v>0</v>
      </c>
      <c r="CE19" s="504">
        <v>0</v>
      </c>
      <c r="CF19" s="504">
        <v>0</v>
      </c>
      <c r="CG19" s="504">
        <v>0</v>
      </c>
      <c r="CH19" s="504">
        <v>0</v>
      </c>
      <c r="CI19" s="504">
        <v>0</v>
      </c>
      <c r="CJ19" s="504">
        <v>0</v>
      </c>
      <c r="CK19" s="504">
        <v>0</v>
      </c>
      <c r="CL19" s="504">
        <v>0</v>
      </c>
      <c r="CM19" s="504">
        <v>0</v>
      </c>
      <c r="CN19" s="504">
        <v>0</v>
      </c>
      <c r="CO19" s="504">
        <v>0</v>
      </c>
      <c r="CP19" s="504">
        <v>0</v>
      </c>
      <c r="CQ19" s="504">
        <v>0</v>
      </c>
      <c r="CR19" s="504">
        <v>0</v>
      </c>
      <c r="CS19" s="504">
        <v>0</v>
      </c>
      <c r="CT19" s="504">
        <v>0</v>
      </c>
      <c r="CU19" s="504">
        <v>0</v>
      </c>
      <c r="CV19" s="504">
        <v>0</v>
      </c>
      <c r="CW19" s="504">
        <v>0</v>
      </c>
      <c r="CX19" s="504">
        <v>0</v>
      </c>
      <c r="CY19" s="504">
        <v>0</v>
      </c>
      <c r="CZ19" s="504">
        <v>0</v>
      </c>
      <c r="DA19" s="504">
        <v>0</v>
      </c>
      <c r="DB19" s="504">
        <v>0</v>
      </c>
      <c r="DC19" s="504">
        <v>0</v>
      </c>
      <c r="DD19" s="504">
        <v>0</v>
      </c>
      <c r="DE19" s="504">
        <v>0</v>
      </c>
      <c r="DF19" s="504">
        <v>0</v>
      </c>
      <c r="DG19" s="504">
        <v>0</v>
      </c>
      <c r="DH19" s="504">
        <v>0</v>
      </c>
      <c r="DI19" s="504">
        <v>0</v>
      </c>
      <c r="DJ19" s="504">
        <v>0</v>
      </c>
      <c r="DK19" s="504">
        <v>0</v>
      </c>
      <c r="DL19" s="504">
        <v>0</v>
      </c>
      <c r="DM19" s="504">
        <v>0</v>
      </c>
      <c r="DN19" s="504">
        <v>0</v>
      </c>
      <c r="DO19" s="504">
        <v>0</v>
      </c>
      <c r="DP19" s="504">
        <v>0</v>
      </c>
      <c r="DQ19" s="504">
        <v>0</v>
      </c>
      <c r="DR19" s="504">
        <v>0</v>
      </c>
      <c r="DS19" s="504">
        <v>0</v>
      </c>
      <c r="DT19" s="504">
        <v>0</v>
      </c>
      <c r="DU19" s="504">
        <v>0</v>
      </c>
      <c r="DV19" s="504">
        <v>0</v>
      </c>
      <c r="DW19" s="504">
        <v>0</v>
      </c>
      <c r="DX19" s="504">
        <v>0</v>
      </c>
      <c r="DY19" s="504">
        <v>0</v>
      </c>
      <c r="DZ19" s="504">
        <v>0</v>
      </c>
      <c r="EA19" s="504">
        <v>0</v>
      </c>
      <c r="EB19" s="504">
        <v>0</v>
      </c>
      <c r="EC19" s="504">
        <v>0</v>
      </c>
      <c r="ED19" s="504">
        <v>0</v>
      </c>
      <c r="EE19" s="504">
        <v>0</v>
      </c>
      <c r="EF19" s="504">
        <v>0</v>
      </c>
      <c r="EG19" s="504">
        <v>0</v>
      </c>
      <c r="EH19" s="504">
        <v>0</v>
      </c>
      <c r="EI19" s="504">
        <v>0</v>
      </c>
      <c r="EJ19" s="504">
        <v>0</v>
      </c>
      <c r="EK19" s="504">
        <v>0</v>
      </c>
      <c r="EL19" s="504">
        <v>0</v>
      </c>
      <c r="EM19" s="504">
        <v>0</v>
      </c>
      <c r="EN19" s="504">
        <v>0</v>
      </c>
      <c r="EO19" s="504">
        <v>0</v>
      </c>
      <c r="EP19" s="504">
        <v>0</v>
      </c>
      <c r="EQ19" s="504">
        <v>0</v>
      </c>
      <c r="ER19" s="504">
        <v>0</v>
      </c>
      <c r="ES19" s="504">
        <v>0</v>
      </c>
      <c r="ET19" s="504">
        <v>0</v>
      </c>
      <c r="EU19" s="504">
        <v>0</v>
      </c>
      <c r="EV19" s="504">
        <v>0</v>
      </c>
      <c r="EW19" s="504">
        <v>0</v>
      </c>
      <c r="EX19" s="504">
        <v>0</v>
      </c>
      <c r="EY19" s="504">
        <v>0</v>
      </c>
      <c r="EZ19" s="504">
        <v>0</v>
      </c>
      <c r="FA19" s="504">
        <v>0</v>
      </c>
      <c r="FB19" s="504">
        <v>0</v>
      </c>
      <c r="FC19" s="504">
        <v>0</v>
      </c>
      <c r="FD19" s="504">
        <v>0</v>
      </c>
      <c r="FE19" s="504">
        <v>0</v>
      </c>
      <c r="FF19" s="504">
        <v>0</v>
      </c>
      <c r="FG19" s="504">
        <v>0</v>
      </c>
      <c r="FH19" s="504">
        <v>0</v>
      </c>
      <c r="FI19" s="504">
        <v>0</v>
      </c>
      <c r="FJ19" s="504">
        <v>0</v>
      </c>
      <c r="FK19" s="504">
        <v>0</v>
      </c>
      <c r="FL19" s="504">
        <v>0</v>
      </c>
      <c r="FM19" s="504">
        <v>0</v>
      </c>
      <c r="FN19" s="504">
        <v>0</v>
      </c>
      <c r="FO19" s="504">
        <v>0</v>
      </c>
      <c r="FP19" s="504">
        <v>0</v>
      </c>
      <c r="FQ19" s="504">
        <v>0</v>
      </c>
      <c r="FR19" s="504">
        <v>0</v>
      </c>
      <c r="FS19" s="504">
        <v>0</v>
      </c>
      <c r="FT19" s="504">
        <v>0</v>
      </c>
      <c r="FU19" s="504">
        <v>0</v>
      </c>
      <c r="FV19" s="504">
        <v>0</v>
      </c>
      <c r="FW19" s="504">
        <v>0</v>
      </c>
      <c r="FX19" s="504">
        <v>0</v>
      </c>
      <c r="FY19" s="504">
        <v>0</v>
      </c>
      <c r="FZ19" s="504">
        <v>0</v>
      </c>
      <c r="GA19" s="504">
        <v>0</v>
      </c>
      <c r="GB19" s="504">
        <v>0</v>
      </c>
      <c r="GC19" s="504">
        <v>0</v>
      </c>
      <c r="GD19" s="504">
        <v>0</v>
      </c>
      <c r="GE19" s="504">
        <v>0</v>
      </c>
      <c r="GF19" s="504">
        <v>0</v>
      </c>
      <c r="GG19" s="504">
        <v>0</v>
      </c>
      <c r="GH19" s="504">
        <v>0</v>
      </c>
      <c r="GI19" s="504">
        <v>0</v>
      </c>
      <c r="GJ19" s="504">
        <v>0</v>
      </c>
      <c r="GK19" s="504">
        <v>0</v>
      </c>
      <c r="GL19" s="504">
        <v>0</v>
      </c>
      <c r="GM19" s="504">
        <v>0</v>
      </c>
      <c r="GN19" s="504">
        <v>0</v>
      </c>
      <c r="GO19" s="504">
        <v>0</v>
      </c>
      <c r="GP19" s="504">
        <v>0</v>
      </c>
      <c r="GQ19" s="504">
        <v>0</v>
      </c>
      <c r="GR19" s="504">
        <v>0</v>
      </c>
      <c r="GS19" s="504">
        <v>0</v>
      </c>
      <c r="GT19" s="504">
        <v>0</v>
      </c>
      <c r="GU19" s="504">
        <v>0</v>
      </c>
      <c r="GV19" s="504">
        <v>0</v>
      </c>
      <c r="GW19" s="504">
        <v>0</v>
      </c>
      <c r="GX19" s="504">
        <v>0</v>
      </c>
      <c r="GY19" s="504">
        <v>0</v>
      </c>
      <c r="GZ19" s="504">
        <v>0</v>
      </c>
      <c r="HA19" s="504">
        <v>0</v>
      </c>
      <c r="HB19" s="504">
        <v>0</v>
      </c>
      <c r="HC19" s="504">
        <v>0</v>
      </c>
      <c r="HD19" s="504">
        <v>0</v>
      </c>
      <c r="HE19" s="504">
        <v>0</v>
      </c>
      <c r="HF19" s="504">
        <v>0</v>
      </c>
      <c r="HG19" s="504">
        <v>0</v>
      </c>
      <c r="HH19" s="504">
        <v>0</v>
      </c>
      <c r="HI19" s="504">
        <v>0</v>
      </c>
      <c r="HJ19" s="504">
        <v>0</v>
      </c>
      <c r="HK19" s="504">
        <v>0</v>
      </c>
      <c r="HL19" s="504">
        <v>0</v>
      </c>
      <c r="HM19" s="504">
        <v>0</v>
      </c>
      <c r="HN19" s="504">
        <v>0</v>
      </c>
      <c r="HO19" s="504">
        <v>0</v>
      </c>
      <c r="HP19" s="504">
        <v>0</v>
      </c>
      <c r="HQ19" s="504">
        <v>0</v>
      </c>
      <c r="HR19" s="504">
        <v>0</v>
      </c>
      <c r="HS19" s="504">
        <v>0</v>
      </c>
      <c r="HT19" s="504">
        <v>0</v>
      </c>
      <c r="HU19" s="504">
        <v>0</v>
      </c>
      <c r="HV19" s="504">
        <v>0</v>
      </c>
      <c r="HW19" s="504">
        <v>0</v>
      </c>
      <c r="HX19" s="504">
        <v>0</v>
      </c>
      <c r="HY19" s="504">
        <v>0</v>
      </c>
      <c r="HZ19" s="504">
        <v>0</v>
      </c>
      <c r="IA19" s="504">
        <v>0</v>
      </c>
      <c r="IB19" s="504">
        <v>0</v>
      </c>
      <c r="IC19" s="504">
        <v>0</v>
      </c>
      <c r="ID19" s="504">
        <v>0</v>
      </c>
      <c r="IE19" s="504">
        <v>0</v>
      </c>
      <c r="IF19" s="504">
        <v>0</v>
      </c>
      <c r="IG19" s="504">
        <v>0</v>
      </c>
      <c r="IH19" s="504">
        <v>0</v>
      </c>
      <c r="II19" s="504">
        <v>0</v>
      </c>
      <c r="IJ19" s="504">
        <v>0</v>
      </c>
      <c r="IK19" s="504">
        <v>0</v>
      </c>
      <c r="IL19" s="504">
        <v>0</v>
      </c>
      <c r="IM19" s="504">
        <v>0</v>
      </c>
      <c r="IN19" s="504">
        <v>0</v>
      </c>
      <c r="IO19" s="504">
        <v>0</v>
      </c>
      <c r="IP19" s="504">
        <v>0</v>
      </c>
      <c r="IQ19" s="504">
        <v>0</v>
      </c>
      <c r="IR19" s="504">
        <v>0</v>
      </c>
      <c r="IS19" s="504">
        <v>0</v>
      </c>
      <c r="IT19" s="504">
        <v>0</v>
      </c>
      <c r="IU19" s="504">
        <v>0</v>
      </c>
      <c r="IV19" s="504">
        <v>0</v>
      </c>
      <c r="IW19" s="504">
        <v>0</v>
      </c>
      <c r="IX19" s="504">
        <v>0</v>
      </c>
      <c r="IY19" s="504">
        <v>0</v>
      </c>
      <c r="IZ19" s="504">
        <v>0</v>
      </c>
      <c r="JA19" s="504">
        <v>0</v>
      </c>
      <c r="JB19" s="504">
        <v>0</v>
      </c>
      <c r="JC19" s="504">
        <v>0</v>
      </c>
      <c r="JD19" s="504">
        <v>0</v>
      </c>
      <c r="JE19" s="504">
        <v>0</v>
      </c>
      <c r="JF19" s="504">
        <v>0</v>
      </c>
      <c r="JG19" s="504">
        <v>0</v>
      </c>
      <c r="JH19" s="504">
        <v>0</v>
      </c>
      <c r="JI19" s="504">
        <v>0</v>
      </c>
      <c r="JJ19" s="504">
        <v>0</v>
      </c>
      <c r="JK19" s="504">
        <v>0</v>
      </c>
      <c r="JL19" s="504">
        <v>0</v>
      </c>
      <c r="JM19" s="504">
        <v>0</v>
      </c>
      <c r="JN19" s="504">
        <v>0</v>
      </c>
      <c r="JO19" s="504">
        <v>0</v>
      </c>
      <c r="JP19" s="504">
        <v>0</v>
      </c>
      <c r="JQ19" s="504">
        <v>0</v>
      </c>
      <c r="JR19" s="504">
        <v>0</v>
      </c>
      <c r="JS19" s="504">
        <v>0</v>
      </c>
      <c r="JT19" s="504">
        <v>0</v>
      </c>
      <c r="JU19" s="504">
        <v>0</v>
      </c>
      <c r="JV19" s="504">
        <v>0</v>
      </c>
      <c r="JW19" s="504">
        <v>0</v>
      </c>
      <c r="JX19" s="504">
        <v>0</v>
      </c>
      <c r="JY19" s="504">
        <v>0</v>
      </c>
      <c r="JZ19" s="504">
        <v>0</v>
      </c>
      <c r="KA19" s="504">
        <v>0</v>
      </c>
      <c r="KB19" s="504">
        <v>0</v>
      </c>
      <c r="KC19" s="504">
        <v>0</v>
      </c>
      <c r="KD19" s="504">
        <v>0</v>
      </c>
      <c r="KE19" s="504">
        <v>0</v>
      </c>
      <c r="KF19" s="504">
        <v>0</v>
      </c>
      <c r="KG19" s="504">
        <v>0</v>
      </c>
      <c r="KH19" s="504">
        <v>0</v>
      </c>
      <c r="KI19" s="504">
        <v>0</v>
      </c>
      <c r="KJ19" s="504">
        <v>0</v>
      </c>
      <c r="KK19" s="504">
        <v>0</v>
      </c>
      <c r="KL19" s="504">
        <v>0</v>
      </c>
      <c r="KM19" s="504">
        <v>0</v>
      </c>
      <c r="KN19" s="504">
        <v>0</v>
      </c>
      <c r="KO19" s="504">
        <v>0</v>
      </c>
      <c r="KP19" s="504">
        <v>0</v>
      </c>
      <c r="KQ19" s="504">
        <v>0</v>
      </c>
      <c r="KR19" s="504">
        <v>0</v>
      </c>
      <c r="KS19" s="504">
        <v>0</v>
      </c>
      <c r="KT19" s="504">
        <v>0</v>
      </c>
      <c r="KU19" s="504">
        <v>0</v>
      </c>
      <c r="KV19" s="504">
        <v>0</v>
      </c>
      <c r="KW19" s="504">
        <v>0</v>
      </c>
      <c r="KX19" s="504">
        <v>0</v>
      </c>
      <c r="KY19" s="504">
        <v>0</v>
      </c>
      <c r="KZ19" s="504">
        <v>0</v>
      </c>
      <c r="LA19" s="504">
        <v>0</v>
      </c>
      <c r="LB19" s="504">
        <v>0</v>
      </c>
      <c r="LC19" s="504">
        <v>0</v>
      </c>
      <c r="LD19" s="504">
        <v>0</v>
      </c>
      <c r="LE19" s="504">
        <v>0</v>
      </c>
      <c r="LF19" s="504">
        <v>0</v>
      </c>
      <c r="LG19" s="504">
        <v>0</v>
      </c>
      <c r="LH19" s="504">
        <v>0</v>
      </c>
      <c r="LI19" s="504">
        <v>0</v>
      </c>
      <c r="LJ19" s="504">
        <v>0</v>
      </c>
      <c r="LK19" s="504">
        <v>0</v>
      </c>
      <c r="LL19" s="504">
        <v>0</v>
      </c>
      <c r="LM19" s="504">
        <v>0</v>
      </c>
      <c r="LN19" s="504">
        <v>0</v>
      </c>
      <c r="LO19" s="504">
        <v>0</v>
      </c>
      <c r="LP19" s="504">
        <v>0</v>
      </c>
      <c r="LQ19" s="504">
        <v>0</v>
      </c>
      <c r="LR19" s="504">
        <v>0</v>
      </c>
      <c r="LS19" s="504">
        <v>0</v>
      </c>
      <c r="LT19" s="504">
        <v>0</v>
      </c>
      <c r="LU19" s="504">
        <v>0</v>
      </c>
      <c r="LV19" s="504">
        <v>0</v>
      </c>
      <c r="LW19" s="504">
        <v>0</v>
      </c>
      <c r="LX19" s="504">
        <v>0</v>
      </c>
      <c r="LY19" s="504">
        <v>0</v>
      </c>
      <c r="LZ19" s="504">
        <v>0</v>
      </c>
      <c r="MA19" s="504">
        <v>0</v>
      </c>
      <c r="MB19" s="504">
        <v>0</v>
      </c>
      <c r="MC19" s="504">
        <v>0</v>
      </c>
      <c r="MD19" s="504">
        <v>0</v>
      </c>
      <c r="ME19" s="504">
        <v>0</v>
      </c>
      <c r="MF19" s="504">
        <v>0</v>
      </c>
      <c r="MG19" s="504">
        <v>0</v>
      </c>
      <c r="MH19" s="504">
        <v>0</v>
      </c>
      <c r="MI19" s="504">
        <v>0</v>
      </c>
      <c r="MJ19" s="504">
        <v>0</v>
      </c>
      <c r="MK19" s="504">
        <v>0</v>
      </c>
      <c r="ML19" s="504">
        <v>0</v>
      </c>
      <c r="MM19" s="504">
        <v>0</v>
      </c>
      <c r="MN19" s="504">
        <v>0</v>
      </c>
      <c r="MO19" s="504">
        <v>0</v>
      </c>
      <c r="MP19" s="504">
        <v>0</v>
      </c>
      <c r="MQ19" s="504">
        <v>0</v>
      </c>
      <c r="MR19" s="504">
        <v>0</v>
      </c>
      <c r="MS19" s="504">
        <v>0</v>
      </c>
      <c r="MT19" s="504">
        <v>0</v>
      </c>
      <c r="MU19" s="504">
        <v>0</v>
      </c>
      <c r="MV19" s="504">
        <v>0</v>
      </c>
      <c r="MW19" s="504">
        <v>0</v>
      </c>
      <c r="MX19" s="504">
        <v>0</v>
      </c>
      <c r="MY19" s="504">
        <v>0</v>
      </c>
      <c r="MZ19" s="504">
        <v>0</v>
      </c>
      <c r="NA19" s="504">
        <v>0</v>
      </c>
      <c r="NB19" s="504">
        <v>0</v>
      </c>
      <c r="NC19" s="504">
        <v>0</v>
      </c>
      <c r="ND19" s="504">
        <v>0</v>
      </c>
      <c r="NE19" s="504">
        <v>0</v>
      </c>
      <c r="NF19" s="504">
        <v>0</v>
      </c>
      <c r="NG19" s="504">
        <v>0</v>
      </c>
      <c r="NH19" s="504">
        <v>0</v>
      </c>
      <c r="NI19" s="504">
        <v>0</v>
      </c>
      <c r="NJ19" s="504">
        <v>0</v>
      </c>
      <c r="NK19" s="504">
        <v>0</v>
      </c>
      <c r="NL19" s="504">
        <v>0</v>
      </c>
      <c r="NM19" s="504">
        <v>0</v>
      </c>
      <c r="NN19" s="504">
        <v>0</v>
      </c>
      <c r="NO19" s="504">
        <v>0</v>
      </c>
      <c r="NP19" s="504">
        <v>0</v>
      </c>
      <c r="NQ19" s="504">
        <v>0</v>
      </c>
      <c r="NR19" s="504">
        <v>0</v>
      </c>
      <c r="NS19" s="504">
        <v>0</v>
      </c>
      <c r="NT19" s="504">
        <v>0</v>
      </c>
      <c r="NU19" s="504">
        <v>0</v>
      </c>
      <c r="NV19" s="504">
        <v>0</v>
      </c>
      <c r="NW19" s="504">
        <v>0</v>
      </c>
      <c r="NX19" s="504">
        <v>0</v>
      </c>
      <c r="NY19" s="504">
        <v>0</v>
      </c>
      <c r="NZ19" s="504">
        <v>0</v>
      </c>
      <c r="OA19" s="504">
        <v>0</v>
      </c>
      <c r="OB19" s="504">
        <v>0</v>
      </c>
      <c r="OC19" s="504">
        <v>0</v>
      </c>
      <c r="OD19" s="504">
        <v>0</v>
      </c>
      <c r="OE19" s="504">
        <v>0</v>
      </c>
      <c r="OF19" s="504">
        <v>0</v>
      </c>
      <c r="OG19" s="504">
        <v>0</v>
      </c>
      <c r="OH19" s="504">
        <v>0</v>
      </c>
      <c r="OI19" s="504">
        <v>0</v>
      </c>
      <c r="OJ19" s="504">
        <v>0</v>
      </c>
      <c r="OK19" s="504">
        <v>0</v>
      </c>
      <c r="OL19" s="504">
        <v>0</v>
      </c>
      <c r="OM19" s="504">
        <v>0</v>
      </c>
      <c r="ON19" s="494"/>
    </row>
    <row r="20" spans="1:404" ht="18.75" customHeight="1" x14ac:dyDescent="0.4">
      <c r="A20" s="355" t="s">
        <v>296</v>
      </c>
      <c r="B20" s="358">
        <v>180</v>
      </c>
      <c r="C20" s="355" t="s">
        <v>60</v>
      </c>
      <c r="D20" s="501">
        <v>19.03</v>
      </c>
      <c r="E20" s="502">
        <v>9980</v>
      </c>
      <c r="F20" s="501">
        <v>18.97</v>
      </c>
      <c r="G20" s="502">
        <v>1031</v>
      </c>
      <c r="H20" s="501">
        <v>18.97</v>
      </c>
      <c r="I20" s="502">
        <v>2994</v>
      </c>
      <c r="J20" s="501">
        <v>18.97</v>
      </c>
      <c r="K20" s="502">
        <v>3510</v>
      </c>
      <c r="V20" s="501"/>
      <c r="W20" s="503"/>
      <c r="X20" s="501"/>
      <c r="Y20" s="503"/>
      <c r="Z20" s="501"/>
      <c r="AA20" s="503"/>
      <c r="AB20" s="495"/>
      <c r="AC20" s="504">
        <v>0</v>
      </c>
      <c r="AD20" s="504">
        <v>0</v>
      </c>
      <c r="AE20" s="504">
        <v>0</v>
      </c>
      <c r="AF20" s="504">
        <v>0</v>
      </c>
      <c r="AG20" s="504">
        <v>0</v>
      </c>
      <c r="AH20" s="504">
        <v>0</v>
      </c>
      <c r="AI20" s="504">
        <v>0</v>
      </c>
      <c r="AJ20" s="504">
        <v>0</v>
      </c>
      <c r="AK20" s="504">
        <v>0</v>
      </c>
      <c r="AL20" s="504">
        <v>0</v>
      </c>
      <c r="AM20" s="504">
        <v>0</v>
      </c>
      <c r="AN20" s="504">
        <v>0</v>
      </c>
      <c r="AO20" s="504">
        <v>0</v>
      </c>
      <c r="AP20" s="504">
        <v>0</v>
      </c>
      <c r="AQ20" s="504">
        <v>0</v>
      </c>
      <c r="AR20" s="504">
        <v>0</v>
      </c>
      <c r="AS20" s="504">
        <v>0</v>
      </c>
      <c r="AT20" s="504">
        <v>0</v>
      </c>
      <c r="AU20" s="504">
        <v>0</v>
      </c>
      <c r="AV20" s="504">
        <v>0</v>
      </c>
      <c r="AW20" s="504">
        <v>0</v>
      </c>
      <c r="AX20" s="504">
        <v>0</v>
      </c>
      <c r="AY20" s="504">
        <v>0</v>
      </c>
      <c r="AZ20" s="504">
        <v>0</v>
      </c>
      <c r="BA20" s="504">
        <v>0</v>
      </c>
      <c r="BB20" s="504">
        <v>0</v>
      </c>
      <c r="BC20" s="504">
        <v>0</v>
      </c>
      <c r="BD20" s="504">
        <v>0</v>
      </c>
      <c r="BE20" s="504">
        <v>0</v>
      </c>
      <c r="BF20" s="504">
        <v>0</v>
      </c>
      <c r="BG20" s="504">
        <v>0</v>
      </c>
      <c r="BH20" s="504">
        <v>0</v>
      </c>
      <c r="BI20" s="504">
        <v>0</v>
      </c>
      <c r="BJ20" s="504">
        <v>0</v>
      </c>
      <c r="BK20" s="504">
        <v>0</v>
      </c>
      <c r="BL20" s="504">
        <v>0</v>
      </c>
      <c r="BM20" s="504">
        <v>0</v>
      </c>
      <c r="BN20" s="504">
        <v>0</v>
      </c>
      <c r="BO20" s="504">
        <v>0</v>
      </c>
      <c r="BP20" s="504">
        <v>0</v>
      </c>
      <c r="BQ20" s="504">
        <v>0</v>
      </c>
      <c r="BR20" s="504">
        <v>0</v>
      </c>
      <c r="BS20" s="504">
        <v>0</v>
      </c>
      <c r="BT20" s="504">
        <v>0</v>
      </c>
      <c r="BU20" s="504">
        <v>0</v>
      </c>
      <c r="BV20" s="504">
        <v>0</v>
      </c>
      <c r="BW20" s="504">
        <v>0</v>
      </c>
      <c r="BX20" s="504">
        <v>0</v>
      </c>
      <c r="BY20" s="504">
        <v>0</v>
      </c>
      <c r="BZ20" s="504">
        <v>0</v>
      </c>
      <c r="CA20" s="504">
        <v>0</v>
      </c>
      <c r="CB20" s="504">
        <v>0</v>
      </c>
      <c r="CC20" s="504">
        <v>0</v>
      </c>
      <c r="CD20" s="504">
        <v>0</v>
      </c>
      <c r="CE20" s="504">
        <v>0</v>
      </c>
      <c r="CF20" s="504">
        <v>0</v>
      </c>
      <c r="CG20" s="504">
        <v>0</v>
      </c>
      <c r="CH20" s="504">
        <v>0</v>
      </c>
      <c r="CI20" s="504">
        <v>0</v>
      </c>
      <c r="CJ20" s="504">
        <v>0</v>
      </c>
      <c r="CK20" s="504">
        <v>0</v>
      </c>
      <c r="CL20" s="504">
        <v>0</v>
      </c>
      <c r="CM20" s="504">
        <v>0</v>
      </c>
      <c r="CN20" s="504">
        <v>0</v>
      </c>
      <c r="CO20" s="504">
        <v>0</v>
      </c>
      <c r="CP20" s="504">
        <v>0</v>
      </c>
      <c r="CQ20" s="504">
        <v>0</v>
      </c>
      <c r="CR20" s="504">
        <v>0</v>
      </c>
      <c r="CS20" s="504">
        <v>0</v>
      </c>
      <c r="CT20" s="504">
        <v>0</v>
      </c>
      <c r="CU20" s="504">
        <v>0</v>
      </c>
      <c r="CV20" s="504">
        <v>0</v>
      </c>
      <c r="CW20" s="504">
        <v>0</v>
      </c>
      <c r="CX20" s="504">
        <v>0</v>
      </c>
      <c r="CY20" s="504">
        <v>0</v>
      </c>
      <c r="CZ20" s="504">
        <v>0</v>
      </c>
      <c r="DA20" s="504">
        <v>0</v>
      </c>
      <c r="DB20" s="504">
        <v>0</v>
      </c>
      <c r="DC20" s="504">
        <v>0</v>
      </c>
      <c r="DD20" s="504">
        <v>0</v>
      </c>
      <c r="DE20" s="504">
        <v>0</v>
      </c>
      <c r="DF20" s="504">
        <v>0</v>
      </c>
      <c r="DG20" s="504">
        <v>0</v>
      </c>
      <c r="DH20" s="504">
        <v>0</v>
      </c>
      <c r="DI20" s="504">
        <v>0</v>
      </c>
      <c r="DJ20" s="504">
        <v>0</v>
      </c>
      <c r="DK20" s="504">
        <v>0</v>
      </c>
      <c r="DL20" s="504">
        <v>0</v>
      </c>
      <c r="DM20" s="504">
        <v>0</v>
      </c>
      <c r="DN20" s="504">
        <v>0</v>
      </c>
      <c r="DO20" s="504">
        <v>0</v>
      </c>
      <c r="DP20" s="504">
        <v>0</v>
      </c>
      <c r="DQ20" s="504">
        <v>0</v>
      </c>
      <c r="DR20" s="504">
        <v>0</v>
      </c>
      <c r="DS20" s="504">
        <v>0</v>
      </c>
      <c r="DT20" s="504">
        <v>0</v>
      </c>
      <c r="DU20" s="504">
        <v>0</v>
      </c>
      <c r="DV20" s="504">
        <v>0</v>
      </c>
      <c r="DW20" s="504">
        <v>0</v>
      </c>
      <c r="DX20" s="504">
        <v>0</v>
      </c>
      <c r="DY20" s="504">
        <v>0</v>
      </c>
      <c r="DZ20" s="504">
        <v>0</v>
      </c>
      <c r="EA20" s="504">
        <v>0</v>
      </c>
      <c r="EB20" s="504">
        <v>0</v>
      </c>
      <c r="EC20" s="504">
        <v>0</v>
      </c>
      <c r="ED20" s="504">
        <v>0</v>
      </c>
      <c r="EE20" s="504">
        <v>0</v>
      </c>
      <c r="EF20" s="504">
        <v>0</v>
      </c>
      <c r="EG20" s="504">
        <v>0</v>
      </c>
      <c r="EH20" s="504">
        <v>0</v>
      </c>
      <c r="EI20" s="504">
        <v>0</v>
      </c>
      <c r="EJ20" s="504">
        <v>0</v>
      </c>
      <c r="EK20" s="504">
        <v>0</v>
      </c>
      <c r="EL20" s="504">
        <v>0</v>
      </c>
      <c r="EM20" s="504">
        <v>0</v>
      </c>
      <c r="EN20" s="504">
        <v>0</v>
      </c>
      <c r="EO20" s="504">
        <v>0</v>
      </c>
      <c r="EP20" s="504">
        <v>0</v>
      </c>
      <c r="EQ20" s="504">
        <v>0</v>
      </c>
      <c r="ER20" s="504">
        <v>0</v>
      </c>
      <c r="ES20" s="504">
        <v>0</v>
      </c>
      <c r="ET20" s="504">
        <v>0</v>
      </c>
      <c r="EU20" s="504">
        <v>0</v>
      </c>
      <c r="EV20" s="504">
        <v>0</v>
      </c>
      <c r="EW20" s="504">
        <v>0</v>
      </c>
      <c r="EX20" s="504">
        <v>0</v>
      </c>
      <c r="EY20" s="504">
        <v>0</v>
      </c>
      <c r="EZ20" s="504">
        <v>0</v>
      </c>
      <c r="FA20" s="504">
        <v>0</v>
      </c>
      <c r="FB20" s="504">
        <v>0</v>
      </c>
      <c r="FC20" s="504">
        <v>0</v>
      </c>
      <c r="FD20" s="504">
        <v>0</v>
      </c>
      <c r="FE20" s="504">
        <v>0</v>
      </c>
      <c r="FF20" s="504">
        <v>0</v>
      </c>
      <c r="FG20" s="504">
        <v>0</v>
      </c>
      <c r="FH20" s="504">
        <v>0</v>
      </c>
      <c r="FI20" s="504">
        <v>0</v>
      </c>
      <c r="FJ20" s="504">
        <v>0</v>
      </c>
      <c r="FK20" s="504">
        <v>0</v>
      </c>
      <c r="FL20" s="504">
        <v>0</v>
      </c>
      <c r="FM20" s="504">
        <v>0</v>
      </c>
      <c r="FN20" s="504">
        <v>0</v>
      </c>
      <c r="FO20" s="504">
        <v>0</v>
      </c>
      <c r="FP20" s="504">
        <v>0</v>
      </c>
      <c r="FQ20" s="504">
        <v>0</v>
      </c>
      <c r="FR20" s="504">
        <v>0</v>
      </c>
      <c r="FS20" s="504">
        <v>0</v>
      </c>
      <c r="FT20" s="504">
        <v>0</v>
      </c>
      <c r="FU20" s="504">
        <v>0</v>
      </c>
      <c r="FV20" s="504">
        <v>0</v>
      </c>
      <c r="FW20" s="504">
        <v>0</v>
      </c>
      <c r="FX20" s="504">
        <v>0</v>
      </c>
      <c r="FY20" s="504">
        <v>0</v>
      </c>
      <c r="FZ20" s="504">
        <v>0</v>
      </c>
      <c r="GA20" s="504">
        <v>0</v>
      </c>
      <c r="GB20" s="504">
        <v>0</v>
      </c>
      <c r="GC20" s="504">
        <v>0</v>
      </c>
      <c r="GD20" s="504">
        <v>0</v>
      </c>
      <c r="GE20" s="504">
        <v>0</v>
      </c>
      <c r="GF20" s="504">
        <v>0</v>
      </c>
      <c r="GG20" s="504">
        <v>0</v>
      </c>
      <c r="GH20" s="504">
        <v>0</v>
      </c>
      <c r="GI20" s="504">
        <v>0</v>
      </c>
      <c r="GJ20" s="504">
        <v>0</v>
      </c>
      <c r="GK20" s="504">
        <v>0</v>
      </c>
      <c r="GL20" s="504">
        <v>0</v>
      </c>
      <c r="GM20" s="504">
        <v>0</v>
      </c>
      <c r="GN20" s="504">
        <v>0</v>
      </c>
      <c r="GO20" s="504">
        <v>0</v>
      </c>
      <c r="GP20" s="504">
        <v>0</v>
      </c>
      <c r="GQ20" s="504">
        <v>0</v>
      </c>
      <c r="GR20" s="504">
        <v>0</v>
      </c>
      <c r="GS20" s="504">
        <v>0</v>
      </c>
      <c r="GT20" s="504">
        <v>0</v>
      </c>
      <c r="GU20" s="504">
        <v>0</v>
      </c>
      <c r="GV20" s="504">
        <v>0</v>
      </c>
      <c r="GW20" s="504">
        <v>0</v>
      </c>
      <c r="GX20" s="504">
        <v>0</v>
      </c>
      <c r="GY20" s="504">
        <v>0</v>
      </c>
      <c r="GZ20" s="504">
        <v>0</v>
      </c>
      <c r="HA20" s="504">
        <v>0</v>
      </c>
      <c r="HB20" s="504">
        <v>0</v>
      </c>
      <c r="HC20" s="504">
        <v>0</v>
      </c>
      <c r="HD20" s="504">
        <v>0</v>
      </c>
      <c r="HE20" s="504">
        <v>0</v>
      </c>
      <c r="HF20" s="504">
        <v>0</v>
      </c>
      <c r="HG20" s="504">
        <v>0</v>
      </c>
      <c r="HH20" s="504">
        <v>0</v>
      </c>
      <c r="HI20" s="504">
        <v>0</v>
      </c>
      <c r="HJ20" s="504">
        <v>0</v>
      </c>
      <c r="HK20" s="504">
        <v>0</v>
      </c>
      <c r="HL20" s="504">
        <v>0</v>
      </c>
      <c r="HM20" s="504">
        <v>0</v>
      </c>
      <c r="HN20" s="504">
        <v>0</v>
      </c>
      <c r="HO20" s="504">
        <v>0</v>
      </c>
      <c r="HP20" s="504">
        <v>0</v>
      </c>
      <c r="HQ20" s="504">
        <v>0</v>
      </c>
      <c r="HR20" s="504">
        <v>0</v>
      </c>
      <c r="HS20" s="504">
        <v>0</v>
      </c>
      <c r="HT20" s="504">
        <v>0</v>
      </c>
      <c r="HU20" s="504">
        <v>0</v>
      </c>
      <c r="HV20" s="504">
        <v>0</v>
      </c>
      <c r="HW20" s="504">
        <v>0</v>
      </c>
      <c r="HX20" s="504">
        <v>0</v>
      </c>
      <c r="HY20" s="504">
        <v>0</v>
      </c>
      <c r="HZ20" s="504">
        <v>0</v>
      </c>
      <c r="IA20" s="504">
        <v>0</v>
      </c>
      <c r="IB20" s="504">
        <v>0</v>
      </c>
      <c r="IC20" s="504">
        <v>0</v>
      </c>
      <c r="ID20" s="504">
        <v>0</v>
      </c>
      <c r="IE20" s="504">
        <v>0</v>
      </c>
      <c r="IF20" s="504">
        <v>0</v>
      </c>
      <c r="IG20" s="504">
        <v>0</v>
      </c>
      <c r="IH20" s="504">
        <v>0</v>
      </c>
      <c r="II20" s="504">
        <v>0</v>
      </c>
      <c r="IJ20" s="504">
        <v>0</v>
      </c>
      <c r="IK20" s="504">
        <v>0</v>
      </c>
      <c r="IL20" s="504">
        <v>0</v>
      </c>
      <c r="IM20" s="504">
        <v>0</v>
      </c>
      <c r="IN20" s="504">
        <v>0</v>
      </c>
      <c r="IO20" s="504">
        <v>0</v>
      </c>
      <c r="IP20" s="504">
        <v>0</v>
      </c>
      <c r="IQ20" s="504">
        <v>0</v>
      </c>
      <c r="IR20" s="504">
        <v>0</v>
      </c>
      <c r="IS20" s="504">
        <v>0</v>
      </c>
      <c r="IT20" s="504">
        <v>0</v>
      </c>
      <c r="IU20" s="504">
        <v>0</v>
      </c>
      <c r="IV20" s="504">
        <v>0</v>
      </c>
      <c r="IW20" s="504">
        <v>0</v>
      </c>
      <c r="IX20" s="504">
        <v>0</v>
      </c>
      <c r="IY20" s="504">
        <v>0</v>
      </c>
      <c r="IZ20" s="504">
        <v>0</v>
      </c>
      <c r="JA20" s="504">
        <v>0</v>
      </c>
      <c r="JB20" s="504">
        <v>0</v>
      </c>
      <c r="JC20" s="504">
        <v>0</v>
      </c>
      <c r="JD20" s="504">
        <v>0</v>
      </c>
      <c r="JE20" s="504">
        <v>0</v>
      </c>
      <c r="JF20" s="504">
        <v>0</v>
      </c>
      <c r="JG20" s="504">
        <v>0</v>
      </c>
      <c r="JH20" s="504">
        <v>0</v>
      </c>
      <c r="JI20" s="504">
        <v>0</v>
      </c>
      <c r="JJ20" s="504">
        <v>0</v>
      </c>
      <c r="JK20" s="504">
        <v>0</v>
      </c>
      <c r="JL20" s="504">
        <v>0</v>
      </c>
      <c r="JM20" s="504">
        <v>0</v>
      </c>
      <c r="JN20" s="504">
        <v>0</v>
      </c>
      <c r="JO20" s="504">
        <v>0</v>
      </c>
      <c r="JP20" s="504">
        <v>0</v>
      </c>
      <c r="JQ20" s="504">
        <v>0</v>
      </c>
      <c r="JR20" s="504">
        <v>0</v>
      </c>
      <c r="JS20" s="504">
        <v>0</v>
      </c>
      <c r="JT20" s="504">
        <v>0</v>
      </c>
      <c r="JU20" s="504">
        <v>0</v>
      </c>
      <c r="JV20" s="504">
        <v>0</v>
      </c>
      <c r="JW20" s="504">
        <v>0</v>
      </c>
      <c r="JX20" s="504">
        <v>0</v>
      </c>
      <c r="JY20" s="504">
        <v>0</v>
      </c>
      <c r="JZ20" s="504">
        <v>0</v>
      </c>
      <c r="KA20" s="504">
        <v>0</v>
      </c>
      <c r="KB20" s="504">
        <v>0</v>
      </c>
      <c r="KC20" s="504">
        <v>0</v>
      </c>
      <c r="KD20" s="504">
        <v>0</v>
      </c>
      <c r="KE20" s="504">
        <v>0</v>
      </c>
      <c r="KF20" s="504">
        <v>0</v>
      </c>
      <c r="KG20" s="504">
        <v>0</v>
      </c>
      <c r="KH20" s="504">
        <v>0</v>
      </c>
      <c r="KI20" s="504">
        <v>0</v>
      </c>
      <c r="KJ20" s="504">
        <v>0</v>
      </c>
      <c r="KK20" s="504">
        <v>0</v>
      </c>
      <c r="KL20" s="504">
        <v>0</v>
      </c>
      <c r="KM20" s="504">
        <v>0</v>
      </c>
      <c r="KN20" s="504">
        <v>0</v>
      </c>
      <c r="KO20" s="504">
        <v>0</v>
      </c>
      <c r="KP20" s="504">
        <v>0</v>
      </c>
      <c r="KQ20" s="504">
        <v>0</v>
      </c>
      <c r="KR20" s="504">
        <v>0</v>
      </c>
      <c r="KS20" s="504">
        <v>0</v>
      </c>
      <c r="KT20" s="504">
        <v>0</v>
      </c>
      <c r="KU20" s="504">
        <v>0</v>
      </c>
      <c r="KV20" s="504">
        <v>0</v>
      </c>
      <c r="KW20" s="504">
        <v>0</v>
      </c>
      <c r="KX20" s="504">
        <v>0</v>
      </c>
      <c r="KY20" s="504">
        <v>0</v>
      </c>
      <c r="KZ20" s="504">
        <v>0</v>
      </c>
      <c r="LA20" s="504">
        <v>0</v>
      </c>
      <c r="LB20" s="504">
        <v>0</v>
      </c>
      <c r="LC20" s="504">
        <v>0</v>
      </c>
      <c r="LD20" s="504">
        <v>0</v>
      </c>
      <c r="LE20" s="504">
        <v>0</v>
      </c>
      <c r="LF20" s="504">
        <v>0</v>
      </c>
      <c r="LG20" s="504">
        <v>0</v>
      </c>
      <c r="LH20" s="504">
        <v>0</v>
      </c>
      <c r="LI20" s="504">
        <v>0</v>
      </c>
      <c r="LJ20" s="504">
        <v>0</v>
      </c>
      <c r="LK20" s="504">
        <v>0</v>
      </c>
      <c r="LL20" s="504">
        <v>0</v>
      </c>
      <c r="LM20" s="504">
        <v>0</v>
      </c>
      <c r="LN20" s="504">
        <v>0</v>
      </c>
      <c r="LO20" s="504">
        <v>0</v>
      </c>
      <c r="LP20" s="504">
        <v>0</v>
      </c>
      <c r="LQ20" s="504">
        <v>0</v>
      </c>
      <c r="LR20" s="504">
        <v>0</v>
      </c>
      <c r="LS20" s="504">
        <v>0</v>
      </c>
      <c r="LT20" s="504">
        <v>0</v>
      </c>
      <c r="LU20" s="504">
        <v>0</v>
      </c>
      <c r="LV20" s="504">
        <v>0</v>
      </c>
      <c r="LW20" s="504">
        <v>0</v>
      </c>
      <c r="LX20" s="504">
        <v>0</v>
      </c>
      <c r="LY20" s="504">
        <v>0</v>
      </c>
      <c r="LZ20" s="504">
        <v>0</v>
      </c>
      <c r="MA20" s="504">
        <v>0</v>
      </c>
      <c r="MB20" s="504">
        <v>0</v>
      </c>
      <c r="MC20" s="504">
        <v>0</v>
      </c>
      <c r="MD20" s="504">
        <v>0</v>
      </c>
      <c r="ME20" s="504">
        <v>0</v>
      </c>
      <c r="MF20" s="504">
        <v>0</v>
      </c>
      <c r="MG20" s="504">
        <v>0</v>
      </c>
      <c r="MH20" s="504">
        <v>0</v>
      </c>
      <c r="MI20" s="504">
        <v>0</v>
      </c>
      <c r="MJ20" s="504">
        <v>0</v>
      </c>
      <c r="MK20" s="504">
        <v>0</v>
      </c>
      <c r="ML20" s="504">
        <v>0</v>
      </c>
      <c r="MM20" s="504">
        <v>0</v>
      </c>
      <c r="MN20" s="504">
        <v>0</v>
      </c>
      <c r="MO20" s="504">
        <v>0</v>
      </c>
      <c r="MP20" s="504">
        <v>0</v>
      </c>
      <c r="MQ20" s="504">
        <v>0</v>
      </c>
      <c r="MR20" s="504">
        <v>0</v>
      </c>
      <c r="MS20" s="504">
        <v>0</v>
      </c>
      <c r="MT20" s="504">
        <v>0</v>
      </c>
      <c r="MU20" s="504">
        <v>0</v>
      </c>
      <c r="MV20" s="504">
        <v>0</v>
      </c>
      <c r="MW20" s="504">
        <v>0</v>
      </c>
      <c r="MX20" s="504">
        <v>0</v>
      </c>
      <c r="MY20" s="504">
        <v>0</v>
      </c>
      <c r="MZ20" s="504">
        <v>0</v>
      </c>
      <c r="NA20" s="504">
        <v>0</v>
      </c>
      <c r="NB20" s="504">
        <v>0</v>
      </c>
      <c r="NC20" s="504">
        <v>0</v>
      </c>
      <c r="ND20" s="504">
        <v>0</v>
      </c>
      <c r="NE20" s="504">
        <v>0</v>
      </c>
      <c r="NF20" s="504">
        <v>0</v>
      </c>
      <c r="NG20" s="504">
        <v>0</v>
      </c>
      <c r="NH20" s="504">
        <v>0</v>
      </c>
      <c r="NI20" s="504">
        <v>0</v>
      </c>
      <c r="NJ20" s="504">
        <v>0</v>
      </c>
      <c r="NK20" s="504">
        <v>0</v>
      </c>
      <c r="NL20" s="504">
        <v>0</v>
      </c>
      <c r="NM20" s="504">
        <v>0</v>
      </c>
      <c r="NN20" s="504">
        <v>0</v>
      </c>
      <c r="NO20" s="504">
        <v>0</v>
      </c>
      <c r="NP20" s="504">
        <v>0</v>
      </c>
      <c r="NQ20" s="504">
        <v>0</v>
      </c>
      <c r="NR20" s="504">
        <v>0</v>
      </c>
      <c r="NS20" s="504">
        <v>0</v>
      </c>
      <c r="NT20" s="504">
        <v>0</v>
      </c>
      <c r="NU20" s="504">
        <v>0</v>
      </c>
      <c r="NV20" s="504">
        <v>0</v>
      </c>
      <c r="NW20" s="504">
        <v>0</v>
      </c>
      <c r="NX20" s="504">
        <v>0</v>
      </c>
      <c r="NY20" s="504">
        <v>0</v>
      </c>
      <c r="NZ20" s="504">
        <v>0</v>
      </c>
      <c r="OA20" s="504">
        <v>0</v>
      </c>
      <c r="OB20" s="504">
        <v>0</v>
      </c>
      <c r="OC20" s="504">
        <v>0</v>
      </c>
      <c r="OD20" s="504">
        <v>0</v>
      </c>
      <c r="OE20" s="504">
        <v>0</v>
      </c>
      <c r="OF20" s="504">
        <v>0</v>
      </c>
      <c r="OG20" s="504">
        <v>0</v>
      </c>
      <c r="OH20" s="504">
        <v>0</v>
      </c>
      <c r="OI20" s="504">
        <v>0</v>
      </c>
      <c r="OJ20" s="504">
        <v>0</v>
      </c>
      <c r="OK20" s="504">
        <v>0</v>
      </c>
      <c r="OL20" s="504">
        <v>0</v>
      </c>
      <c r="OM20" s="504">
        <v>0</v>
      </c>
      <c r="ON20" s="494"/>
    </row>
    <row r="21" spans="1:404" ht="18.75" customHeight="1" x14ac:dyDescent="0.4">
      <c r="A21" s="355" t="s">
        <v>297</v>
      </c>
      <c r="B21" s="358">
        <v>179</v>
      </c>
      <c r="C21" s="355" t="s">
        <v>60</v>
      </c>
      <c r="D21" s="501">
        <v>18.98</v>
      </c>
      <c r="E21" s="502">
        <v>27924</v>
      </c>
      <c r="F21" s="501">
        <v>18.97</v>
      </c>
      <c r="G21" s="502">
        <v>7802</v>
      </c>
      <c r="H21" s="501">
        <v>18.97</v>
      </c>
      <c r="I21" s="502">
        <v>22412</v>
      </c>
      <c r="J21" s="501">
        <v>18.97</v>
      </c>
      <c r="K21" s="502">
        <v>26834</v>
      </c>
      <c r="V21" s="501"/>
      <c r="W21" s="503"/>
      <c r="X21" s="501"/>
      <c r="Y21" s="503"/>
      <c r="Z21" s="501"/>
      <c r="AA21" s="503"/>
      <c r="AB21" s="495"/>
      <c r="AC21" s="504">
        <v>0</v>
      </c>
      <c r="AD21" s="504">
        <v>0</v>
      </c>
      <c r="AE21" s="504">
        <v>0</v>
      </c>
      <c r="AF21" s="504">
        <v>0</v>
      </c>
      <c r="AG21" s="504">
        <v>0</v>
      </c>
      <c r="AH21" s="504">
        <v>0</v>
      </c>
      <c r="AI21" s="504">
        <v>0</v>
      </c>
      <c r="AJ21" s="504">
        <v>0</v>
      </c>
      <c r="AK21" s="504">
        <v>0</v>
      </c>
      <c r="AL21" s="504">
        <v>0</v>
      </c>
      <c r="AM21" s="504">
        <v>0</v>
      </c>
      <c r="AN21" s="504">
        <v>0</v>
      </c>
      <c r="AO21" s="504">
        <v>0</v>
      </c>
      <c r="AP21" s="504">
        <v>0</v>
      </c>
      <c r="AQ21" s="504">
        <v>0</v>
      </c>
      <c r="AR21" s="504">
        <v>0</v>
      </c>
      <c r="AS21" s="504">
        <v>0</v>
      </c>
      <c r="AT21" s="504">
        <v>0</v>
      </c>
      <c r="AU21" s="504">
        <v>0</v>
      </c>
      <c r="AV21" s="504">
        <v>0</v>
      </c>
      <c r="AW21" s="504">
        <v>0</v>
      </c>
      <c r="AX21" s="504">
        <v>0</v>
      </c>
      <c r="AY21" s="504">
        <v>0</v>
      </c>
      <c r="AZ21" s="504">
        <v>0</v>
      </c>
      <c r="BA21" s="504">
        <v>0</v>
      </c>
      <c r="BB21" s="504">
        <v>0</v>
      </c>
      <c r="BC21" s="504">
        <v>0</v>
      </c>
      <c r="BD21" s="504">
        <v>0</v>
      </c>
      <c r="BE21" s="504">
        <v>0</v>
      </c>
      <c r="BF21" s="504">
        <v>0</v>
      </c>
      <c r="BG21" s="504">
        <v>0</v>
      </c>
      <c r="BH21" s="504">
        <v>0</v>
      </c>
      <c r="BI21" s="504">
        <v>0</v>
      </c>
      <c r="BJ21" s="504">
        <v>0</v>
      </c>
      <c r="BK21" s="504">
        <v>0</v>
      </c>
      <c r="BL21" s="504">
        <v>0</v>
      </c>
      <c r="BM21" s="504">
        <v>0</v>
      </c>
      <c r="BN21" s="504">
        <v>0</v>
      </c>
      <c r="BO21" s="504">
        <v>0</v>
      </c>
      <c r="BP21" s="504">
        <v>0</v>
      </c>
      <c r="BQ21" s="504">
        <v>0</v>
      </c>
      <c r="BR21" s="504">
        <v>0</v>
      </c>
      <c r="BS21" s="504">
        <v>0</v>
      </c>
      <c r="BT21" s="504">
        <v>0</v>
      </c>
      <c r="BU21" s="504">
        <v>0</v>
      </c>
      <c r="BV21" s="504">
        <v>0</v>
      </c>
      <c r="BW21" s="504">
        <v>0</v>
      </c>
      <c r="BX21" s="504">
        <v>0</v>
      </c>
      <c r="BY21" s="504">
        <v>0</v>
      </c>
      <c r="BZ21" s="504">
        <v>0</v>
      </c>
      <c r="CA21" s="504">
        <v>0</v>
      </c>
      <c r="CB21" s="504">
        <v>0</v>
      </c>
      <c r="CC21" s="504">
        <v>0</v>
      </c>
      <c r="CD21" s="504">
        <v>0</v>
      </c>
      <c r="CE21" s="504">
        <v>0</v>
      </c>
      <c r="CF21" s="504">
        <v>0</v>
      </c>
      <c r="CG21" s="504">
        <v>0</v>
      </c>
      <c r="CH21" s="504">
        <v>0</v>
      </c>
      <c r="CI21" s="504">
        <v>0</v>
      </c>
      <c r="CJ21" s="504">
        <v>0</v>
      </c>
      <c r="CK21" s="504">
        <v>0</v>
      </c>
      <c r="CL21" s="504">
        <v>0</v>
      </c>
      <c r="CM21" s="504">
        <v>0</v>
      </c>
      <c r="CN21" s="504">
        <v>0</v>
      </c>
      <c r="CO21" s="504">
        <v>0</v>
      </c>
      <c r="CP21" s="504">
        <v>0</v>
      </c>
      <c r="CQ21" s="504">
        <v>0</v>
      </c>
      <c r="CR21" s="504">
        <v>0</v>
      </c>
      <c r="CS21" s="504">
        <v>0</v>
      </c>
      <c r="CT21" s="504">
        <v>0</v>
      </c>
      <c r="CU21" s="504">
        <v>0</v>
      </c>
      <c r="CV21" s="504">
        <v>0</v>
      </c>
      <c r="CW21" s="504">
        <v>0</v>
      </c>
      <c r="CX21" s="504">
        <v>0</v>
      </c>
      <c r="CY21" s="504">
        <v>0</v>
      </c>
      <c r="CZ21" s="504">
        <v>0</v>
      </c>
      <c r="DA21" s="504">
        <v>0</v>
      </c>
      <c r="DB21" s="504">
        <v>0</v>
      </c>
      <c r="DC21" s="504">
        <v>0</v>
      </c>
      <c r="DD21" s="504">
        <v>0</v>
      </c>
      <c r="DE21" s="504">
        <v>0</v>
      </c>
      <c r="DF21" s="504">
        <v>0</v>
      </c>
      <c r="DG21" s="504">
        <v>0</v>
      </c>
      <c r="DH21" s="504">
        <v>0</v>
      </c>
      <c r="DI21" s="504">
        <v>0</v>
      </c>
      <c r="DJ21" s="504">
        <v>0</v>
      </c>
      <c r="DK21" s="504">
        <v>0</v>
      </c>
      <c r="DL21" s="504">
        <v>0</v>
      </c>
      <c r="DM21" s="504">
        <v>0</v>
      </c>
      <c r="DN21" s="504">
        <v>0</v>
      </c>
      <c r="DO21" s="504">
        <v>0</v>
      </c>
      <c r="DP21" s="504">
        <v>0</v>
      </c>
      <c r="DQ21" s="504">
        <v>0</v>
      </c>
      <c r="DR21" s="504">
        <v>0</v>
      </c>
      <c r="DS21" s="504">
        <v>0</v>
      </c>
      <c r="DT21" s="504">
        <v>0</v>
      </c>
      <c r="DU21" s="504">
        <v>0</v>
      </c>
      <c r="DV21" s="504">
        <v>0</v>
      </c>
      <c r="DW21" s="504">
        <v>0</v>
      </c>
      <c r="DX21" s="504">
        <v>0</v>
      </c>
      <c r="DY21" s="504">
        <v>0</v>
      </c>
      <c r="DZ21" s="504">
        <v>0</v>
      </c>
      <c r="EA21" s="504">
        <v>0</v>
      </c>
      <c r="EB21" s="504">
        <v>0</v>
      </c>
      <c r="EC21" s="504">
        <v>0</v>
      </c>
      <c r="ED21" s="504">
        <v>0</v>
      </c>
      <c r="EE21" s="504">
        <v>0</v>
      </c>
      <c r="EF21" s="504">
        <v>0</v>
      </c>
      <c r="EG21" s="504">
        <v>0</v>
      </c>
      <c r="EH21" s="504">
        <v>0</v>
      </c>
      <c r="EI21" s="504">
        <v>0</v>
      </c>
      <c r="EJ21" s="504">
        <v>0</v>
      </c>
      <c r="EK21" s="504">
        <v>0</v>
      </c>
      <c r="EL21" s="504">
        <v>0</v>
      </c>
      <c r="EM21" s="504">
        <v>0</v>
      </c>
      <c r="EN21" s="504">
        <v>0</v>
      </c>
      <c r="EO21" s="504">
        <v>0</v>
      </c>
      <c r="EP21" s="504">
        <v>0</v>
      </c>
      <c r="EQ21" s="504">
        <v>0</v>
      </c>
      <c r="ER21" s="504">
        <v>0</v>
      </c>
      <c r="ES21" s="504">
        <v>0</v>
      </c>
      <c r="ET21" s="504">
        <v>0</v>
      </c>
      <c r="EU21" s="504">
        <v>0</v>
      </c>
      <c r="EV21" s="504">
        <v>0</v>
      </c>
      <c r="EW21" s="504">
        <v>0</v>
      </c>
      <c r="EX21" s="504">
        <v>0</v>
      </c>
      <c r="EY21" s="504">
        <v>0</v>
      </c>
      <c r="EZ21" s="504">
        <v>0</v>
      </c>
      <c r="FA21" s="504">
        <v>0</v>
      </c>
      <c r="FB21" s="504">
        <v>0</v>
      </c>
      <c r="FC21" s="504">
        <v>0</v>
      </c>
      <c r="FD21" s="504">
        <v>0</v>
      </c>
      <c r="FE21" s="504">
        <v>0</v>
      </c>
      <c r="FF21" s="504">
        <v>0</v>
      </c>
      <c r="FG21" s="504">
        <v>0</v>
      </c>
      <c r="FH21" s="504">
        <v>0</v>
      </c>
      <c r="FI21" s="504">
        <v>0</v>
      </c>
      <c r="FJ21" s="504">
        <v>0</v>
      </c>
      <c r="FK21" s="504">
        <v>0</v>
      </c>
      <c r="FL21" s="504">
        <v>0</v>
      </c>
      <c r="FM21" s="504">
        <v>0</v>
      </c>
      <c r="FN21" s="504">
        <v>0</v>
      </c>
      <c r="FO21" s="504">
        <v>0</v>
      </c>
      <c r="FP21" s="504">
        <v>0</v>
      </c>
      <c r="FQ21" s="504">
        <v>0</v>
      </c>
      <c r="FR21" s="504">
        <v>0</v>
      </c>
      <c r="FS21" s="504">
        <v>0</v>
      </c>
      <c r="FT21" s="504">
        <v>0</v>
      </c>
      <c r="FU21" s="504">
        <v>0</v>
      </c>
      <c r="FV21" s="504">
        <v>0</v>
      </c>
      <c r="FW21" s="504">
        <v>0</v>
      </c>
      <c r="FX21" s="504">
        <v>0</v>
      </c>
      <c r="FY21" s="504">
        <v>0</v>
      </c>
      <c r="FZ21" s="504">
        <v>0</v>
      </c>
      <c r="GA21" s="504">
        <v>0</v>
      </c>
      <c r="GB21" s="504">
        <v>0</v>
      </c>
      <c r="GC21" s="504">
        <v>0</v>
      </c>
      <c r="GD21" s="504">
        <v>0</v>
      </c>
      <c r="GE21" s="504">
        <v>0</v>
      </c>
      <c r="GF21" s="504">
        <v>0</v>
      </c>
      <c r="GG21" s="504">
        <v>0</v>
      </c>
      <c r="GH21" s="504">
        <v>0</v>
      </c>
      <c r="GI21" s="504">
        <v>0</v>
      </c>
      <c r="GJ21" s="504">
        <v>0</v>
      </c>
      <c r="GK21" s="504">
        <v>0</v>
      </c>
      <c r="GL21" s="504">
        <v>0</v>
      </c>
      <c r="GM21" s="504">
        <v>0</v>
      </c>
      <c r="GN21" s="504">
        <v>0</v>
      </c>
      <c r="GO21" s="504">
        <v>0</v>
      </c>
      <c r="GP21" s="504">
        <v>0</v>
      </c>
      <c r="GQ21" s="504">
        <v>0</v>
      </c>
      <c r="GR21" s="504">
        <v>0</v>
      </c>
      <c r="GS21" s="504">
        <v>0</v>
      </c>
      <c r="GT21" s="504">
        <v>0</v>
      </c>
      <c r="GU21" s="504">
        <v>0</v>
      </c>
      <c r="GV21" s="504">
        <v>0</v>
      </c>
      <c r="GW21" s="504">
        <v>0</v>
      </c>
      <c r="GX21" s="504">
        <v>0</v>
      </c>
      <c r="GY21" s="504">
        <v>0</v>
      </c>
      <c r="GZ21" s="504">
        <v>0</v>
      </c>
      <c r="HA21" s="504">
        <v>0</v>
      </c>
      <c r="HB21" s="504">
        <v>0</v>
      </c>
      <c r="HC21" s="504">
        <v>0</v>
      </c>
      <c r="HD21" s="504">
        <v>0</v>
      </c>
      <c r="HE21" s="504">
        <v>0</v>
      </c>
      <c r="HF21" s="504">
        <v>0</v>
      </c>
      <c r="HG21" s="504">
        <v>0</v>
      </c>
      <c r="HH21" s="504">
        <v>0</v>
      </c>
      <c r="HI21" s="504">
        <v>0</v>
      </c>
      <c r="HJ21" s="504">
        <v>0</v>
      </c>
      <c r="HK21" s="504">
        <v>0</v>
      </c>
      <c r="HL21" s="504">
        <v>0</v>
      </c>
      <c r="HM21" s="504">
        <v>0</v>
      </c>
      <c r="HN21" s="504">
        <v>0</v>
      </c>
      <c r="HO21" s="504">
        <v>0</v>
      </c>
      <c r="HP21" s="504">
        <v>0</v>
      </c>
      <c r="HQ21" s="504">
        <v>0</v>
      </c>
      <c r="HR21" s="504">
        <v>0</v>
      </c>
      <c r="HS21" s="504">
        <v>0</v>
      </c>
      <c r="HT21" s="504">
        <v>0</v>
      </c>
      <c r="HU21" s="504">
        <v>0</v>
      </c>
      <c r="HV21" s="504">
        <v>0</v>
      </c>
      <c r="HW21" s="504">
        <v>0</v>
      </c>
      <c r="HX21" s="504">
        <v>0</v>
      </c>
      <c r="HY21" s="504">
        <v>0</v>
      </c>
      <c r="HZ21" s="504">
        <v>0</v>
      </c>
      <c r="IA21" s="504">
        <v>0</v>
      </c>
      <c r="IB21" s="504">
        <v>0</v>
      </c>
      <c r="IC21" s="504">
        <v>0</v>
      </c>
      <c r="ID21" s="504">
        <v>0</v>
      </c>
      <c r="IE21" s="504">
        <v>0</v>
      </c>
      <c r="IF21" s="504">
        <v>0</v>
      </c>
      <c r="IG21" s="504">
        <v>0</v>
      </c>
      <c r="IH21" s="504">
        <v>0</v>
      </c>
      <c r="II21" s="504">
        <v>0</v>
      </c>
      <c r="IJ21" s="504">
        <v>0</v>
      </c>
      <c r="IK21" s="504">
        <v>0</v>
      </c>
      <c r="IL21" s="504">
        <v>0</v>
      </c>
      <c r="IM21" s="504">
        <v>0</v>
      </c>
      <c r="IN21" s="504">
        <v>0</v>
      </c>
      <c r="IO21" s="504">
        <v>0</v>
      </c>
      <c r="IP21" s="504">
        <v>0</v>
      </c>
      <c r="IQ21" s="504">
        <v>0</v>
      </c>
      <c r="IR21" s="504">
        <v>0</v>
      </c>
      <c r="IS21" s="504">
        <v>0</v>
      </c>
      <c r="IT21" s="504">
        <v>0</v>
      </c>
      <c r="IU21" s="504">
        <v>0</v>
      </c>
      <c r="IV21" s="504">
        <v>0</v>
      </c>
      <c r="IW21" s="504">
        <v>0</v>
      </c>
      <c r="IX21" s="504">
        <v>0</v>
      </c>
      <c r="IY21" s="504">
        <v>0</v>
      </c>
      <c r="IZ21" s="504">
        <v>0</v>
      </c>
      <c r="JA21" s="504">
        <v>0</v>
      </c>
      <c r="JB21" s="504">
        <v>0</v>
      </c>
      <c r="JC21" s="504">
        <v>0</v>
      </c>
      <c r="JD21" s="504">
        <v>0</v>
      </c>
      <c r="JE21" s="504">
        <v>0</v>
      </c>
      <c r="JF21" s="504">
        <v>0</v>
      </c>
      <c r="JG21" s="504">
        <v>0</v>
      </c>
      <c r="JH21" s="504">
        <v>0</v>
      </c>
      <c r="JI21" s="504">
        <v>0</v>
      </c>
      <c r="JJ21" s="504">
        <v>0</v>
      </c>
      <c r="JK21" s="504">
        <v>0</v>
      </c>
      <c r="JL21" s="504">
        <v>0</v>
      </c>
      <c r="JM21" s="504">
        <v>0</v>
      </c>
      <c r="JN21" s="504">
        <v>0</v>
      </c>
      <c r="JO21" s="504">
        <v>0</v>
      </c>
      <c r="JP21" s="504">
        <v>0</v>
      </c>
      <c r="JQ21" s="504">
        <v>0</v>
      </c>
      <c r="JR21" s="504">
        <v>0</v>
      </c>
      <c r="JS21" s="504">
        <v>0</v>
      </c>
      <c r="JT21" s="504">
        <v>0</v>
      </c>
      <c r="JU21" s="504">
        <v>0</v>
      </c>
      <c r="JV21" s="504">
        <v>0</v>
      </c>
      <c r="JW21" s="504">
        <v>0</v>
      </c>
      <c r="JX21" s="504">
        <v>0</v>
      </c>
      <c r="JY21" s="504">
        <v>0</v>
      </c>
      <c r="JZ21" s="504">
        <v>0</v>
      </c>
      <c r="KA21" s="504">
        <v>0</v>
      </c>
      <c r="KB21" s="504">
        <v>0</v>
      </c>
      <c r="KC21" s="504">
        <v>0</v>
      </c>
      <c r="KD21" s="504">
        <v>0</v>
      </c>
      <c r="KE21" s="504">
        <v>0</v>
      </c>
      <c r="KF21" s="504">
        <v>0</v>
      </c>
      <c r="KG21" s="504">
        <v>0</v>
      </c>
      <c r="KH21" s="504">
        <v>0</v>
      </c>
      <c r="KI21" s="504">
        <v>0</v>
      </c>
      <c r="KJ21" s="504">
        <v>0</v>
      </c>
      <c r="KK21" s="504">
        <v>0</v>
      </c>
      <c r="KL21" s="504">
        <v>0</v>
      </c>
      <c r="KM21" s="504">
        <v>0</v>
      </c>
      <c r="KN21" s="504">
        <v>0</v>
      </c>
      <c r="KO21" s="504">
        <v>0</v>
      </c>
      <c r="KP21" s="504">
        <v>0</v>
      </c>
      <c r="KQ21" s="504">
        <v>0</v>
      </c>
      <c r="KR21" s="504">
        <v>0</v>
      </c>
      <c r="KS21" s="504">
        <v>0</v>
      </c>
      <c r="KT21" s="504">
        <v>0</v>
      </c>
      <c r="KU21" s="504">
        <v>0</v>
      </c>
      <c r="KV21" s="504">
        <v>0</v>
      </c>
      <c r="KW21" s="504">
        <v>0</v>
      </c>
      <c r="KX21" s="504">
        <v>0</v>
      </c>
      <c r="KY21" s="504">
        <v>0</v>
      </c>
      <c r="KZ21" s="504">
        <v>0</v>
      </c>
      <c r="LA21" s="504">
        <v>0</v>
      </c>
      <c r="LB21" s="504">
        <v>0</v>
      </c>
      <c r="LC21" s="504">
        <v>0</v>
      </c>
      <c r="LD21" s="504">
        <v>0</v>
      </c>
      <c r="LE21" s="504">
        <v>0</v>
      </c>
      <c r="LF21" s="504">
        <v>0</v>
      </c>
      <c r="LG21" s="504">
        <v>0</v>
      </c>
      <c r="LH21" s="504">
        <v>0</v>
      </c>
      <c r="LI21" s="504">
        <v>0</v>
      </c>
      <c r="LJ21" s="504">
        <v>0</v>
      </c>
      <c r="LK21" s="504">
        <v>0</v>
      </c>
      <c r="LL21" s="504">
        <v>0</v>
      </c>
      <c r="LM21" s="504">
        <v>0</v>
      </c>
      <c r="LN21" s="504">
        <v>0</v>
      </c>
      <c r="LO21" s="504">
        <v>0</v>
      </c>
      <c r="LP21" s="504">
        <v>0</v>
      </c>
      <c r="LQ21" s="504">
        <v>0</v>
      </c>
      <c r="LR21" s="504">
        <v>0</v>
      </c>
      <c r="LS21" s="504">
        <v>0</v>
      </c>
      <c r="LT21" s="504">
        <v>0</v>
      </c>
      <c r="LU21" s="504">
        <v>0</v>
      </c>
      <c r="LV21" s="504">
        <v>0</v>
      </c>
      <c r="LW21" s="504">
        <v>0</v>
      </c>
      <c r="LX21" s="504">
        <v>0</v>
      </c>
      <c r="LY21" s="504">
        <v>0</v>
      </c>
      <c r="LZ21" s="504">
        <v>0</v>
      </c>
      <c r="MA21" s="504">
        <v>0</v>
      </c>
      <c r="MB21" s="504">
        <v>0</v>
      </c>
      <c r="MC21" s="504">
        <v>0</v>
      </c>
      <c r="MD21" s="504">
        <v>0</v>
      </c>
      <c r="ME21" s="504">
        <v>0</v>
      </c>
      <c r="MF21" s="504">
        <v>0</v>
      </c>
      <c r="MG21" s="504">
        <v>0</v>
      </c>
      <c r="MH21" s="504">
        <v>0</v>
      </c>
      <c r="MI21" s="504">
        <v>0</v>
      </c>
      <c r="MJ21" s="504">
        <v>0</v>
      </c>
      <c r="MK21" s="504">
        <v>0</v>
      </c>
      <c r="ML21" s="504">
        <v>0</v>
      </c>
      <c r="MM21" s="504">
        <v>0</v>
      </c>
      <c r="MN21" s="504">
        <v>0</v>
      </c>
      <c r="MO21" s="504">
        <v>0</v>
      </c>
      <c r="MP21" s="504">
        <v>0</v>
      </c>
      <c r="MQ21" s="504">
        <v>0</v>
      </c>
      <c r="MR21" s="504">
        <v>0</v>
      </c>
      <c r="MS21" s="504">
        <v>0</v>
      </c>
      <c r="MT21" s="504">
        <v>0</v>
      </c>
      <c r="MU21" s="504">
        <v>0</v>
      </c>
      <c r="MV21" s="504">
        <v>0</v>
      </c>
      <c r="MW21" s="504">
        <v>0</v>
      </c>
      <c r="MX21" s="504">
        <v>0</v>
      </c>
      <c r="MY21" s="504">
        <v>0</v>
      </c>
      <c r="MZ21" s="504">
        <v>0</v>
      </c>
      <c r="NA21" s="504">
        <v>0</v>
      </c>
      <c r="NB21" s="504">
        <v>0</v>
      </c>
      <c r="NC21" s="504">
        <v>0</v>
      </c>
      <c r="ND21" s="504">
        <v>0</v>
      </c>
      <c r="NE21" s="504">
        <v>0</v>
      </c>
      <c r="NF21" s="504">
        <v>0</v>
      </c>
      <c r="NG21" s="504">
        <v>0</v>
      </c>
      <c r="NH21" s="504">
        <v>0</v>
      </c>
      <c r="NI21" s="504">
        <v>0</v>
      </c>
      <c r="NJ21" s="504">
        <v>0</v>
      </c>
      <c r="NK21" s="504">
        <v>0</v>
      </c>
      <c r="NL21" s="504">
        <v>0</v>
      </c>
      <c r="NM21" s="504">
        <v>0</v>
      </c>
      <c r="NN21" s="504">
        <v>0</v>
      </c>
      <c r="NO21" s="504">
        <v>0</v>
      </c>
      <c r="NP21" s="504">
        <v>0</v>
      </c>
      <c r="NQ21" s="504">
        <v>0</v>
      </c>
      <c r="NR21" s="504">
        <v>0</v>
      </c>
      <c r="NS21" s="504">
        <v>0</v>
      </c>
      <c r="NT21" s="504">
        <v>0</v>
      </c>
      <c r="NU21" s="504">
        <v>0</v>
      </c>
      <c r="NV21" s="504">
        <v>0</v>
      </c>
      <c r="NW21" s="504">
        <v>0</v>
      </c>
      <c r="NX21" s="504">
        <v>0</v>
      </c>
      <c r="NY21" s="504">
        <v>0</v>
      </c>
      <c r="NZ21" s="504">
        <v>0</v>
      </c>
      <c r="OA21" s="504">
        <v>0</v>
      </c>
      <c r="OB21" s="504">
        <v>0</v>
      </c>
      <c r="OC21" s="504">
        <v>0</v>
      </c>
      <c r="OD21" s="504">
        <v>0</v>
      </c>
      <c r="OE21" s="504">
        <v>0</v>
      </c>
      <c r="OF21" s="504">
        <v>0</v>
      </c>
      <c r="OG21" s="504">
        <v>0</v>
      </c>
      <c r="OH21" s="504">
        <v>0</v>
      </c>
      <c r="OI21" s="504">
        <v>0</v>
      </c>
      <c r="OJ21" s="504">
        <v>0</v>
      </c>
      <c r="OK21" s="504">
        <v>0</v>
      </c>
      <c r="OL21" s="504">
        <v>0</v>
      </c>
      <c r="OM21" s="504">
        <v>0</v>
      </c>
      <c r="ON21" s="494"/>
    </row>
    <row r="22" spans="1:404" ht="18.75" customHeight="1" x14ac:dyDescent="0.4">
      <c r="A22" s="355" t="s">
        <v>298</v>
      </c>
      <c r="B22" s="358">
        <v>92</v>
      </c>
      <c r="C22" s="355" t="s">
        <v>60</v>
      </c>
      <c r="D22" s="501">
        <v>19.23</v>
      </c>
      <c r="E22" s="502">
        <v>22895</v>
      </c>
      <c r="F22" s="501">
        <v>19.22</v>
      </c>
      <c r="G22" s="502">
        <v>3211</v>
      </c>
      <c r="H22" s="501">
        <v>19.22</v>
      </c>
      <c r="I22" s="502">
        <v>11882</v>
      </c>
      <c r="J22" s="501">
        <v>19.22</v>
      </c>
      <c r="K22" s="502">
        <v>13618</v>
      </c>
      <c r="V22" s="501"/>
      <c r="W22" s="503"/>
      <c r="X22" s="501"/>
      <c r="Y22" s="503"/>
      <c r="Z22" s="501"/>
      <c r="AA22" s="503"/>
      <c r="AB22" s="495"/>
      <c r="AC22" s="504">
        <v>0</v>
      </c>
      <c r="AD22" s="504">
        <v>0</v>
      </c>
      <c r="AE22" s="504">
        <v>0</v>
      </c>
      <c r="AF22" s="504">
        <v>0</v>
      </c>
      <c r="AG22" s="504">
        <v>0</v>
      </c>
      <c r="AH22" s="504">
        <v>0</v>
      </c>
      <c r="AI22" s="504">
        <v>0</v>
      </c>
      <c r="AJ22" s="504">
        <v>0</v>
      </c>
      <c r="AK22" s="504">
        <v>0</v>
      </c>
      <c r="AL22" s="504">
        <v>0</v>
      </c>
      <c r="AM22" s="504">
        <v>0</v>
      </c>
      <c r="AN22" s="504">
        <v>0</v>
      </c>
      <c r="AO22" s="504">
        <v>0</v>
      </c>
      <c r="AP22" s="504">
        <v>0</v>
      </c>
      <c r="AQ22" s="504">
        <v>0</v>
      </c>
      <c r="AR22" s="504">
        <v>0</v>
      </c>
      <c r="AS22" s="504">
        <v>0</v>
      </c>
      <c r="AT22" s="504">
        <v>0</v>
      </c>
      <c r="AU22" s="504">
        <v>0</v>
      </c>
      <c r="AV22" s="504">
        <v>0</v>
      </c>
      <c r="AW22" s="504">
        <v>0</v>
      </c>
      <c r="AX22" s="504">
        <v>0</v>
      </c>
      <c r="AY22" s="504">
        <v>0</v>
      </c>
      <c r="AZ22" s="504">
        <v>0</v>
      </c>
      <c r="BA22" s="504">
        <v>0</v>
      </c>
      <c r="BB22" s="504">
        <v>0</v>
      </c>
      <c r="BC22" s="504">
        <v>0</v>
      </c>
      <c r="BD22" s="504">
        <v>0</v>
      </c>
      <c r="BE22" s="504">
        <v>0</v>
      </c>
      <c r="BF22" s="504">
        <v>0</v>
      </c>
      <c r="BG22" s="504">
        <v>0</v>
      </c>
      <c r="BH22" s="504">
        <v>0</v>
      </c>
      <c r="BI22" s="504">
        <v>0</v>
      </c>
      <c r="BJ22" s="504">
        <v>0</v>
      </c>
      <c r="BK22" s="504">
        <v>0</v>
      </c>
      <c r="BL22" s="504">
        <v>0</v>
      </c>
      <c r="BM22" s="504">
        <v>0</v>
      </c>
      <c r="BN22" s="504">
        <v>0</v>
      </c>
      <c r="BO22" s="504">
        <v>0</v>
      </c>
      <c r="BP22" s="504">
        <v>0</v>
      </c>
      <c r="BQ22" s="504">
        <v>0</v>
      </c>
      <c r="BR22" s="504">
        <v>0</v>
      </c>
      <c r="BS22" s="504">
        <v>0</v>
      </c>
      <c r="BT22" s="504">
        <v>0</v>
      </c>
      <c r="BU22" s="504">
        <v>0</v>
      </c>
      <c r="BV22" s="504">
        <v>0</v>
      </c>
      <c r="BW22" s="504">
        <v>0</v>
      </c>
      <c r="BX22" s="504">
        <v>0</v>
      </c>
      <c r="BY22" s="504">
        <v>0</v>
      </c>
      <c r="BZ22" s="504">
        <v>0</v>
      </c>
      <c r="CA22" s="504">
        <v>0</v>
      </c>
      <c r="CB22" s="504">
        <v>0</v>
      </c>
      <c r="CC22" s="504">
        <v>0</v>
      </c>
      <c r="CD22" s="504">
        <v>0</v>
      </c>
      <c r="CE22" s="504">
        <v>0</v>
      </c>
      <c r="CF22" s="504">
        <v>0</v>
      </c>
      <c r="CG22" s="504">
        <v>0</v>
      </c>
      <c r="CH22" s="504">
        <v>0</v>
      </c>
      <c r="CI22" s="504">
        <v>0</v>
      </c>
      <c r="CJ22" s="504">
        <v>0</v>
      </c>
      <c r="CK22" s="504">
        <v>0</v>
      </c>
      <c r="CL22" s="504">
        <v>0</v>
      </c>
      <c r="CM22" s="504">
        <v>0</v>
      </c>
      <c r="CN22" s="504">
        <v>0</v>
      </c>
      <c r="CO22" s="504">
        <v>0</v>
      </c>
      <c r="CP22" s="504">
        <v>0</v>
      </c>
      <c r="CQ22" s="504">
        <v>0</v>
      </c>
      <c r="CR22" s="504">
        <v>0</v>
      </c>
      <c r="CS22" s="504">
        <v>0</v>
      </c>
      <c r="CT22" s="504">
        <v>0</v>
      </c>
      <c r="CU22" s="504">
        <v>0</v>
      </c>
      <c r="CV22" s="504">
        <v>0</v>
      </c>
      <c r="CW22" s="504">
        <v>0</v>
      </c>
      <c r="CX22" s="504">
        <v>0</v>
      </c>
      <c r="CY22" s="504">
        <v>0</v>
      </c>
      <c r="CZ22" s="504">
        <v>0</v>
      </c>
      <c r="DA22" s="504">
        <v>0</v>
      </c>
      <c r="DB22" s="504">
        <v>0</v>
      </c>
      <c r="DC22" s="504">
        <v>0</v>
      </c>
      <c r="DD22" s="504">
        <v>0</v>
      </c>
      <c r="DE22" s="504">
        <v>0</v>
      </c>
      <c r="DF22" s="504">
        <v>0</v>
      </c>
      <c r="DG22" s="504">
        <v>0</v>
      </c>
      <c r="DH22" s="504">
        <v>0</v>
      </c>
      <c r="DI22" s="504">
        <v>0</v>
      </c>
      <c r="DJ22" s="504">
        <v>0</v>
      </c>
      <c r="DK22" s="504">
        <v>0</v>
      </c>
      <c r="DL22" s="504">
        <v>0</v>
      </c>
      <c r="DM22" s="504">
        <v>0</v>
      </c>
      <c r="DN22" s="504">
        <v>0</v>
      </c>
      <c r="DO22" s="504">
        <v>0</v>
      </c>
      <c r="DP22" s="504">
        <v>0</v>
      </c>
      <c r="DQ22" s="504">
        <v>0</v>
      </c>
      <c r="DR22" s="504">
        <v>0</v>
      </c>
      <c r="DS22" s="504">
        <v>0</v>
      </c>
      <c r="DT22" s="504">
        <v>0</v>
      </c>
      <c r="DU22" s="504">
        <v>0</v>
      </c>
      <c r="DV22" s="504">
        <v>0</v>
      </c>
      <c r="DW22" s="504">
        <v>0</v>
      </c>
      <c r="DX22" s="504">
        <v>0</v>
      </c>
      <c r="DY22" s="504">
        <v>0</v>
      </c>
      <c r="DZ22" s="504">
        <v>0</v>
      </c>
      <c r="EA22" s="504">
        <v>0</v>
      </c>
      <c r="EB22" s="504">
        <v>0</v>
      </c>
      <c r="EC22" s="504">
        <v>0</v>
      </c>
      <c r="ED22" s="504">
        <v>0</v>
      </c>
      <c r="EE22" s="504">
        <v>0</v>
      </c>
      <c r="EF22" s="504">
        <v>0</v>
      </c>
      <c r="EG22" s="504">
        <v>0</v>
      </c>
      <c r="EH22" s="504">
        <v>0</v>
      </c>
      <c r="EI22" s="504">
        <v>0</v>
      </c>
      <c r="EJ22" s="504">
        <v>0</v>
      </c>
      <c r="EK22" s="504">
        <v>0</v>
      </c>
      <c r="EL22" s="504">
        <v>0</v>
      </c>
      <c r="EM22" s="504">
        <v>0</v>
      </c>
      <c r="EN22" s="504">
        <v>0</v>
      </c>
      <c r="EO22" s="504">
        <v>0</v>
      </c>
      <c r="EP22" s="504">
        <v>0</v>
      </c>
      <c r="EQ22" s="504">
        <v>0</v>
      </c>
      <c r="ER22" s="504">
        <v>0</v>
      </c>
      <c r="ES22" s="504">
        <v>0</v>
      </c>
      <c r="ET22" s="504">
        <v>0</v>
      </c>
      <c r="EU22" s="504">
        <v>0</v>
      </c>
      <c r="EV22" s="504">
        <v>0</v>
      </c>
      <c r="EW22" s="504">
        <v>0</v>
      </c>
      <c r="EX22" s="504">
        <v>0</v>
      </c>
      <c r="EY22" s="504">
        <v>0</v>
      </c>
      <c r="EZ22" s="504">
        <v>0</v>
      </c>
      <c r="FA22" s="504">
        <v>0</v>
      </c>
      <c r="FB22" s="504">
        <v>0</v>
      </c>
      <c r="FC22" s="504">
        <v>0</v>
      </c>
      <c r="FD22" s="504">
        <v>0</v>
      </c>
      <c r="FE22" s="504">
        <v>0</v>
      </c>
      <c r="FF22" s="504">
        <v>0</v>
      </c>
      <c r="FG22" s="504">
        <v>0</v>
      </c>
      <c r="FH22" s="504">
        <v>0</v>
      </c>
      <c r="FI22" s="504">
        <v>0</v>
      </c>
      <c r="FJ22" s="504">
        <v>0</v>
      </c>
      <c r="FK22" s="504">
        <v>0</v>
      </c>
      <c r="FL22" s="504">
        <v>0</v>
      </c>
      <c r="FM22" s="504">
        <v>0</v>
      </c>
      <c r="FN22" s="504">
        <v>0</v>
      </c>
      <c r="FO22" s="504">
        <v>0</v>
      </c>
      <c r="FP22" s="504">
        <v>0</v>
      </c>
      <c r="FQ22" s="504">
        <v>0</v>
      </c>
      <c r="FR22" s="504">
        <v>0</v>
      </c>
      <c r="FS22" s="504">
        <v>0</v>
      </c>
      <c r="FT22" s="504">
        <v>0</v>
      </c>
      <c r="FU22" s="504">
        <v>0</v>
      </c>
      <c r="FV22" s="504">
        <v>0</v>
      </c>
      <c r="FW22" s="504">
        <v>0</v>
      </c>
      <c r="FX22" s="504">
        <v>0</v>
      </c>
      <c r="FY22" s="504">
        <v>0</v>
      </c>
      <c r="FZ22" s="504">
        <v>0</v>
      </c>
      <c r="GA22" s="504">
        <v>0</v>
      </c>
      <c r="GB22" s="504">
        <v>0</v>
      </c>
      <c r="GC22" s="504">
        <v>0</v>
      </c>
      <c r="GD22" s="504">
        <v>0</v>
      </c>
      <c r="GE22" s="504">
        <v>0</v>
      </c>
      <c r="GF22" s="504">
        <v>0</v>
      </c>
      <c r="GG22" s="504">
        <v>0</v>
      </c>
      <c r="GH22" s="504">
        <v>0</v>
      </c>
      <c r="GI22" s="504">
        <v>0</v>
      </c>
      <c r="GJ22" s="504">
        <v>0</v>
      </c>
      <c r="GK22" s="504">
        <v>0</v>
      </c>
      <c r="GL22" s="504">
        <v>0</v>
      </c>
      <c r="GM22" s="504">
        <v>0</v>
      </c>
      <c r="GN22" s="504">
        <v>0</v>
      </c>
      <c r="GO22" s="504">
        <v>0</v>
      </c>
      <c r="GP22" s="504">
        <v>0</v>
      </c>
      <c r="GQ22" s="504">
        <v>0</v>
      </c>
      <c r="GR22" s="504">
        <v>0</v>
      </c>
      <c r="GS22" s="504">
        <v>0</v>
      </c>
      <c r="GT22" s="504">
        <v>0</v>
      </c>
      <c r="GU22" s="504">
        <v>0</v>
      </c>
      <c r="GV22" s="504">
        <v>0</v>
      </c>
      <c r="GW22" s="504">
        <v>0</v>
      </c>
      <c r="GX22" s="504">
        <v>0</v>
      </c>
      <c r="GY22" s="504">
        <v>0</v>
      </c>
      <c r="GZ22" s="504">
        <v>0</v>
      </c>
      <c r="HA22" s="504">
        <v>0</v>
      </c>
      <c r="HB22" s="504">
        <v>0</v>
      </c>
      <c r="HC22" s="504">
        <v>0</v>
      </c>
      <c r="HD22" s="504">
        <v>0</v>
      </c>
      <c r="HE22" s="504">
        <v>0</v>
      </c>
      <c r="HF22" s="504">
        <v>0</v>
      </c>
      <c r="HG22" s="504">
        <v>0</v>
      </c>
      <c r="HH22" s="504">
        <v>0</v>
      </c>
      <c r="HI22" s="504">
        <v>0</v>
      </c>
      <c r="HJ22" s="504">
        <v>0</v>
      </c>
      <c r="HK22" s="504">
        <v>0</v>
      </c>
      <c r="HL22" s="504">
        <v>0</v>
      </c>
      <c r="HM22" s="504">
        <v>0</v>
      </c>
      <c r="HN22" s="504">
        <v>0</v>
      </c>
      <c r="HO22" s="504">
        <v>0</v>
      </c>
      <c r="HP22" s="504">
        <v>0</v>
      </c>
      <c r="HQ22" s="504">
        <v>0</v>
      </c>
      <c r="HR22" s="504">
        <v>0</v>
      </c>
      <c r="HS22" s="504">
        <v>0</v>
      </c>
      <c r="HT22" s="504">
        <v>0</v>
      </c>
      <c r="HU22" s="504">
        <v>0</v>
      </c>
      <c r="HV22" s="504">
        <v>0</v>
      </c>
      <c r="HW22" s="504">
        <v>0</v>
      </c>
      <c r="HX22" s="504">
        <v>0</v>
      </c>
      <c r="HY22" s="504">
        <v>0</v>
      </c>
      <c r="HZ22" s="504">
        <v>0</v>
      </c>
      <c r="IA22" s="504">
        <v>0</v>
      </c>
      <c r="IB22" s="504">
        <v>0</v>
      </c>
      <c r="IC22" s="504">
        <v>0</v>
      </c>
      <c r="ID22" s="504">
        <v>0</v>
      </c>
      <c r="IE22" s="504">
        <v>0</v>
      </c>
      <c r="IF22" s="504">
        <v>0</v>
      </c>
      <c r="IG22" s="504">
        <v>0</v>
      </c>
      <c r="IH22" s="504">
        <v>0</v>
      </c>
      <c r="II22" s="504">
        <v>0</v>
      </c>
      <c r="IJ22" s="504">
        <v>0</v>
      </c>
      <c r="IK22" s="504">
        <v>0</v>
      </c>
      <c r="IL22" s="504">
        <v>0</v>
      </c>
      <c r="IM22" s="504">
        <v>0</v>
      </c>
      <c r="IN22" s="504">
        <v>0</v>
      </c>
      <c r="IO22" s="504">
        <v>0</v>
      </c>
      <c r="IP22" s="504">
        <v>0</v>
      </c>
      <c r="IQ22" s="504">
        <v>0</v>
      </c>
      <c r="IR22" s="504">
        <v>0</v>
      </c>
      <c r="IS22" s="504">
        <v>0</v>
      </c>
      <c r="IT22" s="504">
        <v>0</v>
      </c>
      <c r="IU22" s="504">
        <v>0</v>
      </c>
      <c r="IV22" s="504">
        <v>0</v>
      </c>
      <c r="IW22" s="504">
        <v>0</v>
      </c>
      <c r="IX22" s="504">
        <v>0</v>
      </c>
      <c r="IY22" s="504">
        <v>0</v>
      </c>
      <c r="IZ22" s="504">
        <v>0</v>
      </c>
      <c r="JA22" s="504">
        <v>0</v>
      </c>
      <c r="JB22" s="504">
        <v>0</v>
      </c>
      <c r="JC22" s="504">
        <v>0</v>
      </c>
      <c r="JD22" s="504">
        <v>0</v>
      </c>
      <c r="JE22" s="504">
        <v>0</v>
      </c>
      <c r="JF22" s="504">
        <v>0</v>
      </c>
      <c r="JG22" s="504">
        <v>0</v>
      </c>
      <c r="JH22" s="504">
        <v>0</v>
      </c>
      <c r="JI22" s="504">
        <v>0</v>
      </c>
      <c r="JJ22" s="504">
        <v>0</v>
      </c>
      <c r="JK22" s="504">
        <v>0</v>
      </c>
      <c r="JL22" s="504">
        <v>0</v>
      </c>
      <c r="JM22" s="504">
        <v>0</v>
      </c>
      <c r="JN22" s="504">
        <v>0</v>
      </c>
      <c r="JO22" s="504">
        <v>0</v>
      </c>
      <c r="JP22" s="504">
        <v>0</v>
      </c>
      <c r="JQ22" s="504">
        <v>0</v>
      </c>
      <c r="JR22" s="504">
        <v>0</v>
      </c>
      <c r="JS22" s="504">
        <v>0</v>
      </c>
      <c r="JT22" s="504">
        <v>0</v>
      </c>
      <c r="JU22" s="504">
        <v>0</v>
      </c>
      <c r="JV22" s="504">
        <v>0</v>
      </c>
      <c r="JW22" s="504">
        <v>0</v>
      </c>
      <c r="JX22" s="504">
        <v>0</v>
      </c>
      <c r="JY22" s="504">
        <v>0</v>
      </c>
      <c r="JZ22" s="504">
        <v>0</v>
      </c>
      <c r="KA22" s="504">
        <v>0</v>
      </c>
      <c r="KB22" s="504">
        <v>0</v>
      </c>
      <c r="KC22" s="504">
        <v>0</v>
      </c>
      <c r="KD22" s="504">
        <v>0</v>
      </c>
      <c r="KE22" s="504">
        <v>0</v>
      </c>
      <c r="KF22" s="504">
        <v>0</v>
      </c>
      <c r="KG22" s="504">
        <v>0</v>
      </c>
      <c r="KH22" s="504">
        <v>0</v>
      </c>
      <c r="KI22" s="504">
        <v>0</v>
      </c>
      <c r="KJ22" s="504">
        <v>0</v>
      </c>
      <c r="KK22" s="504">
        <v>0</v>
      </c>
      <c r="KL22" s="504">
        <v>0</v>
      </c>
      <c r="KM22" s="504">
        <v>0</v>
      </c>
      <c r="KN22" s="504">
        <v>0</v>
      </c>
      <c r="KO22" s="504">
        <v>0</v>
      </c>
      <c r="KP22" s="504">
        <v>0</v>
      </c>
      <c r="KQ22" s="504">
        <v>0</v>
      </c>
      <c r="KR22" s="504">
        <v>0</v>
      </c>
      <c r="KS22" s="504">
        <v>0</v>
      </c>
      <c r="KT22" s="504">
        <v>0</v>
      </c>
      <c r="KU22" s="504">
        <v>0</v>
      </c>
      <c r="KV22" s="504">
        <v>0</v>
      </c>
      <c r="KW22" s="504">
        <v>0</v>
      </c>
      <c r="KX22" s="504">
        <v>0</v>
      </c>
      <c r="KY22" s="504">
        <v>0</v>
      </c>
      <c r="KZ22" s="504">
        <v>0</v>
      </c>
      <c r="LA22" s="504">
        <v>0</v>
      </c>
      <c r="LB22" s="504">
        <v>0</v>
      </c>
      <c r="LC22" s="504">
        <v>0</v>
      </c>
      <c r="LD22" s="504">
        <v>0</v>
      </c>
      <c r="LE22" s="504">
        <v>0</v>
      </c>
      <c r="LF22" s="504">
        <v>0</v>
      </c>
      <c r="LG22" s="504">
        <v>0</v>
      </c>
      <c r="LH22" s="504">
        <v>0</v>
      </c>
      <c r="LI22" s="504">
        <v>0</v>
      </c>
      <c r="LJ22" s="504">
        <v>0</v>
      </c>
      <c r="LK22" s="504">
        <v>0</v>
      </c>
      <c r="LL22" s="504">
        <v>0</v>
      </c>
      <c r="LM22" s="504">
        <v>0</v>
      </c>
      <c r="LN22" s="504">
        <v>0</v>
      </c>
      <c r="LO22" s="504">
        <v>0</v>
      </c>
      <c r="LP22" s="504">
        <v>0</v>
      </c>
      <c r="LQ22" s="504">
        <v>0</v>
      </c>
      <c r="LR22" s="504">
        <v>0</v>
      </c>
      <c r="LS22" s="504">
        <v>0</v>
      </c>
      <c r="LT22" s="504">
        <v>0</v>
      </c>
      <c r="LU22" s="504">
        <v>0</v>
      </c>
      <c r="LV22" s="504">
        <v>0</v>
      </c>
      <c r="LW22" s="504">
        <v>0</v>
      </c>
      <c r="LX22" s="504">
        <v>0</v>
      </c>
      <c r="LY22" s="504">
        <v>0</v>
      </c>
      <c r="LZ22" s="504">
        <v>0</v>
      </c>
      <c r="MA22" s="504">
        <v>0</v>
      </c>
      <c r="MB22" s="504">
        <v>0</v>
      </c>
      <c r="MC22" s="504">
        <v>0</v>
      </c>
      <c r="MD22" s="504">
        <v>0</v>
      </c>
      <c r="ME22" s="504">
        <v>0</v>
      </c>
      <c r="MF22" s="504">
        <v>0</v>
      </c>
      <c r="MG22" s="504">
        <v>0</v>
      </c>
      <c r="MH22" s="504">
        <v>0</v>
      </c>
      <c r="MI22" s="504">
        <v>0</v>
      </c>
      <c r="MJ22" s="504">
        <v>0</v>
      </c>
      <c r="MK22" s="504">
        <v>0</v>
      </c>
      <c r="ML22" s="504">
        <v>0</v>
      </c>
      <c r="MM22" s="504">
        <v>0</v>
      </c>
      <c r="MN22" s="504">
        <v>0</v>
      </c>
      <c r="MO22" s="504">
        <v>0</v>
      </c>
      <c r="MP22" s="504">
        <v>0</v>
      </c>
      <c r="MQ22" s="504">
        <v>0</v>
      </c>
      <c r="MR22" s="504">
        <v>0</v>
      </c>
      <c r="MS22" s="504">
        <v>0</v>
      </c>
      <c r="MT22" s="504">
        <v>0</v>
      </c>
      <c r="MU22" s="504">
        <v>0</v>
      </c>
      <c r="MV22" s="504">
        <v>0</v>
      </c>
      <c r="MW22" s="504">
        <v>0</v>
      </c>
      <c r="MX22" s="504">
        <v>0</v>
      </c>
      <c r="MY22" s="504">
        <v>0</v>
      </c>
      <c r="MZ22" s="504">
        <v>0</v>
      </c>
      <c r="NA22" s="504">
        <v>0</v>
      </c>
      <c r="NB22" s="504">
        <v>0</v>
      </c>
      <c r="NC22" s="504">
        <v>0</v>
      </c>
      <c r="ND22" s="504">
        <v>0</v>
      </c>
      <c r="NE22" s="504">
        <v>0</v>
      </c>
      <c r="NF22" s="504">
        <v>0</v>
      </c>
      <c r="NG22" s="504">
        <v>0</v>
      </c>
      <c r="NH22" s="504">
        <v>0</v>
      </c>
      <c r="NI22" s="504">
        <v>0</v>
      </c>
      <c r="NJ22" s="504">
        <v>0</v>
      </c>
      <c r="NK22" s="504">
        <v>0</v>
      </c>
      <c r="NL22" s="504">
        <v>0</v>
      </c>
      <c r="NM22" s="504">
        <v>0</v>
      </c>
      <c r="NN22" s="504">
        <v>0</v>
      </c>
      <c r="NO22" s="504">
        <v>0</v>
      </c>
      <c r="NP22" s="504">
        <v>0</v>
      </c>
      <c r="NQ22" s="504">
        <v>0</v>
      </c>
      <c r="NR22" s="504">
        <v>0</v>
      </c>
      <c r="NS22" s="504">
        <v>0</v>
      </c>
      <c r="NT22" s="504">
        <v>0</v>
      </c>
      <c r="NU22" s="504">
        <v>0</v>
      </c>
      <c r="NV22" s="504">
        <v>0</v>
      </c>
      <c r="NW22" s="504">
        <v>0</v>
      </c>
      <c r="NX22" s="504">
        <v>0</v>
      </c>
      <c r="NY22" s="504">
        <v>0</v>
      </c>
      <c r="NZ22" s="504">
        <v>0</v>
      </c>
      <c r="OA22" s="504">
        <v>0</v>
      </c>
      <c r="OB22" s="504">
        <v>0</v>
      </c>
      <c r="OC22" s="504">
        <v>0</v>
      </c>
      <c r="OD22" s="504">
        <v>0</v>
      </c>
      <c r="OE22" s="504">
        <v>0</v>
      </c>
      <c r="OF22" s="504">
        <v>0</v>
      </c>
      <c r="OG22" s="504">
        <v>0</v>
      </c>
      <c r="OH22" s="504">
        <v>0</v>
      </c>
      <c r="OI22" s="504">
        <v>0</v>
      </c>
      <c r="OJ22" s="504">
        <v>0</v>
      </c>
      <c r="OK22" s="504">
        <v>0</v>
      </c>
      <c r="OL22" s="504">
        <v>0</v>
      </c>
      <c r="OM22" s="504">
        <v>0</v>
      </c>
      <c r="ON22" s="494"/>
    </row>
    <row r="23" spans="1:404" ht="18.75" customHeight="1" x14ac:dyDescent="0.4">
      <c r="A23" s="355" t="s">
        <v>299</v>
      </c>
      <c r="B23" s="358">
        <v>154</v>
      </c>
      <c r="C23" s="355" t="s">
        <v>60</v>
      </c>
      <c r="D23" s="501">
        <v>19.54</v>
      </c>
      <c r="E23" s="502">
        <v>223399</v>
      </c>
      <c r="F23" s="501">
        <v>19.54</v>
      </c>
      <c r="G23" s="502">
        <v>11815</v>
      </c>
      <c r="H23" s="501">
        <v>19.54</v>
      </c>
      <c r="I23" s="502">
        <v>40797</v>
      </c>
      <c r="J23" s="501">
        <v>19.54</v>
      </c>
      <c r="K23" s="502">
        <v>47005</v>
      </c>
      <c r="V23" s="501"/>
      <c r="W23" s="503"/>
      <c r="X23" s="501"/>
      <c r="Y23" s="503"/>
      <c r="Z23" s="501"/>
      <c r="AA23" s="503"/>
      <c r="AB23" s="495"/>
      <c r="AC23" s="504">
        <v>0</v>
      </c>
      <c r="AD23" s="504">
        <v>0</v>
      </c>
      <c r="AE23" s="504">
        <v>0</v>
      </c>
      <c r="AF23" s="504">
        <v>0</v>
      </c>
      <c r="AG23" s="504">
        <v>0</v>
      </c>
      <c r="AH23" s="504">
        <v>0</v>
      </c>
      <c r="AI23" s="504">
        <v>0</v>
      </c>
      <c r="AJ23" s="504">
        <v>0</v>
      </c>
      <c r="AK23" s="504">
        <v>0</v>
      </c>
      <c r="AL23" s="504">
        <v>0</v>
      </c>
      <c r="AM23" s="504">
        <v>0</v>
      </c>
      <c r="AN23" s="504">
        <v>0</v>
      </c>
      <c r="AO23" s="504">
        <v>0</v>
      </c>
      <c r="AP23" s="504">
        <v>0</v>
      </c>
      <c r="AQ23" s="504">
        <v>0</v>
      </c>
      <c r="AR23" s="504">
        <v>0</v>
      </c>
      <c r="AS23" s="504">
        <v>0</v>
      </c>
      <c r="AT23" s="504">
        <v>0</v>
      </c>
      <c r="AU23" s="504">
        <v>0</v>
      </c>
      <c r="AV23" s="504">
        <v>0</v>
      </c>
      <c r="AW23" s="504">
        <v>0</v>
      </c>
      <c r="AX23" s="504">
        <v>0</v>
      </c>
      <c r="AY23" s="504">
        <v>0</v>
      </c>
      <c r="AZ23" s="504">
        <v>0</v>
      </c>
      <c r="BA23" s="504">
        <v>0</v>
      </c>
      <c r="BB23" s="504">
        <v>0</v>
      </c>
      <c r="BC23" s="504">
        <v>0</v>
      </c>
      <c r="BD23" s="504">
        <v>0</v>
      </c>
      <c r="BE23" s="504">
        <v>0</v>
      </c>
      <c r="BF23" s="504">
        <v>0</v>
      </c>
      <c r="BG23" s="504">
        <v>0</v>
      </c>
      <c r="BH23" s="504">
        <v>0</v>
      </c>
      <c r="BI23" s="504">
        <v>0</v>
      </c>
      <c r="BJ23" s="504">
        <v>0</v>
      </c>
      <c r="BK23" s="504">
        <v>0</v>
      </c>
      <c r="BL23" s="504">
        <v>0</v>
      </c>
      <c r="BM23" s="504">
        <v>0</v>
      </c>
      <c r="BN23" s="504">
        <v>0</v>
      </c>
      <c r="BO23" s="504">
        <v>0</v>
      </c>
      <c r="BP23" s="504">
        <v>0</v>
      </c>
      <c r="BQ23" s="504">
        <v>0</v>
      </c>
      <c r="BR23" s="504">
        <v>0</v>
      </c>
      <c r="BS23" s="504">
        <v>0</v>
      </c>
      <c r="BT23" s="504">
        <v>0</v>
      </c>
      <c r="BU23" s="504">
        <v>0</v>
      </c>
      <c r="BV23" s="504">
        <v>0</v>
      </c>
      <c r="BW23" s="504">
        <v>0</v>
      </c>
      <c r="BX23" s="504">
        <v>0</v>
      </c>
      <c r="BY23" s="504">
        <v>0</v>
      </c>
      <c r="BZ23" s="504">
        <v>0</v>
      </c>
      <c r="CA23" s="504">
        <v>0</v>
      </c>
      <c r="CB23" s="504">
        <v>0</v>
      </c>
      <c r="CC23" s="504">
        <v>0</v>
      </c>
      <c r="CD23" s="504">
        <v>0</v>
      </c>
      <c r="CE23" s="504">
        <v>0</v>
      </c>
      <c r="CF23" s="504">
        <v>0</v>
      </c>
      <c r="CG23" s="504">
        <v>0</v>
      </c>
      <c r="CH23" s="504">
        <v>0</v>
      </c>
      <c r="CI23" s="504">
        <v>0</v>
      </c>
      <c r="CJ23" s="504">
        <v>0</v>
      </c>
      <c r="CK23" s="504">
        <v>0</v>
      </c>
      <c r="CL23" s="504">
        <v>0</v>
      </c>
      <c r="CM23" s="504">
        <v>0</v>
      </c>
      <c r="CN23" s="504">
        <v>0</v>
      </c>
      <c r="CO23" s="504">
        <v>0</v>
      </c>
      <c r="CP23" s="504">
        <v>0</v>
      </c>
      <c r="CQ23" s="504">
        <v>0</v>
      </c>
      <c r="CR23" s="504">
        <v>0</v>
      </c>
      <c r="CS23" s="504">
        <v>0</v>
      </c>
      <c r="CT23" s="504">
        <v>0</v>
      </c>
      <c r="CU23" s="504">
        <v>0</v>
      </c>
      <c r="CV23" s="504">
        <v>0</v>
      </c>
      <c r="CW23" s="504">
        <v>0</v>
      </c>
      <c r="CX23" s="504">
        <v>0</v>
      </c>
      <c r="CY23" s="504">
        <v>0</v>
      </c>
      <c r="CZ23" s="504">
        <v>0</v>
      </c>
      <c r="DA23" s="504">
        <v>0</v>
      </c>
      <c r="DB23" s="504">
        <v>0</v>
      </c>
      <c r="DC23" s="504">
        <v>0</v>
      </c>
      <c r="DD23" s="504">
        <v>0</v>
      </c>
      <c r="DE23" s="504">
        <v>0</v>
      </c>
      <c r="DF23" s="504">
        <v>0</v>
      </c>
      <c r="DG23" s="504">
        <v>0</v>
      </c>
      <c r="DH23" s="504">
        <v>0</v>
      </c>
      <c r="DI23" s="504">
        <v>0</v>
      </c>
      <c r="DJ23" s="504">
        <v>0</v>
      </c>
      <c r="DK23" s="504">
        <v>0</v>
      </c>
      <c r="DL23" s="504">
        <v>0</v>
      </c>
      <c r="DM23" s="504">
        <v>0</v>
      </c>
      <c r="DN23" s="504">
        <v>0</v>
      </c>
      <c r="DO23" s="504">
        <v>0</v>
      </c>
      <c r="DP23" s="504">
        <v>0</v>
      </c>
      <c r="DQ23" s="504">
        <v>0</v>
      </c>
      <c r="DR23" s="504">
        <v>0</v>
      </c>
      <c r="DS23" s="504">
        <v>0</v>
      </c>
      <c r="DT23" s="504">
        <v>0</v>
      </c>
      <c r="DU23" s="504">
        <v>0</v>
      </c>
      <c r="DV23" s="504">
        <v>0</v>
      </c>
      <c r="DW23" s="504">
        <v>0</v>
      </c>
      <c r="DX23" s="504">
        <v>0</v>
      </c>
      <c r="DY23" s="504">
        <v>0</v>
      </c>
      <c r="DZ23" s="504">
        <v>0</v>
      </c>
      <c r="EA23" s="504">
        <v>0</v>
      </c>
      <c r="EB23" s="504">
        <v>0</v>
      </c>
      <c r="EC23" s="504">
        <v>0</v>
      </c>
      <c r="ED23" s="504">
        <v>0</v>
      </c>
      <c r="EE23" s="504">
        <v>0</v>
      </c>
      <c r="EF23" s="504">
        <v>0</v>
      </c>
      <c r="EG23" s="504">
        <v>0</v>
      </c>
      <c r="EH23" s="504">
        <v>0</v>
      </c>
      <c r="EI23" s="504">
        <v>0</v>
      </c>
      <c r="EJ23" s="504">
        <v>0</v>
      </c>
      <c r="EK23" s="504">
        <v>0</v>
      </c>
      <c r="EL23" s="504">
        <v>0</v>
      </c>
      <c r="EM23" s="504">
        <v>0</v>
      </c>
      <c r="EN23" s="504">
        <v>0</v>
      </c>
      <c r="EO23" s="504">
        <v>0</v>
      </c>
      <c r="EP23" s="504">
        <v>0</v>
      </c>
      <c r="EQ23" s="504">
        <v>0</v>
      </c>
      <c r="ER23" s="504">
        <v>0</v>
      </c>
      <c r="ES23" s="504">
        <v>0</v>
      </c>
      <c r="ET23" s="504">
        <v>0</v>
      </c>
      <c r="EU23" s="504">
        <v>0</v>
      </c>
      <c r="EV23" s="504">
        <v>0</v>
      </c>
      <c r="EW23" s="504">
        <v>0</v>
      </c>
      <c r="EX23" s="504">
        <v>0</v>
      </c>
      <c r="EY23" s="504">
        <v>0</v>
      </c>
      <c r="EZ23" s="504">
        <v>0</v>
      </c>
      <c r="FA23" s="504">
        <v>0</v>
      </c>
      <c r="FB23" s="504">
        <v>0</v>
      </c>
      <c r="FC23" s="504">
        <v>0</v>
      </c>
      <c r="FD23" s="504">
        <v>0</v>
      </c>
      <c r="FE23" s="504">
        <v>0</v>
      </c>
      <c r="FF23" s="504">
        <v>0</v>
      </c>
      <c r="FG23" s="504">
        <v>0</v>
      </c>
      <c r="FH23" s="504">
        <v>0</v>
      </c>
      <c r="FI23" s="504">
        <v>0</v>
      </c>
      <c r="FJ23" s="504">
        <v>0</v>
      </c>
      <c r="FK23" s="504">
        <v>0</v>
      </c>
      <c r="FL23" s="504">
        <v>0</v>
      </c>
      <c r="FM23" s="504">
        <v>0</v>
      </c>
      <c r="FN23" s="504">
        <v>0</v>
      </c>
      <c r="FO23" s="504">
        <v>0</v>
      </c>
      <c r="FP23" s="504">
        <v>0</v>
      </c>
      <c r="FQ23" s="504">
        <v>0</v>
      </c>
      <c r="FR23" s="504">
        <v>0</v>
      </c>
      <c r="FS23" s="504">
        <v>0</v>
      </c>
      <c r="FT23" s="504">
        <v>0</v>
      </c>
      <c r="FU23" s="504">
        <v>0</v>
      </c>
      <c r="FV23" s="504">
        <v>0</v>
      </c>
      <c r="FW23" s="504">
        <v>0</v>
      </c>
      <c r="FX23" s="504">
        <v>0</v>
      </c>
      <c r="FY23" s="504">
        <v>0</v>
      </c>
      <c r="FZ23" s="504">
        <v>0</v>
      </c>
      <c r="GA23" s="504">
        <v>0</v>
      </c>
      <c r="GB23" s="504">
        <v>0</v>
      </c>
      <c r="GC23" s="504">
        <v>0</v>
      </c>
      <c r="GD23" s="504">
        <v>0</v>
      </c>
      <c r="GE23" s="504">
        <v>0</v>
      </c>
      <c r="GF23" s="504">
        <v>0</v>
      </c>
      <c r="GG23" s="504">
        <v>0</v>
      </c>
      <c r="GH23" s="504">
        <v>0</v>
      </c>
      <c r="GI23" s="504">
        <v>0</v>
      </c>
      <c r="GJ23" s="504">
        <v>0</v>
      </c>
      <c r="GK23" s="504">
        <v>0</v>
      </c>
      <c r="GL23" s="504">
        <v>0</v>
      </c>
      <c r="GM23" s="504">
        <v>0</v>
      </c>
      <c r="GN23" s="504">
        <v>0</v>
      </c>
      <c r="GO23" s="504">
        <v>0</v>
      </c>
      <c r="GP23" s="504">
        <v>0</v>
      </c>
      <c r="GQ23" s="504">
        <v>0</v>
      </c>
      <c r="GR23" s="504">
        <v>0</v>
      </c>
      <c r="GS23" s="504">
        <v>0</v>
      </c>
      <c r="GT23" s="504">
        <v>0</v>
      </c>
      <c r="GU23" s="504">
        <v>0</v>
      </c>
      <c r="GV23" s="504">
        <v>0</v>
      </c>
      <c r="GW23" s="504">
        <v>0</v>
      </c>
      <c r="GX23" s="504">
        <v>0</v>
      </c>
      <c r="GY23" s="504">
        <v>0</v>
      </c>
      <c r="GZ23" s="504">
        <v>0</v>
      </c>
      <c r="HA23" s="504">
        <v>0</v>
      </c>
      <c r="HB23" s="504">
        <v>0</v>
      </c>
      <c r="HC23" s="504">
        <v>0</v>
      </c>
      <c r="HD23" s="504">
        <v>0</v>
      </c>
      <c r="HE23" s="504">
        <v>0</v>
      </c>
      <c r="HF23" s="504">
        <v>0</v>
      </c>
      <c r="HG23" s="504">
        <v>0</v>
      </c>
      <c r="HH23" s="504">
        <v>0</v>
      </c>
      <c r="HI23" s="504">
        <v>0</v>
      </c>
      <c r="HJ23" s="504">
        <v>0</v>
      </c>
      <c r="HK23" s="504">
        <v>0</v>
      </c>
      <c r="HL23" s="504">
        <v>0</v>
      </c>
      <c r="HM23" s="504">
        <v>0</v>
      </c>
      <c r="HN23" s="504">
        <v>0</v>
      </c>
      <c r="HO23" s="504">
        <v>0</v>
      </c>
      <c r="HP23" s="504">
        <v>0</v>
      </c>
      <c r="HQ23" s="504">
        <v>0</v>
      </c>
      <c r="HR23" s="504">
        <v>0</v>
      </c>
      <c r="HS23" s="504">
        <v>0</v>
      </c>
      <c r="HT23" s="504">
        <v>0</v>
      </c>
      <c r="HU23" s="504">
        <v>0</v>
      </c>
      <c r="HV23" s="504">
        <v>0</v>
      </c>
      <c r="HW23" s="504">
        <v>0</v>
      </c>
      <c r="HX23" s="504">
        <v>0</v>
      </c>
      <c r="HY23" s="504">
        <v>0</v>
      </c>
      <c r="HZ23" s="504">
        <v>0</v>
      </c>
      <c r="IA23" s="504">
        <v>0</v>
      </c>
      <c r="IB23" s="504">
        <v>0</v>
      </c>
      <c r="IC23" s="504">
        <v>0</v>
      </c>
      <c r="ID23" s="504">
        <v>0</v>
      </c>
      <c r="IE23" s="504">
        <v>0</v>
      </c>
      <c r="IF23" s="504">
        <v>0</v>
      </c>
      <c r="IG23" s="504">
        <v>0</v>
      </c>
      <c r="IH23" s="504">
        <v>0</v>
      </c>
      <c r="II23" s="504">
        <v>0</v>
      </c>
      <c r="IJ23" s="504">
        <v>0</v>
      </c>
      <c r="IK23" s="504">
        <v>0</v>
      </c>
      <c r="IL23" s="504">
        <v>0</v>
      </c>
      <c r="IM23" s="504">
        <v>0</v>
      </c>
      <c r="IN23" s="504">
        <v>0</v>
      </c>
      <c r="IO23" s="504">
        <v>0</v>
      </c>
      <c r="IP23" s="504">
        <v>0</v>
      </c>
      <c r="IQ23" s="504">
        <v>0</v>
      </c>
      <c r="IR23" s="504">
        <v>0</v>
      </c>
      <c r="IS23" s="504">
        <v>0</v>
      </c>
      <c r="IT23" s="504">
        <v>0</v>
      </c>
      <c r="IU23" s="504">
        <v>0</v>
      </c>
      <c r="IV23" s="504">
        <v>0</v>
      </c>
      <c r="IW23" s="504">
        <v>0</v>
      </c>
      <c r="IX23" s="504">
        <v>0</v>
      </c>
      <c r="IY23" s="504">
        <v>0</v>
      </c>
      <c r="IZ23" s="504">
        <v>0</v>
      </c>
      <c r="JA23" s="504">
        <v>0</v>
      </c>
      <c r="JB23" s="504">
        <v>0</v>
      </c>
      <c r="JC23" s="504">
        <v>0</v>
      </c>
      <c r="JD23" s="504">
        <v>0</v>
      </c>
      <c r="JE23" s="504">
        <v>0</v>
      </c>
      <c r="JF23" s="504">
        <v>0</v>
      </c>
      <c r="JG23" s="504">
        <v>0</v>
      </c>
      <c r="JH23" s="504">
        <v>0</v>
      </c>
      <c r="JI23" s="504">
        <v>0</v>
      </c>
      <c r="JJ23" s="504">
        <v>0</v>
      </c>
      <c r="JK23" s="504">
        <v>0</v>
      </c>
      <c r="JL23" s="504">
        <v>0</v>
      </c>
      <c r="JM23" s="504">
        <v>0</v>
      </c>
      <c r="JN23" s="504">
        <v>0</v>
      </c>
      <c r="JO23" s="504">
        <v>0</v>
      </c>
      <c r="JP23" s="504">
        <v>0</v>
      </c>
      <c r="JQ23" s="504">
        <v>0</v>
      </c>
      <c r="JR23" s="504">
        <v>0</v>
      </c>
      <c r="JS23" s="504">
        <v>0</v>
      </c>
      <c r="JT23" s="504">
        <v>0</v>
      </c>
      <c r="JU23" s="504">
        <v>0</v>
      </c>
      <c r="JV23" s="504">
        <v>0</v>
      </c>
      <c r="JW23" s="504">
        <v>0</v>
      </c>
      <c r="JX23" s="504">
        <v>0</v>
      </c>
      <c r="JY23" s="504">
        <v>0</v>
      </c>
      <c r="JZ23" s="504">
        <v>0</v>
      </c>
      <c r="KA23" s="504">
        <v>0</v>
      </c>
      <c r="KB23" s="504">
        <v>0</v>
      </c>
      <c r="KC23" s="504">
        <v>0</v>
      </c>
      <c r="KD23" s="504">
        <v>0</v>
      </c>
      <c r="KE23" s="504">
        <v>0</v>
      </c>
      <c r="KF23" s="504">
        <v>0</v>
      </c>
      <c r="KG23" s="504">
        <v>0</v>
      </c>
      <c r="KH23" s="504">
        <v>0</v>
      </c>
      <c r="KI23" s="504">
        <v>0</v>
      </c>
      <c r="KJ23" s="504">
        <v>0</v>
      </c>
      <c r="KK23" s="504">
        <v>0</v>
      </c>
      <c r="KL23" s="504">
        <v>0</v>
      </c>
      <c r="KM23" s="504">
        <v>0</v>
      </c>
      <c r="KN23" s="504">
        <v>0</v>
      </c>
      <c r="KO23" s="504">
        <v>0</v>
      </c>
      <c r="KP23" s="504">
        <v>0</v>
      </c>
      <c r="KQ23" s="504">
        <v>0</v>
      </c>
      <c r="KR23" s="504">
        <v>0</v>
      </c>
      <c r="KS23" s="504">
        <v>0</v>
      </c>
      <c r="KT23" s="504">
        <v>0</v>
      </c>
      <c r="KU23" s="504">
        <v>0</v>
      </c>
      <c r="KV23" s="504">
        <v>0</v>
      </c>
      <c r="KW23" s="504">
        <v>0</v>
      </c>
      <c r="KX23" s="504">
        <v>0</v>
      </c>
      <c r="KY23" s="504">
        <v>0</v>
      </c>
      <c r="KZ23" s="504">
        <v>0</v>
      </c>
      <c r="LA23" s="504">
        <v>0</v>
      </c>
      <c r="LB23" s="504">
        <v>0</v>
      </c>
      <c r="LC23" s="504">
        <v>0</v>
      </c>
      <c r="LD23" s="504">
        <v>0</v>
      </c>
      <c r="LE23" s="504">
        <v>0</v>
      </c>
      <c r="LF23" s="504">
        <v>0</v>
      </c>
      <c r="LG23" s="504">
        <v>0</v>
      </c>
      <c r="LH23" s="504">
        <v>0</v>
      </c>
      <c r="LI23" s="504">
        <v>0</v>
      </c>
      <c r="LJ23" s="504">
        <v>0</v>
      </c>
      <c r="LK23" s="504">
        <v>0</v>
      </c>
      <c r="LL23" s="504">
        <v>0</v>
      </c>
      <c r="LM23" s="504">
        <v>0</v>
      </c>
      <c r="LN23" s="504">
        <v>0</v>
      </c>
      <c r="LO23" s="504">
        <v>0</v>
      </c>
      <c r="LP23" s="504">
        <v>0</v>
      </c>
      <c r="LQ23" s="504">
        <v>0</v>
      </c>
      <c r="LR23" s="504">
        <v>0</v>
      </c>
      <c r="LS23" s="504">
        <v>0</v>
      </c>
      <c r="LT23" s="504">
        <v>0</v>
      </c>
      <c r="LU23" s="504">
        <v>0</v>
      </c>
      <c r="LV23" s="504">
        <v>0</v>
      </c>
      <c r="LW23" s="504">
        <v>0</v>
      </c>
      <c r="LX23" s="504">
        <v>0</v>
      </c>
      <c r="LY23" s="504">
        <v>0</v>
      </c>
      <c r="LZ23" s="504">
        <v>0</v>
      </c>
      <c r="MA23" s="504">
        <v>0</v>
      </c>
      <c r="MB23" s="504">
        <v>0</v>
      </c>
      <c r="MC23" s="504">
        <v>0</v>
      </c>
      <c r="MD23" s="504">
        <v>0</v>
      </c>
      <c r="ME23" s="504">
        <v>0</v>
      </c>
      <c r="MF23" s="504">
        <v>0</v>
      </c>
      <c r="MG23" s="504">
        <v>0</v>
      </c>
      <c r="MH23" s="504">
        <v>0</v>
      </c>
      <c r="MI23" s="504">
        <v>0</v>
      </c>
      <c r="MJ23" s="504">
        <v>0</v>
      </c>
      <c r="MK23" s="504">
        <v>0</v>
      </c>
      <c r="ML23" s="504">
        <v>0</v>
      </c>
      <c r="MM23" s="504">
        <v>0</v>
      </c>
      <c r="MN23" s="504">
        <v>0</v>
      </c>
      <c r="MO23" s="504">
        <v>0</v>
      </c>
      <c r="MP23" s="504">
        <v>0</v>
      </c>
      <c r="MQ23" s="504">
        <v>0</v>
      </c>
      <c r="MR23" s="504">
        <v>0</v>
      </c>
      <c r="MS23" s="504">
        <v>0</v>
      </c>
      <c r="MT23" s="504">
        <v>0</v>
      </c>
      <c r="MU23" s="504">
        <v>0</v>
      </c>
      <c r="MV23" s="504">
        <v>0</v>
      </c>
      <c r="MW23" s="504">
        <v>0</v>
      </c>
      <c r="MX23" s="504">
        <v>0</v>
      </c>
      <c r="MY23" s="504">
        <v>0</v>
      </c>
      <c r="MZ23" s="504">
        <v>0</v>
      </c>
      <c r="NA23" s="504">
        <v>0</v>
      </c>
      <c r="NB23" s="504">
        <v>0</v>
      </c>
      <c r="NC23" s="504">
        <v>0</v>
      </c>
      <c r="ND23" s="504">
        <v>0</v>
      </c>
      <c r="NE23" s="504">
        <v>0</v>
      </c>
      <c r="NF23" s="504">
        <v>0</v>
      </c>
      <c r="NG23" s="504">
        <v>0</v>
      </c>
      <c r="NH23" s="504">
        <v>0</v>
      </c>
      <c r="NI23" s="504">
        <v>0</v>
      </c>
      <c r="NJ23" s="504">
        <v>0</v>
      </c>
      <c r="NK23" s="504">
        <v>0</v>
      </c>
      <c r="NL23" s="504">
        <v>0</v>
      </c>
      <c r="NM23" s="504">
        <v>0</v>
      </c>
      <c r="NN23" s="504">
        <v>0</v>
      </c>
      <c r="NO23" s="504">
        <v>0</v>
      </c>
      <c r="NP23" s="504">
        <v>0</v>
      </c>
      <c r="NQ23" s="504">
        <v>0</v>
      </c>
      <c r="NR23" s="504">
        <v>0</v>
      </c>
      <c r="NS23" s="504">
        <v>0</v>
      </c>
      <c r="NT23" s="504">
        <v>0</v>
      </c>
      <c r="NU23" s="504">
        <v>0</v>
      </c>
      <c r="NV23" s="504">
        <v>0</v>
      </c>
      <c r="NW23" s="504">
        <v>0</v>
      </c>
      <c r="NX23" s="504">
        <v>0</v>
      </c>
      <c r="NY23" s="504">
        <v>0</v>
      </c>
      <c r="NZ23" s="504">
        <v>0</v>
      </c>
      <c r="OA23" s="504">
        <v>0</v>
      </c>
      <c r="OB23" s="504">
        <v>0</v>
      </c>
      <c r="OC23" s="504">
        <v>0</v>
      </c>
      <c r="OD23" s="504">
        <v>0</v>
      </c>
      <c r="OE23" s="504">
        <v>0</v>
      </c>
      <c r="OF23" s="504">
        <v>0</v>
      </c>
      <c r="OG23" s="504">
        <v>0</v>
      </c>
      <c r="OH23" s="504">
        <v>0</v>
      </c>
      <c r="OI23" s="504">
        <v>0</v>
      </c>
      <c r="OJ23" s="504">
        <v>0</v>
      </c>
      <c r="OK23" s="504">
        <v>0</v>
      </c>
      <c r="OL23" s="504">
        <v>0</v>
      </c>
      <c r="OM23" s="504">
        <v>0</v>
      </c>
      <c r="ON23" s="494"/>
    </row>
    <row r="24" spans="1:404" ht="18.75" customHeight="1" x14ac:dyDescent="0.4">
      <c r="A24" s="355" t="s">
        <v>300</v>
      </c>
      <c r="B24" s="358">
        <v>156</v>
      </c>
      <c r="C24" s="355" t="s">
        <v>60</v>
      </c>
      <c r="D24" s="501">
        <v>19.88</v>
      </c>
      <c r="E24" s="502">
        <v>186172</v>
      </c>
      <c r="F24" s="501">
        <v>19.87</v>
      </c>
      <c r="G24" s="502">
        <v>14146</v>
      </c>
      <c r="H24" s="501">
        <v>19.87</v>
      </c>
      <c r="I24" s="502">
        <v>49696</v>
      </c>
      <c r="J24" s="501">
        <v>19.87</v>
      </c>
      <c r="K24" s="502">
        <v>58014</v>
      </c>
      <c r="V24" s="501"/>
      <c r="W24" s="503"/>
      <c r="X24" s="501"/>
      <c r="Y24" s="503"/>
      <c r="Z24" s="501"/>
      <c r="AA24" s="503"/>
      <c r="AB24" s="495"/>
      <c r="AC24" s="504">
        <v>0</v>
      </c>
      <c r="AD24" s="504">
        <v>0</v>
      </c>
      <c r="AE24" s="504">
        <v>0</v>
      </c>
      <c r="AF24" s="504">
        <v>0</v>
      </c>
      <c r="AG24" s="504">
        <v>0</v>
      </c>
      <c r="AH24" s="504">
        <v>0</v>
      </c>
      <c r="AI24" s="504">
        <v>0</v>
      </c>
      <c r="AJ24" s="504">
        <v>0</v>
      </c>
      <c r="AK24" s="504">
        <v>0</v>
      </c>
      <c r="AL24" s="504">
        <v>0</v>
      </c>
      <c r="AM24" s="504">
        <v>0</v>
      </c>
      <c r="AN24" s="504">
        <v>0</v>
      </c>
      <c r="AO24" s="504">
        <v>0</v>
      </c>
      <c r="AP24" s="504">
        <v>0</v>
      </c>
      <c r="AQ24" s="504">
        <v>0</v>
      </c>
      <c r="AR24" s="504">
        <v>0</v>
      </c>
      <c r="AS24" s="504">
        <v>0</v>
      </c>
      <c r="AT24" s="504">
        <v>0</v>
      </c>
      <c r="AU24" s="504">
        <v>0</v>
      </c>
      <c r="AV24" s="504">
        <v>0</v>
      </c>
      <c r="AW24" s="504">
        <v>0</v>
      </c>
      <c r="AX24" s="504">
        <v>0</v>
      </c>
      <c r="AY24" s="504">
        <v>0</v>
      </c>
      <c r="AZ24" s="504">
        <v>0</v>
      </c>
      <c r="BA24" s="504">
        <v>0</v>
      </c>
      <c r="BB24" s="504">
        <v>0</v>
      </c>
      <c r="BC24" s="504">
        <v>0</v>
      </c>
      <c r="BD24" s="504">
        <v>0</v>
      </c>
      <c r="BE24" s="504">
        <v>0</v>
      </c>
      <c r="BF24" s="504">
        <v>0</v>
      </c>
      <c r="BG24" s="504">
        <v>0</v>
      </c>
      <c r="BH24" s="504">
        <v>0</v>
      </c>
      <c r="BI24" s="504">
        <v>0</v>
      </c>
      <c r="BJ24" s="504">
        <v>0</v>
      </c>
      <c r="BK24" s="504">
        <v>0</v>
      </c>
      <c r="BL24" s="504">
        <v>0</v>
      </c>
      <c r="BM24" s="504">
        <v>0</v>
      </c>
      <c r="BN24" s="504">
        <v>0</v>
      </c>
      <c r="BO24" s="504">
        <v>0</v>
      </c>
      <c r="BP24" s="504">
        <v>0</v>
      </c>
      <c r="BQ24" s="504">
        <v>0</v>
      </c>
      <c r="BR24" s="504">
        <v>0</v>
      </c>
      <c r="BS24" s="504">
        <v>0</v>
      </c>
      <c r="BT24" s="504">
        <v>0</v>
      </c>
      <c r="BU24" s="504">
        <v>0</v>
      </c>
      <c r="BV24" s="504">
        <v>0</v>
      </c>
      <c r="BW24" s="504">
        <v>0</v>
      </c>
      <c r="BX24" s="504">
        <v>0</v>
      </c>
      <c r="BY24" s="504">
        <v>0</v>
      </c>
      <c r="BZ24" s="504">
        <v>0</v>
      </c>
      <c r="CA24" s="504">
        <v>0</v>
      </c>
      <c r="CB24" s="504">
        <v>0</v>
      </c>
      <c r="CC24" s="504">
        <v>0</v>
      </c>
      <c r="CD24" s="504">
        <v>0</v>
      </c>
      <c r="CE24" s="504">
        <v>0</v>
      </c>
      <c r="CF24" s="504">
        <v>0</v>
      </c>
      <c r="CG24" s="504">
        <v>0</v>
      </c>
      <c r="CH24" s="504">
        <v>0</v>
      </c>
      <c r="CI24" s="504">
        <v>0</v>
      </c>
      <c r="CJ24" s="504">
        <v>0</v>
      </c>
      <c r="CK24" s="504">
        <v>0</v>
      </c>
      <c r="CL24" s="504">
        <v>0</v>
      </c>
      <c r="CM24" s="504">
        <v>0</v>
      </c>
      <c r="CN24" s="504">
        <v>0</v>
      </c>
      <c r="CO24" s="504">
        <v>0</v>
      </c>
      <c r="CP24" s="504">
        <v>0</v>
      </c>
      <c r="CQ24" s="504">
        <v>0</v>
      </c>
      <c r="CR24" s="504">
        <v>0</v>
      </c>
      <c r="CS24" s="504">
        <v>0</v>
      </c>
      <c r="CT24" s="504">
        <v>0</v>
      </c>
      <c r="CU24" s="504">
        <v>0</v>
      </c>
      <c r="CV24" s="504">
        <v>0</v>
      </c>
      <c r="CW24" s="504">
        <v>0</v>
      </c>
      <c r="CX24" s="504">
        <v>0</v>
      </c>
      <c r="CY24" s="504">
        <v>0</v>
      </c>
      <c r="CZ24" s="504">
        <v>0</v>
      </c>
      <c r="DA24" s="504">
        <v>0</v>
      </c>
      <c r="DB24" s="504">
        <v>0</v>
      </c>
      <c r="DC24" s="504">
        <v>0</v>
      </c>
      <c r="DD24" s="504">
        <v>0</v>
      </c>
      <c r="DE24" s="504">
        <v>0</v>
      </c>
      <c r="DF24" s="504">
        <v>0</v>
      </c>
      <c r="DG24" s="504">
        <v>0</v>
      </c>
      <c r="DH24" s="504">
        <v>0</v>
      </c>
      <c r="DI24" s="504">
        <v>0</v>
      </c>
      <c r="DJ24" s="504">
        <v>0</v>
      </c>
      <c r="DK24" s="504">
        <v>0</v>
      </c>
      <c r="DL24" s="504">
        <v>0</v>
      </c>
      <c r="DM24" s="504">
        <v>0</v>
      </c>
      <c r="DN24" s="504">
        <v>0</v>
      </c>
      <c r="DO24" s="504">
        <v>0</v>
      </c>
      <c r="DP24" s="504">
        <v>0</v>
      </c>
      <c r="DQ24" s="504">
        <v>0</v>
      </c>
      <c r="DR24" s="504">
        <v>0</v>
      </c>
      <c r="DS24" s="504">
        <v>0</v>
      </c>
      <c r="DT24" s="504">
        <v>0</v>
      </c>
      <c r="DU24" s="504">
        <v>0</v>
      </c>
      <c r="DV24" s="504">
        <v>0</v>
      </c>
      <c r="DW24" s="504">
        <v>0</v>
      </c>
      <c r="DX24" s="504">
        <v>0</v>
      </c>
      <c r="DY24" s="504">
        <v>0</v>
      </c>
      <c r="DZ24" s="504">
        <v>0</v>
      </c>
      <c r="EA24" s="504">
        <v>0</v>
      </c>
      <c r="EB24" s="504">
        <v>0</v>
      </c>
      <c r="EC24" s="504">
        <v>0</v>
      </c>
      <c r="ED24" s="504">
        <v>0</v>
      </c>
      <c r="EE24" s="504">
        <v>0</v>
      </c>
      <c r="EF24" s="504">
        <v>0</v>
      </c>
      <c r="EG24" s="504">
        <v>0</v>
      </c>
      <c r="EH24" s="504">
        <v>0</v>
      </c>
      <c r="EI24" s="504">
        <v>0</v>
      </c>
      <c r="EJ24" s="504">
        <v>0</v>
      </c>
      <c r="EK24" s="504">
        <v>0</v>
      </c>
      <c r="EL24" s="504">
        <v>0</v>
      </c>
      <c r="EM24" s="504">
        <v>0</v>
      </c>
      <c r="EN24" s="504">
        <v>0</v>
      </c>
      <c r="EO24" s="504">
        <v>0</v>
      </c>
      <c r="EP24" s="504">
        <v>0</v>
      </c>
      <c r="EQ24" s="504">
        <v>0</v>
      </c>
      <c r="ER24" s="504">
        <v>0</v>
      </c>
      <c r="ES24" s="504">
        <v>0</v>
      </c>
      <c r="ET24" s="504">
        <v>0</v>
      </c>
      <c r="EU24" s="504">
        <v>0</v>
      </c>
      <c r="EV24" s="504">
        <v>0</v>
      </c>
      <c r="EW24" s="504">
        <v>0</v>
      </c>
      <c r="EX24" s="504">
        <v>0</v>
      </c>
      <c r="EY24" s="504">
        <v>0</v>
      </c>
      <c r="EZ24" s="504">
        <v>0</v>
      </c>
      <c r="FA24" s="504">
        <v>0</v>
      </c>
      <c r="FB24" s="504">
        <v>0</v>
      </c>
      <c r="FC24" s="504">
        <v>0</v>
      </c>
      <c r="FD24" s="504">
        <v>0</v>
      </c>
      <c r="FE24" s="504">
        <v>0</v>
      </c>
      <c r="FF24" s="504">
        <v>0</v>
      </c>
      <c r="FG24" s="504">
        <v>0</v>
      </c>
      <c r="FH24" s="504">
        <v>0</v>
      </c>
      <c r="FI24" s="504">
        <v>0</v>
      </c>
      <c r="FJ24" s="504">
        <v>0</v>
      </c>
      <c r="FK24" s="504">
        <v>0</v>
      </c>
      <c r="FL24" s="504">
        <v>0</v>
      </c>
      <c r="FM24" s="504">
        <v>0</v>
      </c>
      <c r="FN24" s="504">
        <v>0</v>
      </c>
      <c r="FO24" s="504">
        <v>0</v>
      </c>
      <c r="FP24" s="504">
        <v>0</v>
      </c>
      <c r="FQ24" s="504">
        <v>0</v>
      </c>
      <c r="FR24" s="504">
        <v>0</v>
      </c>
      <c r="FS24" s="504">
        <v>0</v>
      </c>
      <c r="FT24" s="504">
        <v>0</v>
      </c>
      <c r="FU24" s="504">
        <v>0</v>
      </c>
      <c r="FV24" s="504">
        <v>0</v>
      </c>
      <c r="FW24" s="504">
        <v>0</v>
      </c>
      <c r="FX24" s="504">
        <v>0</v>
      </c>
      <c r="FY24" s="504">
        <v>0</v>
      </c>
      <c r="FZ24" s="504">
        <v>0</v>
      </c>
      <c r="GA24" s="504">
        <v>0</v>
      </c>
      <c r="GB24" s="504">
        <v>0</v>
      </c>
      <c r="GC24" s="504">
        <v>0</v>
      </c>
      <c r="GD24" s="504">
        <v>0</v>
      </c>
      <c r="GE24" s="504">
        <v>0</v>
      </c>
      <c r="GF24" s="504">
        <v>0</v>
      </c>
      <c r="GG24" s="504">
        <v>0</v>
      </c>
      <c r="GH24" s="504">
        <v>0</v>
      </c>
      <c r="GI24" s="504">
        <v>0</v>
      </c>
      <c r="GJ24" s="504">
        <v>0</v>
      </c>
      <c r="GK24" s="504">
        <v>0</v>
      </c>
      <c r="GL24" s="504">
        <v>0</v>
      </c>
      <c r="GM24" s="504">
        <v>0</v>
      </c>
      <c r="GN24" s="504">
        <v>0</v>
      </c>
      <c r="GO24" s="504">
        <v>0</v>
      </c>
      <c r="GP24" s="504">
        <v>0</v>
      </c>
      <c r="GQ24" s="504">
        <v>0</v>
      </c>
      <c r="GR24" s="504">
        <v>0</v>
      </c>
      <c r="GS24" s="504">
        <v>0</v>
      </c>
      <c r="GT24" s="504">
        <v>0</v>
      </c>
      <c r="GU24" s="504">
        <v>0</v>
      </c>
      <c r="GV24" s="504">
        <v>0</v>
      </c>
      <c r="GW24" s="504">
        <v>0</v>
      </c>
      <c r="GX24" s="504">
        <v>0</v>
      </c>
      <c r="GY24" s="504">
        <v>0</v>
      </c>
      <c r="GZ24" s="504">
        <v>0</v>
      </c>
      <c r="HA24" s="504">
        <v>0</v>
      </c>
      <c r="HB24" s="504">
        <v>0</v>
      </c>
      <c r="HC24" s="504">
        <v>0</v>
      </c>
      <c r="HD24" s="504">
        <v>0</v>
      </c>
      <c r="HE24" s="504">
        <v>0</v>
      </c>
      <c r="HF24" s="504">
        <v>0</v>
      </c>
      <c r="HG24" s="504">
        <v>0</v>
      </c>
      <c r="HH24" s="504">
        <v>0</v>
      </c>
      <c r="HI24" s="504">
        <v>0</v>
      </c>
      <c r="HJ24" s="504">
        <v>0</v>
      </c>
      <c r="HK24" s="504">
        <v>0</v>
      </c>
      <c r="HL24" s="504">
        <v>0</v>
      </c>
      <c r="HM24" s="504">
        <v>0</v>
      </c>
      <c r="HN24" s="504">
        <v>0</v>
      </c>
      <c r="HO24" s="504">
        <v>0</v>
      </c>
      <c r="HP24" s="504">
        <v>0</v>
      </c>
      <c r="HQ24" s="504">
        <v>0</v>
      </c>
      <c r="HR24" s="504">
        <v>0</v>
      </c>
      <c r="HS24" s="504">
        <v>0</v>
      </c>
      <c r="HT24" s="504">
        <v>0</v>
      </c>
      <c r="HU24" s="504">
        <v>0</v>
      </c>
      <c r="HV24" s="504">
        <v>0</v>
      </c>
      <c r="HW24" s="504">
        <v>0</v>
      </c>
      <c r="HX24" s="504">
        <v>0</v>
      </c>
      <c r="HY24" s="504">
        <v>0</v>
      </c>
      <c r="HZ24" s="504">
        <v>0</v>
      </c>
      <c r="IA24" s="504">
        <v>0</v>
      </c>
      <c r="IB24" s="504">
        <v>0</v>
      </c>
      <c r="IC24" s="504">
        <v>0</v>
      </c>
      <c r="ID24" s="504">
        <v>0</v>
      </c>
      <c r="IE24" s="504">
        <v>0</v>
      </c>
      <c r="IF24" s="504">
        <v>0</v>
      </c>
      <c r="IG24" s="504">
        <v>0</v>
      </c>
      <c r="IH24" s="504">
        <v>0</v>
      </c>
      <c r="II24" s="504">
        <v>0</v>
      </c>
      <c r="IJ24" s="504">
        <v>0</v>
      </c>
      <c r="IK24" s="504">
        <v>0</v>
      </c>
      <c r="IL24" s="504">
        <v>0</v>
      </c>
      <c r="IM24" s="504">
        <v>0</v>
      </c>
      <c r="IN24" s="504">
        <v>0</v>
      </c>
      <c r="IO24" s="504">
        <v>0</v>
      </c>
      <c r="IP24" s="504">
        <v>0</v>
      </c>
      <c r="IQ24" s="504">
        <v>0</v>
      </c>
      <c r="IR24" s="504">
        <v>0</v>
      </c>
      <c r="IS24" s="504">
        <v>0</v>
      </c>
      <c r="IT24" s="504">
        <v>0</v>
      </c>
      <c r="IU24" s="504">
        <v>0</v>
      </c>
      <c r="IV24" s="504">
        <v>0</v>
      </c>
      <c r="IW24" s="504">
        <v>0</v>
      </c>
      <c r="IX24" s="504">
        <v>0</v>
      </c>
      <c r="IY24" s="504">
        <v>0</v>
      </c>
      <c r="IZ24" s="504">
        <v>0</v>
      </c>
      <c r="JA24" s="504">
        <v>0</v>
      </c>
      <c r="JB24" s="504">
        <v>0</v>
      </c>
      <c r="JC24" s="504">
        <v>0</v>
      </c>
      <c r="JD24" s="504">
        <v>0</v>
      </c>
      <c r="JE24" s="504">
        <v>0</v>
      </c>
      <c r="JF24" s="504">
        <v>0</v>
      </c>
      <c r="JG24" s="504">
        <v>0</v>
      </c>
      <c r="JH24" s="504">
        <v>0</v>
      </c>
      <c r="JI24" s="504">
        <v>0</v>
      </c>
      <c r="JJ24" s="504">
        <v>0</v>
      </c>
      <c r="JK24" s="504">
        <v>0</v>
      </c>
      <c r="JL24" s="504">
        <v>0</v>
      </c>
      <c r="JM24" s="504">
        <v>0</v>
      </c>
      <c r="JN24" s="504">
        <v>0</v>
      </c>
      <c r="JO24" s="504">
        <v>0</v>
      </c>
      <c r="JP24" s="504">
        <v>0</v>
      </c>
      <c r="JQ24" s="504">
        <v>0</v>
      </c>
      <c r="JR24" s="504">
        <v>0</v>
      </c>
      <c r="JS24" s="504">
        <v>0</v>
      </c>
      <c r="JT24" s="504">
        <v>0</v>
      </c>
      <c r="JU24" s="504">
        <v>0</v>
      </c>
      <c r="JV24" s="504">
        <v>0</v>
      </c>
      <c r="JW24" s="504">
        <v>0</v>
      </c>
      <c r="JX24" s="504">
        <v>0</v>
      </c>
      <c r="JY24" s="504">
        <v>0</v>
      </c>
      <c r="JZ24" s="504">
        <v>0</v>
      </c>
      <c r="KA24" s="504">
        <v>0</v>
      </c>
      <c r="KB24" s="504">
        <v>0</v>
      </c>
      <c r="KC24" s="504">
        <v>0</v>
      </c>
      <c r="KD24" s="504">
        <v>0</v>
      </c>
      <c r="KE24" s="504">
        <v>0</v>
      </c>
      <c r="KF24" s="504">
        <v>0</v>
      </c>
      <c r="KG24" s="504">
        <v>0</v>
      </c>
      <c r="KH24" s="504">
        <v>0</v>
      </c>
      <c r="KI24" s="504">
        <v>0</v>
      </c>
      <c r="KJ24" s="504">
        <v>0</v>
      </c>
      <c r="KK24" s="504">
        <v>0</v>
      </c>
      <c r="KL24" s="504">
        <v>0</v>
      </c>
      <c r="KM24" s="504">
        <v>0</v>
      </c>
      <c r="KN24" s="504">
        <v>0</v>
      </c>
      <c r="KO24" s="504">
        <v>0</v>
      </c>
      <c r="KP24" s="504">
        <v>0</v>
      </c>
      <c r="KQ24" s="504">
        <v>0</v>
      </c>
      <c r="KR24" s="504">
        <v>0</v>
      </c>
      <c r="KS24" s="504">
        <v>0</v>
      </c>
      <c r="KT24" s="504">
        <v>0</v>
      </c>
      <c r="KU24" s="504">
        <v>0</v>
      </c>
      <c r="KV24" s="504">
        <v>0</v>
      </c>
      <c r="KW24" s="504">
        <v>0</v>
      </c>
      <c r="KX24" s="504">
        <v>0</v>
      </c>
      <c r="KY24" s="504">
        <v>0</v>
      </c>
      <c r="KZ24" s="504">
        <v>0</v>
      </c>
      <c r="LA24" s="504">
        <v>0</v>
      </c>
      <c r="LB24" s="504">
        <v>0</v>
      </c>
      <c r="LC24" s="504">
        <v>0</v>
      </c>
      <c r="LD24" s="504">
        <v>0</v>
      </c>
      <c r="LE24" s="504">
        <v>0</v>
      </c>
      <c r="LF24" s="504">
        <v>0</v>
      </c>
      <c r="LG24" s="504">
        <v>0</v>
      </c>
      <c r="LH24" s="504">
        <v>0</v>
      </c>
      <c r="LI24" s="504">
        <v>0</v>
      </c>
      <c r="LJ24" s="504">
        <v>0</v>
      </c>
      <c r="LK24" s="504">
        <v>0</v>
      </c>
      <c r="LL24" s="504">
        <v>0</v>
      </c>
      <c r="LM24" s="504">
        <v>0</v>
      </c>
      <c r="LN24" s="504">
        <v>0</v>
      </c>
      <c r="LO24" s="504">
        <v>0</v>
      </c>
      <c r="LP24" s="504">
        <v>0</v>
      </c>
      <c r="LQ24" s="504">
        <v>0</v>
      </c>
      <c r="LR24" s="504">
        <v>0</v>
      </c>
      <c r="LS24" s="504">
        <v>0</v>
      </c>
      <c r="LT24" s="504">
        <v>0</v>
      </c>
      <c r="LU24" s="504">
        <v>0</v>
      </c>
      <c r="LV24" s="504">
        <v>0</v>
      </c>
      <c r="LW24" s="504">
        <v>0</v>
      </c>
      <c r="LX24" s="504">
        <v>0</v>
      </c>
      <c r="LY24" s="504">
        <v>0</v>
      </c>
      <c r="LZ24" s="504">
        <v>0</v>
      </c>
      <c r="MA24" s="504">
        <v>0</v>
      </c>
      <c r="MB24" s="504">
        <v>0</v>
      </c>
      <c r="MC24" s="504">
        <v>0</v>
      </c>
      <c r="MD24" s="504">
        <v>0</v>
      </c>
      <c r="ME24" s="504">
        <v>0</v>
      </c>
      <c r="MF24" s="504">
        <v>0</v>
      </c>
      <c r="MG24" s="504">
        <v>0</v>
      </c>
      <c r="MH24" s="504">
        <v>0</v>
      </c>
      <c r="MI24" s="504">
        <v>0</v>
      </c>
      <c r="MJ24" s="504">
        <v>0</v>
      </c>
      <c r="MK24" s="504">
        <v>0</v>
      </c>
      <c r="ML24" s="504">
        <v>0</v>
      </c>
      <c r="MM24" s="504">
        <v>0</v>
      </c>
      <c r="MN24" s="504">
        <v>0</v>
      </c>
      <c r="MO24" s="504">
        <v>0</v>
      </c>
      <c r="MP24" s="504">
        <v>0</v>
      </c>
      <c r="MQ24" s="504">
        <v>0</v>
      </c>
      <c r="MR24" s="504">
        <v>0</v>
      </c>
      <c r="MS24" s="504">
        <v>0</v>
      </c>
      <c r="MT24" s="504">
        <v>0</v>
      </c>
      <c r="MU24" s="504">
        <v>0</v>
      </c>
      <c r="MV24" s="504">
        <v>0</v>
      </c>
      <c r="MW24" s="504">
        <v>0</v>
      </c>
      <c r="MX24" s="504">
        <v>0</v>
      </c>
      <c r="MY24" s="504">
        <v>0</v>
      </c>
      <c r="MZ24" s="504">
        <v>0</v>
      </c>
      <c r="NA24" s="504">
        <v>0</v>
      </c>
      <c r="NB24" s="504">
        <v>0</v>
      </c>
      <c r="NC24" s="504">
        <v>0</v>
      </c>
      <c r="ND24" s="504">
        <v>0</v>
      </c>
      <c r="NE24" s="504">
        <v>0</v>
      </c>
      <c r="NF24" s="504">
        <v>0</v>
      </c>
      <c r="NG24" s="504">
        <v>0</v>
      </c>
      <c r="NH24" s="504">
        <v>0</v>
      </c>
      <c r="NI24" s="504">
        <v>0</v>
      </c>
      <c r="NJ24" s="504">
        <v>0</v>
      </c>
      <c r="NK24" s="504">
        <v>0</v>
      </c>
      <c r="NL24" s="504">
        <v>0</v>
      </c>
      <c r="NM24" s="504">
        <v>0</v>
      </c>
      <c r="NN24" s="504">
        <v>0</v>
      </c>
      <c r="NO24" s="504">
        <v>0</v>
      </c>
      <c r="NP24" s="504">
        <v>0</v>
      </c>
      <c r="NQ24" s="504">
        <v>0</v>
      </c>
      <c r="NR24" s="504">
        <v>0</v>
      </c>
      <c r="NS24" s="504">
        <v>0</v>
      </c>
      <c r="NT24" s="504">
        <v>0</v>
      </c>
      <c r="NU24" s="504">
        <v>0</v>
      </c>
      <c r="NV24" s="504">
        <v>0</v>
      </c>
      <c r="NW24" s="504">
        <v>0</v>
      </c>
      <c r="NX24" s="504">
        <v>0</v>
      </c>
      <c r="NY24" s="504">
        <v>0</v>
      </c>
      <c r="NZ24" s="504">
        <v>0</v>
      </c>
      <c r="OA24" s="504">
        <v>0</v>
      </c>
      <c r="OB24" s="504">
        <v>0</v>
      </c>
      <c r="OC24" s="504">
        <v>0</v>
      </c>
      <c r="OD24" s="504">
        <v>0</v>
      </c>
      <c r="OE24" s="504">
        <v>0</v>
      </c>
      <c r="OF24" s="504">
        <v>0</v>
      </c>
      <c r="OG24" s="504">
        <v>0</v>
      </c>
      <c r="OH24" s="504">
        <v>0</v>
      </c>
      <c r="OI24" s="504">
        <v>0</v>
      </c>
      <c r="OJ24" s="504">
        <v>0</v>
      </c>
      <c r="OK24" s="504">
        <v>0</v>
      </c>
      <c r="OL24" s="504">
        <v>0</v>
      </c>
      <c r="OM24" s="504">
        <v>0</v>
      </c>
      <c r="ON24" s="494"/>
    </row>
    <row r="25" spans="1:404" ht="18.75" customHeight="1" x14ac:dyDescent="0.4">
      <c r="A25" s="355" t="s">
        <v>301</v>
      </c>
      <c r="B25" s="358">
        <v>156</v>
      </c>
      <c r="C25" s="355" t="s">
        <v>60</v>
      </c>
      <c r="D25" s="501">
        <v>20.13</v>
      </c>
      <c r="E25" s="502">
        <v>540515</v>
      </c>
      <c r="F25" s="501">
        <v>20.13</v>
      </c>
      <c r="G25" s="502">
        <v>60200</v>
      </c>
      <c r="H25" s="501">
        <v>20.12</v>
      </c>
      <c r="I25" s="502">
        <v>179836</v>
      </c>
      <c r="J25" s="501">
        <v>20.13</v>
      </c>
      <c r="K25" s="502">
        <v>207141</v>
      </c>
      <c r="V25" s="501"/>
      <c r="W25" s="503"/>
      <c r="X25" s="501"/>
      <c r="Y25" s="503"/>
      <c r="Z25" s="501"/>
      <c r="AA25" s="503"/>
      <c r="AB25" s="495"/>
      <c r="AC25" s="504">
        <v>0</v>
      </c>
      <c r="AD25" s="504">
        <v>0</v>
      </c>
      <c r="AE25" s="504">
        <v>0</v>
      </c>
      <c r="AF25" s="504">
        <v>0</v>
      </c>
      <c r="AG25" s="504">
        <v>0</v>
      </c>
      <c r="AH25" s="504">
        <v>0</v>
      </c>
      <c r="AI25" s="504">
        <v>0</v>
      </c>
      <c r="AJ25" s="504">
        <v>0</v>
      </c>
      <c r="AK25" s="504">
        <v>0</v>
      </c>
      <c r="AL25" s="504">
        <v>0</v>
      </c>
      <c r="AM25" s="504">
        <v>0</v>
      </c>
      <c r="AN25" s="504">
        <v>0</v>
      </c>
      <c r="AO25" s="504">
        <v>0</v>
      </c>
      <c r="AP25" s="504">
        <v>0</v>
      </c>
      <c r="AQ25" s="504">
        <v>0</v>
      </c>
      <c r="AR25" s="504">
        <v>0</v>
      </c>
      <c r="AS25" s="504">
        <v>0</v>
      </c>
      <c r="AT25" s="504">
        <v>0</v>
      </c>
      <c r="AU25" s="504">
        <v>0</v>
      </c>
      <c r="AV25" s="504">
        <v>0</v>
      </c>
      <c r="AW25" s="504">
        <v>0</v>
      </c>
      <c r="AX25" s="504">
        <v>0</v>
      </c>
      <c r="AY25" s="504">
        <v>0</v>
      </c>
      <c r="AZ25" s="504">
        <v>0</v>
      </c>
      <c r="BA25" s="504">
        <v>0</v>
      </c>
      <c r="BB25" s="504">
        <v>0</v>
      </c>
      <c r="BC25" s="504">
        <v>0</v>
      </c>
      <c r="BD25" s="504">
        <v>0</v>
      </c>
      <c r="BE25" s="504">
        <v>0</v>
      </c>
      <c r="BF25" s="504">
        <v>0</v>
      </c>
      <c r="BG25" s="504">
        <v>0</v>
      </c>
      <c r="BH25" s="504">
        <v>0</v>
      </c>
      <c r="BI25" s="504">
        <v>0</v>
      </c>
      <c r="BJ25" s="504">
        <v>0</v>
      </c>
      <c r="BK25" s="504">
        <v>0</v>
      </c>
      <c r="BL25" s="504">
        <v>0</v>
      </c>
      <c r="BM25" s="504">
        <v>0</v>
      </c>
      <c r="BN25" s="504">
        <v>0</v>
      </c>
      <c r="BO25" s="504">
        <v>0</v>
      </c>
      <c r="BP25" s="504">
        <v>0</v>
      </c>
      <c r="BQ25" s="504">
        <v>0</v>
      </c>
      <c r="BR25" s="504">
        <v>0</v>
      </c>
      <c r="BS25" s="504">
        <v>0</v>
      </c>
      <c r="BT25" s="504">
        <v>0</v>
      </c>
      <c r="BU25" s="504">
        <v>0</v>
      </c>
      <c r="BV25" s="504">
        <v>0</v>
      </c>
      <c r="BW25" s="504">
        <v>0</v>
      </c>
      <c r="BX25" s="504">
        <v>0</v>
      </c>
      <c r="BY25" s="504">
        <v>0</v>
      </c>
      <c r="BZ25" s="504">
        <v>0</v>
      </c>
      <c r="CA25" s="504">
        <v>0</v>
      </c>
      <c r="CB25" s="504">
        <v>0</v>
      </c>
      <c r="CC25" s="504">
        <v>0</v>
      </c>
      <c r="CD25" s="504">
        <v>0</v>
      </c>
      <c r="CE25" s="504">
        <v>0</v>
      </c>
      <c r="CF25" s="504">
        <v>0</v>
      </c>
      <c r="CG25" s="504">
        <v>0</v>
      </c>
      <c r="CH25" s="504">
        <v>0</v>
      </c>
      <c r="CI25" s="504">
        <v>0</v>
      </c>
      <c r="CJ25" s="504">
        <v>0</v>
      </c>
      <c r="CK25" s="504">
        <v>0</v>
      </c>
      <c r="CL25" s="504">
        <v>0</v>
      </c>
      <c r="CM25" s="504">
        <v>0</v>
      </c>
      <c r="CN25" s="504">
        <v>0</v>
      </c>
      <c r="CO25" s="504">
        <v>0</v>
      </c>
      <c r="CP25" s="504">
        <v>0</v>
      </c>
      <c r="CQ25" s="504">
        <v>0</v>
      </c>
      <c r="CR25" s="504">
        <v>0</v>
      </c>
      <c r="CS25" s="504">
        <v>0</v>
      </c>
      <c r="CT25" s="504">
        <v>0</v>
      </c>
      <c r="CU25" s="504">
        <v>0</v>
      </c>
      <c r="CV25" s="504">
        <v>0</v>
      </c>
      <c r="CW25" s="504">
        <v>0</v>
      </c>
      <c r="CX25" s="504">
        <v>0</v>
      </c>
      <c r="CY25" s="504">
        <v>0</v>
      </c>
      <c r="CZ25" s="504">
        <v>0</v>
      </c>
      <c r="DA25" s="504">
        <v>0</v>
      </c>
      <c r="DB25" s="504">
        <v>0</v>
      </c>
      <c r="DC25" s="504">
        <v>0</v>
      </c>
      <c r="DD25" s="504">
        <v>0</v>
      </c>
      <c r="DE25" s="504">
        <v>0</v>
      </c>
      <c r="DF25" s="504">
        <v>0</v>
      </c>
      <c r="DG25" s="504">
        <v>0</v>
      </c>
      <c r="DH25" s="504">
        <v>0</v>
      </c>
      <c r="DI25" s="504">
        <v>0</v>
      </c>
      <c r="DJ25" s="504">
        <v>0</v>
      </c>
      <c r="DK25" s="504">
        <v>0</v>
      </c>
      <c r="DL25" s="504">
        <v>0</v>
      </c>
      <c r="DM25" s="504">
        <v>0</v>
      </c>
      <c r="DN25" s="504">
        <v>0</v>
      </c>
      <c r="DO25" s="504">
        <v>0</v>
      </c>
      <c r="DP25" s="504">
        <v>0</v>
      </c>
      <c r="DQ25" s="504">
        <v>0</v>
      </c>
      <c r="DR25" s="504">
        <v>0</v>
      </c>
      <c r="DS25" s="504">
        <v>0</v>
      </c>
      <c r="DT25" s="504">
        <v>0</v>
      </c>
      <c r="DU25" s="504">
        <v>0</v>
      </c>
      <c r="DV25" s="504">
        <v>0</v>
      </c>
      <c r="DW25" s="504">
        <v>0</v>
      </c>
      <c r="DX25" s="504">
        <v>0</v>
      </c>
      <c r="DY25" s="504">
        <v>0</v>
      </c>
      <c r="DZ25" s="504">
        <v>0</v>
      </c>
      <c r="EA25" s="504">
        <v>0</v>
      </c>
      <c r="EB25" s="504">
        <v>0</v>
      </c>
      <c r="EC25" s="504">
        <v>0</v>
      </c>
      <c r="ED25" s="504">
        <v>0</v>
      </c>
      <c r="EE25" s="504">
        <v>0</v>
      </c>
      <c r="EF25" s="504">
        <v>0</v>
      </c>
      <c r="EG25" s="504">
        <v>0</v>
      </c>
      <c r="EH25" s="504">
        <v>0</v>
      </c>
      <c r="EI25" s="504">
        <v>0</v>
      </c>
      <c r="EJ25" s="504">
        <v>0</v>
      </c>
      <c r="EK25" s="504">
        <v>0</v>
      </c>
      <c r="EL25" s="504">
        <v>0</v>
      </c>
      <c r="EM25" s="504">
        <v>0</v>
      </c>
      <c r="EN25" s="504">
        <v>0</v>
      </c>
      <c r="EO25" s="504">
        <v>0</v>
      </c>
      <c r="EP25" s="504">
        <v>0</v>
      </c>
      <c r="EQ25" s="504">
        <v>0</v>
      </c>
      <c r="ER25" s="504">
        <v>0</v>
      </c>
      <c r="ES25" s="504">
        <v>0</v>
      </c>
      <c r="ET25" s="504">
        <v>0</v>
      </c>
      <c r="EU25" s="504">
        <v>0</v>
      </c>
      <c r="EV25" s="504">
        <v>0</v>
      </c>
      <c r="EW25" s="504">
        <v>0</v>
      </c>
      <c r="EX25" s="504">
        <v>0</v>
      </c>
      <c r="EY25" s="504">
        <v>0</v>
      </c>
      <c r="EZ25" s="504">
        <v>0</v>
      </c>
      <c r="FA25" s="504">
        <v>0</v>
      </c>
      <c r="FB25" s="504">
        <v>0</v>
      </c>
      <c r="FC25" s="504">
        <v>0</v>
      </c>
      <c r="FD25" s="504">
        <v>0</v>
      </c>
      <c r="FE25" s="504">
        <v>0</v>
      </c>
      <c r="FF25" s="504">
        <v>0</v>
      </c>
      <c r="FG25" s="504">
        <v>0</v>
      </c>
      <c r="FH25" s="504">
        <v>0</v>
      </c>
      <c r="FI25" s="504">
        <v>0</v>
      </c>
      <c r="FJ25" s="504">
        <v>0</v>
      </c>
      <c r="FK25" s="504">
        <v>0</v>
      </c>
      <c r="FL25" s="504">
        <v>0</v>
      </c>
      <c r="FM25" s="504">
        <v>0</v>
      </c>
      <c r="FN25" s="504">
        <v>0</v>
      </c>
      <c r="FO25" s="504">
        <v>0</v>
      </c>
      <c r="FP25" s="504">
        <v>0</v>
      </c>
      <c r="FQ25" s="504">
        <v>0</v>
      </c>
      <c r="FR25" s="504">
        <v>0</v>
      </c>
      <c r="FS25" s="504">
        <v>0</v>
      </c>
      <c r="FT25" s="504">
        <v>0</v>
      </c>
      <c r="FU25" s="504">
        <v>0</v>
      </c>
      <c r="FV25" s="504">
        <v>0</v>
      </c>
      <c r="FW25" s="504">
        <v>0</v>
      </c>
      <c r="FX25" s="504">
        <v>0</v>
      </c>
      <c r="FY25" s="504">
        <v>0</v>
      </c>
      <c r="FZ25" s="504">
        <v>0</v>
      </c>
      <c r="GA25" s="504">
        <v>0</v>
      </c>
      <c r="GB25" s="504">
        <v>0</v>
      </c>
      <c r="GC25" s="504">
        <v>0</v>
      </c>
      <c r="GD25" s="504">
        <v>0</v>
      </c>
      <c r="GE25" s="504">
        <v>0</v>
      </c>
      <c r="GF25" s="504">
        <v>0</v>
      </c>
      <c r="GG25" s="504">
        <v>0</v>
      </c>
      <c r="GH25" s="504">
        <v>0</v>
      </c>
      <c r="GI25" s="504">
        <v>0</v>
      </c>
      <c r="GJ25" s="504">
        <v>0</v>
      </c>
      <c r="GK25" s="504">
        <v>0</v>
      </c>
      <c r="GL25" s="504">
        <v>0</v>
      </c>
      <c r="GM25" s="504">
        <v>0</v>
      </c>
      <c r="GN25" s="504">
        <v>0</v>
      </c>
      <c r="GO25" s="504">
        <v>0</v>
      </c>
      <c r="GP25" s="504">
        <v>0</v>
      </c>
      <c r="GQ25" s="504">
        <v>0</v>
      </c>
      <c r="GR25" s="504">
        <v>0</v>
      </c>
      <c r="GS25" s="504">
        <v>0</v>
      </c>
      <c r="GT25" s="504">
        <v>0</v>
      </c>
      <c r="GU25" s="504">
        <v>0</v>
      </c>
      <c r="GV25" s="504">
        <v>0</v>
      </c>
      <c r="GW25" s="504">
        <v>0</v>
      </c>
      <c r="GX25" s="504">
        <v>0</v>
      </c>
      <c r="GY25" s="504">
        <v>0</v>
      </c>
      <c r="GZ25" s="504">
        <v>0</v>
      </c>
      <c r="HA25" s="504">
        <v>0</v>
      </c>
      <c r="HB25" s="504">
        <v>0</v>
      </c>
      <c r="HC25" s="504">
        <v>0</v>
      </c>
      <c r="HD25" s="504">
        <v>0</v>
      </c>
      <c r="HE25" s="504">
        <v>0</v>
      </c>
      <c r="HF25" s="504">
        <v>0</v>
      </c>
      <c r="HG25" s="504">
        <v>0</v>
      </c>
      <c r="HH25" s="504">
        <v>0</v>
      </c>
      <c r="HI25" s="504">
        <v>0</v>
      </c>
      <c r="HJ25" s="504">
        <v>0</v>
      </c>
      <c r="HK25" s="504">
        <v>0</v>
      </c>
      <c r="HL25" s="504">
        <v>0</v>
      </c>
      <c r="HM25" s="504">
        <v>0</v>
      </c>
      <c r="HN25" s="504">
        <v>0</v>
      </c>
      <c r="HO25" s="504">
        <v>0</v>
      </c>
      <c r="HP25" s="504">
        <v>0</v>
      </c>
      <c r="HQ25" s="504">
        <v>0</v>
      </c>
      <c r="HR25" s="504">
        <v>0</v>
      </c>
      <c r="HS25" s="504">
        <v>0</v>
      </c>
      <c r="HT25" s="504">
        <v>0</v>
      </c>
      <c r="HU25" s="504">
        <v>0</v>
      </c>
      <c r="HV25" s="504">
        <v>0</v>
      </c>
      <c r="HW25" s="504">
        <v>0</v>
      </c>
      <c r="HX25" s="504">
        <v>0</v>
      </c>
      <c r="HY25" s="504">
        <v>0</v>
      </c>
      <c r="HZ25" s="504">
        <v>0</v>
      </c>
      <c r="IA25" s="504">
        <v>0</v>
      </c>
      <c r="IB25" s="504">
        <v>0</v>
      </c>
      <c r="IC25" s="504">
        <v>0</v>
      </c>
      <c r="ID25" s="504">
        <v>0</v>
      </c>
      <c r="IE25" s="504">
        <v>0</v>
      </c>
      <c r="IF25" s="504">
        <v>0</v>
      </c>
      <c r="IG25" s="504">
        <v>0</v>
      </c>
      <c r="IH25" s="504">
        <v>0</v>
      </c>
      <c r="II25" s="504">
        <v>0</v>
      </c>
      <c r="IJ25" s="504">
        <v>0</v>
      </c>
      <c r="IK25" s="504">
        <v>0</v>
      </c>
      <c r="IL25" s="504">
        <v>0</v>
      </c>
      <c r="IM25" s="504">
        <v>0</v>
      </c>
      <c r="IN25" s="504">
        <v>0</v>
      </c>
      <c r="IO25" s="504">
        <v>0</v>
      </c>
      <c r="IP25" s="504">
        <v>0</v>
      </c>
      <c r="IQ25" s="504">
        <v>0</v>
      </c>
      <c r="IR25" s="504">
        <v>0</v>
      </c>
      <c r="IS25" s="504">
        <v>0</v>
      </c>
      <c r="IT25" s="504">
        <v>0</v>
      </c>
      <c r="IU25" s="504">
        <v>0</v>
      </c>
      <c r="IV25" s="504">
        <v>0</v>
      </c>
      <c r="IW25" s="504">
        <v>0</v>
      </c>
      <c r="IX25" s="504">
        <v>0</v>
      </c>
      <c r="IY25" s="504">
        <v>0</v>
      </c>
      <c r="IZ25" s="504">
        <v>0</v>
      </c>
      <c r="JA25" s="504">
        <v>0</v>
      </c>
      <c r="JB25" s="504">
        <v>0</v>
      </c>
      <c r="JC25" s="504">
        <v>0</v>
      </c>
      <c r="JD25" s="504">
        <v>0</v>
      </c>
      <c r="JE25" s="504">
        <v>0</v>
      </c>
      <c r="JF25" s="504">
        <v>0</v>
      </c>
      <c r="JG25" s="504">
        <v>0</v>
      </c>
      <c r="JH25" s="504">
        <v>0</v>
      </c>
      <c r="JI25" s="504">
        <v>0</v>
      </c>
      <c r="JJ25" s="504">
        <v>0</v>
      </c>
      <c r="JK25" s="504">
        <v>0</v>
      </c>
      <c r="JL25" s="504">
        <v>0</v>
      </c>
      <c r="JM25" s="504">
        <v>0</v>
      </c>
      <c r="JN25" s="504">
        <v>0</v>
      </c>
      <c r="JO25" s="504">
        <v>0</v>
      </c>
      <c r="JP25" s="504">
        <v>0</v>
      </c>
      <c r="JQ25" s="504">
        <v>0</v>
      </c>
      <c r="JR25" s="504">
        <v>0</v>
      </c>
      <c r="JS25" s="504">
        <v>0</v>
      </c>
      <c r="JT25" s="504">
        <v>0</v>
      </c>
      <c r="JU25" s="504">
        <v>0</v>
      </c>
      <c r="JV25" s="504">
        <v>0</v>
      </c>
      <c r="JW25" s="504">
        <v>0</v>
      </c>
      <c r="JX25" s="504">
        <v>0</v>
      </c>
      <c r="JY25" s="504">
        <v>0</v>
      </c>
      <c r="JZ25" s="504">
        <v>0</v>
      </c>
      <c r="KA25" s="504">
        <v>0</v>
      </c>
      <c r="KB25" s="504">
        <v>0</v>
      </c>
      <c r="KC25" s="504">
        <v>0</v>
      </c>
      <c r="KD25" s="504">
        <v>0</v>
      </c>
      <c r="KE25" s="504">
        <v>0</v>
      </c>
      <c r="KF25" s="504">
        <v>0</v>
      </c>
      <c r="KG25" s="504">
        <v>0</v>
      </c>
      <c r="KH25" s="504">
        <v>0</v>
      </c>
      <c r="KI25" s="504">
        <v>0</v>
      </c>
      <c r="KJ25" s="504">
        <v>0</v>
      </c>
      <c r="KK25" s="504">
        <v>0</v>
      </c>
      <c r="KL25" s="504">
        <v>0</v>
      </c>
      <c r="KM25" s="504">
        <v>0</v>
      </c>
      <c r="KN25" s="504">
        <v>0</v>
      </c>
      <c r="KO25" s="504">
        <v>0</v>
      </c>
      <c r="KP25" s="504">
        <v>0</v>
      </c>
      <c r="KQ25" s="504">
        <v>0</v>
      </c>
      <c r="KR25" s="504">
        <v>0</v>
      </c>
      <c r="KS25" s="504">
        <v>0</v>
      </c>
      <c r="KT25" s="504">
        <v>0</v>
      </c>
      <c r="KU25" s="504">
        <v>0</v>
      </c>
      <c r="KV25" s="504">
        <v>0</v>
      </c>
      <c r="KW25" s="504">
        <v>0</v>
      </c>
      <c r="KX25" s="504">
        <v>0</v>
      </c>
      <c r="KY25" s="504">
        <v>0</v>
      </c>
      <c r="KZ25" s="504">
        <v>0</v>
      </c>
      <c r="LA25" s="504">
        <v>0</v>
      </c>
      <c r="LB25" s="504">
        <v>0</v>
      </c>
      <c r="LC25" s="504">
        <v>0</v>
      </c>
      <c r="LD25" s="504">
        <v>0</v>
      </c>
      <c r="LE25" s="504">
        <v>0</v>
      </c>
      <c r="LF25" s="504">
        <v>0</v>
      </c>
      <c r="LG25" s="504">
        <v>0</v>
      </c>
      <c r="LH25" s="504">
        <v>0</v>
      </c>
      <c r="LI25" s="504">
        <v>0</v>
      </c>
      <c r="LJ25" s="504">
        <v>0</v>
      </c>
      <c r="LK25" s="504">
        <v>0</v>
      </c>
      <c r="LL25" s="504">
        <v>0</v>
      </c>
      <c r="LM25" s="504">
        <v>0</v>
      </c>
      <c r="LN25" s="504">
        <v>0</v>
      </c>
      <c r="LO25" s="504">
        <v>0</v>
      </c>
      <c r="LP25" s="504">
        <v>0</v>
      </c>
      <c r="LQ25" s="504">
        <v>0</v>
      </c>
      <c r="LR25" s="504">
        <v>0</v>
      </c>
      <c r="LS25" s="504">
        <v>0</v>
      </c>
      <c r="LT25" s="504">
        <v>0</v>
      </c>
      <c r="LU25" s="504">
        <v>0</v>
      </c>
      <c r="LV25" s="504">
        <v>0</v>
      </c>
      <c r="LW25" s="504">
        <v>0</v>
      </c>
      <c r="LX25" s="504">
        <v>0</v>
      </c>
      <c r="LY25" s="504">
        <v>0</v>
      </c>
      <c r="LZ25" s="504">
        <v>0</v>
      </c>
      <c r="MA25" s="504">
        <v>0</v>
      </c>
      <c r="MB25" s="504">
        <v>0</v>
      </c>
      <c r="MC25" s="504">
        <v>0</v>
      </c>
      <c r="MD25" s="504">
        <v>0</v>
      </c>
      <c r="ME25" s="504">
        <v>0</v>
      </c>
      <c r="MF25" s="504">
        <v>0</v>
      </c>
      <c r="MG25" s="504">
        <v>0</v>
      </c>
      <c r="MH25" s="504">
        <v>0</v>
      </c>
      <c r="MI25" s="504">
        <v>0</v>
      </c>
      <c r="MJ25" s="504">
        <v>0</v>
      </c>
      <c r="MK25" s="504">
        <v>0</v>
      </c>
      <c r="ML25" s="504">
        <v>0</v>
      </c>
      <c r="MM25" s="504">
        <v>0</v>
      </c>
      <c r="MN25" s="504">
        <v>0</v>
      </c>
      <c r="MO25" s="504">
        <v>0</v>
      </c>
      <c r="MP25" s="504">
        <v>0</v>
      </c>
      <c r="MQ25" s="504">
        <v>0</v>
      </c>
      <c r="MR25" s="504">
        <v>0</v>
      </c>
      <c r="MS25" s="504">
        <v>0</v>
      </c>
      <c r="MT25" s="504">
        <v>0</v>
      </c>
      <c r="MU25" s="504">
        <v>0</v>
      </c>
      <c r="MV25" s="504">
        <v>0</v>
      </c>
      <c r="MW25" s="504">
        <v>0</v>
      </c>
      <c r="MX25" s="504">
        <v>0</v>
      </c>
      <c r="MY25" s="504">
        <v>0</v>
      </c>
      <c r="MZ25" s="504">
        <v>0</v>
      </c>
      <c r="NA25" s="504">
        <v>0</v>
      </c>
      <c r="NB25" s="504">
        <v>0</v>
      </c>
      <c r="NC25" s="504">
        <v>0</v>
      </c>
      <c r="ND25" s="504">
        <v>0</v>
      </c>
      <c r="NE25" s="504">
        <v>0</v>
      </c>
      <c r="NF25" s="504">
        <v>0</v>
      </c>
      <c r="NG25" s="504">
        <v>0</v>
      </c>
      <c r="NH25" s="504">
        <v>0</v>
      </c>
      <c r="NI25" s="504">
        <v>0</v>
      </c>
      <c r="NJ25" s="504">
        <v>0</v>
      </c>
      <c r="NK25" s="504">
        <v>0</v>
      </c>
      <c r="NL25" s="504">
        <v>0</v>
      </c>
      <c r="NM25" s="504">
        <v>0</v>
      </c>
      <c r="NN25" s="504">
        <v>0</v>
      </c>
      <c r="NO25" s="504">
        <v>0</v>
      </c>
      <c r="NP25" s="504">
        <v>0</v>
      </c>
      <c r="NQ25" s="504">
        <v>0</v>
      </c>
      <c r="NR25" s="504">
        <v>0</v>
      </c>
      <c r="NS25" s="504">
        <v>0</v>
      </c>
      <c r="NT25" s="504">
        <v>0</v>
      </c>
      <c r="NU25" s="504">
        <v>0</v>
      </c>
      <c r="NV25" s="504">
        <v>0</v>
      </c>
      <c r="NW25" s="504">
        <v>0</v>
      </c>
      <c r="NX25" s="504">
        <v>0</v>
      </c>
      <c r="NY25" s="504">
        <v>0</v>
      </c>
      <c r="NZ25" s="504">
        <v>0</v>
      </c>
      <c r="OA25" s="504">
        <v>0</v>
      </c>
      <c r="OB25" s="504">
        <v>0</v>
      </c>
      <c r="OC25" s="504">
        <v>0</v>
      </c>
      <c r="OD25" s="504">
        <v>0</v>
      </c>
      <c r="OE25" s="504">
        <v>0</v>
      </c>
      <c r="OF25" s="504">
        <v>0</v>
      </c>
      <c r="OG25" s="504">
        <v>0</v>
      </c>
      <c r="OH25" s="504">
        <v>0</v>
      </c>
      <c r="OI25" s="504">
        <v>0</v>
      </c>
      <c r="OJ25" s="504">
        <v>0</v>
      </c>
      <c r="OK25" s="504">
        <v>0</v>
      </c>
      <c r="OL25" s="504">
        <v>0</v>
      </c>
      <c r="OM25" s="504">
        <v>0</v>
      </c>
      <c r="ON25" s="494"/>
    </row>
    <row r="26" spans="1:404" ht="18.75" customHeight="1" x14ac:dyDescent="0.4">
      <c r="A26" s="355" t="s">
        <v>302</v>
      </c>
      <c r="B26" s="358">
        <v>169</v>
      </c>
      <c r="C26" s="355" t="s">
        <v>60</v>
      </c>
      <c r="D26" s="501">
        <v>21.49</v>
      </c>
      <c r="E26" s="502">
        <v>8793</v>
      </c>
      <c r="F26" s="501">
        <v>21.48</v>
      </c>
      <c r="G26" s="502">
        <v>1371</v>
      </c>
      <c r="H26" s="501">
        <v>21.48</v>
      </c>
      <c r="I26" s="502">
        <v>4155</v>
      </c>
      <c r="J26" s="501">
        <v>21.48</v>
      </c>
      <c r="K26" s="502">
        <v>4793</v>
      </c>
      <c r="V26" s="501"/>
      <c r="W26" s="503"/>
      <c r="X26" s="501"/>
      <c r="Y26" s="503"/>
      <c r="Z26" s="501"/>
      <c r="AA26" s="503"/>
      <c r="AB26" s="495"/>
      <c r="AC26" s="504">
        <v>0</v>
      </c>
      <c r="AD26" s="504">
        <v>0</v>
      </c>
      <c r="AE26" s="504">
        <v>0</v>
      </c>
      <c r="AF26" s="504">
        <v>0</v>
      </c>
      <c r="AG26" s="504">
        <v>0</v>
      </c>
      <c r="AH26" s="504">
        <v>0</v>
      </c>
      <c r="AI26" s="504">
        <v>0</v>
      </c>
      <c r="AJ26" s="504">
        <v>0</v>
      </c>
      <c r="AK26" s="504">
        <v>0</v>
      </c>
      <c r="AL26" s="504">
        <v>0</v>
      </c>
      <c r="AM26" s="504">
        <v>0</v>
      </c>
      <c r="AN26" s="504">
        <v>0</v>
      </c>
      <c r="AO26" s="504">
        <v>0</v>
      </c>
      <c r="AP26" s="504">
        <v>0</v>
      </c>
      <c r="AQ26" s="504">
        <v>0</v>
      </c>
      <c r="AR26" s="504">
        <v>0</v>
      </c>
      <c r="AS26" s="504">
        <v>0</v>
      </c>
      <c r="AT26" s="504">
        <v>0</v>
      </c>
      <c r="AU26" s="504">
        <v>0</v>
      </c>
      <c r="AV26" s="504">
        <v>0</v>
      </c>
      <c r="AW26" s="504">
        <v>0</v>
      </c>
      <c r="AX26" s="504">
        <v>0</v>
      </c>
      <c r="AY26" s="504">
        <v>0</v>
      </c>
      <c r="AZ26" s="504">
        <v>0</v>
      </c>
      <c r="BA26" s="504">
        <v>0</v>
      </c>
      <c r="BB26" s="504">
        <v>0</v>
      </c>
      <c r="BC26" s="504">
        <v>0</v>
      </c>
      <c r="BD26" s="504">
        <v>0</v>
      </c>
      <c r="BE26" s="504">
        <v>0</v>
      </c>
      <c r="BF26" s="504">
        <v>0</v>
      </c>
      <c r="BG26" s="504">
        <v>0</v>
      </c>
      <c r="BH26" s="504">
        <v>0</v>
      </c>
      <c r="BI26" s="504">
        <v>0</v>
      </c>
      <c r="BJ26" s="504">
        <v>0</v>
      </c>
      <c r="BK26" s="504">
        <v>0</v>
      </c>
      <c r="BL26" s="504">
        <v>0</v>
      </c>
      <c r="BM26" s="504">
        <v>0</v>
      </c>
      <c r="BN26" s="504">
        <v>0</v>
      </c>
      <c r="BO26" s="504">
        <v>0</v>
      </c>
      <c r="BP26" s="504">
        <v>0</v>
      </c>
      <c r="BQ26" s="504">
        <v>0</v>
      </c>
      <c r="BR26" s="504">
        <v>0</v>
      </c>
      <c r="BS26" s="504">
        <v>0</v>
      </c>
      <c r="BT26" s="504">
        <v>0</v>
      </c>
      <c r="BU26" s="504">
        <v>0</v>
      </c>
      <c r="BV26" s="504">
        <v>0</v>
      </c>
      <c r="BW26" s="504">
        <v>0</v>
      </c>
      <c r="BX26" s="504">
        <v>0</v>
      </c>
      <c r="BY26" s="504">
        <v>0</v>
      </c>
      <c r="BZ26" s="504">
        <v>0</v>
      </c>
      <c r="CA26" s="504">
        <v>0</v>
      </c>
      <c r="CB26" s="504">
        <v>0</v>
      </c>
      <c r="CC26" s="504">
        <v>0</v>
      </c>
      <c r="CD26" s="504">
        <v>0</v>
      </c>
      <c r="CE26" s="504">
        <v>0</v>
      </c>
      <c r="CF26" s="504">
        <v>0</v>
      </c>
      <c r="CG26" s="504">
        <v>0</v>
      </c>
      <c r="CH26" s="504">
        <v>0</v>
      </c>
      <c r="CI26" s="504">
        <v>0</v>
      </c>
      <c r="CJ26" s="504">
        <v>0</v>
      </c>
      <c r="CK26" s="504">
        <v>0</v>
      </c>
      <c r="CL26" s="504">
        <v>0</v>
      </c>
      <c r="CM26" s="504">
        <v>0</v>
      </c>
      <c r="CN26" s="504">
        <v>0</v>
      </c>
      <c r="CO26" s="504">
        <v>0</v>
      </c>
      <c r="CP26" s="504">
        <v>0</v>
      </c>
      <c r="CQ26" s="504">
        <v>0</v>
      </c>
      <c r="CR26" s="504">
        <v>0</v>
      </c>
      <c r="CS26" s="504">
        <v>0</v>
      </c>
      <c r="CT26" s="504">
        <v>0</v>
      </c>
      <c r="CU26" s="504">
        <v>0</v>
      </c>
      <c r="CV26" s="504">
        <v>0</v>
      </c>
      <c r="CW26" s="504">
        <v>0</v>
      </c>
      <c r="CX26" s="504">
        <v>0</v>
      </c>
      <c r="CY26" s="504">
        <v>0</v>
      </c>
      <c r="CZ26" s="504">
        <v>0</v>
      </c>
      <c r="DA26" s="504">
        <v>0</v>
      </c>
      <c r="DB26" s="504">
        <v>0</v>
      </c>
      <c r="DC26" s="504">
        <v>0</v>
      </c>
      <c r="DD26" s="504">
        <v>0</v>
      </c>
      <c r="DE26" s="504">
        <v>0</v>
      </c>
      <c r="DF26" s="504">
        <v>0</v>
      </c>
      <c r="DG26" s="504">
        <v>0</v>
      </c>
      <c r="DH26" s="504">
        <v>0</v>
      </c>
      <c r="DI26" s="504">
        <v>0</v>
      </c>
      <c r="DJ26" s="504">
        <v>0</v>
      </c>
      <c r="DK26" s="504">
        <v>0</v>
      </c>
      <c r="DL26" s="504">
        <v>0</v>
      </c>
      <c r="DM26" s="504">
        <v>0</v>
      </c>
      <c r="DN26" s="504">
        <v>0</v>
      </c>
      <c r="DO26" s="504">
        <v>0</v>
      </c>
      <c r="DP26" s="504">
        <v>0</v>
      </c>
      <c r="DQ26" s="504">
        <v>0</v>
      </c>
      <c r="DR26" s="504">
        <v>0</v>
      </c>
      <c r="DS26" s="504">
        <v>0</v>
      </c>
      <c r="DT26" s="504">
        <v>0</v>
      </c>
      <c r="DU26" s="504">
        <v>0</v>
      </c>
      <c r="DV26" s="504">
        <v>0</v>
      </c>
      <c r="DW26" s="504">
        <v>0</v>
      </c>
      <c r="DX26" s="504">
        <v>0</v>
      </c>
      <c r="DY26" s="504">
        <v>0</v>
      </c>
      <c r="DZ26" s="504">
        <v>0</v>
      </c>
      <c r="EA26" s="504">
        <v>0</v>
      </c>
      <c r="EB26" s="504">
        <v>0</v>
      </c>
      <c r="EC26" s="504">
        <v>0</v>
      </c>
      <c r="ED26" s="504">
        <v>0</v>
      </c>
      <c r="EE26" s="504">
        <v>0</v>
      </c>
      <c r="EF26" s="504">
        <v>0</v>
      </c>
      <c r="EG26" s="504">
        <v>0</v>
      </c>
      <c r="EH26" s="504">
        <v>0</v>
      </c>
      <c r="EI26" s="504">
        <v>0</v>
      </c>
      <c r="EJ26" s="504">
        <v>0</v>
      </c>
      <c r="EK26" s="504">
        <v>0</v>
      </c>
      <c r="EL26" s="504">
        <v>0</v>
      </c>
      <c r="EM26" s="504">
        <v>0</v>
      </c>
      <c r="EN26" s="504">
        <v>0</v>
      </c>
      <c r="EO26" s="504">
        <v>0</v>
      </c>
      <c r="EP26" s="504">
        <v>0</v>
      </c>
      <c r="EQ26" s="504">
        <v>0</v>
      </c>
      <c r="ER26" s="504">
        <v>0</v>
      </c>
      <c r="ES26" s="504">
        <v>0</v>
      </c>
      <c r="ET26" s="504">
        <v>0</v>
      </c>
      <c r="EU26" s="504">
        <v>0</v>
      </c>
      <c r="EV26" s="504">
        <v>0</v>
      </c>
      <c r="EW26" s="504">
        <v>0</v>
      </c>
      <c r="EX26" s="504">
        <v>0</v>
      </c>
      <c r="EY26" s="504">
        <v>0</v>
      </c>
      <c r="EZ26" s="504">
        <v>0</v>
      </c>
      <c r="FA26" s="504">
        <v>0</v>
      </c>
      <c r="FB26" s="504">
        <v>0</v>
      </c>
      <c r="FC26" s="504">
        <v>0</v>
      </c>
      <c r="FD26" s="504">
        <v>0</v>
      </c>
      <c r="FE26" s="504">
        <v>0</v>
      </c>
      <c r="FF26" s="504">
        <v>0</v>
      </c>
      <c r="FG26" s="504">
        <v>0</v>
      </c>
      <c r="FH26" s="504">
        <v>0</v>
      </c>
      <c r="FI26" s="504">
        <v>0</v>
      </c>
      <c r="FJ26" s="504">
        <v>0</v>
      </c>
      <c r="FK26" s="504">
        <v>0</v>
      </c>
      <c r="FL26" s="504">
        <v>0</v>
      </c>
      <c r="FM26" s="504">
        <v>0</v>
      </c>
      <c r="FN26" s="504">
        <v>0</v>
      </c>
      <c r="FO26" s="504">
        <v>0</v>
      </c>
      <c r="FP26" s="504">
        <v>0</v>
      </c>
      <c r="FQ26" s="504">
        <v>0</v>
      </c>
      <c r="FR26" s="504">
        <v>0</v>
      </c>
      <c r="FS26" s="504">
        <v>0</v>
      </c>
      <c r="FT26" s="504">
        <v>0</v>
      </c>
      <c r="FU26" s="504">
        <v>0</v>
      </c>
      <c r="FV26" s="504">
        <v>0</v>
      </c>
      <c r="FW26" s="504">
        <v>0</v>
      </c>
      <c r="FX26" s="504">
        <v>0</v>
      </c>
      <c r="FY26" s="504">
        <v>0</v>
      </c>
      <c r="FZ26" s="504">
        <v>0</v>
      </c>
      <c r="GA26" s="504">
        <v>0</v>
      </c>
      <c r="GB26" s="504">
        <v>0</v>
      </c>
      <c r="GC26" s="504">
        <v>0</v>
      </c>
      <c r="GD26" s="504">
        <v>0</v>
      </c>
      <c r="GE26" s="504">
        <v>0</v>
      </c>
      <c r="GF26" s="504">
        <v>0</v>
      </c>
      <c r="GG26" s="504">
        <v>0</v>
      </c>
      <c r="GH26" s="504">
        <v>0</v>
      </c>
      <c r="GI26" s="504">
        <v>0</v>
      </c>
      <c r="GJ26" s="504">
        <v>0</v>
      </c>
      <c r="GK26" s="504">
        <v>0</v>
      </c>
      <c r="GL26" s="504">
        <v>0</v>
      </c>
      <c r="GM26" s="504">
        <v>0</v>
      </c>
      <c r="GN26" s="504">
        <v>0</v>
      </c>
      <c r="GO26" s="504">
        <v>0</v>
      </c>
      <c r="GP26" s="504">
        <v>0</v>
      </c>
      <c r="GQ26" s="504">
        <v>0</v>
      </c>
      <c r="GR26" s="504">
        <v>0</v>
      </c>
      <c r="GS26" s="504">
        <v>0</v>
      </c>
      <c r="GT26" s="504">
        <v>0</v>
      </c>
      <c r="GU26" s="504">
        <v>0</v>
      </c>
      <c r="GV26" s="504">
        <v>0</v>
      </c>
      <c r="GW26" s="504">
        <v>0</v>
      </c>
      <c r="GX26" s="504">
        <v>0</v>
      </c>
      <c r="GY26" s="504">
        <v>0</v>
      </c>
      <c r="GZ26" s="504">
        <v>0</v>
      </c>
      <c r="HA26" s="504">
        <v>0</v>
      </c>
      <c r="HB26" s="504">
        <v>0</v>
      </c>
      <c r="HC26" s="504">
        <v>0</v>
      </c>
      <c r="HD26" s="504">
        <v>0</v>
      </c>
      <c r="HE26" s="504">
        <v>0</v>
      </c>
      <c r="HF26" s="504">
        <v>0</v>
      </c>
      <c r="HG26" s="504">
        <v>0</v>
      </c>
      <c r="HH26" s="504">
        <v>0</v>
      </c>
      <c r="HI26" s="504">
        <v>0</v>
      </c>
      <c r="HJ26" s="504">
        <v>0</v>
      </c>
      <c r="HK26" s="504">
        <v>0</v>
      </c>
      <c r="HL26" s="504">
        <v>0</v>
      </c>
      <c r="HM26" s="504">
        <v>0</v>
      </c>
      <c r="HN26" s="504">
        <v>0</v>
      </c>
      <c r="HO26" s="504">
        <v>0</v>
      </c>
      <c r="HP26" s="504">
        <v>0</v>
      </c>
      <c r="HQ26" s="504">
        <v>0</v>
      </c>
      <c r="HR26" s="504">
        <v>0</v>
      </c>
      <c r="HS26" s="504">
        <v>0</v>
      </c>
      <c r="HT26" s="504">
        <v>0</v>
      </c>
      <c r="HU26" s="504">
        <v>0</v>
      </c>
      <c r="HV26" s="504">
        <v>0</v>
      </c>
      <c r="HW26" s="504">
        <v>0</v>
      </c>
      <c r="HX26" s="504">
        <v>0</v>
      </c>
      <c r="HY26" s="504">
        <v>0</v>
      </c>
      <c r="HZ26" s="504">
        <v>0</v>
      </c>
      <c r="IA26" s="504">
        <v>0</v>
      </c>
      <c r="IB26" s="504">
        <v>0</v>
      </c>
      <c r="IC26" s="504">
        <v>0</v>
      </c>
      <c r="ID26" s="504">
        <v>0</v>
      </c>
      <c r="IE26" s="504">
        <v>0</v>
      </c>
      <c r="IF26" s="504">
        <v>0</v>
      </c>
      <c r="IG26" s="504">
        <v>0</v>
      </c>
      <c r="IH26" s="504">
        <v>0</v>
      </c>
      <c r="II26" s="504">
        <v>0</v>
      </c>
      <c r="IJ26" s="504">
        <v>0</v>
      </c>
      <c r="IK26" s="504">
        <v>0</v>
      </c>
      <c r="IL26" s="504">
        <v>0</v>
      </c>
      <c r="IM26" s="504">
        <v>0</v>
      </c>
      <c r="IN26" s="504">
        <v>0</v>
      </c>
      <c r="IO26" s="504">
        <v>0</v>
      </c>
      <c r="IP26" s="504">
        <v>0</v>
      </c>
      <c r="IQ26" s="504">
        <v>0</v>
      </c>
      <c r="IR26" s="504">
        <v>0</v>
      </c>
      <c r="IS26" s="504">
        <v>0</v>
      </c>
      <c r="IT26" s="504">
        <v>0</v>
      </c>
      <c r="IU26" s="504">
        <v>0</v>
      </c>
      <c r="IV26" s="504">
        <v>0</v>
      </c>
      <c r="IW26" s="504">
        <v>0</v>
      </c>
      <c r="IX26" s="504">
        <v>0</v>
      </c>
      <c r="IY26" s="504">
        <v>0</v>
      </c>
      <c r="IZ26" s="504">
        <v>0</v>
      </c>
      <c r="JA26" s="504">
        <v>0</v>
      </c>
      <c r="JB26" s="504">
        <v>0</v>
      </c>
      <c r="JC26" s="504">
        <v>0</v>
      </c>
      <c r="JD26" s="504">
        <v>0</v>
      </c>
      <c r="JE26" s="504">
        <v>0</v>
      </c>
      <c r="JF26" s="504">
        <v>0</v>
      </c>
      <c r="JG26" s="504">
        <v>0</v>
      </c>
      <c r="JH26" s="504">
        <v>0</v>
      </c>
      <c r="JI26" s="504">
        <v>0</v>
      </c>
      <c r="JJ26" s="504">
        <v>0</v>
      </c>
      <c r="JK26" s="504">
        <v>0</v>
      </c>
      <c r="JL26" s="504">
        <v>0</v>
      </c>
      <c r="JM26" s="504">
        <v>0</v>
      </c>
      <c r="JN26" s="504">
        <v>0</v>
      </c>
      <c r="JO26" s="504">
        <v>0</v>
      </c>
      <c r="JP26" s="504">
        <v>0</v>
      </c>
      <c r="JQ26" s="504">
        <v>0</v>
      </c>
      <c r="JR26" s="504">
        <v>0</v>
      </c>
      <c r="JS26" s="504">
        <v>0</v>
      </c>
      <c r="JT26" s="504">
        <v>0</v>
      </c>
      <c r="JU26" s="504">
        <v>0</v>
      </c>
      <c r="JV26" s="504">
        <v>0</v>
      </c>
      <c r="JW26" s="504">
        <v>0</v>
      </c>
      <c r="JX26" s="504">
        <v>0</v>
      </c>
      <c r="JY26" s="504">
        <v>0</v>
      </c>
      <c r="JZ26" s="504">
        <v>0</v>
      </c>
      <c r="KA26" s="504">
        <v>0</v>
      </c>
      <c r="KB26" s="504">
        <v>0</v>
      </c>
      <c r="KC26" s="504">
        <v>0</v>
      </c>
      <c r="KD26" s="504">
        <v>0</v>
      </c>
      <c r="KE26" s="504">
        <v>0</v>
      </c>
      <c r="KF26" s="504">
        <v>0</v>
      </c>
      <c r="KG26" s="504">
        <v>0</v>
      </c>
      <c r="KH26" s="504">
        <v>0</v>
      </c>
      <c r="KI26" s="504">
        <v>0</v>
      </c>
      <c r="KJ26" s="504">
        <v>0</v>
      </c>
      <c r="KK26" s="504">
        <v>0</v>
      </c>
      <c r="KL26" s="504">
        <v>0</v>
      </c>
      <c r="KM26" s="504">
        <v>0</v>
      </c>
      <c r="KN26" s="504">
        <v>0</v>
      </c>
      <c r="KO26" s="504">
        <v>0</v>
      </c>
      <c r="KP26" s="504">
        <v>0</v>
      </c>
      <c r="KQ26" s="504">
        <v>0</v>
      </c>
      <c r="KR26" s="504">
        <v>0</v>
      </c>
      <c r="KS26" s="504">
        <v>0</v>
      </c>
      <c r="KT26" s="504">
        <v>0</v>
      </c>
      <c r="KU26" s="504">
        <v>0</v>
      </c>
      <c r="KV26" s="504">
        <v>0</v>
      </c>
      <c r="KW26" s="504">
        <v>0</v>
      </c>
      <c r="KX26" s="504">
        <v>0</v>
      </c>
      <c r="KY26" s="504">
        <v>0</v>
      </c>
      <c r="KZ26" s="504">
        <v>0</v>
      </c>
      <c r="LA26" s="504">
        <v>0</v>
      </c>
      <c r="LB26" s="504">
        <v>0</v>
      </c>
      <c r="LC26" s="504">
        <v>0</v>
      </c>
      <c r="LD26" s="504">
        <v>0</v>
      </c>
      <c r="LE26" s="504">
        <v>0</v>
      </c>
      <c r="LF26" s="504">
        <v>0</v>
      </c>
      <c r="LG26" s="504">
        <v>0</v>
      </c>
      <c r="LH26" s="504">
        <v>0</v>
      </c>
      <c r="LI26" s="504">
        <v>0</v>
      </c>
      <c r="LJ26" s="504">
        <v>0</v>
      </c>
      <c r="LK26" s="504">
        <v>0</v>
      </c>
      <c r="LL26" s="504">
        <v>0</v>
      </c>
      <c r="LM26" s="504">
        <v>0</v>
      </c>
      <c r="LN26" s="504">
        <v>0</v>
      </c>
      <c r="LO26" s="504">
        <v>0</v>
      </c>
      <c r="LP26" s="504">
        <v>0</v>
      </c>
      <c r="LQ26" s="504">
        <v>0</v>
      </c>
      <c r="LR26" s="504">
        <v>0</v>
      </c>
      <c r="LS26" s="504">
        <v>0</v>
      </c>
      <c r="LT26" s="504">
        <v>0</v>
      </c>
      <c r="LU26" s="504">
        <v>0</v>
      </c>
      <c r="LV26" s="504">
        <v>0</v>
      </c>
      <c r="LW26" s="504">
        <v>0</v>
      </c>
      <c r="LX26" s="504">
        <v>0</v>
      </c>
      <c r="LY26" s="504">
        <v>0</v>
      </c>
      <c r="LZ26" s="504">
        <v>0</v>
      </c>
      <c r="MA26" s="504">
        <v>0</v>
      </c>
      <c r="MB26" s="504">
        <v>0</v>
      </c>
      <c r="MC26" s="504">
        <v>0</v>
      </c>
      <c r="MD26" s="504">
        <v>0</v>
      </c>
      <c r="ME26" s="504">
        <v>0</v>
      </c>
      <c r="MF26" s="504">
        <v>0</v>
      </c>
      <c r="MG26" s="504">
        <v>0</v>
      </c>
      <c r="MH26" s="504">
        <v>0</v>
      </c>
      <c r="MI26" s="504">
        <v>0</v>
      </c>
      <c r="MJ26" s="504">
        <v>0</v>
      </c>
      <c r="MK26" s="504">
        <v>0</v>
      </c>
      <c r="ML26" s="504">
        <v>0</v>
      </c>
      <c r="MM26" s="504">
        <v>0</v>
      </c>
      <c r="MN26" s="504">
        <v>0</v>
      </c>
      <c r="MO26" s="504">
        <v>0</v>
      </c>
      <c r="MP26" s="504">
        <v>0</v>
      </c>
      <c r="MQ26" s="504">
        <v>0</v>
      </c>
      <c r="MR26" s="504">
        <v>0</v>
      </c>
      <c r="MS26" s="504">
        <v>0</v>
      </c>
      <c r="MT26" s="504">
        <v>0</v>
      </c>
      <c r="MU26" s="504">
        <v>0</v>
      </c>
      <c r="MV26" s="504">
        <v>0</v>
      </c>
      <c r="MW26" s="504">
        <v>0</v>
      </c>
      <c r="MX26" s="504">
        <v>0</v>
      </c>
      <c r="MY26" s="504">
        <v>0</v>
      </c>
      <c r="MZ26" s="504">
        <v>0</v>
      </c>
      <c r="NA26" s="504">
        <v>0</v>
      </c>
      <c r="NB26" s="504">
        <v>0</v>
      </c>
      <c r="NC26" s="504">
        <v>0</v>
      </c>
      <c r="ND26" s="504">
        <v>0</v>
      </c>
      <c r="NE26" s="504">
        <v>0</v>
      </c>
      <c r="NF26" s="504">
        <v>0</v>
      </c>
      <c r="NG26" s="504">
        <v>0</v>
      </c>
      <c r="NH26" s="504">
        <v>0</v>
      </c>
      <c r="NI26" s="504">
        <v>0</v>
      </c>
      <c r="NJ26" s="504">
        <v>0</v>
      </c>
      <c r="NK26" s="504">
        <v>0</v>
      </c>
      <c r="NL26" s="504">
        <v>0</v>
      </c>
      <c r="NM26" s="504">
        <v>0</v>
      </c>
      <c r="NN26" s="504">
        <v>0</v>
      </c>
      <c r="NO26" s="504">
        <v>0</v>
      </c>
      <c r="NP26" s="504">
        <v>0</v>
      </c>
      <c r="NQ26" s="504">
        <v>0</v>
      </c>
      <c r="NR26" s="504">
        <v>0</v>
      </c>
      <c r="NS26" s="504">
        <v>0</v>
      </c>
      <c r="NT26" s="504">
        <v>0</v>
      </c>
      <c r="NU26" s="504">
        <v>0</v>
      </c>
      <c r="NV26" s="504">
        <v>0</v>
      </c>
      <c r="NW26" s="504">
        <v>0</v>
      </c>
      <c r="NX26" s="504">
        <v>0</v>
      </c>
      <c r="NY26" s="504">
        <v>0</v>
      </c>
      <c r="NZ26" s="504">
        <v>0</v>
      </c>
      <c r="OA26" s="504">
        <v>0</v>
      </c>
      <c r="OB26" s="504">
        <v>0</v>
      </c>
      <c r="OC26" s="504">
        <v>0</v>
      </c>
      <c r="OD26" s="504">
        <v>0</v>
      </c>
      <c r="OE26" s="504">
        <v>0</v>
      </c>
      <c r="OF26" s="504">
        <v>0</v>
      </c>
      <c r="OG26" s="504">
        <v>0</v>
      </c>
      <c r="OH26" s="504">
        <v>0</v>
      </c>
      <c r="OI26" s="504">
        <v>0</v>
      </c>
      <c r="OJ26" s="504">
        <v>0</v>
      </c>
      <c r="OK26" s="504">
        <v>0</v>
      </c>
      <c r="OL26" s="504">
        <v>0</v>
      </c>
      <c r="OM26" s="504">
        <v>0</v>
      </c>
      <c r="ON26" s="494"/>
    </row>
    <row r="27" spans="1:404" ht="18.75" customHeight="1" x14ac:dyDescent="0.4">
      <c r="A27" s="355" t="s">
        <v>303</v>
      </c>
      <c r="B27" s="358">
        <v>123</v>
      </c>
      <c r="C27" s="355" t="s">
        <v>60</v>
      </c>
      <c r="D27" s="501">
        <v>21.45</v>
      </c>
      <c r="E27" s="502">
        <v>26918</v>
      </c>
      <c r="F27" s="501">
        <v>21.44</v>
      </c>
      <c r="G27" s="502">
        <v>9467</v>
      </c>
      <c r="H27" s="501">
        <v>21.44</v>
      </c>
      <c r="I27" s="502">
        <v>25879</v>
      </c>
      <c r="J27" s="501">
        <v>21.44</v>
      </c>
      <c r="K27" s="502">
        <v>30030</v>
      </c>
      <c r="V27" s="501"/>
      <c r="W27" s="503"/>
      <c r="X27" s="501"/>
      <c r="Y27" s="503"/>
      <c r="Z27" s="501"/>
      <c r="AA27" s="503"/>
      <c r="AB27" s="495"/>
      <c r="AC27" s="504">
        <v>0</v>
      </c>
      <c r="AD27" s="504">
        <v>0</v>
      </c>
      <c r="AE27" s="504">
        <v>0</v>
      </c>
      <c r="AF27" s="504">
        <v>0</v>
      </c>
      <c r="AG27" s="504">
        <v>0</v>
      </c>
      <c r="AH27" s="504">
        <v>0</v>
      </c>
      <c r="AI27" s="504">
        <v>0</v>
      </c>
      <c r="AJ27" s="504">
        <v>0</v>
      </c>
      <c r="AK27" s="504">
        <v>0</v>
      </c>
      <c r="AL27" s="504">
        <v>0</v>
      </c>
      <c r="AM27" s="504">
        <v>0</v>
      </c>
      <c r="AN27" s="504">
        <v>0</v>
      </c>
      <c r="AO27" s="504">
        <v>0</v>
      </c>
      <c r="AP27" s="504">
        <v>0</v>
      </c>
      <c r="AQ27" s="504">
        <v>0</v>
      </c>
      <c r="AR27" s="504">
        <v>0</v>
      </c>
      <c r="AS27" s="504">
        <v>0</v>
      </c>
      <c r="AT27" s="504">
        <v>0</v>
      </c>
      <c r="AU27" s="504">
        <v>0</v>
      </c>
      <c r="AV27" s="504">
        <v>0</v>
      </c>
      <c r="AW27" s="504">
        <v>0</v>
      </c>
      <c r="AX27" s="504">
        <v>0</v>
      </c>
      <c r="AY27" s="504">
        <v>0</v>
      </c>
      <c r="AZ27" s="504">
        <v>0</v>
      </c>
      <c r="BA27" s="504">
        <v>0</v>
      </c>
      <c r="BB27" s="504">
        <v>0</v>
      </c>
      <c r="BC27" s="504">
        <v>0</v>
      </c>
      <c r="BD27" s="504">
        <v>0</v>
      </c>
      <c r="BE27" s="504">
        <v>0</v>
      </c>
      <c r="BF27" s="504">
        <v>0</v>
      </c>
      <c r="BG27" s="504">
        <v>0</v>
      </c>
      <c r="BH27" s="504">
        <v>0</v>
      </c>
      <c r="BI27" s="504">
        <v>0</v>
      </c>
      <c r="BJ27" s="504">
        <v>0</v>
      </c>
      <c r="BK27" s="504">
        <v>0</v>
      </c>
      <c r="BL27" s="504">
        <v>0</v>
      </c>
      <c r="BM27" s="504">
        <v>0</v>
      </c>
      <c r="BN27" s="504">
        <v>0</v>
      </c>
      <c r="BO27" s="504">
        <v>0</v>
      </c>
      <c r="BP27" s="504">
        <v>0</v>
      </c>
      <c r="BQ27" s="504">
        <v>0</v>
      </c>
      <c r="BR27" s="504">
        <v>0</v>
      </c>
      <c r="BS27" s="504">
        <v>0</v>
      </c>
      <c r="BT27" s="504">
        <v>0</v>
      </c>
      <c r="BU27" s="504">
        <v>0</v>
      </c>
      <c r="BV27" s="504">
        <v>0</v>
      </c>
      <c r="BW27" s="504">
        <v>0</v>
      </c>
      <c r="BX27" s="504">
        <v>0</v>
      </c>
      <c r="BY27" s="504">
        <v>0</v>
      </c>
      <c r="BZ27" s="504">
        <v>0</v>
      </c>
      <c r="CA27" s="504">
        <v>0</v>
      </c>
      <c r="CB27" s="504">
        <v>0</v>
      </c>
      <c r="CC27" s="504">
        <v>0</v>
      </c>
      <c r="CD27" s="504">
        <v>0</v>
      </c>
      <c r="CE27" s="504">
        <v>0</v>
      </c>
      <c r="CF27" s="504">
        <v>0</v>
      </c>
      <c r="CG27" s="504">
        <v>0</v>
      </c>
      <c r="CH27" s="504">
        <v>0</v>
      </c>
      <c r="CI27" s="504">
        <v>0</v>
      </c>
      <c r="CJ27" s="504">
        <v>0</v>
      </c>
      <c r="CK27" s="504">
        <v>0</v>
      </c>
      <c r="CL27" s="504">
        <v>0</v>
      </c>
      <c r="CM27" s="504">
        <v>0</v>
      </c>
      <c r="CN27" s="504">
        <v>0</v>
      </c>
      <c r="CO27" s="504">
        <v>0</v>
      </c>
      <c r="CP27" s="504">
        <v>0</v>
      </c>
      <c r="CQ27" s="504">
        <v>0</v>
      </c>
      <c r="CR27" s="504">
        <v>0</v>
      </c>
      <c r="CS27" s="504">
        <v>0</v>
      </c>
      <c r="CT27" s="504">
        <v>0</v>
      </c>
      <c r="CU27" s="504">
        <v>0</v>
      </c>
      <c r="CV27" s="504">
        <v>0</v>
      </c>
      <c r="CW27" s="504">
        <v>0</v>
      </c>
      <c r="CX27" s="504">
        <v>0</v>
      </c>
      <c r="CY27" s="504">
        <v>0</v>
      </c>
      <c r="CZ27" s="504">
        <v>0</v>
      </c>
      <c r="DA27" s="504">
        <v>0</v>
      </c>
      <c r="DB27" s="504">
        <v>0</v>
      </c>
      <c r="DC27" s="504">
        <v>0</v>
      </c>
      <c r="DD27" s="504">
        <v>0</v>
      </c>
      <c r="DE27" s="504">
        <v>0</v>
      </c>
      <c r="DF27" s="504">
        <v>0</v>
      </c>
      <c r="DG27" s="504">
        <v>0</v>
      </c>
      <c r="DH27" s="504">
        <v>0</v>
      </c>
      <c r="DI27" s="504">
        <v>0</v>
      </c>
      <c r="DJ27" s="504">
        <v>0</v>
      </c>
      <c r="DK27" s="504">
        <v>0</v>
      </c>
      <c r="DL27" s="504">
        <v>0</v>
      </c>
      <c r="DM27" s="504">
        <v>0</v>
      </c>
      <c r="DN27" s="504">
        <v>0</v>
      </c>
      <c r="DO27" s="504">
        <v>0</v>
      </c>
      <c r="DP27" s="504">
        <v>0</v>
      </c>
      <c r="DQ27" s="504">
        <v>0</v>
      </c>
      <c r="DR27" s="504">
        <v>0</v>
      </c>
      <c r="DS27" s="504">
        <v>0</v>
      </c>
      <c r="DT27" s="504">
        <v>0</v>
      </c>
      <c r="DU27" s="504">
        <v>0</v>
      </c>
      <c r="DV27" s="504">
        <v>0</v>
      </c>
      <c r="DW27" s="504">
        <v>0</v>
      </c>
      <c r="DX27" s="504">
        <v>0</v>
      </c>
      <c r="DY27" s="504">
        <v>0</v>
      </c>
      <c r="DZ27" s="504">
        <v>0</v>
      </c>
      <c r="EA27" s="504">
        <v>0</v>
      </c>
      <c r="EB27" s="504">
        <v>0</v>
      </c>
      <c r="EC27" s="504">
        <v>0</v>
      </c>
      <c r="ED27" s="504">
        <v>0</v>
      </c>
      <c r="EE27" s="504">
        <v>0</v>
      </c>
      <c r="EF27" s="504">
        <v>0</v>
      </c>
      <c r="EG27" s="504">
        <v>0</v>
      </c>
      <c r="EH27" s="504">
        <v>0</v>
      </c>
      <c r="EI27" s="504">
        <v>0</v>
      </c>
      <c r="EJ27" s="504">
        <v>0</v>
      </c>
      <c r="EK27" s="504">
        <v>0</v>
      </c>
      <c r="EL27" s="504">
        <v>0</v>
      </c>
      <c r="EM27" s="504">
        <v>0</v>
      </c>
      <c r="EN27" s="504">
        <v>0</v>
      </c>
      <c r="EO27" s="504">
        <v>0</v>
      </c>
      <c r="EP27" s="504">
        <v>0</v>
      </c>
      <c r="EQ27" s="504">
        <v>0</v>
      </c>
      <c r="ER27" s="504">
        <v>0</v>
      </c>
      <c r="ES27" s="504">
        <v>0</v>
      </c>
      <c r="ET27" s="504">
        <v>0</v>
      </c>
      <c r="EU27" s="504">
        <v>0</v>
      </c>
      <c r="EV27" s="504">
        <v>0</v>
      </c>
      <c r="EW27" s="504">
        <v>0</v>
      </c>
      <c r="EX27" s="504">
        <v>0</v>
      </c>
      <c r="EY27" s="504">
        <v>0</v>
      </c>
      <c r="EZ27" s="504">
        <v>0</v>
      </c>
      <c r="FA27" s="504">
        <v>0</v>
      </c>
      <c r="FB27" s="504">
        <v>0</v>
      </c>
      <c r="FC27" s="504">
        <v>0</v>
      </c>
      <c r="FD27" s="504">
        <v>0</v>
      </c>
      <c r="FE27" s="504">
        <v>0</v>
      </c>
      <c r="FF27" s="504">
        <v>0</v>
      </c>
      <c r="FG27" s="504">
        <v>0</v>
      </c>
      <c r="FH27" s="504">
        <v>0</v>
      </c>
      <c r="FI27" s="504">
        <v>0</v>
      </c>
      <c r="FJ27" s="504">
        <v>0</v>
      </c>
      <c r="FK27" s="504">
        <v>0</v>
      </c>
      <c r="FL27" s="504">
        <v>0</v>
      </c>
      <c r="FM27" s="504">
        <v>0</v>
      </c>
      <c r="FN27" s="504">
        <v>0</v>
      </c>
      <c r="FO27" s="504">
        <v>0</v>
      </c>
      <c r="FP27" s="504">
        <v>0</v>
      </c>
      <c r="FQ27" s="504">
        <v>0</v>
      </c>
      <c r="FR27" s="504">
        <v>0</v>
      </c>
      <c r="FS27" s="504">
        <v>0</v>
      </c>
      <c r="FT27" s="504">
        <v>0</v>
      </c>
      <c r="FU27" s="504">
        <v>0</v>
      </c>
      <c r="FV27" s="504">
        <v>0</v>
      </c>
      <c r="FW27" s="504">
        <v>0</v>
      </c>
      <c r="FX27" s="504">
        <v>0</v>
      </c>
      <c r="FY27" s="504">
        <v>0</v>
      </c>
      <c r="FZ27" s="504">
        <v>0</v>
      </c>
      <c r="GA27" s="504">
        <v>0</v>
      </c>
      <c r="GB27" s="504">
        <v>0</v>
      </c>
      <c r="GC27" s="504">
        <v>0</v>
      </c>
      <c r="GD27" s="504">
        <v>0</v>
      </c>
      <c r="GE27" s="504">
        <v>0</v>
      </c>
      <c r="GF27" s="504">
        <v>0</v>
      </c>
      <c r="GG27" s="504">
        <v>0</v>
      </c>
      <c r="GH27" s="504">
        <v>0</v>
      </c>
      <c r="GI27" s="504">
        <v>0</v>
      </c>
      <c r="GJ27" s="504">
        <v>0</v>
      </c>
      <c r="GK27" s="504">
        <v>0</v>
      </c>
      <c r="GL27" s="504">
        <v>0</v>
      </c>
      <c r="GM27" s="504">
        <v>0</v>
      </c>
      <c r="GN27" s="504">
        <v>0</v>
      </c>
      <c r="GO27" s="504">
        <v>0</v>
      </c>
      <c r="GP27" s="504">
        <v>0</v>
      </c>
      <c r="GQ27" s="504">
        <v>0</v>
      </c>
      <c r="GR27" s="504">
        <v>0</v>
      </c>
      <c r="GS27" s="504">
        <v>0</v>
      </c>
      <c r="GT27" s="504">
        <v>0</v>
      </c>
      <c r="GU27" s="504">
        <v>0</v>
      </c>
      <c r="GV27" s="504">
        <v>0</v>
      </c>
      <c r="GW27" s="504">
        <v>0</v>
      </c>
      <c r="GX27" s="504">
        <v>0</v>
      </c>
      <c r="GY27" s="504">
        <v>0</v>
      </c>
      <c r="GZ27" s="504">
        <v>0</v>
      </c>
      <c r="HA27" s="504">
        <v>0</v>
      </c>
      <c r="HB27" s="504">
        <v>0</v>
      </c>
      <c r="HC27" s="504">
        <v>0</v>
      </c>
      <c r="HD27" s="504">
        <v>0</v>
      </c>
      <c r="HE27" s="504">
        <v>0</v>
      </c>
      <c r="HF27" s="504">
        <v>0</v>
      </c>
      <c r="HG27" s="504">
        <v>0</v>
      </c>
      <c r="HH27" s="504">
        <v>0</v>
      </c>
      <c r="HI27" s="504">
        <v>0</v>
      </c>
      <c r="HJ27" s="504">
        <v>0</v>
      </c>
      <c r="HK27" s="504">
        <v>0</v>
      </c>
      <c r="HL27" s="504">
        <v>0</v>
      </c>
      <c r="HM27" s="504">
        <v>0</v>
      </c>
      <c r="HN27" s="504">
        <v>0</v>
      </c>
      <c r="HO27" s="504">
        <v>0</v>
      </c>
      <c r="HP27" s="504">
        <v>0</v>
      </c>
      <c r="HQ27" s="504">
        <v>0</v>
      </c>
      <c r="HR27" s="504">
        <v>0</v>
      </c>
      <c r="HS27" s="504">
        <v>0</v>
      </c>
      <c r="HT27" s="504">
        <v>0</v>
      </c>
      <c r="HU27" s="504">
        <v>0</v>
      </c>
      <c r="HV27" s="504">
        <v>0</v>
      </c>
      <c r="HW27" s="504">
        <v>0</v>
      </c>
      <c r="HX27" s="504">
        <v>0</v>
      </c>
      <c r="HY27" s="504">
        <v>0</v>
      </c>
      <c r="HZ27" s="504">
        <v>0</v>
      </c>
      <c r="IA27" s="504">
        <v>0</v>
      </c>
      <c r="IB27" s="504">
        <v>0</v>
      </c>
      <c r="IC27" s="504">
        <v>0</v>
      </c>
      <c r="ID27" s="504">
        <v>0</v>
      </c>
      <c r="IE27" s="504">
        <v>0</v>
      </c>
      <c r="IF27" s="504">
        <v>0</v>
      </c>
      <c r="IG27" s="504">
        <v>0</v>
      </c>
      <c r="IH27" s="504">
        <v>0</v>
      </c>
      <c r="II27" s="504">
        <v>0</v>
      </c>
      <c r="IJ27" s="504">
        <v>0</v>
      </c>
      <c r="IK27" s="504">
        <v>0</v>
      </c>
      <c r="IL27" s="504">
        <v>0</v>
      </c>
      <c r="IM27" s="504">
        <v>0</v>
      </c>
      <c r="IN27" s="504">
        <v>0</v>
      </c>
      <c r="IO27" s="504">
        <v>0</v>
      </c>
      <c r="IP27" s="504">
        <v>0</v>
      </c>
      <c r="IQ27" s="504">
        <v>0</v>
      </c>
      <c r="IR27" s="504">
        <v>0</v>
      </c>
      <c r="IS27" s="504">
        <v>0</v>
      </c>
      <c r="IT27" s="504">
        <v>0</v>
      </c>
      <c r="IU27" s="504">
        <v>0</v>
      </c>
      <c r="IV27" s="504">
        <v>0</v>
      </c>
      <c r="IW27" s="504">
        <v>0</v>
      </c>
      <c r="IX27" s="504">
        <v>0</v>
      </c>
      <c r="IY27" s="504">
        <v>0</v>
      </c>
      <c r="IZ27" s="504">
        <v>0</v>
      </c>
      <c r="JA27" s="504">
        <v>0</v>
      </c>
      <c r="JB27" s="504">
        <v>0</v>
      </c>
      <c r="JC27" s="504">
        <v>0</v>
      </c>
      <c r="JD27" s="504">
        <v>0</v>
      </c>
      <c r="JE27" s="504">
        <v>0</v>
      </c>
      <c r="JF27" s="504">
        <v>0</v>
      </c>
      <c r="JG27" s="504">
        <v>0</v>
      </c>
      <c r="JH27" s="504">
        <v>0</v>
      </c>
      <c r="JI27" s="504">
        <v>0</v>
      </c>
      <c r="JJ27" s="504">
        <v>0</v>
      </c>
      <c r="JK27" s="504">
        <v>0</v>
      </c>
      <c r="JL27" s="504">
        <v>0</v>
      </c>
      <c r="JM27" s="504">
        <v>0</v>
      </c>
      <c r="JN27" s="504">
        <v>0</v>
      </c>
      <c r="JO27" s="504">
        <v>0</v>
      </c>
      <c r="JP27" s="504">
        <v>0</v>
      </c>
      <c r="JQ27" s="504">
        <v>0</v>
      </c>
      <c r="JR27" s="504">
        <v>0</v>
      </c>
      <c r="JS27" s="504">
        <v>0</v>
      </c>
      <c r="JT27" s="504">
        <v>0</v>
      </c>
      <c r="JU27" s="504">
        <v>0</v>
      </c>
      <c r="JV27" s="504">
        <v>0</v>
      </c>
      <c r="JW27" s="504">
        <v>0</v>
      </c>
      <c r="JX27" s="504">
        <v>0</v>
      </c>
      <c r="JY27" s="504">
        <v>0</v>
      </c>
      <c r="JZ27" s="504">
        <v>0</v>
      </c>
      <c r="KA27" s="504">
        <v>0</v>
      </c>
      <c r="KB27" s="504">
        <v>0</v>
      </c>
      <c r="KC27" s="504">
        <v>0</v>
      </c>
      <c r="KD27" s="504">
        <v>0</v>
      </c>
      <c r="KE27" s="504">
        <v>0</v>
      </c>
      <c r="KF27" s="504">
        <v>0</v>
      </c>
      <c r="KG27" s="504">
        <v>0</v>
      </c>
      <c r="KH27" s="504">
        <v>0</v>
      </c>
      <c r="KI27" s="504">
        <v>0</v>
      </c>
      <c r="KJ27" s="504">
        <v>0</v>
      </c>
      <c r="KK27" s="504">
        <v>0</v>
      </c>
      <c r="KL27" s="504">
        <v>0</v>
      </c>
      <c r="KM27" s="504">
        <v>0</v>
      </c>
      <c r="KN27" s="504">
        <v>0</v>
      </c>
      <c r="KO27" s="504">
        <v>0</v>
      </c>
      <c r="KP27" s="504">
        <v>0</v>
      </c>
      <c r="KQ27" s="504">
        <v>0</v>
      </c>
      <c r="KR27" s="504">
        <v>0</v>
      </c>
      <c r="KS27" s="504">
        <v>0</v>
      </c>
      <c r="KT27" s="504">
        <v>0</v>
      </c>
      <c r="KU27" s="504">
        <v>0</v>
      </c>
      <c r="KV27" s="504">
        <v>0</v>
      </c>
      <c r="KW27" s="504">
        <v>0</v>
      </c>
      <c r="KX27" s="504">
        <v>0</v>
      </c>
      <c r="KY27" s="504">
        <v>0</v>
      </c>
      <c r="KZ27" s="504">
        <v>0</v>
      </c>
      <c r="LA27" s="504">
        <v>0</v>
      </c>
      <c r="LB27" s="504">
        <v>0</v>
      </c>
      <c r="LC27" s="504">
        <v>0</v>
      </c>
      <c r="LD27" s="504">
        <v>0</v>
      </c>
      <c r="LE27" s="504">
        <v>0</v>
      </c>
      <c r="LF27" s="504">
        <v>0</v>
      </c>
      <c r="LG27" s="504">
        <v>0</v>
      </c>
      <c r="LH27" s="504">
        <v>0</v>
      </c>
      <c r="LI27" s="504">
        <v>0</v>
      </c>
      <c r="LJ27" s="504">
        <v>0</v>
      </c>
      <c r="LK27" s="504">
        <v>0</v>
      </c>
      <c r="LL27" s="504">
        <v>0</v>
      </c>
      <c r="LM27" s="504">
        <v>0</v>
      </c>
      <c r="LN27" s="504">
        <v>0</v>
      </c>
      <c r="LO27" s="504">
        <v>0</v>
      </c>
      <c r="LP27" s="504">
        <v>0</v>
      </c>
      <c r="LQ27" s="504">
        <v>0</v>
      </c>
      <c r="LR27" s="504">
        <v>0</v>
      </c>
      <c r="LS27" s="504">
        <v>0</v>
      </c>
      <c r="LT27" s="504">
        <v>0</v>
      </c>
      <c r="LU27" s="504">
        <v>0</v>
      </c>
      <c r="LV27" s="504">
        <v>0</v>
      </c>
      <c r="LW27" s="504">
        <v>0</v>
      </c>
      <c r="LX27" s="504">
        <v>0</v>
      </c>
      <c r="LY27" s="504">
        <v>0</v>
      </c>
      <c r="LZ27" s="504">
        <v>0</v>
      </c>
      <c r="MA27" s="504">
        <v>0</v>
      </c>
      <c r="MB27" s="504">
        <v>0</v>
      </c>
      <c r="MC27" s="504">
        <v>0</v>
      </c>
      <c r="MD27" s="504">
        <v>0</v>
      </c>
      <c r="ME27" s="504">
        <v>0</v>
      </c>
      <c r="MF27" s="504">
        <v>0</v>
      </c>
      <c r="MG27" s="504">
        <v>0</v>
      </c>
      <c r="MH27" s="504">
        <v>0</v>
      </c>
      <c r="MI27" s="504">
        <v>0</v>
      </c>
      <c r="MJ27" s="504">
        <v>0</v>
      </c>
      <c r="MK27" s="504">
        <v>0</v>
      </c>
      <c r="ML27" s="504">
        <v>0</v>
      </c>
      <c r="MM27" s="504">
        <v>0</v>
      </c>
      <c r="MN27" s="504">
        <v>0</v>
      </c>
      <c r="MO27" s="504">
        <v>0</v>
      </c>
      <c r="MP27" s="504">
        <v>0</v>
      </c>
      <c r="MQ27" s="504">
        <v>0</v>
      </c>
      <c r="MR27" s="504">
        <v>0</v>
      </c>
      <c r="MS27" s="504">
        <v>0</v>
      </c>
      <c r="MT27" s="504">
        <v>0</v>
      </c>
      <c r="MU27" s="504">
        <v>0</v>
      </c>
      <c r="MV27" s="504">
        <v>0</v>
      </c>
      <c r="MW27" s="504">
        <v>0</v>
      </c>
      <c r="MX27" s="504">
        <v>0</v>
      </c>
      <c r="MY27" s="504">
        <v>0</v>
      </c>
      <c r="MZ27" s="504">
        <v>0</v>
      </c>
      <c r="NA27" s="504">
        <v>0</v>
      </c>
      <c r="NB27" s="504">
        <v>0</v>
      </c>
      <c r="NC27" s="504">
        <v>0</v>
      </c>
      <c r="ND27" s="504">
        <v>0</v>
      </c>
      <c r="NE27" s="504">
        <v>0</v>
      </c>
      <c r="NF27" s="504">
        <v>0</v>
      </c>
      <c r="NG27" s="504">
        <v>0</v>
      </c>
      <c r="NH27" s="504">
        <v>0</v>
      </c>
      <c r="NI27" s="504">
        <v>0</v>
      </c>
      <c r="NJ27" s="504">
        <v>0</v>
      </c>
      <c r="NK27" s="504">
        <v>0</v>
      </c>
      <c r="NL27" s="504">
        <v>0</v>
      </c>
      <c r="NM27" s="504">
        <v>0</v>
      </c>
      <c r="NN27" s="504">
        <v>0</v>
      </c>
      <c r="NO27" s="504">
        <v>0</v>
      </c>
      <c r="NP27" s="504">
        <v>0</v>
      </c>
      <c r="NQ27" s="504">
        <v>0</v>
      </c>
      <c r="NR27" s="504">
        <v>0</v>
      </c>
      <c r="NS27" s="504">
        <v>0</v>
      </c>
      <c r="NT27" s="504">
        <v>0</v>
      </c>
      <c r="NU27" s="504">
        <v>0</v>
      </c>
      <c r="NV27" s="504">
        <v>0</v>
      </c>
      <c r="NW27" s="504">
        <v>0</v>
      </c>
      <c r="NX27" s="504">
        <v>0</v>
      </c>
      <c r="NY27" s="504">
        <v>0</v>
      </c>
      <c r="NZ27" s="504">
        <v>0</v>
      </c>
      <c r="OA27" s="504">
        <v>0</v>
      </c>
      <c r="OB27" s="504">
        <v>0</v>
      </c>
      <c r="OC27" s="504">
        <v>0</v>
      </c>
      <c r="OD27" s="504">
        <v>0</v>
      </c>
      <c r="OE27" s="504">
        <v>0</v>
      </c>
      <c r="OF27" s="504">
        <v>0</v>
      </c>
      <c r="OG27" s="504">
        <v>0</v>
      </c>
      <c r="OH27" s="504">
        <v>0</v>
      </c>
      <c r="OI27" s="504">
        <v>0</v>
      </c>
      <c r="OJ27" s="504">
        <v>0</v>
      </c>
      <c r="OK27" s="504">
        <v>0</v>
      </c>
      <c r="OL27" s="504">
        <v>0</v>
      </c>
      <c r="OM27" s="504">
        <v>0</v>
      </c>
      <c r="ON27" s="494"/>
    </row>
    <row r="28" spans="1:404" ht="18.75" customHeight="1" x14ac:dyDescent="0.4">
      <c r="A28" s="355" t="s">
        <v>304</v>
      </c>
      <c r="B28" s="358">
        <v>123</v>
      </c>
      <c r="C28" s="355" t="s">
        <v>60</v>
      </c>
      <c r="D28" s="501">
        <v>21.64</v>
      </c>
      <c r="E28" s="502">
        <v>53157</v>
      </c>
      <c r="F28" s="501">
        <v>21.63</v>
      </c>
      <c r="G28" s="502">
        <v>17642</v>
      </c>
      <c r="H28" s="501">
        <v>21.63</v>
      </c>
      <c r="I28" s="502">
        <v>50712</v>
      </c>
      <c r="J28" s="501">
        <v>21.63</v>
      </c>
      <c r="K28" s="502">
        <v>56411</v>
      </c>
      <c r="V28" s="501"/>
      <c r="W28" s="503"/>
      <c r="X28" s="501"/>
      <c r="Y28" s="503"/>
      <c r="Z28" s="501"/>
      <c r="AA28" s="503"/>
      <c r="AB28" s="495"/>
      <c r="AC28" s="504">
        <v>0</v>
      </c>
      <c r="AD28" s="504">
        <v>0</v>
      </c>
      <c r="AE28" s="504">
        <v>0</v>
      </c>
      <c r="AF28" s="504">
        <v>0</v>
      </c>
      <c r="AG28" s="504">
        <v>0</v>
      </c>
      <c r="AH28" s="504">
        <v>0</v>
      </c>
      <c r="AI28" s="504">
        <v>0</v>
      </c>
      <c r="AJ28" s="504">
        <v>0</v>
      </c>
      <c r="AK28" s="504">
        <v>0</v>
      </c>
      <c r="AL28" s="504">
        <v>0</v>
      </c>
      <c r="AM28" s="504">
        <v>0</v>
      </c>
      <c r="AN28" s="504">
        <v>0</v>
      </c>
      <c r="AO28" s="504">
        <v>0</v>
      </c>
      <c r="AP28" s="504">
        <v>0</v>
      </c>
      <c r="AQ28" s="504">
        <v>0</v>
      </c>
      <c r="AR28" s="504">
        <v>0</v>
      </c>
      <c r="AS28" s="504">
        <v>0</v>
      </c>
      <c r="AT28" s="504">
        <v>0</v>
      </c>
      <c r="AU28" s="504">
        <v>0</v>
      </c>
      <c r="AV28" s="504">
        <v>0</v>
      </c>
      <c r="AW28" s="504">
        <v>0</v>
      </c>
      <c r="AX28" s="504">
        <v>0</v>
      </c>
      <c r="AY28" s="504">
        <v>0</v>
      </c>
      <c r="AZ28" s="504">
        <v>0</v>
      </c>
      <c r="BA28" s="504">
        <v>0</v>
      </c>
      <c r="BB28" s="504">
        <v>0</v>
      </c>
      <c r="BC28" s="504">
        <v>0</v>
      </c>
      <c r="BD28" s="504">
        <v>0</v>
      </c>
      <c r="BE28" s="504">
        <v>0</v>
      </c>
      <c r="BF28" s="504">
        <v>0</v>
      </c>
      <c r="BG28" s="504">
        <v>0</v>
      </c>
      <c r="BH28" s="504">
        <v>0</v>
      </c>
      <c r="BI28" s="504">
        <v>0</v>
      </c>
      <c r="BJ28" s="504">
        <v>0</v>
      </c>
      <c r="BK28" s="504">
        <v>0</v>
      </c>
      <c r="BL28" s="504">
        <v>0</v>
      </c>
      <c r="BM28" s="504">
        <v>0</v>
      </c>
      <c r="BN28" s="504">
        <v>0</v>
      </c>
      <c r="BO28" s="504">
        <v>0</v>
      </c>
      <c r="BP28" s="504">
        <v>0</v>
      </c>
      <c r="BQ28" s="504">
        <v>0</v>
      </c>
      <c r="BR28" s="504">
        <v>0</v>
      </c>
      <c r="BS28" s="504">
        <v>0</v>
      </c>
      <c r="BT28" s="504">
        <v>0</v>
      </c>
      <c r="BU28" s="504">
        <v>0</v>
      </c>
      <c r="BV28" s="504">
        <v>0</v>
      </c>
      <c r="BW28" s="504">
        <v>0</v>
      </c>
      <c r="BX28" s="504">
        <v>0</v>
      </c>
      <c r="BY28" s="504">
        <v>0</v>
      </c>
      <c r="BZ28" s="504">
        <v>0</v>
      </c>
      <c r="CA28" s="504">
        <v>0</v>
      </c>
      <c r="CB28" s="504">
        <v>0</v>
      </c>
      <c r="CC28" s="504">
        <v>0</v>
      </c>
      <c r="CD28" s="504">
        <v>0</v>
      </c>
      <c r="CE28" s="504">
        <v>0</v>
      </c>
      <c r="CF28" s="504">
        <v>0</v>
      </c>
      <c r="CG28" s="504">
        <v>0</v>
      </c>
      <c r="CH28" s="504">
        <v>0</v>
      </c>
      <c r="CI28" s="504">
        <v>0</v>
      </c>
      <c r="CJ28" s="504">
        <v>0</v>
      </c>
      <c r="CK28" s="504">
        <v>0</v>
      </c>
      <c r="CL28" s="504">
        <v>0</v>
      </c>
      <c r="CM28" s="504">
        <v>0</v>
      </c>
      <c r="CN28" s="504">
        <v>0</v>
      </c>
      <c r="CO28" s="504">
        <v>0</v>
      </c>
      <c r="CP28" s="504">
        <v>0</v>
      </c>
      <c r="CQ28" s="504">
        <v>0</v>
      </c>
      <c r="CR28" s="504">
        <v>0</v>
      </c>
      <c r="CS28" s="504">
        <v>0</v>
      </c>
      <c r="CT28" s="504">
        <v>0</v>
      </c>
      <c r="CU28" s="504">
        <v>0</v>
      </c>
      <c r="CV28" s="504">
        <v>0</v>
      </c>
      <c r="CW28" s="504">
        <v>0</v>
      </c>
      <c r="CX28" s="504">
        <v>0</v>
      </c>
      <c r="CY28" s="504">
        <v>0</v>
      </c>
      <c r="CZ28" s="504">
        <v>0</v>
      </c>
      <c r="DA28" s="504">
        <v>0</v>
      </c>
      <c r="DB28" s="504">
        <v>0</v>
      </c>
      <c r="DC28" s="504">
        <v>0</v>
      </c>
      <c r="DD28" s="504">
        <v>0</v>
      </c>
      <c r="DE28" s="504">
        <v>0</v>
      </c>
      <c r="DF28" s="504">
        <v>0</v>
      </c>
      <c r="DG28" s="504">
        <v>0</v>
      </c>
      <c r="DH28" s="504">
        <v>0</v>
      </c>
      <c r="DI28" s="504">
        <v>0</v>
      </c>
      <c r="DJ28" s="504">
        <v>0</v>
      </c>
      <c r="DK28" s="504">
        <v>0</v>
      </c>
      <c r="DL28" s="504">
        <v>0</v>
      </c>
      <c r="DM28" s="504">
        <v>0</v>
      </c>
      <c r="DN28" s="504">
        <v>0</v>
      </c>
      <c r="DO28" s="504">
        <v>0</v>
      </c>
      <c r="DP28" s="504">
        <v>0</v>
      </c>
      <c r="DQ28" s="504">
        <v>0</v>
      </c>
      <c r="DR28" s="504">
        <v>0</v>
      </c>
      <c r="DS28" s="504">
        <v>0</v>
      </c>
      <c r="DT28" s="504">
        <v>0</v>
      </c>
      <c r="DU28" s="504">
        <v>0</v>
      </c>
      <c r="DV28" s="504">
        <v>0</v>
      </c>
      <c r="DW28" s="504">
        <v>0</v>
      </c>
      <c r="DX28" s="504">
        <v>0</v>
      </c>
      <c r="DY28" s="504">
        <v>0</v>
      </c>
      <c r="DZ28" s="504">
        <v>0</v>
      </c>
      <c r="EA28" s="504">
        <v>0</v>
      </c>
      <c r="EB28" s="504">
        <v>0</v>
      </c>
      <c r="EC28" s="504">
        <v>0</v>
      </c>
      <c r="ED28" s="504">
        <v>0</v>
      </c>
      <c r="EE28" s="504">
        <v>0</v>
      </c>
      <c r="EF28" s="504">
        <v>0</v>
      </c>
      <c r="EG28" s="504">
        <v>0</v>
      </c>
      <c r="EH28" s="504">
        <v>0</v>
      </c>
      <c r="EI28" s="504">
        <v>0</v>
      </c>
      <c r="EJ28" s="504">
        <v>0</v>
      </c>
      <c r="EK28" s="504">
        <v>0</v>
      </c>
      <c r="EL28" s="504">
        <v>0</v>
      </c>
      <c r="EM28" s="504">
        <v>0</v>
      </c>
      <c r="EN28" s="504">
        <v>0</v>
      </c>
      <c r="EO28" s="504">
        <v>0</v>
      </c>
      <c r="EP28" s="504">
        <v>0</v>
      </c>
      <c r="EQ28" s="504">
        <v>0</v>
      </c>
      <c r="ER28" s="504">
        <v>0</v>
      </c>
      <c r="ES28" s="504">
        <v>0</v>
      </c>
      <c r="ET28" s="504">
        <v>0</v>
      </c>
      <c r="EU28" s="504">
        <v>0</v>
      </c>
      <c r="EV28" s="504">
        <v>0</v>
      </c>
      <c r="EW28" s="504">
        <v>0</v>
      </c>
      <c r="EX28" s="504">
        <v>0</v>
      </c>
      <c r="EY28" s="504">
        <v>0</v>
      </c>
      <c r="EZ28" s="504">
        <v>0</v>
      </c>
      <c r="FA28" s="504">
        <v>0</v>
      </c>
      <c r="FB28" s="504">
        <v>0</v>
      </c>
      <c r="FC28" s="504">
        <v>0</v>
      </c>
      <c r="FD28" s="504">
        <v>0</v>
      </c>
      <c r="FE28" s="504">
        <v>0</v>
      </c>
      <c r="FF28" s="504">
        <v>0</v>
      </c>
      <c r="FG28" s="504">
        <v>0</v>
      </c>
      <c r="FH28" s="504">
        <v>0</v>
      </c>
      <c r="FI28" s="504">
        <v>0</v>
      </c>
      <c r="FJ28" s="504">
        <v>0</v>
      </c>
      <c r="FK28" s="504">
        <v>0</v>
      </c>
      <c r="FL28" s="504">
        <v>0</v>
      </c>
      <c r="FM28" s="504">
        <v>0</v>
      </c>
      <c r="FN28" s="504">
        <v>0</v>
      </c>
      <c r="FO28" s="504">
        <v>0</v>
      </c>
      <c r="FP28" s="504">
        <v>0</v>
      </c>
      <c r="FQ28" s="504">
        <v>0</v>
      </c>
      <c r="FR28" s="504">
        <v>0</v>
      </c>
      <c r="FS28" s="504">
        <v>0</v>
      </c>
      <c r="FT28" s="504">
        <v>0</v>
      </c>
      <c r="FU28" s="504">
        <v>0</v>
      </c>
      <c r="FV28" s="504">
        <v>0</v>
      </c>
      <c r="FW28" s="504">
        <v>0</v>
      </c>
      <c r="FX28" s="504">
        <v>0</v>
      </c>
      <c r="FY28" s="504">
        <v>0</v>
      </c>
      <c r="FZ28" s="504">
        <v>0</v>
      </c>
      <c r="GA28" s="504">
        <v>0</v>
      </c>
      <c r="GB28" s="504">
        <v>0</v>
      </c>
      <c r="GC28" s="504">
        <v>0</v>
      </c>
      <c r="GD28" s="504">
        <v>0</v>
      </c>
      <c r="GE28" s="504">
        <v>0</v>
      </c>
      <c r="GF28" s="504">
        <v>0</v>
      </c>
      <c r="GG28" s="504">
        <v>0</v>
      </c>
      <c r="GH28" s="504">
        <v>0</v>
      </c>
      <c r="GI28" s="504">
        <v>0</v>
      </c>
      <c r="GJ28" s="504">
        <v>0</v>
      </c>
      <c r="GK28" s="504">
        <v>0</v>
      </c>
      <c r="GL28" s="504">
        <v>0</v>
      </c>
      <c r="GM28" s="504">
        <v>0</v>
      </c>
      <c r="GN28" s="504">
        <v>0</v>
      </c>
      <c r="GO28" s="504">
        <v>0</v>
      </c>
      <c r="GP28" s="504">
        <v>0</v>
      </c>
      <c r="GQ28" s="504">
        <v>0</v>
      </c>
      <c r="GR28" s="504">
        <v>0</v>
      </c>
      <c r="GS28" s="504">
        <v>0</v>
      </c>
      <c r="GT28" s="504">
        <v>0</v>
      </c>
      <c r="GU28" s="504">
        <v>0</v>
      </c>
      <c r="GV28" s="504">
        <v>0</v>
      </c>
      <c r="GW28" s="504">
        <v>0</v>
      </c>
      <c r="GX28" s="504">
        <v>0</v>
      </c>
      <c r="GY28" s="504">
        <v>0</v>
      </c>
      <c r="GZ28" s="504">
        <v>0</v>
      </c>
      <c r="HA28" s="504">
        <v>0</v>
      </c>
      <c r="HB28" s="504">
        <v>0</v>
      </c>
      <c r="HC28" s="504">
        <v>0</v>
      </c>
      <c r="HD28" s="504">
        <v>0</v>
      </c>
      <c r="HE28" s="504">
        <v>0</v>
      </c>
      <c r="HF28" s="504">
        <v>0</v>
      </c>
      <c r="HG28" s="504">
        <v>0</v>
      </c>
      <c r="HH28" s="504">
        <v>0</v>
      </c>
      <c r="HI28" s="504">
        <v>0</v>
      </c>
      <c r="HJ28" s="504">
        <v>0</v>
      </c>
      <c r="HK28" s="504">
        <v>0</v>
      </c>
      <c r="HL28" s="504">
        <v>0</v>
      </c>
      <c r="HM28" s="504">
        <v>0</v>
      </c>
      <c r="HN28" s="504">
        <v>0</v>
      </c>
      <c r="HO28" s="504">
        <v>0</v>
      </c>
      <c r="HP28" s="504">
        <v>0</v>
      </c>
      <c r="HQ28" s="504">
        <v>0</v>
      </c>
      <c r="HR28" s="504">
        <v>0</v>
      </c>
      <c r="HS28" s="504">
        <v>0</v>
      </c>
      <c r="HT28" s="504">
        <v>0</v>
      </c>
      <c r="HU28" s="504">
        <v>0</v>
      </c>
      <c r="HV28" s="504">
        <v>0</v>
      </c>
      <c r="HW28" s="504">
        <v>0</v>
      </c>
      <c r="HX28" s="504">
        <v>0</v>
      </c>
      <c r="HY28" s="504">
        <v>0</v>
      </c>
      <c r="HZ28" s="504">
        <v>0</v>
      </c>
      <c r="IA28" s="504">
        <v>0</v>
      </c>
      <c r="IB28" s="504">
        <v>0</v>
      </c>
      <c r="IC28" s="504">
        <v>0</v>
      </c>
      <c r="ID28" s="504">
        <v>0</v>
      </c>
      <c r="IE28" s="504">
        <v>0</v>
      </c>
      <c r="IF28" s="504">
        <v>0</v>
      </c>
      <c r="IG28" s="504">
        <v>0</v>
      </c>
      <c r="IH28" s="504">
        <v>0</v>
      </c>
      <c r="II28" s="504">
        <v>0</v>
      </c>
      <c r="IJ28" s="504">
        <v>0</v>
      </c>
      <c r="IK28" s="504">
        <v>0</v>
      </c>
      <c r="IL28" s="504">
        <v>0</v>
      </c>
      <c r="IM28" s="504">
        <v>0</v>
      </c>
      <c r="IN28" s="504">
        <v>0</v>
      </c>
      <c r="IO28" s="504">
        <v>0</v>
      </c>
      <c r="IP28" s="504">
        <v>0</v>
      </c>
      <c r="IQ28" s="504">
        <v>0</v>
      </c>
      <c r="IR28" s="504">
        <v>0</v>
      </c>
      <c r="IS28" s="504">
        <v>0</v>
      </c>
      <c r="IT28" s="504">
        <v>0</v>
      </c>
      <c r="IU28" s="504">
        <v>0</v>
      </c>
      <c r="IV28" s="504">
        <v>0</v>
      </c>
      <c r="IW28" s="504">
        <v>0</v>
      </c>
      <c r="IX28" s="504">
        <v>0</v>
      </c>
      <c r="IY28" s="504">
        <v>0</v>
      </c>
      <c r="IZ28" s="504">
        <v>0</v>
      </c>
      <c r="JA28" s="504">
        <v>0</v>
      </c>
      <c r="JB28" s="504">
        <v>0</v>
      </c>
      <c r="JC28" s="504">
        <v>0</v>
      </c>
      <c r="JD28" s="504">
        <v>0</v>
      </c>
      <c r="JE28" s="504">
        <v>0</v>
      </c>
      <c r="JF28" s="504">
        <v>0</v>
      </c>
      <c r="JG28" s="504">
        <v>0</v>
      </c>
      <c r="JH28" s="504">
        <v>0</v>
      </c>
      <c r="JI28" s="504">
        <v>0</v>
      </c>
      <c r="JJ28" s="504">
        <v>0</v>
      </c>
      <c r="JK28" s="504">
        <v>0</v>
      </c>
      <c r="JL28" s="504">
        <v>0</v>
      </c>
      <c r="JM28" s="504">
        <v>0</v>
      </c>
      <c r="JN28" s="504">
        <v>0</v>
      </c>
      <c r="JO28" s="504">
        <v>0</v>
      </c>
      <c r="JP28" s="504">
        <v>0</v>
      </c>
      <c r="JQ28" s="504">
        <v>0</v>
      </c>
      <c r="JR28" s="504">
        <v>0</v>
      </c>
      <c r="JS28" s="504">
        <v>0</v>
      </c>
      <c r="JT28" s="504">
        <v>0</v>
      </c>
      <c r="JU28" s="504">
        <v>0</v>
      </c>
      <c r="JV28" s="504">
        <v>0</v>
      </c>
      <c r="JW28" s="504">
        <v>0</v>
      </c>
      <c r="JX28" s="504">
        <v>0</v>
      </c>
      <c r="JY28" s="504">
        <v>0</v>
      </c>
      <c r="JZ28" s="504">
        <v>0</v>
      </c>
      <c r="KA28" s="504">
        <v>0</v>
      </c>
      <c r="KB28" s="504">
        <v>0</v>
      </c>
      <c r="KC28" s="504">
        <v>0</v>
      </c>
      <c r="KD28" s="504">
        <v>0</v>
      </c>
      <c r="KE28" s="504">
        <v>0</v>
      </c>
      <c r="KF28" s="504">
        <v>0</v>
      </c>
      <c r="KG28" s="504">
        <v>0</v>
      </c>
      <c r="KH28" s="504">
        <v>0</v>
      </c>
      <c r="KI28" s="504">
        <v>0</v>
      </c>
      <c r="KJ28" s="504">
        <v>0</v>
      </c>
      <c r="KK28" s="504">
        <v>0</v>
      </c>
      <c r="KL28" s="504">
        <v>0</v>
      </c>
      <c r="KM28" s="504">
        <v>0</v>
      </c>
      <c r="KN28" s="504">
        <v>0</v>
      </c>
      <c r="KO28" s="504">
        <v>0</v>
      </c>
      <c r="KP28" s="504">
        <v>0</v>
      </c>
      <c r="KQ28" s="504">
        <v>0</v>
      </c>
      <c r="KR28" s="504">
        <v>0</v>
      </c>
      <c r="KS28" s="504">
        <v>0</v>
      </c>
      <c r="KT28" s="504">
        <v>0</v>
      </c>
      <c r="KU28" s="504">
        <v>0</v>
      </c>
      <c r="KV28" s="504">
        <v>0</v>
      </c>
      <c r="KW28" s="504">
        <v>0</v>
      </c>
      <c r="KX28" s="504">
        <v>0</v>
      </c>
      <c r="KY28" s="504">
        <v>0</v>
      </c>
      <c r="KZ28" s="504">
        <v>0</v>
      </c>
      <c r="LA28" s="504">
        <v>0</v>
      </c>
      <c r="LB28" s="504">
        <v>0</v>
      </c>
      <c r="LC28" s="504">
        <v>0</v>
      </c>
      <c r="LD28" s="504">
        <v>0</v>
      </c>
      <c r="LE28" s="504">
        <v>0</v>
      </c>
      <c r="LF28" s="504">
        <v>0</v>
      </c>
      <c r="LG28" s="504">
        <v>0</v>
      </c>
      <c r="LH28" s="504">
        <v>0</v>
      </c>
      <c r="LI28" s="504">
        <v>0</v>
      </c>
      <c r="LJ28" s="504">
        <v>0</v>
      </c>
      <c r="LK28" s="504">
        <v>0</v>
      </c>
      <c r="LL28" s="504">
        <v>0</v>
      </c>
      <c r="LM28" s="504">
        <v>0</v>
      </c>
      <c r="LN28" s="504">
        <v>0</v>
      </c>
      <c r="LO28" s="504">
        <v>0</v>
      </c>
      <c r="LP28" s="504">
        <v>0</v>
      </c>
      <c r="LQ28" s="504">
        <v>0</v>
      </c>
      <c r="LR28" s="504">
        <v>0</v>
      </c>
      <c r="LS28" s="504">
        <v>0</v>
      </c>
      <c r="LT28" s="504">
        <v>0</v>
      </c>
      <c r="LU28" s="504">
        <v>0</v>
      </c>
      <c r="LV28" s="504">
        <v>0</v>
      </c>
      <c r="LW28" s="504">
        <v>0</v>
      </c>
      <c r="LX28" s="504">
        <v>0</v>
      </c>
      <c r="LY28" s="504">
        <v>0</v>
      </c>
      <c r="LZ28" s="504">
        <v>0</v>
      </c>
      <c r="MA28" s="504">
        <v>0</v>
      </c>
      <c r="MB28" s="504">
        <v>0</v>
      </c>
      <c r="MC28" s="504">
        <v>0</v>
      </c>
      <c r="MD28" s="504">
        <v>0</v>
      </c>
      <c r="ME28" s="504">
        <v>0</v>
      </c>
      <c r="MF28" s="504">
        <v>0</v>
      </c>
      <c r="MG28" s="504">
        <v>0</v>
      </c>
      <c r="MH28" s="504">
        <v>0</v>
      </c>
      <c r="MI28" s="504">
        <v>0</v>
      </c>
      <c r="MJ28" s="504">
        <v>0</v>
      </c>
      <c r="MK28" s="504">
        <v>0</v>
      </c>
      <c r="ML28" s="504">
        <v>0</v>
      </c>
      <c r="MM28" s="504">
        <v>0</v>
      </c>
      <c r="MN28" s="504">
        <v>0</v>
      </c>
      <c r="MO28" s="504">
        <v>0</v>
      </c>
      <c r="MP28" s="504">
        <v>0</v>
      </c>
      <c r="MQ28" s="504">
        <v>0</v>
      </c>
      <c r="MR28" s="504">
        <v>0</v>
      </c>
      <c r="MS28" s="504">
        <v>0</v>
      </c>
      <c r="MT28" s="504">
        <v>0</v>
      </c>
      <c r="MU28" s="504">
        <v>0</v>
      </c>
      <c r="MV28" s="504">
        <v>0</v>
      </c>
      <c r="MW28" s="504">
        <v>0</v>
      </c>
      <c r="MX28" s="504">
        <v>0</v>
      </c>
      <c r="MY28" s="504">
        <v>0</v>
      </c>
      <c r="MZ28" s="504">
        <v>0</v>
      </c>
      <c r="NA28" s="504">
        <v>0</v>
      </c>
      <c r="NB28" s="504">
        <v>0</v>
      </c>
      <c r="NC28" s="504">
        <v>0</v>
      </c>
      <c r="ND28" s="504">
        <v>0</v>
      </c>
      <c r="NE28" s="504">
        <v>0</v>
      </c>
      <c r="NF28" s="504">
        <v>0</v>
      </c>
      <c r="NG28" s="504">
        <v>0</v>
      </c>
      <c r="NH28" s="504">
        <v>0</v>
      </c>
      <c r="NI28" s="504">
        <v>0</v>
      </c>
      <c r="NJ28" s="504">
        <v>0</v>
      </c>
      <c r="NK28" s="504">
        <v>0</v>
      </c>
      <c r="NL28" s="504">
        <v>0</v>
      </c>
      <c r="NM28" s="504">
        <v>0</v>
      </c>
      <c r="NN28" s="504">
        <v>0</v>
      </c>
      <c r="NO28" s="504">
        <v>0</v>
      </c>
      <c r="NP28" s="504">
        <v>0</v>
      </c>
      <c r="NQ28" s="504">
        <v>0</v>
      </c>
      <c r="NR28" s="504">
        <v>0</v>
      </c>
      <c r="NS28" s="504">
        <v>0</v>
      </c>
      <c r="NT28" s="504">
        <v>0</v>
      </c>
      <c r="NU28" s="504">
        <v>0</v>
      </c>
      <c r="NV28" s="504">
        <v>0</v>
      </c>
      <c r="NW28" s="504">
        <v>0</v>
      </c>
      <c r="NX28" s="504">
        <v>0</v>
      </c>
      <c r="NY28" s="504">
        <v>0</v>
      </c>
      <c r="NZ28" s="504">
        <v>0</v>
      </c>
      <c r="OA28" s="504">
        <v>0</v>
      </c>
      <c r="OB28" s="504">
        <v>0</v>
      </c>
      <c r="OC28" s="504">
        <v>0</v>
      </c>
      <c r="OD28" s="504">
        <v>0</v>
      </c>
      <c r="OE28" s="504">
        <v>0</v>
      </c>
      <c r="OF28" s="504">
        <v>0</v>
      </c>
      <c r="OG28" s="504">
        <v>0</v>
      </c>
      <c r="OH28" s="504">
        <v>0</v>
      </c>
      <c r="OI28" s="504">
        <v>0</v>
      </c>
      <c r="OJ28" s="504">
        <v>0</v>
      </c>
      <c r="OK28" s="504">
        <v>0</v>
      </c>
      <c r="OL28" s="504">
        <v>0</v>
      </c>
      <c r="OM28" s="504">
        <v>0</v>
      </c>
      <c r="ON28" s="494"/>
    </row>
    <row r="29" spans="1:404" ht="18.75" customHeight="1" x14ac:dyDescent="0.4">
      <c r="A29" s="355" t="s">
        <v>305</v>
      </c>
      <c r="B29" s="358">
        <v>123</v>
      </c>
      <c r="C29" s="355" t="s">
        <v>60</v>
      </c>
      <c r="D29" s="501">
        <v>21.94</v>
      </c>
      <c r="E29" s="502">
        <v>21948</v>
      </c>
      <c r="F29" s="501">
        <v>21.93</v>
      </c>
      <c r="G29" s="502">
        <v>7168</v>
      </c>
      <c r="H29" s="501">
        <v>21.93</v>
      </c>
      <c r="I29" s="502">
        <v>19268</v>
      </c>
      <c r="J29" s="501">
        <v>21.93</v>
      </c>
      <c r="K29" s="502">
        <v>22091</v>
      </c>
      <c r="V29" s="501"/>
      <c r="W29" s="503"/>
      <c r="X29" s="501"/>
      <c r="Y29" s="503"/>
      <c r="Z29" s="501"/>
      <c r="AA29" s="503"/>
      <c r="AB29" s="495"/>
      <c r="AC29" s="504">
        <v>0</v>
      </c>
      <c r="AD29" s="504">
        <v>0</v>
      </c>
      <c r="AE29" s="504">
        <v>0</v>
      </c>
      <c r="AF29" s="504">
        <v>0</v>
      </c>
      <c r="AG29" s="504">
        <v>0</v>
      </c>
      <c r="AH29" s="504">
        <v>0</v>
      </c>
      <c r="AI29" s="504">
        <v>0</v>
      </c>
      <c r="AJ29" s="504">
        <v>0</v>
      </c>
      <c r="AK29" s="504">
        <v>0</v>
      </c>
      <c r="AL29" s="504">
        <v>0</v>
      </c>
      <c r="AM29" s="504">
        <v>0</v>
      </c>
      <c r="AN29" s="504">
        <v>0</v>
      </c>
      <c r="AO29" s="504">
        <v>0</v>
      </c>
      <c r="AP29" s="504">
        <v>0</v>
      </c>
      <c r="AQ29" s="504">
        <v>0</v>
      </c>
      <c r="AR29" s="504">
        <v>0</v>
      </c>
      <c r="AS29" s="504">
        <v>0</v>
      </c>
      <c r="AT29" s="504">
        <v>0</v>
      </c>
      <c r="AU29" s="504">
        <v>0</v>
      </c>
      <c r="AV29" s="504">
        <v>0</v>
      </c>
      <c r="AW29" s="504">
        <v>0</v>
      </c>
      <c r="AX29" s="504">
        <v>0</v>
      </c>
      <c r="AY29" s="504">
        <v>0</v>
      </c>
      <c r="AZ29" s="504">
        <v>0</v>
      </c>
      <c r="BA29" s="504">
        <v>0</v>
      </c>
      <c r="BB29" s="504">
        <v>0</v>
      </c>
      <c r="BC29" s="504">
        <v>0</v>
      </c>
      <c r="BD29" s="504">
        <v>0</v>
      </c>
      <c r="BE29" s="504">
        <v>0</v>
      </c>
      <c r="BF29" s="504">
        <v>0</v>
      </c>
      <c r="BG29" s="504">
        <v>0</v>
      </c>
      <c r="BH29" s="504">
        <v>0</v>
      </c>
      <c r="BI29" s="504">
        <v>0</v>
      </c>
      <c r="BJ29" s="504">
        <v>0</v>
      </c>
      <c r="BK29" s="504">
        <v>0</v>
      </c>
      <c r="BL29" s="504">
        <v>0</v>
      </c>
      <c r="BM29" s="504">
        <v>0</v>
      </c>
      <c r="BN29" s="504">
        <v>0</v>
      </c>
      <c r="BO29" s="504">
        <v>0</v>
      </c>
      <c r="BP29" s="504">
        <v>0</v>
      </c>
      <c r="BQ29" s="504">
        <v>0</v>
      </c>
      <c r="BR29" s="504">
        <v>0</v>
      </c>
      <c r="BS29" s="504">
        <v>0</v>
      </c>
      <c r="BT29" s="504">
        <v>0</v>
      </c>
      <c r="BU29" s="504">
        <v>0</v>
      </c>
      <c r="BV29" s="504">
        <v>0</v>
      </c>
      <c r="BW29" s="504">
        <v>0</v>
      </c>
      <c r="BX29" s="504">
        <v>0</v>
      </c>
      <c r="BY29" s="504">
        <v>0</v>
      </c>
      <c r="BZ29" s="504">
        <v>0</v>
      </c>
      <c r="CA29" s="504">
        <v>0</v>
      </c>
      <c r="CB29" s="504">
        <v>0</v>
      </c>
      <c r="CC29" s="504">
        <v>0</v>
      </c>
      <c r="CD29" s="504">
        <v>0</v>
      </c>
      <c r="CE29" s="504">
        <v>0</v>
      </c>
      <c r="CF29" s="504">
        <v>0</v>
      </c>
      <c r="CG29" s="504">
        <v>0</v>
      </c>
      <c r="CH29" s="504">
        <v>0</v>
      </c>
      <c r="CI29" s="504">
        <v>0</v>
      </c>
      <c r="CJ29" s="504">
        <v>0</v>
      </c>
      <c r="CK29" s="504">
        <v>0</v>
      </c>
      <c r="CL29" s="504">
        <v>0</v>
      </c>
      <c r="CM29" s="504">
        <v>0</v>
      </c>
      <c r="CN29" s="504">
        <v>0</v>
      </c>
      <c r="CO29" s="504">
        <v>0</v>
      </c>
      <c r="CP29" s="504">
        <v>0</v>
      </c>
      <c r="CQ29" s="504">
        <v>0</v>
      </c>
      <c r="CR29" s="504">
        <v>0</v>
      </c>
      <c r="CS29" s="504">
        <v>0</v>
      </c>
      <c r="CT29" s="504">
        <v>0</v>
      </c>
      <c r="CU29" s="504">
        <v>0</v>
      </c>
      <c r="CV29" s="504">
        <v>0</v>
      </c>
      <c r="CW29" s="504">
        <v>0</v>
      </c>
      <c r="CX29" s="504">
        <v>0</v>
      </c>
      <c r="CY29" s="504">
        <v>0</v>
      </c>
      <c r="CZ29" s="504">
        <v>0</v>
      </c>
      <c r="DA29" s="504">
        <v>0</v>
      </c>
      <c r="DB29" s="504">
        <v>0</v>
      </c>
      <c r="DC29" s="504">
        <v>0</v>
      </c>
      <c r="DD29" s="504">
        <v>0</v>
      </c>
      <c r="DE29" s="504">
        <v>0</v>
      </c>
      <c r="DF29" s="504">
        <v>0</v>
      </c>
      <c r="DG29" s="504">
        <v>0</v>
      </c>
      <c r="DH29" s="504">
        <v>0</v>
      </c>
      <c r="DI29" s="504">
        <v>0</v>
      </c>
      <c r="DJ29" s="504">
        <v>0</v>
      </c>
      <c r="DK29" s="504">
        <v>0</v>
      </c>
      <c r="DL29" s="504">
        <v>0</v>
      </c>
      <c r="DM29" s="504">
        <v>0</v>
      </c>
      <c r="DN29" s="504">
        <v>0</v>
      </c>
      <c r="DO29" s="504">
        <v>0</v>
      </c>
      <c r="DP29" s="504">
        <v>0</v>
      </c>
      <c r="DQ29" s="504">
        <v>0</v>
      </c>
      <c r="DR29" s="504">
        <v>0</v>
      </c>
      <c r="DS29" s="504">
        <v>0</v>
      </c>
      <c r="DT29" s="504">
        <v>0</v>
      </c>
      <c r="DU29" s="504">
        <v>0</v>
      </c>
      <c r="DV29" s="504">
        <v>0</v>
      </c>
      <c r="DW29" s="504">
        <v>0</v>
      </c>
      <c r="DX29" s="504">
        <v>0</v>
      </c>
      <c r="DY29" s="504">
        <v>0</v>
      </c>
      <c r="DZ29" s="504">
        <v>0</v>
      </c>
      <c r="EA29" s="504">
        <v>0</v>
      </c>
      <c r="EB29" s="504">
        <v>0</v>
      </c>
      <c r="EC29" s="504">
        <v>0</v>
      </c>
      <c r="ED29" s="504">
        <v>0</v>
      </c>
      <c r="EE29" s="504">
        <v>0</v>
      </c>
      <c r="EF29" s="504">
        <v>0</v>
      </c>
      <c r="EG29" s="504">
        <v>0</v>
      </c>
      <c r="EH29" s="504">
        <v>0</v>
      </c>
      <c r="EI29" s="504">
        <v>0</v>
      </c>
      <c r="EJ29" s="504">
        <v>0</v>
      </c>
      <c r="EK29" s="504">
        <v>0</v>
      </c>
      <c r="EL29" s="504">
        <v>0</v>
      </c>
      <c r="EM29" s="504">
        <v>0</v>
      </c>
      <c r="EN29" s="504">
        <v>0</v>
      </c>
      <c r="EO29" s="504">
        <v>0</v>
      </c>
      <c r="EP29" s="504">
        <v>0</v>
      </c>
      <c r="EQ29" s="504">
        <v>0</v>
      </c>
      <c r="ER29" s="504">
        <v>0</v>
      </c>
      <c r="ES29" s="504">
        <v>0</v>
      </c>
      <c r="ET29" s="504">
        <v>0</v>
      </c>
      <c r="EU29" s="504">
        <v>0</v>
      </c>
      <c r="EV29" s="504">
        <v>0</v>
      </c>
      <c r="EW29" s="504">
        <v>0</v>
      </c>
      <c r="EX29" s="504">
        <v>0</v>
      </c>
      <c r="EY29" s="504">
        <v>0</v>
      </c>
      <c r="EZ29" s="504">
        <v>0</v>
      </c>
      <c r="FA29" s="504">
        <v>0</v>
      </c>
      <c r="FB29" s="504">
        <v>0</v>
      </c>
      <c r="FC29" s="504">
        <v>0</v>
      </c>
      <c r="FD29" s="504">
        <v>0</v>
      </c>
      <c r="FE29" s="504">
        <v>0</v>
      </c>
      <c r="FF29" s="504">
        <v>0</v>
      </c>
      <c r="FG29" s="504">
        <v>0</v>
      </c>
      <c r="FH29" s="504">
        <v>0</v>
      </c>
      <c r="FI29" s="504">
        <v>0</v>
      </c>
      <c r="FJ29" s="504">
        <v>0</v>
      </c>
      <c r="FK29" s="504">
        <v>0</v>
      </c>
      <c r="FL29" s="504">
        <v>0</v>
      </c>
      <c r="FM29" s="504">
        <v>0</v>
      </c>
      <c r="FN29" s="504">
        <v>0</v>
      </c>
      <c r="FO29" s="504">
        <v>0</v>
      </c>
      <c r="FP29" s="504">
        <v>0</v>
      </c>
      <c r="FQ29" s="504">
        <v>0</v>
      </c>
      <c r="FR29" s="504">
        <v>0</v>
      </c>
      <c r="FS29" s="504">
        <v>0</v>
      </c>
      <c r="FT29" s="504">
        <v>0</v>
      </c>
      <c r="FU29" s="504">
        <v>0</v>
      </c>
      <c r="FV29" s="504">
        <v>0</v>
      </c>
      <c r="FW29" s="504">
        <v>0</v>
      </c>
      <c r="FX29" s="504">
        <v>0</v>
      </c>
      <c r="FY29" s="504">
        <v>0</v>
      </c>
      <c r="FZ29" s="504">
        <v>0</v>
      </c>
      <c r="GA29" s="504">
        <v>0</v>
      </c>
      <c r="GB29" s="504">
        <v>0</v>
      </c>
      <c r="GC29" s="504">
        <v>0</v>
      </c>
      <c r="GD29" s="504">
        <v>0</v>
      </c>
      <c r="GE29" s="504">
        <v>0</v>
      </c>
      <c r="GF29" s="504">
        <v>0</v>
      </c>
      <c r="GG29" s="504">
        <v>0</v>
      </c>
      <c r="GH29" s="504">
        <v>0</v>
      </c>
      <c r="GI29" s="504">
        <v>0</v>
      </c>
      <c r="GJ29" s="504">
        <v>0</v>
      </c>
      <c r="GK29" s="504">
        <v>0</v>
      </c>
      <c r="GL29" s="504">
        <v>0</v>
      </c>
      <c r="GM29" s="504">
        <v>0</v>
      </c>
      <c r="GN29" s="504">
        <v>0</v>
      </c>
      <c r="GO29" s="504">
        <v>0</v>
      </c>
      <c r="GP29" s="504">
        <v>0</v>
      </c>
      <c r="GQ29" s="504">
        <v>0</v>
      </c>
      <c r="GR29" s="504">
        <v>0</v>
      </c>
      <c r="GS29" s="504">
        <v>0</v>
      </c>
      <c r="GT29" s="504">
        <v>0</v>
      </c>
      <c r="GU29" s="504">
        <v>0</v>
      </c>
      <c r="GV29" s="504">
        <v>0</v>
      </c>
      <c r="GW29" s="504">
        <v>0</v>
      </c>
      <c r="GX29" s="504">
        <v>0</v>
      </c>
      <c r="GY29" s="504">
        <v>0</v>
      </c>
      <c r="GZ29" s="504">
        <v>0</v>
      </c>
      <c r="HA29" s="504">
        <v>0</v>
      </c>
      <c r="HB29" s="504">
        <v>0</v>
      </c>
      <c r="HC29" s="504">
        <v>0</v>
      </c>
      <c r="HD29" s="504">
        <v>0</v>
      </c>
      <c r="HE29" s="504">
        <v>0</v>
      </c>
      <c r="HF29" s="504">
        <v>0</v>
      </c>
      <c r="HG29" s="504">
        <v>0</v>
      </c>
      <c r="HH29" s="504">
        <v>0</v>
      </c>
      <c r="HI29" s="504">
        <v>0</v>
      </c>
      <c r="HJ29" s="504">
        <v>0</v>
      </c>
      <c r="HK29" s="504">
        <v>0</v>
      </c>
      <c r="HL29" s="504">
        <v>0</v>
      </c>
      <c r="HM29" s="504">
        <v>0</v>
      </c>
      <c r="HN29" s="504">
        <v>0</v>
      </c>
      <c r="HO29" s="504">
        <v>0</v>
      </c>
      <c r="HP29" s="504">
        <v>0</v>
      </c>
      <c r="HQ29" s="504">
        <v>0</v>
      </c>
      <c r="HR29" s="504">
        <v>0</v>
      </c>
      <c r="HS29" s="504">
        <v>0</v>
      </c>
      <c r="HT29" s="504">
        <v>0</v>
      </c>
      <c r="HU29" s="504">
        <v>0</v>
      </c>
      <c r="HV29" s="504">
        <v>0</v>
      </c>
      <c r="HW29" s="504">
        <v>0</v>
      </c>
      <c r="HX29" s="504">
        <v>0</v>
      </c>
      <c r="HY29" s="504">
        <v>0</v>
      </c>
      <c r="HZ29" s="504">
        <v>0</v>
      </c>
      <c r="IA29" s="504">
        <v>0</v>
      </c>
      <c r="IB29" s="504">
        <v>0</v>
      </c>
      <c r="IC29" s="504">
        <v>0</v>
      </c>
      <c r="ID29" s="504">
        <v>0</v>
      </c>
      <c r="IE29" s="504">
        <v>0</v>
      </c>
      <c r="IF29" s="504">
        <v>0</v>
      </c>
      <c r="IG29" s="504">
        <v>0</v>
      </c>
      <c r="IH29" s="504">
        <v>0</v>
      </c>
      <c r="II29" s="504">
        <v>0</v>
      </c>
      <c r="IJ29" s="504">
        <v>0</v>
      </c>
      <c r="IK29" s="504">
        <v>0</v>
      </c>
      <c r="IL29" s="504">
        <v>0</v>
      </c>
      <c r="IM29" s="504">
        <v>0</v>
      </c>
      <c r="IN29" s="504">
        <v>0</v>
      </c>
      <c r="IO29" s="504">
        <v>0</v>
      </c>
      <c r="IP29" s="504">
        <v>0</v>
      </c>
      <c r="IQ29" s="504">
        <v>0</v>
      </c>
      <c r="IR29" s="504">
        <v>0</v>
      </c>
      <c r="IS29" s="504">
        <v>0</v>
      </c>
      <c r="IT29" s="504">
        <v>0</v>
      </c>
      <c r="IU29" s="504">
        <v>0</v>
      </c>
      <c r="IV29" s="504">
        <v>0</v>
      </c>
      <c r="IW29" s="504">
        <v>0</v>
      </c>
      <c r="IX29" s="504">
        <v>0</v>
      </c>
      <c r="IY29" s="504">
        <v>0</v>
      </c>
      <c r="IZ29" s="504">
        <v>0</v>
      </c>
      <c r="JA29" s="504">
        <v>0</v>
      </c>
      <c r="JB29" s="504">
        <v>0</v>
      </c>
      <c r="JC29" s="504">
        <v>0</v>
      </c>
      <c r="JD29" s="504">
        <v>0</v>
      </c>
      <c r="JE29" s="504">
        <v>0</v>
      </c>
      <c r="JF29" s="504">
        <v>0</v>
      </c>
      <c r="JG29" s="504">
        <v>0</v>
      </c>
      <c r="JH29" s="504">
        <v>0</v>
      </c>
      <c r="JI29" s="504">
        <v>0</v>
      </c>
      <c r="JJ29" s="504">
        <v>0</v>
      </c>
      <c r="JK29" s="504">
        <v>0</v>
      </c>
      <c r="JL29" s="504">
        <v>0</v>
      </c>
      <c r="JM29" s="504">
        <v>0</v>
      </c>
      <c r="JN29" s="504">
        <v>0</v>
      </c>
      <c r="JO29" s="504">
        <v>0</v>
      </c>
      <c r="JP29" s="504">
        <v>0</v>
      </c>
      <c r="JQ29" s="504">
        <v>0</v>
      </c>
      <c r="JR29" s="504">
        <v>0</v>
      </c>
      <c r="JS29" s="504">
        <v>0</v>
      </c>
      <c r="JT29" s="504">
        <v>0</v>
      </c>
      <c r="JU29" s="504">
        <v>0</v>
      </c>
      <c r="JV29" s="504">
        <v>0</v>
      </c>
      <c r="JW29" s="504">
        <v>0</v>
      </c>
      <c r="JX29" s="504">
        <v>0</v>
      </c>
      <c r="JY29" s="504">
        <v>0</v>
      </c>
      <c r="JZ29" s="504">
        <v>0</v>
      </c>
      <c r="KA29" s="504">
        <v>0</v>
      </c>
      <c r="KB29" s="504">
        <v>0</v>
      </c>
      <c r="KC29" s="504">
        <v>0</v>
      </c>
      <c r="KD29" s="504">
        <v>0</v>
      </c>
      <c r="KE29" s="504">
        <v>0</v>
      </c>
      <c r="KF29" s="504">
        <v>0</v>
      </c>
      <c r="KG29" s="504">
        <v>0</v>
      </c>
      <c r="KH29" s="504">
        <v>0</v>
      </c>
      <c r="KI29" s="504">
        <v>0</v>
      </c>
      <c r="KJ29" s="504">
        <v>0</v>
      </c>
      <c r="KK29" s="504">
        <v>0</v>
      </c>
      <c r="KL29" s="504">
        <v>0</v>
      </c>
      <c r="KM29" s="504">
        <v>0</v>
      </c>
      <c r="KN29" s="504">
        <v>0</v>
      </c>
      <c r="KO29" s="504">
        <v>0</v>
      </c>
      <c r="KP29" s="504">
        <v>0</v>
      </c>
      <c r="KQ29" s="504">
        <v>0</v>
      </c>
      <c r="KR29" s="504">
        <v>0</v>
      </c>
      <c r="KS29" s="504">
        <v>0</v>
      </c>
      <c r="KT29" s="504">
        <v>0</v>
      </c>
      <c r="KU29" s="504">
        <v>0</v>
      </c>
      <c r="KV29" s="504">
        <v>0</v>
      </c>
      <c r="KW29" s="504">
        <v>0</v>
      </c>
      <c r="KX29" s="504">
        <v>0</v>
      </c>
      <c r="KY29" s="504">
        <v>0</v>
      </c>
      <c r="KZ29" s="504">
        <v>0</v>
      </c>
      <c r="LA29" s="504">
        <v>0</v>
      </c>
      <c r="LB29" s="504">
        <v>0</v>
      </c>
      <c r="LC29" s="504">
        <v>0</v>
      </c>
      <c r="LD29" s="504">
        <v>0</v>
      </c>
      <c r="LE29" s="504">
        <v>0</v>
      </c>
      <c r="LF29" s="504">
        <v>0</v>
      </c>
      <c r="LG29" s="504">
        <v>0</v>
      </c>
      <c r="LH29" s="504">
        <v>0</v>
      </c>
      <c r="LI29" s="504">
        <v>0</v>
      </c>
      <c r="LJ29" s="504">
        <v>0</v>
      </c>
      <c r="LK29" s="504">
        <v>0</v>
      </c>
      <c r="LL29" s="504">
        <v>0</v>
      </c>
      <c r="LM29" s="504">
        <v>0</v>
      </c>
      <c r="LN29" s="504">
        <v>0</v>
      </c>
      <c r="LO29" s="504">
        <v>0</v>
      </c>
      <c r="LP29" s="504">
        <v>0</v>
      </c>
      <c r="LQ29" s="504">
        <v>0</v>
      </c>
      <c r="LR29" s="504">
        <v>0</v>
      </c>
      <c r="LS29" s="504">
        <v>0</v>
      </c>
      <c r="LT29" s="504">
        <v>0</v>
      </c>
      <c r="LU29" s="504">
        <v>0</v>
      </c>
      <c r="LV29" s="504">
        <v>0</v>
      </c>
      <c r="LW29" s="504">
        <v>0</v>
      </c>
      <c r="LX29" s="504">
        <v>0</v>
      </c>
      <c r="LY29" s="504">
        <v>0</v>
      </c>
      <c r="LZ29" s="504">
        <v>0</v>
      </c>
      <c r="MA29" s="504">
        <v>0</v>
      </c>
      <c r="MB29" s="504">
        <v>0</v>
      </c>
      <c r="MC29" s="504">
        <v>0</v>
      </c>
      <c r="MD29" s="504">
        <v>0</v>
      </c>
      <c r="ME29" s="504">
        <v>0</v>
      </c>
      <c r="MF29" s="504">
        <v>0</v>
      </c>
      <c r="MG29" s="504">
        <v>0</v>
      </c>
      <c r="MH29" s="504">
        <v>0</v>
      </c>
      <c r="MI29" s="504">
        <v>0</v>
      </c>
      <c r="MJ29" s="504">
        <v>0</v>
      </c>
      <c r="MK29" s="504">
        <v>0</v>
      </c>
      <c r="ML29" s="504">
        <v>0</v>
      </c>
      <c r="MM29" s="504">
        <v>0</v>
      </c>
      <c r="MN29" s="504">
        <v>0</v>
      </c>
      <c r="MO29" s="504">
        <v>0</v>
      </c>
      <c r="MP29" s="504">
        <v>0</v>
      </c>
      <c r="MQ29" s="504">
        <v>0</v>
      </c>
      <c r="MR29" s="504">
        <v>0</v>
      </c>
      <c r="MS29" s="504">
        <v>0</v>
      </c>
      <c r="MT29" s="504">
        <v>0</v>
      </c>
      <c r="MU29" s="504">
        <v>0</v>
      </c>
      <c r="MV29" s="504">
        <v>0</v>
      </c>
      <c r="MW29" s="504">
        <v>0</v>
      </c>
      <c r="MX29" s="504">
        <v>0</v>
      </c>
      <c r="MY29" s="504">
        <v>0</v>
      </c>
      <c r="MZ29" s="504">
        <v>0</v>
      </c>
      <c r="NA29" s="504">
        <v>0</v>
      </c>
      <c r="NB29" s="504">
        <v>0</v>
      </c>
      <c r="NC29" s="504">
        <v>0</v>
      </c>
      <c r="ND29" s="504">
        <v>0</v>
      </c>
      <c r="NE29" s="504">
        <v>0</v>
      </c>
      <c r="NF29" s="504">
        <v>0</v>
      </c>
      <c r="NG29" s="504">
        <v>0</v>
      </c>
      <c r="NH29" s="504">
        <v>0</v>
      </c>
      <c r="NI29" s="504">
        <v>0</v>
      </c>
      <c r="NJ29" s="504">
        <v>0</v>
      </c>
      <c r="NK29" s="504">
        <v>0</v>
      </c>
      <c r="NL29" s="504">
        <v>0</v>
      </c>
      <c r="NM29" s="504">
        <v>0</v>
      </c>
      <c r="NN29" s="504">
        <v>0</v>
      </c>
      <c r="NO29" s="504">
        <v>0</v>
      </c>
      <c r="NP29" s="504">
        <v>0</v>
      </c>
      <c r="NQ29" s="504">
        <v>0</v>
      </c>
      <c r="NR29" s="504">
        <v>0</v>
      </c>
      <c r="NS29" s="504">
        <v>0</v>
      </c>
      <c r="NT29" s="504">
        <v>0</v>
      </c>
      <c r="NU29" s="504">
        <v>0</v>
      </c>
      <c r="NV29" s="504">
        <v>0</v>
      </c>
      <c r="NW29" s="504">
        <v>0</v>
      </c>
      <c r="NX29" s="504">
        <v>0</v>
      </c>
      <c r="NY29" s="504">
        <v>0</v>
      </c>
      <c r="NZ29" s="504">
        <v>0</v>
      </c>
      <c r="OA29" s="504">
        <v>0</v>
      </c>
      <c r="OB29" s="504">
        <v>0</v>
      </c>
      <c r="OC29" s="504">
        <v>0</v>
      </c>
      <c r="OD29" s="504">
        <v>0</v>
      </c>
      <c r="OE29" s="504">
        <v>0</v>
      </c>
      <c r="OF29" s="504">
        <v>0</v>
      </c>
      <c r="OG29" s="504">
        <v>0</v>
      </c>
      <c r="OH29" s="504">
        <v>0</v>
      </c>
      <c r="OI29" s="504">
        <v>0</v>
      </c>
      <c r="OJ29" s="504">
        <v>0</v>
      </c>
      <c r="OK29" s="504">
        <v>0</v>
      </c>
      <c r="OL29" s="504">
        <v>0</v>
      </c>
      <c r="OM29" s="504">
        <v>0</v>
      </c>
      <c r="ON29" s="494"/>
    </row>
    <row r="30" spans="1:404" ht="18.75" customHeight="1" x14ac:dyDescent="0.4">
      <c r="A30" s="355" t="s">
        <v>306</v>
      </c>
      <c r="B30" s="358">
        <v>169</v>
      </c>
      <c r="C30" s="355" t="s">
        <v>60</v>
      </c>
      <c r="D30" s="501">
        <v>22.43</v>
      </c>
      <c r="E30" s="502">
        <v>31786</v>
      </c>
      <c r="F30" s="501">
        <v>22.41</v>
      </c>
      <c r="G30" s="502">
        <v>5840</v>
      </c>
      <c r="H30" s="501">
        <v>22.42</v>
      </c>
      <c r="I30" s="502">
        <v>18760</v>
      </c>
      <c r="J30" s="501">
        <v>22.42</v>
      </c>
      <c r="K30" s="502">
        <v>19969</v>
      </c>
      <c r="V30" s="501"/>
      <c r="W30" s="503"/>
      <c r="X30" s="501"/>
      <c r="Y30" s="503"/>
      <c r="Z30" s="501"/>
      <c r="AA30" s="503"/>
      <c r="AB30" s="495"/>
      <c r="AC30" s="504">
        <v>0</v>
      </c>
      <c r="AD30" s="504">
        <v>0</v>
      </c>
      <c r="AE30" s="504">
        <v>0</v>
      </c>
      <c r="AF30" s="504">
        <v>0</v>
      </c>
      <c r="AG30" s="504">
        <v>0</v>
      </c>
      <c r="AH30" s="504">
        <v>0</v>
      </c>
      <c r="AI30" s="504">
        <v>0</v>
      </c>
      <c r="AJ30" s="504">
        <v>0</v>
      </c>
      <c r="AK30" s="504">
        <v>0</v>
      </c>
      <c r="AL30" s="504">
        <v>0</v>
      </c>
      <c r="AM30" s="504">
        <v>0</v>
      </c>
      <c r="AN30" s="504">
        <v>0</v>
      </c>
      <c r="AO30" s="504">
        <v>0</v>
      </c>
      <c r="AP30" s="504">
        <v>0</v>
      </c>
      <c r="AQ30" s="504">
        <v>0</v>
      </c>
      <c r="AR30" s="504">
        <v>0</v>
      </c>
      <c r="AS30" s="504">
        <v>0</v>
      </c>
      <c r="AT30" s="504">
        <v>0</v>
      </c>
      <c r="AU30" s="504">
        <v>0</v>
      </c>
      <c r="AV30" s="504">
        <v>0</v>
      </c>
      <c r="AW30" s="504">
        <v>0</v>
      </c>
      <c r="AX30" s="504">
        <v>0</v>
      </c>
      <c r="AY30" s="504">
        <v>0</v>
      </c>
      <c r="AZ30" s="504">
        <v>0</v>
      </c>
      <c r="BA30" s="504">
        <v>0</v>
      </c>
      <c r="BB30" s="504">
        <v>0</v>
      </c>
      <c r="BC30" s="504">
        <v>0</v>
      </c>
      <c r="BD30" s="504">
        <v>0</v>
      </c>
      <c r="BE30" s="504">
        <v>0</v>
      </c>
      <c r="BF30" s="504">
        <v>0</v>
      </c>
      <c r="BG30" s="504">
        <v>0</v>
      </c>
      <c r="BH30" s="504">
        <v>0</v>
      </c>
      <c r="BI30" s="504">
        <v>0</v>
      </c>
      <c r="BJ30" s="504">
        <v>0</v>
      </c>
      <c r="BK30" s="504">
        <v>0</v>
      </c>
      <c r="BL30" s="504">
        <v>0</v>
      </c>
      <c r="BM30" s="504">
        <v>0</v>
      </c>
      <c r="BN30" s="504">
        <v>0</v>
      </c>
      <c r="BO30" s="504">
        <v>0</v>
      </c>
      <c r="BP30" s="504">
        <v>0</v>
      </c>
      <c r="BQ30" s="504">
        <v>0</v>
      </c>
      <c r="BR30" s="504">
        <v>0</v>
      </c>
      <c r="BS30" s="504">
        <v>0</v>
      </c>
      <c r="BT30" s="504">
        <v>0</v>
      </c>
      <c r="BU30" s="504">
        <v>0</v>
      </c>
      <c r="BV30" s="504">
        <v>0</v>
      </c>
      <c r="BW30" s="504">
        <v>0</v>
      </c>
      <c r="BX30" s="504">
        <v>0</v>
      </c>
      <c r="BY30" s="504">
        <v>0</v>
      </c>
      <c r="BZ30" s="504">
        <v>0</v>
      </c>
      <c r="CA30" s="504">
        <v>0</v>
      </c>
      <c r="CB30" s="504">
        <v>0</v>
      </c>
      <c r="CC30" s="504">
        <v>0</v>
      </c>
      <c r="CD30" s="504">
        <v>0</v>
      </c>
      <c r="CE30" s="504">
        <v>0</v>
      </c>
      <c r="CF30" s="504">
        <v>0</v>
      </c>
      <c r="CG30" s="504">
        <v>0</v>
      </c>
      <c r="CH30" s="504">
        <v>0</v>
      </c>
      <c r="CI30" s="504">
        <v>0</v>
      </c>
      <c r="CJ30" s="504">
        <v>0</v>
      </c>
      <c r="CK30" s="504">
        <v>0</v>
      </c>
      <c r="CL30" s="504">
        <v>0</v>
      </c>
      <c r="CM30" s="504">
        <v>0</v>
      </c>
      <c r="CN30" s="504">
        <v>0</v>
      </c>
      <c r="CO30" s="504">
        <v>0</v>
      </c>
      <c r="CP30" s="504">
        <v>0</v>
      </c>
      <c r="CQ30" s="504">
        <v>0</v>
      </c>
      <c r="CR30" s="504">
        <v>0</v>
      </c>
      <c r="CS30" s="504">
        <v>0</v>
      </c>
      <c r="CT30" s="504">
        <v>0</v>
      </c>
      <c r="CU30" s="504">
        <v>0</v>
      </c>
      <c r="CV30" s="504">
        <v>0</v>
      </c>
      <c r="CW30" s="504">
        <v>0</v>
      </c>
      <c r="CX30" s="504">
        <v>0</v>
      </c>
      <c r="CY30" s="504">
        <v>0</v>
      </c>
      <c r="CZ30" s="504">
        <v>0</v>
      </c>
      <c r="DA30" s="504">
        <v>0</v>
      </c>
      <c r="DB30" s="504">
        <v>0</v>
      </c>
      <c r="DC30" s="504">
        <v>0</v>
      </c>
      <c r="DD30" s="504">
        <v>0</v>
      </c>
      <c r="DE30" s="504">
        <v>0</v>
      </c>
      <c r="DF30" s="504">
        <v>0</v>
      </c>
      <c r="DG30" s="504">
        <v>0</v>
      </c>
      <c r="DH30" s="504">
        <v>0</v>
      </c>
      <c r="DI30" s="504">
        <v>0</v>
      </c>
      <c r="DJ30" s="504">
        <v>0</v>
      </c>
      <c r="DK30" s="504">
        <v>0</v>
      </c>
      <c r="DL30" s="504">
        <v>0</v>
      </c>
      <c r="DM30" s="504">
        <v>0</v>
      </c>
      <c r="DN30" s="504">
        <v>0</v>
      </c>
      <c r="DO30" s="504">
        <v>0</v>
      </c>
      <c r="DP30" s="504">
        <v>0</v>
      </c>
      <c r="DQ30" s="504">
        <v>0</v>
      </c>
      <c r="DR30" s="504">
        <v>0</v>
      </c>
      <c r="DS30" s="504">
        <v>0</v>
      </c>
      <c r="DT30" s="504">
        <v>0</v>
      </c>
      <c r="DU30" s="504">
        <v>0</v>
      </c>
      <c r="DV30" s="504">
        <v>0</v>
      </c>
      <c r="DW30" s="504">
        <v>0</v>
      </c>
      <c r="DX30" s="504">
        <v>0</v>
      </c>
      <c r="DY30" s="504">
        <v>0</v>
      </c>
      <c r="DZ30" s="504">
        <v>0</v>
      </c>
      <c r="EA30" s="504">
        <v>0</v>
      </c>
      <c r="EB30" s="504">
        <v>0</v>
      </c>
      <c r="EC30" s="504">
        <v>0</v>
      </c>
      <c r="ED30" s="504">
        <v>0</v>
      </c>
      <c r="EE30" s="504">
        <v>0</v>
      </c>
      <c r="EF30" s="504">
        <v>0</v>
      </c>
      <c r="EG30" s="504">
        <v>0</v>
      </c>
      <c r="EH30" s="504">
        <v>0</v>
      </c>
      <c r="EI30" s="504">
        <v>0</v>
      </c>
      <c r="EJ30" s="504">
        <v>0</v>
      </c>
      <c r="EK30" s="504">
        <v>0</v>
      </c>
      <c r="EL30" s="504">
        <v>0</v>
      </c>
      <c r="EM30" s="504">
        <v>0</v>
      </c>
      <c r="EN30" s="504">
        <v>0</v>
      </c>
      <c r="EO30" s="504">
        <v>0</v>
      </c>
      <c r="EP30" s="504">
        <v>0</v>
      </c>
      <c r="EQ30" s="504">
        <v>0</v>
      </c>
      <c r="ER30" s="504">
        <v>0</v>
      </c>
      <c r="ES30" s="504">
        <v>0</v>
      </c>
      <c r="ET30" s="504">
        <v>0</v>
      </c>
      <c r="EU30" s="504">
        <v>0</v>
      </c>
      <c r="EV30" s="504">
        <v>0</v>
      </c>
      <c r="EW30" s="504">
        <v>0</v>
      </c>
      <c r="EX30" s="504">
        <v>0</v>
      </c>
      <c r="EY30" s="504">
        <v>0</v>
      </c>
      <c r="EZ30" s="504">
        <v>0</v>
      </c>
      <c r="FA30" s="504">
        <v>0</v>
      </c>
      <c r="FB30" s="504">
        <v>0</v>
      </c>
      <c r="FC30" s="504">
        <v>0</v>
      </c>
      <c r="FD30" s="504">
        <v>0</v>
      </c>
      <c r="FE30" s="504">
        <v>0</v>
      </c>
      <c r="FF30" s="504">
        <v>0</v>
      </c>
      <c r="FG30" s="504">
        <v>0</v>
      </c>
      <c r="FH30" s="504">
        <v>0</v>
      </c>
      <c r="FI30" s="504">
        <v>0</v>
      </c>
      <c r="FJ30" s="504">
        <v>0</v>
      </c>
      <c r="FK30" s="504">
        <v>0</v>
      </c>
      <c r="FL30" s="504">
        <v>0</v>
      </c>
      <c r="FM30" s="504">
        <v>0</v>
      </c>
      <c r="FN30" s="504">
        <v>0</v>
      </c>
      <c r="FO30" s="504">
        <v>0</v>
      </c>
      <c r="FP30" s="504">
        <v>0</v>
      </c>
      <c r="FQ30" s="504">
        <v>0</v>
      </c>
      <c r="FR30" s="504">
        <v>0</v>
      </c>
      <c r="FS30" s="504">
        <v>0</v>
      </c>
      <c r="FT30" s="504">
        <v>0</v>
      </c>
      <c r="FU30" s="504">
        <v>0</v>
      </c>
      <c r="FV30" s="504">
        <v>0</v>
      </c>
      <c r="FW30" s="504">
        <v>0</v>
      </c>
      <c r="FX30" s="504">
        <v>0</v>
      </c>
      <c r="FY30" s="504">
        <v>0</v>
      </c>
      <c r="FZ30" s="504">
        <v>0</v>
      </c>
      <c r="GA30" s="504">
        <v>0</v>
      </c>
      <c r="GB30" s="504">
        <v>0</v>
      </c>
      <c r="GC30" s="504">
        <v>0</v>
      </c>
      <c r="GD30" s="504">
        <v>0</v>
      </c>
      <c r="GE30" s="504">
        <v>0</v>
      </c>
      <c r="GF30" s="504">
        <v>0</v>
      </c>
      <c r="GG30" s="504">
        <v>0</v>
      </c>
      <c r="GH30" s="504">
        <v>0</v>
      </c>
      <c r="GI30" s="504">
        <v>0</v>
      </c>
      <c r="GJ30" s="504">
        <v>0</v>
      </c>
      <c r="GK30" s="504">
        <v>0</v>
      </c>
      <c r="GL30" s="504">
        <v>0</v>
      </c>
      <c r="GM30" s="504">
        <v>0</v>
      </c>
      <c r="GN30" s="504">
        <v>0</v>
      </c>
      <c r="GO30" s="504">
        <v>0</v>
      </c>
      <c r="GP30" s="504">
        <v>0</v>
      </c>
      <c r="GQ30" s="504">
        <v>0</v>
      </c>
      <c r="GR30" s="504">
        <v>0</v>
      </c>
      <c r="GS30" s="504">
        <v>0</v>
      </c>
      <c r="GT30" s="504">
        <v>0</v>
      </c>
      <c r="GU30" s="504">
        <v>0</v>
      </c>
      <c r="GV30" s="504">
        <v>0</v>
      </c>
      <c r="GW30" s="504">
        <v>0</v>
      </c>
      <c r="GX30" s="504">
        <v>0</v>
      </c>
      <c r="GY30" s="504">
        <v>0</v>
      </c>
      <c r="GZ30" s="504">
        <v>0</v>
      </c>
      <c r="HA30" s="504">
        <v>0</v>
      </c>
      <c r="HB30" s="504">
        <v>0</v>
      </c>
      <c r="HC30" s="504">
        <v>0</v>
      </c>
      <c r="HD30" s="504">
        <v>0</v>
      </c>
      <c r="HE30" s="504">
        <v>0</v>
      </c>
      <c r="HF30" s="504">
        <v>0</v>
      </c>
      <c r="HG30" s="504">
        <v>0</v>
      </c>
      <c r="HH30" s="504">
        <v>0</v>
      </c>
      <c r="HI30" s="504">
        <v>0</v>
      </c>
      <c r="HJ30" s="504">
        <v>0</v>
      </c>
      <c r="HK30" s="504">
        <v>0</v>
      </c>
      <c r="HL30" s="504">
        <v>0</v>
      </c>
      <c r="HM30" s="504">
        <v>0</v>
      </c>
      <c r="HN30" s="504">
        <v>0</v>
      </c>
      <c r="HO30" s="504">
        <v>0</v>
      </c>
      <c r="HP30" s="504">
        <v>0</v>
      </c>
      <c r="HQ30" s="504">
        <v>0</v>
      </c>
      <c r="HR30" s="504">
        <v>0</v>
      </c>
      <c r="HS30" s="504">
        <v>0</v>
      </c>
      <c r="HT30" s="504">
        <v>0</v>
      </c>
      <c r="HU30" s="504">
        <v>0</v>
      </c>
      <c r="HV30" s="504">
        <v>0</v>
      </c>
      <c r="HW30" s="504">
        <v>0</v>
      </c>
      <c r="HX30" s="504">
        <v>0</v>
      </c>
      <c r="HY30" s="504">
        <v>0</v>
      </c>
      <c r="HZ30" s="504">
        <v>0</v>
      </c>
      <c r="IA30" s="504">
        <v>0</v>
      </c>
      <c r="IB30" s="504">
        <v>0</v>
      </c>
      <c r="IC30" s="504">
        <v>0</v>
      </c>
      <c r="ID30" s="504">
        <v>0</v>
      </c>
      <c r="IE30" s="504">
        <v>0</v>
      </c>
      <c r="IF30" s="504">
        <v>0</v>
      </c>
      <c r="IG30" s="504">
        <v>0</v>
      </c>
      <c r="IH30" s="504">
        <v>0</v>
      </c>
      <c r="II30" s="504">
        <v>0</v>
      </c>
      <c r="IJ30" s="504">
        <v>0</v>
      </c>
      <c r="IK30" s="504">
        <v>0</v>
      </c>
      <c r="IL30" s="504">
        <v>0</v>
      </c>
      <c r="IM30" s="504">
        <v>0</v>
      </c>
      <c r="IN30" s="504">
        <v>0</v>
      </c>
      <c r="IO30" s="504">
        <v>0</v>
      </c>
      <c r="IP30" s="504">
        <v>0</v>
      </c>
      <c r="IQ30" s="504">
        <v>0</v>
      </c>
      <c r="IR30" s="504">
        <v>0</v>
      </c>
      <c r="IS30" s="504">
        <v>0</v>
      </c>
      <c r="IT30" s="504">
        <v>0</v>
      </c>
      <c r="IU30" s="504">
        <v>0</v>
      </c>
      <c r="IV30" s="504">
        <v>0</v>
      </c>
      <c r="IW30" s="504">
        <v>0</v>
      </c>
      <c r="IX30" s="504">
        <v>0</v>
      </c>
      <c r="IY30" s="504">
        <v>0</v>
      </c>
      <c r="IZ30" s="504">
        <v>0</v>
      </c>
      <c r="JA30" s="504">
        <v>0</v>
      </c>
      <c r="JB30" s="504">
        <v>0</v>
      </c>
      <c r="JC30" s="504">
        <v>0</v>
      </c>
      <c r="JD30" s="504">
        <v>0</v>
      </c>
      <c r="JE30" s="504">
        <v>0</v>
      </c>
      <c r="JF30" s="504">
        <v>0</v>
      </c>
      <c r="JG30" s="504">
        <v>0</v>
      </c>
      <c r="JH30" s="504">
        <v>0</v>
      </c>
      <c r="JI30" s="504">
        <v>0</v>
      </c>
      <c r="JJ30" s="504">
        <v>0</v>
      </c>
      <c r="JK30" s="504">
        <v>0</v>
      </c>
      <c r="JL30" s="504">
        <v>0</v>
      </c>
      <c r="JM30" s="504">
        <v>0</v>
      </c>
      <c r="JN30" s="504">
        <v>0</v>
      </c>
      <c r="JO30" s="504">
        <v>0</v>
      </c>
      <c r="JP30" s="504">
        <v>0</v>
      </c>
      <c r="JQ30" s="504">
        <v>0</v>
      </c>
      <c r="JR30" s="504">
        <v>0</v>
      </c>
      <c r="JS30" s="504">
        <v>0</v>
      </c>
      <c r="JT30" s="504">
        <v>0</v>
      </c>
      <c r="JU30" s="504">
        <v>0</v>
      </c>
      <c r="JV30" s="504">
        <v>0</v>
      </c>
      <c r="JW30" s="504">
        <v>0</v>
      </c>
      <c r="JX30" s="504">
        <v>0</v>
      </c>
      <c r="JY30" s="504">
        <v>0</v>
      </c>
      <c r="JZ30" s="504">
        <v>0</v>
      </c>
      <c r="KA30" s="504">
        <v>0</v>
      </c>
      <c r="KB30" s="504">
        <v>0</v>
      </c>
      <c r="KC30" s="504">
        <v>0</v>
      </c>
      <c r="KD30" s="504">
        <v>0</v>
      </c>
      <c r="KE30" s="504">
        <v>0</v>
      </c>
      <c r="KF30" s="504">
        <v>0</v>
      </c>
      <c r="KG30" s="504">
        <v>0</v>
      </c>
      <c r="KH30" s="504">
        <v>0</v>
      </c>
      <c r="KI30" s="504">
        <v>0</v>
      </c>
      <c r="KJ30" s="504">
        <v>0</v>
      </c>
      <c r="KK30" s="504">
        <v>0</v>
      </c>
      <c r="KL30" s="504">
        <v>0</v>
      </c>
      <c r="KM30" s="504">
        <v>0</v>
      </c>
      <c r="KN30" s="504">
        <v>0</v>
      </c>
      <c r="KO30" s="504">
        <v>0</v>
      </c>
      <c r="KP30" s="504">
        <v>0</v>
      </c>
      <c r="KQ30" s="504">
        <v>0</v>
      </c>
      <c r="KR30" s="504">
        <v>0</v>
      </c>
      <c r="KS30" s="504">
        <v>0</v>
      </c>
      <c r="KT30" s="504">
        <v>0</v>
      </c>
      <c r="KU30" s="504">
        <v>0</v>
      </c>
      <c r="KV30" s="504">
        <v>0</v>
      </c>
      <c r="KW30" s="504">
        <v>0</v>
      </c>
      <c r="KX30" s="504">
        <v>0</v>
      </c>
      <c r="KY30" s="504">
        <v>0</v>
      </c>
      <c r="KZ30" s="504">
        <v>0</v>
      </c>
      <c r="LA30" s="504">
        <v>0</v>
      </c>
      <c r="LB30" s="504">
        <v>0</v>
      </c>
      <c r="LC30" s="504">
        <v>0</v>
      </c>
      <c r="LD30" s="504">
        <v>0</v>
      </c>
      <c r="LE30" s="504">
        <v>0</v>
      </c>
      <c r="LF30" s="504">
        <v>0</v>
      </c>
      <c r="LG30" s="504">
        <v>0</v>
      </c>
      <c r="LH30" s="504">
        <v>0</v>
      </c>
      <c r="LI30" s="504">
        <v>0</v>
      </c>
      <c r="LJ30" s="504">
        <v>0</v>
      </c>
      <c r="LK30" s="504">
        <v>0</v>
      </c>
      <c r="LL30" s="504">
        <v>0</v>
      </c>
      <c r="LM30" s="504">
        <v>0</v>
      </c>
      <c r="LN30" s="504">
        <v>0</v>
      </c>
      <c r="LO30" s="504">
        <v>0</v>
      </c>
      <c r="LP30" s="504">
        <v>0</v>
      </c>
      <c r="LQ30" s="504">
        <v>0</v>
      </c>
      <c r="LR30" s="504">
        <v>0</v>
      </c>
      <c r="LS30" s="504">
        <v>0</v>
      </c>
      <c r="LT30" s="504">
        <v>0</v>
      </c>
      <c r="LU30" s="504">
        <v>0</v>
      </c>
      <c r="LV30" s="504">
        <v>0</v>
      </c>
      <c r="LW30" s="504">
        <v>0</v>
      </c>
      <c r="LX30" s="504">
        <v>0</v>
      </c>
      <c r="LY30" s="504">
        <v>0</v>
      </c>
      <c r="LZ30" s="504">
        <v>0</v>
      </c>
      <c r="MA30" s="504">
        <v>0</v>
      </c>
      <c r="MB30" s="504">
        <v>0</v>
      </c>
      <c r="MC30" s="504">
        <v>0</v>
      </c>
      <c r="MD30" s="504">
        <v>0</v>
      </c>
      <c r="ME30" s="504">
        <v>0</v>
      </c>
      <c r="MF30" s="504">
        <v>0</v>
      </c>
      <c r="MG30" s="504">
        <v>0</v>
      </c>
      <c r="MH30" s="504">
        <v>0</v>
      </c>
      <c r="MI30" s="504">
        <v>0</v>
      </c>
      <c r="MJ30" s="504">
        <v>0</v>
      </c>
      <c r="MK30" s="504">
        <v>0</v>
      </c>
      <c r="ML30" s="504">
        <v>0</v>
      </c>
      <c r="MM30" s="504">
        <v>0</v>
      </c>
      <c r="MN30" s="504">
        <v>0</v>
      </c>
      <c r="MO30" s="504">
        <v>0</v>
      </c>
      <c r="MP30" s="504">
        <v>0</v>
      </c>
      <c r="MQ30" s="504">
        <v>0</v>
      </c>
      <c r="MR30" s="504">
        <v>0</v>
      </c>
      <c r="MS30" s="504">
        <v>0</v>
      </c>
      <c r="MT30" s="504">
        <v>0</v>
      </c>
      <c r="MU30" s="504">
        <v>0</v>
      </c>
      <c r="MV30" s="504">
        <v>0</v>
      </c>
      <c r="MW30" s="504">
        <v>0</v>
      </c>
      <c r="MX30" s="504">
        <v>0</v>
      </c>
      <c r="MY30" s="504">
        <v>0</v>
      </c>
      <c r="MZ30" s="504">
        <v>0</v>
      </c>
      <c r="NA30" s="504">
        <v>0</v>
      </c>
      <c r="NB30" s="504">
        <v>0</v>
      </c>
      <c r="NC30" s="504">
        <v>0</v>
      </c>
      <c r="ND30" s="504">
        <v>0</v>
      </c>
      <c r="NE30" s="504">
        <v>0</v>
      </c>
      <c r="NF30" s="504">
        <v>0</v>
      </c>
      <c r="NG30" s="504">
        <v>0</v>
      </c>
      <c r="NH30" s="504">
        <v>0</v>
      </c>
      <c r="NI30" s="504">
        <v>0</v>
      </c>
      <c r="NJ30" s="504">
        <v>0</v>
      </c>
      <c r="NK30" s="504">
        <v>0</v>
      </c>
      <c r="NL30" s="504">
        <v>0</v>
      </c>
      <c r="NM30" s="504">
        <v>0</v>
      </c>
      <c r="NN30" s="504">
        <v>0</v>
      </c>
      <c r="NO30" s="504">
        <v>0</v>
      </c>
      <c r="NP30" s="504">
        <v>0</v>
      </c>
      <c r="NQ30" s="504">
        <v>0</v>
      </c>
      <c r="NR30" s="504">
        <v>0</v>
      </c>
      <c r="NS30" s="504">
        <v>0</v>
      </c>
      <c r="NT30" s="504">
        <v>0</v>
      </c>
      <c r="NU30" s="504">
        <v>0</v>
      </c>
      <c r="NV30" s="504">
        <v>0</v>
      </c>
      <c r="NW30" s="504">
        <v>0</v>
      </c>
      <c r="NX30" s="504">
        <v>0</v>
      </c>
      <c r="NY30" s="504">
        <v>0</v>
      </c>
      <c r="NZ30" s="504">
        <v>0</v>
      </c>
      <c r="OA30" s="504">
        <v>0</v>
      </c>
      <c r="OB30" s="504">
        <v>0</v>
      </c>
      <c r="OC30" s="504">
        <v>0</v>
      </c>
      <c r="OD30" s="504">
        <v>0</v>
      </c>
      <c r="OE30" s="504">
        <v>0</v>
      </c>
      <c r="OF30" s="504">
        <v>0</v>
      </c>
      <c r="OG30" s="504">
        <v>0</v>
      </c>
      <c r="OH30" s="504">
        <v>0</v>
      </c>
      <c r="OI30" s="504">
        <v>0</v>
      </c>
      <c r="OJ30" s="504">
        <v>0</v>
      </c>
      <c r="OK30" s="504">
        <v>0</v>
      </c>
      <c r="OL30" s="504">
        <v>0</v>
      </c>
      <c r="OM30" s="504">
        <v>0</v>
      </c>
      <c r="ON30" s="494"/>
    </row>
    <row r="31" spans="1:404" ht="18.75" customHeight="1" x14ac:dyDescent="0.4">
      <c r="A31" s="355" t="s">
        <v>307</v>
      </c>
      <c r="B31" s="358">
        <v>193</v>
      </c>
      <c r="C31" s="355" t="s">
        <v>60</v>
      </c>
      <c r="D31" s="501">
        <v>23.3</v>
      </c>
      <c r="E31" s="502">
        <v>18936</v>
      </c>
      <c r="F31" s="501">
        <v>23.29</v>
      </c>
      <c r="G31" s="502">
        <v>6172</v>
      </c>
      <c r="H31" s="501">
        <v>23.29</v>
      </c>
      <c r="I31" s="502">
        <v>16965</v>
      </c>
      <c r="J31" s="501">
        <v>23.29</v>
      </c>
      <c r="K31" s="502">
        <v>17886</v>
      </c>
      <c r="V31" s="501"/>
      <c r="W31" s="503"/>
      <c r="X31" s="501"/>
      <c r="Y31" s="503"/>
      <c r="Z31" s="501"/>
      <c r="AA31" s="503"/>
      <c r="AB31" s="495"/>
      <c r="AC31" s="504">
        <v>0</v>
      </c>
      <c r="AD31" s="504">
        <v>0</v>
      </c>
      <c r="AE31" s="504">
        <v>0</v>
      </c>
      <c r="AF31" s="504">
        <v>0</v>
      </c>
      <c r="AG31" s="504">
        <v>0</v>
      </c>
      <c r="AH31" s="504">
        <v>0</v>
      </c>
      <c r="AI31" s="504">
        <v>0</v>
      </c>
      <c r="AJ31" s="504">
        <v>0</v>
      </c>
      <c r="AK31" s="504">
        <v>0</v>
      </c>
      <c r="AL31" s="504">
        <v>0</v>
      </c>
      <c r="AM31" s="504">
        <v>0</v>
      </c>
      <c r="AN31" s="504">
        <v>0</v>
      </c>
      <c r="AO31" s="504">
        <v>0</v>
      </c>
      <c r="AP31" s="504">
        <v>0</v>
      </c>
      <c r="AQ31" s="504">
        <v>0</v>
      </c>
      <c r="AR31" s="504">
        <v>0</v>
      </c>
      <c r="AS31" s="504">
        <v>0</v>
      </c>
      <c r="AT31" s="504">
        <v>0</v>
      </c>
      <c r="AU31" s="504">
        <v>0</v>
      </c>
      <c r="AV31" s="504">
        <v>0</v>
      </c>
      <c r="AW31" s="504">
        <v>0</v>
      </c>
      <c r="AX31" s="504">
        <v>0</v>
      </c>
      <c r="AY31" s="504">
        <v>0</v>
      </c>
      <c r="AZ31" s="504">
        <v>0</v>
      </c>
      <c r="BA31" s="504">
        <v>0</v>
      </c>
      <c r="BB31" s="504">
        <v>0</v>
      </c>
      <c r="BC31" s="504">
        <v>0</v>
      </c>
      <c r="BD31" s="504">
        <v>0</v>
      </c>
      <c r="BE31" s="504">
        <v>0</v>
      </c>
      <c r="BF31" s="504">
        <v>0</v>
      </c>
      <c r="BG31" s="504">
        <v>0</v>
      </c>
      <c r="BH31" s="504">
        <v>0</v>
      </c>
      <c r="BI31" s="504">
        <v>0</v>
      </c>
      <c r="BJ31" s="504">
        <v>0</v>
      </c>
      <c r="BK31" s="504">
        <v>0</v>
      </c>
      <c r="BL31" s="504">
        <v>0</v>
      </c>
      <c r="BM31" s="504">
        <v>0</v>
      </c>
      <c r="BN31" s="504">
        <v>0</v>
      </c>
      <c r="BO31" s="504">
        <v>0</v>
      </c>
      <c r="BP31" s="504">
        <v>0</v>
      </c>
      <c r="BQ31" s="504">
        <v>0</v>
      </c>
      <c r="BR31" s="504">
        <v>0</v>
      </c>
      <c r="BS31" s="504">
        <v>0</v>
      </c>
      <c r="BT31" s="504">
        <v>0</v>
      </c>
      <c r="BU31" s="504">
        <v>0</v>
      </c>
      <c r="BV31" s="504">
        <v>0</v>
      </c>
      <c r="BW31" s="504">
        <v>0</v>
      </c>
      <c r="BX31" s="504">
        <v>0</v>
      </c>
      <c r="BY31" s="504">
        <v>0</v>
      </c>
      <c r="BZ31" s="504">
        <v>0</v>
      </c>
      <c r="CA31" s="504">
        <v>0</v>
      </c>
      <c r="CB31" s="504">
        <v>0</v>
      </c>
      <c r="CC31" s="504">
        <v>0</v>
      </c>
      <c r="CD31" s="504">
        <v>0</v>
      </c>
      <c r="CE31" s="504">
        <v>0</v>
      </c>
      <c r="CF31" s="504">
        <v>0</v>
      </c>
      <c r="CG31" s="504">
        <v>0</v>
      </c>
      <c r="CH31" s="504">
        <v>0</v>
      </c>
      <c r="CI31" s="504">
        <v>0</v>
      </c>
      <c r="CJ31" s="504">
        <v>0</v>
      </c>
      <c r="CK31" s="504">
        <v>0</v>
      </c>
      <c r="CL31" s="504">
        <v>0</v>
      </c>
      <c r="CM31" s="504">
        <v>0</v>
      </c>
      <c r="CN31" s="504">
        <v>0</v>
      </c>
      <c r="CO31" s="504">
        <v>0</v>
      </c>
      <c r="CP31" s="504">
        <v>0</v>
      </c>
      <c r="CQ31" s="504">
        <v>0</v>
      </c>
      <c r="CR31" s="504">
        <v>0</v>
      </c>
      <c r="CS31" s="504">
        <v>0</v>
      </c>
      <c r="CT31" s="504">
        <v>0</v>
      </c>
      <c r="CU31" s="504">
        <v>0</v>
      </c>
      <c r="CV31" s="504">
        <v>0</v>
      </c>
      <c r="CW31" s="504">
        <v>0</v>
      </c>
      <c r="CX31" s="504">
        <v>0</v>
      </c>
      <c r="CY31" s="504">
        <v>0</v>
      </c>
      <c r="CZ31" s="504">
        <v>0</v>
      </c>
      <c r="DA31" s="504">
        <v>0</v>
      </c>
      <c r="DB31" s="504">
        <v>0</v>
      </c>
      <c r="DC31" s="504">
        <v>0</v>
      </c>
      <c r="DD31" s="504">
        <v>0</v>
      </c>
      <c r="DE31" s="504">
        <v>0</v>
      </c>
      <c r="DF31" s="504">
        <v>0</v>
      </c>
      <c r="DG31" s="504">
        <v>0</v>
      </c>
      <c r="DH31" s="504">
        <v>0</v>
      </c>
      <c r="DI31" s="504">
        <v>0</v>
      </c>
      <c r="DJ31" s="504">
        <v>0</v>
      </c>
      <c r="DK31" s="504">
        <v>0</v>
      </c>
      <c r="DL31" s="504">
        <v>0</v>
      </c>
      <c r="DM31" s="504">
        <v>0</v>
      </c>
      <c r="DN31" s="504">
        <v>0</v>
      </c>
      <c r="DO31" s="504">
        <v>0</v>
      </c>
      <c r="DP31" s="504">
        <v>0</v>
      </c>
      <c r="DQ31" s="504">
        <v>0</v>
      </c>
      <c r="DR31" s="504">
        <v>0</v>
      </c>
      <c r="DS31" s="504">
        <v>0</v>
      </c>
      <c r="DT31" s="504">
        <v>0</v>
      </c>
      <c r="DU31" s="504">
        <v>0</v>
      </c>
      <c r="DV31" s="504">
        <v>0</v>
      </c>
      <c r="DW31" s="504">
        <v>0</v>
      </c>
      <c r="DX31" s="504">
        <v>0</v>
      </c>
      <c r="DY31" s="504">
        <v>0</v>
      </c>
      <c r="DZ31" s="504">
        <v>0</v>
      </c>
      <c r="EA31" s="504">
        <v>0</v>
      </c>
      <c r="EB31" s="504">
        <v>0</v>
      </c>
      <c r="EC31" s="504">
        <v>0</v>
      </c>
      <c r="ED31" s="504">
        <v>0</v>
      </c>
      <c r="EE31" s="504">
        <v>0</v>
      </c>
      <c r="EF31" s="504">
        <v>0</v>
      </c>
      <c r="EG31" s="504">
        <v>0</v>
      </c>
      <c r="EH31" s="504">
        <v>0</v>
      </c>
      <c r="EI31" s="504">
        <v>0</v>
      </c>
      <c r="EJ31" s="504">
        <v>0</v>
      </c>
      <c r="EK31" s="504">
        <v>0</v>
      </c>
      <c r="EL31" s="504">
        <v>0</v>
      </c>
      <c r="EM31" s="504">
        <v>0</v>
      </c>
      <c r="EN31" s="504">
        <v>0</v>
      </c>
      <c r="EO31" s="504">
        <v>0</v>
      </c>
      <c r="EP31" s="504">
        <v>0</v>
      </c>
      <c r="EQ31" s="504">
        <v>0</v>
      </c>
      <c r="ER31" s="504">
        <v>0</v>
      </c>
      <c r="ES31" s="504">
        <v>0</v>
      </c>
      <c r="ET31" s="504">
        <v>0</v>
      </c>
      <c r="EU31" s="504">
        <v>0</v>
      </c>
      <c r="EV31" s="504">
        <v>0</v>
      </c>
      <c r="EW31" s="504">
        <v>0</v>
      </c>
      <c r="EX31" s="504">
        <v>0</v>
      </c>
      <c r="EY31" s="504">
        <v>0</v>
      </c>
      <c r="EZ31" s="504">
        <v>0</v>
      </c>
      <c r="FA31" s="504">
        <v>0</v>
      </c>
      <c r="FB31" s="504">
        <v>0</v>
      </c>
      <c r="FC31" s="504">
        <v>0</v>
      </c>
      <c r="FD31" s="504">
        <v>0</v>
      </c>
      <c r="FE31" s="504">
        <v>0</v>
      </c>
      <c r="FF31" s="504">
        <v>0</v>
      </c>
      <c r="FG31" s="504">
        <v>0</v>
      </c>
      <c r="FH31" s="504">
        <v>0</v>
      </c>
      <c r="FI31" s="504">
        <v>0</v>
      </c>
      <c r="FJ31" s="504">
        <v>0</v>
      </c>
      <c r="FK31" s="504">
        <v>0</v>
      </c>
      <c r="FL31" s="504">
        <v>0</v>
      </c>
      <c r="FM31" s="504">
        <v>0</v>
      </c>
      <c r="FN31" s="504">
        <v>0</v>
      </c>
      <c r="FO31" s="504">
        <v>0</v>
      </c>
      <c r="FP31" s="504">
        <v>0</v>
      </c>
      <c r="FQ31" s="504">
        <v>0</v>
      </c>
      <c r="FR31" s="504">
        <v>0</v>
      </c>
      <c r="FS31" s="504">
        <v>0</v>
      </c>
      <c r="FT31" s="504">
        <v>0</v>
      </c>
      <c r="FU31" s="504">
        <v>0</v>
      </c>
      <c r="FV31" s="504">
        <v>0</v>
      </c>
      <c r="FW31" s="504">
        <v>0</v>
      </c>
      <c r="FX31" s="504">
        <v>0</v>
      </c>
      <c r="FY31" s="504">
        <v>0</v>
      </c>
      <c r="FZ31" s="504">
        <v>0</v>
      </c>
      <c r="GA31" s="504">
        <v>0</v>
      </c>
      <c r="GB31" s="504">
        <v>0</v>
      </c>
      <c r="GC31" s="504">
        <v>0</v>
      </c>
      <c r="GD31" s="504">
        <v>0</v>
      </c>
      <c r="GE31" s="504">
        <v>0</v>
      </c>
      <c r="GF31" s="504">
        <v>0</v>
      </c>
      <c r="GG31" s="504">
        <v>0</v>
      </c>
      <c r="GH31" s="504">
        <v>0</v>
      </c>
      <c r="GI31" s="504">
        <v>0</v>
      </c>
      <c r="GJ31" s="504">
        <v>0</v>
      </c>
      <c r="GK31" s="504">
        <v>0</v>
      </c>
      <c r="GL31" s="504">
        <v>0</v>
      </c>
      <c r="GM31" s="504">
        <v>0</v>
      </c>
      <c r="GN31" s="504">
        <v>0</v>
      </c>
      <c r="GO31" s="504">
        <v>0</v>
      </c>
      <c r="GP31" s="504">
        <v>0</v>
      </c>
      <c r="GQ31" s="504">
        <v>0</v>
      </c>
      <c r="GR31" s="504">
        <v>0</v>
      </c>
      <c r="GS31" s="504">
        <v>0</v>
      </c>
      <c r="GT31" s="504">
        <v>0</v>
      </c>
      <c r="GU31" s="504">
        <v>0</v>
      </c>
      <c r="GV31" s="504">
        <v>0</v>
      </c>
      <c r="GW31" s="504">
        <v>0</v>
      </c>
      <c r="GX31" s="504">
        <v>0</v>
      </c>
      <c r="GY31" s="504">
        <v>0</v>
      </c>
      <c r="GZ31" s="504">
        <v>0</v>
      </c>
      <c r="HA31" s="504">
        <v>0</v>
      </c>
      <c r="HB31" s="504">
        <v>0</v>
      </c>
      <c r="HC31" s="504">
        <v>0</v>
      </c>
      <c r="HD31" s="504">
        <v>0</v>
      </c>
      <c r="HE31" s="504">
        <v>0</v>
      </c>
      <c r="HF31" s="504">
        <v>0</v>
      </c>
      <c r="HG31" s="504">
        <v>0</v>
      </c>
      <c r="HH31" s="504">
        <v>0</v>
      </c>
      <c r="HI31" s="504">
        <v>0</v>
      </c>
      <c r="HJ31" s="504">
        <v>0</v>
      </c>
      <c r="HK31" s="504">
        <v>0</v>
      </c>
      <c r="HL31" s="504">
        <v>0</v>
      </c>
      <c r="HM31" s="504">
        <v>0</v>
      </c>
      <c r="HN31" s="504">
        <v>0</v>
      </c>
      <c r="HO31" s="504">
        <v>0</v>
      </c>
      <c r="HP31" s="504">
        <v>0</v>
      </c>
      <c r="HQ31" s="504">
        <v>0</v>
      </c>
      <c r="HR31" s="504">
        <v>0</v>
      </c>
      <c r="HS31" s="504">
        <v>0</v>
      </c>
      <c r="HT31" s="504">
        <v>0</v>
      </c>
      <c r="HU31" s="504">
        <v>0</v>
      </c>
      <c r="HV31" s="504">
        <v>0</v>
      </c>
      <c r="HW31" s="504">
        <v>0</v>
      </c>
      <c r="HX31" s="504">
        <v>0</v>
      </c>
      <c r="HY31" s="504">
        <v>0</v>
      </c>
      <c r="HZ31" s="504">
        <v>0</v>
      </c>
      <c r="IA31" s="504">
        <v>0</v>
      </c>
      <c r="IB31" s="504">
        <v>0</v>
      </c>
      <c r="IC31" s="504">
        <v>0</v>
      </c>
      <c r="ID31" s="504">
        <v>0</v>
      </c>
      <c r="IE31" s="504">
        <v>0</v>
      </c>
      <c r="IF31" s="504">
        <v>0</v>
      </c>
      <c r="IG31" s="504">
        <v>0</v>
      </c>
      <c r="IH31" s="504">
        <v>0</v>
      </c>
      <c r="II31" s="504">
        <v>0</v>
      </c>
      <c r="IJ31" s="504">
        <v>0</v>
      </c>
      <c r="IK31" s="504">
        <v>0</v>
      </c>
      <c r="IL31" s="504">
        <v>0</v>
      </c>
      <c r="IM31" s="504">
        <v>0</v>
      </c>
      <c r="IN31" s="504">
        <v>0</v>
      </c>
      <c r="IO31" s="504">
        <v>0</v>
      </c>
      <c r="IP31" s="504">
        <v>0</v>
      </c>
      <c r="IQ31" s="504">
        <v>0</v>
      </c>
      <c r="IR31" s="504">
        <v>0</v>
      </c>
      <c r="IS31" s="504">
        <v>0</v>
      </c>
      <c r="IT31" s="504">
        <v>0</v>
      </c>
      <c r="IU31" s="504">
        <v>0</v>
      </c>
      <c r="IV31" s="504">
        <v>0</v>
      </c>
      <c r="IW31" s="504">
        <v>0</v>
      </c>
      <c r="IX31" s="504">
        <v>0</v>
      </c>
      <c r="IY31" s="504">
        <v>0</v>
      </c>
      <c r="IZ31" s="504">
        <v>0</v>
      </c>
      <c r="JA31" s="504">
        <v>0</v>
      </c>
      <c r="JB31" s="504">
        <v>0</v>
      </c>
      <c r="JC31" s="504">
        <v>0</v>
      </c>
      <c r="JD31" s="504">
        <v>0</v>
      </c>
      <c r="JE31" s="504">
        <v>0</v>
      </c>
      <c r="JF31" s="504">
        <v>0</v>
      </c>
      <c r="JG31" s="504">
        <v>0</v>
      </c>
      <c r="JH31" s="504">
        <v>0</v>
      </c>
      <c r="JI31" s="504">
        <v>0</v>
      </c>
      <c r="JJ31" s="504">
        <v>0</v>
      </c>
      <c r="JK31" s="504">
        <v>0</v>
      </c>
      <c r="JL31" s="504">
        <v>0</v>
      </c>
      <c r="JM31" s="504">
        <v>0</v>
      </c>
      <c r="JN31" s="504">
        <v>0</v>
      </c>
      <c r="JO31" s="504">
        <v>0</v>
      </c>
      <c r="JP31" s="504">
        <v>0</v>
      </c>
      <c r="JQ31" s="504">
        <v>0</v>
      </c>
      <c r="JR31" s="504">
        <v>0</v>
      </c>
      <c r="JS31" s="504">
        <v>0</v>
      </c>
      <c r="JT31" s="504">
        <v>0</v>
      </c>
      <c r="JU31" s="504">
        <v>0</v>
      </c>
      <c r="JV31" s="504">
        <v>0</v>
      </c>
      <c r="JW31" s="504">
        <v>0</v>
      </c>
      <c r="JX31" s="504">
        <v>0</v>
      </c>
      <c r="JY31" s="504">
        <v>0</v>
      </c>
      <c r="JZ31" s="504">
        <v>0</v>
      </c>
      <c r="KA31" s="504">
        <v>0</v>
      </c>
      <c r="KB31" s="504">
        <v>0</v>
      </c>
      <c r="KC31" s="504">
        <v>0</v>
      </c>
      <c r="KD31" s="504">
        <v>0</v>
      </c>
      <c r="KE31" s="504">
        <v>0</v>
      </c>
      <c r="KF31" s="504">
        <v>0</v>
      </c>
      <c r="KG31" s="504">
        <v>0</v>
      </c>
      <c r="KH31" s="504">
        <v>0</v>
      </c>
      <c r="KI31" s="504">
        <v>0</v>
      </c>
      <c r="KJ31" s="504">
        <v>0</v>
      </c>
      <c r="KK31" s="504">
        <v>0</v>
      </c>
      <c r="KL31" s="504">
        <v>0</v>
      </c>
      <c r="KM31" s="504">
        <v>0</v>
      </c>
      <c r="KN31" s="504">
        <v>0</v>
      </c>
      <c r="KO31" s="504">
        <v>0</v>
      </c>
      <c r="KP31" s="504">
        <v>0</v>
      </c>
      <c r="KQ31" s="504">
        <v>0</v>
      </c>
      <c r="KR31" s="504">
        <v>0</v>
      </c>
      <c r="KS31" s="504">
        <v>0</v>
      </c>
      <c r="KT31" s="504">
        <v>0</v>
      </c>
      <c r="KU31" s="504">
        <v>0</v>
      </c>
      <c r="KV31" s="504">
        <v>0</v>
      </c>
      <c r="KW31" s="504">
        <v>0</v>
      </c>
      <c r="KX31" s="504">
        <v>0</v>
      </c>
      <c r="KY31" s="504">
        <v>0</v>
      </c>
      <c r="KZ31" s="504">
        <v>0</v>
      </c>
      <c r="LA31" s="504">
        <v>0</v>
      </c>
      <c r="LB31" s="504">
        <v>0</v>
      </c>
      <c r="LC31" s="504">
        <v>0</v>
      </c>
      <c r="LD31" s="504">
        <v>0</v>
      </c>
      <c r="LE31" s="504">
        <v>0</v>
      </c>
      <c r="LF31" s="504">
        <v>0</v>
      </c>
      <c r="LG31" s="504">
        <v>0</v>
      </c>
      <c r="LH31" s="504">
        <v>0</v>
      </c>
      <c r="LI31" s="504">
        <v>0</v>
      </c>
      <c r="LJ31" s="504">
        <v>0</v>
      </c>
      <c r="LK31" s="504">
        <v>0</v>
      </c>
      <c r="LL31" s="504">
        <v>0</v>
      </c>
      <c r="LM31" s="504">
        <v>0</v>
      </c>
      <c r="LN31" s="504">
        <v>0</v>
      </c>
      <c r="LO31" s="504">
        <v>0</v>
      </c>
      <c r="LP31" s="504">
        <v>0</v>
      </c>
      <c r="LQ31" s="504">
        <v>0</v>
      </c>
      <c r="LR31" s="504">
        <v>0</v>
      </c>
      <c r="LS31" s="504">
        <v>0</v>
      </c>
      <c r="LT31" s="504">
        <v>0</v>
      </c>
      <c r="LU31" s="504">
        <v>0</v>
      </c>
      <c r="LV31" s="504">
        <v>0</v>
      </c>
      <c r="LW31" s="504">
        <v>0</v>
      </c>
      <c r="LX31" s="504">
        <v>0</v>
      </c>
      <c r="LY31" s="504">
        <v>0</v>
      </c>
      <c r="LZ31" s="504">
        <v>0</v>
      </c>
      <c r="MA31" s="504">
        <v>0</v>
      </c>
      <c r="MB31" s="504">
        <v>0</v>
      </c>
      <c r="MC31" s="504">
        <v>0</v>
      </c>
      <c r="MD31" s="504">
        <v>0</v>
      </c>
      <c r="ME31" s="504">
        <v>0</v>
      </c>
      <c r="MF31" s="504">
        <v>0</v>
      </c>
      <c r="MG31" s="504">
        <v>0</v>
      </c>
      <c r="MH31" s="504">
        <v>0</v>
      </c>
      <c r="MI31" s="504">
        <v>0</v>
      </c>
      <c r="MJ31" s="504">
        <v>0</v>
      </c>
      <c r="MK31" s="504">
        <v>0</v>
      </c>
      <c r="ML31" s="504">
        <v>0</v>
      </c>
      <c r="MM31" s="504">
        <v>0</v>
      </c>
      <c r="MN31" s="504">
        <v>0</v>
      </c>
      <c r="MO31" s="504">
        <v>0</v>
      </c>
      <c r="MP31" s="504">
        <v>0</v>
      </c>
      <c r="MQ31" s="504">
        <v>0</v>
      </c>
      <c r="MR31" s="504">
        <v>0</v>
      </c>
      <c r="MS31" s="504">
        <v>0</v>
      </c>
      <c r="MT31" s="504">
        <v>0</v>
      </c>
      <c r="MU31" s="504">
        <v>0</v>
      </c>
      <c r="MV31" s="504">
        <v>0</v>
      </c>
      <c r="MW31" s="504">
        <v>0</v>
      </c>
      <c r="MX31" s="504">
        <v>0</v>
      </c>
      <c r="MY31" s="504">
        <v>0</v>
      </c>
      <c r="MZ31" s="504">
        <v>0</v>
      </c>
      <c r="NA31" s="504">
        <v>0</v>
      </c>
      <c r="NB31" s="504">
        <v>0</v>
      </c>
      <c r="NC31" s="504">
        <v>0</v>
      </c>
      <c r="ND31" s="504">
        <v>0</v>
      </c>
      <c r="NE31" s="504">
        <v>0</v>
      </c>
      <c r="NF31" s="504">
        <v>0</v>
      </c>
      <c r="NG31" s="504">
        <v>0</v>
      </c>
      <c r="NH31" s="504">
        <v>0</v>
      </c>
      <c r="NI31" s="504">
        <v>0</v>
      </c>
      <c r="NJ31" s="504">
        <v>0</v>
      </c>
      <c r="NK31" s="504">
        <v>0</v>
      </c>
      <c r="NL31" s="504">
        <v>0</v>
      </c>
      <c r="NM31" s="504">
        <v>0</v>
      </c>
      <c r="NN31" s="504">
        <v>0</v>
      </c>
      <c r="NO31" s="504">
        <v>0</v>
      </c>
      <c r="NP31" s="504">
        <v>0</v>
      </c>
      <c r="NQ31" s="504">
        <v>0</v>
      </c>
      <c r="NR31" s="504">
        <v>0</v>
      </c>
      <c r="NS31" s="504">
        <v>0</v>
      </c>
      <c r="NT31" s="504">
        <v>0</v>
      </c>
      <c r="NU31" s="504">
        <v>0</v>
      </c>
      <c r="NV31" s="504">
        <v>0</v>
      </c>
      <c r="NW31" s="504">
        <v>0</v>
      </c>
      <c r="NX31" s="504">
        <v>0</v>
      </c>
      <c r="NY31" s="504">
        <v>0</v>
      </c>
      <c r="NZ31" s="504">
        <v>0</v>
      </c>
      <c r="OA31" s="504">
        <v>0</v>
      </c>
      <c r="OB31" s="504">
        <v>0</v>
      </c>
      <c r="OC31" s="504">
        <v>0</v>
      </c>
      <c r="OD31" s="504">
        <v>0</v>
      </c>
      <c r="OE31" s="504">
        <v>0</v>
      </c>
      <c r="OF31" s="504">
        <v>0</v>
      </c>
      <c r="OG31" s="504">
        <v>0</v>
      </c>
      <c r="OH31" s="504">
        <v>0</v>
      </c>
      <c r="OI31" s="504">
        <v>0</v>
      </c>
      <c r="OJ31" s="504">
        <v>0</v>
      </c>
      <c r="OK31" s="504">
        <v>0</v>
      </c>
      <c r="OL31" s="504">
        <v>0</v>
      </c>
      <c r="OM31" s="504">
        <v>0</v>
      </c>
      <c r="ON31" s="494"/>
    </row>
    <row r="32" spans="1:404" ht="18.75" customHeight="1" x14ac:dyDescent="0.4">
      <c r="A32" s="355" t="s">
        <v>308</v>
      </c>
      <c r="B32" s="358">
        <v>193</v>
      </c>
      <c r="C32" s="355" t="s">
        <v>60</v>
      </c>
      <c r="D32" s="501">
        <v>23.45</v>
      </c>
      <c r="E32" s="502">
        <v>15614</v>
      </c>
      <c r="F32" s="501">
        <v>23.44</v>
      </c>
      <c r="G32" s="502">
        <v>4518</v>
      </c>
      <c r="H32" s="501">
        <v>23.44</v>
      </c>
      <c r="I32" s="502">
        <v>12764</v>
      </c>
      <c r="J32" s="501">
        <v>23.44</v>
      </c>
      <c r="K32" s="502">
        <v>14553</v>
      </c>
      <c r="V32" s="501"/>
      <c r="W32" s="503"/>
      <c r="X32" s="501"/>
      <c r="Y32" s="503"/>
      <c r="Z32" s="501"/>
      <c r="AA32" s="503"/>
      <c r="AB32" s="495"/>
      <c r="AC32" s="504">
        <v>0</v>
      </c>
      <c r="AD32" s="504">
        <v>0</v>
      </c>
      <c r="AE32" s="504">
        <v>0</v>
      </c>
      <c r="AF32" s="504">
        <v>0</v>
      </c>
      <c r="AG32" s="504">
        <v>0</v>
      </c>
      <c r="AH32" s="504">
        <v>0</v>
      </c>
      <c r="AI32" s="504">
        <v>0</v>
      </c>
      <c r="AJ32" s="504">
        <v>0</v>
      </c>
      <c r="AK32" s="504">
        <v>0</v>
      </c>
      <c r="AL32" s="504">
        <v>0</v>
      </c>
      <c r="AM32" s="504">
        <v>0</v>
      </c>
      <c r="AN32" s="504">
        <v>0</v>
      </c>
      <c r="AO32" s="504">
        <v>0</v>
      </c>
      <c r="AP32" s="504">
        <v>0</v>
      </c>
      <c r="AQ32" s="504">
        <v>0</v>
      </c>
      <c r="AR32" s="504">
        <v>0</v>
      </c>
      <c r="AS32" s="504">
        <v>0</v>
      </c>
      <c r="AT32" s="504">
        <v>0</v>
      </c>
      <c r="AU32" s="504">
        <v>0</v>
      </c>
      <c r="AV32" s="504">
        <v>0</v>
      </c>
      <c r="AW32" s="504">
        <v>0</v>
      </c>
      <c r="AX32" s="504">
        <v>0</v>
      </c>
      <c r="AY32" s="504">
        <v>0</v>
      </c>
      <c r="AZ32" s="504">
        <v>0</v>
      </c>
      <c r="BA32" s="504">
        <v>0</v>
      </c>
      <c r="BB32" s="504">
        <v>0</v>
      </c>
      <c r="BC32" s="504">
        <v>0</v>
      </c>
      <c r="BD32" s="504">
        <v>0</v>
      </c>
      <c r="BE32" s="504">
        <v>0</v>
      </c>
      <c r="BF32" s="504">
        <v>0</v>
      </c>
      <c r="BG32" s="504">
        <v>0</v>
      </c>
      <c r="BH32" s="504">
        <v>0</v>
      </c>
      <c r="BI32" s="504">
        <v>0</v>
      </c>
      <c r="BJ32" s="504">
        <v>0</v>
      </c>
      <c r="BK32" s="504">
        <v>0</v>
      </c>
      <c r="BL32" s="504">
        <v>0</v>
      </c>
      <c r="BM32" s="504">
        <v>0</v>
      </c>
      <c r="BN32" s="504">
        <v>0</v>
      </c>
      <c r="BO32" s="504">
        <v>0</v>
      </c>
      <c r="BP32" s="504">
        <v>0</v>
      </c>
      <c r="BQ32" s="504">
        <v>0</v>
      </c>
      <c r="BR32" s="504">
        <v>0</v>
      </c>
      <c r="BS32" s="504">
        <v>0</v>
      </c>
      <c r="BT32" s="504">
        <v>0</v>
      </c>
      <c r="BU32" s="504">
        <v>0</v>
      </c>
      <c r="BV32" s="504">
        <v>0</v>
      </c>
      <c r="BW32" s="504">
        <v>0</v>
      </c>
      <c r="BX32" s="504">
        <v>0</v>
      </c>
      <c r="BY32" s="504">
        <v>0</v>
      </c>
      <c r="BZ32" s="504">
        <v>0</v>
      </c>
      <c r="CA32" s="504">
        <v>0</v>
      </c>
      <c r="CB32" s="504">
        <v>0</v>
      </c>
      <c r="CC32" s="504">
        <v>0</v>
      </c>
      <c r="CD32" s="504">
        <v>0</v>
      </c>
      <c r="CE32" s="504">
        <v>0</v>
      </c>
      <c r="CF32" s="504">
        <v>0</v>
      </c>
      <c r="CG32" s="504">
        <v>0</v>
      </c>
      <c r="CH32" s="504">
        <v>0</v>
      </c>
      <c r="CI32" s="504">
        <v>0</v>
      </c>
      <c r="CJ32" s="504">
        <v>0</v>
      </c>
      <c r="CK32" s="504">
        <v>0</v>
      </c>
      <c r="CL32" s="504">
        <v>0</v>
      </c>
      <c r="CM32" s="504">
        <v>0</v>
      </c>
      <c r="CN32" s="504">
        <v>0</v>
      </c>
      <c r="CO32" s="504">
        <v>0</v>
      </c>
      <c r="CP32" s="504">
        <v>0</v>
      </c>
      <c r="CQ32" s="504">
        <v>0</v>
      </c>
      <c r="CR32" s="504">
        <v>0</v>
      </c>
      <c r="CS32" s="504">
        <v>0</v>
      </c>
      <c r="CT32" s="504">
        <v>0</v>
      </c>
      <c r="CU32" s="504">
        <v>0</v>
      </c>
      <c r="CV32" s="504">
        <v>0</v>
      </c>
      <c r="CW32" s="504">
        <v>0</v>
      </c>
      <c r="CX32" s="504">
        <v>0</v>
      </c>
      <c r="CY32" s="504">
        <v>0</v>
      </c>
      <c r="CZ32" s="504">
        <v>0</v>
      </c>
      <c r="DA32" s="504">
        <v>0</v>
      </c>
      <c r="DB32" s="504">
        <v>0</v>
      </c>
      <c r="DC32" s="504">
        <v>0</v>
      </c>
      <c r="DD32" s="504">
        <v>0</v>
      </c>
      <c r="DE32" s="504">
        <v>0</v>
      </c>
      <c r="DF32" s="504">
        <v>0</v>
      </c>
      <c r="DG32" s="504">
        <v>0</v>
      </c>
      <c r="DH32" s="504">
        <v>0</v>
      </c>
      <c r="DI32" s="504">
        <v>0</v>
      </c>
      <c r="DJ32" s="504">
        <v>0</v>
      </c>
      <c r="DK32" s="504">
        <v>0</v>
      </c>
      <c r="DL32" s="504">
        <v>0</v>
      </c>
      <c r="DM32" s="504">
        <v>0</v>
      </c>
      <c r="DN32" s="504">
        <v>0</v>
      </c>
      <c r="DO32" s="504">
        <v>0</v>
      </c>
      <c r="DP32" s="504">
        <v>0</v>
      </c>
      <c r="DQ32" s="504">
        <v>0</v>
      </c>
      <c r="DR32" s="504">
        <v>0</v>
      </c>
      <c r="DS32" s="504">
        <v>0</v>
      </c>
      <c r="DT32" s="504">
        <v>0</v>
      </c>
      <c r="DU32" s="504">
        <v>0</v>
      </c>
      <c r="DV32" s="504">
        <v>0</v>
      </c>
      <c r="DW32" s="504">
        <v>0</v>
      </c>
      <c r="DX32" s="504">
        <v>0</v>
      </c>
      <c r="DY32" s="504">
        <v>0</v>
      </c>
      <c r="DZ32" s="504">
        <v>0</v>
      </c>
      <c r="EA32" s="504">
        <v>0</v>
      </c>
      <c r="EB32" s="504">
        <v>0</v>
      </c>
      <c r="EC32" s="504">
        <v>0</v>
      </c>
      <c r="ED32" s="504">
        <v>0</v>
      </c>
      <c r="EE32" s="504">
        <v>0</v>
      </c>
      <c r="EF32" s="504">
        <v>0</v>
      </c>
      <c r="EG32" s="504">
        <v>0</v>
      </c>
      <c r="EH32" s="504">
        <v>0</v>
      </c>
      <c r="EI32" s="504">
        <v>0</v>
      </c>
      <c r="EJ32" s="504">
        <v>0</v>
      </c>
      <c r="EK32" s="504">
        <v>0</v>
      </c>
      <c r="EL32" s="504">
        <v>0</v>
      </c>
      <c r="EM32" s="504">
        <v>0</v>
      </c>
      <c r="EN32" s="504">
        <v>0</v>
      </c>
      <c r="EO32" s="504">
        <v>0</v>
      </c>
      <c r="EP32" s="504">
        <v>0</v>
      </c>
      <c r="EQ32" s="504">
        <v>0</v>
      </c>
      <c r="ER32" s="504">
        <v>0</v>
      </c>
      <c r="ES32" s="504">
        <v>0</v>
      </c>
      <c r="ET32" s="504">
        <v>0</v>
      </c>
      <c r="EU32" s="504">
        <v>0</v>
      </c>
      <c r="EV32" s="504">
        <v>0</v>
      </c>
      <c r="EW32" s="504">
        <v>0</v>
      </c>
      <c r="EX32" s="504">
        <v>0</v>
      </c>
      <c r="EY32" s="504">
        <v>0</v>
      </c>
      <c r="EZ32" s="504">
        <v>0</v>
      </c>
      <c r="FA32" s="504">
        <v>0</v>
      </c>
      <c r="FB32" s="504">
        <v>0</v>
      </c>
      <c r="FC32" s="504">
        <v>0</v>
      </c>
      <c r="FD32" s="504">
        <v>0</v>
      </c>
      <c r="FE32" s="504">
        <v>0</v>
      </c>
      <c r="FF32" s="504">
        <v>0</v>
      </c>
      <c r="FG32" s="504">
        <v>0</v>
      </c>
      <c r="FH32" s="504">
        <v>0</v>
      </c>
      <c r="FI32" s="504">
        <v>0</v>
      </c>
      <c r="FJ32" s="504">
        <v>0</v>
      </c>
      <c r="FK32" s="504">
        <v>0</v>
      </c>
      <c r="FL32" s="504">
        <v>0</v>
      </c>
      <c r="FM32" s="504">
        <v>0</v>
      </c>
      <c r="FN32" s="504">
        <v>0</v>
      </c>
      <c r="FO32" s="504">
        <v>0</v>
      </c>
      <c r="FP32" s="504">
        <v>0</v>
      </c>
      <c r="FQ32" s="504">
        <v>0</v>
      </c>
      <c r="FR32" s="504">
        <v>0</v>
      </c>
      <c r="FS32" s="504">
        <v>0</v>
      </c>
      <c r="FT32" s="504">
        <v>0</v>
      </c>
      <c r="FU32" s="504">
        <v>0</v>
      </c>
      <c r="FV32" s="504">
        <v>0</v>
      </c>
      <c r="FW32" s="504">
        <v>0</v>
      </c>
      <c r="FX32" s="504">
        <v>0</v>
      </c>
      <c r="FY32" s="504">
        <v>0</v>
      </c>
      <c r="FZ32" s="504">
        <v>0</v>
      </c>
      <c r="GA32" s="504">
        <v>0</v>
      </c>
      <c r="GB32" s="504">
        <v>0</v>
      </c>
      <c r="GC32" s="504">
        <v>0</v>
      </c>
      <c r="GD32" s="504">
        <v>0</v>
      </c>
      <c r="GE32" s="504">
        <v>0</v>
      </c>
      <c r="GF32" s="504">
        <v>0</v>
      </c>
      <c r="GG32" s="504">
        <v>0</v>
      </c>
      <c r="GH32" s="504">
        <v>0</v>
      </c>
      <c r="GI32" s="504">
        <v>0</v>
      </c>
      <c r="GJ32" s="504">
        <v>0</v>
      </c>
      <c r="GK32" s="504">
        <v>0</v>
      </c>
      <c r="GL32" s="504">
        <v>0</v>
      </c>
      <c r="GM32" s="504">
        <v>0</v>
      </c>
      <c r="GN32" s="504">
        <v>0</v>
      </c>
      <c r="GO32" s="504">
        <v>0</v>
      </c>
      <c r="GP32" s="504">
        <v>0</v>
      </c>
      <c r="GQ32" s="504">
        <v>0</v>
      </c>
      <c r="GR32" s="504">
        <v>0</v>
      </c>
      <c r="GS32" s="504">
        <v>0</v>
      </c>
      <c r="GT32" s="504">
        <v>0</v>
      </c>
      <c r="GU32" s="504">
        <v>0</v>
      </c>
      <c r="GV32" s="504">
        <v>0</v>
      </c>
      <c r="GW32" s="504">
        <v>0</v>
      </c>
      <c r="GX32" s="504">
        <v>0</v>
      </c>
      <c r="GY32" s="504">
        <v>0</v>
      </c>
      <c r="GZ32" s="504">
        <v>0</v>
      </c>
      <c r="HA32" s="504">
        <v>0</v>
      </c>
      <c r="HB32" s="504">
        <v>0</v>
      </c>
      <c r="HC32" s="504">
        <v>0</v>
      </c>
      <c r="HD32" s="504">
        <v>0</v>
      </c>
      <c r="HE32" s="504">
        <v>0</v>
      </c>
      <c r="HF32" s="504">
        <v>0</v>
      </c>
      <c r="HG32" s="504">
        <v>0</v>
      </c>
      <c r="HH32" s="504">
        <v>0</v>
      </c>
      <c r="HI32" s="504">
        <v>0</v>
      </c>
      <c r="HJ32" s="504">
        <v>0</v>
      </c>
      <c r="HK32" s="504">
        <v>0</v>
      </c>
      <c r="HL32" s="504">
        <v>0</v>
      </c>
      <c r="HM32" s="504">
        <v>0</v>
      </c>
      <c r="HN32" s="504">
        <v>0</v>
      </c>
      <c r="HO32" s="504">
        <v>0</v>
      </c>
      <c r="HP32" s="504">
        <v>0</v>
      </c>
      <c r="HQ32" s="504">
        <v>0</v>
      </c>
      <c r="HR32" s="504">
        <v>0</v>
      </c>
      <c r="HS32" s="504">
        <v>0</v>
      </c>
      <c r="HT32" s="504">
        <v>0</v>
      </c>
      <c r="HU32" s="504">
        <v>0</v>
      </c>
      <c r="HV32" s="504">
        <v>0</v>
      </c>
      <c r="HW32" s="504">
        <v>0</v>
      </c>
      <c r="HX32" s="504">
        <v>0</v>
      </c>
      <c r="HY32" s="504">
        <v>0</v>
      </c>
      <c r="HZ32" s="504">
        <v>0</v>
      </c>
      <c r="IA32" s="504">
        <v>0</v>
      </c>
      <c r="IB32" s="504">
        <v>0</v>
      </c>
      <c r="IC32" s="504">
        <v>0</v>
      </c>
      <c r="ID32" s="504">
        <v>0</v>
      </c>
      <c r="IE32" s="504">
        <v>0</v>
      </c>
      <c r="IF32" s="504">
        <v>0</v>
      </c>
      <c r="IG32" s="504">
        <v>0</v>
      </c>
      <c r="IH32" s="504">
        <v>0</v>
      </c>
      <c r="II32" s="504">
        <v>0</v>
      </c>
      <c r="IJ32" s="504">
        <v>0</v>
      </c>
      <c r="IK32" s="504">
        <v>0</v>
      </c>
      <c r="IL32" s="504">
        <v>0</v>
      </c>
      <c r="IM32" s="504">
        <v>0</v>
      </c>
      <c r="IN32" s="504">
        <v>0</v>
      </c>
      <c r="IO32" s="504">
        <v>0</v>
      </c>
      <c r="IP32" s="504">
        <v>0</v>
      </c>
      <c r="IQ32" s="504">
        <v>0</v>
      </c>
      <c r="IR32" s="504">
        <v>0</v>
      </c>
      <c r="IS32" s="504">
        <v>0</v>
      </c>
      <c r="IT32" s="504">
        <v>0</v>
      </c>
      <c r="IU32" s="504">
        <v>0</v>
      </c>
      <c r="IV32" s="504">
        <v>0</v>
      </c>
      <c r="IW32" s="504">
        <v>0</v>
      </c>
      <c r="IX32" s="504">
        <v>0</v>
      </c>
      <c r="IY32" s="504">
        <v>0</v>
      </c>
      <c r="IZ32" s="504">
        <v>0</v>
      </c>
      <c r="JA32" s="504">
        <v>0</v>
      </c>
      <c r="JB32" s="504">
        <v>0</v>
      </c>
      <c r="JC32" s="504">
        <v>0</v>
      </c>
      <c r="JD32" s="504">
        <v>0</v>
      </c>
      <c r="JE32" s="504">
        <v>0</v>
      </c>
      <c r="JF32" s="504">
        <v>0</v>
      </c>
      <c r="JG32" s="504">
        <v>0</v>
      </c>
      <c r="JH32" s="504">
        <v>0</v>
      </c>
      <c r="JI32" s="504">
        <v>0</v>
      </c>
      <c r="JJ32" s="504">
        <v>0</v>
      </c>
      <c r="JK32" s="504">
        <v>0</v>
      </c>
      <c r="JL32" s="504">
        <v>0</v>
      </c>
      <c r="JM32" s="504">
        <v>0</v>
      </c>
      <c r="JN32" s="504">
        <v>0</v>
      </c>
      <c r="JO32" s="504">
        <v>0</v>
      </c>
      <c r="JP32" s="504">
        <v>0</v>
      </c>
      <c r="JQ32" s="504">
        <v>0</v>
      </c>
      <c r="JR32" s="504">
        <v>0</v>
      </c>
      <c r="JS32" s="504">
        <v>0</v>
      </c>
      <c r="JT32" s="504">
        <v>0</v>
      </c>
      <c r="JU32" s="504">
        <v>0</v>
      </c>
      <c r="JV32" s="504">
        <v>0</v>
      </c>
      <c r="JW32" s="504">
        <v>0</v>
      </c>
      <c r="JX32" s="504">
        <v>0</v>
      </c>
      <c r="JY32" s="504">
        <v>0</v>
      </c>
      <c r="JZ32" s="504">
        <v>0</v>
      </c>
      <c r="KA32" s="504">
        <v>0</v>
      </c>
      <c r="KB32" s="504">
        <v>0</v>
      </c>
      <c r="KC32" s="504">
        <v>0</v>
      </c>
      <c r="KD32" s="504">
        <v>0</v>
      </c>
      <c r="KE32" s="504">
        <v>0</v>
      </c>
      <c r="KF32" s="504">
        <v>0</v>
      </c>
      <c r="KG32" s="504">
        <v>0</v>
      </c>
      <c r="KH32" s="504">
        <v>0</v>
      </c>
      <c r="KI32" s="504">
        <v>0</v>
      </c>
      <c r="KJ32" s="504">
        <v>0</v>
      </c>
      <c r="KK32" s="504">
        <v>0</v>
      </c>
      <c r="KL32" s="504">
        <v>0</v>
      </c>
      <c r="KM32" s="504">
        <v>0</v>
      </c>
      <c r="KN32" s="504">
        <v>0</v>
      </c>
      <c r="KO32" s="504">
        <v>0</v>
      </c>
      <c r="KP32" s="504">
        <v>0</v>
      </c>
      <c r="KQ32" s="504">
        <v>0</v>
      </c>
      <c r="KR32" s="504">
        <v>0</v>
      </c>
      <c r="KS32" s="504">
        <v>0</v>
      </c>
      <c r="KT32" s="504">
        <v>0</v>
      </c>
      <c r="KU32" s="504">
        <v>0</v>
      </c>
      <c r="KV32" s="504">
        <v>0</v>
      </c>
      <c r="KW32" s="504">
        <v>0</v>
      </c>
      <c r="KX32" s="504">
        <v>0</v>
      </c>
      <c r="KY32" s="504">
        <v>0</v>
      </c>
      <c r="KZ32" s="504">
        <v>0</v>
      </c>
      <c r="LA32" s="504">
        <v>0</v>
      </c>
      <c r="LB32" s="504">
        <v>0</v>
      </c>
      <c r="LC32" s="504">
        <v>0</v>
      </c>
      <c r="LD32" s="504">
        <v>0</v>
      </c>
      <c r="LE32" s="504">
        <v>0</v>
      </c>
      <c r="LF32" s="504">
        <v>0</v>
      </c>
      <c r="LG32" s="504">
        <v>0</v>
      </c>
      <c r="LH32" s="504">
        <v>0</v>
      </c>
      <c r="LI32" s="504">
        <v>0</v>
      </c>
      <c r="LJ32" s="504">
        <v>0</v>
      </c>
      <c r="LK32" s="504">
        <v>0</v>
      </c>
      <c r="LL32" s="504">
        <v>0</v>
      </c>
      <c r="LM32" s="504">
        <v>0</v>
      </c>
      <c r="LN32" s="504">
        <v>0</v>
      </c>
      <c r="LO32" s="504">
        <v>0</v>
      </c>
      <c r="LP32" s="504">
        <v>0</v>
      </c>
      <c r="LQ32" s="504">
        <v>0</v>
      </c>
      <c r="LR32" s="504">
        <v>0</v>
      </c>
      <c r="LS32" s="504">
        <v>0</v>
      </c>
      <c r="LT32" s="504">
        <v>0</v>
      </c>
      <c r="LU32" s="504">
        <v>0</v>
      </c>
      <c r="LV32" s="504">
        <v>0</v>
      </c>
      <c r="LW32" s="504">
        <v>0</v>
      </c>
      <c r="LX32" s="504">
        <v>0</v>
      </c>
      <c r="LY32" s="504">
        <v>0</v>
      </c>
      <c r="LZ32" s="504">
        <v>0</v>
      </c>
      <c r="MA32" s="504">
        <v>0</v>
      </c>
      <c r="MB32" s="504">
        <v>0</v>
      </c>
      <c r="MC32" s="504">
        <v>0</v>
      </c>
      <c r="MD32" s="504">
        <v>0</v>
      </c>
      <c r="ME32" s="504">
        <v>0</v>
      </c>
      <c r="MF32" s="504">
        <v>0</v>
      </c>
      <c r="MG32" s="504">
        <v>0</v>
      </c>
      <c r="MH32" s="504">
        <v>0</v>
      </c>
      <c r="MI32" s="504">
        <v>0</v>
      </c>
      <c r="MJ32" s="504">
        <v>0</v>
      </c>
      <c r="MK32" s="504">
        <v>0</v>
      </c>
      <c r="ML32" s="504">
        <v>0</v>
      </c>
      <c r="MM32" s="504">
        <v>0</v>
      </c>
      <c r="MN32" s="504">
        <v>0</v>
      </c>
      <c r="MO32" s="504">
        <v>0</v>
      </c>
      <c r="MP32" s="504">
        <v>0</v>
      </c>
      <c r="MQ32" s="504">
        <v>0</v>
      </c>
      <c r="MR32" s="504">
        <v>0</v>
      </c>
      <c r="MS32" s="504">
        <v>0</v>
      </c>
      <c r="MT32" s="504">
        <v>0</v>
      </c>
      <c r="MU32" s="504">
        <v>0</v>
      </c>
      <c r="MV32" s="504">
        <v>0</v>
      </c>
      <c r="MW32" s="504">
        <v>0</v>
      </c>
      <c r="MX32" s="504">
        <v>0</v>
      </c>
      <c r="MY32" s="504">
        <v>0</v>
      </c>
      <c r="MZ32" s="504">
        <v>0</v>
      </c>
      <c r="NA32" s="504">
        <v>0</v>
      </c>
      <c r="NB32" s="504">
        <v>0</v>
      </c>
      <c r="NC32" s="504">
        <v>0</v>
      </c>
      <c r="ND32" s="504">
        <v>0</v>
      </c>
      <c r="NE32" s="504">
        <v>0</v>
      </c>
      <c r="NF32" s="504">
        <v>0</v>
      </c>
      <c r="NG32" s="504">
        <v>0</v>
      </c>
      <c r="NH32" s="504">
        <v>0</v>
      </c>
      <c r="NI32" s="504">
        <v>0</v>
      </c>
      <c r="NJ32" s="504">
        <v>0</v>
      </c>
      <c r="NK32" s="504">
        <v>0</v>
      </c>
      <c r="NL32" s="504">
        <v>0</v>
      </c>
      <c r="NM32" s="504">
        <v>0</v>
      </c>
      <c r="NN32" s="504">
        <v>0</v>
      </c>
      <c r="NO32" s="504">
        <v>0</v>
      </c>
      <c r="NP32" s="504">
        <v>0</v>
      </c>
      <c r="NQ32" s="504">
        <v>0</v>
      </c>
      <c r="NR32" s="504">
        <v>0</v>
      </c>
      <c r="NS32" s="504">
        <v>0</v>
      </c>
      <c r="NT32" s="504">
        <v>0</v>
      </c>
      <c r="NU32" s="504">
        <v>0</v>
      </c>
      <c r="NV32" s="504">
        <v>0</v>
      </c>
      <c r="NW32" s="504">
        <v>0</v>
      </c>
      <c r="NX32" s="504">
        <v>0</v>
      </c>
      <c r="NY32" s="504">
        <v>0</v>
      </c>
      <c r="NZ32" s="504">
        <v>0</v>
      </c>
      <c r="OA32" s="504">
        <v>0</v>
      </c>
      <c r="OB32" s="504">
        <v>0</v>
      </c>
      <c r="OC32" s="504">
        <v>0</v>
      </c>
      <c r="OD32" s="504">
        <v>0</v>
      </c>
      <c r="OE32" s="504">
        <v>0</v>
      </c>
      <c r="OF32" s="504">
        <v>0</v>
      </c>
      <c r="OG32" s="504">
        <v>0</v>
      </c>
      <c r="OH32" s="504">
        <v>0</v>
      </c>
      <c r="OI32" s="504">
        <v>0</v>
      </c>
      <c r="OJ32" s="504">
        <v>0</v>
      </c>
      <c r="OK32" s="504">
        <v>0</v>
      </c>
      <c r="OL32" s="504">
        <v>0</v>
      </c>
      <c r="OM32" s="504">
        <v>0</v>
      </c>
      <c r="ON32" s="494"/>
    </row>
    <row r="33" spans="1:404" ht="18.75" customHeight="1" x14ac:dyDescent="0.4">
      <c r="A33" s="355" t="s">
        <v>309</v>
      </c>
      <c r="B33" s="358">
        <v>106</v>
      </c>
      <c r="C33" s="355" t="s">
        <v>60</v>
      </c>
      <c r="D33" s="501">
        <v>23.62</v>
      </c>
      <c r="E33" s="502">
        <v>24840</v>
      </c>
      <c r="F33" s="501">
        <v>23.61</v>
      </c>
      <c r="G33" s="502">
        <v>4701</v>
      </c>
      <c r="H33" s="501">
        <v>23.6</v>
      </c>
      <c r="I33" s="502">
        <v>12541</v>
      </c>
      <c r="J33" s="501">
        <v>23.61</v>
      </c>
      <c r="K33" s="502">
        <v>14095</v>
      </c>
      <c r="V33" s="501"/>
      <c r="W33" s="503"/>
      <c r="X33" s="501"/>
      <c r="Y33" s="503"/>
      <c r="Z33" s="501"/>
      <c r="AA33" s="503"/>
      <c r="AB33" s="495"/>
      <c r="AC33" s="504">
        <v>0</v>
      </c>
      <c r="AD33" s="504">
        <v>0</v>
      </c>
      <c r="AE33" s="504">
        <v>0</v>
      </c>
      <c r="AF33" s="504">
        <v>0</v>
      </c>
      <c r="AG33" s="504">
        <v>0</v>
      </c>
      <c r="AH33" s="504">
        <v>0</v>
      </c>
      <c r="AI33" s="504">
        <v>0</v>
      </c>
      <c r="AJ33" s="504">
        <v>0</v>
      </c>
      <c r="AK33" s="504">
        <v>0</v>
      </c>
      <c r="AL33" s="504">
        <v>0</v>
      </c>
      <c r="AM33" s="504">
        <v>0</v>
      </c>
      <c r="AN33" s="504">
        <v>0</v>
      </c>
      <c r="AO33" s="504">
        <v>0</v>
      </c>
      <c r="AP33" s="504">
        <v>0</v>
      </c>
      <c r="AQ33" s="504">
        <v>0</v>
      </c>
      <c r="AR33" s="504">
        <v>0</v>
      </c>
      <c r="AS33" s="504">
        <v>0</v>
      </c>
      <c r="AT33" s="504">
        <v>0</v>
      </c>
      <c r="AU33" s="504">
        <v>0</v>
      </c>
      <c r="AV33" s="504">
        <v>0</v>
      </c>
      <c r="AW33" s="504">
        <v>0</v>
      </c>
      <c r="AX33" s="504">
        <v>0</v>
      </c>
      <c r="AY33" s="504">
        <v>0</v>
      </c>
      <c r="AZ33" s="504">
        <v>0</v>
      </c>
      <c r="BA33" s="504">
        <v>0</v>
      </c>
      <c r="BB33" s="504">
        <v>0</v>
      </c>
      <c r="BC33" s="504">
        <v>0</v>
      </c>
      <c r="BD33" s="504">
        <v>0</v>
      </c>
      <c r="BE33" s="504">
        <v>0</v>
      </c>
      <c r="BF33" s="504">
        <v>0</v>
      </c>
      <c r="BG33" s="504">
        <v>0</v>
      </c>
      <c r="BH33" s="504">
        <v>0</v>
      </c>
      <c r="BI33" s="504">
        <v>0</v>
      </c>
      <c r="BJ33" s="504">
        <v>0</v>
      </c>
      <c r="BK33" s="504">
        <v>0</v>
      </c>
      <c r="BL33" s="504">
        <v>0</v>
      </c>
      <c r="BM33" s="504">
        <v>0</v>
      </c>
      <c r="BN33" s="504">
        <v>0</v>
      </c>
      <c r="BO33" s="504">
        <v>0</v>
      </c>
      <c r="BP33" s="504">
        <v>0</v>
      </c>
      <c r="BQ33" s="504">
        <v>0</v>
      </c>
      <c r="BR33" s="504">
        <v>0</v>
      </c>
      <c r="BS33" s="504">
        <v>0</v>
      </c>
      <c r="BT33" s="504">
        <v>0</v>
      </c>
      <c r="BU33" s="504">
        <v>0</v>
      </c>
      <c r="BV33" s="504">
        <v>0</v>
      </c>
      <c r="BW33" s="504">
        <v>0</v>
      </c>
      <c r="BX33" s="504">
        <v>0</v>
      </c>
      <c r="BY33" s="504">
        <v>0</v>
      </c>
      <c r="BZ33" s="504">
        <v>0</v>
      </c>
      <c r="CA33" s="504">
        <v>0</v>
      </c>
      <c r="CB33" s="504">
        <v>0</v>
      </c>
      <c r="CC33" s="504">
        <v>0</v>
      </c>
      <c r="CD33" s="504">
        <v>0</v>
      </c>
      <c r="CE33" s="504">
        <v>0</v>
      </c>
      <c r="CF33" s="504">
        <v>0</v>
      </c>
      <c r="CG33" s="504">
        <v>0</v>
      </c>
      <c r="CH33" s="504">
        <v>0</v>
      </c>
      <c r="CI33" s="504">
        <v>0</v>
      </c>
      <c r="CJ33" s="504">
        <v>0</v>
      </c>
      <c r="CK33" s="504">
        <v>0</v>
      </c>
      <c r="CL33" s="504">
        <v>0</v>
      </c>
      <c r="CM33" s="504">
        <v>0</v>
      </c>
      <c r="CN33" s="504">
        <v>0</v>
      </c>
      <c r="CO33" s="504">
        <v>0</v>
      </c>
      <c r="CP33" s="504">
        <v>0</v>
      </c>
      <c r="CQ33" s="504">
        <v>0</v>
      </c>
      <c r="CR33" s="504">
        <v>0</v>
      </c>
      <c r="CS33" s="504">
        <v>0</v>
      </c>
      <c r="CT33" s="504">
        <v>0</v>
      </c>
      <c r="CU33" s="504">
        <v>0</v>
      </c>
      <c r="CV33" s="504">
        <v>0</v>
      </c>
      <c r="CW33" s="504">
        <v>0</v>
      </c>
      <c r="CX33" s="504">
        <v>0</v>
      </c>
      <c r="CY33" s="504">
        <v>0</v>
      </c>
      <c r="CZ33" s="504">
        <v>0</v>
      </c>
      <c r="DA33" s="504">
        <v>0</v>
      </c>
      <c r="DB33" s="504">
        <v>0</v>
      </c>
      <c r="DC33" s="504">
        <v>0</v>
      </c>
      <c r="DD33" s="504">
        <v>0</v>
      </c>
      <c r="DE33" s="504">
        <v>0</v>
      </c>
      <c r="DF33" s="504">
        <v>0</v>
      </c>
      <c r="DG33" s="504">
        <v>0</v>
      </c>
      <c r="DH33" s="504">
        <v>0</v>
      </c>
      <c r="DI33" s="504">
        <v>0</v>
      </c>
      <c r="DJ33" s="504">
        <v>0</v>
      </c>
      <c r="DK33" s="504">
        <v>0</v>
      </c>
      <c r="DL33" s="504">
        <v>0</v>
      </c>
      <c r="DM33" s="504">
        <v>0</v>
      </c>
      <c r="DN33" s="504">
        <v>0</v>
      </c>
      <c r="DO33" s="504">
        <v>0</v>
      </c>
      <c r="DP33" s="504">
        <v>0</v>
      </c>
      <c r="DQ33" s="504">
        <v>0</v>
      </c>
      <c r="DR33" s="504">
        <v>0</v>
      </c>
      <c r="DS33" s="504">
        <v>0</v>
      </c>
      <c r="DT33" s="504">
        <v>0</v>
      </c>
      <c r="DU33" s="504">
        <v>0</v>
      </c>
      <c r="DV33" s="504">
        <v>0</v>
      </c>
      <c r="DW33" s="504">
        <v>0</v>
      </c>
      <c r="DX33" s="504">
        <v>0</v>
      </c>
      <c r="DY33" s="504">
        <v>0</v>
      </c>
      <c r="DZ33" s="504">
        <v>0</v>
      </c>
      <c r="EA33" s="504">
        <v>0</v>
      </c>
      <c r="EB33" s="504">
        <v>0</v>
      </c>
      <c r="EC33" s="504">
        <v>0</v>
      </c>
      <c r="ED33" s="504">
        <v>0</v>
      </c>
      <c r="EE33" s="504">
        <v>0</v>
      </c>
      <c r="EF33" s="504">
        <v>0</v>
      </c>
      <c r="EG33" s="504">
        <v>0</v>
      </c>
      <c r="EH33" s="504">
        <v>0</v>
      </c>
      <c r="EI33" s="504">
        <v>0</v>
      </c>
      <c r="EJ33" s="504">
        <v>0</v>
      </c>
      <c r="EK33" s="504">
        <v>0</v>
      </c>
      <c r="EL33" s="504">
        <v>0</v>
      </c>
      <c r="EM33" s="504">
        <v>0</v>
      </c>
      <c r="EN33" s="504">
        <v>0</v>
      </c>
      <c r="EO33" s="504">
        <v>0</v>
      </c>
      <c r="EP33" s="504">
        <v>0</v>
      </c>
      <c r="EQ33" s="504">
        <v>0</v>
      </c>
      <c r="ER33" s="504">
        <v>0</v>
      </c>
      <c r="ES33" s="504">
        <v>0</v>
      </c>
      <c r="ET33" s="504">
        <v>0</v>
      </c>
      <c r="EU33" s="504">
        <v>0</v>
      </c>
      <c r="EV33" s="504">
        <v>0</v>
      </c>
      <c r="EW33" s="504">
        <v>0</v>
      </c>
      <c r="EX33" s="504">
        <v>0</v>
      </c>
      <c r="EY33" s="504">
        <v>0</v>
      </c>
      <c r="EZ33" s="504">
        <v>0</v>
      </c>
      <c r="FA33" s="504">
        <v>0</v>
      </c>
      <c r="FB33" s="504">
        <v>0</v>
      </c>
      <c r="FC33" s="504">
        <v>0</v>
      </c>
      <c r="FD33" s="504">
        <v>0</v>
      </c>
      <c r="FE33" s="504">
        <v>0</v>
      </c>
      <c r="FF33" s="504">
        <v>0</v>
      </c>
      <c r="FG33" s="504">
        <v>0</v>
      </c>
      <c r="FH33" s="504">
        <v>0</v>
      </c>
      <c r="FI33" s="504">
        <v>0</v>
      </c>
      <c r="FJ33" s="504">
        <v>0</v>
      </c>
      <c r="FK33" s="504">
        <v>0</v>
      </c>
      <c r="FL33" s="504">
        <v>0</v>
      </c>
      <c r="FM33" s="504">
        <v>0</v>
      </c>
      <c r="FN33" s="504">
        <v>0</v>
      </c>
      <c r="FO33" s="504">
        <v>0</v>
      </c>
      <c r="FP33" s="504">
        <v>0</v>
      </c>
      <c r="FQ33" s="504">
        <v>0</v>
      </c>
      <c r="FR33" s="504">
        <v>0</v>
      </c>
      <c r="FS33" s="504">
        <v>0</v>
      </c>
      <c r="FT33" s="504">
        <v>0</v>
      </c>
      <c r="FU33" s="504">
        <v>0</v>
      </c>
      <c r="FV33" s="504">
        <v>0</v>
      </c>
      <c r="FW33" s="504">
        <v>0</v>
      </c>
      <c r="FX33" s="504">
        <v>0</v>
      </c>
      <c r="FY33" s="504">
        <v>0</v>
      </c>
      <c r="FZ33" s="504">
        <v>0</v>
      </c>
      <c r="GA33" s="504">
        <v>0</v>
      </c>
      <c r="GB33" s="504">
        <v>0</v>
      </c>
      <c r="GC33" s="504">
        <v>0</v>
      </c>
      <c r="GD33" s="504">
        <v>0</v>
      </c>
      <c r="GE33" s="504">
        <v>0</v>
      </c>
      <c r="GF33" s="504">
        <v>0</v>
      </c>
      <c r="GG33" s="504">
        <v>0</v>
      </c>
      <c r="GH33" s="504">
        <v>0</v>
      </c>
      <c r="GI33" s="504">
        <v>0</v>
      </c>
      <c r="GJ33" s="504">
        <v>0</v>
      </c>
      <c r="GK33" s="504">
        <v>0</v>
      </c>
      <c r="GL33" s="504">
        <v>0</v>
      </c>
      <c r="GM33" s="504">
        <v>0</v>
      </c>
      <c r="GN33" s="504">
        <v>0</v>
      </c>
      <c r="GO33" s="504">
        <v>0</v>
      </c>
      <c r="GP33" s="504">
        <v>0</v>
      </c>
      <c r="GQ33" s="504">
        <v>0</v>
      </c>
      <c r="GR33" s="504">
        <v>0</v>
      </c>
      <c r="GS33" s="504">
        <v>0</v>
      </c>
      <c r="GT33" s="504">
        <v>0</v>
      </c>
      <c r="GU33" s="504">
        <v>0</v>
      </c>
      <c r="GV33" s="504">
        <v>0</v>
      </c>
      <c r="GW33" s="504">
        <v>0</v>
      </c>
      <c r="GX33" s="504">
        <v>0</v>
      </c>
      <c r="GY33" s="504">
        <v>0</v>
      </c>
      <c r="GZ33" s="504">
        <v>0</v>
      </c>
      <c r="HA33" s="504">
        <v>0</v>
      </c>
      <c r="HB33" s="504">
        <v>0</v>
      </c>
      <c r="HC33" s="504">
        <v>0</v>
      </c>
      <c r="HD33" s="504">
        <v>0</v>
      </c>
      <c r="HE33" s="504">
        <v>0</v>
      </c>
      <c r="HF33" s="504">
        <v>0</v>
      </c>
      <c r="HG33" s="504">
        <v>0</v>
      </c>
      <c r="HH33" s="504">
        <v>0</v>
      </c>
      <c r="HI33" s="504">
        <v>0</v>
      </c>
      <c r="HJ33" s="504">
        <v>0</v>
      </c>
      <c r="HK33" s="504">
        <v>0</v>
      </c>
      <c r="HL33" s="504">
        <v>0</v>
      </c>
      <c r="HM33" s="504">
        <v>0</v>
      </c>
      <c r="HN33" s="504">
        <v>0</v>
      </c>
      <c r="HO33" s="504">
        <v>0</v>
      </c>
      <c r="HP33" s="504">
        <v>0</v>
      </c>
      <c r="HQ33" s="504">
        <v>0</v>
      </c>
      <c r="HR33" s="504">
        <v>0</v>
      </c>
      <c r="HS33" s="504">
        <v>0</v>
      </c>
      <c r="HT33" s="504">
        <v>0</v>
      </c>
      <c r="HU33" s="504">
        <v>0</v>
      </c>
      <c r="HV33" s="504">
        <v>0</v>
      </c>
      <c r="HW33" s="504">
        <v>0</v>
      </c>
      <c r="HX33" s="504">
        <v>0</v>
      </c>
      <c r="HY33" s="504">
        <v>0</v>
      </c>
      <c r="HZ33" s="504">
        <v>0</v>
      </c>
      <c r="IA33" s="504">
        <v>0</v>
      </c>
      <c r="IB33" s="504">
        <v>0</v>
      </c>
      <c r="IC33" s="504">
        <v>0</v>
      </c>
      <c r="ID33" s="504">
        <v>0</v>
      </c>
      <c r="IE33" s="504">
        <v>0</v>
      </c>
      <c r="IF33" s="504">
        <v>0</v>
      </c>
      <c r="IG33" s="504">
        <v>0</v>
      </c>
      <c r="IH33" s="504">
        <v>0</v>
      </c>
      <c r="II33" s="504">
        <v>0</v>
      </c>
      <c r="IJ33" s="504">
        <v>0</v>
      </c>
      <c r="IK33" s="504">
        <v>0</v>
      </c>
      <c r="IL33" s="504">
        <v>0</v>
      </c>
      <c r="IM33" s="504">
        <v>0</v>
      </c>
      <c r="IN33" s="504">
        <v>0</v>
      </c>
      <c r="IO33" s="504">
        <v>0</v>
      </c>
      <c r="IP33" s="504">
        <v>0</v>
      </c>
      <c r="IQ33" s="504">
        <v>0</v>
      </c>
      <c r="IR33" s="504">
        <v>0</v>
      </c>
      <c r="IS33" s="504">
        <v>0</v>
      </c>
      <c r="IT33" s="504">
        <v>0</v>
      </c>
      <c r="IU33" s="504">
        <v>0</v>
      </c>
      <c r="IV33" s="504">
        <v>0</v>
      </c>
      <c r="IW33" s="504">
        <v>0</v>
      </c>
      <c r="IX33" s="504">
        <v>0</v>
      </c>
      <c r="IY33" s="504">
        <v>0</v>
      </c>
      <c r="IZ33" s="504">
        <v>0</v>
      </c>
      <c r="JA33" s="504">
        <v>0</v>
      </c>
      <c r="JB33" s="504">
        <v>0</v>
      </c>
      <c r="JC33" s="504">
        <v>0</v>
      </c>
      <c r="JD33" s="504">
        <v>0</v>
      </c>
      <c r="JE33" s="504">
        <v>0</v>
      </c>
      <c r="JF33" s="504">
        <v>0</v>
      </c>
      <c r="JG33" s="504">
        <v>0</v>
      </c>
      <c r="JH33" s="504">
        <v>0</v>
      </c>
      <c r="JI33" s="504">
        <v>0</v>
      </c>
      <c r="JJ33" s="504">
        <v>0</v>
      </c>
      <c r="JK33" s="504">
        <v>0</v>
      </c>
      <c r="JL33" s="504">
        <v>0</v>
      </c>
      <c r="JM33" s="504">
        <v>0</v>
      </c>
      <c r="JN33" s="504">
        <v>0</v>
      </c>
      <c r="JO33" s="504">
        <v>0</v>
      </c>
      <c r="JP33" s="504">
        <v>0</v>
      </c>
      <c r="JQ33" s="504">
        <v>0</v>
      </c>
      <c r="JR33" s="504">
        <v>0</v>
      </c>
      <c r="JS33" s="504">
        <v>0</v>
      </c>
      <c r="JT33" s="504">
        <v>0</v>
      </c>
      <c r="JU33" s="504">
        <v>0</v>
      </c>
      <c r="JV33" s="504">
        <v>0</v>
      </c>
      <c r="JW33" s="504">
        <v>0</v>
      </c>
      <c r="JX33" s="504">
        <v>0</v>
      </c>
      <c r="JY33" s="504">
        <v>0</v>
      </c>
      <c r="JZ33" s="504">
        <v>0</v>
      </c>
      <c r="KA33" s="504">
        <v>0</v>
      </c>
      <c r="KB33" s="504">
        <v>0</v>
      </c>
      <c r="KC33" s="504">
        <v>0</v>
      </c>
      <c r="KD33" s="504">
        <v>0</v>
      </c>
      <c r="KE33" s="504">
        <v>0</v>
      </c>
      <c r="KF33" s="504">
        <v>0</v>
      </c>
      <c r="KG33" s="504">
        <v>0</v>
      </c>
      <c r="KH33" s="504">
        <v>0</v>
      </c>
      <c r="KI33" s="504">
        <v>0</v>
      </c>
      <c r="KJ33" s="504">
        <v>0</v>
      </c>
      <c r="KK33" s="504">
        <v>0</v>
      </c>
      <c r="KL33" s="504">
        <v>0</v>
      </c>
      <c r="KM33" s="504">
        <v>0</v>
      </c>
      <c r="KN33" s="504">
        <v>0</v>
      </c>
      <c r="KO33" s="504">
        <v>0</v>
      </c>
      <c r="KP33" s="504">
        <v>0</v>
      </c>
      <c r="KQ33" s="504">
        <v>0</v>
      </c>
      <c r="KR33" s="504">
        <v>0</v>
      </c>
      <c r="KS33" s="504">
        <v>0</v>
      </c>
      <c r="KT33" s="504">
        <v>0</v>
      </c>
      <c r="KU33" s="504">
        <v>0</v>
      </c>
      <c r="KV33" s="504">
        <v>0</v>
      </c>
      <c r="KW33" s="504">
        <v>0</v>
      </c>
      <c r="KX33" s="504">
        <v>0</v>
      </c>
      <c r="KY33" s="504">
        <v>0</v>
      </c>
      <c r="KZ33" s="504">
        <v>0</v>
      </c>
      <c r="LA33" s="504">
        <v>0</v>
      </c>
      <c r="LB33" s="504">
        <v>0</v>
      </c>
      <c r="LC33" s="504">
        <v>0</v>
      </c>
      <c r="LD33" s="504">
        <v>0</v>
      </c>
      <c r="LE33" s="504">
        <v>0</v>
      </c>
      <c r="LF33" s="504">
        <v>0</v>
      </c>
      <c r="LG33" s="504">
        <v>0</v>
      </c>
      <c r="LH33" s="504">
        <v>0</v>
      </c>
      <c r="LI33" s="504">
        <v>0</v>
      </c>
      <c r="LJ33" s="504">
        <v>0</v>
      </c>
      <c r="LK33" s="504">
        <v>0</v>
      </c>
      <c r="LL33" s="504">
        <v>0</v>
      </c>
      <c r="LM33" s="504">
        <v>0</v>
      </c>
      <c r="LN33" s="504">
        <v>0</v>
      </c>
      <c r="LO33" s="504">
        <v>0</v>
      </c>
      <c r="LP33" s="504">
        <v>0</v>
      </c>
      <c r="LQ33" s="504">
        <v>0</v>
      </c>
      <c r="LR33" s="504">
        <v>0</v>
      </c>
      <c r="LS33" s="504">
        <v>0</v>
      </c>
      <c r="LT33" s="504">
        <v>0</v>
      </c>
      <c r="LU33" s="504">
        <v>0</v>
      </c>
      <c r="LV33" s="504">
        <v>0</v>
      </c>
      <c r="LW33" s="504">
        <v>0</v>
      </c>
      <c r="LX33" s="504">
        <v>0</v>
      </c>
      <c r="LY33" s="504">
        <v>0</v>
      </c>
      <c r="LZ33" s="504">
        <v>0</v>
      </c>
      <c r="MA33" s="504">
        <v>0</v>
      </c>
      <c r="MB33" s="504">
        <v>0</v>
      </c>
      <c r="MC33" s="504">
        <v>0</v>
      </c>
      <c r="MD33" s="504">
        <v>0</v>
      </c>
      <c r="ME33" s="504">
        <v>0</v>
      </c>
      <c r="MF33" s="504">
        <v>0</v>
      </c>
      <c r="MG33" s="504">
        <v>0</v>
      </c>
      <c r="MH33" s="504">
        <v>0</v>
      </c>
      <c r="MI33" s="504">
        <v>0</v>
      </c>
      <c r="MJ33" s="504">
        <v>0</v>
      </c>
      <c r="MK33" s="504">
        <v>0</v>
      </c>
      <c r="ML33" s="504">
        <v>0</v>
      </c>
      <c r="MM33" s="504">
        <v>0</v>
      </c>
      <c r="MN33" s="504">
        <v>0</v>
      </c>
      <c r="MO33" s="504">
        <v>0</v>
      </c>
      <c r="MP33" s="504">
        <v>0</v>
      </c>
      <c r="MQ33" s="504">
        <v>0</v>
      </c>
      <c r="MR33" s="504">
        <v>0</v>
      </c>
      <c r="MS33" s="504">
        <v>0</v>
      </c>
      <c r="MT33" s="504">
        <v>0</v>
      </c>
      <c r="MU33" s="504">
        <v>0</v>
      </c>
      <c r="MV33" s="504">
        <v>0</v>
      </c>
      <c r="MW33" s="504">
        <v>0</v>
      </c>
      <c r="MX33" s="504">
        <v>0</v>
      </c>
      <c r="MY33" s="504">
        <v>0</v>
      </c>
      <c r="MZ33" s="504">
        <v>0</v>
      </c>
      <c r="NA33" s="504">
        <v>0</v>
      </c>
      <c r="NB33" s="504">
        <v>0</v>
      </c>
      <c r="NC33" s="504">
        <v>0</v>
      </c>
      <c r="ND33" s="504">
        <v>0</v>
      </c>
      <c r="NE33" s="504">
        <v>0</v>
      </c>
      <c r="NF33" s="504">
        <v>0</v>
      </c>
      <c r="NG33" s="504">
        <v>0</v>
      </c>
      <c r="NH33" s="504">
        <v>0</v>
      </c>
      <c r="NI33" s="504">
        <v>0</v>
      </c>
      <c r="NJ33" s="504">
        <v>0</v>
      </c>
      <c r="NK33" s="504">
        <v>0</v>
      </c>
      <c r="NL33" s="504">
        <v>0</v>
      </c>
      <c r="NM33" s="504">
        <v>0</v>
      </c>
      <c r="NN33" s="504">
        <v>0</v>
      </c>
      <c r="NO33" s="504">
        <v>0</v>
      </c>
      <c r="NP33" s="504">
        <v>0</v>
      </c>
      <c r="NQ33" s="504">
        <v>0</v>
      </c>
      <c r="NR33" s="504">
        <v>0</v>
      </c>
      <c r="NS33" s="504">
        <v>0</v>
      </c>
      <c r="NT33" s="504">
        <v>0</v>
      </c>
      <c r="NU33" s="504">
        <v>0</v>
      </c>
      <c r="NV33" s="504">
        <v>0</v>
      </c>
      <c r="NW33" s="504">
        <v>0</v>
      </c>
      <c r="NX33" s="504">
        <v>0</v>
      </c>
      <c r="NY33" s="504">
        <v>0</v>
      </c>
      <c r="NZ33" s="504">
        <v>0</v>
      </c>
      <c r="OA33" s="504">
        <v>0</v>
      </c>
      <c r="OB33" s="504">
        <v>0</v>
      </c>
      <c r="OC33" s="504">
        <v>0</v>
      </c>
      <c r="OD33" s="504">
        <v>0</v>
      </c>
      <c r="OE33" s="504">
        <v>0</v>
      </c>
      <c r="OF33" s="504">
        <v>0</v>
      </c>
      <c r="OG33" s="504">
        <v>0</v>
      </c>
      <c r="OH33" s="504">
        <v>0</v>
      </c>
      <c r="OI33" s="504">
        <v>0</v>
      </c>
      <c r="OJ33" s="504">
        <v>0</v>
      </c>
      <c r="OK33" s="504">
        <v>0</v>
      </c>
      <c r="OL33" s="504">
        <v>0</v>
      </c>
      <c r="OM33" s="504">
        <v>0</v>
      </c>
      <c r="ON33" s="494"/>
    </row>
    <row r="34" spans="1:404" ht="18.75" customHeight="1" x14ac:dyDescent="0.4">
      <c r="A34" s="355" t="s">
        <v>310</v>
      </c>
      <c r="B34" s="358">
        <v>123</v>
      </c>
      <c r="C34" s="355" t="s">
        <v>60</v>
      </c>
      <c r="D34" s="501">
        <v>23.54</v>
      </c>
      <c r="E34" s="502">
        <v>66133</v>
      </c>
      <c r="F34" s="501">
        <v>23.52</v>
      </c>
      <c r="G34" s="502">
        <v>17139</v>
      </c>
      <c r="H34" s="501">
        <v>23.53</v>
      </c>
      <c r="I34" s="502">
        <v>46189</v>
      </c>
      <c r="J34" s="501">
        <v>23.53</v>
      </c>
      <c r="K34" s="502">
        <v>50632</v>
      </c>
      <c r="V34" s="501"/>
      <c r="W34" s="503"/>
      <c r="X34" s="501"/>
      <c r="Y34" s="503"/>
      <c r="Z34" s="501"/>
      <c r="AA34" s="503"/>
      <c r="AB34" s="495"/>
      <c r="AC34" s="504">
        <v>0</v>
      </c>
      <c r="AD34" s="504">
        <v>0</v>
      </c>
      <c r="AE34" s="504">
        <v>0</v>
      </c>
      <c r="AF34" s="504">
        <v>0</v>
      </c>
      <c r="AG34" s="504">
        <v>0</v>
      </c>
      <c r="AH34" s="504">
        <v>0</v>
      </c>
      <c r="AI34" s="504">
        <v>0</v>
      </c>
      <c r="AJ34" s="504">
        <v>0</v>
      </c>
      <c r="AK34" s="504">
        <v>0</v>
      </c>
      <c r="AL34" s="504">
        <v>0</v>
      </c>
      <c r="AM34" s="504">
        <v>0</v>
      </c>
      <c r="AN34" s="504">
        <v>0</v>
      </c>
      <c r="AO34" s="504">
        <v>0</v>
      </c>
      <c r="AP34" s="504">
        <v>0</v>
      </c>
      <c r="AQ34" s="504">
        <v>0</v>
      </c>
      <c r="AR34" s="504">
        <v>0</v>
      </c>
      <c r="AS34" s="504">
        <v>0</v>
      </c>
      <c r="AT34" s="504">
        <v>0</v>
      </c>
      <c r="AU34" s="504">
        <v>0</v>
      </c>
      <c r="AV34" s="504">
        <v>0</v>
      </c>
      <c r="AW34" s="504">
        <v>0</v>
      </c>
      <c r="AX34" s="504">
        <v>0</v>
      </c>
      <c r="AY34" s="504">
        <v>0</v>
      </c>
      <c r="AZ34" s="504">
        <v>0</v>
      </c>
      <c r="BA34" s="504">
        <v>0</v>
      </c>
      <c r="BB34" s="504">
        <v>0</v>
      </c>
      <c r="BC34" s="504">
        <v>0</v>
      </c>
      <c r="BD34" s="504">
        <v>0</v>
      </c>
      <c r="BE34" s="504">
        <v>0</v>
      </c>
      <c r="BF34" s="504">
        <v>0</v>
      </c>
      <c r="BG34" s="504">
        <v>0</v>
      </c>
      <c r="BH34" s="504">
        <v>0</v>
      </c>
      <c r="BI34" s="504">
        <v>0</v>
      </c>
      <c r="BJ34" s="504">
        <v>0</v>
      </c>
      <c r="BK34" s="504">
        <v>0</v>
      </c>
      <c r="BL34" s="504">
        <v>0</v>
      </c>
      <c r="BM34" s="504">
        <v>0</v>
      </c>
      <c r="BN34" s="504">
        <v>0</v>
      </c>
      <c r="BO34" s="504">
        <v>0</v>
      </c>
      <c r="BP34" s="504">
        <v>0</v>
      </c>
      <c r="BQ34" s="504">
        <v>0</v>
      </c>
      <c r="BR34" s="504">
        <v>0</v>
      </c>
      <c r="BS34" s="504">
        <v>0</v>
      </c>
      <c r="BT34" s="504">
        <v>0</v>
      </c>
      <c r="BU34" s="504">
        <v>0</v>
      </c>
      <c r="BV34" s="504">
        <v>0</v>
      </c>
      <c r="BW34" s="504">
        <v>0</v>
      </c>
      <c r="BX34" s="504">
        <v>0</v>
      </c>
      <c r="BY34" s="504">
        <v>0</v>
      </c>
      <c r="BZ34" s="504">
        <v>0</v>
      </c>
      <c r="CA34" s="504">
        <v>0</v>
      </c>
      <c r="CB34" s="504">
        <v>0</v>
      </c>
      <c r="CC34" s="504">
        <v>0</v>
      </c>
      <c r="CD34" s="504">
        <v>0</v>
      </c>
      <c r="CE34" s="504">
        <v>0</v>
      </c>
      <c r="CF34" s="504">
        <v>0</v>
      </c>
      <c r="CG34" s="504">
        <v>0</v>
      </c>
      <c r="CH34" s="504">
        <v>0</v>
      </c>
      <c r="CI34" s="504">
        <v>0</v>
      </c>
      <c r="CJ34" s="504">
        <v>0</v>
      </c>
      <c r="CK34" s="504">
        <v>0</v>
      </c>
      <c r="CL34" s="504">
        <v>0</v>
      </c>
      <c r="CM34" s="504">
        <v>0</v>
      </c>
      <c r="CN34" s="504">
        <v>0</v>
      </c>
      <c r="CO34" s="504">
        <v>0</v>
      </c>
      <c r="CP34" s="504">
        <v>0</v>
      </c>
      <c r="CQ34" s="504">
        <v>0</v>
      </c>
      <c r="CR34" s="504">
        <v>0</v>
      </c>
      <c r="CS34" s="504">
        <v>0</v>
      </c>
      <c r="CT34" s="504">
        <v>0</v>
      </c>
      <c r="CU34" s="504">
        <v>0</v>
      </c>
      <c r="CV34" s="504">
        <v>0</v>
      </c>
      <c r="CW34" s="504">
        <v>0</v>
      </c>
      <c r="CX34" s="504">
        <v>0</v>
      </c>
      <c r="CY34" s="504">
        <v>0</v>
      </c>
      <c r="CZ34" s="504">
        <v>0</v>
      </c>
      <c r="DA34" s="504">
        <v>0</v>
      </c>
      <c r="DB34" s="504">
        <v>0</v>
      </c>
      <c r="DC34" s="504">
        <v>0</v>
      </c>
      <c r="DD34" s="504">
        <v>0</v>
      </c>
      <c r="DE34" s="504">
        <v>0</v>
      </c>
      <c r="DF34" s="504">
        <v>0</v>
      </c>
      <c r="DG34" s="504">
        <v>0</v>
      </c>
      <c r="DH34" s="504">
        <v>0</v>
      </c>
      <c r="DI34" s="504">
        <v>0</v>
      </c>
      <c r="DJ34" s="504">
        <v>0</v>
      </c>
      <c r="DK34" s="504">
        <v>0</v>
      </c>
      <c r="DL34" s="504">
        <v>0</v>
      </c>
      <c r="DM34" s="504">
        <v>0</v>
      </c>
      <c r="DN34" s="504">
        <v>0</v>
      </c>
      <c r="DO34" s="504">
        <v>0</v>
      </c>
      <c r="DP34" s="504">
        <v>0</v>
      </c>
      <c r="DQ34" s="504">
        <v>0</v>
      </c>
      <c r="DR34" s="504">
        <v>0</v>
      </c>
      <c r="DS34" s="504">
        <v>0</v>
      </c>
      <c r="DT34" s="504">
        <v>0</v>
      </c>
      <c r="DU34" s="504">
        <v>0</v>
      </c>
      <c r="DV34" s="504">
        <v>0</v>
      </c>
      <c r="DW34" s="504">
        <v>0</v>
      </c>
      <c r="DX34" s="504">
        <v>0</v>
      </c>
      <c r="DY34" s="504">
        <v>0</v>
      </c>
      <c r="DZ34" s="504">
        <v>0</v>
      </c>
      <c r="EA34" s="504">
        <v>0</v>
      </c>
      <c r="EB34" s="504">
        <v>0</v>
      </c>
      <c r="EC34" s="504">
        <v>0</v>
      </c>
      <c r="ED34" s="504">
        <v>0</v>
      </c>
      <c r="EE34" s="504">
        <v>0</v>
      </c>
      <c r="EF34" s="504">
        <v>0</v>
      </c>
      <c r="EG34" s="504">
        <v>0</v>
      </c>
      <c r="EH34" s="504">
        <v>0</v>
      </c>
      <c r="EI34" s="504">
        <v>0</v>
      </c>
      <c r="EJ34" s="504">
        <v>0</v>
      </c>
      <c r="EK34" s="504">
        <v>0</v>
      </c>
      <c r="EL34" s="504">
        <v>0</v>
      </c>
      <c r="EM34" s="504">
        <v>0</v>
      </c>
      <c r="EN34" s="504">
        <v>0</v>
      </c>
      <c r="EO34" s="504">
        <v>0</v>
      </c>
      <c r="EP34" s="504">
        <v>0</v>
      </c>
      <c r="EQ34" s="504">
        <v>0</v>
      </c>
      <c r="ER34" s="504">
        <v>0</v>
      </c>
      <c r="ES34" s="504">
        <v>0</v>
      </c>
      <c r="ET34" s="504">
        <v>0</v>
      </c>
      <c r="EU34" s="504">
        <v>0</v>
      </c>
      <c r="EV34" s="504">
        <v>0</v>
      </c>
      <c r="EW34" s="504">
        <v>0</v>
      </c>
      <c r="EX34" s="504">
        <v>0</v>
      </c>
      <c r="EY34" s="504">
        <v>0</v>
      </c>
      <c r="EZ34" s="504">
        <v>0</v>
      </c>
      <c r="FA34" s="504">
        <v>0</v>
      </c>
      <c r="FB34" s="504">
        <v>0</v>
      </c>
      <c r="FC34" s="504">
        <v>0</v>
      </c>
      <c r="FD34" s="504">
        <v>0</v>
      </c>
      <c r="FE34" s="504">
        <v>0</v>
      </c>
      <c r="FF34" s="504">
        <v>0</v>
      </c>
      <c r="FG34" s="504">
        <v>0</v>
      </c>
      <c r="FH34" s="504">
        <v>0</v>
      </c>
      <c r="FI34" s="504">
        <v>0</v>
      </c>
      <c r="FJ34" s="504">
        <v>0</v>
      </c>
      <c r="FK34" s="504">
        <v>0</v>
      </c>
      <c r="FL34" s="504">
        <v>0</v>
      </c>
      <c r="FM34" s="504">
        <v>0</v>
      </c>
      <c r="FN34" s="504">
        <v>0</v>
      </c>
      <c r="FO34" s="504">
        <v>0</v>
      </c>
      <c r="FP34" s="504">
        <v>0</v>
      </c>
      <c r="FQ34" s="504">
        <v>0</v>
      </c>
      <c r="FR34" s="504">
        <v>0</v>
      </c>
      <c r="FS34" s="504">
        <v>0</v>
      </c>
      <c r="FT34" s="504">
        <v>0</v>
      </c>
      <c r="FU34" s="504">
        <v>0</v>
      </c>
      <c r="FV34" s="504">
        <v>0</v>
      </c>
      <c r="FW34" s="504">
        <v>0</v>
      </c>
      <c r="FX34" s="504">
        <v>0</v>
      </c>
      <c r="FY34" s="504">
        <v>0</v>
      </c>
      <c r="FZ34" s="504">
        <v>0</v>
      </c>
      <c r="GA34" s="504">
        <v>0</v>
      </c>
      <c r="GB34" s="504">
        <v>0</v>
      </c>
      <c r="GC34" s="504">
        <v>0</v>
      </c>
      <c r="GD34" s="504">
        <v>0</v>
      </c>
      <c r="GE34" s="504">
        <v>0</v>
      </c>
      <c r="GF34" s="504">
        <v>0</v>
      </c>
      <c r="GG34" s="504">
        <v>0</v>
      </c>
      <c r="GH34" s="504">
        <v>0</v>
      </c>
      <c r="GI34" s="504">
        <v>0</v>
      </c>
      <c r="GJ34" s="504">
        <v>0</v>
      </c>
      <c r="GK34" s="504">
        <v>0</v>
      </c>
      <c r="GL34" s="504">
        <v>0</v>
      </c>
      <c r="GM34" s="504">
        <v>0</v>
      </c>
      <c r="GN34" s="504">
        <v>0</v>
      </c>
      <c r="GO34" s="504">
        <v>0</v>
      </c>
      <c r="GP34" s="504">
        <v>0</v>
      </c>
      <c r="GQ34" s="504">
        <v>0</v>
      </c>
      <c r="GR34" s="504">
        <v>0</v>
      </c>
      <c r="GS34" s="504">
        <v>0</v>
      </c>
      <c r="GT34" s="504">
        <v>0</v>
      </c>
      <c r="GU34" s="504">
        <v>0</v>
      </c>
      <c r="GV34" s="504">
        <v>0</v>
      </c>
      <c r="GW34" s="504">
        <v>0</v>
      </c>
      <c r="GX34" s="504">
        <v>0</v>
      </c>
      <c r="GY34" s="504">
        <v>0</v>
      </c>
      <c r="GZ34" s="504">
        <v>0</v>
      </c>
      <c r="HA34" s="504">
        <v>0</v>
      </c>
      <c r="HB34" s="504">
        <v>0</v>
      </c>
      <c r="HC34" s="504">
        <v>0</v>
      </c>
      <c r="HD34" s="504">
        <v>0</v>
      </c>
      <c r="HE34" s="504">
        <v>0</v>
      </c>
      <c r="HF34" s="504">
        <v>0</v>
      </c>
      <c r="HG34" s="504">
        <v>0</v>
      </c>
      <c r="HH34" s="504">
        <v>0</v>
      </c>
      <c r="HI34" s="504">
        <v>0</v>
      </c>
      <c r="HJ34" s="504">
        <v>0</v>
      </c>
      <c r="HK34" s="504">
        <v>0</v>
      </c>
      <c r="HL34" s="504">
        <v>0</v>
      </c>
      <c r="HM34" s="504">
        <v>0</v>
      </c>
      <c r="HN34" s="504">
        <v>0</v>
      </c>
      <c r="HO34" s="504">
        <v>0</v>
      </c>
      <c r="HP34" s="504">
        <v>0</v>
      </c>
      <c r="HQ34" s="504">
        <v>0</v>
      </c>
      <c r="HR34" s="504">
        <v>0</v>
      </c>
      <c r="HS34" s="504">
        <v>0</v>
      </c>
      <c r="HT34" s="504">
        <v>0</v>
      </c>
      <c r="HU34" s="504">
        <v>0</v>
      </c>
      <c r="HV34" s="504">
        <v>0</v>
      </c>
      <c r="HW34" s="504">
        <v>0</v>
      </c>
      <c r="HX34" s="504">
        <v>0</v>
      </c>
      <c r="HY34" s="504">
        <v>0</v>
      </c>
      <c r="HZ34" s="504">
        <v>0</v>
      </c>
      <c r="IA34" s="504">
        <v>0</v>
      </c>
      <c r="IB34" s="504">
        <v>0</v>
      </c>
      <c r="IC34" s="504">
        <v>0</v>
      </c>
      <c r="ID34" s="504">
        <v>0</v>
      </c>
      <c r="IE34" s="504">
        <v>0</v>
      </c>
      <c r="IF34" s="504">
        <v>0</v>
      </c>
      <c r="IG34" s="504">
        <v>0</v>
      </c>
      <c r="IH34" s="504">
        <v>0</v>
      </c>
      <c r="II34" s="504">
        <v>0</v>
      </c>
      <c r="IJ34" s="504">
        <v>0</v>
      </c>
      <c r="IK34" s="504">
        <v>0</v>
      </c>
      <c r="IL34" s="504">
        <v>0</v>
      </c>
      <c r="IM34" s="504">
        <v>0</v>
      </c>
      <c r="IN34" s="504">
        <v>0</v>
      </c>
      <c r="IO34" s="504">
        <v>0</v>
      </c>
      <c r="IP34" s="504">
        <v>0</v>
      </c>
      <c r="IQ34" s="504">
        <v>0</v>
      </c>
      <c r="IR34" s="504">
        <v>0</v>
      </c>
      <c r="IS34" s="504">
        <v>0</v>
      </c>
      <c r="IT34" s="504">
        <v>0</v>
      </c>
      <c r="IU34" s="504">
        <v>0</v>
      </c>
      <c r="IV34" s="504">
        <v>0</v>
      </c>
      <c r="IW34" s="504">
        <v>0</v>
      </c>
      <c r="IX34" s="504">
        <v>0</v>
      </c>
      <c r="IY34" s="504">
        <v>0</v>
      </c>
      <c r="IZ34" s="504">
        <v>0</v>
      </c>
      <c r="JA34" s="504">
        <v>0</v>
      </c>
      <c r="JB34" s="504">
        <v>0</v>
      </c>
      <c r="JC34" s="504">
        <v>0</v>
      </c>
      <c r="JD34" s="504">
        <v>0</v>
      </c>
      <c r="JE34" s="504">
        <v>0</v>
      </c>
      <c r="JF34" s="504">
        <v>0</v>
      </c>
      <c r="JG34" s="504">
        <v>0</v>
      </c>
      <c r="JH34" s="504">
        <v>0</v>
      </c>
      <c r="JI34" s="504">
        <v>0</v>
      </c>
      <c r="JJ34" s="504">
        <v>0</v>
      </c>
      <c r="JK34" s="504">
        <v>0</v>
      </c>
      <c r="JL34" s="504">
        <v>0</v>
      </c>
      <c r="JM34" s="504">
        <v>0</v>
      </c>
      <c r="JN34" s="504">
        <v>0</v>
      </c>
      <c r="JO34" s="504">
        <v>0</v>
      </c>
      <c r="JP34" s="504">
        <v>0</v>
      </c>
      <c r="JQ34" s="504">
        <v>0</v>
      </c>
      <c r="JR34" s="504">
        <v>0</v>
      </c>
      <c r="JS34" s="504">
        <v>0</v>
      </c>
      <c r="JT34" s="504">
        <v>0</v>
      </c>
      <c r="JU34" s="504">
        <v>0</v>
      </c>
      <c r="JV34" s="504">
        <v>0</v>
      </c>
      <c r="JW34" s="504">
        <v>0</v>
      </c>
      <c r="JX34" s="504">
        <v>0</v>
      </c>
      <c r="JY34" s="504">
        <v>0</v>
      </c>
      <c r="JZ34" s="504">
        <v>0</v>
      </c>
      <c r="KA34" s="504">
        <v>0</v>
      </c>
      <c r="KB34" s="504">
        <v>0</v>
      </c>
      <c r="KC34" s="504">
        <v>0</v>
      </c>
      <c r="KD34" s="504">
        <v>0</v>
      </c>
      <c r="KE34" s="504">
        <v>0</v>
      </c>
      <c r="KF34" s="504">
        <v>0</v>
      </c>
      <c r="KG34" s="504">
        <v>0</v>
      </c>
      <c r="KH34" s="504">
        <v>0</v>
      </c>
      <c r="KI34" s="504">
        <v>0</v>
      </c>
      <c r="KJ34" s="504">
        <v>0</v>
      </c>
      <c r="KK34" s="504">
        <v>0</v>
      </c>
      <c r="KL34" s="504">
        <v>0</v>
      </c>
      <c r="KM34" s="504">
        <v>0</v>
      </c>
      <c r="KN34" s="504">
        <v>0</v>
      </c>
      <c r="KO34" s="504">
        <v>0</v>
      </c>
      <c r="KP34" s="504">
        <v>0</v>
      </c>
      <c r="KQ34" s="504">
        <v>0</v>
      </c>
      <c r="KR34" s="504">
        <v>0</v>
      </c>
      <c r="KS34" s="504">
        <v>0</v>
      </c>
      <c r="KT34" s="504">
        <v>0</v>
      </c>
      <c r="KU34" s="504">
        <v>0</v>
      </c>
      <c r="KV34" s="504">
        <v>0</v>
      </c>
      <c r="KW34" s="504">
        <v>0</v>
      </c>
      <c r="KX34" s="504">
        <v>0</v>
      </c>
      <c r="KY34" s="504">
        <v>0</v>
      </c>
      <c r="KZ34" s="504">
        <v>0</v>
      </c>
      <c r="LA34" s="504">
        <v>0</v>
      </c>
      <c r="LB34" s="504">
        <v>0</v>
      </c>
      <c r="LC34" s="504">
        <v>0</v>
      </c>
      <c r="LD34" s="504">
        <v>0</v>
      </c>
      <c r="LE34" s="504">
        <v>0</v>
      </c>
      <c r="LF34" s="504">
        <v>0</v>
      </c>
      <c r="LG34" s="504">
        <v>0</v>
      </c>
      <c r="LH34" s="504">
        <v>0</v>
      </c>
      <c r="LI34" s="504">
        <v>0</v>
      </c>
      <c r="LJ34" s="504">
        <v>0</v>
      </c>
      <c r="LK34" s="504">
        <v>0</v>
      </c>
      <c r="LL34" s="504">
        <v>0</v>
      </c>
      <c r="LM34" s="504">
        <v>0</v>
      </c>
      <c r="LN34" s="504">
        <v>0</v>
      </c>
      <c r="LO34" s="504">
        <v>0</v>
      </c>
      <c r="LP34" s="504">
        <v>0</v>
      </c>
      <c r="LQ34" s="504">
        <v>0</v>
      </c>
      <c r="LR34" s="504">
        <v>0</v>
      </c>
      <c r="LS34" s="504">
        <v>0</v>
      </c>
      <c r="LT34" s="504">
        <v>0</v>
      </c>
      <c r="LU34" s="504">
        <v>0</v>
      </c>
      <c r="LV34" s="504">
        <v>0</v>
      </c>
      <c r="LW34" s="504">
        <v>0</v>
      </c>
      <c r="LX34" s="504">
        <v>0</v>
      </c>
      <c r="LY34" s="504">
        <v>0</v>
      </c>
      <c r="LZ34" s="504">
        <v>0</v>
      </c>
      <c r="MA34" s="504">
        <v>0</v>
      </c>
      <c r="MB34" s="504">
        <v>0</v>
      </c>
      <c r="MC34" s="504">
        <v>0</v>
      </c>
      <c r="MD34" s="504">
        <v>0</v>
      </c>
      <c r="ME34" s="504">
        <v>0</v>
      </c>
      <c r="MF34" s="504">
        <v>0</v>
      </c>
      <c r="MG34" s="504">
        <v>0</v>
      </c>
      <c r="MH34" s="504">
        <v>0</v>
      </c>
      <c r="MI34" s="504">
        <v>0</v>
      </c>
      <c r="MJ34" s="504">
        <v>0</v>
      </c>
      <c r="MK34" s="504">
        <v>0</v>
      </c>
      <c r="ML34" s="504">
        <v>0</v>
      </c>
      <c r="MM34" s="504">
        <v>0</v>
      </c>
      <c r="MN34" s="504">
        <v>0</v>
      </c>
      <c r="MO34" s="504">
        <v>0</v>
      </c>
      <c r="MP34" s="504">
        <v>0</v>
      </c>
      <c r="MQ34" s="504">
        <v>0</v>
      </c>
      <c r="MR34" s="504">
        <v>0</v>
      </c>
      <c r="MS34" s="504">
        <v>0</v>
      </c>
      <c r="MT34" s="504">
        <v>0</v>
      </c>
      <c r="MU34" s="504">
        <v>0</v>
      </c>
      <c r="MV34" s="504">
        <v>0</v>
      </c>
      <c r="MW34" s="504">
        <v>0</v>
      </c>
      <c r="MX34" s="504">
        <v>0</v>
      </c>
      <c r="MY34" s="504">
        <v>0</v>
      </c>
      <c r="MZ34" s="504">
        <v>0</v>
      </c>
      <c r="NA34" s="504">
        <v>0</v>
      </c>
      <c r="NB34" s="504">
        <v>0</v>
      </c>
      <c r="NC34" s="504">
        <v>0</v>
      </c>
      <c r="ND34" s="504">
        <v>0</v>
      </c>
      <c r="NE34" s="504">
        <v>0</v>
      </c>
      <c r="NF34" s="504">
        <v>0</v>
      </c>
      <c r="NG34" s="504">
        <v>0</v>
      </c>
      <c r="NH34" s="504">
        <v>0</v>
      </c>
      <c r="NI34" s="504">
        <v>0</v>
      </c>
      <c r="NJ34" s="504">
        <v>0</v>
      </c>
      <c r="NK34" s="504">
        <v>0</v>
      </c>
      <c r="NL34" s="504">
        <v>0</v>
      </c>
      <c r="NM34" s="504">
        <v>0</v>
      </c>
      <c r="NN34" s="504">
        <v>0</v>
      </c>
      <c r="NO34" s="504">
        <v>0</v>
      </c>
      <c r="NP34" s="504">
        <v>0</v>
      </c>
      <c r="NQ34" s="504">
        <v>0</v>
      </c>
      <c r="NR34" s="504">
        <v>0</v>
      </c>
      <c r="NS34" s="504">
        <v>0</v>
      </c>
      <c r="NT34" s="504">
        <v>0</v>
      </c>
      <c r="NU34" s="504">
        <v>0</v>
      </c>
      <c r="NV34" s="504">
        <v>0</v>
      </c>
      <c r="NW34" s="504">
        <v>0</v>
      </c>
      <c r="NX34" s="504">
        <v>0</v>
      </c>
      <c r="NY34" s="504">
        <v>0</v>
      </c>
      <c r="NZ34" s="504">
        <v>0</v>
      </c>
      <c r="OA34" s="504">
        <v>0</v>
      </c>
      <c r="OB34" s="504">
        <v>0</v>
      </c>
      <c r="OC34" s="504">
        <v>0</v>
      </c>
      <c r="OD34" s="504">
        <v>0</v>
      </c>
      <c r="OE34" s="504">
        <v>0</v>
      </c>
      <c r="OF34" s="504">
        <v>0</v>
      </c>
      <c r="OG34" s="504">
        <v>0</v>
      </c>
      <c r="OH34" s="504">
        <v>0</v>
      </c>
      <c r="OI34" s="504">
        <v>0</v>
      </c>
      <c r="OJ34" s="504">
        <v>0</v>
      </c>
      <c r="OK34" s="504">
        <v>0</v>
      </c>
      <c r="OL34" s="504">
        <v>0</v>
      </c>
      <c r="OM34" s="504">
        <v>0</v>
      </c>
      <c r="ON34" s="494"/>
    </row>
    <row r="35" spans="1:404" ht="18.75" customHeight="1" x14ac:dyDescent="0.4">
      <c r="A35" s="355" t="s">
        <v>311</v>
      </c>
      <c r="B35" s="358">
        <v>106</v>
      </c>
      <c r="C35" s="355" t="s">
        <v>60</v>
      </c>
      <c r="D35" s="501">
        <v>23.99</v>
      </c>
      <c r="E35" s="502">
        <v>17626</v>
      </c>
      <c r="F35" s="501">
        <v>23.99</v>
      </c>
      <c r="G35" s="502">
        <v>1865</v>
      </c>
      <c r="H35" s="501">
        <v>23.99</v>
      </c>
      <c r="I35" s="502">
        <v>4728</v>
      </c>
      <c r="J35" s="501">
        <v>23.99</v>
      </c>
      <c r="K35" s="502">
        <v>5663</v>
      </c>
      <c r="V35" s="501"/>
      <c r="W35" s="503"/>
      <c r="X35" s="501"/>
      <c r="Y35" s="503"/>
      <c r="Z35" s="501"/>
      <c r="AA35" s="503"/>
      <c r="AB35" s="495"/>
      <c r="AC35" s="504">
        <v>0</v>
      </c>
      <c r="AD35" s="504">
        <v>0</v>
      </c>
      <c r="AE35" s="504">
        <v>0</v>
      </c>
      <c r="AF35" s="504">
        <v>0</v>
      </c>
      <c r="AG35" s="504">
        <v>0</v>
      </c>
      <c r="AH35" s="504">
        <v>0</v>
      </c>
      <c r="AI35" s="504">
        <v>0</v>
      </c>
      <c r="AJ35" s="504">
        <v>0</v>
      </c>
      <c r="AK35" s="504">
        <v>0</v>
      </c>
      <c r="AL35" s="504">
        <v>0</v>
      </c>
      <c r="AM35" s="504">
        <v>0</v>
      </c>
      <c r="AN35" s="504">
        <v>0</v>
      </c>
      <c r="AO35" s="504">
        <v>0</v>
      </c>
      <c r="AP35" s="504">
        <v>0</v>
      </c>
      <c r="AQ35" s="504">
        <v>0</v>
      </c>
      <c r="AR35" s="504">
        <v>0</v>
      </c>
      <c r="AS35" s="504">
        <v>0</v>
      </c>
      <c r="AT35" s="504">
        <v>0</v>
      </c>
      <c r="AU35" s="504">
        <v>0</v>
      </c>
      <c r="AV35" s="504">
        <v>0</v>
      </c>
      <c r="AW35" s="504">
        <v>0</v>
      </c>
      <c r="AX35" s="504">
        <v>0</v>
      </c>
      <c r="AY35" s="504">
        <v>0</v>
      </c>
      <c r="AZ35" s="504">
        <v>0</v>
      </c>
      <c r="BA35" s="504">
        <v>0</v>
      </c>
      <c r="BB35" s="504">
        <v>0</v>
      </c>
      <c r="BC35" s="504">
        <v>0</v>
      </c>
      <c r="BD35" s="504">
        <v>0</v>
      </c>
      <c r="BE35" s="504">
        <v>0</v>
      </c>
      <c r="BF35" s="504">
        <v>0</v>
      </c>
      <c r="BG35" s="504">
        <v>0</v>
      </c>
      <c r="BH35" s="504">
        <v>0</v>
      </c>
      <c r="BI35" s="504">
        <v>0</v>
      </c>
      <c r="BJ35" s="504">
        <v>0</v>
      </c>
      <c r="BK35" s="504">
        <v>0</v>
      </c>
      <c r="BL35" s="504">
        <v>0</v>
      </c>
      <c r="BM35" s="504">
        <v>0</v>
      </c>
      <c r="BN35" s="504">
        <v>0</v>
      </c>
      <c r="BO35" s="504">
        <v>0</v>
      </c>
      <c r="BP35" s="504">
        <v>0</v>
      </c>
      <c r="BQ35" s="504">
        <v>0</v>
      </c>
      <c r="BR35" s="504">
        <v>0</v>
      </c>
      <c r="BS35" s="504">
        <v>0</v>
      </c>
      <c r="BT35" s="504">
        <v>0</v>
      </c>
      <c r="BU35" s="504">
        <v>0</v>
      </c>
      <c r="BV35" s="504">
        <v>0</v>
      </c>
      <c r="BW35" s="504">
        <v>0</v>
      </c>
      <c r="BX35" s="504">
        <v>0</v>
      </c>
      <c r="BY35" s="504">
        <v>0</v>
      </c>
      <c r="BZ35" s="504">
        <v>0</v>
      </c>
      <c r="CA35" s="504">
        <v>0</v>
      </c>
      <c r="CB35" s="504">
        <v>0</v>
      </c>
      <c r="CC35" s="504">
        <v>0</v>
      </c>
      <c r="CD35" s="504">
        <v>0</v>
      </c>
      <c r="CE35" s="504">
        <v>0</v>
      </c>
      <c r="CF35" s="504">
        <v>0</v>
      </c>
      <c r="CG35" s="504">
        <v>0</v>
      </c>
      <c r="CH35" s="504">
        <v>0</v>
      </c>
      <c r="CI35" s="504">
        <v>0</v>
      </c>
      <c r="CJ35" s="504">
        <v>0</v>
      </c>
      <c r="CK35" s="504">
        <v>0</v>
      </c>
      <c r="CL35" s="504">
        <v>0</v>
      </c>
      <c r="CM35" s="504">
        <v>0</v>
      </c>
      <c r="CN35" s="504">
        <v>0</v>
      </c>
      <c r="CO35" s="504">
        <v>0</v>
      </c>
      <c r="CP35" s="504">
        <v>0</v>
      </c>
      <c r="CQ35" s="504">
        <v>0</v>
      </c>
      <c r="CR35" s="504">
        <v>0</v>
      </c>
      <c r="CS35" s="504">
        <v>0</v>
      </c>
      <c r="CT35" s="504">
        <v>0</v>
      </c>
      <c r="CU35" s="504">
        <v>0</v>
      </c>
      <c r="CV35" s="504">
        <v>0</v>
      </c>
      <c r="CW35" s="504">
        <v>0</v>
      </c>
      <c r="CX35" s="504">
        <v>0</v>
      </c>
      <c r="CY35" s="504">
        <v>0</v>
      </c>
      <c r="CZ35" s="504">
        <v>0</v>
      </c>
      <c r="DA35" s="504">
        <v>0</v>
      </c>
      <c r="DB35" s="504">
        <v>0</v>
      </c>
      <c r="DC35" s="504">
        <v>0</v>
      </c>
      <c r="DD35" s="504">
        <v>0</v>
      </c>
      <c r="DE35" s="504">
        <v>0</v>
      </c>
      <c r="DF35" s="504">
        <v>0</v>
      </c>
      <c r="DG35" s="504">
        <v>0</v>
      </c>
      <c r="DH35" s="504">
        <v>0</v>
      </c>
      <c r="DI35" s="504">
        <v>0</v>
      </c>
      <c r="DJ35" s="504">
        <v>0</v>
      </c>
      <c r="DK35" s="504">
        <v>0</v>
      </c>
      <c r="DL35" s="504">
        <v>0</v>
      </c>
      <c r="DM35" s="504">
        <v>0</v>
      </c>
      <c r="DN35" s="504">
        <v>0</v>
      </c>
      <c r="DO35" s="504">
        <v>0</v>
      </c>
      <c r="DP35" s="504">
        <v>0</v>
      </c>
      <c r="DQ35" s="504">
        <v>0</v>
      </c>
      <c r="DR35" s="504">
        <v>0</v>
      </c>
      <c r="DS35" s="504">
        <v>0</v>
      </c>
      <c r="DT35" s="504">
        <v>0</v>
      </c>
      <c r="DU35" s="504">
        <v>0</v>
      </c>
      <c r="DV35" s="504">
        <v>0</v>
      </c>
      <c r="DW35" s="504">
        <v>0</v>
      </c>
      <c r="DX35" s="504">
        <v>0</v>
      </c>
      <c r="DY35" s="504">
        <v>0</v>
      </c>
      <c r="DZ35" s="504">
        <v>0</v>
      </c>
      <c r="EA35" s="504">
        <v>0</v>
      </c>
      <c r="EB35" s="504">
        <v>0</v>
      </c>
      <c r="EC35" s="504">
        <v>0</v>
      </c>
      <c r="ED35" s="504">
        <v>0</v>
      </c>
      <c r="EE35" s="504">
        <v>0</v>
      </c>
      <c r="EF35" s="504">
        <v>0</v>
      </c>
      <c r="EG35" s="504">
        <v>0</v>
      </c>
      <c r="EH35" s="504">
        <v>0</v>
      </c>
      <c r="EI35" s="504">
        <v>0</v>
      </c>
      <c r="EJ35" s="504">
        <v>0</v>
      </c>
      <c r="EK35" s="504">
        <v>0</v>
      </c>
      <c r="EL35" s="504">
        <v>0</v>
      </c>
      <c r="EM35" s="504">
        <v>0</v>
      </c>
      <c r="EN35" s="504">
        <v>0</v>
      </c>
      <c r="EO35" s="504">
        <v>0</v>
      </c>
      <c r="EP35" s="504">
        <v>0</v>
      </c>
      <c r="EQ35" s="504">
        <v>0</v>
      </c>
      <c r="ER35" s="504">
        <v>0</v>
      </c>
      <c r="ES35" s="504">
        <v>0</v>
      </c>
      <c r="ET35" s="504">
        <v>0</v>
      </c>
      <c r="EU35" s="504">
        <v>0</v>
      </c>
      <c r="EV35" s="504">
        <v>0</v>
      </c>
      <c r="EW35" s="504">
        <v>0</v>
      </c>
      <c r="EX35" s="504">
        <v>0</v>
      </c>
      <c r="EY35" s="504">
        <v>0</v>
      </c>
      <c r="EZ35" s="504">
        <v>0</v>
      </c>
      <c r="FA35" s="504">
        <v>0</v>
      </c>
      <c r="FB35" s="504">
        <v>0</v>
      </c>
      <c r="FC35" s="504">
        <v>0</v>
      </c>
      <c r="FD35" s="504">
        <v>0</v>
      </c>
      <c r="FE35" s="504">
        <v>0</v>
      </c>
      <c r="FF35" s="504">
        <v>0</v>
      </c>
      <c r="FG35" s="504">
        <v>0</v>
      </c>
      <c r="FH35" s="504">
        <v>0</v>
      </c>
      <c r="FI35" s="504">
        <v>0</v>
      </c>
      <c r="FJ35" s="504">
        <v>0</v>
      </c>
      <c r="FK35" s="504">
        <v>0</v>
      </c>
      <c r="FL35" s="504">
        <v>0</v>
      </c>
      <c r="FM35" s="504">
        <v>0</v>
      </c>
      <c r="FN35" s="504">
        <v>0</v>
      </c>
      <c r="FO35" s="504">
        <v>0</v>
      </c>
      <c r="FP35" s="504">
        <v>0</v>
      </c>
      <c r="FQ35" s="504">
        <v>0</v>
      </c>
      <c r="FR35" s="504">
        <v>0</v>
      </c>
      <c r="FS35" s="504">
        <v>0</v>
      </c>
      <c r="FT35" s="504">
        <v>0</v>
      </c>
      <c r="FU35" s="504">
        <v>0</v>
      </c>
      <c r="FV35" s="504">
        <v>0</v>
      </c>
      <c r="FW35" s="504">
        <v>0</v>
      </c>
      <c r="FX35" s="504">
        <v>0</v>
      </c>
      <c r="FY35" s="504">
        <v>0</v>
      </c>
      <c r="FZ35" s="504">
        <v>0</v>
      </c>
      <c r="GA35" s="504">
        <v>0</v>
      </c>
      <c r="GB35" s="504">
        <v>0</v>
      </c>
      <c r="GC35" s="504">
        <v>0</v>
      </c>
      <c r="GD35" s="504">
        <v>0</v>
      </c>
      <c r="GE35" s="504">
        <v>0</v>
      </c>
      <c r="GF35" s="504">
        <v>0</v>
      </c>
      <c r="GG35" s="504">
        <v>0</v>
      </c>
      <c r="GH35" s="504">
        <v>0</v>
      </c>
      <c r="GI35" s="504">
        <v>0</v>
      </c>
      <c r="GJ35" s="504">
        <v>0</v>
      </c>
      <c r="GK35" s="504">
        <v>0</v>
      </c>
      <c r="GL35" s="504">
        <v>0</v>
      </c>
      <c r="GM35" s="504">
        <v>0</v>
      </c>
      <c r="GN35" s="504">
        <v>0</v>
      </c>
      <c r="GO35" s="504">
        <v>0</v>
      </c>
      <c r="GP35" s="504">
        <v>0</v>
      </c>
      <c r="GQ35" s="504">
        <v>0</v>
      </c>
      <c r="GR35" s="504">
        <v>0</v>
      </c>
      <c r="GS35" s="504">
        <v>0</v>
      </c>
      <c r="GT35" s="504">
        <v>0</v>
      </c>
      <c r="GU35" s="504">
        <v>0</v>
      </c>
      <c r="GV35" s="504">
        <v>0</v>
      </c>
      <c r="GW35" s="504">
        <v>0</v>
      </c>
      <c r="GX35" s="504">
        <v>0</v>
      </c>
      <c r="GY35" s="504">
        <v>0</v>
      </c>
      <c r="GZ35" s="504">
        <v>0</v>
      </c>
      <c r="HA35" s="504">
        <v>0</v>
      </c>
      <c r="HB35" s="504">
        <v>0</v>
      </c>
      <c r="HC35" s="504">
        <v>0</v>
      </c>
      <c r="HD35" s="504">
        <v>0</v>
      </c>
      <c r="HE35" s="504">
        <v>0</v>
      </c>
      <c r="HF35" s="504">
        <v>0</v>
      </c>
      <c r="HG35" s="504">
        <v>0</v>
      </c>
      <c r="HH35" s="504">
        <v>0</v>
      </c>
      <c r="HI35" s="504">
        <v>0</v>
      </c>
      <c r="HJ35" s="504">
        <v>0</v>
      </c>
      <c r="HK35" s="504">
        <v>0</v>
      </c>
      <c r="HL35" s="504">
        <v>0</v>
      </c>
      <c r="HM35" s="504">
        <v>0</v>
      </c>
      <c r="HN35" s="504">
        <v>0</v>
      </c>
      <c r="HO35" s="504">
        <v>0</v>
      </c>
      <c r="HP35" s="504">
        <v>0</v>
      </c>
      <c r="HQ35" s="504">
        <v>0</v>
      </c>
      <c r="HR35" s="504">
        <v>0</v>
      </c>
      <c r="HS35" s="504">
        <v>0</v>
      </c>
      <c r="HT35" s="504">
        <v>0</v>
      </c>
      <c r="HU35" s="504">
        <v>0</v>
      </c>
      <c r="HV35" s="504">
        <v>0</v>
      </c>
      <c r="HW35" s="504">
        <v>0</v>
      </c>
      <c r="HX35" s="504">
        <v>0</v>
      </c>
      <c r="HY35" s="504">
        <v>0</v>
      </c>
      <c r="HZ35" s="504">
        <v>0</v>
      </c>
      <c r="IA35" s="504">
        <v>0</v>
      </c>
      <c r="IB35" s="504">
        <v>0</v>
      </c>
      <c r="IC35" s="504">
        <v>0</v>
      </c>
      <c r="ID35" s="504">
        <v>0</v>
      </c>
      <c r="IE35" s="504">
        <v>0</v>
      </c>
      <c r="IF35" s="504">
        <v>0</v>
      </c>
      <c r="IG35" s="504">
        <v>0</v>
      </c>
      <c r="IH35" s="504">
        <v>0</v>
      </c>
      <c r="II35" s="504">
        <v>0</v>
      </c>
      <c r="IJ35" s="504">
        <v>0</v>
      </c>
      <c r="IK35" s="504">
        <v>0</v>
      </c>
      <c r="IL35" s="504">
        <v>0</v>
      </c>
      <c r="IM35" s="504">
        <v>0</v>
      </c>
      <c r="IN35" s="504">
        <v>0</v>
      </c>
      <c r="IO35" s="504">
        <v>0</v>
      </c>
      <c r="IP35" s="504">
        <v>0</v>
      </c>
      <c r="IQ35" s="504">
        <v>0</v>
      </c>
      <c r="IR35" s="504">
        <v>0</v>
      </c>
      <c r="IS35" s="504">
        <v>0</v>
      </c>
      <c r="IT35" s="504">
        <v>0</v>
      </c>
      <c r="IU35" s="504">
        <v>0</v>
      </c>
      <c r="IV35" s="504">
        <v>0</v>
      </c>
      <c r="IW35" s="504">
        <v>0</v>
      </c>
      <c r="IX35" s="504">
        <v>0</v>
      </c>
      <c r="IY35" s="504">
        <v>0</v>
      </c>
      <c r="IZ35" s="504">
        <v>0</v>
      </c>
      <c r="JA35" s="504">
        <v>0</v>
      </c>
      <c r="JB35" s="504">
        <v>0</v>
      </c>
      <c r="JC35" s="504">
        <v>0</v>
      </c>
      <c r="JD35" s="504">
        <v>0</v>
      </c>
      <c r="JE35" s="504">
        <v>0</v>
      </c>
      <c r="JF35" s="504">
        <v>0</v>
      </c>
      <c r="JG35" s="504">
        <v>0</v>
      </c>
      <c r="JH35" s="504">
        <v>0</v>
      </c>
      <c r="JI35" s="504">
        <v>0</v>
      </c>
      <c r="JJ35" s="504">
        <v>0</v>
      </c>
      <c r="JK35" s="504">
        <v>0</v>
      </c>
      <c r="JL35" s="504">
        <v>0</v>
      </c>
      <c r="JM35" s="504">
        <v>0</v>
      </c>
      <c r="JN35" s="504">
        <v>0</v>
      </c>
      <c r="JO35" s="504">
        <v>0</v>
      </c>
      <c r="JP35" s="504">
        <v>0</v>
      </c>
      <c r="JQ35" s="504">
        <v>0</v>
      </c>
      <c r="JR35" s="504">
        <v>0</v>
      </c>
      <c r="JS35" s="504">
        <v>0</v>
      </c>
      <c r="JT35" s="504">
        <v>0</v>
      </c>
      <c r="JU35" s="504">
        <v>0</v>
      </c>
      <c r="JV35" s="504">
        <v>0</v>
      </c>
      <c r="JW35" s="504">
        <v>0</v>
      </c>
      <c r="JX35" s="504">
        <v>0</v>
      </c>
      <c r="JY35" s="504">
        <v>0</v>
      </c>
      <c r="JZ35" s="504">
        <v>0</v>
      </c>
      <c r="KA35" s="504">
        <v>0</v>
      </c>
      <c r="KB35" s="504">
        <v>0</v>
      </c>
      <c r="KC35" s="504">
        <v>0</v>
      </c>
      <c r="KD35" s="504">
        <v>0</v>
      </c>
      <c r="KE35" s="504">
        <v>0</v>
      </c>
      <c r="KF35" s="504">
        <v>0</v>
      </c>
      <c r="KG35" s="504">
        <v>0</v>
      </c>
      <c r="KH35" s="504">
        <v>0</v>
      </c>
      <c r="KI35" s="504">
        <v>0</v>
      </c>
      <c r="KJ35" s="504">
        <v>0</v>
      </c>
      <c r="KK35" s="504">
        <v>0</v>
      </c>
      <c r="KL35" s="504">
        <v>0</v>
      </c>
      <c r="KM35" s="504">
        <v>0</v>
      </c>
      <c r="KN35" s="504">
        <v>0</v>
      </c>
      <c r="KO35" s="504">
        <v>0</v>
      </c>
      <c r="KP35" s="504">
        <v>0</v>
      </c>
      <c r="KQ35" s="504">
        <v>0</v>
      </c>
      <c r="KR35" s="504">
        <v>0</v>
      </c>
      <c r="KS35" s="504">
        <v>0</v>
      </c>
      <c r="KT35" s="504">
        <v>0</v>
      </c>
      <c r="KU35" s="504">
        <v>0</v>
      </c>
      <c r="KV35" s="504">
        <v>0</v>
      </c>
      <c r="KW35" s="504">
        <v>0</v>
      </c>
      <c r="KX35" s="504">
        <v>0</v>
      </c>
      <c r="KY35" s="504">
        <v>0</v>
      </c>
      <c r="KZ35" s="504">
        <v>0</v>
      </c>
      <c r="LA35" s="504">
        <v>0</v>
      </c>
      <c r="LB35" s="504">
        <v>0</v>
      </c>
      <c r="LC35" s="504">
        <v>0</v>
      </c>
      <c r="LD35" s="504">
        <v>0</v>
      </c>
      <c r="LE35" s="504">
        <v>0</v>
      </c>
      <c r="LF35" s="504">
        <v>0</v>
      </c>
      <c r="LG35" s="504">
        <v>0</v>
      </c>
      <c r="LH35" s="504">
        <v>0</v>
      </c>
      <c r="LI35" s="504">
        <v>0</v>
      </c>
      <c r="LJ35" s="504">
        <v>0</v>
      </c>
      <c r="LK35" s="504">
        <v>0</v>
      </c>
      <c r="LL35" s="504">
        <v>0</v>
      </c>
      <c r="LM35" s="504">
        <v>0</v>
      </c>
      <c r="LN35" s="504">
        <v>0</v>
      </c>
      <c r="LO35" s="504">
        <v>0</v>
      </c>
      <c r="LP35" s="504">
        <v>0</v>
      </c>
      <c r="LQ35" s="504">
        <v>0</v>
      </c>
      <c r="LR35" s="504">
        <v>0</v>
      </c>
      <c r="LS35" s="504">
        <v>0</v>
      </c>
      <c r="LT35" s="504">
        <v>0</v>
      </c>
      <c r="LU35" s="504">
        <v>0</v>
      </c>
      <c r="LV35" s="504">
        <v>0</v>
      </c>
      <c r="LW35" s="504">
        <v>0</v>
      </c>
      <c r="LX35" s="504">
        <v>0</v>
      </c>
      <c r="LY35" s="504">
        <v>0</v>
      </c>
      <c r="LZ35" s="504">
        <v>0</v>
      </c>
      <c r="MA35" s="504">
        <v>0</v>
      </c>
      <c r="MB35" s="504">
        <v>0</v>
      </c>
      <c r="MC35" s="504">
        <v>0</v>
      </c>
      <c r="MD35" s="504">
        <v>0</v>
      </c>
      <c r="ME35" s="504">
        <v>0</v>
      </c>
      <c r="MF35" s="504">
        <v>0</v>
      </c>
      <c r="MG35" s="504">
        <v>0</v>
      </c>
      <c r="MH35" s="504">
        <v>0</v>
      </c>
      <c r="MI35" s="504">
        <v>0</v>
      </c>
      <c r="MJ35" s="504">
        <v>0</v>
      </c>
      <c r="MK35" s="504">
        <v>0</v>
      </c>
      <c r="ML35" s="504">
        <v>0</v>
      </c>
      <c r="MM35" s="504">
        <v>0</v>
      </c>
      <c r="MN35" s="504">
        <v>0</v>
      </c>
      <c r="MO35" s="504">
        <v>0</v>
      </c>
      <c r="MP35" s="504">
        <v>0</v>
      </c>
      <c r="MQ35" s="504">
        <v>0</v>
      </c>
      <c r="MR35" s="504">
        <v>0</v>
      </c>
      <c r="MS35" s="504">
        <v>0</v>
      </c>
      <c r="MT35" s="504">
        <v>0</v>
      </c>
      <c r="MU35" s="504">
        <v>0</v>
      </c>
      <c r="MV35" s="504">
        <v>0</v>
      </c>
      <c r="MW35" s="504">
        <v>0</v>
      </c>
      <c r="MX35" s="504">
        <v>0</v>
      </c>
      <c r="MY35" s="504">
        <v>0</v>
      </c>
      <c r="MZ35" s="504">
        <v>0</v>
      </c>
      <c r="NA35" s="504">
        <v>0</v>
      </c>
      <c r="NB35" s="504">
        <v>0</v>
      </c>
      <c r="NC35" s="504">
        <v>0</v>
      </c>
      <c r="ND35" s="504">
        <v>0</v>
      </c>
      <c r="NE35" s="504">
        <v>0</v>
      </c>
      <c r="NF35" s="504">
        <v>0</v>
      </c>
      <c r="NG35" s="504">
        <v>0</v>
      </c>
      <c r="NH35" s="504">
        <v>0</v>
      </c>
      <c r="NI35" s="504">
        <v>0</v>
      </c>
      <c r="NJ35" s="504">
        <v>0</v>
      </c>
      <c r="NK35" s="504">
        <v>0</v>
      </c>
      <c r="NL35" s="504">
        <v>0</v>
      </c>
      <c r="NM35" s="504">
        <v>0</v>
      </c>
      <c r="NN35" s="504">
        <v>0</v>
      </c>
      <c r="NO35" s="504">
        <v>0</v>
      </c>
      <c r="NP35" s="504">
        <v>0</v>
      </c>
      <c r="NQ35" s="504">
        <v>0</v>
      </c>
      <c r="NR35" s="504">
        <v>0</v>
      </c>
      <c r="NS35" s="504">
        <v>0</v>
      </c>
      <c r="NT35" s="504">
        <v>0</v>
      </c>
      <c r="NU35" s="504">
        <v>0</v>
      </c>
      <c r="NV35" s="504">
        <v>0</v>
      </c>
      <c r="NW35" s="504">
        <v>0</v>
      </c>
      <c r="NX35" s="504">
        <v>0</v>
      </c>
      <c r="NY35" s="504">
        <v>0</v>
      </c>
      <c r="NZ35" s="504">
        <v>0</v>
      </c>
      <c r="OA35" s="504">
        <v>0</v>
      </c>
      <c r="OB35" s="504">
        <v>0</v>
      </c>
      <c r="OC35" s="504">
        <v>0</v>
      </c>
      <c r="OD35" s="504">
        <v>0</v>
      </c>
      <c r="OE35" s="504">
        <v>0</v>
      </c>
      <c r="OF35" s="504">
        <v>0</v>
      </c>
      <c r="OG35" s="504">
        <v>0</v>
      </c>
      <c r="OH35" s="504">
        <v>0</v>
      </c>
      <c r="OI35" s="504">
        <v>0</v>
      </c>
      <c r="OJ35" s="504">
        <v>0</v>
      </c>
      <c r="OK35" s="504">
        <v>0</v>
      </c>
      <c r="OL35" s="504">
        <v>0</v>
      </c>
      <c r="OM35" s="504">
        <v>0</v>
      </c>
      <c r="ON35" s="494"/>
    </row>
    <row r="36" spans="1:404" ht="18.75" customHeight="1" x14ac:dyDescent="0.4">
      <c r="A36" s="355" t="s">
        <v>312</v>
      </c>
      <c r="B36" s="358">
        <v>113</v>
      </c>
      <c r="C36" s="355" t="s">
        <v>60</v>
      </c>
      <c r="D36" s="501">
        <v>25.57</v>
      </c>
      <c r="E36" s="502">
        <v>63614</v>
      </c>
      <c r="F36" s="501">
        <v>25.56</v>
      </c>
      <c r="G36" s="502">
        <v>10083</v>
      </c>
      <c r="H36" s="501">
        <v>25.56</v>
      </c>
      <c r="I36" s="502">
        <v>24112</v>
      </c>
      <c r="J36" s="501">
        <v>25.56</v>
      </c>
      <c r="K36" s="502">
        <v>28220</v>
      </c>
      <c r="V36" s="501"/>
      <c r="W36" s="503"/>
      <c r="X36" s="501"/>
      <c r="Y36" s="503"/>
      <c r="Z36" s="501"/>
      <c r="AA36" s="503"/>
      <c r="AB36" s="495"/>
      <c r="AC36" s="504">
        <v>0</v>
      </c>
      <c r="AD36" s="504">
        <v>0</v>
      </c>
      <c r="AE36" s="504">
        <v>0</v>
      </c>
      <c r="AF36" s="504">
        <v>0</v>
      </c>
      <c r="AG36" s="504">
        <v>0</v>
      </c>
      <c r="AH36" s="504">
        <v>0</v>
      </c>
      <c r="AI36" s="504">
        <v>0</v>
      </c>
      <c r="AJ36" s="504">
        <v>0</v>
      </c>
      <c r="AK36" s="504">
        <v>0</v>
      </c>
      <c r="AL36" s="504">
        <v>0</v>
      </c>
      <c r="AM36" s="504">
        <v>0</v>
      </c>
      <c r="AN36" s="504">
        <v>0</v>
      </c>
      <c r="AO36" s="504">
        <v>0</v>
      </c>
      <c r="AP36" s="504">
        <v>0</v>
      </c>
      <c r="AQ36" s="504">
        <v>0</v>
      </c>
      <c r="AR36" s="504">
        <v>0</v>
      </c>
      <c r="AS36" s="504">
        <v>0</v>
      </c>
      <c r="AT36" s="504">
        <v>0</v>
      </c>
      <c r="AU36" s="504">
        <v>0</v>
      </c>
      <c r="AV36" s="504">
        <v>0</v>
      </c>
      <c r="AW36" s="504">
        <v>0</v>
      </c>
      <c r="AX36" s="504">
        <v>0</v>
      </c>
      <c r="AY36" s="504">
        <v>0</v>
      </c>
      <c r="AZ36" s="504">
        <v>0</v>
      </c>
      <c r="BA36" s="504">
        <v>0</v>
      </c>
      <c r="BB36" s="504">
        <v>0</v>
      </c>
      <c r="BC36" s="504">
        <v>0</v>
      </c>
      <c r="BD36" s="504">
        <v>0</v>
      </c>
      <c r="BE36" s="504">
        <v>0</v>
      </c>
      <c r="BF36" s="504">
        <v>0</v>
      </c>
      <c r="BG36" s="504">
        <v>0</v>
      </c>
      <c r="BH36" s="504">
        <v>0</v>
      </c>
      <c r="BI36" s="504">
        <v>0</v>
      </c>
      <c r="BJ36" s="504">
        <v>0</v>
      </c>
      <c r="BK36" s="504">
        <v>0</v>
      </c>
      <c r="BL36" s="504">
        <v>0</v>
      </c>
      <c r="BM36" s="504">
        <v>0</v>
      </c>
      <c r="BN36" s="504">
        <v>0</v>
      </c>
      <c r="BO36" s="504">
        <v>0</v>
      </c>
      <c r="BP36" s="504">
        <v>0</v>
      </c>
      <c r="BQ36" s="504">
        <v>0</v>
      </c>
      <c r="BR36" s="504">
        <v>0</v>
      </c>
      <c r="BS36" s="504">
        <v>0</v>
      </c>
      <c r="BT36" s="504">
        <v>0</v>
      </c>
      <c r="BU36" s="504">
        <v>0</v>
      </c>
      <c r="BV36" s="504">
        <v>0</v>
      </c>
      <c r="BW36" s="504">
        <v>0</v>
      </c>
      <c r="BX36" s="504">
        <v>0</v>
      </c>
      <c r="BY36" s="504">
        <v>0</v>
      </c>
      <c r="BZ36" s="504">
        <v>0</v>
      </c>
      <c r="CA36" s="504">
        <v>0</v>
      </c>
      <c r="CB36" s="504">
        <v>0</v>
      </c>
      <c r="CC36" s="504">
        <v>0</v>
      </c>
      <c r="CD36" s="504">
        <v>0</v>
      </c>
      <c r="CE36" s="504">
        <v>0</v>
      </c>
      <c r="CF36" s="504">
        <v>0</v>
      </c>
      <c r="CG36" s="504">
        <v>0</v>
      </c>
      <c r="CH36" s="504">
        <v>0</v>
      </c>
      <c r="CI36" s="504">
        <v>0</v>
      </c>
      <c r="CJ36" s="504">
        <v>0</v>
      </c>
      <c r="CK36" s="504">
        <v>0</v>
      </c>
      <c r="CL36" s="504">
        <v>0</v>
      </c>
      <c r="CM36" s="504">
        <v>0</v>
      </c>
      <c r="CN36" s="504">
        <v>0</v>
      </c>
      <c r="CO36" s="504">
        <v>0</v>
      </c>
      <c r="CP36" s="504">
        <v>0</v>
      </c>
      <c r="CQ36" s="504">
        <v>0</v>
      </c>
      <c r="CR36" s="504">
        <v>0</v>
      </c>
      <c r="CS36" s="504">
        <v>0</v>
      </c>
      <c r="CT36" s="504">
        <v>0</v>
      </c>
      <c r="CU36" s="504">
        <v>0</v>
      </c>
      <c r="CV36" s="504">
        <v>0</v>
      </c>
      <c r="CW36" s="504">
        <v>0</v>
      </c>
      <c r="CX36" s="504">
        <v>0</v>
      </c>
      <c r="CY36" s="504">
        <v>0</v>
      </c>
      <c r="CZ36" s="504">
        <v>0</v>
      </c>
      <c r="DA36" s="504">
        <v>0</v>
      </c>
      <c r="DB36" s="504">
        <v>0</v>
      </c>
      <c r="DC36" s="504">
        <v>0</v>
      </c>
      <c r="DD36" s="504">
        <v>0</v>
      </c>
      <c r="DE36" s="504">
        <v>0</v>
      </c>
      <c r="DF36" s="504">
        <v>0</v>
      </c>
      <c r="DG36" s="504">
        <v>0</v>
      </c>
      <c r="DH36" s="504">
        <v>0</v>
      </c>
      <c r="DI36" s="504">
        <v>0</v>
      </c>
      <c r="DJ36" s="504">
        <v>0</v>
      </c>
      <c r="DK36" s="504">
        <v>0</v>
      </c>
      <c r="DL36" s="504">
        <v>0</v>
      </c>
      <c r="DM36" s="504">
        <v>0</v>
      </c>
      <c r="DN36" s="504">
        <v>0</v>
      </c>
      <c r="DO36" s="504">
        <v>0</v>
      </c>
      <c r="DP36" s="504">
        <v>0</v>
      </c>
      <c r="DQ36" s="504">
        <v>0</v>
      </c>
      <c r="DR36" s="504">
        <v>0</v>
      </c>
      <c r="DS36" s="504">
        <v>0</v>
      </c>
      <c r="DT36" s="504">
        <v>0</v>
      </c>
      <c r="DU36" s="504">
        <v>0</v>
      </c>
      <c r="DV36" s="504">
        <v>0</v>
      </c>
      <c r="DW36" s="504">
        <v>0</v>
      </c>
      <c r="DX36" s="504">
        <v>0</v>
      </c>
      <c r="DY36" s="504">
        <v>0</v>
      </c>
      <c r="DZ36" s="504">
        <v>0</v>
      </c>
      <c r="EA36" s="504">
        <v>0</v>
      </c>
      <c r="EB36" s="504">
        <v>0</v>
      </c>
      <c r="EC36" s="504">
        <v>0</v>
      </c>
      <c r="ED36" s="504">
        <v>0</v>
      </c>
      <c r="EE36" s="504">
        <v>0</v>
      </c>
      <c r="EF36" s="504">
        <v>0</v>
      </c>
      <c r="EG36" s="504">
        <v>0</v>
      </c>
      <c r="EH36" s="504">
        <v>0</v>
      </c>
      <c r="EI36" s="504">
        <v>0</v>
      </c>
      <c r="EJ36" s="504">
        <v>0</v>
      </c>
      <c r="EK36" s="504">
        <v>0</v>
      </c>
      <c r="EL36" s="504">
        <v>0</v>
      </c>
      <c r="EM36" s="504">
        <v>0</v>
      </c>
      <c r="EN36" s="504">
        <v>0</v>
      </c>
      <c r="EO36" s="504">
        <v>0</v>
      </c>
      <c r="EP36" s="504">
        <v>0</v>
      </c>
      <c r="EQ36" s="504">
        <v>0</v>
      </c>
      <c r="ER36" s="504">
        <v>0</v>
      </c>
      <c r="ES36" s="504">
        <v>0</v>
      </c>
      <c r="ET36" s="504">
        <v>0</v>
      </c>
      <c r="EU36" s="504">
        <v>0</v>
      </c>
      <c r="EV36" s="504">
        <v>0</v>
      </c>
      <c r="EW36" s="504">
        <v>0</v>
      </c>
      <c r="EX36" s="504">
        <v>0</v>
      </c>
      <c r="EY36" s="504">
        <v>0</v>
      </c>
      <c r="EZ36" s="504">
        <v>0</v>
      </c>
      <c r="FA36" s="504">
        <v>0</v>
      </c>
      <c r="FB36" s="504">
        <v>0</v>
      </c>
      <c r="FC36" s="504">
        <v>0</v>
      </c>
      <c r="FD36" s="504">
        <v>0</v>
      </c>
      <c r="FE36" s="504">
        <v>0</v>
      </c>
      <c r="FF36" s="504">
        <v>0</v>
      </c>
      <c r="FG36" s="504">
        <v>0</v>
      </c>
      <c r="FH36" s="504">
        <v>0</v>
      </c>
      <c r="FI36" s="504">
        <v>0</v>
      </c>
      <c r="FJ36" s="504">
        <v>0</v>
      </c>
      <c r="FK36" s="504">
        <v>0</v>
      </c>
      <c r="FL36" s="504">
        <v>0</v>
      </c>
      <c r="FM36" s="504">
        <v>0</v>
      </c>
      <c r="FN36" s="504">
        <v>0</v>
      </c>
      <c r="FO36" s="504">
        <v>0</v>
      </c>
      <c r="FP36" s="504">
        <v>0</v>
      </c>
      <c r="FQ36" s="504">
        <v>0</v>
      </c>
      <c r="FR36" s="504">
        <v>0</v>
      </c>
      <c r="FS36" s="504">
        <v>0</v>
      </c>
      <c r="FT36" s="504">
        <v>0</v>
      </c>
      <c r="FU36" s="504">
        <v>0</v>
      </c>
      <c r="FV36" s="504">
        <v>0</v>
      </c>
      <c r="FW36" s="504">
        <v>0</v>
      </c>
      <c r="FX36" s="504">
        <v>0</v>
      </c>
      <c r="FY36" s="504">
        <v>0</v>
      </c>
      <c r="FZ36" s="504">
        <v>0</v>
      </c>
      <c r="GA36" s="504">
        <v>0</v>
      </c>
      <c r="GB36" s="504">
        <v>0</v>
      </c>
      <c r="GC36" s="504">
        <v>0</v>
      </c>
      <c r="GD36" s="504">
        <v>0</v>
      </c>
      <c r="GE36" s="504">
        <v>0</v>
      </c>
      <c r="GF36" s="504">
        <v>0</v>
      </c>
      <c r="GG36" s="504">
        <v>0</v>
      </c>
      <c r="GH36" s="504">
        <v>0</v>
      </c>
      <c r="GI36" s="504">
        <v>0</v>
      </c>
      <c r="GJ36" s="504">
        <v>0</v>
      </c>
      <c r="GK36" s="504">
        <v>0</v>
      </c>
      <c r="GL36" s="504">
        <v>0</v>
      </c>
      <c r="GM36" s="504">
        <v>0</v>
      </c>
      <c r="GN36" s="504">
        <v>0</v>
      </c>
      <c r="GO36" s="504">
        <v>0</v>
      </c>
      <c r="GP36" s="504">
        <v>0</v>
      </c>
      <c r="GQ36" s="504">
        <v>0</v>
      </c>
      <c r="GR36" s="504">
        <v>0</v>
      </c>
      <c r="GS36" s="504">
        <v>0</v>
      </c>
      <c r="GT36" s="504">
        <v>0</v>
      </c>
      <c r="GU36" s="504">
        <v>0</v>
      </c>
      <c r="GV36" s="504">
        <v>0</v>
      </c>
      <c r="GW36" s="504">
        <v>0</v>
      </c>
      <c r="GX36" s="504">
        <v>0</v>
      </c>
      <c r="GY36" s="504">
        <v>0</v>
      </c>
      <c r="GZ36" s="504">
        <v>0</v>
      </c>
      <c r="HA36" s="504">
        <v>0</v>
      </c>
      <c r="HB36" s="504">
        <v>0</v>
      </c>
      <c r="HC36" s="504">
        <v>0</v>
      </c>
      <c r="HD36" s="504">
        <v>0</v>
      </c>
      <c r="HE36" s="504">
        <v>0</v>
      </c>
      <c r="HF36" s="504">
        <v>0</v>
      </c>
      <c r="HG36" s="504">
        <v>0</v>
      </c>
      <c r="HH36" s="504">
        <v>0</v>
      </c>
      <c r="HI36" s="504">
        <v>0</v>
      </c>
      <c r="HJ36" s="504">
        <v>0</v>
      </c>
      <c r="HK36" s="504">
        <v>0</v>
      </c>
      <c r="HL36" s="504">
        <v>0</v>
      </c>
      <c r="HM36" s="504">
        <v>0</v>
      </c>
      <c r="HN36" s="504">
        <v>0</v>
      </c>
      <c r="HO36" s="504">
        <v>0</v>
      </c>
      <c r="HP36" s="504">
        <v>0</v>
      </c>
      <c r="HQ36" s="504">
        <v>0</v>
      </c>
      <c r="HR36" s="504">
        <v>0</v>
      </c>
      <c r="HS36" s="504">
        <v>0</v>
      </c>
      <c r="HT36" s="504">
        <v>0</v>
      </c>
      <c r="HU36" s="504">
        <v>0</v>
      </c>
      <c r="HV36" s="504">
        <v>0</v>
      </c>
      <c r="HW36" s="504">
        <v>0</v>
      </c>
      <c r="HX36" s="504">
        <v>0</v>
      </c>
      <c r="HY36" s="504">
        <v>0</v>
      </c>
      <c r="HZ36" s="504">
        <v>0</v>
      </c>
      <c r="IA36" s="504">
        <v>0</v>
      </c>
      <c r="IB36" s="504">
        <v>0</v>
      </c>
      <c r="IC36" s="504">
        <v>0</v>
      </c>
      <c r="ID36" s="504">
        <v>0</v>
      </c>
      <c r="IE36" s="504">
        <v>0</v>
      </c>
      <c r="IF36" s="504">
        <v>0</v>
      </c>
      <c r="IG36" s="504">
        <v>0</v>
      </c>
      <c r="IH36" s="504">
        <v>0</v>
      </c>
      <c r="II36" s="504">
        <v>0</v>
      </c>
      <c r="IJ36" s="504">
        <v>0</v>
      </c>
      <c r="IK36" s="504">
        <v>0</v>
      </c>
      <c r="IL36" s="504">
        <v>0</v>
      </c>
      <c r="IM36" s="504">
        <v>0</v>
      </c>
      <c r="IN36" s="504">
        <v>0</v>
      </c>
      <c r="IO36" s="504">
        <v>0</v>
      </c>
      <c r="IP36" s="504">
        <v>0</v>
      </c>
      <c r="IQ36" s="504">
        <v>0</v>
      </c>
      <c r="IR36" s="504">
        <v>0</v>
      </c>
      <c r="IS36" s="504">
        <v>0</v>
      </c>
      <c r="IT36" s="504">
        <v>0</v>
      </c>
      <c r="IU36" s="504">
        <v>0</v>
      </c>
      <c r="IV36" s="504">
        <v>0</v>
      </c>
      <c r="IW36" s="504">
        <v>0</v>
      </c>
      <c r="IX36" s="504">
        <v>0</v>
      </c>
      <c r="IY36" s="504">
        <v>0</v>
      </c>
      <c r="IZ36" s="504">
        <v>0</v>
      </c>
      <c r="JA36" s="504">
        <v>0</v>
      </c>
      <c r="JB36" s="504">
        <v>0</v>
      </c>
      <c r="JC36" s="504">
        <v>0</v>
      </c>
      <c r="JD36" s="504">
        <v>0</v>
      </c>
      <c r="JE36" s="504">
        <v>0</v>
      </c>
      <c r="JF36" s="504">
        <v>0</v>
      </c>
      <c r="JG36" s="504">
        <v>0</v>
      </c>
      <c r="JH36" s="504">
        <v>0</v>
      </c>
      <c r="JI36" s="504">
        <v>0</v>
      </c>
      <c r="JJ36" s="504">
        <v>0</v>
      </c>
      <c r="JK36" s="504">
        <v>0</v>
      </c>
      <c r="JL36" s="504">
        <v>0</v>
      </c>
      <c r="JM36" s="504">
        <v>0</v>
      </c>
      <c r="JN36" s="504">
        <v>0</v>
      </c>
      <c r="JO36" s="504">
        <v>0</v>
      </c>
      <c r="JP36" s="504">
        <v>0</v>
      </c>
      <c r="JQ36" s="504">
        <v>0</v>
      </c>
      <c r="JR36" s="504">
        <v>0</v>
      </c>
      <c r="JS36" s="504">
        <v>0</v>
      </c>
      <c r="JT36" s="504">
        <v>0</v>
      </c>
      <c r="JU36" s="504">
        <v>0</v>
      </c>
      <c r="JV36" s="504">
        <v>0</v>
      </c>
      <c r="JW36" s="504">
        <v>0</v>
      </c>
      <c r="JX36" s="504">
        <v>0</v>
      </c>
      <c r="JY36" s="504">
        <v>0</v>
      </c>
      <c r="JZ36" s="504">
        <v>0</v>
      </c>
      <c r="KA36" s="504">
        <v>0</v>
      </c>
      <c r="KB36" s="504">
        <v>0</v>
      </c>
      <c r="KC36" s="504">
        <v>0</v>
      </c>
      <c r="KD36" s="504">
        <v>0</v>
      </c>
      <c r="KE36" s="504">
        <v>0</v>
      </c>
      <c r="KF36" s="504">
        <v>0</v>
      </c>
      <c r="KG36" s="504">
        <v>0</v>
      </c>
      <c r="KH36" s="504">
        <v>0</v>
      </c>
      <c r="KI36" s="504">
        <v>0</v>
      </c>
      <c r="KJ36" s="504">
        <v>0</v>
      </c>
      <c r="KK36" s="504">
        <v>0</v>
      </c>
      <c r="KL36" s="504">
        <v>0</v>
      </c>
      <c r="KM36" s="504">
        <v>0</v>
      </c>
      <c r="KN36" s="504">
        <v>0</v>
      </c>
      <c r="KO36" s="504">
        <v>0</v>
      </c>
      <c r="KP36" s="504">
        <v>0</v>
      </c>
      <c r="KQ36" s="504">
        <v>0</v>
      </c>
      <c r="KR36" s="504">
        <v>0</v>
      </c>
      <c r="KS36" s="504">
        <v>0</v>
      </c>
      <c r="KT36" s="504">
        <v>0</v>
      </c>
      <c r="KU36" s="504">
        <v>0</v>
      </c>
      <c r="KV36" s="504">
        <v>0</v>
      </c>
      <c r="KW36" s="504">
        <v>0</v>
      </c>
      <c r="KX36" s="504">
        <v>0</v>
      </c>
      <c r="KY36" s="504">
        <v>0</v>
      </c>
      <c r="KZ36" s="504">
        <v>0</v>
      </c>
      <c r="LA36" s="504">
        <v>0</v>
      </c>
      <c r="LB36" s="504">
        <v>0</v>
      </c>
      <c r="LC36" s="504">
        <v>0</v>
      </c>
      <c r="LD36" s="504">
        <v>0</v>
      </c>
      <c r="LE36" s="504">
        <v>0</v>
      </c>
      <c r="LF36" s="504">
        <v>0</v>
      </c>
      <c r="LG36" s="504">
        <v>0</v>
      </c>
      <c r="LH36" s="504">
        <v>0</v>
      </c>
      <c r="LI36" s="504">
        <v>0</v>
      </c>
      <c r="LJ36" s="504">
        <v>0</v>
      </c>
      <c r="LK36" s="504">
        <v>0</v>
      </c>
      <c r="LL36" s="504">
        <v>0</v>
      </c>
      <c r="LM36" s="504">
        <v>0</v>
      </c>
      <c r="LN36" s="504">
        <v>0</v>
      </c>
      <c r="LO36" s="504">
        <v>0</v>
      </c>
      <c r="LP36" s="504">
        <v>0</v>
      </c>
      <c r="LQ36" s="504">
        <v>0</v>
      </c>
      <c r="LR36" s="504">
        <v>0</v>
      </c>
      <c r="LS36" s="504">
        <v>0</v>
      </c>
      <c r="LT36" s="504">
        <v>0</v>
      </c>
      <c r="LU36" s="504">
        <v>0</v>
      </c>
      <c r="LV36" s="504">
        <v>0</v>
      </c>
      <c r="LW36" s="504">
        <v>0</v>
      </c>
      <c r="LX36" s="504">
        <v>0</v>
      </c>
      <c r="LY36" s="504">
        <v>0</v>
      </c>
      <c r="LZ36" s="504">
        <v>0</v>
      </c>
      <c r="MA36" s="504">
        <v>0</v>
      </c>
      <c r="MB36" s="504">
        <v>0</v>
      </c>
      <c r="MC36" s="504">
        <v>0</v>
      </c>
      <c r="MD36" s="504">
        <v>0</v>
      </c>
      <c r="ME36" s="504">
        <v>0</v>
      </c>
      <c r="MF36" s="504">
        <v>0</v>
      </c>
      <c r="MG36" s="504">
        <v>0</v>
      </c>
      <c r="MH36" s="504">
        <v>0</v>
      </c>
      <c r="MI36" s="504">
        <v>0</v>
      </c>
      <c r="MJ36" s="504">
        <v>0</v>
      </c>
      <c r="MK36" s="504">
        <v>0</v>
      </c>
      <c r="ML36" s="504">
        <v>0</v>
      </c>
      <c r="MM36" s="504">
        <v>0</v>
      </c>
      <c r="MN36" s="504">
        <v>0</v>
      </c>
      <c r="MO36" s="504">
        <v>0</v>
      </c>
      <c r="MP36" s="504">
        <v>0</v>
      </c>
      <c r="MQ36" s="504">
        <v>0</v>
      </c>
      <c r="MR36" s="504">
        <v>0</v>
      </c>
      <c r="MS36" s="504">
        <v>0</v>
      </c>
      <c r="MT36" s="504">
        <v>0</v>
      </c>
      <c r="MU36" s="504">
        <v>0</v>
      </c>
      <c r="MV36" s="504">
        <v>0</v>
      </c>
      <c r="MW36" s="504">
        <v>0</v>
      </c>
      <c r="MX36" s="504">
        <v>0</v>
      </c>
      <c r="MY36" s="504">
        <v>0</v>
      </c>
      <c r="MZ36" s="504">
        <v>0</v>
      </c>
      <c r="NA36" s="504">
        <v>0</v>
      </c>
      <c r="NB36" s="504">
        <v>0</v>
      </c>
      <c r="NC36" s="504">
        <v>0</v>
      </c>
      <c r="ND36" s="504">
        <v>0</v>
      </c>
      <c r="NE36" s="504">
        <v>0</v>
      </c>
      <c r="NF36" s="504">
        <v>0</v>
      </c>
      <c r="NG36" s="504">
        <v>0</v>
      </c>
      <c r="NH36" s="504">
        <v>0</v>
      </c>
      <c r="NI36" s="504">
        <v>0</v>
      </c>
      <c r="NJ36" s="504">
        <v>0</v>
      </c>
      <c r="NK36" s="504">
        <v>0</v>
      </c>
      <c r="NL36" s="504">
        <v>0</v>
      </c>
      <c r="NM36" s="504">
        <v>0</v>
      </c>
      <c r="NN36" s="504">
        <v>0</v>
      </c>
      <c r="NO36" s="504">
        <v>0</v>
      </c>
      <c r="NP36" s="504">
        <v>0</v>
      </c>
      <c r="NQ36" s="504">
        <v>0</v>
      </c>
      <c r="NR36" s="504">
        <v>0</v>
      </c>
      <c r="NS36" s="504">
        <v>0</v>
      </c>
      <c r="NT36" s="504">
        <v>0</v>
      </c>
      <c r="NU36" s="504">
        <v>0</v>
      </c>
      <c r="NV36" s="504">
        <v>0</v>
      </c>
      <c r="NW36" s="504">
        <v>0</v>
      </c>
      <c r="NX36" s="504">
        <v>0</v>
      </c>
      <c r="NY36" s="504">
        <v>0</v>
      </c>
      <c r="NZ36" s="504">
        <v>0</v>
      </c>
      <c r="OA36" s="504">
        <v>0</v>
      </c>
      <c r="OB36" s="504">
        <v>0</v>
      </c>
      <c r="OC36" s="504">
        <v>0</v>
      </c>
      <c r="OD36" s="504">
        <v>0</v>
      </c>
      <c r="OE36" s="504">
        <v>0</v>
      </c>
      <c r="OF36" s="504">
        <v>0</v>
      </c>
      <c r="OG36" s="504">
        <v>0</v>
      </c>
      <c r="OH36" s="504">
        <v>0</v>
      </c>
      <c r="OI36" s="504">
        <v>0</v>
      </c>
      <c r="OJ36" s="504">
        <v>0</v>
      </c>
      <c r="OK36" s="504">
        <v>0</v>
      </c>
      <c r="OL36" s="504">
        <v>0</v>
      </c>
      <c r="OM36" s="504">
        <v>0</v>
      </c>
      <c r="ON36" s="494"/>
    </row>
    <row r="37" spans="1:404" ht="18.75" customHeight="1" x14ac:dyDescent="0.4">
      <c r="A37" s="355" t="s">
        <v>313</v>
      </c>
      <c r="B37" s="358">
        <v>106</v>
      </c>
      <c r="C37" s="355" t="s">
        <v>60</v>
      </c>
      <c r="D37" s="501">
        <v>25.75</v>
      </c>
      <c r="E37" s="502">
        <v>22991</v>
      </c>
      <c r="F37" s="501">
        <v>25.75</v>
      </c>
      <c r="G37" s="502">
        <v>4764</v>
      </c>
      <c r="H37" s="501">
        <v>25.75</v>
      </c>
      <c r="I37" s="502">
        <v>12008</v>
      </c>
      <c r="J37" s="501">
        <v>25.75</v>
      </c>
      <c r="K37" s="502">
        <v>12949</v>
      </c>
      <c r="V37" s="501"/>
      <c r="W37" s="503"/>
      <c r="X37" s="501"/>
      <c r="Y37" s="503"/>
      <c r="Z37" s="501"/>
      <c r="AA37" s="503"/>
      <c r="AB37" s="495"/>
      <c r="AC37" s="504">
        <v>0</v>
      </c>
      <c r="AD37" s="504">
        <v>0</v>
      </c>
      <c r="AE37" s="504">
        <v>0</v>
      </c>
      <c r="AF37" s="504">
        <v>0</v>
      </c>
      <c r="AG37" s="504">
        <v>0</v>
      </c>
      <c r="AH37" s="504">
        <v>0</v>
      </c>
      <c r="AI37" s="504">
        <v>0</v>
      </c>
      <c r="AJ37" s="504">
        <v>0</v>
      </c>
      <c r="AK37" s="504">
        <v>0</v>
      </c>
      <c r="AL37" s="504">
        <v>0</v>
      </c>
      <c r="AM37" s="504">
        <v>0</v>
      </c>
      <c r="AN37" s="504">
        <v>0</v>
      </c>
      <c r="AO37" s="504">
        <v>0</v>
      </c>
      <c r="AP37" s="504">
        <v>0</v>
      </c>
      <c r="AQ37" s="504">
        <v>0</v>
      </c>
      <c r="AR37" s="504">
        <v>0</v>
      </c>
      <c r="AS37" s="504">
        <v>0</v>
      </c>
      <c r="AT37" s="504">
        <v>0</v>
      </c>
      <c r="AU37" s="504">
        <v>0</v>
      </c>
      <c r="AV37" s="504">
        <v>0</v>
      </c>
      <c r="AW37" s="504">
        <v>0</v>
      </c>
      <c r="AX37" s="504">
        <v>0</v>
      </c>
      <c r="AY37" s="504">
        <v>0</v>
      </c>
      <c r="AZ37" s="504">
        <v>0</v>
      </c>
      <c r="BA37" s="504">
        <v>0</v>
      </c>
      <c r="BB37" s="504">
        <v>0</v>
      </c>
      <c r="BC37" s="504">
        <v>0</v>
      </c>
      <c r="BD37" s="504">
        <v>0</v>
      </c>
      <c r="BE37" s="504">
        <v>0</v>
      </c>
      <c r="BF37" s="504">
        <v>0</v>
      </c>
      <c r="BG37" s="504">
        <v>0</v>
      </c>
      <c r="BH37" s="504">
        <v>0</v>
      </c>
      <c r="BI37" s="504">
        <v>0</v>
      </c>
      <c r="BJ37" s="504">
        <v>0</v>
      </c>
      <c r="BK37" s="504">
        <v>0</v>
      </c>
      <c r="BL37" s="504">
        <v>0</v>
      </c>
      <c r="BM37" s="504">
        <v>0</v>
      </c>
      <c r="BN37" s="504">
        <v>0</v>
      </c>
      <c r="BO37" s="504">
        <v>0</v>
      </c>
      <c r="BP37" s="504">
        <v>0</v>
      </c>
      <c r="BQ37" s="504">
        <v>0</v>
      </c>
      <c r="BR37" s="504">
        <v>0</v>
      </c>
      <c r="BS37" s="504">
        <v>0</v>
      </c>
      <c r="BT37" s="504">
        <v>0</v>
      </c>
      <c r="BU37" s="504">
        <v>0</v>
      </c>
      <c r="BV37" s="504">
        <v>0</v>
      </c>
      <c r="BW37" s="504">
        <v>0</v>
      </c>
      <c r="BX37" s="504">
        <v>0</v>
      </c>
      <c r="BY37" s="504">
        <v>0</v>
      </c>
      <c r="BZ37" s="504">
        <v>0</v>
      </c>
      <c r="CA37" s="504">
        <v>0</v>
      </c>
      <c r="CB37" s="504">
        <v>0</v>
      </c>
      <c r="CC37" s="504">
        <v>0</v>
      </c>
      <c r="CD37" s="504">
        <v>0</v>
      </c>
      <c r="CE37" s="504">
        <v>0</v>
      </c>
      <c r="CF37" s="504">
        <v>0</v>
      </c>
      <c r="CG37" s="504">
        <v>0</v>
      </c>
      <c r="CH37" s="504">
        <v>0</v>
      </c>
      <c r="CI37" s="504">
        <v>0</v>
      </c>
      <c r="CJ37" s="504">
        <v>0</v>
      </c>
      <c r="CK37" s="504">
        <v>0</v>
      </c>
      <c r="CL37" s="504">
        <v>0</v>
      </c>
      <c r="CM37" s="504">
        <v>0</v>
      </c>
      <c r="CN37" s="504">
        <v>0</v>
      </c>
      <c r="CO37" s="504">
        <v>0</v>
      </c>
      <c r="CP37" s="504">
        <v>0</v>
      </c>
      <c r="CQ37" s="504">
        <v>0</v>
      </c>
      <c r="CR37" s="504">
        <v>0</v>
      </c>
      <c r="CS37" s="504">
        <v>0</v>
      </c>
      <c r="CT37" s="504">
        <v>0</v>
      </c>
      <c r="CU37" s="504">
        <v>0</v>
      </c>
      <c r="CV37" s="504">
        <v>0</v>
      </c>
      <c r="CW37" s="504">
        <v>0</v>
      </c>
      <c r="CX37" s="504">
        <v>0</v>
      </c>
      <c r="CY37" s="504">
        <v>0</v>
      </c>
      <c r="CZ37" s="504">
        <v>0</v>
      </c>
      <c r="DA37" s="504">
        <v>0</v>
      </c>
      <c r="DB37" s="504">
        <v>0</v>
      </c>
      <c r="DC37" s="504">
        <v>0</v>
      </c>
      <c r="DD37" s="504">
        <v>0</v>
      </c>
      <c r="DE37" s="504">
        <v>0</v>
      </c>
      <c r="DF37" s="504">
        <v>0</v>
      </c>
      <c r="DG37" s="504">
        <v>0</v>
      </c>
      <c r="DH37" s="504">
        <v>0</v>
      </c>
      <c r="DI37" s="504">
        <v>0</v>
      </c>
      <c r="DJ37" s="504">
        <v>0</v>
      </c>
      <c r="DK37" s="504">
        <v>0</v>
      </c>
      <c r="DL37" s="504">
        <v>0</v>
      </c>
      <c r="DM37" s="504">
        <v>0</v>
      </c>
      <c r="DN37" s="504">
        <v>0</v>
      </c>
      <c r="DO37" s="504">
        <v>0</v>
      </c>
      <c r="DP37" s="504">
        <v>0</v>
      </c>
      <c r="DQ37" s="504">
        <v>0</v>
      </c>
      <c r="DR37" s="504">
        <v>0</v>
      </c>
      <c r="DS37" s="504">
        <v>0</v>
      </c>
      <c r="DT37" s="504">
        <v>0</v>
      </c>
      <c r="DU37" s="504">
        <v>0</v>
      </c>
      <c r="DV37" s="504">
        <v>0</v>
      </c>
      <c r="DW37" s="504">
        <v>0</v>
      </c>
      <c r="DX37" s="504">
        <v>0</v>
      </c>
      <c r="DY37" s="504">
        <v>0</v>
      </c>
      <c r="DZ37" s="504">
        <v>0</v>
      </c>
      <c r="EA37" s="504">
        <v>0</v>
      </c>
      <c r="EB37" s="504">
        <v>0</v>
      </c>
      <c r="EC37" s="504">
        <v>0</v>
      </c>
      <c r="ED37" s="504">
        <v>0</v>
      </c>
      <c r="EE37" s="504">
        <v>0</v>
      </c>
      <c r="EF37" s="504">
        <v>0</v>
      </c>
      <c r="EG37" s="504">
        <v>0</v>
      </c>
      <c r="EH37" s="504">
        <v>0</v>
      </c>
      <c r="EI37" s="504">
        <v>0</v>
      </c>
      <c r="EJ37" s="504">
        <v>0</v>
      </c>
      <c r="EK37" s="504">
        <v>0</v>
      </c>
      <c r="EL37" s="504">
        <v>0</v>
      </c>
      <c r="EM37" s="504">
        <v>0</v>
      </c>
      <c r="EN37" s="504">
        <v>0</v>
      </c>
      <c r="EO37" s="504">
        <v>0</v>
      </c>
      <c r="EP37" s="504">
        <v>0</v>
      </c>
      <c r="EQ37" s="504">
        <v>0</v>
      </c>
      <c r="ER37" s="504">
        <v>0</v>
      </c>
      <c r="ES37" s="504">
        <v>0</v>
      </c>
      <c r="ET37" s="504">
        <v>0</v>
      </c>
      <c r="EU37" s="504">
        <v>0</v>
      </c>
      <c r="EV37" s="504">
        <v>0</v>
      </c>
      <c r="EW37" s="504">
        <v>0</v>
      </c>
      <c r="EX37" s="504">
        <v>0</v>
      </c>
      <c r="EY37" s="504">
        <v>0</v>
      </c>
      <c r="EZ37" s="504">
        <v>0</v>
      </c>
      <c r="FA37" s="504">
        <v>0</v>
      </c>
      <c r="FB37" s="504">
        <v>0</v>
      </c>
      <c r="FC37" s="504">
        <v>0</v>
      </c>
      <c r="FD37" s="504">
        <v>0</v>
      </c>
      <c r="FE37" s="504">
        <v>0</v>
      </c>
      <c r="FF37" s="504">
        <v>0</v>
      </c>
      <c r="FG37" s="504">
        <v>0</v>
      </c>
      <c r="FH37" s="504">
        <v>0</v>
      </c>
      <c r="FI37" s="504">
        <v>0</v>
      </c>
      <c r="FJ37" s="504">
        <v>0</v>
      </c>
      <c r="FK37" s="504">
        <v>0</v>
      </c>
      <c r="FL37" s="504">
        <v>0</v>
      </c>
      <c r="FM37" s="504">
        <v>0</v>
      </c>
      <c r="FN37" s="504">
        <v>0</v>
      </c>
      <c r="FO37" s="504">
        <v>0</v>
      </c>
      <c r="FP37" s="504">
        <v>0</v>
      </c>
      <c r="FQ37" s="504">
        <v>0</v>
      </c>
      <c r="FR37" s="504">
        <v>0</v>
      </c>
      <c r="FS37" s="504">
        <v>0</v>
      </c>
      <c r="FT37" s="504">
        <v>0</v>
      </c>
      <c r="FU37" s="504">
        <v>0</v>
      </c>
      <c r="FV37" s="504">
        <v>0</v>
      </c>
      <c r="FW37" s="504">
        <v>0</v>
      </c>
      <c r="FX37" s="504">
        <v>0</v>
      </c>
      <c r="FY37" s="504">
        <v>0</v>
      </c>
      <c r="FZ37" s="504">
        <v>0</v>
      </c>
      <c r="GA37" s="504">
        <v>0</v>
      </c>
      <c r="GB37" s="504">
        <v>0</v>
      </c>
      <c r="GC37" s="504">
        <v>0</v>
      </c>
      <c r="GD37" s="504">
        <v>0</v>
      </c>
      <c r="GE37" s="504">
        <v>0</v>
      </c>
      <c r="GF37" s="504">
        <v>0</v>
      </c>
      <c r="GG37" s="504">
        <v>0</v>
      </c>
      <c r="GH37" s="504">
        <v>0</v>
      </c>
      <c r="GI37" s="504">
        <v>0</v>
      </c>
      <c r="GJ37" s="504">
        <v>0</v>
      </c>
      <c r="GK37" s="504">
        <v>0</v>
      </c>
      <c r="GL37" s="504">
        <v>0</v>
      </c>
      <c r="GM37" s="504">
        <v>0</v>
      </c>
      <c r="GN37" s="504">
        <v>0</v>
      </c>
      <c r="GO37" s="504">
        <v>0</v>
      </c>
      <c r="GP37" s="504">
        <v>0</v>
      </c>
      <c r="GQ37" s="504">
        <v>0</v>
      </c>
      <c r="GR37" s="504">
        <v>0</v>
      </c>
      <c r="GS37" s="504">
        <v>0</v>
      </c>
      <c r="GT37" s="504">
        <v>0</v>
      </c>
      <c r="GU37" s="504">
        <v>0</v>
      </c>
      <c r="GV37" s="504">
        <v>0</v>
      </c>
      <c r="GW37" s="504">
        <v>0</v>
      </c>
      <c r="GX37" s="504">
        <v>0</v>
      </c>
      <c r="GY37" s="504">
        <v>0</v>
      </c>
      <c r="GZ37" s="504">
        <v>0</v>
      </c>
      <c r="HA37" s="504">
        <v>0</v>
      </c>
      <c r="HB37" s="504">
        <v>0</v>
      </c>
      <c r="HC37" s="504">
        <v>0</v>
      </c>
      <c r="HD37" s="504">
        <v>0</v>
      </c>
      <c r="HE37" s="504">
        <v>0</v>
      </c>
      <c r="HF37" s="504">
        <v>0</v>
      </c>
      <c r="HG37" s="504">
        <v>0</v>
      </c>
      <c r="HH37" s="504">
        <v>0</v>
      </c>
      <c r="HI37" s="504">
        <v>0</v>
      </c>
      <c r="HJ37" s="504">
        <v>0</v>
      </c>
      <c r="HK37" s="504">
        <v>0</v>
      </c>
      <c r="HL37" s="504">
        <v>0</v>
      </c>
      <c r="HM37" s="504">
        <v>0</v>
      </c>
      <c r="HN37" s="504">
        <v>0</v>
      </c>
      <c r="HO37" s="504">
        <v>0</v>
      </c>
      <c r="HP37" s="504">
        <v>0</v>
      </c>
      <c r="HQ37" s="504">
        <v>0</v>
      </c>
      <c r="HR37" s="504">
        <v>0</v>
      </c>
      <c r="HS37" s="504">
        <v>0</v>
      </c>
      <c r="HT37" s="504">
        <v>0</v>
      </c>
      <c r="HU37" s="504">
        <v>0</v>
      </c>
      <c r="HV37" s="504">
        <v>0</v>
      </c>
      <c r="HW37" s="504">
        <v>0</v>
      </c>
      <c r="HX37" s="504">
        <v>0</v>
      </c>
      <c r="HY37" s="504">
        <v>0</v>
      </c>
      <c r="HZ37" s="504">
        <v>0</v>
      </c>
      <c r="IA37" s="504">
        <v>0</v>
      </c>
      <c r="IB37" s="504">
        <v>0</v>
      </c>
      <c r="IC37" s="504">
        <v>0</v>
      </c>
      <c r="ID37" s="504">
        <v>0</v>
      </c>
      <c r="IE37" s="504">
        <v>0</v>
      </c>
      <c r="IF37" s="504">
        <v>0</v>
      </c>
      <c r="IG37" s="504">
        <v>0</v>
      </c>
      <c r="IH37" s="504">
        <v>0</v>
      </c>
      <c r="II37" s="504">
        <v>0</v>
      </c>
      <c r="IJ37" s="504">
        <v>0</v>
      </c>
      <c r="IK37" s="504">
        <v>0</v>
      </c>
      <c r="IL37" s="504">
        <v>0</v>
      </c>
      <c r="IM37" s="504">
        <v>0</v>
      </c>
      <c r="IN37" s="504">
        <v>0</v>
      </c>
      <c r="IO37" s="504">
        <v>0</v>
      </c>
      <c r="IP37" s="504">
        <v>0</v>
      </c>
      <c r="IQ37" s="504">
        <v>0</v>
      </c>
      <c r="IR37" s="504">
        <v>0</v>
      </c>
      <c r="IS37" s="504">
        <v>0</v>
      </c>
      <c r="IT37" s="504">
        <v>0</v>
      </c>
      <c r="IU37" s="504">
        <v>0</v>
      </c>
      <c r="IV37" s="504">
        <v>0</v>
      </c>
      <c r="IW37" s="504">
        <v>0</v>
      </c>
      <c r="IX37" s="504">
        <v>0</v>
      </c>
      <c r="IY37" s="504">
        <v>0</v>
      </c>
      <c r="IZ37" s="504">
        <v>0</v>
      </c>
      <c r="JA37" s="504">
        <v>0</v>
      </c>
      <c r="JB37" s="504">
        <v>0</v>
      </c>
      <c r="JC37" s="504">
        <v>0</v>
      </c>
      <c r="JD37" s="504">
        <v>0</v>
      </c>
      <c r="JE37" s="504">
        <v>0</v>
      </c>
      <c r="JF37" s="504">
        <v>0</v>
      </c>
      <c r="JG37" s="504">
        <v>0</v>
      </c>
      <c r="JH37" s="504">
        <v>0</v>
      </c>
      <c r="JI37" s="504">
        <v>0</v>
      </c>
      <c r="JJ37" s="504">
        <v>0</v>
      </c>
      <c r="JK37" s="504">
        <v>0</v>
      </c>
      <c r="JL37" s="504">
        <v>0</v>
      </c>
      <c r="JM37" s="504">
        <v>0</v>
      </c>
      <c r="JN37" s="504">
        <v>0</v>
      </c>
      <c r="JO37" s="504">
        <v>0</v>
      </c>
      <c r="JP37" s="504">
        <v>0</v>
      </c>
      <c r="JQ37" s="504">
        <v>0</v>
      </c>
      <c r="JR37" s="504">
        <v>0</v>
      </c>
      <c r="JS37" s="504">
        <v>0</v>
      </c>
      <c r="JT37" s="504">
        <v>0</v>
      </c>
      <c r="JU37" s="504">
        <v>0</v>
      </c>
      <c r="JV37" s="504">
        <v>0</v>
      </c>
      <c r="JW37" s="504">
        <v>0</v>
      </c>
      <c r="JX37" s="504">
        <v>0</v>
      </c>
      <c r="JY37" s="504">
        <v>0</v>
      </c>
      <c r="JZ37" s="504">
        <v>0</v>
      </c>
      <c r="KA37" s="504">
        <v>0</v>
      </c>
      <c r="KB37" s="504">
        <v>0</v>
      </c>
      <c r="KC37" s="504">
        <v>0</v>
      </c>
      <c r="KD37" s="504">
        <v>0</v>
      </c>
      <c r="KE37" s="504">
        <v>0</v>
      </c>
      <c r="KF37" s="504">
        <v>0</v>
      </c>
      <c r="KG37" s="504">
        <v>0</v>
      </c>
      <c r="KH37" s="504">
        <v>0</v>
      </c>
      <c r="KI37" s="504">
        <v>0</v>
      </c>
      <c r="KJ37" s="504">
        <v>0</v>
      </c>
      <c r="KK37" s="504">
        <v>0</v>
      </c>
      <c r="KL37" s="504">
        <v>0</v>
      </c>
      <c r="KM37" s="504">
        <v>0</v>
      </c>
      <c r="KN37" s="504">
        <v>0</v>
      </c>
      <c r="KO37" s="504">
        <v>0</v>
      </c>
      <c r="KP37" s="504">
        <v>0</v>
      </c>
      <c r="KQ37" s="504">
        <v>0</v>
      </c>
      <c r="KR37" s="504">
        <v>0</v>
      </c>
      <c r="KS37" s="504">
        <v>0</v>
      </c>
      <c r="KT37" s="504">
        <v>0</v>
      </c>
      <c r="KU37" s="504">
        <v>0</v>
      </c>
      <c r="KV37" s="504">
        <v>0</v>
      </c>
      <c r="KW37" s="504">
        <v>0</v>
      </c>
      <c r="KX37" s="504">
        <v>0</v>
      </c>
      <c r="KY37" s="504">
        <v>0</v>
      </c>
      <c r="KZ37" s="504">
        <v>0</v>
      </c>
      <c r="LA37" s="504">
        <v>0</v>
      </c>
      <c r="LB37" s="504">
        <v>0</v>
      </c>
      <c r="LC37" s="504">
        <v>0</v>
      </c>
      <c r="LD37" s="504">
        <v>0</v>
      </c>
      <c r="LE37" s="504">
        <v>0</v>
      </c>
      <c r="LF37" s="504">
        <v>0</v>
      </c>
      <c r="LG37" s="504">
        <v>0</v>
      </c>
      <c r="LH37" s="504">
        <v>0</v>
      </c>
      <c r="LI37" s="504">
        <v>0</v>
      </c>
      <c r="LJ37" s="504">
        <v>0</v>
      </c>
      <c r="LK37" s="504">
        <v>0</v>
      </c>
      <c r="LL37" s="504">
        <v>0</v>
      </c>
      <c r="LM37" s="504">
        <v>0</v>
      </c>
      <c r="LN37" s="504">
        <v>0</v>
      </c>
      <c r="LO37" s="504">
        <v>0</v>
      </c>
      <c r="LP37" s="504">
        <v>0</v>
      </c>
      <c r="LQ37" s="504">
        <v>0</v>
      </c>
      <c r="LR37" s="504">
        <v>0</v>
      </c>
      <c r="LS37" s="504">
        <v>0</v>
      </c>
      <c r="LT37" s="504">
        <v>0</v>
      </c>
      <c r="LU37" s="504">
        <v>0</v>
      </c>
      <c r="LV37" s="504">
        <v>0</v>
      </c>
      <c r="LW37" s="504">
        <v>0</v>
      </c>
      <c r="LX37" s="504">
        <v>0</v>
      </c>
      <c r="LY37" s="504">
        <v>0</v>
      </c>
      <c r="LZ37" s="504">
        <v>0</v>
      </c>
      <c r="MA37" s="504">
        <v>0</v>
      </c>
      <c r="MB37" s="504">
        <v>0</v>
      </c>
      <c r="MC37" s="504">
        <v>0</v>
      </c>
      <c r="MD37" s="504">
        <v>0</v>
      </c>
      <c r="ME37" s="504">
        <v>0</v>
      </c>
      <c r="MF37" s="504">
        <v>0</v>
      </c>
      <c r="MG37" s="504">
        <v>0</v>
      </c>
      <c r="MH37" s="504">
        <v>0</v>
      </c>
      <c r="MI37" s="504">
        <v>0</v>
      </c>
      <c r="MJ37" s="504">
        <v>0</v>
      </c>
      <c r="MK37" s="504">
        <v>0</v>
      </c>
      <c r="ML37" s="504">
        <v>0</v>
      </c>
      <c r="MM37" s="504">
        <v>0</v>
      </c>
      <c r="MN37" s="504">
        <v>0</v>
      </c>
      <c r="MO37" s="504">
        <v>0</v>
      </c>
      <c r="MP37" s="504">
        <v>0</v>
      </c>
      <c r="MQ37" s="504">
        <v>0</v>
      </c>
      <c r="MR37" s="504">
        <v>0</v>
      </c>
      <c r="MS37" s="504">
        <v>0</v>
      </c>
      <c r="MT37" s="504">
        <v>0</v>
      </c>
      <c r="MU37" s="504">
        <v>0</v>
      </c>
      <c r="MV37" s="504">
        <v>0</v>
      </c>
      <c r="MW37" s="504">
        <v>0</v>
      </c>
      <c r="MX37" s="504">
        <v>0</v>
      </c>
      <c r="MY37" s="504">
        <v>0</v>
      </c>
      <c r="MZ37" s="504">
        <v>0</v>
      </c>
      <c r="NA37" s="504">
        <v>0</v>
      </c>
      <c r="NB37" s="504">
        <v>0</v>
      </c>
      <c r="NC37" s="504">
        <v>0</v>
      </c>
      <c r="ND37" s="504">
        <v>0</v>
      </c>
      <c r="NE37" s="504">
        <v>0</v>
      </c>
      <c r="NF37" s="504">
        <v>0</v>
      </c>
      <c r="NG37" s="504">
        <v>0</v>
      </c>
      <c r="NH37" s="504">
        <v>0</v>
      </c>
      <c r="NI37" s="504">
        <v>0</v>
      </c>
      <c r="NJ37" s="504">
        <v>0</v>
      </c>
      <c r="NK37" s="504">
        <v>0</v>
      </c>
      <c r="NL37" s="504">
        <v>0</v>
      </c>
      <c r="NM37" s="504">
        <v>0</v>
      </c>
      <c r="NN37" s="504">
        <v>0</v>
      </c>
      <c r="NO37" s="504">
        <v>0</v>
      </c>
      <c r="NP37" s="504">
        <v>0</v>
      </c>
      <c r="NQ37" s="504">
        <v>0</v>
      </c>
      <c r="NR37" s="504">
        <v>0</v>
      </c>
      <c r="NS37" s="504">
        <v>0</v>
      </c>
      <c r="NT37" s="504">
        <v>0</v>
      </c>
      <c r="NU37" s="504">
        <v>0</v>
      </c>
      <c r="NV37" s="504">
        <v>0</v>
      </c>
      <c r="NW37" s="504">
        <v>0</v>
      </c>
      <c r="NX37" s="504">
        <v>0</v>
      </c>
      <c r="NY37" s="504">
        <v>0</v>
      </c>
      <c r="NZ37" s="504">
        <v>0</v>
      </c>
      <c r="OA37" s="504">
        <v>0</v>
      </c>
      <c r="OB37" s="504">
        <v>0</v>
      </c>
      <c r="OC37" s="504">
        <v>0</v>
      </c>
      <c r="OD37" s="504">
        <v>0</v>
      </c>
      <c r="OE37" s="504">
        <v>0</v>
      </c>
      <c r="OF37" s="504">
        <v>0</v>
      </c>
      <c r="OG37" s="504">
        <v>0</v>
      </c>
      <c r="OH37" s="504">
        <v>0</v>
      </c>
      <c r="OI37" s="504">
        <v>0</v>
      </c>
      <c r="OJ37" s="504">
        <v>0</v>
      </c>
      <c r="OK37" s="504">
        <v>0</v>
      </c>
      <c r="OL37" s="504">
        <v>0</v>
      </c>
      <c r="OM37" s="504">
        <v>0</v>
      </c>
      <c r="ON37" s="494"/>
    </row>
    <row r="38" spans="1:404" ht="18.75" customHeight="1" x14ac:dyDescent="0.4">
      <c r="A38" s="355" t="s">
        <v>314</v>
      </c>
      <c r="B38" s="358">
        <v>92</v>
      </c>
      <c r="C38" s="355" t="s">
        <v>60</v>
      </c>
      <c r="D38" s="501">
        <v>26.04</v>
      </c>
      <c r="E38" s="502">
        <v>21824</v>
      </c>
      <c r="F38" s="501">
        <v>26.03</v>
      </c>
      <c r="G38" s="502">
        <v>2940</v>
      </c>
      <c r="H38" s="501">
        <v>26.03</v>
      </c>
      <c r="I38" s="502">
        <v>8088</v>
      </c>
      <c r="J38" s="501">
        <v>26.03</v>
      </c>
      <c r="K38" s="502">
        <v>9049</v>
      </c>
      <c r="V38" s="501"/>
      <c r="W38" s="503"/>
      <c r="X38" s="501"/>
      <c r="Y38" s="503"/>
      <c r="Z38" s="501"/>
      <c r="AA38" s="503"/>
      <c r="AB38" s="495"/>
      <c r="AC38" s="504">
        <v>0</v>
      </c>
      <c r="AD38" s="504">
        <v>0</v>
      </c>
      <c r="AE38" s="504">
        <v>0</v>
      </c>
      <c r="AF38" s="504">
        <v>0</v>
      </c>
      <c r="AG38" s="504">
        <v>0</v>
      </c>
      <c r="AH38" s="504">
        <v>0</v>
      </c>
      <c r="AI38" s="504">
        <v>0</v>
      </c>
      <c r="AJ38" s="504">
        <v>0</v>
      </c>
      <c r="AK38" s="504">
        <v>0</v>
      </c>
      <c r="AL38" s="504">
        <v>0</v>
      </c>
      <c r="AM38" s="504">
        <v>0</v>
      </c>
      <c r="AN38" s="504">
        <v>0</v>
      </c>
      <c r="AO38" s="504">
        <v>0</v>
      </c>
      <c r="AP38" s="504">
        <v>0</v>
      </c>
      <c r="AQ38" s="504">
        <v>0</v>
      </c>
      <c r="AR38" s="504">
        <v>0</v>
      </c>
      <c r="AS38" s="504">
        <v>0</v>
      </c>
      <c r="AT38" s="504">
        <v>0</v>
      </c>
      <c r="AU38" s="504">
        <v>0</v>
      </c>
      <c r="AV38" s="504">
        <v>0</v>
      </c>
      <c r="AW38" s="504">
        <v>0</v>
      </c>
      <c r="AX38" s="504">
        <v>0</v>
      </c>
      <c r="AY38" s="504">
        <v>0</v>
      </c>
      <c r="AZ38" s="504">
        <v>0</v>
      </c>
      <c r="BA38" s="504">
        <v>0</v>
      </c>
      <c r="BB38" s="504">
        <v>0</v>
      </c>
      <c r="BC38" s="504">
        <v>0</v>
      </c>
      <c r="BD38" s="504">
        <v>0</v>
      </c>
      <c r="BE38" s="504">
        <v>0</v>
      </c>
      <c r="BF38" s="504">
        <v>0</v>
      </c>
      <c r="BG38" s="504">
        <v>0</v>
      </c>
      <c r="BH38" s="504">
        <v>0</v>
      </c>
      <c r="BI38" s="504">
        <v>0</v>
      </c>
      <c r="BJ38" s="504">
        <v>0</v>
      </c>
      <c r="BK38" s="504">
        <v>0</v>
      </c>
      <c r="BL38" s="504">
        <v>0</v>
      </c>
      <c r="BM38" s="504">
        <v>0</v>
      </c>
      <c r="BN38" s="504">
        <v>0</v>
      </c>
      <c r="BO38" s="504">
        <v>0</v>
      </c>
      <c r="BP38" s="504">
        <v>0</v>
      </c>
      <c r="BQ38" s="504">
        <v>0</v>
      </c>
      <c r="BR38" s="504">
        <v>0</v>
      </c>
      <c r="BS38" s="504">
        <v>0</v>
      </c>
      <c r="BT38" s="504">
        <v>0</v>
      </c>
      <c r="BU38" s="504">
        <v>0</v>
      </c>
      <c r="BV38" s="504">
        <v>0</v>
      </c>
      <c r="BW38" s="504">
        <v>0</v>
      </c>
      <c r="BX38" s="504">
        <v>0</v>
      </c>
      <c r="BY38" s="504">
        <v>0</v>
      </c>
      <c r="BZ38" s="504">
        <v>0</v>
      </c>
      <c r="CA38" s="504">
        <v>0</v>
      </c>
      <c r="CB38" s="504">
        <v>0</v>
      </c>
      <c r="CC38" s="504">
        <v>0</v>
      </c>
      <c r="CD38" s="504">
        <v>0</v>
      </c>
      <c r="CE38" s="504">
        <v>0</v>
      </c>
      <c r="CF38" s="504">
        <v>0</v>
      </c>
      <c r="CG38" s="504">
        <v>0</v>
      </c>
      <c r="CH38" s="504">
        <v>0</v>
      </c>
      <c r="CI38" s="504">
        <v>0</v>
      </c>
      <c r="CJ38" s="504">
        <v>0</v>
      </c>
      <c r="CK38" s="504">
        <v>0</v>
      </c>
      <c r="CL38" s="504">
        <v>0</v>
      </c>
      <c r="CM38" s="504">
        <v>0</v>
      </c>
      <c r="CN38" s="504">
        <v>0</v>
      </c>
      <c r="CO38" s="504">
        <v>0</v>
      </c>
      <c r="CP38" s="504">
        <v>0</v>
      </c>
      <c r="CQ38" s="504">
        <v>0</v>
      </c>
      <c r="CR38" s="504">
        <v>0</v>
      </c>
      <c r="CS38" s="504">
        <v>0</v>
      </c>
      <c r="CT38" s="504">
        <v>0</v>
      </c>
      <c r="CU38" s="504">
        <v>0</v>
      </c>
      <c r="CV38" s="504">
        <v>0</v>
      </c>
      <c r="CW38" s="504">
        <v>0</v>
      </c>
      <c r="CX38" s="504">
        <v>0</v>
      </c>
      <c r="CY38" s="504">
        <v>0</v>
      </c>
      <c r="CZ38" s="504">
        <v>0</v>
      </c>
      <c r="DA38" s="504">
        <v>0</v>
      </c>
      <c r="DB38" s="504">
        <v>0</v>
      </c>
      <c r="DC38" s="504">
        <v>0</v>
      </c>
      <c r="DD38" s="504">
        <v>0</v>
      </c>
      <c r="DE38" s="504">
        <v>0</v>
      </c>
      <c r="DF38" s="504">
        <v>0</v>
      </c>
      <c r="DG38" s="504">
        <v>0</v>
      </c>
      <c r="DH38" s="504">
        <v>0</v>
      </c>
      <c r="DI38" s="504">
        <v>0</v>
      </c>
      <c r="DJ38" s="504">
        <v>0</v>
      </c>
      <c r="DK38" s="504">
        <v>0</v>
      </c>
      <c r="DL38" s="504">
        <v>0</v>
      </c>
      <c r="DM38" s="504">
        <v>0</v>
      </c>
      <c r="DN38" s="504">
        <v>0</v>
      </c>
      <c r="DO38" s="504">
        <v>0</v>
      </c>
      <c r="DP38" s="504">
        <v>0</v>
      </c>
      <c r="DQ38" s="504">
        <v>0</v>
      </c>
      <c r="DR38" s="504">
        <v>0</v>
      </c>
      <c r="DS38" s="504">
        <v>0</v>
      </c>
      <c r="DT38" s="504">
        <v>0</v>
      </c>
      <c r="DU38" s="504">
        <v>0</v>
      </c>
      <c r="DV38" s="504">
        <v>0</v>
      </c>
      <c r="DW38" s="504">
        <v>0</v>
      </c>
      <c r="DX38" s="504">
        <v>0</v>
      </c>
      <c r="DY38" s="504">
        <v>0</v>
      </c>
      <c r="DZ38" s="504">
        <v>0</v>
      </c>
      <c r="EA38" s="504">
        <v>0</v>
      </c>
      <c r="EB38" s="504">
        <v>0</v>
      </c>
      <c r="EC38" s="504">
        <v>0</v>
      </c>
      <c r="ED38" s="504">
        <v>0</v>
      </c>
      <c r="EE38" s="504">
        <v>0</v>
      </c>
      <c r="EF38" s="504">
        <v>0</v>
      </c>
      <c r="EG38" s="504">
        <v>0</v>
      </c>
      <c r="EH38" s="504">
        <v>0</v>
      </c>
      <c r="EI38" s="504">
        <v>0</v>
      </c>
      <c r="EJ38" s="504">
        <v>0</v>
      </c>
      <c r="EK38" s="504">
        <v>0</v>
      </c>
      <c r="EL38" s="504">
        <v>0</v>
      </c>
      <c r="EM38" s="504">
        <v>0</v>
      </c>
      <c r="EN38" s="504">
        <v>0</v>
      </c>
      <c r="EO38" s="504">
        <v>0</v>
      </c>
      <c r="EP38" s="504">
        <v>0</v>
      </c>
      <c r="EQ38" s="504">
        <v>0</v>
      </c>
      <c r="ER38" s="504">
        <v>0</v>
      </c>
      <c r="ES38" s="504">
        <v>0</v>
      </c>
      <c r="ET38" s="504">
        <v>0</v>
      </c>
      <c r="EU38" s="504">
        <v>0</v>
      </c>
      <c r="EV38" s="504">
        <v>0</v>
      </c>
      <c r="EW38" s="504">
        <v>0</v>
      </c>
      <c r="EX38" s="504">
        <v>0</v>
      </c>
      <c r="EY38" s="504">
        <v>0</v>
      </c>
      <c r="EZ38" s="504">
        <v>0</v>
      </c>
      <c r="FA38" s="504">
        <v>0</v>
      </c>
      <c r="FB38" s="504">
        <v>0</v>
      </c>
      <c r="FC38" s="504">
        <v>0</v>
      </c>
      <c r="FD38" s="504">
        <v>0</v>
      </c>
      <c r="FE38" s="504">
        <v>0</v>
      </c>
      <c r="FF38" s="504">
        <v>0</v>
      </c>
      <c r="FG38" s="504">
        <v>0</v>
      </c>
      <c r="FH38" s="504">
        <v>0</v>
      </c>
      <c r="FI38" s="504">
        <v>0</v>
      </c>
      <c r="FJ38" s="504">
        <v>0</v>
      </c>
      <c r="FK38" s="504">
        <v>0</v>
      </c>
      <c r="FL38" s="504">
        <v>0</v>
      </c>
      <c r="FM38" s="504">
        <v>0</v>
      </c>
      <c r="FN38" s="504">
        <v>0</v>
      </c>
      <c r="FO38" s="504">
        <v>0</v>
      </c>
      <c r="FP38" s="504">
        <v>0</v>
      </c>
      <c r="FQ38" s="504">
        <v>0</v>
      </c>
      <c r="FR38" s="504">
        <v>0</v>
      </c>
      <c r="FS38" s="504">
        <v>0</v>
      </c>
      <c r="FT38" s="504">
        <v>0</v>
      </c>
      <c r="FU38" s="504">
        <v>0</v>
      </c>
      <c r="FV38" s="504">
        <v>0</v>
      </c>
      <c r="FW38" s="504">
        <v>0</v>
      </c>
      <c r="FX38" s="504">
        <v>0</v>
      </c>
      <c r="FY38" s="504">
        <v>0</v>
      </c>
      <c r="FZ38" s="504">
        <v>0</v>
      </c>
      <c r="GA38" s="504">
        <v>0</v>
      </c>
      <c r="GB38" s="504">
        <v>0</v>
      </c>
      <c r="GC38" s="504">
        <v>0</v>
      </c>
      <c r="GD38" s="504">
        <v>0</v>
      </c>
      <c r="GE38" s="504">
        <v>0</v>
      </c>
      <c r="GF38" s="504">
        <v>0</v>
      </c>
      <c r="GG38" s="504">
        <v>0</v>
      </c>
      <c r="GH38" s="504">
        <v>0</v>
      </c>
      <c r="GI38" s="504">
        <v>0</v>
      </c>
      <c r="GJ38" s="504">
        <v>0</v>
      </c>
      <c r="GK38" s="504">
        <v>0</v>
      </c>
      <c r="GL38" s="504">
        <v>0</v>
      </c>
      <c r="GM38" s="504">
        <v>0</v>
      </c>
      <c r="GN38" s="504">
        <v>0</v>
      </c>
      <c r="GO38" s="504">
        <v>0</v>
      </c>
      <c r="GP38" s="504">
        <v>0</v>
      </c>
      <c r="GQ38" s="504">
        <v>0</v>
      </c>
      <c r="GR38" s="504">
        <v>0</v>
      </c>
      <c r="GS38" s="504">
        <v>0</v>
      </c>
      <c r="GT38" s="504">
        <v>0</v>
      </c>
      <c r="GU38" s="504">
        <v>0</v>
      </c>
      <c r="GV38" s="504">
        <v>0</v>
      </c>
      <c r="GW38" s="504">
        <v>0</v>
      </c>
      <c r="GX38" s="504">
        <v>0</v>
      </c>
      <c r="GY38" s="504">
        <v>0</v>
      </c>
      <c r="GZ38" s="504">
        <v>0</v>
      </c>
      <c r="HA38" s="504">
        <v>0</v>
      </c>
      <c r="HB38" s="504">
        <v>0</v>
      </c>
      <c r="HC38" s="504">
        <v>0</v>
      </c>
      <c r="HD38" s="504">
        <v>0</v>
      </c>
      <c r="HE38" s="504">
        <v>0</v>
      </c>
      <c r="HF38" s="504">
        <v>0</v>
      </c>
      <c r="HG38" s="504">
        <v>0</v>
      </c>
      <c r="HH38" s="504">
        <v>0</v>
      </c>
      <c r="HI38" s="504">
        <v>0</v>
      </c>
      <c r="HJ38" s="504">
        <v>0</v>
      </c>
      <c r="HK38" s="504">
        <v>0</v>
      </c>
      <c r="HL38" s="504">
        <v>0</v>
      </c>
      <c r="HM38" s="504">
        <v>0</v>
      </c>
      <c r="HN38" s="504">
        <v>0</v>
      </c>
      <c r="HO38" s="504">
        <v>0</v>
      </c>
      <c r="HP38" s="504">
        <v>0</v>
      </c>
      <c r="HQ38" s="504">
        <v>0</v>
      </c>
      <c r="HR38" s="504">
        <v>0</v>
      </c>
      <c r="HS38" s="504">
        <v>0</v>
      </c>
      <c r="HT38" s="504">
        <v>0</v>
      </c>
      <c r="HU38" s="504">
        <v>0</v>
      </c>
      <c r="HV38" s="504">
        <v>0</v>
      </c>
      <c r="HW38" s="504">
        <v>0</v>
      </c>
      <c r="HX38" s="504">
        <v>0</v>
      </c>
      <c r="HY38" s="504">
        <v>0</v>
      </c>
      <c r="HZ38" s="504">
        <v>0</v>
      </c>
      <c r="IA38" s="504">
        <v>0</v>
      </c>
      <c r="IB38" s="504">
        <v>0</v>
      </c>
      <c r="IC38" s="504">
        <v>0</v>
      </c>
      <c r="ID38" s="504">
        <v>0</v>
      </c>
      <c r="IE38" s="504">
        <v>0</v>
      </c>
      <c r="IF38" s="504">
        <v>0</v>
      </c>
      <c r="IG38" s="504">
        <v>0</v>
      </c>
      <c r="IH38" s="504">
        <v>0</v>
      </c>
      <c r="II38" s="504">
        <v>0</v>
      </c>
      <c r="IJ38" s="504">
        <v>0</v>
      </c>
      <c r="IK38" s="504">
        <v>0</v>
      </c>
      <c r="IL38" s="504">
        <v>0</v>
      </c>
      <c r="IM38" s="504">
        <v>0</v>
      </c>
      <c r="IN38" s="504">
        <v>0</v>
      </c>
      <c r="IO38" s="504">
        <v>0</v>
      </c>
      <c r="IP38" s="504">
        <v>0</v>
      </c>
      <c r="IQ38" s="504">
        <v>0</v>
      </c>
      <c r="IR38" s="504">
        <v>0</v>
      </c>
      <c r="IS38" s="504">
        <v>0</v>
      </c>
      <c r="IT38" s="504">
        <v>0</v>
      </c>
      <c r="IU38" s="504">
        <v>0</v>
      </c>
      <c r="IV38" s="504">
        <v>0</v>
      </c>
      <c r="IW38" s="504">
        <v>0</v>
      </c>
      <c r="IX38" s="504">
        <v>0</v>
      </c>
      <c r="IY38" s="504">
        <v>0</v>
      </c>
      <c r="IZ38" s="504">
        <v>0</v>
      </c>
      <c r="JA38" s="504">
        <v>0</v>
      </c>
      <c r="JB38" s="504">
        <v>0</v>
      </c>
      <c r="JC38" s="504">
        <v>0</v>
      </c>
      <c r="JD38" s="504">
        <v>0</v>
      </c>
      <c r="JE38" s="504">
        <v>0</v>
      </c>
      <c r="JF38" s="504">
        <v>0</v>
      </c>
      <c r="JG38" s="504">
        <v>0</v>
      </c>
      <c r="JH38" s="504">
        <v>0</v>
      </c>
      <c r="JI38" s="504">
        <v>0</v>
      </c>
      <c r="JJ38" s="504">
        <v>0</v>
      </c>
      <c r="JK38" s="504">
        <v>0</v>
      </c>
      <c r="JL38" s="504">
        <v>0</v>
      </c>
      <c r="JM38" s="504">
        <v>0</v>
      </c>
      <c r="JN38" s="504">
        <v>0</v>
      </c>
      <c r="JO38" s="504">
        <v>0</v>
      </c>
      <c r="JP38" s="504">
        <v>0</v>
      </c>
      <c r="JQ38" s="504">
        <v>0</v>
      </c>
      <c r="JR38" s="504">
        <v>0</v>
      </c>
      <c r="JS38" s="504">
        <v>0</v>
      </c>
      <c r="JT38" s="504">
        <v>0</v>
      </c>
      <c r="JU38" s="504">
        <v>0</v>
      </c>
      <c r="JV38" s="504">
        <v>0</v>
      </c>
      <c r="JW38" s="504">
        <v>0</v>
      </c>
      <c r="JX38" s="504">
        <v>0</v>
      </c>
      <c r="JY38" s="504">
        <v>0</v>
      </c>
      <c r="JZ38" s="504">
        <v>0</v>
      </c>
      <c r="KA38" s="504">
        <v>0</v>
      </c>
      <c r="KB38" s="504">
        <v>0</v>
      </c>
      <c r="KC38" s="504">
        <v>0</v>
      </c>
      <c r="KD38" s="504">
        <v>0</v>
      </c>
      <c r="KE38" s="504">
        <v>0</v>
      </c>
      <c r="KF38" s="504">
        <v>0</v>
      </c>
      <c r="KG38" s="504">
        <v>0</v>
      </c>
      <c r="KH38" s="504">
        <v>0</v>
      </c>
      <c r="KI38" s="504">
        <v>0</v>
      </c>
      <c r="KJ38" s="504">
        <v>0</v>
      </c>
      <c r="KK38" s="504">
        <v>0</v>
      </c>
      <c r="KL38" s="504">
        <v>0</v>
      </c>
      <c r="KM38" s="504">
        <v>0</v>
      </c>
      <c r="KN38" s="504">
        <v>0</v>
      </c>
      <c r="KO38" s="504">
        <v>0</v>
      </c>
      <c r="KP38" s="504">
        <v>0</v>
      </c>
      <c r="KQ38" s="504">
        <v>0</v>
      </c>
      <c r="KR38" s="504">
        <v>0</v>
      </c>
      <c r="KS38" s="504">
        <v>0</v>
      </c>
      <c r="KT38" s="504">
        <v>0</v>
      </c>
      <c r="KU38" s="504">
        <v>0</v>
      </c>
      <c r="KV38" s="504">
        <v>0</v>
      </c>
      <c r="KW38" s="504">
        <v>0</v>
      </c>
      <c r="KX38" s="504">
        <v>0</v>
      </c>
      <c r="KY38" s="504">
        <v>0</v>
      </c>
      <c r="KZ38" s="504">
        <v>0</v>
      </c>
      <c r="LA38" s="504">
        <v>0</v>
      </c>
      <c r="LB38" s="504">
        <v>0</v>
      </c>
      <c r="LC38" s="504">
        <v>0</v>
      </c>
      <c r="LD38" s="504">
        <v>0</v>
      </c>
      <c r="LE38" s="504">
        <v>0</v>
      </c>
      <c r="LF38" s="504">
        <v>0</v>
      </c>
      <c r="LG38" s="504">
        <v>0</v>
      </c>
      <c r="LH38" s="504">
        <v>0</v>
      </c>
      <c r="LI38" s="504">
        <v>0</v>
      </c>
      <c r="LJ38" s="504">
        <v>0</v>
      </c>
      <c r="LK38" s="504">
        <v>0</v>
      </c>
      <c r="LL38" s="504">
        <v>0</v>
      </c>
      <c r="LM38" s="504">
        <v>0</v>
      </c>
      <c r="LN38" s="504">
        <v>0</v>
      </c>
      <c r="LO38" s="504">
        <v>0</v>
      </c>
      <c r="LP38" s="504">
        <v>0</v>
      </c>
      <c r="LQ38" s="504">
        <v>0</v>
      </c>
      <c r="LR38" s="504">
        <v>0</v>
      </c>
      <c r="LS38" s="504">
        <v>0</v>
      </c>
      <c r="LT38" s="504">
        <v>0</v>
      </c>
      <c r="LU38" s="504">
        <v>0</v>
      </c>
      <c r="LV38" s="504">
        <v>0</v>
      </c>
      <c r="LW38" s="504">
        <v>0</v>
      </c>
      <c r="LX38" s="504">
        <v>0</v>
      </c>
      <c r="LY38" s="504">
        <v>0</v>
      </c>
      <c r="LZ38" s="504">
        <v>0</v>
      </c>
      <c r="MA38" s="504">
        <v>0</v>
      </c>
      <c r="MB38" s="504">
        <v>0</v>
      </c>
      <c r="MC38" s="504">
        <v>0</v>
      </c>
      <c r="MD38" s="504">
        <v>0</v>
      </c>
      <c r="ME38" s="504">
        <v>0</v>
      </c>
      <c r="MF38" s="504">
        <v>0</v>
      </c>
      <c r="MG38" s="504">
        <v>0</v>
      </c>
      <c r="MH38" s="504">
        <v>0</v>
      </c>
      <c r="MI38" s="504">
        <v>0</v>
      </c>
      <c r="MJ38" s="504">
        <v>0</v>
      </c>
      <c r="MK38" s="504">
        <v>0</v>
      </c>
      <c r="ML38" s="504">
        <v>0</v>
      </c>
      <c r="MM38" s="504">
        <v>0</v>
      </c>
      <c r="MN38" s="504">
        <v>0</v>
      </c>
      <c r="MO38" s="504">
        <v>0</v>
      </c>
      <c r="MP38" s="504">
        <v>0</v>
      </c>
      <c r="MQ38" s="504">
        <v>0</v>
      </c>
      <c r="MR38" s="504">
        <v>0</v>
      </c>
      <c r="MS38" s="504">
        <v>0</v>
      </c>
      <c r="MT38" s="504">
        <v>0</v>
      </c>
      <c r="MU38" s="504">
        <v>0</v>
      </c>
      <c r="MV38" s="504">
        <v>0</v>
      </c>
      <c r="MW38" s="504">
        <v>0</v>
      </c>
      <c r="MX38" s="504">
        <v>0</v>
      </c>
      <c r="MY38" s="504">
        <v>0</v>
      </c>
      <c r="MZ38" s="504">
        <v>0</v>
      </c>
      <c r="NA38" s="504">
        <v>0</v>
      </c>
      <c r="NB38" s="504">
        <v>0</v>
      </c>
      <c r="NC38" s="504">
        <v>0</v>
      </c>
      <c r="ND38" s="504">
        <v>0</v>
      </c>
      <c r="NE38" s="504">
        <v>0</v>
      </c>
      <c r="NF38" s="504">
        <v>0</v>
      </c>
      <c r="NG38" s="504">
        <v>0</v>
      </c>
      <c r="NH38" s="504">
        <v>0</v>
      </c>
      <c r="NI38" s="504">
        <v>0</v>
      </c>
      <c r="NJ38" s="504">
        <v>0</v>
      </c>
      <c r="NK38" s="504">
        <v>0</v>
      </c>
      <c r="NL38" s="504">
        <v>0</v>
      </c>
      <c r="NM38" s="504">
        <v>0</v>
      </c>
      <c r="NN38" s="504">
        <v>0</v>
      </c>
      <c r="NO38" s="504">
        <v>0</v>
      </c>
      <c r="NP38" s="504">
        <v>0</v>
      </c>
      <c r="NQ38" s="504">
        <v>0</v>
      </c>
      <c r="NR38" s="504">
        <v>0</v>
      </c>
      <c r="NS38" s="504">
        <v>0</v>
      </c>
      <c r="NT38" s="504">
        <v>0</v>
      </c>
      <c r="NU38" s="504">
        <v>0</v>
      </c>
      <c r="NV38" s="504">
        <v>0</v>
      </c>
      <c r="NW38" s="504">
        <v>0</v>
      </c>
      <c r="NX38" s="504">
        <v>0</v>
      </c>
      <c r="NY38" s="504">
        <v>0</v>
      </c>
      <c r="NZ38" s="504">
        <v>0</v>
      </c>
      <c r="OA38" s="504">
        <v>0</v>
      </c>
      <c r="OB38" s="504">
        <v>0</v>
      </c>
      <c r="OC38" s="504">
        <v>0</v>
      </c>
      <c r="OD38" s="504">
        <v>0</v>
      </c>
      <c r="OE38" s="504">
        <v>0</v>
      </c>
      <c r="OF38" s="504">
        <v>0</v>
      </c>
      <c r="OG38" s="504">
        <v>0</v>
      </c>
      <c r="OH38" s="504">
        <v>0</v>
      </c>
      <c r="OI38" s="504">
        <v>0</v>
      </c>
      <c r="OJ38" s="504">
        <v>0</v>
      </c>
      <c r="OK38" s="504">
        <v>0</v>
      </c>
      <c r="OL38" s="504">
        <v>0</v>
      </c>
      <c r="OM38" s="504">
        <v>0</v>
      </c>
      <c r="ON38" s="494"/>
    </row>
    <row r="39" spans="1:404" ht="18.75" customHeight="1" x14ac:dyDescent="0.4">
      <c r="A39" s="355" t="s">
        <v>315</v>
      </c>
      <c r="B39" s="358">
        <v>85</v>
      </c>
      <c r="C39" s="355" t="s">
        <v>60</v>
      </c>
      <c r="D39" s="501">
        <v>26.6</v>
      </c>
      <c r="E39" s="502">
        <v>688248</v>
      </c>
      <c r="F39" s="501">
        <v>26.58</v>
      </c>
      <c r="G39" s="502">
        <v>139100</v>
      </c>
      <c r="H39" s="501">
        <v>26.58</v>
      </c>
      <c r="I39" s="502">
        <v>369777</v>
      </c>
      <c r="J39" s="501">
        <v>26.59</v>
      </c>
      <c r="K39" s="502">
        <v>395475</v>
      </c>
      <c r="V39" s="501"/>
      <c r="W39" s="503"/>
      <c r="X39" s="501"/>
      <c r="Y39" s="503"/>
      <c r="Z39" s="501"/>
      <c r="AA39" s="503"/>
      <c r="AB39" s="495"/>
      <c r="AC39" s="504">
        <v>0</v>
      </c>
      <c r="AD39" s="504">
        <v>0</v>
      </c>
      <c r="AE39" s="504">
        <v>0</v>
      </c>
      <c r="AF39" s="504">
        <v>0</v>
      </c>
      <c r="AG39" s="504">
        <v>0</v>
      </c>
      <c r="AH39" s="504">
        <v>0</v>
      </c>
      <c r="AI39" s="504">
        <v>0</v>
      </c>
      <c r="AJ39" s="504">
        <v>0</v>
      </c>
      <c r="AK39" s="504">
        <v>0</v>
      </c>
      <c r="AL39" s="504">
        <v>0</v>
      </c>
      <c r="AM39" s="504">
        <v>0</v>
      </c>
      <c r="AN39" s="504">
        <v>0</v>
      </c>
      <c r="AO39" s="504">
        <v>0</v>
      </c>
      <c r="AP39" s="504">
        <v>0</v>
      </c>
      <c r="AQ39" s="504">
        <v>0</v>
      </c>
      <c r="AR39" s="504">
        <v>0</v>
      </c>
      <c r="AS39" s="504">
        <v>0</v>
      </c>
      <c r="AT39" s="504">
        <v>0</v>
      </c>
      <c r="AU39" s="504">
        <v>0</v>
      </c>
      <c r="AV39" s="504">
        <v>0</v>
      </c>
      <c r="AW39" s="504">
        <v>0</v>
      </c>
      <c r="AX39" s="504">
        <v>0</v>
      </c>
      <c r="AY39" s="504">
        <v>0</v>
      </c>
      <c r="AZ39" s="504">
        <v>0</v>
      </c>
      <c r="BA39" s="504">
        <v>0</v>
      </c>
      <c r="BB39" s="504">
        <v>0</v>
      </c>
      <c r="BC39" s="504">
        <v>0</v>
      </c>
      <c r="BD39" s="504">
        <v>0</v>
      </c>
      <c r="BE39" s="504">
        <v>0</v>
      </c>
      <c r="BF39" s="504">
        <v>0</v>
      </c>
      <c r="BG39" s="504">
        <v>0</v>
      </c>
      <c r="BH39" s="504">
        <v>0</v>
      </c>
      <c r="BI39" s="504">
        <v>0</v>
      </c>
      <c r="BJ39" s="504">
        <v>0</v>
      </c>
      <c r="BK39" s="504">
        <v>0</v>
      </c>
      <c r="BL39" s="504">
        <v>0</v>
      </c>
      <c r="BM39" s="504">
        <v>0</v>
      </c>
      <c r="BN39" s="504">
        <v>0</v>
      </c>
      <c r="BO39" s="504">
        <v>0</v>
      </c>
      <c r="BP39" s="504">
        <v>0</v>
      </c>
      <c r="BQ39" s="504">
        <v>0</v>
      </c>
      <c r="BR39" s="504">
        <v>0</v>
      </c>
      <c r="BS39" s="504">
        <v>0</v>
      </c>
      <c r="BT39" s="504">
        <v>0</v>
      </c>
      <c r="BU39" s="504">
        <v>0</v>
      </c>
      <c r="BV39" s="504">
        <v>0</v>
      </c>
      <c r="BW39" s="504">
        <v>0</v>
      </c>
      <c r="BX39" s="504">
        <v>0</v>
      </c>
      <c r="BY39" s="504">
        <v>0</v>
      </c>
      <c r="BZ39" s="504">
        <v>0</v>
      </c>
      <c r="CA39" s="504">
        <v>0</v>
      </c>
      <c r="CB39" s="504">
        <v>0</v>
      </c>
      <c r="CC39" s="504">
        <v>0</v>
      </c>
      <c r="CD39" s="504">
        <v>0</v>
      </c>
      <c r="CE39" s="504">
        <v>0</v>
      </c>
      <c r="CF39" s="504">
        <v>0</v>
      </c>
      <c r="CG39" s="504">
        <v>0</v>
      </c>
      <c r="CH39" s="504">
        <v>0</v>
      </c>
      <c r="CI39" s="504">
        <v>0</v>
      </c>
      <c r="CJ39" s="504">
        <v>0</v>
      </c>
      <c r="CK39" s="504">
        <v>0</v>
      </c>
      <c r="CL39" s="504">
        <v>0</v>
      </c>
      <c r="CM39" s="504">
        <v>0</v>
      </c>
      <c r="CN39" s="504">
        <v>0</v>
      </c>
      <c r="CO39" s="504">
        <v>0</v>
      </c>
      <c r="CP39" s="504">
        <v>0</v>
      </c>
      <c r="CQ39" s="504">
        <v>0</v>
      </c>
      <c r="CR39" s="504">
        <v>0</v>
      </c>
      <c r="CS39" s="504">
        <v>0</v>
      </c>
      <c r="CT39" s="504">
        <v>0</v>
      </c>
      <c r="CU39" s="504">
        <v>0</v>
      </c>
      <c r="CV39" s="504">
        <v>0</v>
      </c>
      <c r="CW39" s="504">
        <v>0</v>
      </c>
      <c r="CX39" s="504">
        <v>0</v>
      </c>
      <c r="CY39" s="504">
        <v>0</v>
      </c>
      <c r="CZ39" s="504">
        <v>0</v>
      </c>
      <c r="DA39" s="504">
        <v>0</v>
      </c>
      <c r="DB39" s="504">
        <v>0</v>
      </c>
      <c r="DC39" s="504">
        <v>0</v>
      </c>
      <c r="DD39" s="504">
        <v>0</v>
      </c>
      <c r="DE39" s="504">
        <v>0</v>
      </c>
      <c r="DF39" s="504">
        <v>0</v>
      </c>
      <c r="DG39" s="504">
        <v>0</v>
      </c>
      <c r="DH39" s="504">
        <v>0</v>
      </c>
      <c r="DI39" s="504">
        <v>0</v>
      </c>
      <c r="DJ39" s="504">
        <v>0</v>
      </c>
      <c r="DK39" s="504">
        <v>0</v>
      </c>
      <c r="DL39" s="504">
        <v>0</v>
      </c>
      <c r="DM39" s="504">
        <v>0</v>
      </c>
      <c r="DN39" s="504">
        <v>0</v>
      </c>
      <c r="DO39" s="504">
        <v>0</v>
      </c>
      <c r="DP39" s="504">
        <v>0</v>
      </c>
      <c r="DQ39" s="504">
        <v>0</v>
      </c>
      <c r="DR39" s="504">
        <v>0</v>
      </c>
      <c r="DS39" s="504">
        <v>0</v>
      </c>
      <c r="DT39" s="504">
        <v>0</v>
      </c>
      <c r="DU39" s="504">
        <v>0</v>
      </c>
      <c r="DV39" s="504">
        <v>0</v>
      </c>
      <c r="DW39" s="504">
        <v>0</v>
      </c>
      <c r="DX39" s="504">
        <v>0</v>
      </c>
      <c r="DY39" s="504">
        <v>0</v>
      </c>
      <c r="DZ39" s="504">
        <v>0</v>
      </c>
      <c r="EA39" s="504">
        <v>0</v>
      </c>
      <c r="EB39" s="504">
        <v>0</v>
      </c>
      <c r="EC39" s="504">
        <v>0</v>
      </c>
      <c r="ED39" s="504">
        <v>0</v>
      </c>
      <c r="EE39" s="504">
        <v>0</v>
      </c>
      <c r="EF39" s="504">
        <v>0</v>
      </c>
      <c r="EG39" s="504">
        <v>0</v>
      </c>
      <c r="EH39" s="504">
        <v>0</v>
      </c>
      <c r="EI39" s="504">
        <v>0</v>
      </c>
      <c r="EJ39" s="504">
        <v>0</v>
      </c>
      <c r="EK39" s="504">
        <v>0</v>
      </c>
      <c r="EL39" s="504">
        <v>0</v>
      </c>
      <c r="EM39" s="504">
        <v>0</v>
      </c>
      <c r="EN39" s="504">
        <v>0</v>
      </c>
      <c r="EO39" s="504">
        <v>0</v>
      </c>
      <c r="EP39" s="504">
        <v>0</v>
      </c>
      <c r="EQ39" s="504">
        <v>0</v>
      </c>
      <c r="ER39" s="504">
        <v>0</v>
      </c>
      <c r="ES39" s="504">
        <v>0</v>
      </c>
      <c r="ET39" s="504">
        <v>0</v>
      </c>
      <c r="EU39" s="504">
        <v>0</v>
      </c>
      <c r="EV39" s="504">
        <v>0</v>
      </c>
      <c r="EW39" s="504">
        <v>0</v>
      </c>
      <c r="EX39" s="504">
        <v>0</v>
      </c>
      <c r="EY39" s="504">
        <v>0</v>
      </c>
      <c r="EZ39" s="504">
        <v>0</v>
      </c>
      <c r="FA39" s="504">
        <v>0</v>
      </c>
      <c r="FB39" s="504">
        <v>0</v>
      </c>
      <c r="FC39" s="504">
        <v>0</v>
      </c>
      <c r="FD39" s="504">
        <v>0</v>
      </c>
      <c r="FE39" s="504">
        <v>0</v>
      </c>
      <c r="FF39" s="504">
        <v>0</v>
      </c>
      <c r="FG39" s="504">
        <v>0</v>
      </c>
      <c r="FH39" s="504">
        <v>0</v>
      </c>
      <c r="FI39" s="504">
        <v>0</v>
      </c>
      <c r="FJ39" s="504">
        <v>0</v>
      </c>
      <c r="FK39" s="504">
        <v>0</v>
      </c>
      <c r="FL39" s="504">
        <v>0</v>
      </c>
      <c r="FM39" s="504">
        <v>0</v>
      </c>
      <c r="FN39" s="504">
        <v>0</v>
      </c>
      <c r="FO39" s="504">
        <v>0</v>
      </c>
      <c r="FP39" s="504">
        <v>0</v>
      </c>
      <c r="FQ39" s="504">
        <v>0</v>
      </c>
      <c r="FR39" s="504">
        <v>0</v>
      </c>
      <c r="FS39" s="504">
        <v>0</v>
      </c>
      <c r="FT39" s="504">
        <v>0</v>
      </c>
      <c r="FU39" s="504">
        <v>0</v>
      </c>
      <c r="FV39" s="504">
        <v>0</v>
      </c>
      <c r="FW39" s="504">
        <v>0</v>
      </c>
      <c r="FX39" s="504">
        <v>0</v>
      </c>
      <c r="FY39" s="504">
        <v>0</v>
      </c>
      <c r="FZ39" s="504">
        <v>0</v>
      </c>
      <c r="GA39" s="504">
        <v>0</v>
      </c>
      <c r="GB39" s="504">
        <v>0</v>
      </c>
      <c r="GC39" s="504">
        <v>0</v>
      </c>
      <c r="GD39" s="504">
        <v>0</v>
      </c>
      <c r="GE39" s="504">
        <v>0</v>
      </c>
      <c r="GF39" s="504">
        <v>0</v>
      </c>
      <c r="GG39" s="504">
        <v>0</v>
      </c>
      <c r="GH39" s="504">
        <v>0</v>
      </c>
      <c r="GI39" s="504">
        <v>0</v>
      </c>
      <c r="GJ39" s="504">
        <v>0</v>
      </c>
      <c r="GK39" s="504">
        <v>0</v>
      </c>
      <c r="GL39" s="504">
        <v>0</v>
      </c>
      <c r="GM39" s="504">
        <v>0</v>
      </c>
      <c r="GN39" s="504">
        <v>0</v>
      </c>
      <c r="GO39" s="504">
        <v>0</v>
      </c>
      <c r="GP39" s="504">
        <v>0</v>
      </c>
      <c r="GQ39" s="504">
        <v>0</v>
      </c>
      <c r="GR39" s="504">
        <v>0</v>
      </c>
      <c r="GS39" s="504">
        <v>0</v>
      </c>
      <c r="GT39" s="504">
        <v>0</v>
      </c>
      <c r="GU39" s="504">
        <v>0</v>
      </c>
      <c r="GV39" s="504">
        <v>0</v>
      </c>
      <c r="GW39" s="504">
        <v>0</v>
      </c>
      <c r="GX39" s="504">
        <v>0</v>
      </c>
      <c r="GY39" s="504">
        <v>0</v>
      </c>
      <c r="GZ39" s="504">
        <v>0</v>
      </c>
      <c r="HA39" s="504">
        <v>0</v>
      </c>
      <c r="HB39" s="504">
        <v>0</v>
      </c>
      <c r="HC39" s="504">
        <v>0</v>
      </c>
      <c r="HD39" s="504">
        <v>0</v>
      </c>
      <c r="HE39" s="504">
        <v>0</v>
      </c>
      <c r="HF39" s="504">
        <v>0</v>
      </c>
      <c r="HG39" s="504">
        <v>0</v>
      </c>
      <c r="HH39" s="504">
        <v>0</v>
      </c>
      <c r="HI39" s="504">
        <v>0</v>
      </c>
      <c r="HJ39" s="504">
        <v>0</v>
      </c>
      <c r="HK39" s="504">
        <v>0</v>
      </c>
      <c r="HL39" s="504">
        <v>0</v>
      </c>
      <c r="HM39" s="504">
        <v>0</v>
      </c>
      <c r="HN39" s="504">
        <v>0</v>
      </c>
      <c r="HO39" s="504">
        <v>0</v>
      </c>
      <c r="HP39" s="504">
        <v>0</v>
      </c>
      <c r="HQ39" s="504">
        <v>0</v>
      </c>
      <c r="HR39" s="504">
        <v>0</v>
      </c>
      <c r="HS39" s="504">
        <v>0</v>
      </c>
      <c r="HT39" s="504">
        <v>0</v>
      </c>
      <c r="HU39" s="504">
        <v>0</v>
      </c>
      <c r="HV39" s="504">
        <v>0</v>
      </c>
      <c r="HW39" s="504">
        <v>0</v>
      </c>
      <c r="HX39" s="504">
        <v>0</v>
      </c>
      <c r="HY39" s="504">
        <v>0</v>
      </c>
      <c r="HZ39" s="504">
        <v>0</v>
      </c>
      <c r="IA39" s="504">
        <v>0</v>
      </c>
      <c r="IB39" s="504">
        <v>0</v>
      </c>
      <c r="IC39" s="504">
        <v>0</v>
      </c>
      <c r="ID39" s="504">
        <v>0</v>
      </c>
      <c r="IE39" s="504">
        <v>0</v>
      </c>
      <c r="IF39" s="504">
        <v>0</v>
      </c>
      <c r="IG39" s="504">
        <v>0</v>
      </c>
      <c r="IH39" s="504">
        <v>0</v>
      </c>
      <c r="II39" s="504">
        <v>0</v>
      </c>
      <c r="IJ39" s="504">
        <v>0</v>
      </c>
      <c r="IK39" s="504">
        <v>0</v>
      </c>
      <c r="IL39" s="504">
        <v>0</v>
      </c>
      <c r="IM39" s="504">
        <v>0</v>
      </c>
      <c r="IN39" s="504">
        <v>0</v>
      </c>
      <c r="IO39" s="504">
        <v>0</v>
      </c>
      <c r="IP39" s="504">
        <v>0</v>
      </c>
      <c r="IQ39" s="504">
        <v>0</v>
      </c>
      <c r="IR39" s="504">
        <v>0</v>
      </c>
      <c r="IS39" s="504">
        <v>0</v>
      </c>
      <c r="IT39" s="504">
        <v>0</v>
      </c>
      <c r="IU39" s="504">
        <v>0</v>
      </c>
      <c r="IV39" s="504">
        <v>0</v>
      </c>
      <c r="IW39" s="504">
        <v>0</v>
      </c>
      <c r="IX39" s="504">
        <v>0</v>
      </c>
      <c r="IY39" s="504">
        <v>0</v>
      </c>
      <c r="IZ39" s="504">
        <v>0</v>
      </c>
      <c r="JA39" s="504">
        <v>0</v>
      </c>
      <c r="JB39" s="504">
        <v>0</v>
      </c>
      <c r="JC39" s="504">
        <v>0</v>
      </c>
      <c r="JD39" s="504">
        <v>0</v>
      </c>
      <c r="JE39" s="504">
        <v>0</v>
      </c>
      <c r="JF39" s="504">
        <v>0</v>
      </c>
      <c r="JG39" s="504">
        <v>0</v>
      </c>
      <c r="JH39" s="504">
        <v>0</v>
      </c>
      <c r="JI39" s="504">
        <v>0</v>
      </c>
      <c r="JJ39" s="504">
        <v>0</v>
      </c>
      <c r="JK39" s="504">
        <v>0</v>
      </c>
      <c r="JL39" s="504">
        <v>0</v>
      </c>
      <c r="JM39" s="504">
        <v>0</v>
      </c>
      <c r="JN39" s="504">
        <v>0</v>
      </c>
      <c r="JO39" s="504">
        <v>0</v>
      </c>
      <c r="JP39" s="504">
        <v>0</v>
      </c>
      <c r="JQ39" s="504">
        <v>0</v>
      </c>
      <c r="JR39" s="504">
        <v>0</v>
      </c>
      <c r="JS39" s="504">
        <v>0</v>
      </c>
      <c r="JT39" s="504">
        <v>0</v>
      </c>
      <c r="JU39" s="504">
        <v>0</v>
      </c>
      <c r="JV39" s="504">
        <v>0</v>
      </c>
      <c r="JW39" s="504">
        <v>0</v>
      </c>
      <c r="JX39" s="504">
        <v>0</v>
      </c>
      <c r="JY39" s="504">
        <v>0</v>
      </c>
      <c r="JZ39" s="504">
        <v>0</v>
      </c>
      <c r="KA39" s="504">
        <v>0</v>
      </c>
      <c r="KB39" s="504">
        <v>0</v>
      </c>
      <c r="KC39" s="504">
        <v>0</v>
      </c>
      <c r="KD39" s="504">
        <v>0</v>
      </c>
      <c r="KE39" s="504">
        <v>0</v>
      </c>
      <c r="KF39" s="504">
        <v>0</v>
      </c>
      <c r="KG39" s="504">
        <v>0</v>
      </c>
      <c r="KH39" s="504">
        <v>0</v>
      </c>
      <c r="KI39" s="504">
        <v>0</v>
      </c>
      <c r="KJ39" s="504">
        <v>0</v>
      </c>
      <c r="KK39" s="504">
        <v>0</v>
      </c>
      <c r="KL39" s="504">
        <v>0</v>
      </c>
      <c r="KM39" s="504">
        <v>0</v>
      </c>
      <c r="KN39" s="504">
        <v>0</v>
      </c>
      <c r="KO39" s="504">
        <v>0</v>
      </c>
      <c r="KP39" s="504">
        <v>0</v>
      </c>
      <c r="KQ39" s="504">
        <v>0</v>
      </c>
      <c r="KR39" s="504">
        <v>0</v>
      </c>
      <c r="KS39" s="504">
        <v>0</v>
      </c>
      <c r="KT39" s="504">
        <v>0</v>
      </c>
      <c r="KU39" s="504">
        <v>0</v>
      </c>
      <c r="KV39" s="504">
        <v>0</v>
      </c>
      <c r="KW39" s="504">
        <v>0</v>
      </c>
      <c r="KX39" s="504">
        <v>0</v>
      </c>
      <c r="KY39" s="504">
        <v>0</v>
      </c>
      <c r="KZ39" s="504">
        <v>0</v>
      </c>
      <c r="LA39" s="504">
        <v>0</v>
      </c>
      <c r="LB39" s="504">
        <v>0</v>
      </c>
      <c r="LC39" s="504">
        <v>0</v>
      </c>
      <c r="LD39" s="504">
        <v>0</v>
      </c>
      <c r="LE39" s="504">
        <v>0</v>
      </c>
      <c r="LF39" s="504">
        <v>0</v>
      </c>
      <c r="LG39" s="504">
        <v>0</v>
      </c>
      <c r="LH39" s="504">
        <v>0</v>
      </c>
      <c r="LI39" s="504">
        <v>0</v>
      </c>
      <c r="LJ39" s="504">
        <v>0</v>
      </c>
      <c r="LK39" s="504">
        <v>0</v>
      </c>
      <c r="LL39" s="504">
        <v>0</v>
      </c>
      <c r="LM39" s="504">
        <v>0</v>
      </c>
      <c r="LN39" s="504">
        <v>0</v>
      </c>
      <c r="LO39" s="504">
        <v>0</v>
      </c>
      <c r="LP39" s="504">
        <v>0</v>
      </c>
      <c r="LQ39" s="504">
        <v>0</v>
      </c>
      <c r="LR39" s="504">
        <v>0</v>
      </c>
      <c r="LS39" s="504">
        <v>0</v>
      </c>
      <c r="LT39" s="504">
        <v>0</v>
      </c>
      <c r="LU39" s="504">
        <v>0</v>
      </c>
      <c r="LV39" s="504">
        <v>0</v>
      </c>
      <c r="LW39" s="504">
        <v>0</v>
      </c>
      <c r="LX39" s="504">
        <v>0</v>
      </c>
      <c r="LY39" s="504">
        <v>0</v>
      </c>
      <c r="LZ39" s="504">
        <v>0</v>
      </c>
      <c r="MA39" s="504">
        <v>0</v>
      </c>
      <c r="MB39" s="504">
        <v>0</v>
      </c>
      <c r="MC39" s="504">
        <v>0</v>
      </c>
      <c r="MD39" s="504">
        <v>0</v>
      </c>
      <c r="ME39" s="504">
        <v>0</v>
      </c>
      <c r="MF39" s="504">
        <v>0</v>
      </c>
      <c r="MG39" s="504">
        <v>0</v>
      </c>
      <c r="MH39" s="504">
        <v>0</v>
      </c>
      <c r="MI39" s="504">
        <v>0</v>
      </c>
      <c r="MJ39" s="504">
        <v>0</v>
      </c>
      <c r="MK39" s="504">
        <v>0</v>
      </c>
      <c r="ML39" s="504">
        <v>0</v>
      </c>
      <c r="MM39" s="504">
        <v>0</v>
      </c>
      <c r="MN39" s="504">
        <v>0</v>
      </c>
      <c r="MO39" s="504">
        <v>0</v>
      </c>
      <c r="MP39" s="504">
        <v>0</v>
      </c>
      <c r="MQ39" s="504">
        <v>0</v>
      </c>
      <c r="MR39" s="504">
        <v>0</v>
      </c>
      <c r="MS39" s="504">
        <v>0</v>
      </c>
      <c r="MT39" s="504">
        <v>0</v>
      </c>
      <c r="MU39" s="504">
        <v>0</v>
      </c>
      <c r="MV39" s="504">
        <v>0</v>
      </c>
      <c r="MW39" s="504">
        <v>0</v>
      </c>
      <c r="MX39" s="504">
        <v>0</v>
      </c>
      <c r="MY39" s="504">
        <v>0</v>
      </c>
      <c r="MZ39" s="504">
        <v>0</v>
      </c>
      <c r="NA39" s="504">
        <v>0</v>
      </c>
      <c r="NB39" s="504">
        <v>0</v>
      </c>
      <c r="NC39" s="504">
        <v>0</v>
      </c>
      <c r="ND39" s="504">
        <v>0</v>
      </c>
      <c r="NE39" s="504">
        <v>0</v>
      </c>
      <c r="NF39" s="504">
        <v>0</v>
      </c>
      <c r="NG39" s="504">
        <v>0</v>
      </c>
      <c r="NH39" s="504">
        <v>0</v>
      </c>
      <c r="NI39" s="504">
        <v>0</v>
      </c>
      <c r="NJ39" s="504">
        <v>0</v>
      </c>
      <c r="NK39" s="504">
        <v>0</v>
      </c>
      <c r="NL39" s="504">
        <v>0</v>
      </c>
      <c r="NM39" s="504">
        <v>0</v>
      </c>
      <c r="NN39" s="504">
        <v>0</v>
      </c>
      <c r="NO39" s="504">
        <v>0</v>
      </c>
      <c r="NP39" s="504">
        <v>0</v>
      </c>
      <c r="NQ39" s="504">
        <v>0</v>
      </c>
      <c r="NR39" s="504">
        <v>0</v>
      </c>
      <c r="NS39" s="504">
        <v>0</v>
      </c>
      <c r="NT39" s="504">
        <v>0</v>
      </c>
      <c r="NU39" s="504">
        <v>0</v>
      </c>
      <c r="NV39" s="504">
        <v>0</v>
      </c>
      <c r="NW39" s="504">
        <v>0</v>
      </c>
      <c r="NX39" s="504">
        <v>0</v>
      </c>
      <c r="NY39" s="504">
        <v>0</v>
      </c>
      <c r="NZ39" s="504">
        <v>0</v>
      </c>
      <c r="OA39" s="504">
        <v>0</v>
      </c>
      <c r="OB39" s="504">
        <v>0</v>
      </c>
      <c r="OC39" s="504">
        <v>0</v>
      </c>
      <c r="OD39" s="504">
        <v>0</v>
      </c>
      <c r="OE39" s="504">
        <v>0</v>
      </c>
      <c r="OF39" s="504">
        <v>0</v>
      </c>
      <c r="OG39" s="504">
        <v>0</v>
      </c>
      <c r="OH39" s="504">
        <v>0</v>
      </c>
      <c r="OI39" s="504">
        <v>0</v>
      </c>
      <c r="OJ39" s="504">
        <v>0</v>
      </c>
      <c r="OK39" s="504">
        <v>0</v>
      </c>
      <c r="OL39" s="504">
        <v>0</v>
      </c>
      <c r="OM39" s="504">
        <v>0</v>
      </c>
      <c r="ON39" s="494"/>
    </row>
    <row r="40" spans="1:404" ht="18.75" customHeight="1" x14ac:dyDescent="0.4">
      <c r="A40" s="355" t="s">
        <v>316</v>
      </c>
      <c r="B40" s="358">
        <v>85</v>
      </c>
      <c r="C40" s="355" t="s">
        <v>60</v>
      </c>
      <c r="D40" s="501">
        <v>26.72</v>
      </c>
      <c r="E40" s="502">
        <v>206453</v>
      </c>
      <c r="F40" s="501">
        <v>26.7</v>
      </c>
      <c r="G40" s="502">
        <v>51413</v>
      </c>
      <c r="H40" s="501">
        <v>26.7</v>
      </c>
      <c r="I40" s="502">
        <v>119838</v>
      </c>
      <c r="J40" s="501">
        <v>26.7</v>
      </c>
      <c r="K40" s="502">
        <v>127089</v>
      </c>
      <c r="V40" s="501"/>
      <c r="W40" s="503"/>
      <c r="X40" s="501"/>
      <c r="Y40" s="503"/>
      <c r="Z40" s="501"/>
      <c r="AA40" s="503"/>
      <c r="AB40" s="495"/>
      <c r="AC40" s="504">
        <v>0</v>
      </c>
      <c r="AD40" s="504">
        <v>0</v>
      </c>
      <c r="AE40" s="504">
        <v>0</v>
      </c>
      <c r="AF40" s="504">
        <v>0</v>
      </c>
      <c r="AG40" s="504">
        <v>0</v>
      </c>
      <c r="AH40" s="504">
        <v>0</v>
      </c>
      <c r="AI40" s="504">
        <v>0</v>
      </c>
      <c r="AJ40" s="504">
        <v>0</v>
      </c>
      <c r="AK40" s="504">
        <v>0</v>
      </c>
      <c r="AL40" s="504">
        <v>0</v>
      </c>
      <c r="AM40" s="504">
        <v>0</v>
      </c>
      <c r="AN40" s="504">
        <v>0</v>
      </c>
      <c r="AO40" s="504">
        <v>0</v>
      </c>
      <c r="AP40" s="504">
        <v>0</v>
      </c>
      <c r="AQ40" s="504">
        <v>0</v>
      </c>
      <c r="AR40" s="504">
        <v>0</v>
      </c>
      <c r="AS40" s="504">
        <v>0</v>
      </c>
      <c r="AT40" s="504">
        <v>0</v>
      </c>
      <c r="AU40" s="504">
        <v>0</v>
      </c>
      <c r="AV40" s="504">
        <v>0</v>
      </c>
      <c r="AW40" s="504">
        <v>0</v>
      </c>
      <c r="AX40" s="504">
        <v>0</v>
      </c>
      <c r="AY40" s="504">
        <v>0</v>
      </c>
      <c r="AZ40" s="504">
        <v>0</v>
      </c>
      <c r="BA40" s="504">
        <v>0</v>
      </c>
      <c r="BB40" s="504">
        <v>0</v>
      </c>
      <c r="BC40" s="504">
        <v>0</v>
      </c>
      <c r="BD40" s="504">
        <v>0</v>
      </c>
      <c r="BE40" s="504">
        <v>0</v>
      </c>
      <c r="BF40" s="504">
        <v>0</v>
      </c>
      <c r="BG40" s="504">
        <v>0</v>
      </c>
      <c r="BH40" s="504">
        <v>0</v>
      </c>
      <c r="BI40" s="504">
        <v>0</v>
      </c>
      <c r="BJ40" s="504">
        <v>0</v>
      </c>
      <c r="BK40" s="504">
        <v>0</v>
      </c>
      <c r="BL40" s="504">
        <v>0</v>
      </c>
      <c r="BM40" s="504">
        <v>0</v>
      </c>
      <c r="BN40" s="504">
        <v>0</v>
      </c>
      <c r="BO40" s="504">
        <v>0</v>
      </c>
      <c r="BP40" s="504">
        <v>0</v>
      </c>
      <c r="BQ40" s="504">
        <v>0</v>
      </c>
      <c r="BR40" s="504">
        <v>0</v>
      </c>
      <c r="BS40" s="504">
        <v>0</v>
      </c>
      <c r="BT40" s="504">
        <v>0</v>
      </c>
      <c r="BU40" s="504">
        <v>0</v>
      </c>
      <c r="BV40" s="504">
        <v>0</v>
      </c>
      <c r="BW40" s="504">
        <v>0</v>
      </c>
      <c r="BX40" s="504">
        <v>0</v>
      </c>
      <c r="BY40" s="504">
        <v>0</v>
      </c>
      <c r="BZ40" s="504">
        <v>0</v>
      </c>
      <c r="CA40" s="504">
        <v>0</v>
      </c>
      <c r="CB40" s="504">
        <v>0</v>
      </c>
      <c r="CC40" s="504">
        <v>0</v>
      </c>
      <c r="CD40" s="504">
        <v>0</v>
      </c>
      <c r="CE40" s="504">
        <v>0</v>
      </c>
      <c r="CF40" s="504">
        <v>0</v>
      </c>
      <c r="CG40" s="504">
        <v>0</v>
      </c>
      <c r="CH40" s="504">
        <v>0</v>
      </c>
      <c r="CI40" s="504">
        <v>0</v>
      </c>
      <c r="CJ40" s="504">
        <v>0</v>
      </c>
      <c r="CK40" s="504">
        <v>0</v>
      </c>
      <c r="CL40" s="504">
        <v>0</v>
      </c>
      <c r="CM40" s="504">
        <v>0</v>
      </c>
      <c r="CN40" s="504">
        <v>0</v>
      </c>
      <c r="CO40" s="504">
        <v>0</v>
      </c>
      <c r="CP40" s="504">
        <v>0</v>
      </c>
      <c r="CQ40" s="504">
        <v>0</v>
      </c>
      <c r="CR40" s="504">
        <v>0</v>
      </c>
      <c r="CS40" s="504">
        <v>0</v>
      </c>
      <c r="CT40" s="504">
        <v>0</v>
      </c>
      <c r="CU40" s="504">
        <v>0</v>
      </c>
      <c r="CV40" s="504">
        <v>0</v>
      </c>
      <c r="CW40" s="504">
        <v>0</v>
      </c>
      <c r="CX40" s="504">
        <v>0</v>
      </c>
      <c r="CY40" s="504">
        <v>0</v>
      </c>
      <c r="CZ40" s="504">
        <v>0</v>
      </c>
      <c r="DA40" s="504">
        <v>0</v>
      </c>
      <c r="DB40" s="504">
        <v>0</v>
      </c>
      <c r="DC40" s="504">
        <v>0</v>
      </c>
      <c r="DD40" s="504">
        <v>0</v>
      </c>
      <c r="DE40" s="504">
        <v>0</v>
      </c>
      <c r="DF40" s="504">
        <v>0</v>
      </c>
      <c r="DG40" s="504">
        <v>0</v>
      </c>
      <c r="DH40" s="504">
        <v>0</v>
      </c>
      <c r="DI40" s="504">
        <v>0</v>
      </c>
      <c r="DJ40" s="504">
        <v>0</v>
      </c>
      <c r="DK40" s="504">
        <v>0</v>
      </c>
      <c r="DL40" s="504">
        <v>0</v>
      </c>
      <c r="DM40" s="504">
        <v>0</v>
      </c>
      <c r="DN40" s="504">
        <v>0</v>
      </c>
      <c r="DO40" s="504">
        <v>0</v>
      </c>
      <c r="DP40" s="504">
        <v>0</v>
      </c>
      <c r="DQ40" s="504">
        <v>0</v>
      </c>
      <c r="DR40" s="504">
        <v>0</v>
      </c>
      <c r="DS40" s="504">
        <v>0</v>
      </c>
      <c r="DT40" s="504">
        <v>0</v>
      </c>
      <c r="DU40" s="504">
        <v>0</v>
      </c>
      <c r="DV40" s="504">
        <v>0</v>
      </c>
      <c r="DW40" s="504">
        <v>0</v>
      </c>
      <c r="DX40" s="504">
        <v>0</v>
      </c>
      <c r="DY40" s="504">
        <v>0</v>
      </c>
      <c r="DZ40" s="504">
        <v>0</v>
      </c>
      <c r="EA40" s="504">
        <v>0</v>
      </c>
      <c r="EB40" s="504">
        <v>0</v>
      </c>
      <c r="EC40" s="504">
        <v>0</v>
      </c>
      <c r="ED40" s="504">
        <v>0</v>
      </c>
      <c r="EE40" s="504">
        <v>0</v>
      </c>
      <c r="EF40" s="504">
        <v>0</v>
      </c>
      <c r="EG40" s="504">
        <v>0</v>
      </c>
      <c r="EH40" s="504">
        <v>0</v>
      </c>
      <c r="EI40" s="504">
        <v>0</v>
      </c>
      <c r="EJ40" s="504">
        <v>0</v>
      </c>
      <c r="EK40" s="504">
        <v>0</v>
      </c>
      <c r="EL40" s="504">
        <v>0</v>
      </c>
      <c r="EM40" s="504">
        <v>0</v>
      </c>
      <c r="EN40" s="504">
        <v>0</v>
      </c>
      <c r="EO40" s="504">
        <v>0</v>
      </c>
      <c r="EP40" s="504">
        <v>0</v>
      </c>
      <c r="EQ40" s="504">
        <v>0</v>
      </c>
      <c r="ER40" s="504">
        <v>0</v>
      </c>
      <c r="ES40" s="504">
        <v>0</v>
      </c>
      <c r="ET40" s="504">
        <v>0</v>
      </c>
      <c r="EU40" s="504">
        <v>0</v>
      </c>
      <c r="EV40" s="504">
        <v>0</v>
      </c>
      <c r="EW40" s="504">
        <v>0</v>
      </c>
      <c r="EX40" s="504">
        <v>0</v>
      </c>
      <c r="EY40" s="504">
        <v>0</v>
      </c>
      <c r="EZ40" s="504">
        <v>0</v>
      </c>
      <c r="FA40" s="504">
        <v>0</v>
      </c>
      <c r="FB40" s="504">
        <v>0</v>
      </c>
      <c r="FC40" s="504">
        <v>0</v>
      </c>
      <c r="FD40" s="504">
        <v>0</v>
      </c>
      <c r="FE40" s="504">
        <v>0</v>
      </c>
      <c r="FF40" s="504">
        <v>0</v>
      </c>
      <c r="FG40" s="504">
        <v>0</v>
      </c>
      <c r="FH40" s="504">
        <v>0</v>
      </c>
      <c r="FI40" s="504">
        <v>0</v>
      </c>
      <c r="FJ40" s="504">
        <v>0</v>
      </c>
      <c r="FK40" s="504">
        <v>0</v>
      </c>
      <c r="FL40" s="504">
        <v>0</v>
      </c>
      <c r="FM40" s="504">
        <v>0</v>
      </c>
      <c r="FN40" s="504">
        <v>0</v>
      </c>
      <c r="FO40" s="504">
        <v>0</v>
      </c>
      <c r="FP40" s="504">
        <v>0</v>
      </c>
      <c r="FQ40" s="504">
        <v>0</v>
      </c>
      <c r="FR40" s="504">
        <v>0</v>
      </c>
      <c r="FS40" s="504">
        <v>0</v>
      </c>
      <c r="FT40" s="504">
        <v>0</v>
      </c>
      <c r="FU40" s="504">
        <v>0</v>
      </c>
      <c r="FV40" s="504">
        <v>0</v>
      </c>
      <c r="FW40" s="504">
        <v>0</v>
      </c>
      <c r="FX40" s="504">
        <v>0</v>
      </c>
      <c r="FY40" s="504">
        <v>0</v>
      </c>
      <c r="FZ40" s="504">
        <v>0</v>
      </c>
      <c r="GA40" s="504">
        <v>0</v>
      </c>
      <c r="GB40" s="504">
        <v>0</v>
      </c>
      <c r="GC40" s="504">
        <v>0</v>
      </c>
      <c r="GD40" s="504">
        <v>0</v>
      </c>
      <c r="GE40" s="504">
        <v>0</v>
      </c>
      <c r="GF40" s="504">
        <v>0</v>
      </c>
      <c r="GG40" s="504">
        <v>0</v>
      </c>
      <c r="GH40" s="504">
        <v>0</v>
      </c>
      <c r="GI40" s="504">
        <v>0</v>
      </c>
      <c r="GJ40" s="504">
        <v>0</v>
      </c>
      <c r="GK40" s="504">
        <v>0</v>
      </c>
      <c r="GL40" s="504">
        <v>0</v>
      </c>
      <c r="GM40" s="504">
        <v>0</v>
      </c>
      <c r="GN40" s="504">
        <v>0</v>
      </c>
      <c r="GO40" s="504">
        <v>0</v>
      </c>
      <c r="GP40" s="504">
        <v>0</v>
      </c>
      <c r="GQ40" s="504">
        <v>0</v>
      </c>
      <c r="GR40" s="504">
        <v>0</v>
      </c>
      <c r="GS40" s="504">
        <v>0</v>
      </c>
      <c r="GT40" s="504">
        <v>0</v>
      </c>
      <c r="GU40" s="504">
        <v>0</v>
      </c>
      <c r="GV40" s="504">
        <v>0</v>
      </c>
      <c r="GW40" s="504">
        <v>0</v>
      </c>
      <c r="GX40" s="504">
        <v>0</v>
      </c>
      <c r="GY40" s="504">
        <v>0</v>
      </c>
      <c r="GZ40" s="504">
        <v>0</v>
      </c>
      <c r="HA40" s="504">
        <v>0</v>
      </c>
      <c r="HB40" s="504">
        <v>0</v>
      </c>
      <c r="HC40" s="504">
        <v>0</v>
      </c>
      <c r="HD40" s="504">
        <v>0</v>
      </c>
      <c r="HE40" s="504">
        <v>0</v>
      </c>
      <c r="HF40" s="504">
        <v>0</v>
      </c>
      <c r="HG40" s="504">
        <v>0</v>
      </c>
      <c r="HH40" s="504">
        <v>0</v>
      </c>
      <c r="HI40" s="504">
        <v>0</v>
      </c>
      <c r="HJ40" s="504">
        <v>0</v>
      </c>
      <c r="HK40" s="504">
        <v>0</v>
      </c>
      <c r="HL40" s="504">
        <v>0</v>
      </c>
      <c r="HM40" s="504">
        <v>0</v>
      </c>
      <c r="HN40" s="504">
        <v>0</v>
      </c>
      <c r="HO40" s="504">
        <v>0</v>
      </c>
      <c r="HP40" s="504">
        <v>0</v>
      </c>
      <c r="HQ40" s="504">
        <v>0</v>
      </c>
      <c r="HR40" s="504">
        <v>0</v>
      </c>
      <c r="HS40" s="504">
        <v>0</v>
      </c>
      <c r="HT40" s="504">
        <v>0</v>
      </c>
      <c r="HU40" s="504">
        <v>0</v>
      </c>
      <c r="HV40" s="504">
        <v>0</v>
      </c>
      <c r="HW40" s="504">
        <v>0</v>
      </c>
      <c r="HX40" s="504">
        <v>0</v>
      </c>
      <c r="HY40" s="504">
        <v>0</v>
      </c>
      <c r="HZ40" s="504">
        <v>0</v>
      </c>
      <c r="IA40" s="504">
        <v>0</v>
      </c>
      <c r="IB40" s="504">
        <v>0</v>
      </c>
      <c r="IC40" s="504">
        <v>0</v>
      </c>
      <c r="ID40" s="504">
        <v>0</v>
      </c>
      <c r="IE40" s="504">
        <v>0</v>
      </c>
      <c r="IF40" s="504">
        <v>0</v>
      </c>
      <c r="IG40" s="504">
        <v>0</v>
      </c>
      <c r="IH40" s="504">
        <v>0</v>
      </c>
      <c r="II40" s="504">
        <v>0</v>
      </c>
      <c r="IJ40" s="504">
        <v>0</v>
      </c>
      <c r="IK40" s="504">
        <v>0</v>
      </c>
      <c r="IL40" s="504">
        <v>0</v>
      </c>
      <c r="IM40" s="504">
        <v>0</v>
      </c>
      <c r="IN40" s="504">
        <v>0</v>
      </c>
      <c r="IO40" s="504">
        <v>0</v>
      </c>
      <c r="IP40" s="504">
        <v>0</v>
      </c>
      <c r="IQ40" s="504">
        <v>0</v>
      </c>
      <c r="IR40" s="504">
        <v>0</v>
      </c>
      <c r="IS40" s="504">
        <v>0</v>
      </c>
      <c r="IT40" s="504">
        <v>0</v>
      </c>
      <c r="IU40" s="504">
        <v>0</v>
      </c>
      <c r="IV40" s="504">
        <v>0</v>
      </c>
      <c r="IW40" s="504">
        <v>0</v>
      </c>
      <c r="IX40" s="504">
        <v>0</v>
      </c>
      <c r="IY40" s="504">
        <v>0</v>
      </c>
      <c r="IZ40" s="504">
        <v>0</v>
      </c>
      <c r="JA40" s="504">
        <v>0</v>
      </c>
      <c r="JB40" s="504">
        <v>0</v>
      </c>
      <c r="JC40" s="504">
        <v>0</v>
      </c>
      <c r="JD40" s="504">
        <v>0</v>
      </c>
      <c r="JE40" s="504">
        <v>0</v>
      </c>
      <c r="JF40" s="504">
        <v>0</v>
      </c>
      <c r="JG40" s="504">
        <v>0</v>
      </c>
      <c r="JH40" s="504">
        <v>0</v>
      </c>
      <c r="JI40" s="504">
        <v>0</v>
      </c>
      <c r="JJ40" s="504">
        <v>0</v>
      </c>
      <c r="JK40" s="504">
        <v>0</v>
      </c>
      <c r="JL40" s="504">
        <v>0</v>
      </c>
      <c r="JM40" s="504">
        <v>0</v>
      </c>
      <c r="JN40" s="504">
        <v>0</v>
      </c>
      <c r="JO40" s="504">
        <v>0</v>
      </c>
      <c r="JP40" s="504">
        <v>0</v>
      </c>
      <c r="JQ40" s="504">
        <v>0</v>
      </c>
      <c r="JR40" s="504">
        <v>0</v>
      </c>
      <c r="JS40" s="504">
        <v>0</v>
      </c>
      <c r="JT40" s="504">
        <v>0</v>
      </c>
      <c r="JU40" s="504">
        <v>0</v>
      </c>
      <c r="JV40" s="504">
        <v>0</v>
      </c>
      <c r="JW40" s="504">
        <v>0</v>
      </c>
      <c r="JX40" s="504">
        <v>0</v>
      </c>
      <c r="JY40" s="504">
        <v>0</v>
      </c>
      <c r="JZ40" s="504">
        <v>0</v>
      </c>
      <c r="KA40" s="504">
        <v>0</v>
      </c>
      <c r="KB40" s="504">
        <v>0</v>
      </c>
      <c r="KC40" s="504">
        <v>0</v>
      </c>
      <c r="KD40" s="504">
        <v>0</v>
      </c>
      <c r="KE40" s="504">
        <v>0</v>
      </c>
      <c r="KF40" s="504">
        <v>0</v>
      </c>
      <c r="KG40" s="504">
        <v>0</v>
      </c>
      <c r="KH40" s="504">
        <v>0</v>
      </c>
      <c r="KI40" s="504">
        <v>0</v>
      </c>
      <c r="KJ40" s="504">
        <v>0</v>
      </c>
      <c r="KK40" s="504">
        <v>0</v>
      </c>
      <c r="KL40" s="504">
        <v>0</v>
      </c>
      <c r="KM40" s="504">
        <v>0</v>
      </c>
      <c r="KN40" s="504">
        <v>0</v>
      </c>
      <c r="KO40" s="504">
        <v>0</v>
      </c>
      <c r="KP40" s="504">
        <v>0</v>
      </c>
      <c r="KQ40" s="504">
        <v>0</v>
      </c>
      <c r="KR40" s="504">
        <v>0</v>
      </c>
      <c r="KS40" s="504">
        <v>0</v>
      </c>
      <c r="KT40" s="504">
        <v>0</v>
      </c>
      <c r="KU40" s="504">
        <v>0</v>
      </c>
      <c r="KV40" s="504">
        <v>0</v>
      </c>
      <c r="KW40" s="504">
        <v>0</v>
      </c>
      <c r="KX40" s="504">
        <v>0</v>
      </c>
      <c r="KY40" s="504">
        <v>0</v>
      </c>
      <c r="KZ40" s="504">
        <v>0</v>
      </c>
      <c r="LA40" s="504">
        <v>0</v>
      </c>
      <c r="LB40" s="504">
        <v>0</v>
      </c>
      <c r="LC40" s="504">
        <v>0</v>
      </c>
      <c r="LD40" s="504">
        <v>0</v>
      </c>
      <c r="LE40" s="504">
        <v>0</v>
      </c>
      <c r="LF40" s="504">
        <v>0</v>
      </c>
      <c r="LG40" s="504">
        <v>0</v>
      </c>
      <c r="LH40" s="504">
        <v>0</v>
      </c>
      <c r="LI40" s="504">
        <v>0</v>
      </c>
      <c r="LJ40" s="504">
        <v>0</v>
      </c>
      <c r="LK40" s="504">
        <v>0</v>
      </c>
      <c r="LL40" s="504">
        <v>0</v>
      </c>
      <c r="LM40" s="504">
        <v>0</v>
      </c>
      <c r="LN40" s="504">
        <v>0</v>
      </c>
      <c r="LO40" s="504">
        <v>0</v>
      </c>
      <c r="LP40" s="504">
        <v>0</v>
      </c>
      <c r="LQ40" s="504">
        <v>0</v>
      </c>
      <c r="LR40" s="504">
        <v>0</v>
      </c>
      <c r="LS40" s="504">
        <v>0</v>
      </c>
      <c r="LT40" s="504">
        <v>0</v>
      </c>
      <c r="LU40" s="504">
        <v>0</v>
      </c>
      <c r="LV40" s="504">
        <v>0</v>
      </c>
      <c r="LW40" s="504">
        <v>0</v>
      </c>
      <c r="LX40" s="504">
        <v>0</v>
      </c>
      <c r="LY40" s="504">
        <v>0</v>
      </c>
      <c r="LZ40" s="504">
        <v>0</v>
      </c>
      <c r="MA40" s="504">
        <v>0</v>
      </c>
      <c r="MB40" s="504">
        <v>0</v>
      </c>
      <c r="MC40" s="504">
        <v>0</v>
      </c>
      <c r="MD40" s="504">
        <v>0</v>
      </c>
      <c r="ME40" s="504">
        <v>0</v>
      </c>
      <c r="MF40" s="504">
        <v>0</v>
      </c>
      <c r="MG40" s="504">
        <v>0</v>
      </c>
      <c r="MH40" s="504">
        <v>0</v>
      </c>
      <c r="MI40" s="504">
        <v>0</v>
      </c>
      <c r="MJ40" s="504">
        <v>0</v>
      </c>
      <c r="MK40" s="504">
        <v>0</v>
      </c>
      <c r="ML40" s="504">
        <v>0</v>
      </c>
      <c r="MM40" s="504">
        <v>0</v>
      </c>
      <c r="MN40" s="504">
        <v>0</v>
      </c>
      <c r="MO40" s="504">
        <v>0</v>
      </c>
      <c r="MP40" s="504">
        <v>0</v>
      </c>
      <c r="MQ40" s="504">
        <v>0</v>
      </c>
      <c r="MR40" s="504">
        <v>0</v>
      </c>
      <c r="MS40" s="504">
        <v>0</v>
      </c>
      <c r="MT40" s="504">
        <v>0</v>
      </c>
      <c r="MU40" s="504">
        <v>0</v>
      </c>
      <c r="MV40" s="504">
        <v>0</v>
      </c>
      <c r="MW40" s="504">
        <v>0</v>
      </c>
      <c r="MX40" s="504">
        <v>0</v>
      </c>
      <c r="MY40" s="504">
        <v>0</v>
      </c>
      <c r="MZ40" s="504">
        <v>0</v>
      </c>
      <c r="NA40" s="504">
        <v>0</v>
      </c>
      <c r="NB40" s="504">
        <v>0</v>
      </c>
      <c r="NC40" s="504">
        <v>0</v>
      </c>
      <c r="ND40" s="504">
        <v>0</v>
      </c>
      <c r="NE40" s="504">
        <v>0</v>
      </c>
      <c r="NF40" s="504">
        <v>0</v>
      </c>
      <c r="NG40" s="504">
        <v>0</v>
      </c>
      <c r="NH40" s="504">
        <v>0</v>
      </c>
      <c r="NI40" s="504">
        <v>0</v>
      </c>
      <c r="NJ40" s="504">
        <v>0</v>
      </c>
      <c r="NK40" s="504">
        <v>0</v>
      </c>
      <c r="NL40" s="504">
        <v>0</v>
      </c>
      <c r="NM40" s="504">
        <v>0</v>
      </c>
      <c r="NN40" s="504">
        <v>0</v>
      </c>
      <c r="NO40" s="504">
        <v>0</v>
      </c>
      <c r="NP40" s="504">
        <v>0</v>
      </c>
      <c r="NQ40" s="504">
        <v>0</v>
      </c>
      <c r="NR40" s="504">
        <v>0</v>
      </c>
      <c r="NS40" s="504">
        <v>0</v>
      </c>
      <c r="NT40" s="504">
        <v>0</v>
      </c>
      <c r="NU40" s="504">
        <v>0</v>
      </c>
      <c r="NV40" s="504">
        <v>0</v>
      </c>
      <c r="NW40" s="504">
        <v>0</v>
      </c>
      <c r="NX40" s="504">
        <v>0</v>
      </c>
      <c r="NY40" s="504">
        <v>0</v>
      </c>
      <c r="NZ40" s="504">
        <v>0</v>
      </c>
      <c r="OA40" s="504">
        <v>0</v>
      </c>
      <c r="OB40" s="504">
        <v>0</v>
      </c>
      <c r="OC40" s="504">
        <v>0</v>
      </c>
      <c r="OD40" s="504">
        <v>0</v>
      </c>
      <c r="OE40" s="504">
        <v>0</v>
      </c>
      <c r="OF40" s="504">
        <v>0</v>
      </c>
      <c r="OG40" s="504">
        <v>0</v>
      </c>
      <c r="OH40" s="504">
        <v>0</v>
      </c>
      <c r="OI40" s="504">
        <v>0</v>
      </c>
      <c r="OJ40" s="504">
        <v>0</v>
      </c>
      <c r="OK40" s="504">
        <v>0</v>
      </c>
      <c r="OL40" s="504">
        <v>0</v>
      </c>
      <c r="OM40" s="504">
        <v>0</v>
      </c>
      <c r="ON40" s="494"/>
    </row>
    <row r="41" spans="1:404" ht="18.75" customHeight="1" x14ac:dyDescent="0.4">
      <c r="A41" s="355" t="s">
        <v>317</v>
      </c>
      <c r="B41" s="358">
        <v>83</v>
      </c>
      <c r="C41" s="355" t="s">
        <v>60</v>
      </c>
      <c r="D41" s="501">
        <v>25.66</v>
      </c>
      <c r="E41" s="502">
        <v>117923</v>
      </c>
      <c r="F41" s="501">
        <v>25.65</v>
      </c>
      <c r="G41" s="502">
        <v>21200</v>
      </c>
      <c r="H41" s="501">
        <v>25.65</v>
      </c>
      <c r="I41" s="502">
        <v>51418</v>
      </c>
      <c r="J41" s="501">
        <v>25.48</v>
      </c>
      <c r="K41" s="502">
        <v>56759</v>
      </c>
      <c r="V41" s="501"/>
      <c r="W41" s="503"/>
      <c r="X41" s="501"/>
      <c r="Y41" s="503"/>
      <c r="Z41" s="501"/>
      <c r="AA41" s="503"/>
      <c r="AB41" s="495"/>
      <c r="AC41" s="504">
        <v>0</v>
      </c>
      <c r="AD41" s="504">
        <v>0</v>
      </c>
      <c r="AE41" s="504">
        <v>0</v>
      </c>
      <c r="AF41" s="504">
        <v>0</v>
      </c>
      <c r="AG41" s="504">
        <v>0</v>
      </c>
      <c r="AH41" s="504">
        <v>0</v>
      </c>
      <c r="AI41" s="504">
        <v>0</v>
      </c>
      <c r="AJ41" s="504">
        <v>0</v>
      </c>
      <c r="AK41" s="504">
        <v>0</v>
      </c>
      <c r="AL41" s="504">
        <v>0</v>
      </c>
      <c r="AM41" s="504">
        <v>0</v>
      </c>
      <c r="AN41" s="504">
        <v>0</v>
      </c>
      <c r="AO41" s="504">
        <v>0</v>
      </c>
      <c r="AP41" s="504">
        <v>0</v>
      </c>
      <c r="AQ41" s="504">
        <v>0</v>
      </c>
      <c r="AR41" s="504">
        <v>0</v>
      </c>
      <c r="AS41" s="504">
        <v>0</v>
      </c>
      <c r="AT41" s="504">
        <v>0</v>
      </c>
      <c r="AU41" s="504">
        <v>0</v>
      </c>
      <c r="AV41" s="504">
        <v>0</v>
      </c>
      <c r="AW41" s="504">
        <v>0</v>
      </c>
      <c r="AX41" s="504">
        <v>0</v>
      </c>
      <c r="AY41" s="504">
        <v>0</v>
      </c>
      <c r="AZ41" s="504">
        <v>0</v>
      </c>
      <c r="BA41" s="504">
        <v>0</v>
      </c>
      <c r="BB41" s="504">
        <v>0</v>
      </c>
      <c r="BC41" s="504">
        <v>0</v>
      </c>
      <c r="BD41" s="504">
        <v>0</v>
      </c>
      <c r="BE41" s="504">
        <v>0</v>
      </c>
      <c r="BF41" s="504">
        <v>0</v>
      </c>
      <c r="BG41" s="504">
        <v>0</v>
      </c>
      <c r="BH41" s="504">
        <v>0</v>
      </c>
      <c r="BI41" s="504">
        <v>0</v>
      </c>
      <c r="BJ41" s="504">
        <v>0</v>
      </c>
      <c r="BK41" s="504">
        <v>0</v>
      </c>
      <c r="BL41" s="504">
        <v>0</v>
      </c>
      <c r="BM41" s="504">
        <v>0</v>
      </c>
      <c r="BN41" s="504">
        <v>0</v>
      </c>
      <c r="BO41" s="504">
        <v>0</v>
      </c>
      <c r="BP41" s="504">
        <v>0</v>
      </c>
      <c r="BQ41" s="504">
        <v>0</v>
      </c>
      <c r="BR41" s="504">
        <v>0</v>
      </c>
      <c r="BS41" s="504">
        <v>0</v>
      </c>
      <c r="BT41" s="504">
        <v>0</v>
      </c>
      <c r="BU41" s="504">
        <v>0</v>
      </c>
      <c r="BV41" s="504">
        <v>0</v>
      </c>
      <c r="BW41" s="504">
        <v>0</v>
      </c>
      <c r="BX41" s="504">
        <v>0</v>
      </c>
      <c r="BY41" s="504">
        <v>0</v>
      </c>
      <c r="BZ41" s="504">
        <v>0</v>
      </c>
      <c r="CA41" s="504">
        <v>0</v>
      </c>
      <c r="CB41" s="504">
        <v>0</v>
      </c>
      <c r="CC41" s="504">
        <v>0</v>
      </c>
      <c r="CD41" s="504">
        <v>0</v>
      </c>
      <c r="CE41" s="504">
        <v>0</v>
      </c>
      <c r="CF41" s="504">
        <v>0</v>
      </c>
      <c r="CG41" s="504">
        <v>0</v>
      </c>
      <c r="CH41" s="504">
        <v>0</v>
      </c>
      <c r="CI41" s="504">
        <v>0</v>
      </c>
      <c r="CJ41" s="504">
        <v>0</v>
      </c>
      <c r="CK41" s="504">
        <v>0</v>
      </c>
      <c r="CL41" s="504">
        <v>0</v>
      </c>
      <c r="CM41" s="504">
        <v>0</v>
      </c>
      <c r="CN41" s="504">
        <v>0</v>
      </c>
      <c r="CO41" s="504">
        <v>0</v>
      </c>
      <c r="CP41" s="504">
        <v>0</v>
      </c>
      <c r="CQ41" s="504">
        <v>0</v>
      </c>
      <c r="CR41" s="504">
        <v>0</v>
      </c>
      <c r="CS41" s="504">
        <v>0</v>
      </c>
      <c r="CT41" s="504">
        <v>0</v>
      </c>
      <c r="CU41" s="504">
        <v>0</v>
      </c>
      <c r="CV41" s="504">
        <v>0</v>
      </c>
      <c r="CW41" s="504">
        <v>0</v>
      </c>
      <c r="CX41" s="504">
        <v>0</v>
      </c>
      <c r="CY41" s="504">
        <v>0</v>
      </c>
      <c r="CZ41" s="504">
        <v>0</v>
      </c>
      <c r="DA41" s="504">
        <v>0</v>
      </c>
      <c r="DB41" s="504">
        <v>0</v>
      </c>
      <c r="DC41" s="504">
        <v>0</v>
      </c>
      <c r="DD41" s="504">
        <v>0</v>
      </c>
      <c r="DE41" s="504">
        <v>0</v>
      </c>
      <c r="DF41" s="504">
        <v>0</v>
      </c>
      <c r="DG41" s="504">
        <v>0</v>
      </c>
      <c r="DH41" s="504">
        <v>0</v>
      </c>
      <c r="DI41" s="504">
        <v>0</v>
      </c>
      <c r="DJ41" s="504">
        <v>0</v>
      </c>
      <c r="DK41" s="504">
        <v>0</v>
      </c>
      <c r="DL41" s="504">
        <v>0</v>
      </c>
      <c r="DM41" s="504">
        <v>0</v>
      </c>
      <c r="DN41" s="504">
        <v>0</v>
      </c>
      <c r="DO41" s="504">
        <v>0</v>
      </c>
      <c r="DP41" s="504">
        <v>0</v>
      </c>
      <c r="DQ41" s="504">
        <v>0</v>
      </c>
      <c r="DR41" s="504">
        <v>0</v>
      </c>
      <c r="DS41" s="504">
        <v>0</v>
      </c>
      <c r="DT41" s="504">
        <v>0</v>
      </c>
      <c r="DU41" s="504">
        <v>0</v>
      </c>
      <c r="DV41" s="504">
        <v>0</v>
      </c>
      <c r="DW41" s="504">
        <v>0</v>
      </c>
      <c r="DX41" s="504">
        <v>0</v>
      </c>
      <c r="DY41" s="504">
        <v>0</v>
      </c>
      <c r="DZ41" s="504">
        <v>0</v>
      </c>
      <c r="EA41" s="504">
        <v>0</v>
      </c>
      <c r="EB41" s="504">
        <v>0</v>
      </c>
      <c r="EC41" s="504">
        <v>0</v>
      </c>
      <c r="ED41" s="504">
        <v>0</v>
      </c>
      <c r="EE41" s="504">
        <v>0</v>
      </c>
      <c r="EF41" s="504">
        <v>0</v>
      </c>
      <c r="EG41" s="504">
        <v>0</v>
      </c>
      <c r="EH41" s="504">
        <v>0</v>
      </c>
      <c r="EI41" s="504">
        <v>0</v>
      </c>
      <c r="EJ41" s="504">
        <v>0</v>
      </c>
      <c r="EK41" s="504">
        <v>0</v>
      </c>
      <c r="EL41" s="504">
        <v>0</v>
      </c>
      <c r="EM41" s="504">
        <v>0</v>
      </c>
      <c r="EN41" s="504">
        <v>0</v>
      </c>
      <c r="EO41" s="504">
        <v>0</v>
      </c>
      <c r="EP41" s="504">
        <v>0</v>
      </c>
      <c r="EQ41" s="504">
        <v>0</v>
      </c>
      <c r="ER41" s="504">
        <v>0</v>
      </c>
      <c r="ES41" s="504">
        <v>0</v>
      </c>
      <c r="ET41" s="504">
        <v>0</v>
      </c>
      <c r="EU41" s="504">
        <v>0</v>
      </c>
      <c r="EV41" s="504">
        <v>0</v>
      </c>
      <c r="EW41" s="504">
        <v>0</v>
      </c>
      <c r="EX41" s="504">
        <v>0</v>
      </c>
      <c r="EY41" s="504">
        <v>0</v>
      </c>
      <c r="EZ41" s="504">
        <v>0</v>
      </c>
      <c r="FA41" s="504">
        <v>0</v>
      </c>
      <c r="FB41" s="504">
        <v>0</v>
      </c>
      <c r="FC41" s="504">
        <v>0</v>
      </c>
      <c r="FD41" s="504">
        <v>0</v>
      </c>
      <c r="FE41" s="504">
        <v>0</v>
      </c>
      <c r="FF41" s="504">
        <v>0</v>
      </c>
      <c r="FG41" s="504">
        <v>0</v>
      </c>
      <c r="FH41" s="504">
        <v>0</v>
      </c>
      <c r="FI41" s="504">
        <v>0</v>
      </c>
      <c r="FJ41" s="504">
        <v>0</v>
      </c>
      <c r="FK41" s="504">
        <v>0</v>
      </c>
      <c r="FL41" s="504">
        <v>0</v>
      </c>
      <c r="FM41" s="504">
        <v>0</v>
      </c>
      <c r="FN41" s="504">
        <v>0</v>
      </c>
      <c r="FO41" s="504">
        <v>0</v>
      </c>
      <c r="FP41" s="504">
        <v>0</v>
      </c>
      <c r="FQ41" s="504">
        <v>0</v>
      </c>
      <c r="FR41" s="504">
        <v>0</v>
      </c>
      <c r="FS41" s="504">
        <v>0</v>
      </c>
      <c r="FT41" s="504">
        <v>0</v>
      </c>
      <c r="FU41" s="504">
        <v>0</v>
      </c>
      <c r="FV41" s="504">
        <v>0</v>
      </c>
      <c r="FW41" s="504">
        <v>0</v>
      </c>
      <c r="FX41" s="504">
        <v>0</v>
      </c>
      <c r="FY41" s="504">
        <v>0</v>
      </c>
      <c r="FZ41" s="504">
        <v>0</v>
      </c>
      <c r="GA41" s="504">
        <v>0</v>
      </c>
      <c r="GB41" s="504">
        <v>0</v>
      </c>
      <c r="GC41" s="504">
        <v>0</v>
      </c>
      <c r="GD41" s="504">
        <v>0</v>
      </c>
      <c r="GE41" s="504">
        <v>0</v>
      </c>
      <c r="GF41" s="504">
        <v>0</v>
      </c>
      <c r="GG41" s="504">
        <v>0</v>
      </c>
      <c r="GH41" s="504">
        <v>0</v>
      </c>
      <c r="GI41" s="504">
        <v>0</v>
      </c>
      <c r="GJ41" s="504">
        <v>0</v>
      </c>
      <c r="GK41" s="504">
        <v>0</v>
      </c>
      <c r="GL41" s="504">
        <v>0</v>
      </c>
      <c r="GM41" s="504">
        <v>0</v>
      </c>
      <c r="GN41" s="504">
        <v>0</v>
      </c>
      <c r="GO41" s="504">
        <v>0</v>
      </c>
      <c r="GP41" s="504">
        <v>0</v>
      </c>
      <c r="GQ41" s="504">
        <v>0</v>
      </c>
      <c r="GR41" s="504">
        <v>0</v>
      </c>
      <c r="GS41" s="504">
        <v>0</v>
      </c>
      <c r="GT41" s="504">
        <v>0</v>
      </c>
      <c r="GU41" s="504">
        <v>0</v>
      </c>
      <c r="GV41" s="504">
        <v>0</v>
      </c>
      <c r="GW41" s="504">
        <v>0</v>
      </c>
      <c r="GX41" s="504">
        <v>0</v>
      </c>
      <c r="GY41" s="504">
        <v>0</v>
      </c>
      <c r="GZ41" s="504">
        <v>0</v>
      </c>
      <c r="HA41" s="504">
        <v>0</v>
      </c>
      <c r="HB41" s="504">
        <v>0</v>
      </c>
      <c r="HC41" s="504">
        <v>0</v>
      </c>
      <c r="HD41" s="504">
        <v>0</v>
      </c>
      <c r="HE41" s="504">
        <v>0</v>
      </c>
      <c r="HF41" s="504">
        <v>0</v>
      </c>
      <c r="HG41" s="504">
        <v>0</v>
      </c>
      <c r="HH41" s="504">
        <v>0</v>
      </c>
      <c r="HI41" s="504">
        <v>0</v>
      </c>
      <c r="HJ41" s="504">
        <v>0</v>
      </c>
      <c r="HK41" s="504">
        <v>0</v>
      </c>
      <c r="HL41" s="504">
        <v>0</v>
      </c>
      <c r="HM41" s="504">
        <v>0</v>
      </c>
      <c r="HN41" s="504">
        <v>0</v>
      </c>
      <c r="HO41" s="504">
        <v>0</v>
      </c>
      <c r="HP41" s="504">
        <v>0</v>
      </c>
      <c r="HQ41" s="504">
        <v>0</v>
      </c>
      <c r="HR41" s="504">
        <v>0</v>
      </c>
      <c r="HS41" s="504">
        <v>0</v>
      </c>
      <c r="HT41" s="504">
        <v>0</v>
      </c>
      <c r="HU41" s="504">
        <v>0</v>
      </c>
      <c r="HV41" s="504">
        <v>0</v>
      </c>
      <c r="HW41" s="504">
        <v>0</v>
      </c>
      <c r="HX41" s="504">
        <v>0</v>
      </c>
      <c r="HY41" s="504">
        <v>0</v>
      </c>
      <c r="HZ41" s="504">
        <v>0</v>
      </c>
      <c r="IA41" s="504">
        <v>0</v>
      </c>
      <c r="IB41" s="504">
        <v>0</v>
      </c>
      <c r="IC41" s="504">
        <v>0</v>
      </c>
      <c r="ID41" s="504">
        <v>0</v>
      </c>
      <c r="IE41" s="504">
        <v>0</v>
      </c>
      <c r="IF41" s="504">
        <v>0</v>
      </c>
      <c r="IG41" s="504">
        <v>0</v>
      </c>
      <c r="IH41" s="504">
        <v>0</v>
      </c>
      <c r="II41" s="504">
        <v>0</v>
      </c>
      <c r="IJ41" s="504">
        <v>0</v>
      </c>
      <c r="IK41" s="504">
        <v>0</v>
      </c>
      <c r="IL41" s="504">
        <v>0</v>
      </c>
      <c r="IM41" s="504">
        <v>0</v>
      </c>
      <c r="IN41" s="504">
        <v>0</v>
      </c>
      <c r="IO41" s="504">
        <v>0</v>
      </c>
      <c r="IP41" s="504">
        <v>0</v>
      </c>
      <c r="IQ41" s="504">
        <v>0</v>
      </c>
      <c r="IR41" s="504">
        <v>0</v>
      </c>
      <c r="IS41" s="504">
        <v>0</v>
      </c>
      <c r="IT41" s="504">
        <v>0</v>
      </c>
      <c r="IU41" s="504">
        <v>0</v>
      </c>
      <c r="IV41" s="504">
        <v>0</v>
      </c>
      <c r="IW41" s="504">
        <v>0</v>
      </c>
      <c r="IX41" s="504">
        <v>0</v>
      </c>
      <c r="IY41" s="504">
        <v>0</v>
      </c>
      <c r="IZ41" s="504">
        <v>0</v>
      </c>
      <c r="JA41" s="504">
        <v>0</v>
      </c>
      <c r="JB41" s="504">
        <v>0</v>
      </c>
      <c r="JC41" s="504">
        <v>0</v>
      </c>
      <c r="JD41" s="504">
        <v>0</v>
      </c>
      <c r="JE41" s="504">
        <v>0</v>
      </c>
      <c r="JF41" s="504">
        <v>0</v>
      </c>
      <c r="JG41" s="504">
        <v>0</v>
      </c>
      <c r="JH41" s="504">
        <v>0</v>
      </c>
      <c r="JI41" s="504">
        <v>0</v>
      </c>
      <c r="JJ41" s="504">
        <v>0</v>
      </c>
      <c r="JK41" s="504">
        <v>0</v>
      </c>
      <c r="JL41" s="504">
        <v>0</v>
      </c>
      <c r="JM41" s="504">
        <v>0</v>
      </c>
      <c r="JN41" s="504">
        <v>0</v>
      </c>
      <c r="JO41" s="504">
        <v>0</v>
      </c>
      <c r="JP41" s="504">
        <v>0</v>
      </c>
      <c r="JQ41" s="504">
        <v>0</v>
      </c>
      <c r="JR41" s="504">
        <v>0</v>
      </c>
      <c r="JS41" s="504">
        <v>0</v>
      </c>
      <c r="JT41" s="504">
        <v>0</v>
      </c>
      <c r="JU41" s="504">
        <v>0</v>
      </c>
      <c r="JV41" s="504">
        <v>0</v>
      </c>
      <c r="JW41" s="504">
        <v>0</v>
      </c>
      <c r="JX41" s="504">
        <v>0</v>
      </c>
      <c r="JY41" s="504">
        <v>0</v>
      </c>
      <c r="JZ41" s="504">
        <v>0</v>
      </c>
      <c r="KA41" s="504">
        <v>0</v>
      </c>
      <c r="KB41" s="504">
        <v>0</v>
      </c>
      <c r="KC41" s="504">
        <v>0</v>
      </c>
      <c r="KD41" s="504">
        <v>0</v>
      </c>
      <c r="KE41" s="504">
        <v>0</v>
      </c>
      <c r="KF41" s="504">
        <v>0</v>
      </c>
      <c r="KG41" s="504">
        <v>0</v>
      </c>
      <c r="KH41" s="504">
        <v>0</v>
      </c>
      <c r="KI41" s="504">
        <v>0</v>
      </c>
      <c r="KJ41" s="504">
        <v>0</v>
      </c>
      <c r="KK41" s="504">
        <v>0</v>
      </c>
      <c r="KL41" s="504">
        <v>0</v>
      </c>
      <c r="KM41" s="504">
        <v>0</v>
      </c>
      <c r="KN41" s="504">
        <v>0</v>
      </c>
      <c r="KO41" s="504">
        <v>0</v>
      </c>
      <c r="KP41" s="504">
        <v>0</v>
      </c>
      <c r="KQ41" s="504">
        <v>0</v>
      </c>
      <c r="KR41" s="504">
        <v>0</v>
      </c>
      <c r="KS41" s="504">
        <v>0</v>
      </c>
      <c r="KT41" s="504">
        <v>0</v>
      </c>
      <c r="KU41" s="504">
        <v>0</v>
      </c>
      <c r="KV41" s="504">
        <v>0</v>
      </c>
      <c r="KW41" s="504">
        <v>0</v>
      </c>
      <c r="KX41" s="504">
        <v>0</v>
      </c>
      <c r="KY41" s="504">
        <v>0</v>
      </c>
      <c r="KZ41" s="504">
        <v>0</v>
      </c>
      <c r="LA41" s="504">
        <v>0</v>
      </c>
      <c r="LB41" s="504">
        <v>0</v>
      </c>
      <c r="LC41" s="504">
        <v>0</v>
      </c>
      <c r="LD41" s="504">
        <v>0</v>
      </c>
      <c r="LE41" s="504">
        <v>0</v>
      </c>
      <c r="LF41" s="504">
        <v>0</v>
      </c>
      <c r="LG41" s="504">
        <v>0</v>
      </c>
      <c r="LH41" s="504">
        <v>0</v>
      </c>
      <c r="LI41" s="504">
        <v>0</v>
      </c>
      <c r="LJ41" s="504">
        <v>0</v>
      </c>
      <c r="LK41" s="504">
        <v>0</v>
      </c>
      <c r="LL41" s="504">
        <v>0</v>
      </c>
      <c r="LM41" s="504">
        <v>0</v>
      </c>
      <c r="LN41" s="504">
        <v>0</v>
      </c>
      <c r="LO41" s="504">
        <v>0</v>
      </c>
      <c r="LP41" s="504">
        <v>0</v>
      </c>
      <c r="LQ41" s="504">
        <v>0</v>
      </c>
      <c r="LR41" s="504">
        <v>0</v>
      </c>
      <c r="LS41" s="504">
        <v>0</v>
      </c>
      <c r="LT41" s="504">
        <v>0</v>
      </c>
      <c r="LU41" s="504">
        <v>0</v>
      </c>
      <c r="LV41" s="504">
        <v>0</v>
      </c>
      <c r="LW41" s="504">
        <v>0</v>
      </c>
      <c r="LX41" s="504">
        <v>0</v>
      </c>
      <c r="LY41" s="504">
        <v>0</v>
      </c>
      <c r="LZ41" s="504">
        <v>0</v>
      </c>
      <c r="MA41" s="504">
        <v>0</v>
      </c>
      <c r="MB41" s="504">
        <v>0</v>
      </c>
      <c r="MC41" s="504">
        <v>0</v>
      </c>
      <c r="MD41" s="504">
        <v>0</v>
      </c>
      <c r="ME41" s="504">
        <v>0</v>
      </c>
      <c r="MF41" s="504">
        <v>0</v>
      </c>
      <c r="MG41" s="504">
        <v>0</v>
      </c>
      <c r="MH41" s="504">
        <v>0</v>
      </c>
      <c r="MI41" s="504">
        <v>0</v>
      </c>
      <c r="MJ41" s="504">
        <v>0</v>
      </c>
      <c r="MK41" s="504">
        <v>0</v>
      </c>
      <c r="ML41" s="504">
        <v>0</v>
      </c>
      <c r="MM41" s="504">
        <v>0</v>
      </c>
      <c r="MN41" s="504">
        <v>0</v>
      </c>
      <c r="MO41" s="504">
        <v>0</v>
      </c>
      <c r="MP41" s="504">
        <v>0</v>
      </c>
      <c r="MQ41" s="504">
        <v>0</v>
      </c>
      <c r="MR41" s="504">
        <v>0</v>
      </c>
      <c r="MS41" s="504">
        <v>0</v>
      </c>
      <c r="MT41" s="504">
        <v>0</v>
      </c>
      <c r="MU41" s="504">
        <v>0</v>
      </c>
      <c r="MV41" s="504">
        <v>0</v>
      </c>
      <c r="MW41" s="504">
        <v>0</v>
      </c>
      <c r="MX41" s="504">
        <v>0</v>
      </c>
      <c r="MY41" s="504">
        <v>0</v>
      </c>
      <c r="MZ41" s="504">
        <v>0</v>
      </c>
      <c r="NA41" s="504">
        <v>0</v>
      </c>
      <c r="NB41" s="504">
        <v>0</v>
      </c>
      <c r="NC41" s="504">
        <v>0</v>
      </c>
      <c r="ND41" s="504">
        <v>0</v>
      </c>
      <c r="NE41" s="504">
        <v>0</v>
      </c>
      <c r="NF41" s="504">
        <v>0</v>
      </c>
      <c r="NG41" s="504">
        <v>0</v>
      </c>
      <c r="NH41" s="504">
        <v>0</v>
      </c>
      <c r="NI41" s="504">
        <v>0</v>
      </c>
      <c r="NJ41" s="504">
        <v>0</v>
      </c>
      <c r="NK41" s="504">
        <v>0</v>
      </c>
      <c r="NL41" s="504">
        <v>0</v>
      </c>
      <c r="NM41" s="504">
        <v>0</v>
      </c>
      <c r="NN41" s="504">
        <v>0</v>
      </c>
      <c r="NO41" s="504">
        <v>0</v>
      </c>
      <c r="NP41" s="504">
        <v>0</v>
      </c>
      <c r="NQ41" s="504">
        <v>0</v>
      </c>
      <c r="NR41" s="504">
        <v>0</v>
      </c>
      <c r="NS41" s="504">
        <v>0</v>
      </c>
      <c r="NT41" s="504">
        <v>0</v>
      </c>
      <c r="NU41" s="504">
        <v>0</v>
      </c>
      <c r="NV41" s="504">
        <v>0</v>
      </c>
      <c r="NW41" s="504">
        <v>0</v>
      </c>
      <c r="NX41" s="504">
        <v>0</v>
      </c>
      <c r="NY41" s="504">
        <v>0</v>
      </c>
      <c r="NZ41" s="504">
        <v>0</v>
      </c>
      <c r="OA41" s="504">
        <v>0</v>
      </c>
      <c r="OB41" s="504">
        <v>0</v>
      </c>
      <c r="OC41" s="504">
        <v>0</v>
      </c>
      <c r="OD41" s="504">
        <v>0</v>
      </c>
      <c r="OE41" s="504">
        <v>0</v>
      </c>
      <c r="OF41" s="504">
        <v>0</v>
      </c>
      <c r="OG41" s="504">
        <v>0</v>
      </c>
      <c r="OH41" s="504">
        <v>0</v>
      </c>
      <c r="OI41" s="504">
        <v>0</v>
      </c>
      <c r="OJ41" s="504">
        <v>0</v>
      </c>
      <c r="OK41" s="504">
        <v>0</v>
      </c>
      <c r="OL41" s="504">
        <v>0</v>
      </c>
      <c r="OM41" s="504">
        <v>0</v>
      </c>
      <c r="ON41" s="494"/>
    </row>
    <row r="42" spans="1:404" ht="18.75" customHeight="1" x14ac:dyDescent="0.4">
      <c r="A42" s="355" t="s">
        <v>318</v>
      </c>
      <c r="B42" s="358">
        <v>85</v>
      </c>
      <c r="C42" s="355" t="s">
        <v>60</v>
      </c>
      <c r="D42" s="501">
        <v>28.53</v>
      </c>
      <c r="E42" s="502">
        <v>653757</v>
      </c>
      <c r="F42" s="501">
        <v>28.51</v>
      </c>
      <c r="G42" s="502">
        <v>124564</v>
      </c>
      <c r="H42" s="501">
        <v>28.51</v>
      </c>
      <c r="I42" s="502">
        <v>334376</v>
      </c>
      <c r="J42" s="501">
        <v>28.51</v>
      </c>
      <c r="K42" s="502">
        <v>372161</v>
      </c>
      <c r="V42" s="501"/>
      <c r="W42" s="503"/>
      <c r="X42" s="501"/>
      <c r="Y42" s="503"/>
      <c r="Z42" s="501"/>
      <c r="AA42" s="503"/>
      <c r="AB42" s="495"/>
      <c r="AC42" s="504">
        <v>0</v>
      </c>
      <c r="AD42" s="504">
        <v>0</v>
      </c>
      <c r="AE42" s="504">
        <v>0</v>
      </c>
      <c r="AF42" s="504">
        <v>0</v>
      </c>
      <c r="AG42" s="504">
        <v>0</v>
      </c>
      <c r="AH42" s="504">
        <v>0</v>
      </c>
      <c r="AI42" s="504">
        <v>0</v>
      </c>
      <c r="AJ42" s="504">
        <v>0</v>
      </c>
      <c r="AK42" s="504">
        <v>0</v>
      </c>
      <c r="AL42" s="504">
        <v>0</v>
      </c>
      <c r="AM42" s="504">
        <v>0</v>
      </c>
      <c r="AN42" s="504">
        <v>0</v>
      </c>
      <c r="AO42" s="504">
        <v>0</v>
      </c>
      <c r="AP42" s="504">
        <v>0</v>
      </c>
      <c r="AQ42" s="504">
        <v>0</v>
      </c>
      <c r="AR42" s="504">
        <v>0</v>
      </c>
      <c r="AS42" s="504">
        <v>0</v>
      </c>
      <c r="AT42" s="504">
        <v>0</v>
      </c>
      <c r="AU42" s="504">
        <v>0</v>
      </c>
      <c r="AV42" s="504">
        <v>0</v>
      </c>
      <c r="AW42" s="504">
        <v>0</v>
      </c>
      <c r="AX42" s="504">
        <v>0</v>
      </c>
      <c r="AY42" s="504">
        <v>0</v>
      </c>
      <c r="AZ42" s="504">
        <v>0</v>
      </c>
      <c r="BA42" s="504">
        <v>0</v>
      </c>
      <c r="BB42" s="504">
        <v>0</v>
      </c>
      <c r="BC42" s="504">
        <v>0</v>
      </c>
      <c r="BD42" s="504">
        <v>0</v>
      </c>
      <c r="BE42" s="504">
        <v>0</v>
      </c>
      <c r="BF42" s="504">
        <v>0</v>
      </c>
      <c r="BG42" s="504">
        <v>0</v>
      </c>
      <c r="BH42" s="504">
        <v>0</v>
      </c>
      <c r="BI42" s="504">
        <v>0</v>
      </c>
      <c r="BJ42" s="504">
        <v>0</v>
      </c>
      <c r="BK42" s="504">
        <v>0</v>
      </c>
      <c r="BL42" s="504">
        <v>0</v>
      </c>
      <c r="BM42" s="504">
        <v>0</v>
      </c>
      <c r="BN42" s="504">
        <v>0</v>
      </c>
      <c r="BO42" s="504">
        <v>0</v>
      </c>
      <c r="BP42" s="504">
        <v>0</v>
      </c>
      <c r="BQ42" s="504">
        <v>0</v>
      </c>
      <c r="BR42" s="504">
        <v>0</v>
      </c>
      <c r="BS42" s="504">
        <v>0</v>
      </c>
      <c r="BT42" s="504">
        <v>0</v>
      </c>
      <c r="BU42" s="504">
        <v>0</v>
      </c>
      <c r="BV42" s="504">
        <v>0</v>
      </c>
      <c r="BW42" s="504">
        <v>0</v>
      </c>
      <c r="BX42" s="504">
        <v>0</v>
      </c>
      <c r="BY42" s="504">
        <v>0</v>
      </c>
      <c r="BZ42" s="504">
        <v>0</v>
      </c>
      <c r="CA42" s="504">
        <v>0</v>
      </c>
      <c r="CB42" s="504">
        <v>0</v>
      </c>
      <c r="CC42" s="504">
        <v>0</v>
      </c>
      <c r="CD42" s="504">
        <v>0</v>
      </c>
      <c r="CE42" s="504">
        <v>0</v>
      </c>
      <c r="CF42" s="504">
        <v>0</v>
      </c>
      <c r="CG42" s="504">
        <v>0</v>
      </c>
      <c r="CH42" s="504">
        <v>0</v>
      </c>
      <c r="CI42" s="504">
        <v>0</v>
      </c>
      <c r="CJ42" s="504">
        <v>0</v>
      </c>
      <c r="CK42" s="504">
        <v>0</v>
      </c>
      <c r="CL42" s="504">
        <v>0</v>
      </c>
      <c r="CM42" s="504">
        <v>0</v>
      </c>
      <c r="CN42" s="504">
        <v>0</v>
      </c>
      <c r="CO42" s="504">
        <v>0</v>
      </c>
      <c r="CP42" s="504">
        <v>0</v>
      </c>
      <c r="CQ42" s="504">
        <v>0</v>
      </c>
      <c r="CR42" s="504">
        <v>0</v>
      </c>
      <c r="CS42" s="504">
        <v>0</v>
      </c>
      <c r="CT42" s="504">
        <v>0</v>
      </c>
      <c r="CU42" s="504">
        <v>0</v>
      </c>
      <c r="CV42" s="504">
        <v>0</v>
      </c>
      <c r="CW42" s="504">
        <v>0</v>
      </c>
      <c r="CX42" s="504">
        <v>0</v>
      </c>
      <c r="CY42" s="504">
        <v>0</v>
      </c>
      <c r="CZ42" s="504">
        <v>0</v>
      </c>
      <c r="DA42" s="504">
        <v>0</v>
      </c>
      <c r="DB42" s="504">
        <v>0</v>
      </c>
      <c r="DC42" s="504">
        <v>0</v>
      </c>
      <c r="DD42" s="504">
        <v>0</v>
      </c>
      <c r="DE42" s="504">
        <v>0</v>
      </c>
      <c r="DF42" s="504">
        <v>0</v>
      </c>
      <c r="DG42" s="504">
        <v>0</v>
      </c>
      <c r="DH42" s="504">
        <v>0</v>
      </c>
      <c r="DI42" s="504">
        <v>0</v>
      </c>
      <c r="DJ42" s="504">
        <v>0</v>
      </c>
      <c r="DK42" s="504">
        <v>0</v>
      </c>
      <c r="DL42" s="504">
        <v>0</v>
      </c>
      <c r="DM42" s="504">
        <v>0</v>
      </c>
      <c r="DN42" s="504">
        <v>0</v>
      </c>
      <c r="DO42" s="504">
        <v>0</v>
      </c>
      <c r="DP42" s="504">
        <v>0</v>
      </c>
      <c r="DQ42" s="504">
        <v>0</v>
      </c>
      <c r="DR42" s="504">
        <v>0</v>
      </c>
      <c r="DS42" s="504">
        <v>0</v>
      </c>
      <c r="DT42" s="504">
        <v>0</v>
      </c>
      <c r="DU42" s="504">
        <v>0</v>
      </c>
      <c r="DV42" s="504">
        <v>0</v>
      </c>
      <c r="DW42" s="504">
        <v>0</v>
      </c>
      <c r="DX42" s="504">
        <v>0</v>
      </c>
      <c r="DY42" s="504">
        <v>0</v>
      </c>
      <c r="DZ42" s="504">
        <v>0</v>
      </c>
      <c r="EA42" s="504">
        <v>0</v>
      </c>
      <c r="EB42" s="504">
        <v>0</v>
      </c>
      <c r="EC42" s="504">
        <v>0</v>
      </c>
      <c r="ED42" s="504">
        <v>0</v>
      </c>
      <c r="EE42" s="504">
        <v>0</v>
      </c>
      <c r="EF42" s="504">
        <v>0</v>
      </c>
      <c r="EG42" s="504">
        <v>0</v>
      </c>
      <c r="EH42" s="504">
        <v>0</v>
      </c>
      <c r="EI42" s="504">
        <v>0</v>
      </c>
      <c r="EJ42" s="504">
        <v>0</v>
      </c>
      <c r="EK42" s="504">
        <v>0</v>
      </c>
      <c r="EL42" s="504">
        <v>0</v>
      </c>
      <c r="EM42" s="504">
        <v>0</v>
      </c>
      <c r="EN42" s="504">
        <v>0</v>
      </c>
      <c r="EO42" s="504">
        <v>0</v>
      </c>
      <c r="EP42" s="504">
        <v>0</v>
      </c>
      <c r="EQ42" s="504">
        <v>0</v>
      </c>
      <c r="ER42" s="504">
        <v>0</v>
      </c>
      <c r="ES42" s="504">
        <v>0</v>
      </c>
      <c r="ET42" s="504">
        <v>0</v>
      </c>
      <c r="EU42" s="504">
        <v>0</v>
      </c>
      <c r="EV42" s="504">
        <v>0</v>
      </c>
      <c r="EW42" s="504">
        <v>0</v>
      </c>
      <c r="EX42" s="504">
        <v>0</v>
      </c>
      <c r="EY42" s="504">
        <v>0</v>
      </c>
      <c r="EZ42" s="504">
        <v>0</v>
      </c>
      <c r="FA42" s="504">
        <v>0</v>
      </c>
      <c r="FB42" s="504">
        <v>0</v>
      </c>
      <c r="FC42" s="504">
        <v>0</v>
      </c>
      <c r="FD42" s="504">
        <v>0</v>
      </c>
      <c r="FE42" s="504">
        <v>0</v>
      </c>
      <c r="FF42" s="504">
        <v>0</v>
      </c>
      <c r="FG42" s="504">
        <v>0</v>
      </c>
      <c r="FH42" s="504">
        <v>0</v>
      </c>
      <c r="FI42" s="504">
        <v>0</v>
      </c>
      <c r="FJ42" s="504">
        <v>0</v>
      </c>
      <c r="FK42" s="504">
        <v>0</v>
      </c>
      <c r="FL42" s="504">
        <v>0</v>
      </c>
      <c r="FM42" s="504">
        <v>0</v>
      </c>
      <c r="FN42" s="504">
        <v>0</v>
      </c>
      <c r="FO42" s="504">
        <v>0</v>
      </c>
      <c r="FP42" s="504">
        <v>0</v>
      </c>
      <c r="FQ42" s="504">
        <v>0</v>
      </c>
      <c r="FR42" s="504">
        <v>0</v>
      </c>
      <c r="FS42" s="504">
        <v>0</v>
      </c>
      <c r="FT42" s="504">
        <v>0</v>
      </c>
      <c r="FU42" s="504">
        <v>0</v>
      </c>
      <c r="FV42" s="504">
        <v>0</v>
      </c>
      <c r="FW42" s="504">
        <v>0</v>
      </c>
      <c r="FX42" s="504">
        <v>0</v>
      </c>
      <c r="FY42" s="504">
        <v>0</v>
      </c>
      <c r="FZ42" s="504">
        <v>0</v>
      </c>
      <c r="GA42" s="504">
        <v>0</v>
      </c>
      <c r="GB42" s="504">
        <v>0</v>
      </c>
      <c r="GC42" s="504">
        <v>0</v>
      </c>
      <c r="GD42" s="504">
        <v>0</v>
      </c>
      <c r="GE42" s="504">
        <v>0</v>
      </c>
      <c r="GF42" s="504">
        <v>0</v>
      </c>
      <c r="GG42" s="504">
        <v>0</v>
      </c>
      <c r="GH42" s="504">
        <v>0</v>
      </c>
      <c r="GI42" s="504">
        <v>0</v>
      </c>
      <c r="GJ42" s="504">
        <v>0</v>
      </c>
      <c r="GK42" s="504">
        <v>0</v>
      </c>
      <c r="GL42" s="504">
        <v>0</v>
      </c>
      <c r="GM42" s="504">
        <v>0</v>
      </c>
      <c r="GN42" s="504">
        <v>0</v>
      </c>
      <c r="GO42" s="504">
        <v>0</v>
      </c>
      <c r="GP42" s="504">
        <v>0</v>
      </c>
      <c r="GQ42" s="504">
        <v>0</v>
      </c>
      <c r="GR42" s="504">
        <v>0</v>
      </c>
      <c r="GS42" s="504">
        <v>0</v>
      </c>
      <c r="GT42" s="504">
        <v>0</v>
      </c>
      <c r="GU42" s="504">
        <v>0</v>
      </c>
      <c r="GV42" s="504">
        <v>0</v>
      </c>
      <c r="GW42" s="504">
        <v>0</v>
      </c>
      <c r="GX42" s="504">
        <v>0</v>
      </c>
      <c r="GY42" s="504">
        <v>0</v>
      </c>
      <c r="GZ42" s="504">
        <v>0</v>
      </c>
      <c r="HA42" s="504">
        <v>0</v>
      </c>
      <c r="HB42" s="504">
        <v>0</v>
      </c>
      <c r="HC42" s="504">
        <v>0</v>
      </c>
      <c r="HD42" s="504">
        <v>0</v>
      </c>
      <c r="HE42" s="504">
        <v>0</v>
      </c>
      <c r="HF42" s="504">
        <v>0</v>
      </c>
      <c r="HG42" s="504">
        <v>0</v>
      </c>
      <c r="HH42" s="504">
        <v>0</v>
      </c>
      <c r="HI42" s="504">
        <v>0</v>
      </c>
      <c r="HJ42" s="504">
        <v>0</v>
      </c>
      <c r="HK42" s="504">
        <v>0</v>
      </c>
      <c r="HL42" s="504">
        <v>0</v>
      </c>
      <c r="HM42" s="504">
        <v>0</v>
      </c>
      <c r="HN42" s="504">
        <v>0</v>
      </c>
      <c r="HO42" s="504">
        <v>0</v>
      </c>
      <c r="HP42" s="504">
        <v>0</v>
      </c>
      <c r="HQ42" s="504">
        <v>0</v>
      </c>
      <c r="HR42" s="504">
        <v>0</v>
      </c>
      <c r="HS42" s="504">
        <v>0</v>
      </c>
      <c r="HT42" s="504">
        <v>0</v>
      </c>
      <c r="HU42" s="504">
        <v>0</v>
      </c>
      <c r="HV42" s="504">
        <v>0</v>
      </c>
      <c r="HW42" s="504">
        <v>0</v>
      </c>
      <c r="HX42" s="504">
        <v>0</v>
      </c>
      <c r="HY42" s="504">
        <v>0</v>
      </c>
      <c r="HZ42" s="504">
        <v>0</v>
      </c>
      <c r="IA42" s="504">
        <v>0</v>
      </c>
      <c r="IB42" s="504">
        <v>0</v>
      </c>
      <c r="IC42" s="504">
        <v>0</v>
      </c>
      <c r="ID42" s="504">
        <v>0</v>
      </c>
      <c r="IE42" s="504">
        <v>0</v>
      </c>
      <c r="IF42" s="504">
        <v>0</v>
      </c>
      <c r="IG42" s="504">
        <v>0</v>
      </c>
      <c r="IH42" s="504">
        <v>0</v>
      </c>
      <c r="II42" s="504">
        <v>0</v>
      </c>
      <c r="IJ42" s="504">
        <v>0</v>
      </c>
      <c r="IK42" s="504">
        <v>0</v>
      </c>
      <c r="IL42" s="504">
        <v>0</v>
      </c>
      <c r="IM42" s="504">
        <v>0</v>
      </c>
      <c r="IN42" s="504">
        <v>0</v>
      </c>
      <c r="IO42" s="504">
        <v>0</v>
      </c>
      <c r="IP42" s="504">
        <v>0</v>
      </c>
      <c r="IQ42" s="504">
        <v>0</v>
      </c>
      <c r="IR42" s="504">
        <v>0</v>
      </c>
      <c r="IS42" s="504">
        <v>0</v>
      </c>
      <c r="IT42" s="504">
        <v>0</v>
      </c>
      <c r="IU42" s="504">
        <v>0</v>
      </c>
      <c r="IV42" s="504">
        <v>0</v>
      </c>
      <c r="IW42" s="504">
        <v>0</v>
      </c>
      <c r="IX42" s="504">
        <v>0</v>
      </c>
      <c r="IY42" s="504">
        <v>0</v>
      </c>
      <c r="IZ42" s="504">
        <v>0</v>
      </c>
      <c r="JA42" s="504">
        <v>0</v>
      </c>
      <c r="JB42" s="504">
        <v>0</v>
      </c>
      <c r="JC42" s="504">
        <v>0</v>
      </c>
      <c r="JD42" s="504">
        <v>0</v>
      </c>
      <c r="JE42" s="504">
        <v>0</v>
      </c>
      <c r="JF42" s="504">
        <v>0</v>
      </c>
      <c r="JG42" s="504">
        <v>0</v>
      </c>
      <c r="JH42" s="504">
        <v>0</v>
      </c>
      <c r="JI42" s="504">
        <v>0</v>
      </c>
      <c r="JJ42" s="504">
        <v>0</v>
      </c>
      <c r="JK42" s="504">
        <v>0</v>
      </c>
      <c r="JL42" s="504">
        <v>0</v>
      </c>
      <c r="JM42" s="504">
        <v>0</v>
      </c>
      <c r="JN42" s="504">
        <v>0</v>
      </c>
      <c r="JO42" s="504">
        <v>0</v>
      </c>
      <c r="JP42" s="504">
        <v>0</v>
      </c>
      <c r="JQ42" s="504">
        <v>0</v>
      </c>
      <c r="JR42" s="504">
        <v>0</v>
      </c>
      <c r="JS42" s="504">
        <v>0</v>
      </c>
      <c r="JT42" s="504">
        <v>0</v>
      </c>
      <c r="JU42" s="504">
        <v>0</v>
      </c>
      <c r="JV42" s="504">
        <v>0</v>
      </c>
      <c r="JW42" s="504">
        <v>0</v>
      </c>
      <c r="JX42" s="504">
        <v>0</v>
      </c>
      <c r="JY42" s="504">
        <v>0</v>
      </c>
      <c r="JZ42" s="504">
        <v>0</v>
      </c>
      <c r="KA42" s="504">
        <v>0</v>
      </c>
      <c r="KB42" s="504">
        <v>0</v>
      </c>
      <c r="KC42" s="504">
        <v>0</v>
      </c>
      <c r="KD42" s="504">
        <v>0</v>
      </c>
      <c r="KE42" s="504">
        <v>0</v>
      </c>
      <c r="KF42" s="504">
        <v>0</v>
      </c>
      <c r="KG42" s="504">
        <v>0</v>
      </c>
      <c r="KH42" s="504">
        <v>0</v>
      </c>
      <c r="KI42" s="504">
        <v>0</v>
      </c>
      <c r="KJ42" s="504">
        <v>0</v>
      </c>
      <c r="KK42" s="504">
        <v>0</v>
      </c>
      <c r="KL42" s="504">
        <v>0</v>
      </c>
      <c r="KM42" s="504">
        <v>0</v>
      </c>
      <c r="KN42" s="504">
        <v>0</v>
      </c>
      <c r="KO42" s="504">
        <v>0</v>
      </c>
      <c r="KP42" s="504">
        <v>0</v>
      </c>
      <c r="KQ42" s="504">
        <v>0</v>
      </c>
      <c r="KR42" s="504">
        <v>0</v>
      </c>
      <c r="KS42" s="504">
        <v>0</v>
      </c>
      <c r="KT42" s="504">
        <v>0</v>
      </c>
      <c r="KU42" s="504">
        <v>0</v>
      </c>
      <c r="KV42" s="504">
        <v>0</v>
      </c>
      <c r="KW42" s="504">
        <v>0</v>
      </c>
      <c r="KX42" s="504">
        <v>0</v>
      </c>
      <c r="KY42" s="504">
        <v>0</v>
      </c>
      <c r="KZ42" s="504">
        <v>0</v>
      </c>
      <c r="LA42" s="504">
        <v>0</v>
      </c>
      <c r="LB42" s="504">
        <v>0</v>
      </c>
      <c r="LC42" s="504">
        <v>0</v>
      </c>
      <c r="LD42" s="504">
        <v>0</v>
      </c>
      <c r="LE42" s="504">
        <v>0</v>
      </c>
      <c r="LF42" s="504">
        <v>0</v>
      </c>
      <c r="LG42" s="504">
        <v>0</v>
      </c>
      <c r="LH42" s="504">
        <v>0</v>
      </c>
      <c r="LI42" s="504">
        <v>0</v>
      </c>
      <c r="LJ42" s="504">
        <v>0</v>
      </c>
      <c r="LK42" s="504">
        <v>0</v>
      </c>
      <c r="LL42" s="504">
        <v>0</v>
      </c>
      <c r="LM42" s="504">
        <v>0</v>
      </c>
      <c r="LN42" s="504">
        <v>0</v>
      </c>
      <c r="LO42" s="504">
        <v>0</v>
      </c>
      <c r="LP42" s="504">
        <v>0</v>
      </c>
      <c r="LQ42" s="504">
        <v>0</v>
      </c>
      <c r="LR42" s="504">
        <v>0</v>
      </c>
      <c r="LS42" s="504">
        <v>0</v>
      </c>
      <c r="LT42" s="504">
        <v>0</v>
      </c>
      <c r="LU42" s="504">
        <v>0</v>
      </c>
      <c r="LV42" s="504">
        <v>0</v>
      </c>
      <c r="LW42" s="504">
        <v>0</v>
      </c>
      <c r="LX42" s="504">
        <v>0</v>
      </c>
      <c r="LY42" s="504">
        <v>0</v>
      </c>
      <c r="LZ42" s="504">
        <v>0</v>
      </c>
      <c r="MA42" s="504">
        <v>0</v>
      </c>
      <c r="MB42" s="504">
        <v>0</v>
      </c>
      <c r="MC42" s="504">
        <v>0</v>
      </c>
      <c r="MD42" s="504">
        <v>0</v>
      </c>
      <c r="ME42" s="504">
        <v>0</v>
      </c>
      <c r="MF42" s="504">
        <v>0</v>
      </c>
      <c r="MG42" s="504">
        <v>0</v>
      </c>
      <c r="MH42" s="504">
        <v>0</v>
      </c>
      <c r="MI42" s="504">
        <v>0</v>
      </c>
      <c r="MJ42" s="504">
        <v>0</v>
      </c>
      <c r="MK42" s="504">
        <v>0</v>
      </c>
      <c r="ML42" s="504">
        <v>0</v>
      </c>
      <c r="MM42" s="504">
        <v>0</v>
      </c>
      <c r="MN42" s="504">
        <v>0</v>
      </c>
      <c r="MO42" s="504">
        <v>0</v>
      </c>
      <c r="MP42" s="504">
        <v>0</v>
      </c>
      <c r="MQ42" s="504">
        <v>0</v>
      </c>
      <c r="MR42" s="504">
        <v>0</v>
      </c>
      <c r="MS42" s="504">
        <v>0</v>
      </c>
      <c r="MT42" s="504">
        <v>0</v>
      </c>
      <c r="MU42" s="504">
        <v>0</v>
      </c>
      <c r="MV42" s="504">
        <v>0</v>
      </c>
      <c r="MW42" s="504">
        <v>0</v>
      </c>
      <c r="MX42" s="504">
        <v>0</v>
      </c>
      <c r="MY42" s="504">
        <v>0</v>
      </c>
      <c r="MZ42" s="504">
        <v>0</v>
      </c>
      <c r="NA42" s="504">
        <v>0</v>
      </c>
      <c r="NB42" s="504">
        <v>0</v>
      </c>
      <c r="NC42" s="504">
        <v>0</v>
      </c>
      <c r="ND42" s="504">
        <v>0</v>
      </c>
      <c r="NE42" s="504">
        <v>0</v>
      </c>
      <c r="NF42" s="504">
        <v>0</v>
      </c>
      <c r="NG42" s="504">
        <v>0</v>
      </c>
      <c r="NH42" s="504">
        <v>0</v>
      </c>
      <c r="NI42" s="504">
        <v>0</v>
      </c>
      <c r="NJ42" s="504">
        <v>0</v>
      </c>
      <c r="NK42" s="504">
        <v>0</v>
      </c>
      <c r="NL42" s="504">
        <v>0</v>
      </c>
      <c r="NM42" s="504">
        <v>0</v>
      </c>
      <c r="NN42" s="504">
        <v>0</v>
      </c>
      <c r="NO42" s="504">
        <v>0</v>
      </c>
      <c r="NP42" s="504">
        <v>0</v>
      </c>
      <c r="NQ42" s="504">
        <v>0</v>
      </c>
      <c r="NR42" s="504">
        <v>0</v>
      </c>
      <c r="NS42" s="504">
        <v>0</v>
      </c>
      <c r="NT42" s="504">
        <v>0</v>
      </c>
      <c r="NU42" s="504">
        <v>0</v>
      </c>
      <c r="NV42" s="504">
        <v>0</v>
      </c>
      <c r="NW42" s="504">
        <v>0</v>
      </c>
      <c r="NX42" s="504">
        <v>0</v>
      </c>
      <c r="NY42" s="504">
        <v>0</v>
      </c>
      <c r="NZ42" s="504">
        <v>0</v>
      </c>
      <c r="OA42" s="504">
        <v>0</v>
      </c>
      <c r="OB42" s="504">
        <v>0</v>
      </c>
      <c r="OC42" s="504">
        <v>0</v>
      </c>
      <c r="OD42" s="504">
        <v>0</v>
      </c>
      <c r="OE42" s="504">
        <v>0</v>
      </c>
      <c r="OF42" s="504">
        <v>0</v>
      </c>
      <c r="OG42" s="504">
        <v>0</v>
      </c>
      <c r="OH42" s="504">
        <v>0</v>
      </c>
      <c r="OI42" s="504">
        <v>0</v>
      </c>
      <c r="OJ42" s="504">
        <v>0</v>
      </c>
      <c r="OK42" s="504">
        <v>0</v>
      </c>
      <c r="OL42" s="504">
        <v>0</v>
      </c>
      <c r="OM42" s="504">
        <v>0</v>
      </c>
      <c r="ON42" s="494"/>
    </row>
    <row r="43" spans="1:404" ht="18.75" customHeight="1" x14ac:dyDescent="0.4">
      <c r="A43" s="355" t="s">
        <v>319</v>
      </c>
      <c r="B43" s="358">
        <v>85</v>
      </c>
      <c r="C43" s="355" t="s">
        <v>60</v>
      </c>
      <c r="D43" s="501">
        <v>28.71</v>
      </c>
      <c r="E43" s="502">
        <v>246248</v>
      </c>
      <c r="F43" s="501">
        <v>28.69</v>
      </c>
      <c r="G43" s="502">
        <v>24923</v>
      </c>
      <c r="H43" s="501">
        <v>28.69</v>
      </c>
      <c r="I43" s="502">
        <v>61160</v>
      </c>
      <c r="J43" s="501">
        <v>28.69</v>
      </c>
      <c r="K43" s="502">
        <v>67967</v>
      </c>
      <c r="V43" s="501"/>
      <c r="W43" s="503"/>
      <c r="X43" s="501"/>
      <c r="Y43" s="503"/>
      <c r="Z43" s="501"/>
      <c r="AA43" s="503"/>
      <c r="AB43" s="495"/>
      <c r="AC43" s="504">
        <v>0</v>
      </c>
      <c r="AD43" s="504">
        <v>0</v>
      </c>
      <c r="AE43" s="504">
        <v>0</v>
      </c>
      <c r="AF43" s="504">
        <v>0</v>
      </c>
      <c r="AG43" s="504">
        <v>0</v>
      </c>
      <c r="AH43" s="504">
        <v>0</v>
      </c>
      <c r="AI43" s="504">
        <v>0</v>
      </c>
      <c r="AJ43" s="504">
        <v>0</v>
      </c>
      <c r="AK43" s="504">
        <v>0</v>
      </c>
      <c r="AL43" s="504">
        <v>0</v>
      </c>
      <c r="AM43" s="504">
        <v>0</v>
      </c>
      <c r="AN43" s="504">
        <v>0</v>
      </c>
      <c r="AO43" s="504">
        <v>0</v>
      </c>
      <c r="AP43" s="504">
        <v>0</v>
      </c>
      <c r="AQ43" s="504">
        <v>0</v>
      </c>
      <c r="AR43" s="504">
        <v>0</v>
      </c>
      <c r="AS43" s="504">
        <v>0</v>
      </c>
      <c r="AT43" s="504">
        <v>0</v>
      </c>
      <c r="AU43" s="504">
        <v>0</v>
      </c>
      <c r="AV43" s="504">
        <v>0</v>
      </c>
      <c r="AW43" s="504">
        <v>0</v>
      </c>
      <c r="AX43" s="504">
        <v>0</v>
      </c>
      <c r="AY43" s="504">
        <v>0</v>
      </c>
      <c r="AZ43" s="504">
        <v>0</v>
      </c>
      <c r="BA43" s="504">
        <v>0</v>
      </c>
      <c r="BB43" s="504">
        <v>0</v>
      </c>
      <c r="BC43" s="504">
        <v>0</v>
      </c>
      <c r="BD43" s="504">
        <v>0</v>
      </c>
      <c r="BE43" s="504">
        <v>0</v>
      </c>
      <c r="BF43" s="504">
        <v>0</v>
      </c>
      <c r="BG43" s="504">
        <v>0</v>
      </c>
      <c r="BH43" s="504">
        <v>0</v>
      </c>
      <c r="BI43" s="504">
        <v>0</v>
      </c>
      <c r="BJ43" s="504">
        <v>0</v>
      </c>
      <c r="BK43" s="504">
        <v>0</v>
      </c>
      <c r="BL43" s="504">
        <v>0</v>
      </c>
      <c r="BM43" s="504">
        <v>0</v>
      </c>
      <c r="BN43" s="504">
        <v>0</v>
      </c>
      <c r="BO43" s="504">
        <v>0</v>
      </c>
      <c r="BP43" s="504">
        <v>0</v>
      </c>
      <c r="BQ43" s="504">
        <v>0</v>
      </c>
      <c r="BR43" s="504">
        <v>0</v>
      </c>
      <c r="BS43" s="504">
        <v>0</v>
      </c>
      <c r="BT43" s="504">
        <v>0</v>
      </c>
      <c r="BU43" s="504">
        <v>0</v>
      </c>
      <c r="BV43" s="504">
        <v>0</v>
      </c>
      <c r="BW43" s="504">
        <v>0</v>
      </c>
      <c r="BX43" s="504">
        <v>0</v>
      </c>
      <c r="BY43" s="504">
        <v>0</v>
      </c>
      <c r="BZ43" s="504">
        <v>0</v>
      </c>
      <c r="CA43" s="504">
        <v>0</v>
      </c>
      <c r="CB43" s="504">
        <v>0</v>
      </c>
      <c r="CC43" s="504">
        <v>0</v>
      </c>
      <c r="CD43" s="504">
        <v>0</v>
      </c>
      <c r="CE43" s="504">
        <v>0</v>
      </c>
      <c r="CF43" s="504">
        <v>0</v>
      </c>
      <c r="CG43" s="504">
        <v>0</v>
      </c>
      <c r="CH43" s="504">
        <v>0</v>
      </c>
      <c r="CI43" s="504">
        <v>0</v>
      </c>
      <c r="CJ43" s="504">
        <v>0</v>
      </c>
      <c r="CK43" s="504">
        <v>0</v>
      </c>
      <c r="CL43" s="504">
        <v>0</v>
      </c>
      <c r="CM43" s="504">
        <v>0</v>
      </c>
      <c r="CN43" s="504">
        <v>0</v>
      </c>
      <c r="CO43" s="504">
        <v>0</v>
      </c>
      <c r="CP43" s="504">
        <v>0</v>
      </c>
      <c r="CQ43" s="504">
        <v>0</v>
      </c>
      <c r="CR43" s="504">
        <v>0</v>
      </c>
      <c r="CS43" s="504">
        <v>0</v>
      </c>
      <c r="CT43" s="504">
        <v>0</v>
      </c>
      <c r="CU43" s="504">
        <v>0</v>
      </c>
      <c r="CV43" s="504">
        <v>0</v>
      </c>
      <c r="CW43" s="504">
        <v>0</v>
      </c>
      <c r="CX43" s="504">
        <v>0</v>
      </c>
      <c r="CY43" s="504">
        <v>0</v>
      </c>
      <c r="CZ43" s="504">
        <v>0</v>
      </c>
      <c r="DA43" s="504">
        <v>0</v>
      </c>
      <c r="DB43" s="504">
        <v>0</v>
      </c>
      <c r="DC43" s="504">
        <v>0</v>
      </c>
      <c r="DD43" s="504">
        <v>0</v>
      </c>
      <c r="DE43" s="504">
        <v>0</v>
      </c>
      <c r="DF43" s="504">
        <v>0</v>
      </c>
      <c r="DG43" s="504">
        <v>0</v>
      </c>
      <c r="DH43" s="504">
        <v>0</v>
      </c>
      <c r="DI43" s="504">
        <v>0</v>
      </c>
      <c r="DJ43" s="504">
        <v>0</v>
      </c>
      <c r="DK43" s="504">
        <v>0</v>
      </c>
      <c r="DL43" s="504">
        <v>0</v>
      </c>
      <c r="DM43" s="504">
        <v>0</v>
      </c>
      <c r="DN43" s="504">
        <v>0</v>
      </c>
      <c r="DO43" s="504">
        <v>0</v>
      </c>
      <c r="DP43" s="504">
        <v>0</v>
      </c>
      <c r="DQ43" s="504">
        <v>0</v>
      </c>
      <c r="DR43" s="504">
        <v>0</v>
      </c>
      <c r="DS43" s="504">
        <v>0</v>
      </c>
      <c r="DT43" s="504">
        <v>0</v>
      </c>
      <c r="DU43" s="504">
        <v>0</v>
      </c>
      <c r="DV43" s="504">
        <v>0</v>
      </c>
      <c r="DW43" s="504">
        <v>0</v>
      </c>
      <c r="DX43" s="504">
        <v>0</v>
      </c>
      <c r="DY43" s="504">
        <v>0</v>
      </c>
      <c r="DZ43" s="504">
        <v>0</v>
      </c>
      <c r="EA43" s="504">
        <v>0</v>
      </c>
      <c r="EB43" s="504">
        <v>0</v>
      </c>
      <c r="EC43" s="504">
        <v>0</v>
      </c>
      <c r="ED43" s="504">
        <v>0</v>
      </c>
      <c r="EE43" s="504">
        <v>0</v>
      </c>
      <c r="EF43" s="504">
        <v>0</v>
      </c>
      <c r="EG43" s="504">
        <v>0</v>
      </c>
      <c r="EH43" s="504">
        <v>0</v>
      </c>
      <c r="EI43" s="504">
        <v>0</v>
      </c>
      <c r="EJ43" s="504">
        <v>0</v>
      </c>
      <c r="EK43" s="504">
        <v>0</v>
      </c>
      <c r="EL43" s="504">
        <v>0</v>
      </c>
      <c r="EM43" s="504">
        <v>0</v>
      </c>
      <c r="EN43" s="504">
        <v>0</v>
      </c>
      <c r="EO43" s="504">
        <v>0</v>
      </c>
      <c r="EP43" s="504">
        <v>0</v>
      </c>
      <c r="EQ43" s="504">
        <v>0</v>
      </c>
      <c r="ER43" s="504">
        <v>0</v>
      </c>
      <c r="ES43" s="504">
        <v>0</v>
      </c>
      <c r="ET43" s="504">
        <v>0</v>
      </c>
      <c r="EU43" s="504">
        <v>0</v>
      </c>
      <c r="EV43" s="504">
        <v>0</v>
      </c>
      <c r="EW43" s="504">
        <v>0</v>
      </c>
      <c r="EX43" s="504">
        <v>0</v>
      </c>
      <c r="EY43" s="504">
        <v>0</v>
      </c>
      <c r="EZ43" s="504">
        <v>0</v>
      </c>
      <c r="FA43" s="504">
        <v>0</v>
      </c>
      <c r="FB43" s="504">
        <v>0</v>
      </c>
      <c r="FC43" s="504">
        <v>0</v>
      </c>
      <c r="FD43" s="504">
        <v>0</v>
      </c>
      <c r="FE43" s="504">
        <v>0</v>
      </c>
      <c r="FF43" s="504">
        <v>0</v>
      </c>
      <c r="FG43" s="504">
        <v>0</v>
      </c>
      <c r="FH43" s="504">
        <v>0</v>
      </c>
      <c r="FI43" s="504">
        <v>0</v>
      </c>
      <c r="FJ43" s="504">
        <v>0</v>
      </c>
      <c r="FK43" s="504">
        <v>0</v>
      </c>
      <c r="FL43" s="504">
        <v>0</v>
      </c>
      <c r="FM43" s="504">
        <v>0</v>
      </c>
      <c r="FN43" s="504">
        <v>0</v>
      </c>
      <c r="FO43" s="504">
        <v>0</v>
      </c>
      <c r="FP43" s="504">
        <v>0</v>
      </c>
      <c r="FQ43" s="504">
        <v>0</v>
      </c>
      <c r="FR43" s="504">
        <v>0</v>
      </c>
      <c r="FS43" s="504">
        <v>0</v>
      </c>
      <c r="FT43" s="504">
        <v>0</v>
      </c>
      <c r="FU43" s="504">
        <v>0</v>
      </c>
      <c r="FV43" s="504">
        <v>0</v>
      </c>
      <c r="FW43" s="504">
        <v>0</v>
      </c>
      <c r="FX43" s="504">
        <v>0</v>
      </c>
      <c r="FY43" s="504">
        <v>0</v>
      </c>
      <c r="FZ43" s="504">
        <v>0</v>
      </c>
      <c r="GA43" s="504">
        <v>0</v>
      </c>
      <c r="GB43" s="504">
        <v>0</v>
      </c>
      <c r="GC43" s="504">
        <v>0</v>
      </c>
      <c r="GD43" s="504">
        <v>0</v>
      </c>
      <c r="GE43" s="504">
        <v>0</v>
      </c>
      <c r="GF43" s="504">
        <v>0</v>
      </c>
      <c r="GG43" s="504">
        <v>0</v>
      </c>
      <c r="GH43" s="504">
        <v>0</v>
      </c>
      <c r="GI43" s="504">
        <v>0</v>
      </c>
      <c r="GJ43" s="504">
        <v>0</v>
      </c>
      <c r="GK43" s="504">
        <v>0</v>
      </c>
      <c r="GL43" s="504">
        <v>0</v>
      </c>
      <c r="GM43" s="504">
        <v>0</v>
      </c>
      <c r="GN43" s="504">
        <v>0</v>
      </c>
      <c r="GO43" s="504">
        <v>0</v>
      </c>
      <c r="GP43" s="504">
        <v>0</v>
      </c>
      <c r="GQ43" s="504">
        <v>0</v>
      </c>
      <c r="GR43" s="504">
        <v>0</v>
      </c>
      <c r="GS43" s="504">
        <v>0</v>
      </c>
      <c r="GT43" s="504">
        <v>0</v>
      </c>
      <c r="GU43" s="504">
        <v>0</v>
      </c>
      <c r="GV43" s="504">
        <v>0</v>
      </c>
      <c r="GW43" s="504">
        <v>0</v>
      </c>
      <c r="GX43" s="504">
        <v>0</v>
      </c>
      <c r="GY43" s="504">
        <v>0</v>
      </c>
      <c r="GZ43" s="504">
        <v>0</v>
      </c>
      <c r="HA43" s="504">
        <v>0</v>
      </c>
      <c r="HB43" s="504">
        <v>0</v>
      </c>
      <c r="HC43" s="504">
        <v>0</v>
      </c>
      <c r="HD43" s="504">
        <v>0</v>
      </c>
      <c r="HE43" s="504">
        <v>0</v>
      </c>
      <c r="HF43" s="504">
        <v>0</v>
      </c>
      <c r="HG43" s="504">
        <v>0</v>
      </c>
      <c r="HH43" s="504">
        <v>0</v>
      </c>
      <c r="HI43" s="504">
        <v>0</v>
      </c>
      <c r="HJ43" s="504">
        <v>0</v>
      </c>
      <c r="HK43" s="504">
        <v>0</v>
      </c>
      <c r="HL43" s="504">
        <v>0</v>
      </c>
      <c r="HM43" s="504">
        <v>0</v>
      </c>
      <c r="HN43" s="504">
        <v>0</v>
      </c>
      <c r="HO43" s="504">
        <v>0</v>
      </c>
      <c r="HP43" s="504">
        <v>0</v>
      </c>
      <c r="HQ43" s="504">
        <v>0</v>
      </c>
      <c r="HR43" s="504">
        <v>0</v>
      </c>
      <c r="HS43" s="504">
        <v>0</v>
      </c>
      <c r="HT43" s="504">
        <v>0</v>
      </c>
      <c r="HU43" s="504">
        <v>0</v>
      </c>
      <c r="HV43" s="504">
        <v>0</v>
      </c>
      <c r="HW43" s="504">
        <v>0</v>
      </c>
      <c r="HX43" s="504">
        <v>0</v>
      </c>
      <c r="HY43" s="504">
        <v>0</v>
      </c>
      <c r="HZ43" s="504">
        <v>0</v>
      </c>
      <c r="IA43" s="504">
        <v>0</v>
      </c>
      <c r="IB43" s="504">
        <v>0</v>
      </c>
      <c r="IC43" s="504">
        <v>0</v>
      </c>
      <c r="ID43" s="504">
        <v>0</v>
      </c>
      <c r="IE43" s="504">
        <v>0</v>
      </c>
      <c r="IF43" s="504">
        <v>0</v>
      </c>
      <c r="IG43" s="504">
        <v>0</v>
      </c>
      <c r="IH43" s="504">
        <v>0</v>
      </c>
      <c r="II43" s="504">
        <v>0</v>
      </c>
      <c r="IJ43" s="504">
        <v>0</v>
      </c>
      <c r="IK43" s="504">
        <v>0</v>
      </c>
      <c r="IL43" s="504">
        <v>0</v>
      </c>
      <c r="IM43" s="504">
        <v>0</v>
      </c>
      <c r="IN43" s="504">
        <v>0</v>
      </c>
      <c r="IO43" s="504">
        <v>0</v>
      </c>
      <c r="IP43" s="504">
        <v>0</v>
      </c>
      <c r="IQ43" s="504">
        <v>0</v>
      </c>
      <c r="IR43" s="504">
        <v>0</v>
      </c>
      <c r="IS43" s="504">
        <v>0</v>
      </c>
      <c r="IT43" s="504">
        <v>0</v>
      </c>
      <c r="IU43" s="504">
        <v>0</v>
      </c>
      <c r="IV43" s="504">
        <v>0</v>
      </c>
      <c r="IW43" s="504">
        <v>0</v>
      </c>
      <c r="IX43" s="504">
        <v>0</v>
      </c>
      <c r="IY43" s="504">
        <v>0</v>
      </c>
      <c r="IZ43" s="504">
        <v>0</v>
      </c>
      <c r="JA43" s="504">
        <v>0</v>
      </c>
      <c r="JB43" s="504">
        <v>0</v>
      </c>
      <c r="JC43" s="504">
        <v>0</v>
      </c>
      <c r="JD43" s="504">
        <v>0</v>
      </c>
      <c r="JE43" s="504">
        <v>0</v>
      </c>
      <c r="JF43" s="504">
        <v>0</v>
      </c>
      <c r="JG43" s="504">
        <v>0</v>
      </c>
      <c r="JH43" s="504">
        <v>0</v>
      </c>
      <c r="JI43" s="504">
        <v>0</v>
      </c>
      <c r="JJ43" s="504">
        <v>0</v>
      </c>
      <c r="JK43" s="504">
        <v>0</v>
      </c>
      <c r="JL43" s="504">
        <v>0</v>
      </c>
      <c r="JM43" s="504">
        <v>0</v>
      </c>
      <c r="JN43" s="504">
        <v>0</v>
      </c>
      <c r="JO43" s="504">
        <v>0</v>
      </c>
      <c r="JP43" s="504">
        <v>0</v>
      </c>
      <c r="JQ43" s="504">
        <v>0</v>
      </c>
      <c r="JR43" s="504">
        <v>0</v>
      </c>
      <c r="JS43" s="504">
        <v>0</v>
      </c>
      <c r="JT43" s="504">
        <v>0</v>
      </c>
      <c r="JU43" s="504">
        <v>0</v>
      </c>
      <c r="JV43" s="504">
        <v>0</v>
      </c>
      <c r="JW43" s="504">
        <v>0</v>
      </c>
      <c r="JX43" s="504">
        <v>0</v>
      </c>
      <c r="JY43" s="504">
        <v>0</v>
      </c>
      <c r="JZ43" s="504">
        <v>0</v>
      </c>
      <c r="KA43" s="504">
        <v>0</v>
      </c>
      <c r="KB43" s="504">
        <v>0</v>
      </c>
      <c r="KC43" s="504">
        <v>0</v>
      </c>
      <c r="KD43" s="504">
        <v>0</v>
      </c>
      <c r="KE43" s="504">
        <v>0</v>
      </c>
      <c r="KF43" s="504">
        <v>0</v>
      </c>
      <c r="KG43" s="504">
        <v>0</v>
      </c>
      <c r="KH43" s="504">
        <v>0</v>
      </c>
      <c r="KI43" s="504">
        <v>0</v>
      </c>
      <c r="KJ43" s="504">
        <v>0</v>
      </c>
      <c r="KK43" s="504">
        <v>0</v>
      </c>
      <c r="KL43" s="504">
        <v>0</v>
      </c>
      <c r="KM43" s="504">
        <v>0</v>
      </c>
      <c r="KN43" s="504">
        <v>0</v>
      </c>
      <c r="KO43" s="504">
        <v>0</v>
      </c>
      <c r="KP43" s="504">
        <v>0</v>
      </c>
      <c r="KQ43" s="504">
        <v>0</v>
      </c>
      <c r="KR43" s="504">
        <v>0</v>
      </c>
      <c r="KS43" s="504">
        <v>0</v>
      </c>
      <c r="KT43" s="504">
        <v>0</v>
      </c>
      <c r="KU43" s="504">
        <v>0</v>
      </c>
      <c r="KV43" s="504">
        <v>0</v>
      </c>
      <c r="KW43" s="504">
        <v>0</v>
      </c>
      <c r="KX43" s="504">
        <v>0</v>
      </c>
      <c r="KY43" s="504">
        <v>0</v>
      </c>
      <c r="KZ43" s="504">
        <v>0</v>
      </c>
      <c r="LA43" s="504">
        <v>0</v>
      </c>
      <c r="LB43" s="504">
        <v>0</v>
      </c>
      <c r="LC43" s="504">
        <v>0</v>
      </c>
      <c r="LD43" s="504">
        <v>0</v>
      </c>
      <c r="LE43" s="504">
        <v>0</v>
      </c>
      <c r="LF43" s="504">
        <v>0</v>
      </c>
      <c r="LG43" s="504">
        <v>0</v>
      </c>
      <c r="LH43" s="504">
        <v>0</v>
      </c>
      <c r="LI43" s="504">
        <v>0</v>
      </c>
      <c r="LJ43" s="504">
        <v>0</v>
      </c>
      <c r="LK43" s="504">
        <v>0</v>
      </c>
      <c r="LL43" s="504">
        <v>0</v>
      </c>
      <c r="LM43" s="504">
        <v>0</v>
      </c>
      <c r="LN43" s="504">
        <v>0</v>
      </c>
      <c r="LO43" s="504">
        <v>0</v>
      </c>
      <c r="LP43" s="504">
        <v>0</v>
      </c>
      <c r="LQ43" s="504">
        <v>0</v>
      </c>
      <c r="LR43" s="504">
        <v>0</v>
      </c>
      <c r="LS43" s="504">
        <v>0</v>
      </c>
      <c r="LT43" s="504">
        <v>0</v>
      </c>
      <c r="LU43" s="504">
        <v>0</v>
      </c>
      <c r="LV43" s="504">
        <v>0</v>
      </c>
      <c r="LW43" s="504">
        <v>0</v>
      </c>
      <c r="LX43" s="504">
        <v>0</v>
      </c>
      <c r="LY43" s="504">
        <v>0</v>
      </c>
      <c r="LZ43" s="504">
        <v>0</v>
      </c>
      <c r="MA43" s="504">
        <v>0</v>
      </c>
      <c r="MB43" s="504">
        <v>0</v>
      </c>
      <c r="MC43" s="504">
        <v>0</v>
      </c>
      <c r="MD43" s="504">
        <v>0</v>
      </c>
      <c r="ME43" s="504">
        <v>0</v>
      </c>
      <c r="MF43" s="504">
        <v>0</v>
      </c>
      <c r="MG43" s="504">
        <v>0</v>
      </c>
      <c r="MH43" s="504">
        <v>0</v>
      </c>
      <c r="MI43" s="504">
        <v>0</v>
      </c>
      <c r="MJ43" s="504">
        <v>0</v>
      </c>
      <c r="MK43" s="504">
        <v>0</v>
      </c>
      <c r="ML43" s="504">
        <v>0</v>
      </c>
      <c r="MM43" s="504">
        <v>0</v>
      </c>
      <c r="MN43" s="504">
        <v>0</v>
      </c>
      <c r="MO43" s="504">
        <v>0</v>
      </c>
      <c r="MP43" s="504">
        <v>0</v>
      </c>
      <c r="MQ43" s="504">
        <v>0</v>
      </c>
      <c r="MR43" s="504">
        <v>0</v>
      </c>
      <c r="MS43" s="504">
        <v>0</v>
      </c>
      <c r="MT43" s="504">
        <v>0</v>
      </c>
      <c r="MU43" s="504">
        <v>0</v>
      </c>
      <c r="MV43" s="504">
        <v>0</v>
      </c>
      <c r="MW43" s="504">
        <v>0</v>
      </c>
      <c r="MX43" s="504">
        <v>0</v>
      </c>
      <c r="MY43" s="504">
        <v>0</v>
      </c>
      <c r="MZ43" s="504">
        <v>0</v>
      </c>
      <c r="NA43" s="504">
        <v>0</v>
      </c>
      <c r="NB43" s="504">
        <v>0</v>
      </c>
      <c r="NC43" s="504">
        <v>0</v>
      </c>
      <c r="ND43" s="504">
        <v>0</v>
      </c>
      <c r="NE43" s="504">
        <v>0</v>
      </c>
      <c r="NF43" s="504">
        <v>0</v>
      </c>
      <c r="NG43" s="504">
        <v>0</v>
      </c>
      <c r="NH43" s="504">
        <v>0</v>
      </c>
      <c r="NI43" s="504">
        <v>0</v>
      </c>
      <c r="NJ43" s="504">
        <v>0</v>
      </c>
      <c r="NK43" s="504">
        <v>0</v>
      </c>
      <c r="NL43" s="504">
        <v>0</v>
      </c>
      <c r="NM43" s="504">
        <v>0</v>
      </c>
      <c r="NN43" s="504">
        <v>0</v>
      </c>
      <c r="NO43" s="504">
        <v>0</v>
      </c>
      <c r="NP43" s="504">
        <v>0</v>
      </c>
      <c r="NQ43" s="504">
        <v>0</v>
      </c>
      <c r="NR43" s="504">
        <v>0</v>
      </c>
      <c r="NS43" s="504">
        <v>0</v>
      </c>
      <c r="NT43" s="504">
        <v>0</v>
      </c>
      <c r="NU43" s="504">
        <v>0</v>
      </c>
      <c r="NV43" s="504">
        <v>0</v>
      </c>
      <c r="NW43" s="504">
        <v>0</v>
      </c>
      <c r="NX43" s="504">
        <v>0</v>
      </c>
      <c r="NY43" s="504">
        <v>0</v>
      </c>
      <c r="NZ43" s="504">
        <v>0</v>
      </c>
      <c r="OA43" s="504">
        <v>0</v>
      </c>
      <c r="OB43" s="504">
        <v>0</v>
      </c>
      <c r="OC43" s="504">
        <v>0</v>
      </c>
      <c r="OD43" s="504">
        <v>0</v>
      </c>
      <c r="OE43" s="504">
        <v>0</v>
      </c>
      <c r="OF43" s="504">
        <v>0</v>
      </c>
      <c r="OG43" s="504">
        <v>0</v>
      </c>
      <c r="OH43" s="504">
        <v>0</v>
      </c>
      <c r="OI43" s="504">
        <v>0</v>
      </c>
      <c r="OJ43" s="504">
        <v>0</v>
      </c>
      <c r="OK43" s="504">
        <v>0</v>
      </c>
      <c r="OL43" s="504">
        <v>0</v>
      </c>
      <c r="OM43" s="504">
        <v>0</v>
      </c>
      <c r="ON43" s="494"/>
    </row>
    <row r="44" spans="1:404" ht="18.75" customHeight="1" x14ac:dyDescent="0.4">
      <c r="A44" s="355" t="s">
        <v>320</v>
      </c>
      <c r="B44" s="358">
        <v>198</v>
      </c>
      <c r="C44" s="355" t="s">
        <v>60</v>
      </c>
      <c r="D44" s="501">
        <v>29.33</v>
      </c>
      <c r="E44" s="502">
        <v>117728</v>
      </c>
      <c r="F44" s="501">
        <v>29.32</v>
      </c>
      <c r="G44" s="502">
        <v>14588</v>
      </c>
      <c r="H44" s="501">
        <v>29.32</v>
      </c>
      <c r="I44" s="502">
        <v>39328</v>
      </c>
      <c r="J44" s="501">
        <v>29.32</v>
      </c>
      <c r="K44" s="502">
        <v>41858</v>
      </c>
      <c r="V44" s="501"/>
      <c r="W44" s="503"/>
      <c r="X44" s="501"/>
      <c r="Y44" s="503"/>
      <c r="Z44" s="501"/>
      <c r="AA44" s="503"/>
      <c r="AB44" s="495"/>
      <c r="AC44" s="504">
        <v>0</v>
      </c>
      <c r="AD44" s="504">
        <v>0</v>
      </c>
      <c r="AE44" s="504">
        <v>0</v>
      </c>
      <c r="AF44" s="504">
        <v>0</v>
      </c>
      <c r="AG44" s="504">
        <v>0</v>
      </c>
      <c r="AH44" s="504">
        <v>0</v>
      </c>
      <c r="AI44" s="504">
        <v>0</v>
      </c>
      <c r="AJ44" s="504">
        <v>0</v>
      </c>
      <c r="AK44" s="504">
        <v>0</v>
      </c>
      <c r="AL44" s="504">
        <v>0</v>
      </c>
      <c r="AM44" s="504">
        <v>0</v>
      </c>
      <c r="AN44" s="504">
        <v>0</v>
      </c>
      <c r="AO44" s="504">
        <v>0</v>
      </c>
      <c r="AP44" s="504">
        <v>0</v>
      </c>
      <c r="AQ44" s="504">
        <v>0</v>
      </c>
      <c r="AR44" s="504">
        <v>0</v>
      </c>
      <c r="AS44" s="504">
        <v>0</v>
      </c>
      <c r="AT44" s="504">
        <v>0</v>
      </c>
      <c r="AU44" s="504">
        <v>0</v>
      </c>
      <c r="AV44" s="504">
        <v>0</v>
      </c>
      <c r="AW44" s="504">
        <v>0</v>
      </c>
      <c r="AX44" s="504">
        <v>0</v>
      </c>
      <c r="AY44" s="504">
        <v>0</v>
      </c>
      <c r="AZ44" s="504">
        <v>0</v>
      </c>
      <c r="BA44" s="504">
        <v>0</v>
      </c>
      <c r="BB44" s="504">
        <v>0</v>
      </c>
      <c r="BC44" s="504">
        <v>0</v>
      </c>
      <c r="BD44" s="504">
        <v>0</v>
      </c>
      <c r="BE44" s="504">
        <v>0</v>
      </c>
      <c r="BF44" s="504">
        <v>0</v>
      </c>
      <c r="BG44" s="504">
        <v>0</v>
      </c>
      <c r="BH44" s="504">
        <v>0</v>
      </c>
      <c r="BI44" s="504">
        <v>0</v>
      </c>
      <c r="BJ44" s="504">
        <v>0</v>
      </c>
      <c r="BK44" s="504">
        <v>0</v>
      </c>
      <c r="BL44" s="504">
        <v>0</v>
      </c>
      <c r="BM44" s="504">
        <v>0</v>
      </c>
      <c r="BN44" s="504">
        <v>0</v>
      </c>
      <c r="BO44" s="504">
        <v>0</v>
      </c>
      <c r="BP44" s="504">
        <v>0</v>
      </c>
      <c r="BQ44" s="504">
        <v>0</v>
      </c>
      <c r="BR44" s="504">
        <v>0</v>
      </c>
      <c r="BS44" s="504">
        <v>0</v>
      </c>
      <c r="BT44" s="504">
        <v>0</v>
      </c>
      <c r="BU44" s="504">
        <v>0</v>
      </c>
      <c r="BV44" s="504">
        <v>0</v>
      </c>
      <c r="BW44" s="504">
        <v>0</v>
      </c>
      <c r="BX44" s="504">
        <v>0</v>
      </c>
      <c r="BY44" s="504">
        <v>0</v>
      </c>
      <c r="BZ44" s="504">
        <v>0</v>
      </c>
      <c r="CA44" s="504">
        <v>0</v>
      </c>
      <c r="CB44" s="504">
        <v>0</v>
      </c>
      <c r="CC44" s="504">
        <v>0</v>
      </c>
      <c r="CD44" s="504">
        <v>0</v>
      </c>
      <c r="CE44" s="504">
        <v>0</v>
      </c>
      <c r="CF44" s="504">
        <v>0</v>
      </c>
      <c r="CG44" s="504">
        <v>0</v>
      </c>
      <c r="CH44" s="504">
        <v>0</v>
      </c>
      <c r="CI44" s="504">
        <v>0</v>
      </c>
      <c r="CJ44" s="504">
        <v>0</v>
      </c>
      <c r="CK44" s="504">
        <v>0</v>
      </c>
      <c r="CL44" s="504">
        <v>0</v>
      </c>
      <c r="CM44" s="504">
        <v>0</v>
      </c>
      <c r="CN44" s="504">
        <v>0</v>
      </c>
      <c r="CO44" s="504">
        <v>0</v>
      </c>
      <c r="CP44" s="504">
        <v>0</v>
      </c>
      <c r="CQ44" s="504">
        <v>0</v>
      </c>
      <c r="CR44" s="504">
        <v>0</v>
      </c>
      <c r="CS44" s="504">
        <v>0</v>
      </c>
      <c r="CT44" s="504">
        <v>0</v>
      </c>
      <c r="CU44" s="504">
        <v>0</v>
      </c>
      <c r="CV44" s="504">
        <v>0</v>
      </c>
      <c r="CW44" s="504">
        <v>0</v>
      </c>
      <c r="CX44" s="504">
        <v>0</v>
      </c>
      <c r="CY44" s="504">
        <v>0</v>
      </c>
      <c r="CZ44" s="504">
        <v>0</v>
      </c>
      <c r="DA44" s="504">
        <v>0</v>
      </c>
      <c r="DB44" s="504">
        <v>0</v>
      </c>
      <c r="DC44" s="504">
        <v>0</v>
      </c>
      <c r="DD44" s="504">
        <v>0</v>
      </c>
      <c r="DE44" s="504">
        <v>0</v>
      </c>
      <c r="DF44" s="504">
        <v>0</v>
      </c>
      <c r="DG44" s="504">
        <v>0</v>
      </c>
      <c r="DH44" s="504">
        <v>0</v>
      </c>
      <c r="DI44" s="504">
        <v>0</v>
      </c>
      <c r="DJ44" s="504">
        <v>0</v>
      </c>
      <c r="DK44" s="504">
        <v>0</v>
      </c>
      <c r="DL44" s="504">
        <v>0</v>
      </c>
      <c r="DM44" s="504">
        <v>0</v>
      </c>
      <c r="DN44" s="504">
        <v>0</v>
      </c>
      <c r="DO44" s="504">
        <v>0</v>
      </c>
      <c r="DP44" s="504">
        <v>0</v>
      </c>
      <c r="DQ44" s="504">
        <v>0</v>
      </c>
      <c r="DR44" s="504">
        <v>0</v>
      </c>
      <c r="DS44" s="504">
        <v>0</v>
      </c>
      <c r="DT44" s="504">
        <v>0</v>
      </c>
      <c r="DU44" s="504">
        <v>0</v>
      </c>
      <c r="DV44" s="504">
        <v>0</v>
      </c>
      <c r="DW44" s="504">
        <v>0</v>
      </c>
      <c r="DX44" s="504">
        <v>0</v>
      </c>
      <c r="DY44" s="504">
        <v>0</v>
      </c>
      <c r="DZ44" s="504">
        <v>0</v>
      </c>
      <c r="EA44" s="504">
        <v>0</v>
      </c>
      <c r="EB44" s="504">
        <v>0</v>
      </c>
      <c r="EC44" s="504">
        <v>0</v>
      </c>
      <c r="ED44" s="504">
        <v>0</v>
      </c>
      <c r="EE44" s="504">
        <v>0</v>
      </c>
      <c r="EF44" s="504">
        <v>0</v>
      </c>
      <c r="EG44" s="504">
        <v>0</v>
      </c>
      <c r="EH44" s="504">
        <v>0</v>
      </c>
      <c r="EI44" s="504">
        <v>0</v>
      </c>
      <c r="EJ44" s="504">
        <v>0</v>
      </c>
      <c r="EK44" s="504">
        <v>0</v>
      </c>
      <c r="EL44" s="504">
        <v>0</v>
      </c>
      <c r="EM44" s="504">
        <v>0</v>
      </c>
      <c r="EN44" s="504">
        <v>0</v>
      </c>
      <c r="EO44" s="504">
        <v>0</v>
      </c>
      <c r="EP44" s="504">
        <v>0</v>
      </c>
      <c r="EQ44" s="504">
        <v>0</v>
      </c>
      <c r="ER44" s="504">
        <v>0</v>
      </c>
      <c r="ES44" s="504">
        <v>0</v>
      </c>
      <c r="ET44" s="504">
        <v>0</v>
      </c>
      <c r="EU44" s="504">
        <v>0</v>
      </c>
      <c r="EV44" s="504">
        <v>0</v>
      </c>
      <c r="EW44" s="504">
        <v>0</v>
      </c>
      <c r="EX44" s="504">
        <v>0</v>
      </c>
      <c r="EY44" s="504">
        <v>0</v>
      </c>
      <c r="EZ44" s="504">
        <v>0</v>
      </c>
      <c r="FA44" s="504">
        <v>0</v>
      </c>
      <c r="FB44" s="504">
        <v>0</v>
      </c>
      <c r="FC44" s="504">
        <v>0</v>
      </c>
      <c r="FD44" s="504">
        <v>0</v>
      </c>
      <c r="FE44" s="504">
        <v>0</v>
      </c>
      <c r="FF44" s="504">
        <v>0</v>
      </c>
      <c r="FG44" s="504">
        <v>0</v>
      </c>
      <c r="FH44" s="504">
        <v>0</v>
      </c>
      <c r="FI44" s="504">
        <v>0</v>
      </c>
      <c r="FJ44" s="504">
        <v>0</v>
      </c>
      <c r="FK44" s="504">
        <v>0</v>
      </c>
      <c r="FL44" s="504">
        <v>0</v>
      </c>
      <c r="FM44" s="504">
        <v>0</v>
      </c>
      <c r="FN44" s="504">
        <v>0</v>
      </c>
      <c r="FO44" s="504">
        <v>0</v>
      </c>
      <c r="FP44" s="504">
        <v>0</v>
      </c>
      <c r="FQ44" s="504">
        <v>0</v>
      </c>
      <c r="FR44" s="504">
        <v>0</v>
      </c>
      <c r="FS44" s="504">
        <v>0</v>
      </c>
      <c r="FT44" s="504">
        <v>0</v>
      </c>
      <c r="FU44" s="504">
        <v>0</v>
      </c>
      <c r="FV44" s="504">
        <v>0</v>
      </c>
      <c r="FW44" s="504">
        <v>0</v>
      </c>
      <c r="FX44" s="504">
        <v>0</v>
      </c>
      <c r="FY44" s="504">
        <v>0</v>
      </c>
      <c r="FZ44" s="504">
        <v>0</v>
      </c>
      <c r="GA44" s="504">
        <v>0</v>
      </c>
      <c r="GB44" s="504">
        <v>0</v>
      </c>
      <c r="GC44" s="504">
        <v>0</v>
      </c>
      <c r="GD44" s="504">
        <v>0</v>
      </c>
      <c r="GE44" s="504">
        <v>0</v>
      </c>
      <c r="GF44" s="504">
        <v>0</v>
      </c>
      <c r="GG44" s="504">
        <v>0</v>
      </c>
      <c r="GH44" s="504">
        <v>0</v>
      </c>
      <c r="GI44" s="504">
        <v>0</v>
      </c>
      <c r="GJ44" s="504">
        <v>0</v>
      </c>
      <c r="GK44" s="504">
        <v>0</v>
      </c>
      <c r="GL44" s="504">
        <v>0</v>
      </c>
      <c r="GM44" s="504">
        <v>0</v>
      </c>
      <c r="GN44" s="504">
        <v>0</v>
      </c>
      <c r="GO44" s="504">
        <v>0</v>
      </c>
      <c r="GP44" s="504">
        <v>0</v>
      </c>
      <c r="GQ44" s="504">
        <v>0</v>
      </c>
      <c r="GR44" s="504">
        <v>0</v>
      </c>
      <c r="GS44" s="504">
        <v>0</v>
      </c>
      <c r="GT44" s="504">
        <v>0</v>
      </c>
      <c r="GU44" s="504">
        <v>0</v>
      </c>
      <c r="GV44" s="504">
        <v>0</v>
      </c>
      <c r="GW44" s="504">
        <v>0</v>
      </c>
      <c r="GX44" s="504">
        <v>0</v>
      </c>
      <c r="GY44" s="504">
        <v>0</v>
      </c>
      <c r="GZ44" s="504">
        <v>0</v>
      </c>
      <c r="HA44" s="504">
        <v>0</v>
      </c>
      <c r="HB44" s="504">
        <v>0</v>
      </c>
      <c r="HC44" s="504">
        <v>0</v>
      </c>
      <c r="HD44" s="504">
        <v>0</v>
      </c>
      <c r="HE44" s="504">
        <v>0</v>
      </c>
      <c r="HF44" s="504">
        <v>0</v>
      </c>
      <c r="HG44" s="504">
        <v>0</v>
      </c>
      <c r="HH44" s="504">
        <v>0</v>
      </c>
      <c r="HI44" s="504">
        <v>0</v>
      </c>
      <c r="HJ44" s="504">
        <v>0</v>
      </c>
      <c r="HK44" s="504">
        <v>0</v>
      </c>
      <c r="HL44" s="504">
        <v>0</v>
      </c>
      <c r="HM44" s="504">
        <v>0</v>
      </c>
      <c r="HN44" s="504">
        <v>0</v>
      </c>
      <c r="HO44" s="504">
        <v>0</v>
      </c>
      <c r="HP44" s="504">
        <v>0</v>
      </c>
      <c r="HQ44" s="504">
        <v>0</v>
      </c>
      <c r="HR44" s="504">
        <v>0</v>
      </c>
      <c r="HS44" s="504">
        <v>0</v>
      </c>
      <c r="HT44" s="504">
        <v>0</v>
      </c>
      <c r="HU44" s="504">
        <v>0</v>
      </c>
      <c r="HV44" s="504">
        <v>0</v>
      </c>
      <c r="HW44" s="504">
        <v>0</v>
      </c>
      <c r="HX44" s="504">
        <v>0</v>
      </c>
      <c r="HY44" s="504">
        <v>0</v>
      </c>
      <c r="HZ44" s="504">
        <v>0</v>
      </c>
      <c r="IA44" s="504">
        <v>0</v>
      </c>
      <c r="IB44" s="504">
        <v>0</v>
      </c>
      <c r="IC44" s="504">
        <v>0</v>
      </c>
      <c r="ID44" s="504">
        <v>0</v>
      </c>
      <c r="IE44" s="504">
        <v>0</v>
      </c>
      <c r="IF44" s="504">
        <v>0</v>
      </c>
      <c r="IG44" s="504">
        <v>0</v>
      </c>
      <c r="IH44" s="504">
        <v>0</v>
      </c>
      <c r="II44" s="504">
        <v>0</v>
      </c>
      <c r="IJ44" s="504">
        <v>0</v>
      </c>
      <c r="IK44" s="504">
        <v>0</v>
      </c>
      <c r="IL44" s="504">
        <v>0</v>
      </c>
      <c r="IM44" s="504">
        <v>0</v>
      </c>
      <c r="IN44" s="504">
        <v>0</v>
      </c>
      <c r="IO44" s="504">
        <v>0</v>
      </c>
      <c r="IP44" s="504">
        <v>0</v>
      </c>
      <c r="IQ44" s="504">
        <v>0</v>
      </c>
      <c r="IR44" s="504">
        <v>0</v>
      </c>
      <c r="IS44" s="504">
        <v>0</v>
      </c>
      <c r="IT44" s="504">
        <v>0</v>
      </c>
      <c r="IU44" s="504">
        <v>0</v>
      </c>
      <c r="IV44" s="504">
        <v>0</v>
      </c>
      <c r="IW44" s="504">
        <v>0</v>
      </c>
      <c r="IX44" s="504">
        <v>0</v>
      </c>
      <c r="IY44" s="504">
        <v>0</v>
      </c>
      <c r="IZ44" s="504">
        <v>0</v>
      </c>
      <c r="JA44" s="504">
        <v>0</v>
      </c>
      <c r="JB44" s="504">
        <v>0</v>
      </c>
      <c r="JC44" s="504">
        <v>0</v>
      </c>
      <c r="JD44" s="504">
        <v>0</v>
      </c>
      <c r="JE44" s="504">
        <v>0</v>
      </c>
      <c r="JF44" s="504">
        <v>0</v>
      </c>
      <c r="JG44" s="504">
        <v>0</v>
      </c>
      <c r="JH44" s="504">
        <v>0</v>
      </c>
      <c r="JI44" s="504">
        <v>0</v>
      </c>
      <c r="JJ44" s="504">
        <v>0</v>
      </c>
      <c r="JK44" s="504">
        <v>0</v>
      </c>
      <c r="JL44" s="504">
        <v>0</v>
      </c>
      <c r="JM44" s="504">
        <v>0</v>
      </c>
      <c r="JN44" s="504">
        <v>0</v>
      </c>
      <c r="JO44" s="504">
        <v>0</v>
      </c>
      <c r="JP44" s="504">
        <v>0</v>
      </c>
      <c r="JQ44" s="504">
        <v>0</v>
      </c>
      <c r="JR44" s="504">
        <v>0</v>
      </c>
      <c r="JS44" s="504">
        <v>0</v>
      </c>
      <c r="JT44" s="504">
        <v>0</v>
      </c>
      <c r="JU44" s="504">
        <v>0</v>
      </c>
      <c r="JV44" s="504">
        <v>0</v>
      </c>
      <c r="JW44" s="504">
        <v>0</v>
      </c>
      <c r="JX44" s="504">
        <v>0</v>
      </c>
      <c r="JY44" s="504">
        <v>0</v>
      </c>
      <c r="JZ44" s="504">
        <v>0</v>
      </c>
      <c r="KA44" s="504">
        <v>0</v>
      </c>
      <c r="KB44" s="504">
        <v>0</v>
      </c>
      <c r="KC44" s="504">
        <v>0</v>
      </c>
      <c r="KD44" s="504">
        <v>0</v>
      </c>
      <c r="KE44" s="504">
        <v>0</v>
      </c>
      <c r="KF44" s="504">
        <v>0</v>
      </c>
      <c r="KG44" s="504">
        <v>0</v>
      </c>
      <c r="KH44" s="504">
        <v>0</v>
      </c>
      <c r="KI44" s="504">
        <v>0</v>
      </c>
      <c r="KJ44" s="504">
        <v>0</v>
      </c>
      <c r="KK44" s="504">
        <v>0</v>
      </c>
      <c r="KL44" s="504">
        <v>0</v>
      </c>
      <c r="KM44" s="504">
        <v>0</v>
      </c>
      <c r="KN44" s="504">
        <v>0</v>
      </c>
      <c r="KO44" s="504">
        <v>0</v>
      </c>
      <c r="KP44" s="504">
        <v>0</v>
      </c>
      <c r="KQ44" s="504">
        <v>0</v>
      </c>
      <c r="KR44" s="504">
        <v>0</v>
      </c>
      <c r="KS44" s="504">
        <v>0</v>
      </c>
      <c r="KT44" s="504">
        <v>0</v>
      </c>
      <c r="KU44" s="504">
        <v>0</v>
      </c>
      <c r="KV44" s="504">
        <v>0</v>
      </c>
      <c r="KW44" s="504">
        <v>0</v>
      </c>
      <c r="KX44" s="504">
        <v>0</v>
      </c>
      <c r="KY44" s="504">
        <v>0</v>
      </c>
      <c r="KZ44" s="504">
        <v>0</v>
      </c>
      <c r="LA44" s="504">
        <v>0</v>
      </c>
      <c r="LB44" s="504">
        <v>0</v>
      </c>
      <c r="LC44" s="504">
        <v>0</v>
      </c>
      <c r="LD44" s="504">
        <v>0</v>
      </c>
      <c r="LE44" s="504">
        <v>0</v>
      </c>
      <c r="LF44" s="504">
        <v>0</v>
      </c>
      <c r="LG44" s="504">
        <v>0</v>
      </c>
      <c r="LH44" s="504">
        <v>0</v>
      </c>
      <c r="LI44" s="504">
        <v>0</v>
      </c>
      <c r="LJ44" s="504">
        <v>0</v>
      </c>
      <c r="LK44" s="504">
        <v>0</v>
      </c>
      <c r="LL44" s="504">
        <v>0</v>
      </c>
      <c r="LM44" s="504">
        <v>0</v>
      </c>
      <c r="LN44" s="504">
        <v>0</v>
      </c>
      <c r="LO44" s="504">
        <v>0</v>
      </c>
      <c r="LP44" s="504">
        <v>0</v>
      </c>
      <c r="LQ44" s="504">
        <v>0</v>
      </c>
      <c r="LR44" s="504">
        <v>0</v>
      </c>
      <c r="LS44" s="504">
        <v>0</v>
      </c>
      <c r="LT44" s="504">
        <v>0</v>
      </c>
      <c r="LU44" s="504">
        <v>0</v>
      </c>
      <c r="LV44" s="504">
        <v>0</v>
      </c>
      <c r="LW44" s="504">
        <v>0</v>
      </c>
      <c r="LX44" s="504">
        <v>0</v>
      </c>
      <c r="LY44" s="504">
        <v>0</v>
      </c>
      <c r="LZ44" s="504">
        <v>0</v>
      </c>
      <c r="MA44" s="504">
        <v>0</v>
      </c>
      <c r="MB44" s="504">
        <v>0</v>
      </c>
      <c r="MC44" s="504">
        <v>0</v>
      </c>
      <c r="MD44" s="504">
        <v>0</v>
      </c>
      <c r="ME44" s="504">
        <v>0</v>
      </c>
      <c r="MF44" s="504">
        <v>0</v>
      </c>
      <c r="MG44" s="504">
        <v>0</v>
      </c>
      <c r="MH44" s="504">
        <v>0</v>
      </c>
      <c r="MI44" s="504">
        <v>0</v>
      </c>
      <c r="MJ44" s="504">
        <v>0</v>
      </c>
      <c r="MK44" s="504">
        <v>0</v>
      </c>
      <c r="ML44" s="504">
        <v>0</v>
      </c>
      <c r="MM44" s="504">
        <v>0</v>
      </c>
      <c r="MN44" s="504">
        <v>0</v>
      </c>
      <c r="MO44" s="504">
        <v>0</v>
      </c>
      <c r="MP44" s="504">
        <v>0</v>
      </c>
      <c r="MQ44" s="504">
        <v>0</v>
      </c>
      <c r="MR44" s="504">
        <v>0</v>
      </c>
      <c r="MS44" s="504">
        <v>0</v>
      </c>
      <c r="MT44" s="504">
        <v>0</v>
      </c>
      <c r="MU44" s="504">
        <v>0</v>
      </c>
      <c r="MV44" s="504">
        <v>0</v>
      </c>
      <c r="MW44" s="504">
        <v>0</v>
      </c>
      <c r="MX44" s="504">
        <v>0</v>
      </c>
      <c r="MY44" s="504">
        <v>0</v>
      </c>
      <c r="MZ44" s="504">
        <v>0</v>
      </c>
      <c r="NA44" s="504">
        <v>0</v>
      </c>
      <c r="NB44" s="504">
        <v>0</v>
      </c>
      <c r="NC44" s="504">
        <v>0</v>
      </c>
      <c r="ND44" s="504">
        <v>0</v>
      </c>
      <c r="NE44" s="504">
        <v>0</v>
      </c>
      <c r="NF44" s="504">
        <v>0</v>
      </c>
      <c r="NG44" s="504">
        <v>0</v>
      </c>
      <c r="NH44" s="504">
        <v>0</v>
      </c>
      <c r="NI44" s="504">
        <v>0</v>
      </c>
      <c r="NJ44" s="504">
        <v>0</v>
      </c>
      <c r="NK44" s="504">
        <v>0</v>
      </c>
      <c r="NL44" s="504">
        <v>0</v>
      </c>
      <c r="NM44" s="504">
        <v>0</v>
      </c>
      <c r="NN44" s="504">
        <v>0</v>
      </c>
      <c r="NO44" s="504">
        <v>0</v>
      </c>
      <c r="NP44" s="504">
        <v>0</v>
      </c>
      <c r="NQ44" s="504">
        <v>0</v>
      </c>
      <c r="NR44" s="504">
        <v>0</v>
      </c>
      <c r="NS44" s="504">
        <v>0</v>
      </c>
      <c r="NT44" s="504">
        <v>0</v>
      </c>
      <c r="NU44" s="504">
        <v>0</v>
      </c>
      <c r="NV44" s="504">
        <v>0</v>
      </c>
      <c r="NW44" s="504">
        <v>0</v>
      </c>
      <c r="NX44" s="504">
        <v>0</v>
      </c>
      <c r="NY44" s="504">
        <v>0</v>
      </c>
      <c r="NZ44" s="504">
        <v>0</v>
      </c>
      <c r="OA44" s="504">
        <v>0</v>
      </c>
      <c r="OB44" s="504">
        <v>0</v>
      </c>
      <c r="OC44" s="504">
        <v>0</v>
      </c>
      <c r="OD44" s="504">
        <v>0</v>
      </c>
      <c r="OE44" s="504">
        <v>0</v>
      </c>
      <c r="OF44" s="504">
        <v>0</v>
      </c>
      <c r="OG44" s="504">
        <v>0</v>
      </c>
      <c r="OH44" s="504">
        <v>0</v>
      </c>
      <c r="OI44" s="504">
        <v>0</v>
      </c>
      <c r="OJ44" s="504">
        <v>0</v>
      </c>
      <c r="OK44" s="504">
        <v>0</v>
      </c>
      <c r="OL44" s="504">
        <v>0</v>
      </c>
      <c r="OM44" s="504">
        <v>0</v>
      </c>
      <c r="ON44" s="494"/>
    </row>
    <row r="45" spans="1:404" ht="18.75" customHeight="1" x14ac:dyDescent="0.4">
      <c r="A45" s="355" t="s">
        <v>321</v>
      </c>
      <c r="B45" s="358">
        <v>225</v>
      </c>
      <c r="C45" s="355" t="s">
        <v>60</v>
      </c>
      <c r="D45" s="501">
        <v>29.69</v>
      </c>
      <c r="E45" s="502">
        <v>9694</v>
      </c>
      <c r="F45" s="501">
        <v>29.68</v>
      </c>
      <c r="G45" s="502">
        <v>1333</v>
      </c>
      <c r="H45" s="501">
        <v>29.68</v>
      </c>
      <c r="I45" s="502">
        <v>3874</v>
      </c>
      <c r="J45" s="501">
        <v>29.68</v>
      </c>
      <c r="K45" s="502">
        <v>4005</v>
      </c>
      <c r="V45" s="501"/>
      <c r="W45" s="503"/>
      <c r="X45" s="501"/>
      <c r="Y45" s="503"/>
      <c r="Z45" s="501"/>
      <c r="AA45" s="503"/>
      <c r="AB45" s="495"/>
      <c r="AC45" s="504">
        <v>0</v>
      </c>
      <c r="AD45" s="504">
        <v>0</v>
      </c>
      <c r="AE45" s="504">
        <v>0</v>
      </c>
      <c r="AF45" s="504">
        <v>0</v>
      </c>
      <c r="AG45" s="504">
        <v>0</v>
      </c>
      <c r="AH45" s="504">
        <v>0</v>
      </c>
      <c r="AI45" s="504">
        <v>0</v>
      </c>
      <c r="AJ45" s="504">
        <v>0</v>
      </c>
      <c r="AK45" s="504">
        <v>0</v>
      </c>
      <c r="AL45" s="504">
        <v>0</v>
      </c>
      <c r="AM45" s="504">
        <v>0</v>
      </c>
      <c r="AN45" s="504">
        <v>0</v>
      </c>
      <c r="AO45" s="504">
        <v>0</v>
      </c>
      <c r="AP45" s="504">
        <v>0</v>
      </c>
      <c r="AQ45" s="504">
        <v>0</v>
      </c>
      <c r="AR45" s="504">
        <v>0</v>
      </c>
      <c r="AS45" s="504">
        <v>0</v>
      </c>
      <c r="AT45" s="504">
        <v>0</v>
      </c>
      <c r="AU45" s="504">
        <v>0</v>
      </c>
      <c r="AV45" s="504">
        <v>0</v>
      </c>
      <c r="AW45" s="504">
        <v>0</v>
      </c>
      <c r="AX45" s="504">
        <v>0</v>
      </c>
      <c r="AY45" s="504">
        <v>0</v>
      </c>
      <c r="AZ45" s="504">
        <v>0</v>
      </c>
      <c r="BA45" s="504">
        <v>0</v>
      </c>
      <c r="BB45" s="504">
        <v>0</v>
      </c>
      <c r="BC45" s="504">
        <v>0</v>
      </c>
      <c r="BD45" s="504">
        <v>0</v>
      </c>
      <c r="BE45" s="504">
        <v>0</v>
      </c>
      <c r="BF45" s="504">
        <v>0</v>
      </c>
      <c r="BG45" s="504">
        <v>0</v>
      </c>
      <c r="BH45" s="504">
        <v>0</v>
      </c>
      <c r="BI45" s="504">
        <v>0</v>
      </c>
      <c r="BJ45" s="504">
        <v>0</v>
      </c>
      <c r="BK45" s="504">
        <v>0</v>
      </c>
      <c r="BL45" s="504">
        <v>0</v>
      </c>
      <c r="BM45" s="504">
        <v>0</v>
      </c>
      <c r="BN45" s="504">
        <v>0</v>
      </c>
      <c r="BO45" s="504">
        <v>0</v>
      </c>
      <c r="BP45" s="504">
        <v>0</v>
      </c>
      <c r="BQ45" s="504">
        <v>0</v>
      </c>
      <c r="BR45" s="504">
        <v>0</v>
      </c>
      <c r="BS45" s="504">
        <v>0</v>
      </c>
      <c r="BT45" s="504">
        <v>0</v>
      </c>
      <c r="BU45" s="504">
        <v>0</v>
      </c>
      <c r="BV45" s="504">
        <v>0</v>
      </c>
      <c r="BW45" s="504">
        <v>0</v>
      </c>
      <c r="BX45" s="504">
        <v>0</v>
      </c>
      <c r="BY45" s="504">
        <v>0</v>
      </c>
      <c r="BZ45" s="504">
        <v>0</v>
      </c>
      <c r="CA45" s="504">
        <v>0</v>
      </c>
      <c r="CB45" s="504">
        <v>0</v>
      </c>
      <c r="CC45" s="504">
        <v>0</v>
      </c>
      <c r="CD45" s="504">
        <v>0</v>
      </c>
      <c r="CE45" s="504">
        <v>0</v>
      </c>
      <c r="CF45" s="504">
        <v>0</v>
      </c>
      <c r="CG45" s="504">
        <v>0</v>
      </c>
      <c r="CH45" s="504">
        <v>0</v>
      </c>
      <c r="CI45" s="504">
        <v>0</v>
      </c>
      <c r="CJ45" s="504">
        <v>0</v>
      </c>
      <c r="CK45" s="504">
        <v>0</v>
      </c>
      <c r="CL45" s="504">
        <v>0</v>
      </c>
      <c r="CM45" s="504">
        <v>0</v>
      </c>
      <c r="CN45" s="504">
        <v>0</v>
      </c>
      <c r="CO45" s="504">
        <v>0</v>
      </c>
      <c r="CP45" s="504">
        <v>0</v>
      </c>
      <c r="CQ45" s="504">
        <v>0</v>
      </c>
      <c r="CR45" s="504">
        <v>0</v>
      </c>
      <c r="CS45" s="504">
        <v>0</v>
      </c>
      <c r="CT45" s="504">
        <v>0</v>
      </c>
      <c r="CU45" s="504">
        <v>0</v>
      </c>
      <c r="CV45" s="504">
        <v>0</v>
      </c>
      <c r="CW45" s="504">
        <v>0</v>
      </c>
      <c r="CX45" s="504">
        <v>0</v>
      </c>
      <c r="CY45" s="504">
        <v>0</v>
      </c>
      <c r="CZ45" s="504">
        <v>0</v>
      </c>
      <c r="DA45" s="504">
        <v>0</v>
      </c>
      <c r="DB45" s="504">
        <v>0</v>
      </c>
      <c r="DC45" s="504">
        <v>0</v>
      </c>
      <c r="DD45" s="504">
        <v>0</v>
      </c>
      <c r="DE45" s="504">
        <v>0</v>
      </c>
      <c r="DF45" s="504">
        <v>0</v>
      </c>
      <c r="DG45" s="504">
        <v>0</v>
      </c>
      <c r="DH45" s="504">
        <v>0</v>
      </c>
      <c r="DI45" s="504">
        <v>0</v>
      </c>
      <c r="DJ45" s="504">
        <v>0</v>
      </c>
      <c r="DK45" s="504">
        <v>0</v>
      </c>
      <c r="DL45" s="504">
        <v>0</v>
      </c>
      <c r="DM45" s="504">
        <v>0</v>
      </c>
      <c r="DN45" s="504">
        <v>0</v>
      </c>
      <c r="DO45" s="504">
        <v>0</v>
      </c>
      <c r="DP45" s="504">
        <v>0</v>
      </c>
      <c r="DQ45" s="504">
        <v>0</v>
      </c>
      <c r="DR45" s="504">
        <v>0</v>
      </c>
      <c r="DS45" s="504">
        <v>0</v>
      </c>
      <c r="DT45" s="504">
        <v>0</v>
      </c>
      <c r="DU45" s="504">
        <v>0</v>
      </c>
      <c r="DV45" s="504">
        <v>0</v>
      </c>
      <c r="DW45" s="504">
        <v>0</v>
      </c>
      <c r="DX45" s="504">
        <v>0</v>
      </c>
      <c r="DY45" s="504">
        <v>0</v>
      </c>
      <c r="DZ45" s="504">
        <v>0</v>
      </c>
      <c r="EA45" s="504">
        <v>0</v>
      </c>
      <c r="EB45" s="504">
        <v>0</v>
      </c>
      <c r="EC45" s="504">
        <v>0</v>
      </c>
      <c r="ED45" s="504">
        <v>0</v>
      </c>
      <c r="EE45" s="504">
        <v>0</v>
      </c>
      <c r="EF45" s="504">
        <v>0</v>
      </c>
      <c r="EG45" s="504">
        <v>0</v>
      </c>
      <c r="EH45" s="504">
        <v>0</v>
      </c>
      <c r="EI45" s="504">
        <v>0</v>
      </c>
      <c r="EJ45" s="504">
        <v>0</v>
      </c>
      <c r="EK45" s="504">
        <v>0</v>
      </c>
      <c r="EL45" s="504">
        <v>0</v>
      </c>
      <c r="EM45" s="504">
        <v>0</v>
      </c>
      <c r="EN45" s="504">
        <v>0</v>
      </c>
      <c r="EO45" s="504">
        <v>0</v>
      </c>
      <c r="EP45" s="504">
        <v>0</v>
      </c>
      <c r="EQ45" s="504">
        <v>0</v>
      </c>
      <c r="ER45" s="504">
        <v>0</v>
      </c>
      <c r="ES45" s="504">
        <v>0</v>
      </c>
      <c r="ET45" s="504">
        <v>0</v>
      </c>
      <c r="EU45" s="504">
        <v>0</v>
      </c>
      <c r="EV45" s="504">
        <v>0</v>
      </c>
      <c r="EW45" s="504">
        <v>0</v>
      </c>
      <c r="EX45" s="504">
        <v>0</v>
      </c>
      <c r="EY45" s="504">
        <v>0</v>
      </c>
      <c r="EZ45" s="504">
        <v>0</v>
      </c>
      <c r="FA45" s="504">
        <v>0</v>
      </c>
      <c r="FB45" s="504">
        <v>0</v>
      </c>
      <c r="FC45" s="504">
        <v>0</v>
      </c>
      <c r="FD45" s="504">
        <v>0</v>
      </c>
      <c r="FE45" s="504">
        <v>0</v>
      </c>
      <c r="FF45" s="504">
        <v>0</v>
      </c>
      <c r="FG45" s="504">
        <v>0</v>
      </c>
      <c r="FH45" s="504">
        <v>0</v>
      </c>
      <c r="FI45" s="504">
        <v>0</v>
      </c>
      <c r="FJ45" s="504">
        <v>0</v>
      </c>
      <c r="FK45" s="504">
        <v>0</v>
      </c>
      <c r="FL45" s="504">
        <v>0</v>
      </c>
      <c r="FM45" s="504">
        <v>0</v>
      </c>
      <c r="FN45" s="504">
        <v>0</v>
      </c>
      <c r="FO45" s="504">
        <v>0</v>
      </c>
      <c r="FP45" s="504">
        <v>0</v>
      </c>
      <c r="FQ45" s="504">
        <v>0</v>
      </c>
      <c r="FR45" s="504">
        <v>0</v>
      </c>
      <c r="FS45" s="504">
        <v>0</v>
      </c>
      <c r="FT45" s="504">
        <v>0</v>
      </c>
      <c r="FU45" s="504">
        <v>0</v>
      </c>
      <c r="FV45" s="504">
        <v>0</v>
      </c>
      <c r="FW45" s="504">
        <v>0</v>
      </c>
      <c r="FX45" s="504">
        <v>0</v>
      </c>
      <c r="FY45" s="504">
        <v>0</v>
      </c>
      <c r="FZ45" s="504">
        <v>0</v>
      </c>
      <c r="GA45" s="504">
        <v>0</v>
      </c>
      <c r="GB45" s="504">
        <v>0</v>
      </c>
      <c r="GC45" s="504">
        <v>0</v>
      </c>
      <c r="GD45" s="504">
        <v>0</v>
      </c>
      <c r="GE45" s="504">
        <v>0</v>
      </c>
      <c r="GF45" s="504">
        <v>0</v>
      </c>
      <c r="GG45" s="504">
        <v>0</v>
      </c>
      <c r="GH45" s="504">
        <v>0</v>
      </c>
      <c r="GI45" s="504">
        <v>0</v>
      </c>
      <c r="GJ45" s="504">
        <v>0</v>
      </c>
      <c r="GK45" s="504">
        <v>0</v>
      </c>
      <c r="GL45" s="504">
        <v>0</v>
      </c>
      <c r="GM45" s="504">
        <v>0</v>
      </c>
      <c r="GN45" s="504">
        <v>0</v>
      </c>
      <c r="GO45" s="504">
        <v>0</v>
      </c>
      <c r="GP45" s="504">
        <v>0</v>
      </c>
      <c r="GQ45" s="504">
        <v>0</v>
      </c>
      <c r="GR45" s="504">
        <v>0</v>
      </c>
      <c r="GS45" s="504">
        <v>0</v>
      </c>
      <c r="GT45" s="504">
        <v>0</v>
      </c>
      <c r="GU45" s="504">
        <v>0</v>
      </c>
      <c r="GV45" s="504">
        <v>0</v>
      </c>
      <c r="GW45" s="504">
        <v>0</v>
      </c>
      <c r="GX45" s="504">
        <v>0</v>
      </c>
      <c r="GY45" s="504">
        <v>0</v>
      </c>
      <c r="GZ45" s="504">
        <v>0</v>
      </c>
      <c r="HA45" s="504">
        <v>0</v>
      </c>
      <c r="HB45" s="504">
        <v>0</v>
      </c>
      <c r="HC45" s="504">
        <v>0</v>
      </c>
      <c r="HD45" s="504">
        <v>0</v>
      </c>
      <c r="HE45" s="504">
        <v>0</v>
      </c>
      <c r="HF45" s="504">
        <v>0</v>
      </c>
      <c r="HG45" s="504">
        <v>0</v>
      </c>
      <c r="HH45" s="504">
        <v>0</v>
      </c>
      <c r="HI45" s="504">
        <v>0</v>
      </c>
      <c r="HJ45" s="504">
        <v>0</v>
      </c>
      <c r="HK45" s="504">
        <v>0</v>
      </c>
      <c r="HL45" s="504">
        <v>0</v>
      </c>
      <c r="HM45" s="504">
        <v>0</v>
      </c>
      <c r="HN45" s="504">
        <v>0</v>
      </c>
      <c r="HO45" s="504">
        <v>0</v>
      </c>
      <c r="HP45" s="504">
        <v>0</v>
      </c>
      <c r="HQ45" s="504">
        <v>0</v>
      </c>
      <c r="HR45" s="504">
        <v>0</v>
      </c>
      <c r="HS45" s="504">
        <v>0</v>
      </c>
      <c r="HT45" s="504">
        <v>0</v>
      </c>
      <c r="HU45" s="504">
        <v>0</v>
      </c>
      <c r="HV45" s="504">
        <v>0</v>
      </c>
      <c r="HW45" s="504">
        <v>0</v>
      </c>
      <c r="HX45" s="504">
        <v>0</v>
      </c>
      <c r="HY45" s="504">
        <v>0</v>
      </c>
      <c r="HZ45" s="504">
        <v>0</v>
      </c>
      <c r="IA45" s="504">
        <v>0</v>
      </c>
      <c r="IB45" s="504">
        <v>0</v>
      </c>
      <c r="IC45" s="504">
        <v>0</v>
      </c>
      <c r="ID45" s="504">
        <v>0</v>
      </c>
      <c r="IE45" s="504">
        <v>0</v>
      </c>
      <c r="IF45" s="504">
        <v>0</v>
      </c>
      <c r="IG45" s="504">
        <v>0</v>
      </c>
      <c r="IH45" s="504">
        <v>0</v>
      </c>
      <c r="II45" s="504">
        <v>0</v>
      </c>
      <c r="IJ45" s="504">
        <v>0</v>
      </c>
      <c r="IK45" s="504">
        <v>0</v>
      </c>
      <c r="IL45" s="504">
        <v>0</v>
      </c>
      <c r="IM45" s="504">
        <v>0</v>
      </c>
      <c r="IN45" s="504">
        <v>0</v>
      </c>
      <c r="IO45" s="504">
        <v>0</v>
      </c>
      <c r="IP45" s="504">
        <v>0</v>
      </c>
      <c r="IQ45" s="504">
        <v>0</v>
      </c>
      <c r="IR45" s="504">
        <v>0</v>
      </c>
      <c r="IS45" s="504">
        <v>0</v>
      </c>
      <c r="IT45" s="504">
        <v>0</v>
      </c>
      <c r="IU45" s="504">
        <v>0</v>
      </c>
      <c r="IV45" s="504">
        <v>0</v>
      </c>
      <c r="IW45" s="504">
        <v>0</v>
      </c>
      <c r="IX45" s="504">
        <v>0</v>
      </c>
      <c r="IY45" s="504">
        <v>0</v>
      </c>
      <c r="IZ45" s="504">
        <v>0</v>
      </c>
      <c r="JA45" s="504">
        <v>0</v>
      </c>
      <c r="JB45" s="504">
        <v>0</v>
      </c>
      <c r="JC45" s="504">
        <v>0</v>
      </c>
      <c r="JD45" s="504">
        <v>0</v>
      </c>
      <c r="JE45" s="504">
        <v>0</v>
      </c>
      <c r="JF45" s="504">
        <v>0</v>
      </c>
      <c r="JG45" s="504">
        <v>0</v>
      </c>
      <c r="JH45" s="504">
        <v>0</v>
      </c>
      <c r="JI45" s="504">
        <v>0</v>
      </c>
      <c r="JJ45" s="504">
        <v>0</v>
      </c>
      <c r="JK45" s="504">
        <v>0</v>
      </c>
      <c r="JL45" s="504">
        <v>0</v>
      </c>
      <c r="JM45" s="504">
        <v>0</v>
      </c>
      <c r="JN45" s="504">
        <v>0</v>
      </c>
      <c r="JO45" s="504">
        <v>0</v>
      </c>
      <c r="JP45" s="504">
        <v>0</v>
      </c>
      <c r="JQ45" s="504">
        <v>0</v>
      </c>
      <c r="JR45" s="504">
        <v>0</v>
      </c>
      <c r="JS45" s="504">
        <v>0</v>
      </c>
      <c r="JT45" s="504">
        <v>0</v>
      </c>
      <c r="JU45" s="504">
        <v>0</v>
      </c>
      <c r="JV45" s="504">
        <v>0</v>
      </c>
      <c r="JW45" s="504">
        <v>0</v>
      </c>
      <c r="JX45" s="504">
        <v>0</v>
      </c>
      <c r="JY45" s="504">
        <v>0</v>
      </c>
      <c r="JZ45" s="504">
        <v>0</v>
      </c>
      <c r="KA45" s="504">
        <v>0</v>
      </c>
      <c r="KB45" s="504">
        <v>0</v>
      </c>
      <c r="KC45" s="504">
        <v>0</v>
      </c>
      <c r="KD45" s="504">
        <v>0</v>
      </c>
      <c r="KE45" s="504">
        <v>0</v>
      </c>
      <c r="KF45" s="504">
        <v>0</v>
      </c>
      <c r="KG45" s="504">
        <v>0</v>
      </c>
      <c r="KH45" s="504">
        <v>0</v>
      </c>
      <c r="KI45" s="504">
        <v>0</v>
      </c>
      <c r="KJ45" s="504">
        <v>0</v>
      </c>
      <c r="KK45" s="504">
        <v>0</v>
      </c>
      <c r="KL45" s="504">
        <v>0</v>
      </c>
      <c r="KM45" s="504">
        <v>0</v>
      </c>
      <c r="KN45" s="504">
        <v>0</v>
      </c>
      <c r="KO45" s="504">
        <v>0</v>
      </c>
      <c r="KP45" s="504">
        <v>0</v>
      </c>
      <c r="KQ45" s="504">
        <v>0</v>
      </c>
      <c r="KR45" s="504">
        <v>0</v>
      </c>
      <c r="KS45" s="504">
        <v>0</v>
      </c>
      <c r="KT45" s="504">
        <v>0</v>
      </c>
      <c r="KU45" s="504">
        <v>0</v>
      </c>
      <c r="KV45" s="504">
        <v>0</v>
      </c>
      <c r="KW45" s="504">
        <v>0</v>
      </c>
      <c r="KX45" s="504">
        <v>0</v>
      </c>
      <c r="KY45" s="504">
        <v>0</v>
      </c>
      <c r="KZ45" s="504">
        <v>0</v>
      </c>
      <c r="LA45" s="504">
        <v>0</v>
      </c>
      <c r="LB45" s="504">
        <v>0</v>
      </c>
      <c r="LC45" s="504">
        <v>0</v>
      </c>
      <c r="LD45" s="504">
        <v>0</v>
      </c>
      <c r="LE45" s="504">
        <v>0</v>
      </c>
      <c r="LF45" s="504">
        <v>0</v>
      </c>
      <c r="LG45" s="504">
        <v>0</v>
      </c>
      <c r="LH45" s="504">
        <v>0</v>
      </c>
      <c r="LI45" s="504">
        <v>0</v>
      </c>
      <c r="LJ45" s="504">
        <v>0</v>
      </c>
      <c r="LK45" s="504">
        <v>0</v>
      </c>
      <c r="LL45" s="504">
        <v>0</v>
      </c>
      <c r="LM45" s="504">
        <v>0</v>
      </c>
      <c r="LN45" s="504">
        <v>0</v>
      </c>
      <c r="LO45" s="504">
        <v>0</v>
      </c>
      <c r="LP45" s="504">
        <v>0</v>
      </c>
      <c r="LQ45" s="504">
        <v>0</v>
      </c>
      <c r="LR45" s="504">
        <v>0</v>
      </c>
      <c r="LS45" s="504">
        <v>0</v>
      </c>
      <c r="LT45" s="504">
        <v>0</v>
      </c>
      <c r="LU45" s="504">
        <v>0</v>
      </c>
      <c r="LV45" s="504">
        <v>0</v>
      </c>
      <c r="LW45" s="504">
        <v>0</v>
      </c>
      <c r="LX45" s="504">
        <v>0</v>
      </c>
      <c r="LY45" s="504">
        <v>0</v>
      </c>
      <c r="LZ45" s="504">
        <v>0</v>
      </c>
      <c r="MA45" s="504">
        <v>0</v>
      </c>
      <c r="MB45" s="504">
        <v>0</v>
      </c>
      <c r="MC45" s="504">
        <v>0</v>
      </c>
      <c r="MD45" s="504">
        <v>0</v>
      </c>
      <c r="ME45" s="504">
        <v>0</v>
      </c>
      <c r="MF45" s="504">
        <v>0</v>
      </c>
      <c r="MG45" s="504">
        <v>0</v>
      </c>
      <c r="MH45" s="504">
        <v>0</v>
      </c>
      <c r="MI45" s="504">
        <v>0</v>
      </c>
      <c r="MJ45" s="504">
        <v>0</v>
      </c>
      <c r="MK45" s="504">
        <v>0</v>
      </c>
      <c r="ML45" s="504">
        <v>0</v>
      </c>
      <c r="MM45" s="504">
        <v>0</v>
      </c>
      <c r="MN45" s="504">
        <v>0</v>
      </c>
      <c r="MO45" s="504">
        <v>0</v>
      </c>
      <c r="MP45" s="504">
        <v>0</v>
      </c>
      <c r="MQ45" s="504">
        <v>0</v>
      </c>
      <c r="MR45" s="504">
        <v>0</v>
      </c>
      <c r="MS45" s="504">
        <v>0</v>
      </c>
      <c r="MT45" s="504">
        <v>0</v>
      </c>
      <c r="MU45" s="504">
        <v>0</v>
      </c>
      <c r="MV45" s="504">
        <v>0</v>
      </c>
      <c r="MW45" s="504">
        <v>0</v>
      </c>
      <c r="MX45" s="504">
        <v>0</v>
      </c>
      <c r="MY45" s="504">
        <v>0</v>
      </c>
      <c r="MZ45" s="504">
        <v>0</v>
      </c>
      <c r="NA45" s="504">
        <v>0</v>
      </c>
      <c r="NB45" s="504">
        <v>0</v>
      </c>
      <c r="NC45" s="504">
        <v>0</v>
      </c>
      <c r="ND45" s="504">
        <v>0</v>
      </c>
      <c r="NE45" s="504">
        <v>0</v>
      </c>
      <c r="NF45" s="504">
        <v>0</v>
      </c>
      <c r="NG45" s="504">
        <v>0</v>
      </c>
      <c r="NH45" s="504">
        <v>0</v>
      </c>
      <c r="NI45" s="504">
        <v>0</v>
      </c>
      <c r="NJ45" s="504">
        <v>0</v>
      </c>
      <c r="NK45" s="504">
        <v>0</v>
      </c>
      <c r="NL45" s="504">
        <v>0</v>
      </c>
      <c r="NM45" s="504">
        <v>0</v>
      </c>
      <c r="NN45" s="504">
        <v>0</v>
      </c>
      <c r="NO45" s="504">
        <v>0</v>
      </c>
      <c r="NP45" s="504">
        <v>0</v>
      </c>
      <c r="NQ45" s="504">
        <v>0</v>
      </c>
      <c r="NR45" s="504">
        <v>0</v>
      </c>
      <c r="NS45" s="504">
        <v>0</v>
      </c>
      <c r="NT45" s="504">
        <v>0</v>
      </c>
      <c r="NU45" s="504">
        <v>0</v>
      </c>
      <c r="NV45" s="504">
        <v>0</v>
      </c>
      <c r="NW45" s="504">
        <v>0</v>
      </c>
      <c r="NX45" s="504">
        <v>0</v>
      </c>
      <c r="NY45" s="504">
        <v>0</v>
      </c>
      <c r="NZ45" s="504">
        <v>0</v>
      </c>
      <c r="OA45" s="504">
        <v>0</v>
      </c>
      <c r="OB45" s="504">
        <v>0</v>
      </c>
      <c r="OC45" s="504">
        <v>0</v>
      </c>
      <c r="OD45" s="504">
        <v>0</v>
      </c>
      <c r="OE45" s="504">
        <v>0</v>
      </c>
      <c r="OF45" s="504">
        <v>0</v>
      </c>
      <c r="OG45" s="504">
        <v>0</v>
      </c>
      <c r="OH45" s="504">
        <v>0</v>
      </c>
      <c r="OI45" s="504">
        <v>0</v>
      </c>
      <c r="OJ45" s="504">
        <v>0</v>
      </c>
      <c r="OK45" s="504">
        <v>0</v>
      </c>
      <c r="OL45" s="504">
        <v>0</v>
      </c>
      <c r="OM45" s="504">
        <v>0</v>
      </c>
      <c r="ON45" s="494"/>
    </row>
    <row r="46" spans="1:404" ht="18.75" customHeight="1" x14ac:dyDescent="0.4">
      <c r="A46" s="355" t="s">
        <v>322</v>
      </c>
      <c r="B46" s="358">
        <v>225</v>
      </c>
      <c r="C46" s="355" t="s">
        <v>60</v>
      </c>
      <c r="D46" s="501">
        <v>30.37</v>
      </c>
      <c r="E46" s="502">
        <v>14329</v>
      </c>
      <c r="F46" s="501">
        <v>30.35</v>
      </c>
      <c r="G46" s="502">
        <v>1908</v>
      </c>
      <c r="H46" s="501">
        <v>30.35</v>
      </c>
      <c r="I46" s="502">
        <v>5771</v>
      </c>
      <c r="J46" s="501">
        <v>30.36</v>
      </c>
      <c r="K46" s="502">
        <v>6705</v>
      </c>
      <c r="V46" s="501"/>
      <c r="W46" s="503"/>
      <c r="X46" s="501"/>
      <c r="Y46" s="503"/>
      <c r="Z46" s="501"/>
      <c r="AA46" s="503"/>
      <c r="AB46" s="495"/>
      <c r="AC46" s="504">
        <v>0</v>
      </c>
      <c r="AD46" s="504">
        <v>0</v>
      </c>
      <c r="AE46" s="504">
        <v>0</v>
      </c>
      <c r="AF46" s="504">
        <v>0</v>
      </c>
      <c r="AG46" s="504">
        <v>0</v>
      </c>
      <c r="AH46" s="504">
        <v>0</v>
      </c>
      <c r="AI46" s="504">
        <v>0</v>
      </c>
      <c r="AJ46" s="504">
        <v>0</v>
      </c>
      <c r="AK46" s="504">
        <v>0</v>
      </c>
      <c r="AL46" s="504">
        <v>0</v>
      </c>
      <c r="AM46" s="504">
        <v>0</v>
      </c>
      <c r="AN46" s="504">
        <v>0</v>
      </c>
      <c r="AO46" s="504">
        <v>0</v>
      </c>
      <c r="AP46" s="504">
        <v>0</v>
      </c>
      <c r="AQ46" s="504">
        <v>0</v>
      </c>
      <c r="AR46" s="504">
        <v>0</v>
      </c>
      <c r="AS46" s="504">
        <v>0</v>
      </c>
      <c r="AT46" s="504">
        <v>0</v>
      </c>
      <c r="AU46" s="504">
        <v>0</v>
      </c>
      <c r="AV46" s="504">
        <v>0</v>
      </c>
      <c r="AW46" s="504">
        <v>0</v>
      </c>
      <c r="AX46" s="504">
        <v>0</v>
      </c>
      <c r="AY46" s="504">
        <v>0</v>
      </c>
      <c r="AZ46" s="504">
        <v>0</v>
      </c>
      <c r="BA46" s="504">
        <v>0</v>
      </c>
      <c r="BB46" s="504">
        <v>0</v>
      </c>
      <c r="BC46" s="504">
        <v>0</v>
      </c>
      <c r="BD46" s="504">
        <v>0</v>
      </c>
      <c r="BE46" s="504">
        <v>0</v>
      </c>
      <c r="BF46" s="504">
        <v>0</v>
      </c>
      <c r="BG46" s="504">
        <v>0</v>
      </c>
      <c r="BH46" s="504">
        <v>0</v>
      </c>
      <c r="BI46" s="504">
        <v>0</v>
      </c>
      <c r="BJ46" s="504">
        <v>0</v>
      </c>
      <c r="BK46" s="504">
        <v>0</v>
      </c>
      <c r="BL46" s="504">
        <v>0</v>
      </c>
      <c r="BM46" s="504">
        <v>0</v>
      </c>
      <c r="BN46" s="504">
        <v>0</v>
      </c>
      <c r="BO46" s="504">
        <v>0</v>
      </c>
      <c r="BP46" s="504">
        <v>0</v>
      </c>
      <c r="BQ46" s="504">
        <v>0</v>
      </c>
      <c r="BR46" s="504">
        <v>0</v>
      </c>
      <c r="BS46" s="504">
        <v>0</v>
      </c>
      <c r="BT46" s="504">
        <v>0</v>
      </c>
      <c r="BU46" s="504">
        <v>0</v>
      </c>
      <c r="BV46" s="504">
        <v>0</v>
      </c>
      <c r="BW46" s="504">
        <v>0</v>
      </c>
      <c r="BX46" s="504">
        <v>0</v>
      </c>
      <c r="BY46" s="504">
        <v>0</v>
      </c>
      <c r="BZ46" s="504">
        <v>0</v>
      </c>
      <c r="CA46" s="504">
        <v>0</v>
      </c>
      <c r="CB46" s="504">
        <v>0</v>
      </c>
      <c r="CC46" s="504">
        <v>0</v>
      </c>
      <c r="CD46" s="504">
        <v>0</v>
      </c>
      <c r="CE46" s="504">
        <v>0</v>
      </c>
      <c r="CF46" s="504">
        <v>0</v>
      </c>
      <c r="CG46" s="504">
        <v>0</v>
      </c>
      <c r="CH46" s="504">
        <v>0</v>
      </c>
      <c r="CI46" s="504">
        <v>0</v>
      </c>
      <c r="CJ46" s="504">
        <v>0</v>
      </c>
      <c r="CK46" s="504">
        <v>0</v>
      </c>
      <c r="CL46" s="504">
        <v>0</v>
      </c>
      <c r="CM46" s="504">
        <v>0</v>
      </c>
      <c r="CN46" s="504">
        <v>0</v>
      </c>
      <c r="CO46" s="504">
        <v>0</v>
      </c>
      <c r="CP46" s="504">
        <v>0</v>
      </c>
      <c r="CQ46" s="504">
        <v>0</v>
      </c>
      <c r="CR46" s="504">
        <v>0</v>
      </c>
      <c r="CS46" s="504">
        <v>0</v>
      </c>
      <c r="CT46" s="504">
        <v>0</v>
      </c>
      <c r="CU46" s="504">
        <v>0</v>
      </c>
      <c r="CV46" s="504">
        <v>0</v>
      </c>
      <c r="CW46" s="504">
        <v>0</v>
      </c>
      <c r="CX46" s="504">
        <v>0</v>
      </c>
      <c r="CY46" s="504">
        <v>0</v>
      </c>
      <c r="CZ46" s="504">
        <v>0</v>
      </c>
      <c r="DA46" s="504">
        <v>0</v>
      </c>
      <c r="DB46" s="504">
        <v>0</v>
      </c>
      <c r="DC46" s="504">
        <v>0</v>
      </c>
      <c r="DD46" s="504">
        <v>0</v>
      </c>
      <c r="DE46" s="504">
        <v>0</v>
      </c>
      <c r="DF46" s="504">
        <v>0</v>
      </c>
      <c r="DG46" s="504">
        <v>0</v>
      </c>
      <c r="DH46" s="504">
        <v>0</v>
      </c>
      <c r="DI46" s="504">
        <v>0</v>
      </c>
      <c r="DJ46" s="504">
        <v>0</v>
      </c>
      <c r="DK46" s="504">
        <v>0</v>
      </c>
      <c r="DL46" s="504">
        <v>0</v>
      </c>
      <c r="DM46" s="504">
        <v>0</v>
      </c>
      <c r="DN46" s="504">
        <v>0</v>
      </c>
      <c r="DO46" s="504">
        <v>0</v>
      </c>
      <c r="DP46" s="504">
        <v>0</v>
      </c>
      <c r="DQ46" s="504">
        <v>0</v>
      </c>
      <c r="DR46" s="504">
        <v>0</v>
      </c>
      <c r="DS46" s="504">
        <v>0</v>
      </c>
      <c r="DT46" s="504">
        <v>0</v>
      </c>
      <c r="DU46" s="504">
        <v>0</v>
      </c>
      <c r="DV46" s="504">
        <v>0</v>
      </c>
      <c r="DW46" s="504">
        <v>0</v>
      </c>
      <c r="DX46" s="504">
        <v>0</v>
      </c>
      <c r="DY46" s="504">
        <v>0</v>
      </c>
      <c r="DZ46" s="504">
        <v>0</v>
      </c>
      <c r="EA46" s="504">
        <v>0</v>
      </c>
      <c r="EB46" s="504">
        <v>0</v>
      </c>
      <c r="EC46" s="504">
        <v>0</v>
      </c>
      <c r="ED46" s="504">
        <v>0</v>
      </c>
      <c r="EE46" s="504">
        <v>0</v>
      </c>
      <c r="EF46" s="504">
        <v>0</v>
      </c>
      <c r="EG46" s="504">
        <v>0</v>
      </c>
      <c r="EH46" s="504">
        <v>0</v>
      </c>
      <c r="EI46" s="504">
        <v>0</v>
      </c>
      <c r="EJ46" s="504">
        <v>0</v>
      </c>
      <c r="EK46" s="504">
        <v>0</v>
      </c>
      <c r="EL46" s="504">
        <v>0</v>
      </c>
      <c r="EM46" s="504">
        <v>0</v>
      </c>
      <c r="EN46" s="504">
        <v>0</v>
      </c>
      <c r="EO46" s="504">
        <v>0</v>
      </c>
      <c r="EP46" s="504">
        <v>0</v>
      </c>
      <c r="EQ46" s="504">
        <v>0</v>
      </c>
      <c r="ER46" s="504">
        <v>0</v>
      </c>
      <c r="ES46" s="504">
        <v>0</v>
      </c>
      <c r="ET46" s="504">
        <v>0</v>
      </c>
      <c r="EU46" s="504">
        <v>0</v>
      </c>
      <c r="EV46" s="504">
        <v>0</v>
      </c>
      <c r="EW46" s="504">
        <v>0</v>
      </c>
      <c r="EX46" s="504">
        <v>0</v>
      </c>
      <c r="EY46" s="504">
        <v>0</v>
      </c>
      <c r="EZ46" s="504">
        <v>0</v>
      </c>
      <c r="FA46" s="504">
        <v>0</v>
      </c>
      <c r="FB46" s="504">
        <v>0</v>
      </c>
      <c r="FC46" s="504">
        <v>0</v>
      </c>
      <c r="FD46" s="504">
        <v>0</v>
      </c>
      <c r="FE46" s="504">
        <v>0</v>
      </c>
      <c r="FF46" s="504">
        <v>0</v>
      </c>
      <c r="FG46" s="504">
        <v>0</v>
      </c>
      <c r="FH46" s="504">
        <v>0</v>
      </c>
      <c r="FI46" s="504">
        <v>0</v>
      </c>
      <c r="FJ46" s="504">
        <v>0</v>
      </c>
      <c r="FK46" s="504">
        <v>0</v>
      </c>
      <c r="FL46" s="504">
        <v>0</v>
      </c>
      <c r="FM46" s="504">
        <v>0</v>
      </c>
      <c r="FN46" s="504">
        <v>0</v>
      </c>
      <c r="FO46" s="504">
        <v>0</v>
      </c>
      <c r="FP46" s="504">
        <v>0</v>
      </c>
      <c r="FQ46" s="504">
        <v>0</v>
      </c>
      <c r="FR46" s="504">
        <v>0</v>
      </c>
      <c r="FS46" s="504">
        <v>0</v>
      </c>
      <c r="FT46" s="504">
        <v>0</v>
      </c>
      <c r="FU46" s="504">
        <v>0</v>
      </c>
      <c r="FV46" s="504">
        <v>0</v>
      </c>
      <c r="FW46" s="504">
        <v>0</v>
      </c>
      <c r="FX46" s="504">
        <v>0</v>
      </c>
      <c r="FY46" s="504">
        <v>0</v>
      </c>
      <c r="FZ46" s="504">
        <v>0</v>
      </c>
      <c r="GA46" s="504">
        <v>0</v>
      </c>
      <c r="GB46" s="504">
        <v>0</v>
      </c>
      <c r="GC46" s="504">
        <v>0</v>
      </c>
      <c r="GD46" s="504">
        <v>0</v>
      </c>
      <c r="GE46" s="504">
        <v>0</v>
      </c>
      <c r="GF46" s="504">
        <v>0</v>
      </c>
      <c r="GG46" s="504">
        <v>0</v>
      </c>
      <c r="GH46" s="504">
        <v>0</v>
      </c>
      <c r="GI46" s="504">
        <v>0</v>
      </c>
      <c r="GJ46" s="504">
        <v>0</v>
      </c>
      <c r="GK46" s="504">
        <v>0</v>
      </c>
      <c r="GL46" s="504">
        <v>0</v>
      </c>
      <c r="GM46" s="504">
        <v>0</v>
      </c>
      <c r="GN46" s="504">
        <v>0</v>
      </c>
      <c r="GO46" s="504">
        <v>0</v>
      </c>
      <c r="GP46" s="504">
        <v>0</v>
      </c>
      <c r="GQ46" s="504">
        <v>0</v>
      </c>
      <c r="GR46" s="504">
        <v>0</v>
      </c>
      <c r="GS46" s="504">
        <v>0</v>
      </c>
      <c r="GT46" s="504">
        <v>0</v>
      </c>
      <c r="GU46" s="504">
        <v>0</v>
      </c>
      <c r="GV46" s="504">
        <v>0</v>
      </c>
      <c r="GW46" s="504">
        <v>0</v>
      </c>
      <c r="GX46" s="504">
        <v>0</v>
      </c>
      <c r="GY46" s="504">
        <v>0</v>
      </c>
      <c r="GZ46" s="504">
        <v>0</v>
      </c>
      <c r="HA46" s="504">
        <v>0</v>
      </c>
      <c r="HB46" s="504">
        <v>0</v>
      </c>
      <c r="HC46" s="504">
        <v>0</v>
      </c>
      <c r="HD46" s="504">
        <v>0</v>
      </c>
      <c r="HE46" s="504">
        <v>0</v>
      </c>
      <c r="HF46" s="504">
        <v>0</v>
      </c>
      <c r="HG46" s="504">
        <v>0</v>
      </c>
      <c r="HH46" s="504">
        <v>0</v>
      </c>
      <c r="HI46" s="504">
        <v>0</v>
      </c>
      <c r="HJ46" s="504">
        <v>0</v>
      </c>
      <c r="HK46" s="504">
        <v>0</v>
      </c>
      <c r="HL46" s="504">
        <v>0</v>
      </c>
      <c r="HM46" s="504">
        <v>0</v>
      </c>
      <c r="HN46" s="504">
        <v>0</v>
      </c>
      <c r="HO46" s="504">
        <v>0</v>
      </c>
      <c r="HP46" s="504">
        <v>0</v>
      </c>
      <c r="HQ46" s="504">
        <v>0</v>
      </c>
      <c r="HR46" s="504">
        <v>0</v>
      </c>
      <c r="HS46" s="504">
        <v>0</v>
      </c>
      <c r="HT46" s="504">
        <v>0</v>
      </c>
      <c r="HU46" s="504">
        <v>0</v>
      </c>
      <c r="HV46" s="504">
        <v>0</v>
      </c>
      <c r="HW46" s="504">
        <v>0</v>
      </c>
      <c r="HX46" s="504">
        <v>0</v>
      </c>
      <c r="HY46" s="504">
        <v>0</v>
      </c>
      <c r="HZ46" s="504">
        <v>0</v>
      </c>
      <c r="IA46" s="504">
        <v>0</v>
      </c>
      <c r="IB46" s="504">
        <v>0</v>
      </c>
      <c r="IC46" s="504">
        <v>0</v>
      </c>
      <c r="ID46" s="504">
        <v>0</v>
      </c>
      <c r="IE46" s="504">
        <v>0</v>
      </c>
      <c r="IF46" s="504">
        <v>0</v>
      </c>
      <c r="IG46" s="504">
        <v>0</v>
      </c>
      <c r="IH46" s="504">
        <v>0</v>
      </c>
      <c r="II46" s="504">
        <v>0</v>
      </c>
      <c r="IJ46" s="504">
        <v>0</v>
      </c>
      <c r="IK46" s="504">
        <v>0</v>
      </c>
      <c r="IL46" s="504">
        <v>0</v>
      </c>
      <c r="IM46" s="504">
        <v>0</v>
      </c>
      <c r="IN46" s="504">
        <v>0</v>
      </c>
      <c r="IO46" s="504">
        <v>0</v>
      </c>
      <c r="IP46" s="504">
        <v>0</v>
      </c>
      <c r="IQ46" s="504">
        <v>0</v>
      </c>
      <c r="IR46" s="504">
        <v>0</v>
      </c>
      <c r="IS46" s="504">
        <v>0</v>
      </c>
      <c r="IT46" s="504">
        <v>0</v>
      </c>
      <c r="IU46" s="504">
        <v>0</v>
      </c>
      <c r="IV46" s="504">
        <v>0</v>
      </c>
      <c r="IW46" s="504">
        <v>0</v>
      </c>
      <c r="IX46" s="504">
        <v>0</v>
      </c>
      <c r="IY46" s="504">
        <v>0</v>
      </c>
      <c r="IZ46" s="504">
        <v>0</v>
      </c>
      <c r="JA46" s="504">
        <v>0</v>
      </c>
      <c r="JB46" s="504">
        <v>0</v>
      </c>
      <c r="JC46" s="504">
        <v>0</v>
      </c>
      <c r="JD46" s="504">
        <v>0</v>
      </c>
      <c r="JE46" s="504">
        <v>0</v>
      </c>
      <c r="JF46" s="504">
        <v>0</v>
      </c>
      <c r="JG46" s="504">
        <v>0</v>
      </c>
      <c r="JH46" s="504">
        <v>0</v>
      </c>
      <c r="JI46" s="504">
        <v>0</v>
      </c>
      <c r="JJ46" s="504">
        <v>0</v>
      </c>
      <c r="JK46" s="504">
        <v>0</v>
      </c>
      <c r="JL46" s="504">
        <v>0</v>
      </c>
      <c r="JM46" s="504">
        <v>0</v>
      </c>
      <c r="JN46" s="504">
        <v>0</v>
      </c>
      <c r="JO46" s="504">
        <v>0</v>
      </c>
      <c r="JP46" s="504">
        <v>0</v>
      </c>
      <c r="JQ46" s="504">
        <v>0</v>
      </c>
      <c r="JR46" s="504">
        <v>0</v>
      </c>
      <c r="JS46" s="504">
        <v>0</v>
      </c>
      <c r="JT46" s="504">
        <v>0</v>
      </c>
      <c r="JU46" s="504">
        <v>0</v>
      </c>
      <c r="JV46" s="504">
        <v>0</v>
      </c>
      <c r="JW46" s="504">
        <v>0</v>
      </c>
      <c r="JX46" s="504">
        <v>0</v>
      </c>
      <c r="JY46" s="504">
        <v>0</v>
      </c>
      <c r="JZ46" s="504">
        <v>0</v>
      </c>
      <c r="KA46" s="504">
        <v>0</v>
      </c>
      <c r="KB46" s="504">
        <v>0</v>
      </c>
      <c r="KC46" s="504">
        <v>0</v>
      </c>
      <c r="KD46" s="504">
        <v>0</v>
      </c>
      <c r="KE46" s="504">
        <v>0</v>
      </c>
      <c r="KF46" s="504">
        <v>0</v>
      </c>
      <c r="KG46" s="504">
        <v>0</v>
      </c>
      <c r="KH46" s="504">
        <v>0</v>
      </c>
      <c r="KI46" s="504">
        <v>0</v>
      </c>
      <c r="KJ46" s="504">
        <v>0</v>
      </c>
      <c r="KK46" s="504">
        <v>0</v>
      </c>
      <c r="KL46" s="504">
        <v>0</v>
      </c>
      <c r="KM46" s="504">
        <v>0</v>
      </c>
      <c r="KN46" s="504">
        <v>0</v>
      </c>
      <c r="KO46" s="504">
        <v>0</v>
      </c>
      <c r="KP46" s="504">
        <v>0</v>
      </c>
      <c r="KQ46" s="504">
        <v>0</v>
      </c>
      <c r="KR46" s="504">
        <v>0</v>
      </c>
      <c r="KS46" s="504">
        <v>0</v>
      </c>
      <c r="KT46" s="504">
        <v>0</v>
      </c>
      <c r="KU46" s="504">
        <v>0</v>
      </c>
      <c r="KV46" s="504">
        <v>0</v>
      </c>
      <c r="KW46" s="504">
        <v>0</v>
      </c>
      <c r="KX46" s="504">
        <v>0</v>
      </c>
      <c r="KY46" s="504">
        <v>0</v>
      </c>
      <c r="KZ46" s="504">
        <v>0</v>
      </c>
      <c r="LA46" s="504">
        <v>0</v>
      </c>
      <c r="LB46" s="504">
        <v>0</v>
      </c>
      <c r="LC46" s="504">
        <v>0</v>
      </c>
      <c r="LD46" s="504">
        <v>0</v>
      </c>
      <c r="LE46" s="504">
        <v>0</v>
      </c>
      <c r="LF46" s="504">
        <v>0</v>
      </c>
      <c r="LG46" s="504">
        <v>0</v>
      </c>
      <c r="LH46" s="504">
        <v>0</v>
      </c>
      <c r="LI46" s="504">
        <v>0</v>
      </c>
      <c r="LJ46" s="504">
        <v>0</v>
      </c>
      <c r="LK46" s="504">
        <v>0</v>
      </c>
      <c r="LL46" s="504">
        <v>0</v>
      </c>
      <c r="LM46" s="504">
        <v>0</v>
      </c>
      <c r="LN46" s="504">
        <v>0</v>
      </c>
      <c r="LO46" s="504">
        <v>0</v>
      </c>
      <c r="LP46" s="504">
        <v>0</v>
      </c>
      <c r="LQ46" s="504">
        <v>0</v>
      </c>
      <c r="LR46" s="504">
        <v>0</v>
      </c>
      <c r="LS46" s="504">
        <v>0</v>
      </c>
      <c r="LT46" s="504">
        <v>0</v>
      </c>
      <c r="LU46" s="504">
        <v>0</v>
      </c>
      <c r="LV46" s="504">
        <v>0</v>
      </c>
      <c r="LW46" s="504">
        <v>0</v>
      </c>
      <c r="LX46" s="504">
        <v>0</v>
      </c>
      <c r="LY46" s="504">
        <v>0</v>
      </c>
      <c r="LZ46" s="504">
        <v>0</v>
      </c>
      <c r="MA46" s="504">
        <v>0</v>
      </c>
      <c r="MB46" s="504">
        <v>0</v>
      </c>
      <c r="MC46" s="504">
        <v>0</v>
      </c>
      <c r="MD46" s="504">
        <v>0</v>
      </c>
      <c r="ME46" s="504">
        <v>0</v>
      </c>
      <c r="MF46" s="504">
        <v>0</v>
      </c>
      <c r="MG46" s="504">
        <v>0</v>
      </c>
      <c r="MH46" s="504">
        <v>0</v>
      </c>
      <c r="MI46" s="504">
        <v>0</v>
      </c>
      <c r="MJ46" s="504">
        <v>0</v>
      </c>
      <c r="MK46" s="504">
        <v>0</v>
      </c>
      <c r="ML46" s="504">
        <v>0</v>
      </c>
      <c r="MM46" s="504">
        <v>0</v>
      </c>
      <c r="MN46" s="504">
        <v>0</v>
      </c>
      <c r="MO46" s="504">
        <v>0</v>
      </c>
      <c r="MP46" s="504">
        <v>0</v>
      </c>
      <c r="MQ46" s="504">
        <v>0</v>
      </c>
      <c r="MR46" s="504">
        <v>0</v>
      </c>
      <c r="MS46" s="504">
        <v>0</v>
      </c>
      <c r="MT46" s="504">
        <v>0</v>
      </c>
      <c r="MU46" s="504">
        <v>0</v>
      </c>
      <c r="MV46" s="504">
        <v>0</v>
      </c>
      <c r="MW46" s="504">
        <v>0</v>
      </c>
      <c r="MX46" s="504">
        <v>0</v>
      </c>
      <c r="MY46" s="504">
        <v>0</v>
      </c>
      <c r="MZ46" s="504">
        <v>0</v>
      </c>
      <c r="NA46" s="504">
        <v>0</v>
      </c>
      <c r="NB46" s="504">
        <v>0</v>
      </c>
      <c r="NC46" s="504">
        <v>0</v>
      </c>
      <c r="ND46" s="504">
        <v>0</v>
      </c>
      <c r="NE46" s="504">
        <v>0</v>
      </c>
      <c r="NF46" s="504">
        <v>0</v>
      </c>
      <c r="NG46" s="504">
        <v>0</v>
      </c>
      <c r="NH46" s="504">
        <v>0</v>
      </c>
      <c r="NI46" s="504">
        <v>0</v>
      </c>
      <c r="NJ46" s="504">
        <v>0</v>
      </c>
      <c r="NK46" s="504">
        <v>0</v>
      </c>
      <c r="NL46" s="504">
        <v>0</v>
      </c>
      <c r="NM46" s="504">
        <v>0</v>
      </c>
      <c r="NN46" s="504">
        <v>0</v>
      </c>
      <c r="NO46" s="504">
        <v>0</v>
      </c>
      <c r="NP46" s="504">
        <v>0</v>
      </c>
      <c r="NQ46" s="504">
        <v>0</v>
      </c>
      <c r="NR46" s="504">
        <v>0</v>
      </c>
      <c r="NS46" s="504">
        <v>0</v>
      </c>
      <c r="NT46" s="504">
        <v>0</v>
      </c>
      <c r="NU46" s="504">
        <v>0</v>
      </c>
      <c r="NV46" s="504">
        <v>0</v>
      </c>
      <c r="NW46" s="504">
        <v>0</v>
      </c>
      <c r="NX46" s="504">
        <v>0</v>
      </c>
      <c r="NY46" s="504">
        <v>0</v>
      </c>
      <c r="NZ46" s="504">
        <v>0</v>
      </c>
      <c r="OA46" s="504">
        <v>0</v>
      </c>
      <c r="OB46" s="504">
        <v>0</v>
      </c>
      <c r="OC46" s="504">
        <v>0</v>
      </c>
      <c r="OD46" s="504">
        <v>0</v>
      </c>
      <c r="OE46" s="504">
        <v>0</v>
      </c>
      <c r="OF46" s="504">
        <v>0</v>
      </c>
      <c r="OG46" s="504">
        <v>0</v>
      </c>
      <c r="OH46" s="504">
        <v>0</v>
      </c>
      <c r="OI46" s="504">
        <v>0</v>
      </c>
      <c r="OJ46" s="504">
        <v>0</v>
      </c>
      <c r="OK46" s="504">
        <v>0</v>
      </c>
      <c r="OL46" s="504">
        <v>0</v>
      </c>
      <c r="OM46" s="504">
        <v>0</v>
      </c>
      <c r="ON46" s="494"/>
    </row>
    <row r="47" spans="1:404" ht="18.75" customHeight="1" x14ac:dyDescent="0.4">
      <c r="A47" s="355" t="s">
        <v>323</v>
      </c>
      <c r="B47" s="358">
        <v>198</v>
      </c>
      <c r="C47" s="355" t="s">
        <v>60</v>
      </c>
      <c r="D47" s="501">
        <v>30.12</v>
      </c>
      <c r="E47" s="502">
        <v>41031</v>
      </c>
      <c r="F47" s="501">
        <v>30.11</v>
      </c>
      <c r="G47" s="502">
        <v>4047</v>
      </c>
      <c r="H47" s="501">
        <v>30.11</v>
      </c>
      <c r="I47" s="502">
        <v>10700</v>
      </c>
      <c r="J47" s="501">
        <v>30.11</v>
      </c>
      <c r="K47" s="502">
        <v>11895</v>
      </c>
      <c r="V47" s="501"/>
      <c r="W47" s="503"/>
      <c r="X47" s="501"/>
      <c r="Y47" s="503"/>
      <c r="Z47" s="501"/>
      <c r="AA47" s="503"/>
      <c r="AB47" s="495"/>
      <c r="AC47" s="504">
        <v>0</v>
      </c>
      <c r="AD47" s="504">
        <v>0</v>
      </c>
      <c r="AE47" s="504">
        <v>0</v>
      </c>
      <c r="AF47" s="504">
        <v>0</v>
      </c>
      <c r="AG47" s="504">
        <v>0</v>
      </c>
      <c r="AH47" s="504">
        <v>0</v>
      </c>
      <c r="AI47" s="504">
        <v>0</v>
      </c>
      <c r="AJ47" s="504">
        <v>0</v>
      </c>
      <c r="AK47" s="504">
        <v>0</v>
      </c>
      <c r="AL47" s="504">
        <v>0</v>
      </c>
      <c r="AM47" s="504">
        <v>0</v>
      </c>
      <c r="AN47" s="504">
        <v>0</v>
      </c>
      <c r="AO47" s="504">
        <v>0</v>
      </c>
      <c r="AP47" s="504">
        <v>0</v>
      </c>
      <c r="AQ47" s="504">
        <v>0</v>
      </c>
      <c r="AR47" s="504">
        <v>0</v>
      </c>
      <c r="AS47" s="504">
        <v>0</v>
      </c>
      <c r="AT47" s="504">
        <v>0</v>
      </c>
      <c r="AU47" s="504">
        <v>0</v>
      </c>
      <c r="AV47" s="504">
        <v>0</v>
      </c>
      <c r="AW47" s="504">
        <v>0</v>
      </c>
      <c r="AX47" s="504">
        <v>0</v>
      </c>
      <c r="AY47" s="504">
        <v>0</v>
      </c>
      <c r="AZ47" s="504">
        <v>0</v>
      </c>
      <c r="BA47" s="504">
        <v>0</v>
      </c>
      <c r="BB47" s="504">
        <v>0</v>
      </c>
      <c r="BC47" s="504">
        <v>0</v>
      </c>
      <c r="BD47" s="504">
        <v>0</v>
      </c>
      <c r="BE47" s="504">
        <v>0</v>
      </c>
      <c r="BF47" s="504">
        <v>0</v>
      </c>
      <c r="BG47" s="504">
        <v>0</v>
      </c>
      <c r="BH47" s="504">
        <v>0</v>
      </c>
      <c r="BI47" s="504">
        <v>0</v>
      </c>
      <c r="BJ47" s="504">
        <v>0</v>
      </c>
      <c r="BK47" s="504">
        <v>0</v>
      </c>
      <c r="BL47" s="504">
        <v>0</v>
      </c>
      <c r="BM47" s="504">
        <v>0</v>
      </c>
      <c r="BN47" s="504">
        <v>0</v>
      </c>
      <c r="BO47" s="504">
        <v>0</v>
      </c>
      <c r="BP47" s="504">
        <v>0</v>
      </c>
      <c r="BQ47" s="504">
        <v>0</v>
      </c>
      <c r="BR47" s="504">
        <v>0</v>
      </c>
      <c r="BS47" s="504">
        <v>0</v>
      </c>
      <c r="BT47" s="504">
        <v>0</v>
      </c>
      <c r="BU47" s="504">
        <v>0</v>
      </c>
      <c r="BV47" s="504">
        <v>0</v>
      </c>
      <c r="BW47" s="504">
        <v>0</v>
      </c>
      <c r="BX47" s="504">
        <v>0</v>
      </c>
      <c r="BY47" s="504">
        <v>0</v>
      </c>
      <c r="BZ47" s="504">
        <v>0</v>
      </c>
      <c r="CA47" s="504">
        <v>0</v>
      </c>
      <c r="CB47" s="504">
        <v>0</v>
      </c>
      <c r="CC47" s="504">
        <v>0</v>
      </c>
      <c r="CD47" s="504">
        <v>0</v>
      </c>
      <c r="CE47" s="504">
        <v>0</v>
      </c>
      <c r="CF47" s="504">
        <v>0</v>
      </c>
      <c r="CG47" s="504">
        <v>0</v>
      </c>
      <c r="CH47" s="504">
        <v>0</v>
      </c>
      <c r="CI47" s="504">
        <v>0</v>
      </c>
      <c r="CJ47" s="504">
        <v>0</v>
      </c>
      <c r="CK47" s="504">
        <v>0</v>
      </c>
      <c r="CL47" s="504">
        <v>0</v>
      </c>
      <c r="CM47" s="504">
        <v>0</v>
      </c>
      <c r="CN47" s="504">
        <v>0</v>
      </c>
      <c r="CO47" s="504">
        <v>0</v>
      </c>
      <c r="CP47" s="504">
        <v>0</v>
      </c>
      <c r="CQ47" s="504">
        <v>0</v>
      </c>
      <c r="CR47" s="504">
        <v>0</v>
      </c>
      <c r="CS47" s="504">
        <v>0</v>
      </c>
      <c r="CT47" s="504">
        <v>0</v>
      </c>
      <c r="CU47" s="504">
        <v>0</v>
      </c>
      <c r="CV47" s="504">
        <v>0</v>
      </c>
      <c r="CW47" s="504">
        <v>0</v>
      </c>
      <c r="CX47" s="504">
        <v>0</v>
      </c>
      <c r="CY47" s="504">
        <v>0</v>
      </c>
      <c r="CZ47" s="504">
        <v>0</v>
      </c>
      <c r="DA47" s="504">
        <v>0</v>
      </c>
      <c r="DB47" s="504">
        <v>0</v>
      </c>
      <c r="DC47" s="504">
        <v>0</v>
      </c>
      <c r="DD47" s="504">
        <v>0</v>
      </c>
      <c r="DE47" s="504">
        <v>0</v>
      </c>
      <c r="DF47" s="504">
        <v>0</v>
      </c>
      <c r="DG47" s="504">
        <v>0</v>
      </c>
      <c r="DH47" s="504">
        <v>0</v>
      </c>
      <c r="DI47" s="504">
        <v>0</v>
      </c>
      <c r="DJ47" s="504">
        <v>0</v>
      </c>
      <c r="DK47" s="504">
        <v>0</v>
      </c>
      <c r="DL47" s="504">
        <v>0</v>
      </c>
      <c r="DM47" s="504">
        <v>0</v>
      </c>
      <c r="DN47" s="504">
        <v>0</v>
      </c>
      <c r="DO47" s="504">
        <v>0</v>
      </c>
      <c r="DP47" s="504">
        <v>0</v>
      </c>
      <c r="DQ47" s="504">
        <v>0</v>
      </c>
      <c r="DR47" s="504">
        <v>0</v>
      </c>
      <c r="DS47" s="504">
        <v>0</v>
      </c>
      <c r="DT47" s="504">
        <v>0</v>
      </c>
      <c r="DU47" s="504">
        <v>0</v>
      </c>
      <c r="DV47" s="504">
        <v>0</v>
      </c>
      <c r="DW47" s="504">
        <v>0</v>
      </c>
      <c r="DX47" s="504">
        <v>0</v>
      </c>
      <c r="DY47" s="504">
        <v>0</v>
      </c>
      <c r="DZ47" s="504">
        <v>0</v>
      </c>
      <c r="EA47" s="504">
        <v>0</v>
      </c>
      <c r="EB47" s="504">
        <v>0</v>
      </c>
      <c r="EC47" s="504">
        <v>0</v>
      </c>
      <c r="ED47" s="504">
        <v>0</v>
      </c>
      <c r="EE47" s="504">
        <v>0</v>
      </c>
      <c r="EF47" s="504">
        <v>0</v>
      </c>
      <c r="EG47" s="504">
        <v>0</v>
      </c>
      <c r="EH47" s="504">
        <v>0</v>
      </c>
      <c r="EI47" s="504">
        <v>0</v>
      </c>
      <c r="EJ47" s="504">
        <v>0</v>
      </c>
      <c r="EK47" s="504">
        <v>0</v>
      </c>
      <c r="EL47" s="504">
        <v>0</v>
      </c>
      <c r="EM47" s="504">
        <v>0</v>
      </c>
      <c r="EN47" s="504">
        <v>0</v>
      </c>
      <c r="EO47" s="504">
        <v>0</v>
      </c>
      <c r="EP47" s="504">
        <v>0</v>
      </c>
      <c r="EQ47" s="504">
        <v>0</v>
      </c>
      <c r="ER47" s="504">
        <v>0</v>
      </c>
      <c r="ES47" s="504">
        <v>0</v>
      </c>
      <c r="ET47" s="504">
        <v>0</v>
      </c>
      <c r="EU47" s="504">
        <v>0</v>
      </c>
      <c r="EV47" s="504">
        <v>0</v>
      </c>
      <c r="EW47" s="504">
        <v>0</v>
      </c>
      <c r="EX47" s="504">
        <v>0</v>
      </c>
      <c r="EY47" s="504">
        <v>0</v>
      </c>
      <c r="EZ47" s="504">
        <v>0</v>
      </c>
      <c r="FA47" s="504">
        <v>0</v>
      </c>
      <c r="FB47" s="504">
        <v>0</v>
      </c>
      <c r="FC47" s="504">
        <v>0</v>
      </c>
      <c r="FD47" s="504">
        <v>0</v>
      </c>
      <c r="FE47" s="504">
        <v>0</v>
      </c>
      <c r="FF47" s="504">
        <v>0</v>
      </c>
      <c r="FG47" s="504">
        <v>0</v>
      </c>
      <c r="FH47" s="504">
        <v>0</v>
      </c>
      <c r="FI47" s="504">
        <v>0</v>
      </c>
      <c r="FJ47" s="504">
        <v>0</v>
      </c>
      <c r="FK47" s="504">
        <v>0</v>
      </c>
      <c r="FL47" s="504">
        <v>0</v>
      </c>
      <c r="FM47" s="504">
        <v>0</v>
      </c>
      <c r="FN47" s="504">
        <v>0</v>
      </c>
      <c r="FO47" s="504">
        <v>0</v>
      </c>
      <c r="FP47" s="504">
        <v>0</v>
      </c>
      <c r="FQ47" s="504">
        <v>0</v>
      </c>
      <c r="FR47" s="504">
        <v>0</v>
      </c>
      <c r="FS47" s="504">
        <v>0</v>
      </c>
      <c r="FT47" s="504">
        <v>0</v>
      </c>
      <c r="FU47" s="504">
        <v>0</v>
      </c>
      <c r="FV47" s="504">
        <v>0</v>
      </c>
      <c r="FW47" s="504">
        <v>0</v>
      </c>
      <c r="FX47" s="504">
        <v>0</v>
      </c>
      <c r="FY47" s="504">
        <v>0</v>
      </c>
      <c r="FZ47" s="504">
        <v>0</v>
      </c>
      <c r="GA47" s="504">
        <v>0</v>
      </c>
      <c r="GB47" s="504">
        <v>0</v>
      </c>
      <c r="GC47" s="504">
        <v>0</v>
      </c>
      <c r="GD47" s="504">
        <v>0</v>
      </c>
      <c r="GE47" s="504">
        <v>0</v>
      </c>
      <c r="GF47" s="504">
        <v>0</v>
      </c>
      <c r="GG47" s="504">
        <v>0</v>
      </c>
      <c r="GH47" s="504">
        <v>0</v>
      </c>
      <c r="GI47" s="504">
        <v>0</v>
      </c>
      <c r="GJ47" s="504">
        <v>0</v>
      </c>
      <c r="GK47" s="504">
        <v>0</v>
      </c>
      <c r="GL47" s="504">
        <v>0</v>
      </c>
      <c r="GM47" s="504">
        <v>0</v>
      </c>
      <c r="GN47" s="504">
        <v>0</v>
      </c>
      <c r="GO47" s="504">
        <v>0</v>
      </c>
      <c r="GP47" s="504">
        <v>0</v>
      </c>
      <c r="GQ47" s="504">
        <v>0</v>
      </c>
      <c r="GR47" s="504">
        <v>0</v>
      </c>
      <c r="GS47" s="504">
        <v>0</v>
      </c>
      <c r="GT47" s="504">
        <v>0</v>
      </c>
      <c r="GU47" s="504">
        <v>0</v>
      </c>
      <c r="GV47" s="504">
        <v>0</v>
      </c>
      <c r="GW47" s="504">
        <v>0</v>
      </c>
      <c r="GX47" s="504">
        <v>0</v>
      </c>
      <c r="GY47" s="504">
        <v>0</v>
      </c>
      <c r="GZ47" s="504">
        <v>0</v>
      </c>
      <c r="HA47" s="504">
        <v>0</v>
      </c>
      <c r="HB47" s="504">
        <v>0</v>
      </c>
      <c r="HC47" s="504">
        <v>0</v>
      </c>
      <c r="HD47" s="504">
        <v>0</v>
      </c>
      <c r="HE47" s="504">
        <v>0</v>
      </c>
      <c r="HF47" s="504">
        <v>0</v>
      </c>
      <c r="HG47" s="504">
        <v>0</v>
      </c>
      <c r="HH47" s="504">
        <v>0</v>
      </c>
      <c r="HI47" s="504">
        <v>0</v>
      </c>
      <c r="HJ47" s="504">
        <v>0</v>
      </c>
      <c r="HK47" s="504">
        <v>0</v>
      </c>
      <c r="HL47" s="504">
        <v>0</v>
      </c>
      <c r="HM47" s="504">
        <v>0</v>
      </c>
      <c r="HN47" s="504">
        <v>0</v>
      </c>
      <c r="HO47" s="504">
        <v>0</v>
      </c>
      <c r="HP47" s="504">
        <v>0</v>
      </c>
      <c r="HQ47" s="504">
        <v>0</v>
      </c>
      <c r="HR47" s="504">
        <v>0</v>
      </c>
      <c r="HS47" s="504">
        <v>0</v>
      </c>
      <c r="HT47" s="504">
        <v>0</v>
      </c>
      <c r="HU47" s="504">
        <v>0</v>
      </c>
      <c r="HV47" s="504">
        <v>0</v>
      </c>
      <c r="HW47" s="504">
        <v>0</v>
      </c>
      <c r="HX47" s="504">
        <v>0</v>
      </c>
      <c r="HY47" s="504">
        <v>0</v>
      </c>
      <c r="HZ47" s="504">
        <v>0</v>
      </c>
      <c r="IA47" s="504">
        <v>0</v>
      </c>
      <c r="IB47" s="504">
        <v>0</v>
      </c>
      <c r="IC47" s="504">
        <v>0</v>
      </c>
      <c r="ID47" s="504">
        <v>0</v>
      </c>
      <c r="IE47" s="504">
        <v>0</v>
      </c>
      <c r="IF47" s="504">
        <v>0</v>
      </c>
      <c r="IG47" s="504">
        <v>0</v>
      </c>
      <c r="IH47" s="504">
        <v>0</v>
      </c>
      <c r="II47" s="504">
        <v>0</v>
      </c>
      <c r="IJ47" s="504">
        <v>0</v>
      </c>
      <c r="IK47" s="504">
        <v>0</v>
      </c>
      <c r="IL47" s="504">
        <v>0</v>
      </c>
      <c r="IM47" s="504">
        <v>0</v>
      </c>
      <c r="IN47" s="504">
        <v>0</v>
      </c>
      <c r="IO47" s="504">
        <v>0</v>
      </c>
      <c r="IP47" s="504">
        <v>0</v>
      </c>
      <c r="IQ47" s="504">
        <v>0</v>
      </c>
      <c r="IR47" s="504">
        <v>0</v>
      </c>
      <c r="IS47" s="504">
        <v>0</v>
      </c>
      <c r="IT47" s="504">
        <v>0</v>
      </c>
      <c r="IU47" s="504">
        <v>0</v>
      </c>
      <c r="IV47" s="504">
        <v>0</v>
      </c>
      <c r="IW47" s="504">
        <v>0</v>
      </c>
      <c r="IX47" s="504">
        <v>0</v>
      </c>
      <c r="IY47" s="504">
        <v>0</v>
      </c>
      <c r="IZ47" s="504">
        <v>0</v>
      </c>
      <c r="JA47" s="504">
        <v>0</v>
      </c>
      <c r="JB47" s="504">
        <v>0</v>
      </c>
      <c r="JC47" s="504">
        <v>0</v>
      </c>
      <c r="JD47" s="504">
        <v>0</v>
      </c>
      <c r="JE47" s="504">
        <v>0</v>
      </c>
      <c r="JF47" s="504">
        <v>0</v>
      </c>
      <c r="JG47" s="504">
        <v>0</v>
      </c>
      <c r="JH47" s="504">
        <v>0</v>
      </c>
      <c r="JI47" s="504">
        <v>0</v>
      </c>
      <c r="JJ47" s="504">
        <v>0</v>
      </c>
      <c r="JK47" s="504">
        <v>0</v>
      </c>
      <c r="JL47" s="504">
        <v>0</v>
      </c>
      <c r="JM47" s="504">
        <v>0</v>
      </c>
      <c r="JN47" s="504">
        <v>0</v>
      </c>
      <c r="JO47" s="504">
        <v>0</v>
      </c>
      <c r="JP47" s="504">
        <v>0</v>
      </c>
      <c r="JQ47" s="504">
        <v>0</v>
      </c>
      <c r="JR47" s="504">
        <v>0</v>
      </c>
      <c r="JS47" s="504">
        <v>0</v>
      </c>
      <c r="JT47" s="504">
        <v>0</v>
      </c>
      <c r="JU47" s="504">
        <v>0</v>
      </c>
      <c r="JV47" s="504">
        <v>0</v>
      </c>
      <c r="JW47" s="504">
        <v>0</v>
      </c>
      <c r="JX47" s="504">
        <v>0</v>
      </c>
      <c r="JY47" s="504">
        <v>0</v>
      </c>
      <c r="JZ47" s="504">
        <v>0</v>
      </c>
      <c r="KA47" s="504">
        <v>0</v>
      </c>
      <c r="KB47" s="504">
        <v>0</v>
      </c>
      <c r="KC47" s="504">
        <v>0</v>
      </c>
      <c r="KD47" s="504">
        <v>0</v>
      </c>
      <c r="KE47" s="504">
        <v>0</v>
      </c>
      <c r="KF47" s="504">
        <v>0</v>
      </c>
      <c r="KG47" s="504">
        <v>0</v>
      </c>
      <c r="KH47" s="504">
        <v>0</v>
      </c>
      <c r="KI47" s="504">
        <v>0</v>
      </c>
      <c r="KJ47" s="504">
        <v>0</v>
      </c>
      <c r="KK47" s="504">
        <v>0</v>
      </c>
      <c r="KL47" s="504">
        <v>0</v>
      </c>
      <c r="KM47" s="504">
        <v>0</v>
      </c>
      <c r="KN47" s="504">
        <v>0</v>
      </c>
      <c r="KO47" s="504">
        <v>0</v>
      </c>
      <c r="KP47" s="504">
        <v>0</v>
      </c>
      <c r="KQ47" s="504">
        <v>0</v>
      </c>
      <c r="KR47" s="504">
        <v>0</v>
      </c>
      <c r="KS47" s="504">
        <v>0</v>
      </c>
      <c r="KT47" s="504">
        <v>0</v>
      </c>
      <c r="KU47" s="504">
        <v>0</v>
      </c>
      <c r="KV47" s="504">
        <v>0</v>
      </c>
      <c r="KW47" s="504">
        <v>0</v>
      </c>
      <c r="KX47" s="504">
        <v>0</v>
      </c>
      <c r="KY47" s="504">
        <v>0</v>
      </c>
      <c r="KZ47" s="504">
        <v>0</v>
      </c>
      <c r="LA47" s="504">
        <v>0</v>
      </c>
      <c r="LB47" s="504">
        <v>0</v>
      </c>
      <c r="LC47" s="504">
        <v>0</v>
      </c>
      <c r="LD47" s="504">
        <v>0</v>
      </c>
      <c r="LE47" s="504">
        <v>0</v>
      </c>
      <c r="LF47" s="504">
        <v>0</v>
      </c>
      <c r="LG47" s="504">
        <v>0</v>
      </c>
      <c r="LH47" s="504">
        <v>0</v>
      </c>
      <c r="LI47" s="504">
        <v>0</v>
      </c>
      <c r="LJ47" s="504">
        <v>0</v>
      </c>
      <c r="LK47" s="504">
        <v>0</v>
      </c>
      <c r="LL47" s="504">
        <v>0</v>
      </c>
      <c r="LM47" s="504">
        <v>0</v>
      </c>
      <c r="LN47" s="504">
        <v>0</v>
      </c>
      <c r="LO47" s="504">
        <v>0</v>
      </c>
      <c r="LP47" s="504">
        <v>0</v>
      </c>
      <c r="LQ47" s="504">
        <v>0</v>
      </c>
      <c r="LR47" s="504">
        <v>0</v>
      </c>
      <c r="LS47" s="504">
        <v>0</v>
      </c>
      <c r="LT47" s="504">
        <v>0</v>
      </c>
      <c r="LU47" s="504">
        <v>0</v>
      </c>
      <c r="LV47" s="504">
        <v>0</v>
      </c>
      <c r="LW47" s="504">
        <v>0</v>
      </c>
      <c r="LX47" s="504">
        <v>0</v>
      </c>
      <c r="LY47" s="504">
        <v>0</v>
      </c>
      <c r="LZ47" s="504">
        <v>0</v>
      </c>
      <c r="MA47" s="504">
        <v>0</v>
      </c>
      <c r="MB47" s="504">
        <v>0</v>
      </c>
      <c r="MC47" s="504">
        <v>0</v>
      </c>
      <c r="MD47" s="504">
        <v>0</v>
      </c>
      <c r="ME47" s="504">
        <v>0</v>
      </c>
      <c r="MF47" s="504">
        <v>0</v>
      </c>
      <c r="MG47" s="504">
        <v>0</v>
      </c>
      <c r="MH47" s="504">
        <v>0</v>
      </c>
      <c r="MI47" s="504">
        <v>0</v>
      </c>
      <c r="MJ47" s="504">
        <v>0</v>
      </c>
      <c r="MK47" s="504">
        <v>0</v>
      </c>
      <c r="ML47" s="504">
        <v>0</v>
      </c>
      <c r="MM47" s="504">
        <v>0</v>
      </c>
      <c r="MN47" s="504">
        <v>0</v>
      </c>
      <c r="MO47" s="504">
        <v>0</v>
      </c>
      <c r="MP47" s="504">
        <v>0</v>
      </c>
      <c r="MQ47" s="504">
        <v>0</v>
      </c>
      <c r="MR47" s="504">
        <v>0</v>
      </c>
      <c r="MS47" s="504">
        <v>0</v>
      </c>
      <c r="MT47" s="504">
        <v>0</v>
      </c>
      <c r="MU47" s="504">
        <v>0</v>
      </c>
      <c r="MV47" s="504">
        <v>0</v>
      </c>
      <c r="MW47" s="504">
        <v>0</v>
      </c>
      <c r="MX47" s="504">
        <v>0</v>
      </c>
      <c r="MY47" s="504">
        <v>0</v>
      </c>
      <c r="MZ47" s="504">
        <v>0</v>
      </c>
      <c r="NA47" s="504">
        <v>0</v>
      </c>
      <c r="NB47" s="504">
        <v>0</v>
      </c>
      <c r="NC47" s="504">
        <v>0</v>
      </c>
      <c r="ND47" s="504">
        <v>0</v>
      </c>
      <c r="NE47" s="504">
        <v>0</v>
      </c>
      <c r="NF47" s="504">
        <v>0</v>
      </c>
      <c r="NG47" s="504">
        <v>0</v>
      </c>
      <c r="NH47" s="504">
        <v>0</v>
      </c>
      <c r="NI47" s="504">
        <v>0</v>
      </c>
      <c r="NJ47" s="504">
        <v>0</v>
      </c>
      <c r="NK47" s="504">
        <v>0</v>
      </c>
      <c r="NL47" s="504">
        <v>0</v>
      </c>
      <c r="NM47" s="504">
        <v>0</v>
      </c>
      <c r="NN47" s="504">
        <v>0</v>
      </c>
      <c r="NO47" s="504">
        <v>0</v>
      </c>
      <c r="NP47" s="504">
        <v>0</v>
      </c>
      <c r="NQ47" s="504">
        <v>0</v>
      </c>
      <c r="NR47" s="504">
        <v>0</v>
      </c>
      <c r="NS47" s="504">
        <v>0</v>
      </c>
      <c r="NT47" s="504">
        <v>0</v>
      </c>
      <c r="NU47" s="504">
        <v>0</v>
      </c>
      <c r="NV47" s="504">
        <v>0</v>
      </c>
      <c r="NW47" s="504">
        <v>0</v>
      </c>
      <c r="NX47" s="504">
        <v>0</v>
      </c>
      <c r="NY47" s="504">
        <v>0</v>
      </c>
      <c r="NZ47" s="504">
        <v>0</v>
      </c>
      <c r="OA47" s="504">
        <v>0</v>
      </c>
      <c r="OB47" s="504">
        <v>0</v>
      </c>
      <c r="OC47" s="504">
        <v>0</v>
      </c>
      <c r="OD47" s="504">
        <v>0</v>
      </c>
      <c r="OE47" s="504">
        <v>0</v>
      </c>
      <c r="OF47" s="504">
        <v>0</v>
      </c>
      <c r="OG47" s="504">
        <v>0</v>
      </c>
      <c r="OH47" s="504">
        <v>0</v>
      </c>
      <c r="OI47" s="504">
        <v>0</v>
      </c>
      <c r="OJ47" s="504">
        <v>0</v>
      </c>
      <c r="OK47" s="504">
        <v>0</v>
      </c>
      <c r="OL47" s="504">
        <v>0</v>
      </c>
      <c r="OM47" s="504">
        <v>0</v>
      </c>
      <c r="ON47" s="494"/>
    </row>
    <row r="48" spans="1:404" ht="18.75" customHeight="1" x14ac:dyDescent="0.4">
      <c r="A48" s="355" t="s">
        <v>324</v>
      </c>
      <c r="B48" s="358">
        <v>192</v>
      </c>
      <c r="C48" s="355" t="s">
        <v>60</v>
      </c>
      <c r="D48" s="501">
        <v>30.19</v>
      </c>
      <c r="E48" s="502">
        <v>244375</v>
      </c>
      <c r="F48" s="501">
        <v>30.18</v>
      </c>
      <c r="G48" s="502">
        <v>54065</v>
      </c>
      <c r="H48" s="501">
        <v>30.18</v>
      </c>
      <c r="I48" s="502">
        <v>149248</v>
      </c>
      <c r="J48" s="501">
        <v>30.18</v>
      </c>
      <c r="K48" s="502">
        <v>159678</v>
      </c>
      <c r="V48" s="501"/>
      <c r="W48" s="503"/>
      <c r="X48" s="501"/>
      <c r="Y48" s="503"/>
      <c r="Z48" s="501"/>
      <c r="AA48" s="503"/>
      <c r="AB48" s="495"/>
      <c r="AC48" s="504">
        <v>0</v>
      </c>
      <c r="AD48" s="504">
        <v>0</v>
      </c>
      <c r="AE48" s="504">
        <v>0</v>
      </c>
      <c r="AF48" s="504">
        <v>0</v>
      </c>
      <c r="AG48" s="504">
        <v>0</v>
      </c>
      <c r="AH48" s="504">
        <v>0</v>
      </c>
      <c r="AI48" s="504">
        <v>0</v>
      </c>
      <c r="AJ48" s="504">
        <v>0</v>
      </c>
      <c r="AK48" s="504">
        <v>0</v>
      </c>
      <c r="AL48" s="504">
        <v>0</v>
      </c>
      <c r="AM48" s="504">
        <v>0</v>
      </c>
      <c r="AN48" s="504">
        <v>0</v>
      </c>
      <c r="AO48" s="504">
        <v>0</v>
      </c>
      <c r="AP48" s="504">
        <v>0</v>
      </c>
      <c r="AQ48" s="504">
        <v>0</v>
      </c>
      <c r="AR48" s="504">
        <v>0</v>
      </c>
      <c r="AS48" s="504">
        <v>0</v>
      </c>
      <c r="AT48" s="504">
        <v>0</v>
      </c>
      <c r="AU48" s="504">
        <v>0</v>
      </c>
      <c r="AV48" s="504">
        <v>0</v>
      </c>
      <c r="AW48" s="504">
        <v>0</v>
      </c>
      <c r="AX48" s="504">
        <v>0</v>
      </c>
      <c r="AY48" s="504">
        <v>0</v>
      </c>
      <c r="AZ48" s="504">
        <v>0</v>
      </c>
      <c r="BA48" s="504">
        <v>0</v>
      </c>
      <c r="BB48" s="504">
        <v>0</v>
      </c>
      <c r="BC48" s="504">
        <v>0</v>
      </c>
      <c r="BD48" s="504">
        <v>0</v>
      </c>
      <c r="BE48" s="504">
        <v>0</v>
      </c>
      <c r="BF48" s="504">
        <v>0</v>
      </c>
      <c r="BG48" s="504">
        <v>0</v>
      </c>
      <c r="BH48" s="504">
        <v>0</v>
      </c>
      <c r="BI48" s="504">
        <v>0</v>
      </c>
      <c r="BJ48" s="504">
        <v>0</v>
      </c>
      <c r="BK48" s="504">
        <v>0</v>
      </c>
      <c r="BL48" s="504">
        <v>0</v>
      </c>
      <c r="BM48" s="504">
        <v>0</v>
      </c>
      <c r="BN48" s="504">
        <v>0</v>
      </c>
      <c r="BO48" s="504">
        <v>0</v>
      </c>
      <c r="BP48" s="504">
        <v>0</v>
      </c>
      <c r="BQ48" s="504">
        <v>0</v>
      </c>
      <c r="BR48" s="504">
        <v>0</v>
      </c>
      <c r="BS48" s="504">
        <v>0</v>
      </c>
      <c r="BT48" s="504">
        <v>0</v>
      </c>
      <c r="BU48" s="504">
        <v>0</v>
      </c>
      <c r="BV48" s="504">
        <v>0</v>
      </c>
      <c r="BW48" s="504">
        <v>0</v>
      </c>
      <c r="BX48" s="504">
        <v>0</v>
      </c>
      <c r="BY48" s="504">
        <v>0</v>
      </c>
      <c r="BZ48" s="504">
        <v>0</v>
      </c>
      <c r="CA48" s="504">
        <v>0</v>
      </c>
      <c r="CB48" s="504">
        <v>0</v>
      </c>
      <c r="CC48" s="504">
        <v>0</v>
      </c>
      <c r="CD48" s="504">
        <v>0</v>
      </c>
      <c r="CE48" s="504">
        <v>0</v>
      </c>
      <c r="CF48" s="504">
        <v>0</v>
      </c>
      <c r="CG48" s="504">
        <v>0</v>
      </c>
      <c r="CH48" s="504">
        <v>0</v>
      </c>
      <c r="CI48" s="504">
        <v>0</v>
      </c>
      <c r="CJ48" s="504">
        <v>0</v>
      </c>
      <c r="CK48" s="504">
        <v>0</v>
      </c>
      <c r="CL48" s="504">
        <v>0</v>
      </c>
      <c r="CM48" s="504">
        <v>0</v>
      </c>
      <c r="CN48" s="504">
        <v>0</v>
      </c>
      <c r="CO48" s="504">
        <v>0</v>
      </c>
      <c r="CP48" s="504">
        <v>0</v>
      </c>
      <c r="CQ48" s="504">
        <v>0</v>
      </c>
      <c r="CR48" s="504">
        <v>0</v>
      </c>
      <c r="CS48" s="504">
        <v>0</v>
      </c>
      <c r="CT48" s="504">
        <v>0</v>
      </c>
      <c r="CU48" s="504">
        <v>0</v>
      </c>
      <c r="CV48" s="504">
        <v>0</v>
      </c>
      <c r="CW48" s="504">
        <v>0</v>
      </c>
      <c r="CX48" s="504">
        <v>0</v>
      </c>
      <c r="CY48" s="504">
        <v>0</v>
      </c>
      <c r="CZ48" s="504">
        <v>0</v>
      </c>
      <c r="DA48" s="504">
        <v>0</v>
      </c>
      <c r="DB48" s="504">
        <v>0</v>
      </c>
      <c r="DC48" s="504">
        <v>0</v>
      </c>
      <c r="DD48" s="504">
        <v>0</v>
      </c>
      <c r="DE48" s="504">
        <v>0</v>
      </c>
      <c r="DF48" s="504">
        <v>0</v>
      </c>
      <c r="DG48" s="504">
        <v>0</v>
      </c>
      <c r="DH48" s="504">
        <v>0</v>
      </c>
      <c r="DI48" s="504">
        <v>0</v>
      </c>
      <c r="DJ48" s="504">
        <v>0</v>
      </c>
      <c r="DK48" s="504">
        <v>0</v>
      </c>
      <c r="DL48" s="504">
        <v>0</v>
      </c>
      <c r="DM48" s="504">
        <v>0</v>
      </c>
      <c r="DN48" s="504">
        <v>0</v>
      </c>
      <c r="DO48" s="504">
        <v>0</v>
      </c>
      <c r="DP48" s="504">
        <v>0</v>
      </c>
      <c r="DQ48" s="504">
        <v>0</v>
      </c>
      <c r="DR48" s="504">
        <v>0</v>
      </c>
      <c r="DS48" s="504">
        <v>0</v>
      </c>
      <c r="DT48" s="504">
        <v>0</v>
      </c>
      <c r="DU48" s="504">
        <v>0</v>
      </c>
      <c r="DV48" s="504">
        <v>0</v>
      </c>
      <c r="DW48" s="504">
        <v>0</v>
      </c>
      <c r="DX48" s="504">
        <v>0</v>
      </c>
      <c r="DY48" s="504">
        <v>0</v>
      </c>
      <c r="DZ48" s="504">
        <v>0</v>
      </c>
      <c r="EA48" s="504">
        <v>0</v>
      </c>
      <c r="EB48" s="504">
        <v>0</v>
      </c>
      <c r="EC48" s="504">
        <v>0</v>
      </c>
      <c r="ED48" s="504">
        <v>0</v>
      </c>
      <c r="EE48" s="504">
        <v>0</v>
      </c>
      <c r="EF48" s="504">
        <v>0</v>
      </c>
      <c r="EG48" s="504">
        <v>0</v>
      </c>
      <c r="EH48" s="504">
        <v>0</v>
      </c>
      <c r="EI48" s="504">
        <v>0</v>
      </c>
      <c r="EJ48" s="504">
        <v>0</v>
      </c>
      <c r="EK48" s="504">
        <v>0</v>
      </c>
      <c r="EL48" s="504">
        <v>0</v>
      </c>
      <c r="EM48" s="504">
        <v>0</v>
      </c>
      <c r="EN48" s="504">
        <v>0</v>
      </c>
      <c r="EO48" s="504">
        <v>0</v>
      </c>
      <c r="EP48" s="504">
        <v>0</v>
      </c>
      <c r="EQ48" s="504">
        <v>0</v>
      </c>
      <c r="ER48" s="504">
        <v>0</v>
      </c>
      <c r="ES48" s="504">
        <v>0</v>
      </c>
      <c r="ET48" s="504">
        <v>0</v>
      </c>
      <c r="EU48" s="504">
        <v>0</v>
      </c>
      <c r="EV48" s="504">
        <v>0</v>
      </c>
      <c r="EW48" s="504">
        <v>0</v>
      </c>
      <c r="EX48" s="504">
        <v>0</v>
      </c>
      <c r="EY48" s="504">
        <v>0</v>
      </c>
      <c r="EZ48" s="504">
        <v>0</v>
      </c>
      <c r="FA48" s="504">
        <v>0</v>
      </c>
      <c r="FB48" s="504">
        <v>0</v>
      </c>
      <c r="FC48" s="504">
        <v>0</v>
      </c>
      <c r="FD48" s="504">
        <v>0</v>
      </c>
      <c r="FE48" s="504">
        <v>0</v>
      </c>
      <c r="FF48" s="504">
        <v>0</v>
      </c>
      <c r="FG48" s="504">
        <v>0</v>
      </c>
      <c r="FH48" s="504">
        <v>0</v>
      </c>
      <c r="FI48" s="504">
        <v>0</v>
      </c>
      <c r="FJ48" s="504">
        <v>0</v>
      </c>
      <c r="FK48" s="504">
        <v>0</v>
      </c>
      <c r="FL48" s="504">
        <v>0</v>
      </c>
      <c r="FM48" s="504">
        <v>0</v>
      </c>
      <c r="FN48" s="504">
        <v>0</v>
      </c>
      <c r="FO48" s="504">
        <v>0</v>
      </c>
      <c r="FP48" s="504">
        <v>0</v>
      </c>
      <c r="FQ48" s="504">
        <v>0</v>
      </c>
      <c r="FR48" s="504">
        <v>0</v>
      </c>
      <c r="FS48" s="504">
        <v>0</v>
      </c>
      <c r="FT48" s="504">
        <v>0</v>
      </c>
      <c r="FU48" s="504">
        <v>0</v>
      </c>
      <c r="FV48" s="504">
        <v>0</v>
      </c>
      <c r="FW48" s="504">
        <v>0</v>
      </c>
      <c r="FX48" s="504">
        <v>0</v>
      </c>
      <c r="FY48" s="504">
        <v>0</v>
      </c>
      <c r="FZ48" s="504">
        <v>0</v>
      </c>
      <c r="GA48" s="504">
        <v>0</v>
      </c>
      <c r="GB48" s="504">
        <v>0</v>
      </c>
      <c r="GC48" s="504">
        <v>0</v>
      </c>
      <c r="GD48" s="504">
        <v>0</v>
      </c>
      <c r="GE48" s="504">
        <v>0</v>
      </c>
      <c r="GF48" s="504">
        <v>0</v>
      </c>
      <c r="GG48" s="504">
        <v>0</v>
      </c>
      <c r="GH48" s="504">
        <v>0</v>
      </c>
      <c r="GI48" s="504">
        <v>0</v>
      </c>
      <c r="GJ48" s="504">
        <v>0</v>
      </c>
      <c r="GK48" s="504">
        <v>0</v>
      </c>
      <c r="GL48" s="504">
        <v>0</v>
      </c>
      <c r="GM48" s="504">
        <v>0</v>
      </c>
      <c r="GN48" s="504">
        <v>0</v>
      </c>
      <c r="GO48" s="504">
        <v>0</v>
      </c>
      <c r="GP48" s="504">
        <v>0</v>
      </c>
      <c r="GQ48" s="504">
        <v>0</v>
      </c>
      <c r="GR48" s="504">
        <v>0</v>
      </c>
      <c r="GS48" s="504">
        <v>0</v>
      </c>
      <c r="GT48" s="504">
        <v>0</v>
      </c>
      <c r="GU48" s="504">
        <v>0</v>
      </c>
      <c r="GV48" s="504">
        <v>0</v>
      </c>
      <c r="GW48" s="504">
        <v>0</v>
      </c>
      <c r="GX48" s="504">
        <v>0</v>
      </c>
      <c r="GY48" s="504">
        <v>0</v>
      </c>
      <c r="GZ48" s="504">
        <v>0</v>
      </c>
      <c r="HA48" s="504">
        <v>0</v>
      </c>
      <c r="HB48" s="504">
        <v>0</v>
      </c>
      <c r="HC48" s="504">
        <v>0</v>
      </c>
      <c r="HD48" s="504">
        <v>0</v>
      </c>
      <c r="HE48" s="504">
        <v>0</v>
      </c>
      <c r="HF48" s="504">
        <v>0</v>
      </c>
      <c r="HG48" s="504">
        <v>0</v>
      </c>
      <c r="HH48" s="504">
        <v>0</v>
      </c>
      <c r="HI48" s="504">
        <v>0</v>
      </c>
      <c r="HJ48" s="504">
        <v>0</v>
      </c>
      <c r="HK48" s="504">
        <v>0</v>
      </c>
      <c r="HL48" s="504">
        <v>0</v>
      </c>
      <c r="HM48" s="504">
        <v>0</v>
      </c>
      <c r="HN48" s="504">
        <v>0</v>
      </c>
      <c r="HO48" s="504">
        <v>0</v>
      </c>
      <c r="HP48" s="504">
        <v>0</v>
      </c>
      <c r="HQ48" s="504">
        <v>0</v>
      </c>
      <c r="HR48" s="504">
        <v>0</v>
      </c>
      <c r="HS48" s="504">
        <v>0</v>
      </c>
      <c r="HT48" s="504">
        <v>0</v>
      </c>
      <c r="HU48" s="504">
        <v>0</v>
      </c>
      <c r="HV48" s="504">
        <v>0</v>
      </c>
      <c r="HW48" s="504">
        <v>0</v>
      </c>
      <c r="HX48" s="504">
        <v>0</v>
      </c>
      <c r="HY48" s="504">
        <v>0</v>
      </c>
      <c r="HZ48" s="504">
        <v>0</v>
      </c>
      <c r="IA48" s="504">
        <v>0</v>
      </c>
      <c r="IB48" s="504">
        <v>0</v>
      </c>
      <c r="IC48" s="504">
        <v>0</v>
      </c>
      <c r="ID48" s="504">
        <v>0</v>
      </c>
      <c r="IE48" s="504">
        <v>0</v>
      </c>
      <c r="IF48" s="504">
        <v>0</v>
      </c>
      <c r="IG48" s="504">
        <v>0</v>
      </c>
      <c r="IH48" s="504">
        <v>0</v>
      </c>
      <c r="II48" s="504">
        <v>0</v>
      </c>
      <c r="IJ48" s="504">
        <v>0</v>
      </c>
      <c r="IK48" s="504">
        <v>0</v>
      </c>
      <c r="IL48" s="504">
        <v>0</v>
      </c>
      <c r="IM48" s="504">
        <v>0</v>
      </c>
      <c r="IN48" s="504">
        <v>0</v>
      </c>
      <c r="IO48" s="504">
        <v>0</v>
      </c>
      <c r="IP48" s="504">
        <v>0</v>
      </c>
      <c r="IQ48" s="504">
        <v>0</v>
      </c>
      <c r="IR48" s="504">
        <v>0</v>
      </c>
      <c r="IS48" s="504">
        <v>0</v>
      </c>
      <c r="IT48" s="504">
        <v>0</v>
      </c>
      <c r="IU48" s="504">
        <v>0</v>
      </c>
      <c r="IV48" s="504">
        <v>0</v>
      </c>
      <c r="IW48" s="504">
        <v>0</v>
      </c>
      <c r="IX48" s="504">
        <v>0</v>
      </c>
      <c r="IY48" s="504">
        <v>0</v>
      </c>
      <c r="IZ48" s="504">
        <v>0</v>
      </c>
      <c r="JA48" s="504">
        <v>0</v>
      </c>
      <c r="JB48" s="504">
        <v>0</v>
      </c>
      <c r="JC48" s="504">
        <v>0</v>
      </c>
      <c r="JD48" s="504">
        <v>0</v>
      </c>
      <c r="JE48" s="504">
        <v>0</v>
      </c>
      <c r="JF48" s="504">
        <v>0</v>
      </c>
      <c r="JG48" s="504">
        <v>0</v>
      </c>
      <c r="JH48" s="504">
        <v>0</v>
      </c>
      <c r="JI48" s="504">
        <v>0</v>
      </c>
      <c r="JJ48" s="504">
        <v>0</v>
      </c>
      <c r="JK48" s="504">
        <v>0</v>
      </c>
      <c r="JL48" s="504">
        <v>0</v>
      </c>
      <c r="JM48" s="504">
        <v>0</v>
      </c>
      <c r="JN48" s="504">
        <v>0</v>
      </c>
      <c r="JO48" s="504">
        <v>0</v>
      </c>
      <c r="JP48" s="504">
        <v>0</v>
      </c>
      <c r="JQ48" s="504">
        <v>0</v>
      </c>
      <c r="JR48" s="504">
        <v>0</v>
      </c>
      <c r="JS48" s="504">
        <v>0</v>
      </c>
      <c r="JT48" s="504">
        <v>0</v>
      </c>
      <c r="JU48" s="504">
        <v>0</v>
      </c>
      <c r="JV48" s="504">
        <v>0</v>
      </c>
      <c r="JW48" s="504">
        <v>0</v>
      </c>
      <c r="JX48" s="504">
        <v>0</v>
      </c>
      <c r="JY48" s="504">
        <v>0</v>
      </c>
      <c r="JZ48" s="504">
        <v>0</v>
      </c>
      <c r="KA48" s="504">
        <v>0</v>
      </c>
      <c r="KB48" s="504">
        <v>0</v>
      </c>
      <c r="KC48" s="504">
        <v>0</v>
      </c>
      <c r="KD48" s="504">
        <v>0</v>
      </c>
      <c r="KE48" s="504">
        <v>0</v>
      </c>
      <c r="KF48" s="504">
        <v>0</v>
      </c>
      <c r="KG48" s="504">
        <v>0</v>
      </c>
      <c r="KH48" s="504">
        <v>0</v>
      </c>
      <c r="KI48" s="504">
        <v>0</v>
      </c>
      <c r="KJ48" s="504">
        <v>0</v>
      </c>
      <c r="KK48" s="504">
        <v>0</v>
      </c>
      <c r="KL48" s="504">
        <v>0</v>
      </c>
      <c r="KM48" s="504">
        <v>0</v>
      </c>
      <c r="KN48" s="504">
        <v>0</v>
      </c>
      <c r="KO48" s="504">
        <v>0</v>
      </c>
      <c r="KP48" s="504">
        <v>0</v>
      </c>
      <c r="KQ48" s="504">
        <v>0</v>
      </c>
      <c r="KR48" s="504">
        <v>0</v>
      </c>
      <c r="KS48" s="504">
        <v>0</v>
      </c>
      <c r="KT48" s="504">
        <v>0</v>
      </c>
      <c r="KU48" s="504">
        <v>0</v>
      </c>
      <c r="KV48" s="504">
        <v>0</v>
      </c>
      <c r="KW48" s="504">
        <v>0</v>
      </c>
      <c r="KX48" s="504">
        <v>0</v>
      </c>
      <c r="KY48" s="504">
        <v>0</v>
      </c>
      <c r="KZ48" s="504">
        <v>0</v>
      </c>
      <c r="LA48" s="504">
        <v>0</v>
      </c>
      <c r="LB48" s="504">
        <v>0</v>
      </c>
      <c r="LC48" s="504">
        <v>0</v>
      </c>
      <c r="LD48" s="504">
        <v>0</v>
      </c>
      <c r="LE48" s="504">
        <v>0</v>
      </c>
      <c r="LF48" s="504">
        <v>0</v>
      </c>
      <c r="LG48" s="504">
        <v>0</v>
      </c>
      <c r="LH48" s="504">
        <v>0</v>
      </c>
      <c r="LI48" s="504">
        <v>0</v>
      </c>
      <c r="LJ48" s="504">
        <v>0</v>
      </c>
      <c r="LK48" s="504">
        <v>0</v>
      </c>
      <c r="LL48" s="504">
        <v>0</v>
      </c>
      <c r="LM48" s="504">
        <v>0</v>
      </c>
      <c r="LN48" s="504">
        <v>0</v>
      </c>
      <c r="LO48" s="504">
        <v>0</v>
      </c>
      <c r="LP48" s="504">
        <v>0</v>
      </c>
      <c r="LQ48" s="504">
        <v>0</v>
      </c>
      <c r="LR48" s="504">
        <v>0</v>
      </c>
      <c r="LS48" s="504">
        <v>0</v>
      </c>
      <c r="LT48" s="504">
        <v>0</v>
      </c>
      <c r="LU48" s="504">
        <v>0</v>
      </c>
      <c r="LV48" s="504">
        <v>0</v>
      </c>
      <c r="LW48" s="504">
        <v>0</v>
      </c>
      <c r="LX48" s="504">
        <v>0</v>
      </c>
      <c r="LY48" s="504">
        <v>0</v>
      </c>
      <c r="LZ48" s="504">
        <v>0</v>
      </c>
      <c r="MA48" s="504">
        <v>0</v>
      </c>
      <c r="MB48" s="504">
        <v>0</v>
      </c>
      <c r="MC48" s="504">
        <v>0</v>
      </c>
      <c r="MD48" s="504">
        <v>0</v>
      </c>
      <c r="ME48" s="504">
        <v>0</v>
      </c>
      <c r="MF48" s="504">
        <v>0</v>
      </c>
      <c r="MG48" s="504">
        <v>0</v>
      </c>
      <c r="MH48" s="504">
        <v>0</v>
      </c>
      <c r="MI48" s="504">
        <v>0</v>
      </c>
      <c r="MJ48" s="504">
        <v>0</v>
      </c>
      <c r="MK48" s="504">
        <v>0</v>
      </c>
      <c r="ML48" s="504">
        <v>0</v>
      </c>
      <c r="MM48" s="504">
        <v>0</v>
      </c>
      <c r="MN48" s="504">
        <v>0</v>
      </c>
      <c r="MO48" s="504">
        <v>0</v>
      </c>
      <c r="MP48" s="504">
        <v>0</v>
      </c>
      <c r="MQ48" s="504">
        <v>0</v>
      </c>
      <c r="MR48" s="504">
        <v>0</v>
      </c>
      <c r="MS48" s="504">
        <v>0</v>
      </c>
      <c r="MT48" s="504">
        <v>0</v>
      </c>
      <c r="MU48" s="504">
        <v>0</v>
      </c>
      <c r="MV48" s="504">
        <v>0</v>
      </c>
      <c r="MW48" s="504">
        <v>0</v>
      </c>
      <c r="MX48" s="504">
        <v>0</v>
      </c>
      <c r="MY48" s="504">
        <v>0</v>
      </c>
      <c r="MZ48" s="504">
        <v>0</v>
      </c>
      <c r="NA48" s="504">
        <v>0</v>
      </c>
      <c r="NB48" s="504">
        <v>0</v>
      </c>
      <c r="NC48" s="504">
        <v>0</v>
      </c>
      <c r="ND48" s="504">
        <v>0</v>
      </c>
      <c r="NE48" s="504">
        <v>0</v>
      </c>
      <c r="NF48" s="504">
        <v>0</v>
      </c>
      <c r="NG48" s="504">
        <v>0</v>
      </c>
      <c r="NH48" s="504">
        <v>0</v>
      </c>
      <c r="NI48" s="504">
        <v>0</v>
      </c>
      <c r="NJ48" s="504">
        <v>0</v>
      </c>
      <c r="NK48" s="504">
        <v>0</v>
      </c>
      <c r="NL48" s="504">
        <v>0</v>
      </c>
      <c r="NM48" s="504">
        <v>0</v>
      </c>
      <c r="NN48" s="504">
        <v>0</v>
      </c>
      <c r="NO48" s="504">
        <v>0</v>
      </c>
      <c r="NP48" s="504">
        <v>0</v>
      </c>
      <c r="NQ48" s="504">
        <v>0</v>
      </c>
      <c r="NR48" s="504">
        <v>0</v>
      </c>
      <c r="NS48" s="504">
        <v>0</v>
      </c>
      <c r="NT48" s="504">
        <v>0</v>
      </c>
      <c r="NU48" s="504">
        <v>0</v>
      </c>
      <c r="NV48" s="504">
        <v>0</v>
      </c>
      <c r="NW48" s="504">
        <v>0</v>
      </c>
      <c r="NX48" s="504">
        <v>0</v>
      </c>
      <c r="NY48" s="504">
        <v>0</v>
      </c>
      <c r="NZ48" s="504">
        <v>0</v>
      </c>
      <c r="OA48" s="504">
        <v>0</v>
      </c>
      <c r="OB48" s="504">
        <v>0</v>
      </c>
      <c r="OC48" s="504">
        <v>0</v>
      </c>
      <c r="OD48" s="504">
        <v>0</v>
      </c>
      <c r="OE48" s="504">
        <v>0</v>
      </c>
      <c r="OF48" s="504">
        <v>0</v>
      </c>
      <c r="OG48" s="504">
        <v>0</v>
      </c>
      <c r="OH48" s="504">
        <v>0</v>
      </c>
      <c r="OI48" s="504">
        <v>0</v>
      </c>
      <c r="OJ48" s="504">
        <v>0</v>
      </c>
      <c r="OK48" s="504">
        <v>0</v>
      </c>
      <c r="OL48" s="504">
        <v>0</v>
      </c>
      <c r="OM48" s="504">
        <v>0</v>
      </c>
      <c r="ON48" s="494"/>
    </row>
    <row r="49" spans="1:404" ht="18.75" customHeight="1" x14ac:dyDescent="0.4">
      <c r="A49" s="355" t="s">
        <v>325</v>
      </c>
      <c r="B49" s="358">
        <v>74</v>
      </c>
      <c r="C49" s="355" t="s">
        <v>60</v>
      </c>
      <c r="D49" s="501">
        <v>30.62</v>
      </c>
      <c r="F49" s="501">
        <v>30.6</v>
      </c>
      <c r="H49" s="501">
        <v>30.61</v>
      </c>
      <c r="J49" s="501">
        <v>30.6</v>
      </c>
      <c r="V49" s="501"/>
      <c r="W49" s="503"/>
      <c r="X49" s="501"/>
      <c r="Y49" s="503"/>
      <c r="Z49" s="501"/>
      <c r="AA49" s="503"/>
      <c r="AB49" s="495"/>
      <c r="AC49" s="504">
        <v>0</v>
      </c>
      <c r="AD49" s="504">
        <v>0</v>
      </c>
      <c r="AE49" s="504">
        <v>0</v>
      </c>
      <c r="AF49" s="504">
        <v>0</v>
      </c>
      <c r="AG49" s="504">
        <v>0</v>
      </c>
      <c r="AH49" s="504">
        <v>0</v>
      </c>
      <c r="AI49" s="504">
        <v>0</v>
      </c>
      <c r="AJ49" s="504">
        <v>0</v>
      </c>
      <c r="AK49" s="504">
        <v>0</v>
      </c>
      <c r="AL49" s="504">
        <v>0</v>
      </c>
      <c r="AM49" s="504">
        <v>0</v>
      </c>
      <c r="AN49" s="504">
        <v>0</v>
      </c>
      <c r="AO49" s="504">
        <v>0</v>
      </c>
      <c r="AP49" s="504">
        <v>0</v>
      </c>
      <c r="AQ49" s="504">
        <v>0</v>
      </c>
      <c r="AR49" s="504">
        <v>0</v>
      </c>
      <c r="AS49" s="504">
        <v>0</v>
      </c>
      <c r="AT49" s="504">
        <v>0</v>
      </c>
      <c r="AU49" s="504">
        <v>0</v>
      </c>
      <c r="AV49" s="504">
        <v>0</v>
      </c>
      <c r="AW49" s="504">
        <v>0</v>
      </c>
      <c r="AX49" s="504">
        <v>0</v>
      </c>
      <c r="AY49" s="504">
        <v>0</v>
      </c>
      <c r="AZ49" s="504">
        <v>0</v>
      </c>
      <c r="BA49" s="504">
        <v>0</v>
      </c>
      <c r="BB49" s="504">
        <v>0</v>
      </c>
      <c r="BC49" s="504">
        <v>0</v>
      </c>
      <c r="BD49" s="504">
        <v>0</v>
      </c>
      <c r="BE49" s="504">
        <v>0</v>
      </c>
      <c r="BF49" s="504">
        <v>0</v>
      </c>
      <c r="BG49" s="504">
        <v>0</v>
      </c>
      <c r="BH49" s="504">
        <v>0</v>
      </c>
      <c r="BI49" s="504">
        <v>0</v>
      </c>
      <c r="BJ49" s="504">
        <v>0</v>
      </c>
      <c r="BK49" s="504">
        <v>0</v>
      </c>
      <c r="BL49" s="504">
        <v>0</v>
      </c>
      <c r="BM49" s="504">
        <v>0</v>
      </c>
      <c r="BN49" s="504">
        <v>0</v>
      </c>
      <c r="BO49" s="504">
        <v>0</v>
      </c>
      <c r="BP49" s="504">
        <v>0</v>
      </c>
      <c r="BQ49" s="504">
        <v>0</v>
      </c>
      <c r="BR49" s="504">
        <v>0</v>
      </c>
      <c r="BS49" s="504">
        <v>0</v>
      </c>
      <c r="BT49" s="504">
        <v>0</v>
      </c>
      <c r="BU49" s="504">
        <v>0</v>
      </c>
      <c r="BV49" s="504">
        <v>0</v>
      </c>
      <c r="BW49" s="504">
        <v>0</v>
      </c>
      <c r="BX49" s="504">
        <v>0</v>
      </c>
      <c r="BY49" s="504">
        <v>0</v>
      </c>
      <c r="BZ49" s="504">
        <v>0</v>
      </c>
      <c r="CA49" s="504">
        <v>0</v>
      </c>
      <c r="CB49" s="504">
        <v>0</v>
      </c>
      <c r="CC49" s="504">
        <v>0</v>
      </c>
      <c r="CD49" s="504">
        <v>0</v>
      </c>
      <c r="CE49" s="504">
        <v>0</v>
      </c>
      <c r="CF49" s="504">
        <v>0</v>
      </c>
      <c r="CG49" s="504">
        <v>0</v>
      </c>
      <c r="CH49" s="504">
        <v>0</v>
      </c>
      <c r="CI49" s="504">
        <v>0</v>
      </c>
      <c r="CJ49" s="504">
        <v>0</v>
      </c>
      <c r="CK49" s="504">
        <v>0</v>
      </c>
      <c r="CL49" s="504">
        <v>0</v>
      </c>
      <c r="CM49" s="504">
        <v>0</v>
      </c>
      <c r="CN49" s="504">
        <v>0</v>
      </c>
      <c r="CO49" s="504">
        <v>0</v>
      </c>
      <c r="CP49" s="504">
        <v>0</v>
      </c>
      <c r="CQ49" s="504">
        <v>0</v>
      </c>
      <c r="CR49" s="504">
        <v>0</v>
      </c>
      <c r="CS49" s="504">
        <v>0</v>
      </c>
      <c r="CT49" s="504">
        <v>0</v>
      </c>
      <c r="CU49" s="504">
        <v>0</v>
      </c>
      <c r="CV49" s="504">
        <v>0</v>
      </c>
      <c r="CW49" s="504">
        <v>0</v>
      </c>
      <c r="CX49" s="504">
        <v>0</v>
      </c>
      <c r="CY49" s="504">
        <v>0</v>
      </c>
      <c r="CZ49" s="504">
        <v>0</v>
      </c>
      <c r="DA49" s="504">
        <v>0</v>
      </c>
      <c r="DB49" s="504">
        <v>0</v>
      </c>
      <c r="DC49" s="504">
        <v>0</v>
      </c>
      <c r="DD49" s="504">
        <v>0</v>
      </c>
      <c r="DE49" s="504">
        <v>0</v>
      </c>
      <c r="DF49" s="504">
        <v>0</v>
      </c>
      <c r="DG49" s="504">
        <v>0</v>
      </c>
      <c r="DH49" s="504">
        <v>0</v>
      </c>
      <c r="DI49" s="504">
        <v>0</v>
      </c>
      <c r="DJ49" s="504">
        <v>0</v>
      </c>
      <c r="DK49" s="504">
        <v>0</v>
      </c>
      <c r="DL49" s="504">
        <v>0</v>
      </c>
      <c r="DM49" s="504">
        <v>0</v>
      </c>
      <c r="DN49" s="504">
        <v>0</v>
      </c>
      <c r="DO49" s="504">
        <v>0</v>
      </c>
      <c r="DP49" s="504">
        <v>0</v>
      </c>
      <c r="DQ49" s="504">
        <v>0</v>
      </c>
      <c r="DR49" s="504">
        <v>0</v>
      </c>
      <c r="DS49" s="504">
        <v>0</v>
      </c>
      <c r="DT49" s="504">
        <v>0</v>
      </c>
      <c r="DU49" s="504">
        <v>0</v>
      </c>
      <c r="DV49" s="504">
        <v>0</v>
      </c>
      <c r="DW49" s="504">
        <v>0</v>
      </c>
      <c r="DX49" s="504">
        <v>0</v>
      </c>
      <c r="DY49" s="504">
        <v>0</v>
      </c>
      <c r="DZ49" s="504">
        <v>0</v>
      </c>
      <c r="EA49" s="504">
        <v>0</v>
      </c>
      <c r="EB49" s="504">
        <v>0</v>
      </c>
      <c r="EC49" s="504">
        <v>0</v>
      </c>
      <c r="ED49" s="504">
        <v>0</v>
      </c>
      <c r="EE49" s="504">
        <v>0</v>
      </c>
      <c r="EF49" s="504">
        <v>0</v>
      </c>
      <c r="EG49" s="504">
        <v>0</v>
      </c>
      <c r="EH49" s="504">
        <v>0</v>
      </c>
      <c r="EI49" s="504">
        <v>0</v>
      </c>
      <c r="EJ49" s="504">
        <v>0</v>
      </c>
      <c r="EK49" s="504">
        <v>0</v>
      </c>
      <c r="EL49" s="504">
        <v>0</v>
      </c>
      <c r="EM49" s="504">
        <v>0</v>
      </c>
      <c r="EN49" s="504">
        <v>0</v>
      </c>
      <c r="EO49" s="504">
        <v>0</v>
      </c>
      <c r="EP49" s="504">
        <v>0</v>
      </c>
      <c r="EQ49" s="504">
        <v>0</v>
      </c>
      <c r="ER49" s="504">
        <v>0</v>
      </c>
      <c r="ES49" s="504">
        <v>0</v>
      </c>
      <c r="ET49" s="504">
        <v>0</v>
      </c>
      <c r="EU49" s="504">
        <v>0</v>
      </c>
      <c r="EV49" s="504">
        <v>0</v>
      </c>
      <c r="EW49" s="504">
        <v>0</v>
      </c>
      <c r="EX49" s="504">
        <v>0</v>
      </c>
      <c r="EY49" s="504">
        <v>0</v>
      </c>
      <c r="EZ49" s="504">
        <v>0</v>
      </c>
      <c r="FA49" s="504">
        <v>0</v>
      </c>
      <c r="FB49" s="504">
        <v>0</v>
      </c>
      <c r="FC49" s="504">
        <v>0</v>
      </c>
      <c r="FD49" s="504">
        <v>0</v>
      </c>
      <c r="FE49" s="504">
        <v>0</v>
      </c>
      <c r="FF49" s="504">
        <v>0</v>
      </c>
      <c r="FG49" s="504">
        <v>0</v>
      </c>
      <c r="FH49" s="504">
        <v>0</v>
      </c>
      <c r="FI49" s="504">
        <v>0</v>
      </c>
      <c r="FJ49" s="504">
        <v>0</v>
      </c>
      <c r="FK49" s="504">
        <v>0</v>
      </c>
      <c r="FL49" s="504">
        <v>0</v>
      </c>
      <c r="FM49" s="504">
        <v>0</v>
      </c>
      <c r="FN49" s="504">
        <v>0</v>
      </c>
      <c r="FO49" s="504">
        <v>0</v>
      </c>
      <c r="FP49" s="504">
        <v>0</v>
      </c>
      <c r="FQ49" s="504">
        <v>0</v>
      </c>
      <c r="FR49" s="504">
        <v>0</v>
      </c>
      <c r="FS49" s="504">
        <v>0</v>
      </c>
      <c r="FT49" s="504">
        <v>0</v>
      </c>
      <c r="FU49" s="504">
        <v>0</v>
      </c>
      <c r="FV49" s="504">
        <v>0</v>
      </c>
      <c r="FW49" s="504">
        <v>0</v>
      </c>
      <c r="FX49" s="504">
        <v>0</v>
      </c>
      <c r="FY49" s="504">
        <v>0</v>
      </c>
      <c r="FZ49" s="504">
        <v>0</v>
      </c>
      <c r="GA49" s="504">
        <v>0</v>
      </c>
      <c r="GB49" s="504">
        <v>0</v>
      </c>
      <c r="GC49" s="504">
        <v>0</v>
      </c>
      <c r="GD49" s="504">
        <v>0</v>
      </c>
      <c r="GE49" s="504">
        <v>0</v>
      </c>
      <c r="GF49" s="504">
        <v>0</v>
      </c>
      <c r="GG49" s="504">
        <v>0</v>
      </c>
      <c r="GH49" s="504">
        <v>0</v>
      </c>
      <c r="GI49" s="504">
        <v>0</v>
      </c>
      <c r="GJ49" s="504">
        <v>0</v>
      </c>
      <c r="GK49" s="504">
        <v>0</v>
      </c>
      <c r="GL49" s="504">
        <v>0</v>
      </c>
      <c r="GM49" s="504">
        <v>0</v>
      </c>
      <c r="GN49" s="504">
        <v>0</v>
      </c>
      <c r="GO49" s="504">
        <v>0</v>
      </c>
      <c r="GP49" s="504">
        <v>0</v>
      </c>
      <c r="GQ49" s="504">
        <v>0</v>
      </c>
      <c r="GR49" s="504">
        <v>0</v>
      </c>
      <c r="GS49" s="504">
        <v>0</v>
      </c>
      <c r="GT49" s="504">
        <v>0</v>
      </c>
      <c r="GU49" s="504">
        <v>0</v>
      </c>
      <c r="GV49" s="504">
        <v>0</v>
      </c>
      <c r="GW49" s="504">
        <v>0</v>
      </c>
      <c r="GX49" s="504">
        <v>0</v>
      </c>
      <c r="GY49" s="504">
        <v>0</v>
      </c>
      <c r="GZ49" s="504">
        <v>0</v>
      </c>
      <c r="HA49" s="504">
        <v>0</v>
      </c>
      <c r="HB49" s="504">
        <v>0</v>
      </c>
      <c r="HC49" s="504">
        <v>0</v>
      </c>
      <c r="HD49" s="504">
        <v>0</v>
      </c>
      <c r="HE49" s="504">
        <v>0</v>
      </c>
      <c r="HF49" s="504">
        <v>0</v>
      </c>
      <c r="HG49" s="504">
        <v>0</v>
      </c>
      <c r="HH49" s="504">
        <v>0</v>
      </c>
      <c r="HI49" s="504">
        <v>0</v>
      </c>
      <c r="HJ49" s="504">
        <v>0</v>
      </c>
      <c r="HK49" s="504">
        <v>0</v>
      </c>
      <c r="HL49" s="504">
        <v>0</v>
      </c>
      <c r="HM49" s="504">
        <v>0</v>
      </c>
      <c r="HN49" s="504">
        <v>0</v>
      </c>
      <c r="HO49" s="504">
        <v>0</v>
      </c>
      <c r="HP49" s="504">
        <v>0</v>
      </c>
      <c r="HQ49" s="504">
        <v>0</v>
      </c>
      <c r="HR49" s="504">
        <v>0</v>
      </c>
      <c r="HS49" s="504">
        <v>0</v>
      </c>
      <c r="HT49" s="504">
        <v>0</v>
      </c>
      <c r="HU49" s="504">
        <v>0</v>
      </c>
      <c r="HV49" s="504">
        <v>0</v>
      </c>
      <c r="HW49" s="504">
        <v>0</v>
      </c>
      <c r="HX49" s="504">
        <v>0</v>
      </c>
      <c r="HY49" s="504">
        <v>0</v>
      </c>
      <c r="HZ49" s="504">
        <v>0</v>
      </c>
      <c r="IA49" s="504">
        <v>0</v>
      </c>
      <c r="IB49" s="504">
        <v>0</v>
      </c>
      <c r="IC49" s="504">
        <v>0</v>
      </c>
      <c r="ID49" s="504">
        <v>0</v>
      </c>
      <c r="IE49" s="504">
        <v>0</v>
      </c>
      <c r="IF49" s="504">
        <v>0</v>
      </c>
      <c r="IG49" s="504">
        <v>0</v>
      </c>
      <c r="IH49" s="504">
        <v>0</v>
      </c>
      <c r="II49" s="504">
        <v>0</v>
      </c>
      <c r="IJ49" s="504">
        <v>0</v>
      </c>
      <c r="IK49" s="504">
        <v>0</v>
      </c>
      <c r="IL49" s="504">
        <v>0</v>
      </c>
      <c r="IM49" s="504">
        <v>0</v>
      </c>
      <c r="IN49" s="504">
        <v>0</v>
      </c>
      <c r="IO49" s="504">
        <v>0</v>
      </c>
      <c r="IP49" s="504">
        <v>0</v>
      </c>
      <c r="IQ49" s="504">
        <v>0</v>
      </c>
      <c r="IR49" s="504">
        <v>0</v>
      </c>
      <c r="IS49" s="504">
        <v>0</v>
      </c>
      <c r="IT49" s="504">
        <v>0</v>
      </c>
      <c r="IU49" s="504">
        <v>0</v>
      </c>
      <c r="IV49" s="504">
        <v>0</v>
      </c>
      <c r="IW49" s="504">
        <v>0</v>
      </c>
      <c r="IX49" s="504">
        <v>0</v>
      </c>
      <c r="IY49" s="504">
        <v>0</v>
      </c>
      <c r="IZ49" s="504">
        <v>0</v>
      </c>
      <c r="JA49" s="504">
        <v>0</v>
      </c>
      <c r="JB49" s="504">
        <v>0</v>
      </c>
      <c r="JC49" s="504">
        <v>0</v>
      </c>
      <c r="JD49" s="504">
        <v>0</v>
      </c>
      <c r="JE49" s="504">
        <v>0</v>
      </c>
      <c r="JF49" s="504">
        <v>0</v>
      </c>
      <c r="JG49" s="504">
        <v>0</v>
      </c>
      <c r="JH49" s="504">
        <v>0</v>
      </c>
      <c r="JI49" s="504">
        <v>0</v>
      </c>
      <c r="JJ49" s="504">
        <v>0</v>
      </c>
      <c r="JK49" s="504">
        <v>0</v>
      </c>
      <c r="JL49" s="504">
        <v>0</v>
      </c>
      <c r="JM49" s="504">
        <v>0</v>
      </c>
      <c r="JN49" s="504">
        <v>0</v>
      </c>
      <c r="JO49" s="504">
        <v>0</v>
      </c>
      <c r="JP49" s="504">
        <v>0</v>
      </c>
      <c r="JQ49" s="504">
        <v>0</v>
      </c>
      <c r="JR49" s="504">
        <v>0</v>
      </c>
      <c r="JS49" s="504">
        <v>0</v>
      </c>
      <c r="JT49" s="504">
        <v>0</v>
      </c>
      <c r="JU49" s="504">
        <v>0</v>
      </c>
      <c r="JV49" s="504">
        <v>0</v>
      </c>
      <c r="JW49" s="504">
        <v>0</v>
      </c>
      <c r="JX49" s="504">
        <v>0</v>
      </c>
      <c r="JY49" s="504">
        <v>0</v>
      </c>
      <c r="JZ49" s="504">
        <v>0</v>
      </c>
      <c r="KA49" s="504">
        <v>0</v>
      </c>
      <c r="KB49" s="504">
        <v>0</v>
      </c>
      <c r="KC49" s="504">
        <v>0</v>
      </c>
      <c r="KD49" s="504">
        <v>0</v>
      </c>
      <c r="KE49" s="504">
        <v>0</v>
      </c>
      <c r="KF49" s="504">
        <v>0</v>
      </c>
      <c r="KG49" s="504">
        <v>0</v>
      </c>
      <c r="KH49" s="504">
        <v>0</v>
      </c>
      <c r="KI49" s="504">
        <v>0</v>
      </c>
      <c r="KJ49" s="504">
        <v>0</v>
      </c>
      <c r="KK49" s="504">
        <v>0</v>
      </c>
      <c r="KL49" s="504">
        <v>0</v>
      </c>
      <c r="KM49" s="504">
        <v>0</v>
      </c>
      <c r="KN49" s="504">
        <v>0</v>
      </c>
      <c r="KO49" s="504">
        <v>0</v>
      </c>
      <c r="KP49" s="504">
        <v>0</v>
      </c>
      <c r="KQ49" s="504">
        <v>0</v>
      </c>
      <c r="KR49" s="504">
        <v>0</v>
      </c>
      <c r="KS49" s="504">
        <v>0</v>
      </c>
      <c r="KT49" s="504">
        <v>0</v>
      </c>
      <c r="KU49" s="504">
        <v>0</v>
      </c>
      <c r="KV49" s="504">
        <v>0</v>
      </c>
      <c r="KW49" s="504">
        <v>0</v>
      </c>
      <c r="KX49" s="504">
        <v>0</v>
      </c>
      <c r="KY49" s="504">
        <v>0</v>
      </c>
      <c r="KZ49" s="504">
        <v>0</v>
      </c>
      <c r="LA49" s="504">
        <v>0</v>
      </c>
      <c r="LB49" s="504">
        <v>0</v>
      </c>
      <c r="LC49" s="504">
        <v>0</v>
      </c>
      <c r="LD49" s="504">
        <v>0</v>
      </c>
      <c r="LE49" s="504">
        <v>0</v>
      </c>
      <c r="LF49" s="504">
        <v>0</v>
      </c>
      <c r="LG49" s="504">
        <v>0</v>
      </c>
      <c r="LH49" s="504">
        <v>0</v>
      </c>
      <c r="LI49" s="504">
        <v>0</v>
      </c>
      <c r="LJ49" s="504">
        <v>0</v>
      </c>
      <c r="LK49" s="504">
        <v>0</v>
      </c>
      <c r="LL49" s="504">
        <v>0</v>
      </c>
      <c r="LM49" s="504">
        <v>0</v>
      </c>
      <c r="LN49" s="504">
        <v>0</v>
      </c>
      <c r="LO49" s="504">
        <v>0</v>
      </c>
      <c r="LP49" s="504">
        <v>0</v>
      </c>
      <c r="LQ49" s="504">
        <v>0</v>
      </c>
      <c r="LR49" s="504">
        <v>0</v>
      </c>
      <c r="LS49" s="504">
        <v>0</v>
      </c>
      <c r="LT49" s="504">
        <v>0</v>
      </c>
      <c r="LU49" s="504">
        <v>0</v>
      </c>
      <c r="LV49" s="504">
        <v>0</v>
      </c>
      <c r="LW49" s="504">
        <v>0</v>
      </c>
      <c r="LX49" s="504">
        <v>0</v>
      </c>
      <c r="LY49" s="504">
        <v>0</v>
      </c>
      <c r="LZ49" s="504">
        <v>0</v>
      </c>
      <c r="MA49" s="504">
        <v>0</v>
      </c>
      <c r="MB49" s="504">
        <v>0</v>
      </c>
      <c r="MC49" s="504">
        <v>0</v>
      </c>
      <c r="MD49" s="504">
        <v>0</v>
      </c>
      <c r="ME49" s="504">
        <v>0</v>
      </c>
      <c r="MF49" s="504">
        <v>0</v>
      </c>
      <c r="MG49" s="504">
        <v>0</v>
      </c>
      <c r="MH49" s="504">
        <v>0</v>
      </c>
      <c r="MI49" s="504">
        <v>0</v>
      </c>
      <c r="MJ49" s="504">
        <v>0</v>
      </c>
      <c r="MK49" s="504">
        <v>0</v>
      </c>
      <c r="ML49" s="504">
        <v>0</v>
      </c>
      <c r="MM49" s="504">
        <v>0</v>
      </c>
      <c r="MN49" s="504">
        <v>0</v>
      </c>
      <c r="MO49" s="504">
        <v>0</v>
      </c>
      <c r="MP49" s="504">
        <v>0</v>
      </c>
      <c r="MQ49" s="504">
        <v>0</v>
      </c>
      <c r="MR49" s="504">
        <v>0</v>
      </c>
      <c r="MS49" s="504">
        <v>0</v>
      </c>
      <c r="MT49" s="504">
        <v>0</v>
      </c>
      <c r="MU49" s="504">
        <v>0</v>
      </c>
      <c r="MV49" s="504">
        <v>0</v>
      </c>
      <c r="MW49" s="504">
        <v>0</v>
      </c>
      <c r="MX49" s="504">
        <v>0</v>
      </c>
      <c r="MY49" s="504">
        <v>0</v>
      </c>
      <c r="MZ49" s="504">
        <v>0</v>
      </c>
      <c r="NA49" s="504">
        <v>0</v>
      </c>
      <c r="NB49" s="504">
        <v>0</v>
      </c>
      <c r="NC49" s="504">
        <v>0</v>
      </c>
      <c r="ND49" s="504">
        <v>0</v>
      </c>
      <c r="NE49" s="504">
        <v>0</v>
      </c>
      <c r="NF49" s="504">
        <v>0</v>
      </c>
      <c r="NG49" s="504">
        <v>0</v>
      </c>
      <c r="NH49" s="504">
        <v>0</v>
      </c>
      <c r="NI49" s="504">
        <v>0</v>
      </c>
      <c r="NJ49" s="504">
        <v>0</v>
      </c>
      <c r="NK49" s="504">
        <v>0</v>
      </c>
      <c r="NL49" s="504">
        <v>0</v>
      </c>
      <c r="NM49" s="504">
        <v>0</v>
      </c>
      <c r="NN49" s="504">
        <v>0</v>
      </c>
      <c r="NO49" s="504">
        <v>0</v>
      </c>
      <c r="NP49" s="504">
        <v>0</v>
      </c>
      <c r="NQ49" s="504">
        <v>0</v>
      </c>
      <c r="NR49" s="504">
        <v>0</v>
      </c>
      <c r="NS49" s="504">
        <v>0</v>
      </c>
      <c r="NT49" s="504">
        <v>0</v>
      </c>
      <c r="NU49" s="504">
        <v>0</v>
      </c>
      <c r="NV49" s="504">
        <v>0</v>
      </c>
      <c r="NW49" s="504">
        <v>0</v>
      </c>
      <c r="NX49" s="504">
        <v>0</v>
      </c>
      <c r="NY49" s="504">
        <v>0</v>
      </c>
      <c r="NZ49" s="504">
        <v>0</v>
      </c>
      <c r="OA49" s="504">
        <v>0</v>
      </c>
      <c r="OB49" s="504">
        <v>0</v>
      </c>
      <c r="OC49" s="504">
        <v>0</v>
      </c>
      <c r="OD49" s="504">
        <v>0</v>
      </c>
      <c r="OE49" s="504">
        <v>0</v>
      </c>
      <c r="OF49" s="504">
        <v>0</v>
      </c>
      <c r="OG49" s="504">
        <v>0</v>
      </c>
      <c r="OH49" s="504">
        <v>0</v>
      </c>
      <c r="OI49" s="504">
        <v>0</v>
      </c>
      <c r="OJ49" s="504">
        <v>0</v>
      </c>
      <c r="OK49" s="504">
        <v>0</v>
      </c>
      <c r="OL49" s="504">
        <v>0</v>
      </c>
      <c r="OM49" s="504">
        <v>0</v>
      </c>
      <c r="ON49" s="494"/>
    </row>
    <row r="50" spans="1:404" ht="18.75" customHeight="1" x14ac:dyDescent="0.4">
      <c r="A50" s="355" t="s">
        <v>326</v>
      </c>
      <c r="B50" s="358">
        <v>192</v>
      </c>
      <c r="C50" s="355" t="s">
        <v>60</v>
      </c>
      <c r="D50" s="501">
        <v>30.62</v>
      </c>
      <c r="E50" s="502">
        <v>143617</v>
      </c>
      <c r="F50" s="501">
        <v>30.6</v>
      </c>
      <c r="G50" s="502">
        <v>30014</v>
      </c>
      <c r="H50" s="501">
        <v>30.61</v>
      </c>
      <c r="I50" s="502">
        <v>80931</v>
      </c>
      <c r="J50" s="501">
        <v>30.61</v>
      </c>
      <c r="K50" s="502">
        <v>85740</v>
      </c>
      <c r="V50" s="501"/>
      <c r="W50" s="503"/>
      <c r="X50" s="501"/>
      <c r="Y50" s="503"/>
      <c r="Z50" s="501"/>
      <c r="AA50" s="503"/>
      <c r="AB50" s="495"/>
      <c r="AC50" s="504">
        <v>0</v>
      </c>
      <c r="AD50" s="504">
        <v>0</v>
      </c>
      <c r="AE50" s="504">
        <v>0</v>
      </c>
      <c r="AF50" s="504">
        <v>0</v>
      </c>
      <c r="AG50" s="504">
        <v>0</v>
      </c>
      <c r="AH50" s="504">
        <v>0</v>
      </c>
      <c r="AI50" s="504">
        <v>0</v>
      </c>
      <c r="AJ50" s="504">
        <v>0</v>
      </c>
      <c r="AK50" s="504">
        <v>0</v>
      </c>
      <c r="AL50" s="504">
        <v>0</v>
      </c>
      <c r="AM50" s="504">
        <v>0</v>
      </c>
      <c r="AN50" s="504">
        <v>0</v>
      </c>
      <c r="AO50" s="504">
        <v>0</v>
      </c>
      <c r="AP50" s="504">
        <v>0</v>
      </c>
      <c r="AQ50" s="504">
        <v>0</v>
      </c>
      <c r="AR50" s="504">
        <v>0</v>
      </c>
      <c r="AS50" s="504">
        <v>0</v>
      </c>
      <c r="AT50" s="504">
        <v>0</v>
      </c>
      <c r="AU50" s="504">
        <v>0</v>
      </c>
      <c r="AV50" s="504">
        <v>0</v>
      </c>
      <c r="AW50" s="504">
        <v>0</v>
      </c>
      <c r="AX50" s="504">
        <v>0</v>
      </c>
      <c r="AY50" s="504">
        <v>0</v>
      </c>
      <c r="AZ50" s="504">
        <v>0</v>
      </c>
      <c r="BA50" s="504">
        <v>0</v>
      </c>
      <c r="BB50" s="504">
        <v>0</v>
      </c>
      <c r="BC50" s="504">
        <v>0</v>
      </c>
      <c r="BD50" s="504">
        <v>0</v>
      </c>
      <c r="BE50" s="504">
        <v>0</v>
      </c>
      <c r="BF50" s="504">
        <v>0</v>
      </c>
      <c r="BG50" s="504">
        <v>0</v>
      </c>
      <c r="BH50" s="504">
        <v>0</v>
      </c>
      <c r="BI50" s="504">
        <v>0</v>
      </c>
      <c r="BJ50" s="504">
        <v>0</v>
      </c>
      <c r="BK50" s="504">
        <v>0</v>
      </c>
      <c r="BL50" s="504">
        <v>0</v>
      </c>
      <c r="BM50" s="504">
        <v>0</v>
      </c>
      <c r="BN50" s="504">
        <v>0</v>
      </c>
      <c r="BO50" s="504">
        <v>0</v>
      </c>
      <c r="BP50" s="504">
        <v>0</v>
      </c>
      <c r="BQ50" s="504">
        <v>0</v>
      </c>
      <c r="BR50" s="504">
        <v>0</v>
      </c>
      <c r="BS50" s="504">
        <v>0</v>
      </c>
      <c r="BT50" s="504">
        <v>0</v>
      </c>
      <c r="BU50" s="504">
        <v>0</v>
      </c>
      <c r="BV50" s="504">
        <v>0</v>
      </c>
      <c r="BW50" s="504">
        <v>0</v>
      </c>
      <c r="BX50" s="504">
        <v>0</v>
      </c>
      <c r="BY50" s="504">
        <v>0</v>
      </c>
      <c r="BZ50" s="504">
        <v>0</v>
      </c>
      <c r="CA50" s="504">
        <v>0</v>
      </c>
      <c r="CB50" s="504">
        <v>0</v>
      </c>
      <c r="CC50" s="504">
        <v>0</v>
      </c>
      <c r="CD50" s="504">
        <v>0</v>
      </c>
      <c r="CE50" s="504">
        <v>0</v>
      </c>
      <c r="CF50" s="504">
        <v>0</v>
      </c>
      <c r="CG50" s="504">
        <v>0</v>
      </c>
      <c r="CH50" s="504">
        <v>0</v>
      </c>
      <c r="CI50" s="504">
        <v>0</v>
      </c>
      <c r="CJ50" s="504">
        <v>0</v>
      </c>
      <c r="CK50" s="504">
        <v>0</v>
      </c>
      <c r="CL50" s="504">
        <v>0</v>
      </c>
      <c r="CM50" s="504">
        <v>0</v>
      </c>
      <c r="CN50" s="504">
        <v>0</v>
      </c>
      <c r="CO50" s="504">
        <v>0</v>
      </c>
      <c r="CP50" s="504">
        <v>0</v>
      </c>
      <c r="CQ50" s="504">
        <v>0</v>
      </c>
      <c r="CR50" s="504">
        <v>0</v>
      </c>
      <c r="CS50" s="504">
        <v>0</v>
      </c>
      <c r="CT50" s="504">
        <v>0</v>
      </c>
      <c r="CU50" s="504">
        <v>0</v>
      </c>
      <c r="CV50" s="504">
        <v>0</v>
      </c>
      <c r="CW50" s="504">
        <v>0</v>
      </c>
      <c r="CX50" s="504">
        <v>0</v>
      </c>
      <c r="CY50" s="504">
        <v>0</v>
      </c>
      <c r="CZ50" s="504">
        <v>0</v>
      </c>
      <c r="DA50" s="504">
        <v>0</v>
      </c>
      <c r="DB50" s="504">
        <v>0</v>
      </c>
      <c r="DC50" s="504">
        <v>0</v>
      </c>
      <c r="DD50" s="504">
        <v>0</v>
      </c>
      <c r="DE50" s="504">
        <v>0</v>
      </c>
      <c r="DF50" s="504">
        <v>0</v>
      </c>
      <c r="DG50" s="504">
        <v>0</v>
      </c>
      <c r="DH50" s="504">
        <v>0</v>
      </c>
      <c r="DI50" s="504">
        <v>0</v>
      </c>
      <c r="DJ50" s="504">
        <v>0</v>
      </c>
      <c r="DK50" s="504">
        <v>0</v>
      </c>
      <c r="DL50" s="504">
        <v>0</v>
      </c>
      <c r="DM50" s="504">
        <v>0</v>
      </c>
      <c r="DN50" s="504">
        <v>0</v>
      </c>
      <c r="DO50" s="504">
        <v>0</v>
      </c>
      <c r="DP50" s="504">
        <v>0</v>
      </c>
      <c r="DQ50" s="504">
        <v>0</v>
      </c>
      <c r="DR50" s="504">
        <v>0</v>
      </c>
      <c r="DS50" s="504">
        <v>0</v>
      </c>
      <c r="DT50" s="504">
        <v>0</v>
      </c>
      <c r="DU50" s="504">
        <v>0</v>
      </c>
      <c r="DV50" s="504">
        <v>0</v>
      </c>
      <c r="DW50" s="504">
        <v>0</v>
      </c>
      <c r="DX50" s="504">
        <v>0</v>
      </c>
      <c r="DY50" s="504">
        <v>0</v>
      </c>
      <c r="DZ50" s="504">
        <v>0</v>
      </c>
      <c r="EA50" s="504">
        <v>0</v>
      </c>
      <c r="EB50" s="504">
        <v>0</v>
      </c>
      <c r="EC50" s="504">
        <v>0</v>
      </c>
      <c r="ED50" s="504">
        <v>0</v>
      </c>
      <c r="EE50" s="504">
        <v>0</v>
      </c>
      <c r="EF50" s="504">
        <v>0</v>
      </c>
      <c r="EG50" s="504">
        <v>0</v>
      </c>
      <c r="EH50" s="504">
        <v>0</v>
      </c>
      <c r="EI50" s="504">
        <v>0</v>
      </c>
      <c r="EJ50" s="504">
        <v>0</v>
      </c>
      <c r="EK50" s="504">
        <v>0</v>
      </c>
      <c r="EL50" s="504">
        <v>0</v>
      </c>
      <c r="EM50" s="504">
        <v>0</v>
      </c>
      <c r="EN50" s="504">
        <v>0</v>
      </c>
      <c r="EO50" s="504">
        <v>0</v>
      </c>
      <c r="EP50" s="504">
        <v>0</v>
      </c>
      <c r="EQ50" s="504">
        <v>0</v>
      </c>
      <c r="ER50" s="504">
        <v>0</v>
      </c>
      <c r="ES50" s="504">
        <v>0</v>
      </c>
      <c r="ET50" s="504">
        <v>0</v>
      </c>
      <c r="EU50" s="504">
        <v>0</v>
      </c>
      <c r="EV50" s="504">
        <v>0</v>
      </c>
      <c r="EW50" s="504">
        <v>0</v>
      </c>
      <c r="EX50" s="504">
        <v>0</v>
      </c>
      <c r="EY50" s="504">
        <v>0</v>
      </c>
      <c r="EZ50" s="504">
        <v>0</v>
      </c>
      <c r="FA50" s="504">
        <v>0</v>
      </c>
      <c r="FB50" s="504">
        <v>0</v>
      </c>
      <c r="FC50" s="504">
        <v>0</v>
      </c>
      <c r="FD50" s="504">
        <v>0</v>
      </c>
      <c r="FE50" s="504">
        <v>0</v>
      </c>
      <c r="FF50" s="504">
        <v>0</v>
      </c>
      <c r="FG50" s="504">
        <v>0</v>
      </c>
      <c r="FH50" s="504">
        <v>0</v>
      </c>
      <c r="FI50" s="504">
        <v>0</v>
      </c>
      <c r="FJ50" s="504">
        <v>0</v>
      </c>
      <c r="FK50" s="504">
        <v>0</v>
      </c>
      <c r="FL50" s="504">
        <v>0</v>
      </c>
      <c r="FM50" s="504">
        <v>0</v>
      </c>
      <c r="FN50" s="504">
        <v>0</v>
      </c>
      <c r="FO50" s="504">
        <v>0</v>
      </c>
      <c r="FP50" s="504">
        <v>0</v>
      </c>
      <c r="FQ50" s="504">
        <v>0</v>
      </c>
      <c r="FR50" s="504">
        <v>0</v>
      </c>
      <c r="FS50" s="504">
        <v>0</v>
      </c>
      <c r="FT50" s="504">
        <v>0</v>
      </c>
      <c r="FU50" s="504">
        <v>0</v>
      </c>
      <c r="FV50" s="504">
        <v>0</v>
      </c>
      <c r="FW50" s="504">
        <v>0</v>
      </c>
      <c r="FX50" s="504">
        <v>0</v>
      </c>
      <c r="FY50" s="504">
        <v>0</v>
      </c>
      <c r="FZ50" s="504">
        <v>0</v>
      </c>
      <c r="GA50" s="504">
        <v>0</v>
      </c>
      <c r="GB50" s="504">
        <v>0</v>
      </c>
      <c r="GC50" s="504">
        <v>0</v>
      </c>
      <c r="GD50" s="504">
        <v>0</v>
      </c>
      <c r="GE50" s="504">
        <v>0</v>
      </c>
      <c r="GF50" s="504">
        <v>0</v>
      </c>
      <c r="GG50" s="504">
        <v>0</v>
      </c>
      <c r="GH50" s="504">
        <v>0</v>
      </c>
      <c r="GI50" s="504">
        <v>0</v>
      </c>
      <c r="GJ50" s="504">
        <v>0</v>
      </c>
      <c r="GK50" s="504">
        <v>0</v>
      </c>
      <c r="GL50" s="504">
        <v>0</v>
      </c>
      <c r="GM50" s="504">
        <v>0</v>
      </c>
      <c r="GN50" s="504">
        <v>0</v>
      </c>
      <c r="GO50" s="504">
        <v>0</v>
      </c>
      <c r="GP50" s="504">
        <v>0</v>
      </c>
      <c r="GQ50" s="504">
        <v>0</v>
      </c>
      <c r="GR50" s="504">
        <v>0</v>
      </c>
      <c r="GS50" s="504">
        <v>0</v>
      </c>
      <c r="GT50" s="504">
        <v>0</v>
      </c>
      <c r="GU50" s="504">
        <v>0</v>
      </c>
      <c r="GV50" s="504">
        <v>0</v>
      </c>
      <c r="GW50" s="504">
        <v>0</v>
      </c>
      <c r="GX50" s="504">
        <v>0</v>
      </c>
      <c r="GY50" s="504">
        <v>0</v>
      </c>
      <c r="GZ50" s="504">
        <v>0</v>
      </c>
      <c r="HA50" s="504">
        <v>0</v>
      </c>
      <c r="HB50" s="504">
        <v>0</v>
      </c>
      <c r="HC50" s="504">
        <v>0</v>
      </c>
      <c r="HD50" s="504">
        <v>0</v>
      </c>
      <c r="HE50" s="504">
        <v>0</v>
      </c>
      <c r="HF50" s="504">
        <v>0</v>
      </c>
      <c r="HG50" s="504">
        <v>0</v>
      </c>
      <c r="HH50" s="504">
        <v>0</v>
      </c>
      <c r="HI50" s="504">
        <v>0</v>
      </c>
      <c r="HJ50" s="504">
        <v>0</v>
      </c>
      <c r="HK50" s="504">
        <v>0</v>
      </c>
      <c r="HL50" s="504">
        <v>0</v>
      </c>
      <c r="HM50" s="504">
        <v>0</v>
      </c>
      <c r="HN50" s="504">
        <v>0</v>
      </c>
      <c r="HO50" s="504">
        <v>0</v>
      </c>
      <c r="HP50" s="504">
        <v>0</v>
      </c>
      <c r="HQ50" s="504">
        <v>0</v>
      </c>
      <c r="HR50" s="504">
        <v>0</v>
      </c>
      <c r="HS50" s="504">
        <v>0</v>
      </c>
      <c r="HT50" s="504">
        <v>0</v>
      </c>
      <c r="HU50" s="504">
        <v>0</v>
      </c>
      <c r="HV50" s="504">
        <v>0</v>
      </c>
      <c r="HW50" s="504">
        <v>0</v>
      </c>
      <c r="HX50" s="504">
        <v>0</v>
      </c>
      <c r="HY50" s="504">
        <v>0</v>
      </c>
      <c r="HZ50" s="504">
        <v>0</v>
      </c>
      <c r="IA50" s="504">
        <v>0</v>
      </c>
      <c r="IB50" s="504">
        <v>0</v>
      </c>
      <c r="IC50" s="504">
        <v>0</v>
      </c>
      <c r="ID50" s="504">
        <v>0</v>
      </c>
      <c r="IE50" s="504">
        <v>0</v>
      </c>
      <c r="IF50" s="504">
        <v>0</v>
      </c>
      <c r="IG50" s="504">
        <v>0</v>
      </c>
      <c r="IH50" s="504">
        <v>0</v>
      </c>
      <c r="II50" s="504">
        <v>0</v>
      </c>
      <c r="IJ50" s="504">
        <v>0</v>
      </c>
      <c r="IK50" s="504">
        <v>0</v>
      </c>
      <c r="IL50" s="504">
        <v>0</v>
      </c>
      <c r="IM50" s="504">
        <v>0</v>
      </c>
      <c r="IN50" s="504">
        <v>0</v>
      </c>
      <c r="IO50" s="504">
        <v>0</v>
      </c>
      <c r="IP50" s="504">
        <v>0</v>
      </c>
      <c r="IQ50" s="504">
        <v>0</v>
      </c>
      <c r="IR50" s="504">
        <v>0</v>
      </c>
      <c r="IS50" s="504">
        <v>0</v>
      </c>
      <c r="IT50" s="504">
        <v>0</v>
      </c>
      <c r="IU50" s="504">
        <v>0</v>
      </c>
      <c r="IV50" s="504">
        <v>0</v>
      </c>
      <c r="IW50" s="504">
        <v>0</v>
      </c>
      <c r="IX50" s="504">
        <v>0</v>
      </c>
      <c r="IY50" s="504">
        <v>0</v>
      </c>
      <c r="IZ50" s="504">
        <v>0</v>
      </c>
      <c r="JA50" s="504">
        <v>0</v>
      </c>
      <c r="JB50" s="504">
        <v>0</v>
      </c>
      <c r="JC50" s="504">
        <v>0</v>
      </c>
      <c r="JD50" s="504">
        <v>0</v>
      </c>
      <c r="JE50" s="504">
        <v>0</v>
      </c>
      <c r="JF50" s="504">
        <v>0</v>
      </c>
      <c r="JG50" s="504">
        <v>0</v>
      </c>
      <c r="JH50" s="504">
        <v>0</v>
      </c>
      <c r="JI50" s="504">
        <v>0</v>
      </c>
      <c r="JJ50" s="504">
        <v>0</v>
      </c>
      <c r="JK50" s="504">
        <v>0</v>
      </c>
      <c r="JL50" s="504">
        <v>0</v>
      </c>
      <c r="JM50" s="504">
        <v>0</v>
      </c>
      <c r="JN50" s="504">
        <v>0</v>
      </c>
      <c r="JO50" s="504">
        <v>0</v>
      </c>
      <c r="JP50" s="504">
        <v>0</v>
      </c>
      <c r="JQ50" s="504">
        <v>0</v>
      </c>
      <c r="JR50" s="504">
        <v>0</v>
      </c>
      <c r="JS50" s="504">
        <v>0</v>
      </c>
      <c r="JT50" s="504">
        <v>0</v>
      </c>
      <c r="JU50" s="504">
        <v>0</v>
      </c>
      <c r="JV50" s="504">
        <v>0</v>
      </c>
      <c r="JW50" s="504">
        <v>0</v>
      </c>
      <c r="JX50" s="504">
        <v>0</v>
      </c>
      <c r="JY50" s="504">
        <v>0</v>
      </c>
      <c r="JZ50" s="504">
        <v>0</v>
      </c>
      <c r="KA50" s="504">
        <v>0</v>
      </c>
      <c r="KB50" s="504">
        <v>0</v>
      </c>
      <c r="KC50" s="504">
        <v>0</v>
      </c>
      <c r="KD50" s="504">
        <v>0</v>
      </c>
      <c r="KE50" s="504">
        <v>0</v>
      </c>
      <c r="KF50" s="504">
        <v>0</v>
      </c>
      <c r="KG50" s="504">
        <v>0</v>
      </c>
      <c r="KH50" s="504">
        <v>0</v>
      </c>
      <c r="KI50" s="504">
        <v>0</v>
      </c>
      <c r="KJ50" s="504">
        <v>0</v>
      </c>
      <c r="KK50" s="504">
        <v>0</v>
      </c>
      <c r="KL50" s="504">
        <v>0</v>
      </c>
      <c r="KM50" s="504">
        <v>0</v>
      </c>
      <c r="KN50" s="504">
        <v>0</v>
      </c>
      <c r="KO50" s="504">
        <v>0</v>
      </c>
      <c r="KP50" s="504">
        <v>0</v>
      </c>
      <c r="KQ50" s="504">
        <v>0</v>
      </c>
      <c r="KR50" s="504">
        <v>0</v>
      </c>
      <c r="KS50" s="504">
        <v>0</v>
      </c>
      <c r="KT50" s="504">
        <v>0</v>
      </c>
      <c r="KU50" s="504">
        <v>0</v>
      </c>
      <c r="KV50" s="504">
        <v>0</v>
      </c>
      <c r="KW50" s="504">
        <v>0</v>
      </c>
      <c r="KX50" s="504">
        <v>0</v>
      </c>
      <c r="KY50" s="504">
        <v>0</v>
      </c>
      <c r="KZ50" s="504">
        <v>0</v>
      </c>
      <c r="LA50" s="504">
        <v>0</v>
      </c>
      <c r="LB50" s="504">
        <v>0</v>
      </c>
      <c r="LC50" s="504">
        <v>0</v>
      </c>
      <c r="LD50" s="504">
        <v>0</v>
      </c>
      <c r="LE50" s="504">
        <v>0</v>
      </c>
      <c r="LF50" s="504">
        <v>0</v>
      </c>
      <c r="LG50" s="504">
        <v>0</v>
      </c>
      <c r="LH50" s="504">
        <v>0</v>
      </c>
      <c r="LI50" s="504">
        <v>0</v>
      </c>
      <c r="LJ50" s="504">
        <v>0</v>
      </c>
      <c r="LK50" s="504">
        <v>0</v>
      </c>
      <c r="LL50" s="504">
        <v>0</v>
      </c>
      <c r="LM50" s="504">
        <v>0</v>
      </c>
      <c r="LN50" s="504">
        <v>0</v>
      </c>
      <c r="LO50" s="504">
        <v>0</v>
      </c>
      <c r="LP50" s="504">
        <v>0</v>
      </c>
      <c r="LQ50" s="504">
        <v>0</v>
      </c>
      <c r="LR50" s="504">
        <v>0</v>
      </c>
      <c r="LS50" s="504">
        <v>0</v>
      </c>
      <c r="LT50" s="504">
        <v>0</v>
      </c>
      <c r="LU50" s="504">
        <v>0</v>
      </c>
      <c r="LV50" s="504">
        <v>0</v>
      </c>
      <c r="LW50" s="504">
        <v>0</v>
      </c>
      <c r="LX50" s="504">
        <v>0</v>
      </c>
      <c r="LY50" s="504">
        <v>0</v>
      </c>
      <c r="LZ50" s="504">
        <v>0</v>
      </c>
      <c r="MA50" s="504">
        <v>0</v>
      </c>
      <c r="MB50" s="504">
        <v>0</v>
      </c>
      <c r="MC50" s="504">
        <v>0</v>
      </c>
      <c r="MD50" s="504">
        <v>0</v>
      </c>
      <c r="ME50" s="504">
        <v>0</v>
      </c>
      <c r="MF50" s="504">
        <v>0</v>
      </c>
      <c r="MG50" s="504">
        <v>0</v>
      </c>
      <c r="MH50" s="504">
        <v>0</v>
      </c>
      <c r="MI50" s="504">
        <v>0</v>
      </c>
      <c r="MJ50" s="504">
        <v>0</v>
      </c>
      <c r="MK50" s="504">
        <v>0</v>
      </c>
      <c r="ML50" s="504">
        <v>0</v>
      </c>
      <c r="MM50" s="504">
        <v>0</v>
      </c>
      <c r="MN50" s="504">
        <v>0</v>
      </c>
      <c r="MO50" s="504">
        <v>0</v>
      </c>
      <c r="MP50" s="504">
        <v>0</v>
      </c>
      <c r="MQ50" s="504">
        <v>0</v>
      </c>
      <c r="MR50" s="504">
        <v>0</v>
      </c>
      <c r="MS50" s="504">
        <v>0</v>
      </c>
      <c r="MT50" s="504">
        <v>0</v>
      </c>
      <c r="MU50" s="504">
        <v>0</v>
      </c>
      <c r="MV50" s="504">
        <v>0</v>
      </c>
      <c r="MW50" s="504">
        <v>0</v>
      </c>
      <c r="MX50" s="504">
        <v>0</v>
      </c>
      <c r="MY50" s="504">
        <v>0</v>
      </c>
      <c r="MZ50" s="504">
        <v>0</v>
      </c>
      <c r="NA50" s="504">
        <v>0</v>
      </c>
      <c r="NB50" s="504">
        <v>0</v>
      </c>
      <c r="NC50" s="504">
        <v>0</v>
      </c>
      <c r="ND50" s="504">
        <v>0</v>
      </c>
      <c r="NE50" s="504">
        <v>0</v>
      </c>
      <c r="NF50" s="504">
        <v>0</v>
      </c>
      <c r="NG50" s="504">
        <v>0</v>
      </c>
      <c r="NH50" s="504">
        <v>0</v>
      </c>
      <c r="NI50" s="504">
        <v>0</v>
      </c>
      <c r="NJ50" s="504">
        <v>0</v>
      </c>
      <c r="NK50" s="504">
        <v>0</v>
      </c>
      <c r="NL50" s="504">
        <v>0</v>
      </c>
      <c r="NM50" s="504">
        <v>0</v>
      </c>
      <c r="NN50" s="504">
        <v>0</v>
      </c>
      <c r="NO50" s="504">
        <v>0</v>
      </c>
      <c r="NP50" s="504">
        <v>0</v>
      </c>
      <c r="NQ50" s="504">
        <v>0</v>
      </c>
      <c r="NR50" s="504">
        <v>0</v>
      </c>
      <c r="NS50" s="504">
        <v>0</v>
      </c>
      <c r="NT50" s="504">
        <v>0</v>
      </c>
      <c r="NU50" s="504">
        <v>0</v>
      </c>
      <c r="NV50" s="504">
        <v>0</v>
      </c>
      <c r="NW50" s="504">
        <v>0</v>
      </c>
      <c r="NX50" s="504">
        <v>0</v>
      </c>
      <c r="NY50" s="504">
        <v>0</v>
      </c>
      <c r="NZ50" s="504">
        <v>0</v>
      </c>
      <c r="OA50" s="504">
        <v>0</v>
      </c>
      <c r="OB50" s="504">
        <v>0</v>
      </c>
      <c r="OC50" s="504">
        <v>0</v>
      </c>
      <c r="OD50" s="504">
        <v>0</v>
      </c>
      <c r="OE50" s="504">
        <v>0</v>
      </c>
      <c r="OF50" s="504">
        <v>0</v>
      </c>
      <c r="OG50" s="504">
        <v>0</v>
      </c>
      <c r="OH50" s="504">
        <v>0</v>
      </c>
      <c r="OI50" s="504">
        <v>0</v>
      </c>
      <c r="OJ50" s="504">
        <v>0</v>
      </c>
      <c r="OK50" s="504">
        <v>0</v>
      </c>
      <c r="OL50" s="504">
        <v>0</v>
      </c>
      <c r="OM50" s="504">
        <v>0</v>
      </c>
      <c r="ON50" s="494"/>
    </row>
    <row r="51" spans="1:404" ht="18.75" customHeight="1" x14ac:dyDescent="0.4">
      <c r="A51" s="355" t="s">
        <v>327</v>
      </c>
      <c r="B51" s="358">
        <v>212</v>
      </c>
      <c r="C51" s="355" t="s">
        <v>94</v>
      </c>
      <c r="D51" s="501">
        <v>31.15</v>
      </c>
      <c r="E51" s="502">
        <v>1005101</v>
      </c>
      <c r="F51" s="501">
        <v>31.53</v>
      </c>
      <c r="G51" s="502">
        <v>167977</v>
      </c>
      <c r="H51" s="501">
        <v>31.53</v>
      </c>
      <c r="I51" s="502">
        <v>446362</v>
      </c>
      <c r="J51" s="501">
        <v>31.53</v>
      </c>
      <c r="K51" s="502">
        <v>486750</v>
      </c>
      <c r="V51" s="501"/>
      <c r="W51" s="503"/>
      <c r="X51" s="501"/>
      <c r="Y51" s="503"/>
      <c r="Z51" s="501"/>
      <c r="AA51" s="503"/>
      <c r="AB51" s="495"/>
      <c r="AC51" s="504">
        <v>0</v>
      </c>
      <c r="AD51" s="504">
        <v>0</v>
      </c>
      <c r="AE51" s="504">
        <v>0</v>
      </c>
      <c r="AF51" s="504">
        <v>0</v>
      </c>
      <c r="AG51" s="504">
        <v>0</v>
      </c>
      <c r="AH51" s="504">
        <v>0</v>
      </c>
      <c r="AI51" s="504">
        <v>0</v>
      </c>
      <c r="AJ51" s="504">
        <v>0</v>
      </c>
      <c r="AK51" s="504">
        <v>0</v>
      </c>
      <c r="AL51" s="504">
        <v>0</v>
      </c>
      <c r="AM51" s="504">
        <v>0</v>
      </c>
      <c r="AN51" s="504">
        <v>0</v>
      </c>
      <c r="AO51" s="504">
        <v>0</v>
      </c>
      <c r="AP51" s="504">
        <v>0</v>
      </c>
      <c r="AQ51" s="504">
        <v>0</v>
      </c>
      <c r="AR51" s="504">
        <v>0</v>
      </c>
      <c r="AS51" s="504">
        <v>0</v>
      </c>
      <c r="AT51" s="504">
        <v>0</v>
      </c>
      <c r="AU51" s="504">
        <v>0</v>
      </c>
      <c r="AV51" s="504">
        <v>0</v>
      </c>
      <c r="AW51" s="504">
        <v>0</v>
      </c>
      <c r="AX51" s="504">
        <v>0</v>
      </c>
      <c r="AY51" s="504">
        <v>0</v>
      </c>
      <c r="AZ51" s="504">
        <v>0</v>
      </c>
      <c r="BA51" s="504">
        <v>0</v>
      </c>
      <c r="BB51" s="504">
        <v>0</v>
      </c>
      <c r="BC51" s="504">
        <v>0</v>
      </c>
      <c r="BD51" s="504">
        <v>0</v>
      </c>
      <c r="BE51" s="504">
        <v>0</v>
      </c>
      <c r="BF51" s="504">
        <v>0</v>
      </c>
      <c r="BG51" s="504">
        <v>0</v>
      </c>
      <c r="BH51" s="504">
        <v>0</v>
      </c>
      <c r="BI51" s="504">
        <v>0</v>
      </c>
      <c r="BJ51" s="504">
        <v>0</v>
      </c>
      <c r="BK51" s="504">
        <v>0</v>
      </c>
      <c r="BL51" s="504">
        <v>0</v>
      </c>
      <c r="BM51" s="504">
        <v>0</v>
      </c>
      <c r="BN51" s="504">
        <v>0</v>
      </c>
      <c r="BO51" s="504">
        <v>0</v>
      </c>
      <c r="BP51" s="504">
        <v>0</v>
      </c>
      <c r="BQ51" s="504">
        <v>0</v>
      </c>
      <c r="BR51" s="504">
        <v>0</v>
      </c>
      <c r="BS51" s="504">
        <v>0</v>
      </c>
      <c r="BT51" s="504">
        <v>0</v>
      </c>
      <c r="BU51" s="504">
        <v>0</v>
      </c>
      <c r="BV51" s="504">
        <v>0</v>
      </c>
      <c r="BW51" s="504">
        <v>0</v>
      </c>
      <c r="BX51" s="504">
        <v>0</v>
      </c>
      <c r="BY51" s="504">
        <v>0</v>
      </c>
      <c r="BZ51" s="504">
        <v>0</v>
      </c>
      <c r="CA51" s="504">
        <v>0</v>
      </c>
      <c r="CB51" s="504">
        <v>0</v>
      </c>
      <c r="CC51" s="504">
        <v>0</v>
      </c>
      <c r="CD51" s="504">
        <v>0</v>
      </c>
      <c r="CE51" s="504">
        <v>0</v>
      </c>
      <c r="CF51" s="504">
        <v>0</v>
      </c>
      <c r="CG51" s="504">
        <v>0</v>
      </c>
      <c r="CH51" s="504">
        <v>0</v>
      </c>
      <c r="CI51" s="504">
        <v>0</v>
      </c>
      <c r="CJ51" s="504">
        <v>0</v>
      </c>
      <c r="CK51" s="504">
        <v>0</v>
      </c>
      <c r="CL51" s="504">
        <v>0</v>
      </c>
      <c r="CM51" s="504">
        <v>0</v>
      </c>
      <c r="CN51" s="504">
        <v>0</v>
      </c>
      <c r="CO51" s="504">
        <v>0</v>
      </c>
      <c r="CP51" s="504">
        <v>0</v>
      </c>
      <c r="CQ51" s="504">
        <v>0</v>
      </c>
      <c r="CR51" s="504">
        <v>0</v>
      </c>
      <c r="CS51" s="504">
        <v>0</v>
      </c>
      <c r="CT51" s="504">
        <v>0</v>
      </c>
      <c r="CU51" s="504">
        <v>0</v>
      </c>
      <c r="CV51" s="504">
        <v>0</v>
      </c>
      <c r="CW51" s="504">
        <v>0</v>
      </c>
      <c r="CX51" s="504">
        <v>0</v>
      </c>
      <c r="CY51" s="504">
        <v>0</v>
      </c>
      <c r="CZ51" s="504">
        <v>0</v>
      </c>
      <c r="DA51" s="504">
        <v>0</v>
      </c>
      <c r="DB51" s="504">
        <v>0</v>
      </c>
      <c r="DC51" s="504">
        <v>0</v>
      </c>
      <c r="DD51" s="504">
        <v>0</v>
      </c>
      <c r="DE51" s="504">
        <v>0</v>
      </c>
      <c r="DF51" s="504">
        <v>0</v>
      </c>
      <c r="DG51" s="504">
        <v>0</v>
      </c>
      <c r="DH51" s="504">
        <v>0</v>
      </c>
      <c r="DI51" s="504">
        <v>0</v>
      </c>
      <c r="DJ51" s="504">
        <v>0</v>
      </c>
      <c r="DK51" s="504">
        <v>0</v>
      </c>
      <c r="DL51" s="504">
        <v>0</v>
      </c>
      <c r="DM51" s="504">
        <v>0</v>
      </c>
      <c r="DN51" s="504">
        <v>0</v>
      </c>
      <c r="DO51" s="504">
        <v>0</v>
      </c>
      <c r="DP51" s="504">
        <v>0</v>
      </c>
      <c r="DQ51" s="504">
        <v>0</v>
      </c>
      <c r="DR51" s="504">
        <v>0</v>
      </c>
      <c r="DS51" s="504">
        <v>0</v>
      </c>
      <c r="DT51" s="504">
        <v>0</v>
      </c>
      <c r="DU51" s="504">
        <v>0</v>
      </c>
      <c r="DV51" s="504">
        <v>0</v>
      </c>
      <c r="DW51" s="504">
        <v>0</v>
      </c>
      <c r="DX51" s="504">
        <v>0</v>
      </c>
      <c r="DY51" s="504">
        <v>0</v>
      </c>
      <c r="DZ51" s="504">
        <v>0</v>
      </c>
      <c r="EA51" s="504">
        <v>0</v>
      </c>
      <c r="EB51" s="504">
        <v>0</v>
      </c>
      <c r="EC51" s="504">
        <v>0</v>
      </c>
      <c r="ED51" s="504">
        <v>0</v>
      </c>
      <c r="EE51" s="504">
        <v>0</v>
      </c>
      <c r="EF51" s="504">
        <v>0</v>
      </c>
      <c r="EG51" s="504">
        <v>0</v>
      </c>
      <c r="EH51" s="504">
        <v>0</v>
      </c>
      <c r="EI51" s="504">
        <v>0</v>
      </c>
      <c r="EJ51" s="504">
        <v>0</v>
      </c>
      <c r="EK51" s="504">
        <v>0</v>
      </c>
      <c r="EL51" s="504">
        <v>0</v>
      </c>
      <c r="EM51" s="504">
        <v>0</v>
      </c>
      <c r="EN51" s="504">
        <v>0</v>
      </c>
      <c r="EO51" s="504">
        <v>0</v>
      </c>
      <c r="EP51" s="504">
        <v>0</v>
      </c>
      <c r="EQ51" s="504">
        <v>0</v>
      </c>
      <c r="ER51" s="504">
        <v>0</v>
      </c>
      <c r="ES51" s="504">
        <v>0</v>
      </c>
      <c r="ET51" s="504">
        <v>0</v>
      </c>
      <c r="EU51" s="504">
        <v>0</v>
      </c>
      <c r="EV51" s="504">
        <v>0</v>
      </c>
      <c r="EW51" s="504">
        <v>0</v>
      </c>
      <c r="EX51" s="504">
        <v>0</v>
      </c>
      <c r="EY51" s="504">
        <v>0</v>
      </c>
      <c r="EZ51" s="504">
        <v>0</v>
      </c>
      <c r="FA51" s="504">
        <v>0</v>
      </c>
      <c r="FB51" s="504">
        <v>0</v>
      </c>
      <c r="FC51" s="504">
        <v>0</v>
      </c>
      <c r="FD51" s="504">
        <v>0</v>
      </c>
      <c r="FE51" s="504">
        <v>0</v>
      </c>
      <c r="FF51" s="504">
        <v>0</v>
      </c>
      <c r="FG51" s="504">
        <v>0</v>
      </c>
      <c r="FH51" s="504">
        <v>0</v>
      </c>
      <c r="FI51" s="504">
        <v>0</v>
      </c>
      <c r="FJ51" s="504">
        <v>0</v>
      </c>
      <c r="FK51" s="504">
        <v>0</v>
      </c>
      <c r="FL51" s="504">
        <v>0</v>
      </c>
      <c r="FM51" s="504">
        <v>0</v>
      </c>
      <c r="FN51" s="504">
        <v>0</v>
      </c>
      <c r="FO51" s="504">
        <v>0</v>
      </c>
      <c r="FP51" s="504">
        <v>0</v>
      </c>
      <c r="FQ51" s="504">
        <v>0</v>
      </c>
      <c r="FR51" s="504">
        <v>0</v>
      </c>
      <c r="FS51" s="504">
        <v>0</v>
      </c>
      <c r="FT51" s="504">
        <v>0</v>
      </c>
      <c r="FU51" s="504">
        <v>0</v>
      </c>
      <c r="FV51" s="504">
        <v>0</v>
      </c>
      <c r="FW51" s="504">
        <v>0</v>
      </c>
      <c r="FX51" s="504">
        <v>0</v>
      </c>
      <c r="FY51" s="504">
        <v>0</v>
      </c>
      <c r="FZ51" s="504">
        <v>0</v>
      </c>
      <c r="GA51" s="504">
        <v>0</v>
      </c>
      <c r="GB51" s="504">
        <v>0</v>
      </c>
      <c r="GC51" s="504">
        <v>0</v>
      </c>
      <c r="GD51" s="504">
        <v>0</v>
      </c>
      <c r="GE51" s="504">
        <v>0</v>
      </c>
      <c r="GF51" s="504">
        <v>0</v>
      </c>
      <c r="GG51" s="504">
        <v>0</v>
      </c>
      <c r="GH51" s="504">
        <v>0</v>
      </c>
      <c r="GI51" s="504">
        <v>0</v>
      </c>
      <c r="GJ51" s="504">
        <v>0</v>
      </c>
      <c r="GK51" s="504">
        <v>0</v>
      </c>
      <c r="GL51" s="504">
        <v>0</v>
      </c>
      <c r="GM51" s="504">
        <v>0</v>
      </c>
      <c r="GN51" s="504">
        <v>0</v>
      </c>
      <c r="GO51" s="504">
        <v>0</v>
      </c>
      <c r="GP51" s="504">
        <v>0</v>
      </c>
      <c r="GQ51" s="504">
        <v>0</v>
      </c>
      <c r="GR51" s="504">
        <v>0</v>
      </c>
      <c r="GS51" s="504">
        <v>0</v>
      </c>
      <c r="GT51" s="504">
        <v>0</v>
      </c>
      <c r="GU51" s="504">
        <v>0</v>
      </c>
      <c r="GV51" s="504">
        <v>0</v>
      </c>
      <c r="GW51" s="504">
        <v>0</v>
      </c>
      <c r="GX51" s="504">
        <v>0</v>
      </c>
      <c r="GY51" s="504">
        <v>0</v>
      </c>
      <c r="GZ51" s="504">
        <v>0</v>
      </c>
      <c r="HA51" s="504">
        <v>0</v>
      </c>
      <c r="HB51" s="504">
        <v>0</v>
      </c>
      <c r="HC51" s="504">
        <v>0</v>
      </c>
      <c r="HD51" s="504">
        <v>0</v>
      </c>
      <c r="HE51" s="504">
        <v>0</v>
      </c>
      <c r="HF51" s="504">
        <v>0</v>
      </c>
      <c r="HG51" s="504">
        <v>0</v>
      </c>
      <c r="HH51" s="504">
        <v>0</v>
      </c>
      <c r="HI51" s="504">
        <v>0</v>
      </c>
      <c r="HJ51" s="504">
        <v>0</v>
      </c>
      <c r="HK51" s="504">
        <v>0</v>
      </c>
      <c r="HL51" s="504">
        <v>0</v>
      </c>
      <c r="HM51" s="504">
        <v>0</v>
      </c>
      <c r="HN51" s="504">
        <v>0</v>
      </c>
      <c r="HO51" s="504">
        <v>0</v>
      </c>
      <c r="HP51" s="504">
        <v>0</v>
      </c>
      <c r="HQ51" s="504">
        <v>0</v>
      </c>
      <c r="HR51" s="504">
        <v>0</v>
      </c>
      <c r="HS51" s="504">
        <v>0</v>
      </c>
      <c r="HT51" s="504">
        <v>0</v>
      </c>
      <c r="HU51" s="504">
        <v>0</v>
      </c>
      <c r="HV51" s="504">
        <v>0</v>
      </c>
      <c r="HW51" s="504">
        <v>0</v>
      </c>
      <c r="HX51" s="504">
        <v>0</v>
      </c>
      <c r="HY51" s="504">
        <v>0</v>
      </c>
      <c r="HZ51" s="504">
        <v>0</v>
      </c>
      <c r="IA51" s="504">
        <v>0</v>
      </c>
      <c r="IB51" s="504">
        <v>0</v>
      </c>
      <c r="IC51" s="504">
        <v>0</v>
      </c>
      <c r="ID51" s="504">
        <v>0</v>
      </c>
      <c r="IE51" s="504">
        <v>0</v>
      </c>
      <c r="IF51" s="504">
        <v>0</v>
      </c>
      <c r="IG51" s="504">
        <v>0</v>
      </c>
      <c r="IH51" s="504">
        <v>0</v>
      </c>
      <c r="II51" s="504">
        <v>0</v>
      </c>
      <c r="IJ51" s="504">
        <v>0</v>
      </c>
      <c r="IK51" s="504">
        <v>0</v>
      </c>
      <c r="IL51" s="504">
        <v>0</v>
      </c>
      <c r="IM51" s="504">
        <v>0</v>
      </c>
      <c r="IN51" s="504">
        <v>0</v>
      </c>
      <c r="IO51" s="504">
        <v>0</v>
      </c>
      <c r="IP51" s="504">
        <v>0</v>
      </c>
      <c r="IQ51" s="504">
        <v>0</v>
      </c>
      <c r="IR51" s="504">
        <v>0</v>
      </c>
      <c r="IS51" s="504">
        <v>0</v>
      </c>
      <c r="IT51" s="504">
        <v>0</v>
      </c>
      <c r="IU51" s="504">
        <v>0</v>
      </c>
      <c r="IV51" s="504">
        <v>0</v>
      </c>
      <c r="IW51" s="504">
        <v>0</v>
      </c>
      <c r="IX51" s="504">
        <v>0</v>
      </c>
      <c r="IY51" s="504">
        <v>0</v>
      </c>
      <c r="IZ51" s="504">
        <v>0</v>
      </c>
      <c r="JA51" s="504">
        <v>0</v>
      </c>
      <c r="JB51" s="504">
        <v>0</v>
      </c>
      <c r="JC51" s="504">
        <v>0</v>
      </c>
      <c r="JD51" s="504">
        <v>0</v>
      </c>
      <c r="JE51" s="504">
        <v>0</v>
      </c>
      <c r="JF51" s="504">
        <v>0</v>
      </c>
      <c r="JG51" s="504">
        <v>0</v>
      </c>
      <c r="JH51" s="504">
        <v>0</v>
      </c>
      <c r="JI51" s="504">
        <v>0</v>
      </c>
      <c r="JJ51" s="504">
        <v>0</v>
      </c>
      <c r="JK51" s="504">
        <v>0</v>
      </c>
      <c r="JL51" s="504">
        <v>0</v>
      </c>
      <c r="JM51" s="504">
        <v>0</v>
      </c>
      <c r="JN51" s="504">
        <v>0</v>
      </c>
      <c r="JO51" s="504">
        <v>0</v>
      </c>
      <c r="JP51" s="504">
        <v>0</v>
      </c>
      <c r="JQ51" s="504">
        <v>0</v>
      </c>
      <c r="JR51" s="504">
        <v>0</v>
      </c>
      <c r="JS51" s="504">
        <v>0</v>
      </c>
      <c r="JT51" s="504">
        <v>0</v>
      </c>
      <c r="JU51" s="504">
        <v>0</v>
      </c>
      <c r="JV51" s="504">
        <v>0</v>
      </c>
      <c r="JW51" s="504">
        <v>0</v>
      </c>
      <c r="JX51" s="504">
        <v>0</v>
      </c>
      <c r="JY51" s="504">
        <v>0</v>
      </c>
      <c r="JZ51" s="504">
        <v>0</v>
      </c>
      <c r="KA51" s="504">
        <v>0</v>
      </c>
      <c r="KB51" s="504">
        <v>0</v>
      </c>
      <c r="KC51" s="504">
        <v>0</v>
      </c>
      <c r="KD51" s="504">
        <v>0</v>
      </c>
      <c r="KE51" s="504">
        <v>0</v>
      </c>
      <c r="KF51" s="504">
        <v>0</v>
      </c>
      <c r="KG51" s="504">
        <v>0</v>
      </c>
      <c r="KH51" s="504">
        <v>0</v>
      </c>
      <c r="KI51" s="504">
        <v>0</v>
      </c>
      <c r="KJ51" s="504">
        <v>0</v>
      </c>
      <c r="KK51" s="504">
        <v>0</v>
      </c>
      <c r="KL51" s="504">
        <v>0</v>
      </c>
      <c r="KM51" s="504">
        <v>0</v>
      </c>
      <c r="KN51" s="504">
        <v>0</v>
      </c>
      <c r="KO51" s="504">
        <v>0</v>
      </c>
      <c r="KP51" s="504">
        <v>0</v>
      </c>
      <c r="KQ51" s="504">
        <v>0</v>
      </c>
      <c r="KR51" s="504">
        <v>0</v>
      </c>
      <c r="KS51" s="504">
        <v>0</v>
      </c>
      <c r="KT51" s="504">
        <v>0</v>
      </c>
      <c r="KU51" s="504">
        <v>0</v>
      </c>
      <c r="KV51" s="504">
        <v>0</v>
      </c>
      <c r="KW51" s="504">
        <v>0</v>
      </c>
      <c r="KX51" s="504">
        <v>0</v>
      </c>
      <c r="KY51" s="504">
        <v>0</v>
      </c>
      <c r="KZ51" s="504">
        <v>0</v>
      </c>
      <c r="LA51" s="504">
        <v>0</v>
      </c>
      <c r="LB51" s="504">
        <v>0</v>
      </c>
      <c r="LC51" s="504">
        <v>0</v>
      </c>
      <c r="LD51" s="504">
        <v>0</v>
      </c>
      <c r="LE51" s="504">
        <v>0</v>
      </c>
      <c r="LF51" s="504">
        <v>0</v>
      </c>
      <c r="LG51" s="504">
        <v>0</v>
      </c>
      <c r="LH51" s="504">
        <v>0</v>
      </c>
      <c r="LI51" s="504">
        <v>0</v>
      </c>
      <c r="LJ51" s="504">
        <v>0</v>
      </c>
      <c r="LK51" s="504">
        <v>0</v>
      </c>
      <c r="LL51" s="504">
        <v>0</v>
      </c>
      <c r="LM51" s="504">
        <v>0</v>
      </c>
      <c r="LN51" s="504">
        <v>0</v>
      </c>
      <c r="LO51" s="504">
        <v>0</v>
      </c>
      <c r="LP51" s="504">
        <v>0</v>
      </c>
      <c r="LQ51" s="504">
        <v>0</v>
      </c>
      <c r="LR51" s="504">
        <v>0</v>
      </c>
      <c r="LS51" s="504">
        <v>0</v>
      </c>
      <c r="LT51" s="504">
        <v>0</v>
      </c>
      <c r="LU51" s="504">
        <v>0</v>
      </c>
      <c r="LV51" s="504">
        <v>0</v>
      </c>
      <c r="LW51" s="504">
        <v>0</v>
      </c>
      <c r="LX51" s="504">
        <v>0</v>
      </c>
      <c r="LY51" s="504">
        <v>0</v>
      </c>
      <c r="LZ51" s="504">
        <v>0</v>
      </c>
      <c r="MA51" s="504">
        <v>0</v>
      </c>
      <c r="MB51" s="504">
        <v>0</v>
      </c>
      <c r="MC51" s="504">
        <v>0</v>
      </c>
      <c r="MD51" s="504">
        <v>0</v>
      </c>
      <c r="ME51" s="504">
        <v>0</v>
      </c>
      <c r="MF51" s="504">
        <v>0</v>
      </c>
      <c r="MG51" s="504">
        <v>0</v>
      </c>
      <c r="MH51" s="504">
        <v>0</v>
      </c>
      <c r="MI51" s="504">
        <v>0</v>
      </c>
      <c r="MJ51" s="504">
        <v>0</v>
      </c>
      <c r="MK51" s="504">
        <v>0</v>
      </c>
      <c r="ML51" s="504">
        <v>0</v>
      </c>
      <c r="MM51" s="504">
        <v>0</v>
      </c>
      <c r="MN51" s="504">
        <v>0</v>
      </c>
      <c r="MO51" s="504">
        <v>0</v>
      </c>
      <c r="MP51" s="504">
        <v>0</v>
      </c>
      <c r="MQ51" s="504">
        <v>0</v>
      </c>
      <c r="MR51" s="504">
        <v>0</v>
      </c>
      <c r="MS51" s="504">
        <v>0</v>
      </c>
      <c r="MT51" s="504">
        <v>0</v>
      </c>
      <c r="MU51" s="504">
        <v>0</v>
      </c>
      <c r="MV51" s="504">
        <v>0</v>
      </c>
      <c r="MW51" s="504">
        <v>0</v>
      </c>
      <c r="MX51" s="504">
        <v>0</v>
      </c>
      <c r="MY51" s="504">
        <v>0</v>
      </c>
      <c r="MZ51" s="504">
        <v>0</v>
      </c>
      <c r="NA51" s="504">
        <v>0</v>
      </c>
      <c r="NB51" s="504">
        <v>0</v>
      </c>
      <c r="NC51" s="504">
        <v>0</v>
      </c>
      <c r="ND51" s="504">
        <v>0</v>
      </c>
      <c r="NE51" s="504">
        <v>0</v>
      </c>
      <c r="NF51" s="504">
        <v>0</v>
      </c>
      <c r="NG51" s="504">
        <v>0</v>
      </c>
      <c r="NH51" s="504">
        <v>0</v>
      </c>
      <c r="NI51" s="504">
        <v>0</v>
      </c>
      <c r="NJ51" s="504">
        <v>0</v>
      </c>
      <c r="NK51" s="504">
        <v>0</v>
      </c>
      <c r="NL51" s="504">
        <v>0</v>
      </c>
      <c r="NM51" s="504">
        <v>0</v>
      </c>
      <c r="NN51" s="504">
        <v>0</v>
      </c>
      <c r="NO51" s="504">
        <v>0</v>
      </c>
      <c r="NP51" s="504">
        <v>0</v>
      </c>
      <c r="NQ51" s="504">
        <v>0</v>
      </c>
      <c r="NR51" s="504">
        <v>0</v>
      </c>
      <c r="NS51" s="504">
        <v>0</v>
      </c>
      <c r="NT51" s="504">
        <v>0</v>
      </c>
      <c r="NU51" s="504">
        <v>0</v>
      </c>
      <c r="NV51" s="504">
        <v>0</v>
      </c>
      <c r="NW51" s="504">
        <v>0</v>
      </c>
      <c r="NX51" s="504">
        <v>0</v>
      </c>
      <c r="NY51" s="504">
        <v>0</v>
      </c>
      <c r="NZ51" s="504">
        <v>0</v>
      </c>
      <c r="OA51" s="504">
        <v>0</v>
      </c>
      <c r="OB51" s="504">
        <v>0</v>
      </c>
      <c r="OC51" s="504">
        <v>0</v>
      </c>
      <c r="OD51" s="504">
        <v>0</v>
      </c>
      <c r="OE51" s="504">
        <v>0</v>
      </c>
      <c r="OF51" s="504">
        <v>0</v>
      </c>
      <c r="OG51" s="504">
        <v>0</v>
      </c>
      <c r="OH51" s="504">
        <v>0</v>
      </c>
      <c r="OI51" s="504">
        <v>0</v>
      </c>
      <c r="OJ51" s="504">
        <v>0</v>
      </c>
      <c r="OK51" s="504">
        <v>0</v>
      </c>
      <c r="OL51" s="504">
        <v>0</v>
      </c>
      <c r="OM51" s="504">
        <v>0</v>
      </c>
      <c r="ON51" s="494"/>
    </row>
    <row r="52" spans="1:404" ht="18.75" customHeight="1" x14ac:dyDescent="0.4">
      <c r="A52" s="355" t="s">
        <v>328</v>
      </c>
      <c r="B52" s="358">
        <v>206</v>
      </c>
      <c r="C52" s="355" t="s">
        <v>94</v>
      </c>
      <c r="D52" s="501">
        <v>32.53</v>
      </c>
      <c r="E52" s="502">
        <v>2641276</v>
      </c>
      <c r="F52" s="501">
        <v>32.520000000000003</v>
      </c>
      <c r="G52" s="502">
        <v>752533</v>
      </c>
      <c r="H52" s="501">
        <v>32.520000000000003</v>
      </c>
      <c r="I52" s="502">
        <v>1932144</v>
      </c>
      <c r="J52" s="501">
        <v>32.520000000000003</v>
      </c>
      <c r="K52" s="502">
        <v>2077735</v>
      </c>
      <c r="V52" s="501"/>
      <c r="W52" s="503"/>
      <c r="X52" s="501"/>
      <c r="Y52" s="503"/>
      <c r="Z52" s="501"/>
      <c r="AA52" s="503"/>
      <c r="AB52" s="495"/>
      <c r="AC52" s="504">
        <v>0</v>
      </c>
      <c r="AD52" s="504">
        <v>0</v>
      </c>
      <c r="AE52" s="504">
        <v>0</v>
      </c>
      <c r="AF52" s="504">
        <v>0</v>
      </c>
      <c r="AG52" s="504">
        <v>0</v>
      </c>
      <c r="AH52" s="504">
        <v>0</v>
      </c>
      <c r="AI52" s="504">
        <v>0</v>
      </c>
      <c r="AJ52" s="504">
        <v>0</v>
      </c>
      <c r="AK52" s="504">
        <v>0</v>
      </c>
      <c r="AL52" s="504">
        <v>0</v>
      </c>
      <c r="AM52" s="504">
        <v>0</v>
      </c>
      <c r="AN52" s="504">
        <v>0</v>
      </c>
      <c r="AO52" s="504">
        <v>0</v>
      </c>
      <c r="AP52" s="504">
        <v>0</v>
      </c>
      <c r="AQ52" s="504">
        <v>0</v>
      </c>
      <c r="AR52" s="504">
        <v>0</v>
      </c>
      <c r="AS52" s="504">
        <v>0</v>
      </c>
      <c r="AT52" s="504">
        <v>0</v>
      </c>
      <c r="AU52" s="504">
        <v>0</v>
      </c>
      <c r="AV52" s="504">
        <v>0</v>
      </c>
      <c r="AW52" s="504">
        <v>0</v>
      </c>
      <c r="AX52" s="504">
        <v>0</v>
      </c>
      <c r="AY52" s="504">
        <v>0</v>
      </c>
      <c r="AZ52" s="504">
        <v>0</v>
      </c>
      <c r="BA52" s="504">
        <v>0</v>
      </c>
      <c r="BB52" s="504">
        <v>0</v>
      </c>
      <c r="BC52" s="504">
        <v>0</v>
      </c>
      <c r="BD52" s="504">
        <v>0</v>
      </c>
      <c r="BE52" s="504">
        <v>0</v>
      </c>
      <c r="BF52" s="504">
        <v>0</v>
      </c>
      <c r="BG52" s="504">
        <v>0</v>
      </c>
      <c r="BH52" s="504">
        <v>0</v>
      </c>
      <c r="BI52" s="504">
        <v>0</v>
      </c>
      <c r="BJ52" s="504">
        <v>0</v>
      </c>
      <c r="BK52" s="504">
        <v>0</v>
      </c>
      <c r="BL52" s="504">
        <v>0</v>
      </c>
      <c r="BM52" s="504">
        <v>0</v>
      </c>
      <c r="BN52" s="504">
        <v>0</v>
      </c>
      <c r="BO52" s="504">
        <v>0</v>
      </c>
      <c r="BP52" s="504">
        <v>0</v>
      </c>
      <c r="BQ52" s="504">
        <v>0</v>
      </c>
      <c r="BR52" s="504">
        <v>0</v>
      </c>
      <c r="BS52" s="504">
        <v>0</v>
      </c>
      <c r="BT52" s="504">
        <v>0</v>
      </c>
      <c r="BU52" s="504">
        <v>0</v>
      </c>
      <c r="BV52" s="504">
        <v>0</v>
      </c>
      <c r="BW52" s="504">
        <v>0</v>
      </c>
      <c r="BX52" s="504">
        <v>0</v>
      </c>
      <c r="BY52" s="504">
        <v>0</v>
      </c>
      <c r="BZ52" s="504">
        <v>0</v>
      </c>
      <c r="CA52" s="504">
        <v>0</v>
      </c>
      <c r="CB52" s="504">
        <v>0</v>
      </c>
      <c r="CC52" s="504">
        <v>0</v>
      </c>
      <c r="CD52" s="504">
        <v>0</v>
      </c>
      <c r="CE52" s="504">
        <v>0</v>
      </c>
      <c r="CF52" s="504">
        <v>0</v>
      </c>
      <c r="CG52" s="504">
        <v>0</v>
      </c>
      <c r="CH52" s="504">
        <v>0</v>
      </c>
      <c r="CI52" s="504">
        <v>0</v>
      </c>
      <c r="CJ52" s="504">
        <v>0</v>
      </c>
      <c r="CK52" s="504">
        <v>0</v>
      </c>
      <c r="CL52" s="504">
        <v>0</v>
      </c>
      <c r="CM52" s="504">
        <v>0</v>
      </c>
      <c r="CN52" s="504">
        <v>0</v>
      </c>
      <c r="CO52" s="504">
        <v>0</v>
      </c>
      <c r="CP52" s="504">
        <v>0</v>
      </c>
      <c r="CQ52" s="504">
        <v>0</v>
      </c>
      <c r="CR52" s="504">
        <v>0</v>
      </c>
      <c r="CS52" s="504">
        <v>0</v>
      </c>
      <c r="CT52" s="504">
        <v>0</v>
      </c>
      <c r="CU52" s="504">
        <v>0</v>
      </c>
      <c r="CV52" s="504">
        <v>0</v>
      </c>
      <c r="CW52" s="504">
        <v>0</v>
      </c>
      <c r="CX52" s="504">
        <v>0</v>
      </c>
      <c r="CY52" s="504">
        <v>0</v>
      </c>
      <c r="CZ52" s="504">
        <v>0</v>
      </c>
      <c r="DA52" s="504">
        <v>0</v>
      </c>
      <c r="DB52" s="504">
        <v>0</v>
      </c>
      <c r="DC52" s="504">
        <v>0</v>
      </c>
      <c r="DD52" s="504">
        <v>0</v>
      </c>
      <c r="DE52" s="504">
        <v>0</v>
      </c>
      <c r="DF52" s="504">
        <v>0</v>
      </c>
      <c r="DG52" s="504">
        <v>0</v>
      </c>
      <c r="DH52" s="504">
        <v>0</v>
      </c>
      <c r="DI52" s="504">
        <v>0</v>
      </c>
      <c r="DJ52" s="504">
        <v>0</v>
      </c>
      <c r="DK52" s="504">
        <v>0</v>
      </c>
      <c r="DL52" s="504">
        <v>0</v>
      </c>
      <c r="DM52" s="504">
        <v>0</v>
      </c>
      <c r="DN52" s="504">
        <v>0</v>
      </c>
      <c r="DO52" s="504">
        <v>0</v>
      </c>
      <c r="DP52" s="504">
        <v>0</v>
      </c>
      <c r="DQ52" s="504">
        <v>0</v>
      </c>
      <c r="DR52" s="504">
        <v>0</v>
      </c>
      <c r="DS52" s="504">
        <v>0</v>
      </c>
      <c r="DT52" s="504">
        <v>0</v>
      </c>
      <c r="DU52" s="504">
        <v>0</v>
      </c>
      <c r="DV52" s="504">
        <v>0</v>
      </c>
      <c r="DW52" s="504">
        <v>0</v>
      </c>
      <c r="DX52" s="504">
        <v>0</v>
      </c>
      <c r="DY52" s="504">
        <v>0</v>
      </c>
      <c r="DZ52" s="504">
        <v>0</v>
      </c>
      <c r="EA52" s="504">
        <v>0</v>
      </c>
      <c r="EB52" s="504">
        <v>0</v>
      </c>
      <c r="EC52" s="504">
        <v>0</v>
      </c>
      <c r="ED52" s="504">
        <v>0</v>
      </c>
      <c r="EE52" s="504">
        <v>0</v>
      </c>
      <c r="EF52" s="504">
        <v>0</v>
      </c>
      <c r="EG52" s="504">
        <v>0</v>
      </c>
      <c r="EH52" s="504">
        <v>0</v>
      </c>
      <c r="EI52" s="504">
        <v>0</v>
      </c>
      <c r="EJ52" s="504">
        <v>0</v>
      </c>
      <c r="EK52" s="504">
        <v>0</v>
      </c>
      <c r="EL52" s="504">
        <v>0</v>
      </c>
      <c r="EM52" s="504">
        <v>0</v>
      </c>
      <c r="EN52" s="504">
        <v>0</v>
      </c>
      <c r="EO52" s="504">
        <v>0</v>
      </c>
      <c r="EP52" s="504">
        <v>0</v>
      </c>
      <c r="EQ52" s="504">
        <v>0</v>
      </c>
      <c r="ER52" s="504">
        <v>0</v>
      </c>
      <c r="ES52" s="504">
        <v>0</v>
      </c>
      <c r="ET52" s="504">
        <v>0</v>
      </c>
      <c r="EU52" s="504">
        <v>0</v>
      </c>
      <c r="EV52" s="504">
        <v>0</v>
      </c>
      <c r="EW52" s="504">
        <v>0</v>
      </c>
      <c r="EX52" s="504">
        <v>0</v>
      </c>
      <c r="EY52" s="504">
        <v>0</v>
      </c>
      <c r="EZ52" s="504">
        <v>0</v>
      </c>
      <c r="FA52" s="504">
        <v>0</v>
      </c>
      <c r="FB52" s="504">
        <v>0</v>
      </c>
      <c r="FC52" s="504">
        <v>0</v>
      </c>
      <c r="FD52" s="504">
        <v>0</v>
      </c>
      <c r="FE52" s="504">
        <v>0</v>
      </c>
      <c r="FF52" s="504">
        <v>0</v>
      </c>
      <c r="FG52" s="504">
        <v>0</v>
      </c>
      <c r="FH52" s="504">
        <v>0</v>
      </c>
      <c r="FI52" s="504">
        <v>0</v>
      </c>
      <c r="FJ52" s="504">
        <v>0</v>
      </c>
      <c r="FK52" s="504">
        <v>0</v>
      </c>
      <c r="FL52" s="504">
        <v>0</v>
      </c>
      <c r="FM52" s="504">
        <v>0</v>
      </c>
      <c r="FN52" s="504">
        <v>0</v>
      </c>
      <c r="FO52" s="504">
        <v>0</v>
      </c>
      <c r="FP52" s="504">
        <v>0</v>
      </c>
      <c r="FQ52" s="504">
        <v>0</v>
      </c>
      <c r="FR52" s="504">
        <v>0</v>
      </c>
      <c r="FS52" s="504">
        <v>0</v>
      </c>
      <c r="FT52" s="504">
        <v>0</v>
      </c>
      <c r="FU52" s="504">
        <v>0</v>
      </c>
      <c r="FV52" s="504">
        <v>0</v>
      </c>
      <c r="FW52" s="504">
        <v>0</v>
      </c>
      <c r="FX52" s="504">
        <v>0</v>
      </c>
      <c r="FY52" s="504">
        <v>0</v>
      </c>
      <c r="FZ52" s="504">
        <v>0</v>
      </c>
      <c r="GA52" s="504">
        <v>0</v>
      </c>
      <c r="GB52" s="504">
        <v>0</v>
      </c>
      <c r="GC52" s="504">
        <v>0</v>
      </c>
      <c r="GD52" s="504">
        <v>0</v>
      </c>
      <c r="GE52" s="504">
        <v>0</v>
      </c>
      <c r="GF52" s="504">
        <v>0</v>
      </c>
      <c r="GG52" s="504">
        <v>0</v>
      </c>
      <c r="GH52" s="504">
        <v>0</v>
      </c>
      <c r="GI52" s="504">
        <v>0</v>
      </c>
      <c r="GJ52" s="504">
        <v>0</v>
      </c>
      <c r="GK52" s="504">
        <v>0</v>
      </c>
      <c r="GL52" s="504">
        <v>0</v>
      </c>
      <c r="GM52" s="504">
        <v>0</v>
      </c>
      <c r="GN52" s="504">
        <v>0</v>
      </c>
      <c r="GO52" s="504">
        <v>0</v>
      </c>
      <c r="GP52" s="504">
        <v>0</v>
      </c>
      <c r="GQ52" s="504">
        <v>0</v>
      </c>
      <c r="GR52" s="504">
        <v>0</v>
      </c>
      <c r="GS52" s="504">
        <v>0</v>
      </c>
      <c r="GT52" s="504">
        <v>0</v>
      </c>
      <c r="GU52" s="504">
        <v>0</v>
      </c>
      <c r="GV52" s="504">
        <v>0</v>
      </c>
      <c r="GW52" s="504">
        <v>0</v>
      </c>
      <c r="GX52" s="504">
        <v>0</v>
      </c>
      <c r="GY52" s="504">
        <v>0</v>
      </c>
      <c r="GZ52" s="504">
        <v>0</v>
      </c>
      <c r="HA52" s="504">
        <v>0</v>
      </c>
      <c r="HB52" s="504">
        <v>0</v>
      </c>
      <c r="HC52" s="504">
        <v>0</v>
      </c>
      <c r="HD52" s="504">
        <v>0</v>
      </c>
      <c r="HE52" s="504">
        <v>0</v>
      </c>
      <c r="HF52" s="504">
        <v>0</v>
      </c>
      <c r="HG52" s="504">
        <v>0</v>
      </c>
      <c r="HH52" s="504">
        <v>0</v>
      </c>
      <c r="HI52" s="504">
        <v>0</v>
      </c>
      <c r="HJ52" s="504">
        <v>0</v>
      </c>
      <c r="HK52" s="504">
        <v>0</v>
      </c>
      <c r="HL52" s="504">
        <v>0</v>
      </c>
      <c r="HM52" s="504">
        <v>0</v>
      </c>
      <c r="HN52" s="504">
        <v>0</v>
      </c>
      <c r="HO52" s="504">
        <v>0</v>
      </c>
      <c r="HP52" s="504">
        <v>0</v>
      </c>
      <c r="HQ52" s="504">
        <v>0</v>
      </c>
      <c r="HR52" s="504">
        <v>0</v>
      </c>
      <c r="HS52" s="504">
        <v>0</v>
      </c>
      <c r="HT52" s="504">
        <v>0</v>
      </c>
      <c r="HU52" s="504">
        <v>0</v>
      </c>
      <c r="HV52" s="504">
        <v>0</v>
      </c>
      <c r="HW52" s="504">
        <v>0</v>
      </c>
      <c r="HX52" s="504">
        <v>0</v>
      </c>
      <c r="HY52" s="504">
        <v>0</v>
      </c>
      <c r="HZ52" s="504">
        <v>0</v>
      </c>
      <c r="IA52" s="504">
        <v>0</v>
      </c>
      <c r="IB52" s="504">
        <v>0</v>
      </c>
      <c r="IC52" s="504">
        <v>0</v>
      </c>
      <c r="ID52" s="504">
        <v>0</v>
      </c>
      <c r="IE52" s="504">
        <v>0</v>
      </c>
      <c r="IF52" s="504">
        <v>0</v>
      </c>
      <c r="IG52" s="504">
        <v>0</v>
      </c>
      <c r="IH52" s="504">
        <v>0</v>
      </c>
      <c r="II52" s="504">
        <v>0</v>
      </c>
      <c r="IJ52" s="504">
        <v>0</v>
      </c>
      <c r="IK52" s="504">
        <v>0</v>
      </c>
      <c r="IL52" s="504">
        <v>0</v>
      </c>
      <c r="IM52" s="504">
        <v>0</v>
      </c>
      <c r="IN52" s="504">
        <v>0</v>
      </c>
      <c r="IO52" s="504">
        <v>0</v>
      </c>
      <c r="IP52" s="504">
        <v>0</v>
      </c>
      <c r="IQ52" s="504">
        <v>0</v>
      </c>
      <c r="IR52" s="504">
        <v>0</v>
      </c>
      <c r="IS52" s="504">
        <v>0</v>
      </c>
      <c r="IT52" s="504">
        <v>0</v>
      </c>
      <c r="IU52" s="504">
        <v>0</v>
      </c>
      <c r="IV52" s="504">
        <v>0</v>
      </c>
      <c r="IW52" s="504">
        <v>0</v>
      </c>
      <c r="IX52" s="504">
        <v>0</v>
      </c>
      <c r="IY52" s="504">
        <v>0</v>
      </c>
      <c r="IZ52" s="504">
        <v>0</v>
      </c>
      <c r="JA52" s="504">
        <v>0</v>
      </c>
      <c r="JB52" s="504">
        <v>0</v>
      </c>
      <c r="JC52" s="504">
        <v>0</v>
      </c>
      <c r="JD52" s="504">
        <v>0</v>
      </c>
      <c r="JE52" s="504">
        <v>0</v>
      </c>
      <c r="JF52" s="504">
        <v>0</v>
      </c>
      <c r="JG52" s="504">
        <v>0</v>
      </c>
      <c r="JH52" s="504">
        <v>0</v>
      </c>
      <c r="JI52" s="504">
        <v>0</v>
      </c>
      <c r="JJ52" s="504">
        <v>0</v>
      </c>
      <c r="JK52" s="504">
        <v>0</v>
      </c>
      <c r="JL52" s="504">
        <v>0</v>
      </c>
      <c r="JM52" s="504">
        <v>0</v>
      </c>
      <c r="JN52" s="504">
        <v>0</v>
      </c>
      <c r="JO52" s="504">
        <v>0</v>
      </c>
      <c r="JP52" s="504">
        <v>0</v>
      </c>
      <c r="JQ52" s="504">
        <v>0</v>
      </c>
      <c r="JR52" s="504">
        <v>0</v>
      </c>
      <c r="JS52" s="504">
        <v>0</v>
      </c>
      <c r="JT52" s="504">
        <v>0</v>
      </c>
      <c r="JU52" s="504">
        <v>0</v>
      </c>
      <c r="JV52" s="504">
        <v>0</v>
      </c>
      <c r="JW52" s="504">
        <v>0</v>
      </c>
      <c r="JX52" s="504">
        <v>0</v>
      </c>
      <c r="JY52" s="504">
        <v>0</v>
      </c>
      <c r="JZ52" s="504">
        <v>0</v>
      </c>
      <c r="KA52" s="504">
        <v>0</v>
      </c>
      <c r="KB52" s="504">
        <v>0</v>
      </c>
      <c r="KC52" s="504">
        <v>0</v>
      </c>
      <c r="KD52" s="504">
        <v>0</v>
      </c>
      <c r="KE52" s="504">
        <v>0</v>
      </c>
      <c r="KF52" s="504">
        <v>0</v>
      </c>
      <c r="KG52" s="504">
        <v>0</v>
      </c>
      <c r="KH52" s="504">
        <v>0</v>
      </c>
      <c r="KI52" s="504">
        <v>0</v>
      </c>
      <c r="KJ52" s="504">
        <v>0</v>
      </c>
      <c r="KK52" s="504">
        <v>0</v>
      </c>
      <c r="KL52" s="504">
        <v>0</v>
      </c>
      <c r="KM52" s="504">
        <v>0</v>
      </c>
      <c r="KN52" s="504">
        <v>0</v>
      </c>
      <c r="KO52" s="504">
        <v>0</v>
      </c>
      <c r="KP52" s="504">
        <v>0</v>
      </c>
      <c r="KQ52" s="504">
        <v>0</v>
      </c>
      <c r="KR52" s="504">
        <v>0</v>
      </c>
      <c r="KS52" s="504">
        <v>0</v>
      </c>
      <c r="KT52" s="504">
        <v>0</v>
      </c>
      <c r="KU52" s="504">
        <v>0</v>
      </c>
      <c r="KV52" s="504">
        <v>0</v>
      </c>
      <c r="KW52" s="504">
        <v>0</v>
      </c>
      <c r="KX52" s="504">
        <v>0</v>
      </c>
      <c r="KY52" s="504">
        <v>0</v>
      </c>
      <c r="KZ52" s="504">
        <v>0</v>
      </c>
      <c r="LA52" s="504">
        <v>0</v>
      </c>
      <c r="LB52" s="504">
        <v>0</v>
      </c>
      <c r="LC52" s="504">
        <v>0</v>
      </c>
      <c r="LD52" s="504">
        <v>0</v>
      </c>
      <c r="LE52" s="504">
        <v>0</v>
      </c>
      <c r="LF52" s="504">
        <v>0</v>
      </c>
      <c r="LG52" s="504">
        <v>0</v>
      </c>
      <c r="LH52" s="504">
        <v>0</v>
      </c>
      <c r="LI52" s="504">
        <v>0</v>
      </c>
      <c r="LJ52" s="504">
        <v>0</v>
      </c>
      <c r="LK52" s="504">
        <v>0</v>
      </c>
      <c r="LL52" s="504">
        <v>0</v>
      </c>
      <c r="LM52" s="504">
        <v>0</v>
      </c>
      <c r="LN52" s="504">
        <v>0</v>
      </c>
      <c r="LO52" s="504">
        <v>0</v>
      </c>
      <c r="LP52" s="504">
        <v>0</v>
      </c>
      <c r="LQ52" s="504">
        <v>0</v>
      </c>
      <c r="LR52" s="504">
        <v>0</v>
      </c>
      <c r="LS52" s="504">
        <v>0</v>
      </c>
      <c r="LT52" s="504">
        <v>0</v>
      </c>
      <c r="LU52" s="504">
        <v>0</v>
      </c>
      <c r="LV52" s="504">
        <v>0</v>
      </c>
      <c r="LW52" s="504">
        <v>0</v>
      </c>
      <c r="LX52" s="504">
        <v>0</v>
      </c>
      <c r="LY52" s="504">
        <v>0</v>
      </c>
      <c r="LZ52" s="504">
        <v>0</v>
      </c>
      <c r="MA52" s="504">
        <v>0</v>
      </c>
      <c r="MB52" s="504">
        <v>0</v>
      </c>
      <c r="MC52" s="504">
        <v>0</v>
      </c>
      <c r="MD52" s="504">
        <v>0</v>
      </c>
      <c r="ME52" s="504">
        <v>0</v>
      </c>
      <c r="MF52" s="504">
        <v>0</v>
      </c>
      <c r="MG52" s="504">
        <v>0</v>
      </c>
      <c r="MH52" s="504">
        <v>0</v>
      </c>
      <c r="MI52" s="504">
        <v>0</v>
      </c>
      <c r="MJ52" s="504">
        <v>0</v>
      </c>
      <c r="MK52" s="504">
        <v>0</v>
      </c>
      <c r="ML52" s="504">
        <v>0</v>
      </c>
      <c r="MM52" s="504">
        <v>0</v>
      </c>
      <c r="MN52" s="504">
        <v>0</v>
      </c>
      <c r="MO52" s="504">
        <v>0</v>
      </c>
      <c r="MP52" s="504">
        <v>0</v>
      </c>
      <c r="MQ52" s="504">
        <v>0</v>
      </c>
      <c r="MR52" s="504">
        <v>0</v>
      </c>
      <c r="MS52" s="504">
        <v>0</v>
      </c>
      <c r="MT52" s="504">
        <v>0</v>
      </c>
      <c r="MU52" s="504">
        <v>0</v>
      </c>
      <c r="MV52" s="504">
        <v>0</v>
      </c>
      <c r="MW52" s="504">
        <v>0</v>
      </c>
      <c r="MX52" s="504">
        <v>0</v>
      </c>
      <c r="MY52" s="504">
        <v>0</v>
      </c>
      <c r="MZ52" s="504">
        <v>0</v>
      </c>
      <c r="NA52" s="504">
        <v>0</v>
      </c>
      <c r="NB52" s="504">
        <v>0</v>
      </c>
      <c r="NC52" s="504">
        <v>0</v>
      </c>
      <c r="ND52" s="504">
        <v>0</v>
      </c>
      <c r="NE52" s="504">
        <v>0</v>
      </c>
      <c r="NF52" s="504">
        <v>0</v>
      </c>
      <c r="NG52" s="504">
        <v>0</v>
      </c>
      <c r="NH52" s="504">
        <v>0</v>
      </c>
      <c r="NI52" s="504">
        <v>0</v>
      </c>
      <c r="NJ52" s="504">
        <v>0</v>
      </c>
      <c r="NK52" s="504">
        <v>0</v>
      </c>
      <c r="NL52" s="504">
        <v>0</v>
      </c>
      <c r="NM52" s="504">
        <v>0</v>
      </c>
      <c r="NN52" s="504">
        <v>0</v>
      </c>
      <c r="NO52" s="504">
        <v>0</v>
      </c>
      <c r="NP52" s="504">
        <v>0</v>
      </c>
      <c r="NQ52" s="504">
        <v>0</v>
      </c>
      <c r="NR52" s="504">
        <v>0</v>
      </c>
      <c r="NS52" s="504">
        <v>0</v>
      </c>
      <c r="NT52" s="504">
        <v>0</v>
      </c>
      <c r="NU52" s="504">
        <v>0</v>
      </c>
      <c r="NV52" s="504">
        <v>0</v>
      </c>
      <c r="NW52" s="504">
        <v>0</v>
      </c>
      <c r="NX52" s="504">
        <v>0</v>
      </c>
      <c r="NY52" s="504">
        <v>0</v>
      </c>
      <c r="NZ52" s="504">
        <v>0</v>
      </c>
      <c r="OA52" s="504">
        <v>0</v>
      </c>
      <c r="OB52" s="504">
        <v>0</v>
      </c>
      <c r="OC52" s="504">
        <v>0</v>
      </c>
      <c r="OD52" s="504">
        <v>0</v>
      </c>
      <c r="OE52" s="504">
        <v>0</v>
      </c>
      <c r="OF52" s="504">
        <v>0</v>
      </c>
      <c r="OG52" s="504">
        <v>0</v>
      </c>
      <c r="OH52" s="504">
        <v>0</v>
      </c>
      <c r="OI52" s="504">
        <v>0</v>
      </c>
      <c r="OJ52" s="504">
        <v>0</v>
      </c>
      <c r="OK52" s="504">
        <v>0</v>
      </c>
      <c r="OL52" s="504">
        <v>0</v>
      </c>
      <c r="OM52" s="504">
        <v>0</v>
      </c>
      <c r="ON52" s="494"/>
    </row>
    <row r="53" spans="1:404" ht="18.75" customHeight="1" x14ac:dyDescent="0.4">
      <c r="A53" s="355" t="s">
        <v>329</v>
      </c>
      <c r="B53" s="358">
        <v>74</v>
      </c>
      <c r="C53" s="355" t="s">
        <v>60</v>
      </c>
      <c r="D53" s="501">
        <v>33.770000000000003</v>
      </c>
      <c r="F53" s="501">
        <v>33.76</v>
      </c>
      <c r="H53" s="501">
        <v>33.76</v>
      </c>
      <c r="J53" s="501">
        <v>33.76</v>
      </c>
      <c r="V53" s="501"/>
      <c r="W53" s="503"/>
      <c r="X53" s="501"/>
      <c r="Y53" s="503"/>
      <c r="Z53" s="501"/>
      <c r="AA53" s="503"/>
      <c r="AB53" s="495"/>
      <c r="AC53" s="504">
        <v>0</v>
      </c>
      <c r="AD53" s="504">
        <v>0</v>
      </c>
      <c r="AE53" s="504">
        <v>0</v>
      </c>
      <c r="AF53" s="504">
        <v>0</v>
      </c>
      <c r="AG53" s="504">
        <v>0</v>
      </c>
      <c r="AH53" s="504">
        <v>0</v>
      </c>
      <c r="AI53" s="504">
        <v>0</v>
      </c>
      <c r="AJ53" s="504">
        <v>0</v>
      </c>
      <c r="AK53" s="504">
        <v>0</v>
      </c>
      <c r="AL53" s="504">
        <v>0</v>
      </c>
      <c r="AM53" s="504">
        <v>0</v>
      </c>
      <c r="AN53" s="504">
        <v>0</v>
      </c>
      <c r="AO53" s="504">
        <v>0</v>
      </c>
      <c r="AP53" s="504">
        <v>0</v>
      </c>
      <c r="AQ53" s="504">
        <v>0</v>
      </c>
      <c r="AR53" s="504">
        <v>0</v>
      </c>
      <c r="AS53" s="504">
        <v>0</v>
      </c>
      <c r="AT53" s="504">
        <v>0</v>
      </c>
      <c r="AU53" s="504">
        <v>0</v>
      </c>
      <c r="AV53" s="504">
        <v>0</v>
      </c>
      <c r="AW53" s="504">
        <v>0</v>
      </c>
      <c r="AX53" s="504">
        <v>0</v>
      </c>
      <c r="AY53" s="504">
        <v>0</v>
      </c>
      <c r="AZ53" s="504">
        <v>0</v>
      </c>
      <c r="BA53" s="504">
        <v>0</v>
      </c>
      <c r="BB53" s="504">
        <v>0</v>
      </c>
      <c r="BC53" s="504">
        <v>0</v>
      </c>
      <c r="BD53" s="504">
        <v>0</v>
      </c>
      <c r="BE53" s="504">
        <v>0</v>
      </c>
      <c r="BF53" s="504">
        <v>0</v>
      </c>
      <c r="BG53" s="504">
        <v>0</v>
      </c>
      <c r="BH53" s="504">
        <v>0</v>
      </c>
      <c r="BI53" s="504">
        <v>0</v>
      </c>
      <c r="BJ53" s="504">
        <v>0</v>
      </c>
      <c r="BK53" s="504">
        <v>0</v>
      </c>
      <c r="BL53" s="504">
        <v>0</v>
      </c>
      <c r="BM53" s="504">
        <v>0</v>
      </c>
      <c r="BN53" s="504">
        <v>0</v>
      </c>
      <c r="BO53" s="504">
        <v>0</v>
      </c>
      <c r="BP53" s="504">
        <v>0</v>
      </c>
      <c r="BQ53" s="504">
        <v>0</v>
      </c>
      <c r="BR53" s="504">
        <v>0</v>
      </c>
      <c r="BS53" s="504">
        <v>0</v>
      </c>
      <c r="BT53" s="504">
        <v>0</v>
      </c>
      <c r="BU53" s="504">
        <v>0</v>
      </c>
      <c r="BV53" s="504">
        <v>0</v>
      </c>
      <c r="BW53" s="504">
        <v>0</v>
      </c>
      <c r="BX53" s="504">
        <v>0</v>
      </c>
      <c r="BY53" s="504">
        <v>0</v>
      </c>
      <c r="BZ53" s="504">
        <v>0</v>
      </c>
      <c r="CA53" s="504">
        <v>0</v>
      </c>
      <c r="CB53" s="504">
        <v>0</v>
      </c>
      <c r="CC53" s="504">
        <v>0</v>
      </c>
      <c r="CD53" s="504">
        <v>0</v>
      </c>
      <c r="CE53" s="504">
        <v>0</v>
      </c>
      <c r="CF53" s="504">
        <v>0</v>
      </c>
      <c r="CG53" s="504">
        <v>0</v>
      </c>
      <c r="CH53" s="504">
        <v>0</v>
      </c>
      <c r="CI53" s="504">
        <v>0</v>
      </c>
      <c r="CJ53" s="504">
        <v>0</v>
      </c>
      <c r="CK53" s="504">
        <v>0</v>
      </c>
      <c r="CL53" s="504">
        <v>0</v>
      </c>
      <c r="CM53" s="504">
        <v>0</v>
      </c>
      <c r="CN53" s="504">
        <v>0</v>
      </c>
      <c r="CO53" s="504">
        <v>0</v>
      </c>
      <c r="CP53" s="504">
        <v>0</v>
      </c>
      <c r="CQ53" s="504">
        <v>0</v>
      </c>
      <c r="CR53" s="504">
        <v>0</v>
      </c>
      <c r="CS53" s="504">
        <v>0</v>
      </c>
      <c r="CT53" s="504">
        <v>0</v>
      </c>
      <c r="CU53" s="504">
        <v>0</v>
      </c>
      <c r="CV53" s="504">
        <v>0</v>
      </c>
      <c r="CW53" s="504">
        <v>0</v>
      </c>
      <c r="CX53" s="504">
        <v>0</v>
      </c>
      <c r="CY53" s="504">
        <v>0</v>
      </c>
      <c r="CZ53" s="504">
        <v>0</v>
      </c>
      <c r="DA53" s="504">
        <v>0</v>
      </c>
      <c r="DB53" s="504">
        <v>0</v>
      </c>
      <c r="DC53" s="504">
        <v>0</v>
      </c>
      <c r="DD53" s="504">
        <v>0</v>
      </c>
      <c r="DE53" s="504">
        <v>0</v>
      </c>
      <c r="DF53" s="504">
        <v>0</v>
      </c>
      <c r="DG53" s="504">
        <v>0</v>
      </c>
      <c r="DH53" s="504">
        <v>0</v>
      </c>
      <c r="DI53" s="504">
        <v>0</v>
      </c>
      <c r="DJ53" s="504">
        <v>0</v>
      </c>
      <c r="DK53" s="504">
        <v>0</v>
      </c>
      <c r="DL53" s="504">
        <v>0</v>
      </c>
      <c r="DM53" s="504">
        <v>0</v>
      </c>
      <c r="DN53" s="504">
        <v>0</v>
      </c>
      <c r="DO53" s="504">
        <v>0</v>
      </c>
      <c r="DP53" s="504">
        <v>0</v>
      </c>
      <c r="DQ53" s="504">
        <v>0</v>
      </c>
      <c r="DR53" s="504">
        <v>0</v>
      </c>
      <c r="DS53" s="504">
        <v>0</v>
      </c>
      <c r="DT53" s="504">
        <v>0</v>
      </c>
      <c r="DU53" s="504">
        <v>0</v>
      </c>
      <c r="DV53" s="504">
        <v>0</v>
      </c>
      <c r="DW53" s="504">
        <v>0</v>
      </c>
      <c r="DX53" s="504">
        <v>0</v>
      </c>
      <c r="DY53" s="504">
        <v>0</v>
      </c>
      <c r="DZ53" s="504">
        <v>0</v>
      </c>
      <c r="EA53" s="504">
        <v>0</v>
      </c>
      <c r="EB53" s="504">
        <v>0</v>
      </c>
      <c r="EC53" s="504">
        <v>0</v>
      </c>
      <c r="ED53" s="504">
        <v>0</v>
      </c>
      <c r="EE53" s="504">
        <v>0</v>
      </c>
      <c r="EF53" s="504">
        <v>0</v>
      </c>
      <c r="EG53" s="504">
        <v>0</v>
      </c>
      <c r="EH53" s="504">
        <v>0</v>
      </c>
      <c r="EI53" s="504">
        <v>0</v>
      </c>
      <c r="EJ53" s="504">
        <v>0</v>
      </c>
      <c r="EK53" s="504">
        <v>0</v>
      </c>
      <c r="EL53" s="504">
        <v>0</v>
      </c>
      <c r="EM53" s="504">
        <v>0</v>
      </c>
      <c r="EN53" s="504">
        <v>0</v>
      </c>
      <c r="EO53" s="504">
        <v>0</v>
      </c>
      <c r="EP53" s="504">
        <v>0</v>
      </c>
      <c r="EQ53" s="504">
        <v>0</v>
      </c>
      <c r="ER53" s="504">
        <v>0</v>
      </c>
      <c r="ES53" s="504">
        <v>0</v>
      </c>
      <c r="ET53" s="504">
        <v>0</v>
      </c>
      <c r="EU53" s="504">
        <v>0</v>
      </c>
      <c r="EV53" s="504">
        <v>0</v>
      </c>
      <c r="EW53" s="504">
        <v>0</v>
      </c>
      <c r="EX53" s="504">
        <v>0</v>
      </c>
      <c r="EY53" s="504">
        <v>0</v>
      </c>
      <c r="EZ53" s="504">
        <v>0</v>
      </c>
      <c r="FA53" s="504">
        <v>0</v>
      </c>
      <c r="FB53" s="504">
        <v>0</v>
      </c>
      <c r="FC53" s="504">
        <v>0</v>
      </c>
      <c r="FD53" s="504">
        <v>0</v>
      </c>
      <c r="FE53" s="504">
        <v>0</v>
      </c>
      <c r="FF53" s="504">
        <v>0</v>
      </c>
      <c r="FG53" s="504">
        <v>0</v>
      </c>
      <c r="FH53" s="504">
        <v>0</v>
      </c>
      <c r="FI53" s="504">
        <v>0</v>
      </c>
      <c r="FJ53" s="504">
        <v>0</v>
      </c>
      <c r="FK53" s="504">
        <v>0</v>
      </c>
      <c r="FL53" s="504">
        <v>0</v>
      </c>
      <c r="FM53" s="504">
        <v>0</v>
      </c>
      <c r="FN53" s="504">
        <v>0</v>
      </c>
      <c r="FO53" s="504">
        <v>0</v>
      </c>
      <c r="FP53" s="504">
        <v>0</v>
      </c>
      <c r="FQ53" s="504">
        <v>0</v>
      </c>
      <c r="FR53" s="504">
        <v>0</v>
      </c>
      <c r="FS53" s="504">
        <v>0</v>
      </c>
      <c r="FT53" s="504">
        <v>0</v>
      </c>
      <c r="FU53" s="504">
        <v>0</v>
      </c>
      <c r="FV53" s="504">
        <v>0</v>
      </c>
      <c r="FW53" s="504">
        <v>0</v>
      </c>
      <c r="FX53" s="504">
        <v>0</v>
      </c>
      <c r="FY53" s="504">
        <v>0</v>
      </c>
      <c r="FZ53" s="504">
        <v>0</v>
      </c>
      <c r="GA53" s="504">
        <v>0</v>
      </c>
      <c r="GB53" s="504">
        <v>0</v>
      </c>
      <c r="GC53" s="504">
        <v>0</v>
      </c>
      <c r="GD53" s="504">
        <v>0</v>
      </c>
      <c r="GE53" s="504">
        <v>0</v>
      </c>
      <c r="GF53" s="504">
        <v>0</v>
      </c>
      <c r="GG53" s="504">
        <v>0</v>
      </c>
      <c r="GH53" s="504">
        <v>0</v>
      </c>
      <c r="GI53" s="504">
        <v>0</v>
      </c>
      <c r="GJ53" s="504">
        <v>0</v>
      </c>
      <c r="GK53" s="504">
        <v>0</v>
      </c>
      <c r="GL53" s="504">
        <v>0</v>
      </c>
      <c r="GM53" s="504">
        <v>0</v>
      </c>
      <c r="GN53" s="504">
        <v>0</v>
      </c>
      <c r="GO53" s="504">
        <v>0</v>
      </c>
      <c r="GP53" s="504">
        <v>0</v>
      </c>
      <c r="GQ53" s="504">
        <v>0</v>
      </c>
      <c r="GR53" s="504">
        <v>0</v>
      </c>
      <c r="GS53" s="504">
        <v>0</v>
      </c>
      <c r="GT53" s="504">
        <v>0</v>
      </c>
      <c r="GU53" s="504">
        <v>0</v>
      </c>
      <c r="GV53" s="504">
        <v>0</v>
      </c>
      <c r="GW53" s="504">
        <v>0</v>
      </c>
      <c r="GX53" s="504">
        <v>0</v>
      </c>
      <c r="GY53" s="504">
        <v>0</v>
      </c>
      <c r="GZ53" s="504">
        <v>0</v>
      </c>
      <c r="HA53" s="504">
        <v>0</v>
      </c>
      <c r="HB53" s="504">
        <v>0</v>
      </c>
      <c r="HC53" s="504">
        <v>0</v>
      </c>
      <c r="HD53" s="504">
        <v>0</v>
      </c>
      <c r="HE53" s="504">
        <v>0</v>
      </c>
      <c r="HF53" s="504">
        <v>0</v>
      </c>
      <c r="HG53" s="504">
        <v>0</v>
      </c>
      <c r="HH53" s="504">
        <v>0</v>
      </c>
      <c r="HI53" s="504">
        <v>0</v>
      </c>
      <c r="HJ53" s="504">
        <v>0</v>
      </c>
      <c r="HK53" s="504">
        <v>0</v>
      </c>
      <c r="HL53" s="504">
        <v>0</v>
      </c>
      <c r="HM53" s="504">
        <v>0</v>
      </c>
      <c r="HN53" s="504">
        <v>0</v>
      </c>
      <c r="HO53" s="504">
        <v>0</v>
      </c>
      <c r="HP53" s="504">
        <v>0</v>
      </c>
      <c r="HQ53" s="504">
        <v>0</v>
      </c>
      <c r="HR53" s="504">
        <v>0</v>
      </c>
      <c r="HS53" s="504">
        <v>0</v>
      </c>
      <c r="HT53" s="504">
        <v>0</v>
      </c>
      <c r="HU53" s="504">
        <v>0</v>
      </c>
      <c r="HV53" s="504">
        <v>0</v>
      </c>
      <c r="HW53" s="504">
        <v>0</v>
      </c>
      <c r="HX53" s="504">
        <v>0</v>
      </c>
      <c r="HY53" s="504">
        <v>0</v>
      </c>
      <c r="HZ53" s="504">
        <v>0</v>
      </c>
      <c r="IA53" s="504">
        <v>0</v>
      </c>
      <c r="IB53" s="504">
        <v>0</v>
      </c>
      <c r="IC53" s="504">
        <v>0</v>
      </c>
      <c r="ID53" s="504">
        <v>0</v>
      </c>
      <c r="IE53" s="504">
        <v>0</v>
      </c>
      <c r="IF53" s="504">
        <v>0</v>
      </c>
      <c r="IG53" s="504">
        <v>0</v>
      </c>
      <c r="IH53" s="504">
        <v>0</v>
      </c>
      <c r="II53" s="504">
        <v>0</v>
      </c>
      <c r="IJ53" s="504">
        <v>0</v>
      </c>
      <c r="IK53" s="504">
        <v>0</v>
      </c>
      <c r="IL53" s="504">
        <v>0</v>
      </c>
      <c r="IM53" s="504">
        <v>0</v>
      </c>
      <c r="IN53" s="504">
        <v>0</v>
      </c>
      <c r="IO53" s="504">
        <v>0</v>
      </c>
      <c r="IP53" s="504">
        <v>0</v>
      </c>
      <c r="IQ53" s="504">
        <v>0</v>
      </c>
      <c r="IR53" s="504">
        <v>0</v>
      </c>
      <c r="IS53" s="504">
        <v>0</v>
      </c>
      <c r="IT53" s="504">
        <v>0</v>
      </c>
      <c r="IU53" s="504">
        <v>0</v>
      </c>
      <c r="IV53" s="504">
        <v>0</v>
      </c>
      <c r="IW53" s="504">
        <v>0</v>
      </c>
      <c r="IX53" s="504">
        <v>0</v>
      </c>
      <c r="IY53" s="504">
        <v>0</v>
      </c>
      <c r="IZ53" s="504">
        <v>0</v>
      </c>
      <c r="JA53" s="504">
        <v>0</v>
      </c>
      <c r="JB53" s="504">
        <v>0</v>
      </c>
      <c r="JC53" s="504">
        <v>0</v>
      </c>
      <c r="JD53" s="504">
        <v>0</v>
      </c>
      <c r="JE53" s="504">
        <v>0</v>
      </c>
      <c r="JF53" s="504">
        <v>0</v>
      </c>
      <c r="JG53" s="504">
        <v>0</v>
      </c>
      <c r="JH53" s="504">
        <v>0</v>
      </c>
      <c r="JI53" s="504">
        <v>0</v>
      </c>
      <c r="JJ53" s="504">
        <v>0</v>
      </c>
      <c r="JK53" s="504">
        <v>0</v>
      </c>
      <c r="JL53" s="504">
        <v>0</v>
      </c>
      <c r="JM53" s="504">
        <v>0</v>
      </c>
      <c r="JN53" s="504">
        <v>0</v>
      </c>
      <c r="JO53" s="504">
        <v>0</v>
      </c>
      <c r="JP53" s="504">
        <v>0</v>
      </c>
      <c r="JQ53" s="504">
        <v>0</v>
      </c>
      <c r="JR53" s="504">
        <v>0</v>
      </c>
      <c r="JS53" s="504">
        <v>0</v>
      </c>
      <c r="JT53" s="504">
        <v>0</v>
      </c>
      <c r="JU53" s="504">
        <v>0</v>
      </c>
      <c r="JV53" s="504">
        <v>0</v>
      </c>
      <c r="JW53" s="504">
        <v>0</v>
      </c>
      <c r="JX53" s="504">
        <v>0</v>
      </c>
      <c r="JY53" s="504">
        <v>0</v>
      </c>
      <c r="JZ53" s="504">
        <v>0</v>
      </c>
      <c r="KA53" s="504">
        <v>0</v>
      </c>
      <c r="KB53" s="504">
        <v>0</v>
      </c>
      <c r="KC53" s="504">
        <v>0</v>
      </c>
      <c r="KD53" s="504">
        <v>0</v>
      </c>
      <c r="KE53" s="504">
        <v>0</v>
      </c>
      <c r="KF53" s="504">
        <v>0</v>
      </c>
      <c r="KG53" s="504">
        <v>0</v>
      </c>
      <c r="KH53" s="504">
        <v>0</v>
      </c>
      <c r="KI53" s="504">
        <v>0</v>
      </c>
      <c r="KJ53" s="504">
        <v>0</v>
      </c>
      <c r="KK53" s="504">
        <v>0</v>
      </c>
      <c r="KL53" s="504">
        <v>0</v>
      </c>
      <c r="KM53" s="504">
        <v>0</v>
      </c>
      <c r="KN53" s="504">
        <v>0</v>
      </c>
      <c r="KO53" s="504">
        <v>0</v>
      </c>
      <c r="KP53" s="504">
        <v>0</v>
      </c>
      <c r="KQ53" s="504">
        <v>0</v>
      </c>
      <c r="KR53" s="504">
        <v>0</v>
      </c>
      <c r="KS53" s="504">
        <v>0</v>
      </c>
      <c r="KT53" s="504">
        <v>0</v>
      </c>
      <c r="KU53" s="504">
        <v>0</v>
      </c>
      <c r="KV53" s="504">
        <v>0</v>
      </c>
      <c r="KW53" s="504">
        <v>0</v>
      </c>
      <c r="KX53" s="504">
        <v>0</v>
      </c>
      <c r="KY53" s="504">
        <v>0</v>
      </c>
      <c r="KZ53" s="504">
        <v>0</v>
      </c>
      <c r="LA53" s="504">
        <v>0</v>
      </c>
      <c r="LB53" s="504">
        <v>0</v>
      </c>
      <c r="LC53" s="504">
        <v>0</v>
      </c>
      <c r="LD53" s="504">
        <v>0</v>
      </c>
      <c r="LE53" s="504">
        <v>0</v>
      </c>
      <c r="LF53" s="504">
        <v>0</v>
      </c>
      <c r="LG53" s="504">
        <v>0</v>
      </c>
      <c r="LH53" s="504">
        <v>0</v>
      </c>
      <c r="LI53" s="504">
        <v>0</v>
      </c>
      <c r="LJ53" s="504">
        <v>0</v>
      </c>
      <c r="LK53" s="504">
        <v>0</v>
      </c>
      <c r="LL53" s="504">
        <v>0</v>
      </c>
      <c r="LM53" s="504">
        <v>0</v>
      </c>
      <c r="LN53" s="504">
        <v>0</v>
      </c>
      <c r="LO53" s="504">
        <v>0</v>
      </c>
      <c r="LP53" s="504">
        <v>0</v>
      </c>
      <c r="LQ53" s="504">
        <v>0</v>
      </c>
      <c r="LR53" s="504">
        <v>0</v>
      </c>
      <c r="LS53" s="504">
        <v>0</v>
      </c>
      <c r="LT53" s="504">
        <v>0</v>
      </c>
      <c r="LU53" s="504">
        <v>0</v>
      </c>
      <c r="LV53" s="504">
        <v>0</v>
      </c>
      <c r="LW53" s="504">
        <v>0</v>
      </c>
      <c r="LX53" s="504">
        <v>0</v>
      </c>
      <c r="LY53" s="504">
        <v>0</v>
      </c>
      <c r="LZ53" s="504">
        <v>0</v>
      </c>
      <c r="MA53" s="504">
        <v>0</v>
      </c>
      <c r="MB53" s="504">
        <v>0</v>
      </c>
      <c r="MC53" s="504">
        <v>0</v>
      </c>
      <c r="MD53" s="504">
        <v>0</v>
      </c>
      <c r="ME53" s="504">
        <v>0</v>
      </c>
      <c r="MF53" s="504">
        <v>0</v>
      </c>
      <c r="MG53" s="504">
        <v>0</v>
      </c>
      <c r="MH53" s="504">
        <v>0</v>
      </c>
      <c r="MI53" s="504">
        <v>0</v>
      </c>
      <c r="MJ53" s="504">
        <v>0</v>
      </c>
      <c r="MK53" s="504">
        <v>0</v>
      </c>
      <c r="ML53" s="504">
        <v>0</v>
      </c>
      <c r="MM53" s="504">
        <v>0</v>
      </c>
      <c r="MN53" s="504">
        <v>0</v>
      </c>
      <c r="MO53" s="504">
        <v>0</v>
      </c>
      <c r="MP53" s="504">
        <v>0</v>
      </c>
      <c r="MQ53" s="504">
        <v>0</v>
      </c>
      <c r="MR53" s="504">
        <v>0</v>
      </c>
      <c r="MS53" s="504">
        <v>0</v>
      </c>
      <c r="MT53" s="504">
        <v>0</v>
      </c>
      <c r="MU53" s="504">
        <v>0</v>
      </c>
      <c r="MV53" s="504">
        <v>0</v>
      </c>
      <c r="MW53" s="504">
        <v>0</v>
      </c>
      <c r="MX53" s="504">
        <v>0</v>
      </c>
      <c r="MY53" s="504">
        <v>0</v>
      </c>
      <c r="MZ53" s="504">
        <v>0</v>
      </c>
      <c r="NA53" s="504">
        <v>0</v>
      </c>
      <c r="NB53" s="504">
        <v>0</v>
      </c>
      <c r="NC53" s="504">
        <v>0</v>
      </c>
      <c r="ND53" s="504">
        <v>0</v>
      </c>
      <c r="NE53" s="504">
        <v>0</v>
      </c>
      <c r="NF53" s="504">
        <v>0</v>
      </c>
      <c r="NG53" s="504">
        <v>0</v>
      </c>
      <c r="NH53" s="504">
        <v>0</v>
      </c>
      <c r="NI53" s="504">
        <v>0</v>
      </c>
      <c r="NJ53" s="504">
        <v>0</v>
      </c>
      <c r="NK53" s="504">
        <v>0</v>
      </c>
      <c r="NL53" s="504">
        <v>0</v>
      </c>
      <c r="NM53" s="504">
        <v>0</v>
      </c>
      <c r="NN53" s="504">
        <v>0</v>
      </c>
      <c r="NO53" s="504">
        <v>0</v>
      </c>
      <c r="NP53" s="504">
        <v>0</v>
      </c>
      <c r="NQ53" s="504">
        <v>0</v>
      </c>
      <c r="NR53" s="504">
        <v>0</v>
      </c>
      <c r="NS53" s="504">
        <v>0</v>
      </c>
      <c r="NT53" s="504">
        <v>0</v>
      </c>
      <c r="NU53" s="504">
        <v>0</v>
      </c>
      <c r="NV53" s="504">
        <v>0</v>
      </c>
      <c r="NW53" s="504">
        <v>0</v>
      </c>
      <c r="NX53" s="504">
        <v>0</v>
      </c>
      <c r="NY53" s="504">
        <v>0</v>
      </c>
      <c r="NZ53" s="504">
        <v>0</v>
      </c>
      <c r="OA53" s="504">
        <v>0</v>
      </c>
      <c r="OB53" s="504">
        <v>0</v>
      </c>
      <c r="OC53" s="504">
        <v>0</v>
      </c>
      <c r="OD53" s="504">
        <v>0</v>
      </c>
      <c r="OE53" s="504">
        <v>0</v>
      </c>
      <c r="OF53" s="504">
        <v>0</v>
      </c>
      <c r="OG53" s="504">
        <v>0</v>
      </c>
      <c r="OH53" s="504">
        <v>0</v>
      </c>
      <c r="OI53" s="504">
        <v>0</v>
      </c>
      <c r="OJ53" s="504">
        <v>0</v>
      </c>
      <c r="OK53" s="504">
        <v>0</v>
      </c>
      <c r="OL53" s="504">
        <v>0</v>
      </c>
      <c r="OM53" s="504">
        <v>0</v>
      </c>
      <c r="ON53" s="494"/>
    </row>
    <row r="54" spans="1:404" ht="18.75" customHeight="1" x14ac:dyDescent="0.4">
      <c r="A54" s="355" t="s">
        <v>330</v>
      </c>
      <c r="B54" s="358">
        <v>216</v>
      </c>
      <c r="C54" s="355" t="s">
        <v>60</v>
      </c>
      <c r="D54" s="501">
        <v>34.93</v>
      </c>
      <c r="E54" s="502">
        <v>6858</v>
      </c>
      <c r="F54" s="501">
        <v>34.92</v>
      </c>
      <c r="G54" s="502">
        <v>3193</v>
      </c>
      <c r="H54" s="501">
        <v>34.93</v>
      </c>
      <c r="I54" s="502">
        <v>8435</v>
      </c>
      <c r="J54" s="501">
        <v>34.93</v>
      </c>
      <c r="K54" s="502">
        <v>8941</v>
      </c>
      <c r="V54" s="501"/>
      <c r="W54" s="503"/>
      <c r="X54" s="501"/>
      <c r="Y54" s="503"/>
      <c r="Z54" s="501"/>
      <c r="AA54" s="503"/>
      <c r="AB54" s="495"/>
      <c r="AC54" s="504">
        <v>0</v>
      </c>
      <c r="AD54" s="504">
        <v>0</v>
      </c>
      <c r="AE54" s="504">
        <v>0</v>
      </c>
      <c r="AF54" s="504">
        <v>0</v>
      </c>
      <c r="AG54" s="504">
        <v>0</v>
      </c>
      <c r="AH54" s="504">
        <v>0</v>
      </c>
      <c r="AI54" s="504">
        <v>0</v>
      </c>
      <c r="AJ54" s="504">
        <v>0</v>
      </c>
      <c r="AK54" s="504">
        <v>0</v>
      </c>
      <c r="AL54" s="504">
        <v>0</v>
      </c>
      <c r="AM54" s="504">
        <v>0</v>
      </c>
      <c r="AN54" s="504">
        <v>0</v>
      </c>
      <c r="AO54" s="504">
        <v>0</v>
      </c>
      <c r="AP54" s="504">
        <v>0</v>
      </c>
      <c r="AQ54" s="504">
        <v>0</v>
      </c>
      <c r="AR54" s="504">
        <v>0</v>
      </c>
      <c r="AS54" s="504">
        <v>0</v>
      </c>
      <c r="AT54" s="504">
        <v>0</v>
      </c>
      <c r="AU54" s="504">
        <v>0</v>
      </c>
      <c r="AV54" s="504">
        <v>0</v>
      </c>
      <c r="AW54" s="504">
        <v>0</v>
      </c>
      <c r="AX54" s="504">
        <v>0</v>
      </c>
      <c r="AY54" s="504">
        <v>0</v>
      </c>
      <c r="AZ54" s="504">
        <v>0</v>
      </c>
      <c r="BA54" s="504">
        <v>0</v>
      </c>
      <c r="BB54" s="504">
        <v>0</v>
      </c>
      <c r="BC54" s="504">
        <v>0</v>
      </c>
      <c r="BD54" s="504">
        <v>0</v>
      </c>
      <c r="BE54" s="504">
        <v>0</v>
      </c>
      <c r="BF54" s="504">
        <v>0</v>
      </c>
      <c r="BG54" s="504">
        <v>0</v>
      </c>
      <c r="BH54" s="504">
        <v>0</v>
      </c>
      <c r="BI54" s="504">
        <v>0</v>
      </c>
      <c r="BJ54" s="504">
        <v>0</v>
      </c>
      <c r="BK54" s="504">
        <v>0</v>
      </c>
      <c r="BL54" s="504">
        <v>0</v>
      </c>
      <c r="BM54" s="504">
        <v>0</v>
      </c>
      <c r="BN54" s="504">
        <v>0</v>
      </c>
      <c r="BO54" s="504">
        <v>0</v>
      </c>
      <c r="BP54" s="504">
        <v>0</v>
      </c>
      <c r="BQ54" s="504">
        <v>0</v>
      </c>
      <c r="BR54" s="504">
        <v>0</v>
      </c>
      <c r="BS54" s="504">
        <v>0</v>
      </c>
      <c r="BT54" s="504">
        <v>0</v>
      </c>
      <c r="BU54" s="504">
        <v>0</v>
      </c>
      <c r="BV54" s="504">
        <v>0</v>
      </c>
      <c r="BW54" s="504">
        <v>0</v>
      </c>
      <c r="BX54" s="504">
        <v>0</v>
      </c>
      <c r="BY54" s="504">
        <v>0</v>
      </c>
      <c r="BZ54" s="504">
        <v>0</v>
      </c>
      <c r="CA54" s="504">
        <v>0</v>
      </c>
      <c r="CB54" s="504">
        <v>0</v>
      </c>
      <c r="CC54" s="504">
        <v>0</v>
      </c>
      <c r="CD54" s="504">
        <v>0</v>
      </c>
      <c r="CE54" s="504">
        <v>0</v>
      </c>
      <c r="CF54" s="504">
        <v>0</v>
      </c>
      <c r="CG54" s="504">
        <v>0</v>
      </c>
      <c r="CH54" s="504">
        <v>0</v>
      </c>
      <c r="CI54" s="504">
        <v>0</v>
      </c>
      <c r="CJ54" s="504">
        <v>0</v>
      </c>
      <c r="CK54" s="504">
        <v>0</v>
      </c>
      <c r="CL54" s="504">
        <v>0</v>
      </c>
      <c r="CM54" s="504">
        <v>0</v>
      </c>
      <c r="CN54" s="504">
        <v>0</v>
      </c>
      <c r="CO54" s="504">
        <v>0</v>
      </c>
      <c r="CP54" s="504">
        <v>0</v>
      </c>
      <c r="CQ54" s="504">
        <v>0</v>
      </c>
      <c r="CR54" s="504">
        <v>0</v>
      </c>
      <c r="CS54" s="504">
        <v>0</v>
      </c>
      <c r="CT54" s="504">
        <v>0</v>
      </c>
      <c r="CU54" s="504">
        <v>0</v>
      </c>
      <c r="CV54" s="504">
        <v>0</v>
      </c>
      <c r="CW54" s="504">
        <v>0</v>
      </c>
      <c r="CX54" s="504">
        <v>0</v>
      </c>
      <c r="CY54" s="504">
        <v>0</v>
      </c>
      <c r="CZ54" s="504">
        <v>0</v>
      </c>
      <c r="DA54" s="504">
        <v>0</v>
      </c>
      <c r="DB54" s="504">
        <v>0</v>
      </c>
      <c r="DC54" s="504">
        <v>0</v>
      </c>
      <c r="DD54" s="504">
        <v>0</v>
      </c>
      <c r="DE54" s="504">
        <v>0</v>
      </c>
      <c r="DF54" s="504">
        <v>0</v>
      </c>
      <c r="DG54" s="504">
        <v>0</v>
      </c>
      <c r="DH54" s="504">
        <v>0</v>
      </c>
      <c r="DI54" s="504">
        <v>0</v>
      </c>
      <c r="DJ54" s="504">
        <v>0</v>
      </c>
      <c r="DK54" s="504">
        <v>0</v>
      </c>
      <c r="DL54" s="504">
        <v>0</v>
      </c>
      <c r="DM54" s="504">
        <v>0</v>
      </c>
      <c r="DN54" s="504">
        <v>0</v>
      </c>
      <c r="DO54" s="504">
        <v>0</v>
      </c>
      <c r="DP54" s="504">
        <v>0</v>
      </c>
      <c r="DQ54" s="504">
        <v>0</v>
      </c>
      <c r="DR54" s="504">
        <v>0</v>
      </c>
      <c r="DS54" s="504">
        <v>0</v>
      </c>
      <c r="DT54" s="504">
        <v>0</v>
      </c>
      <c r="DU54" s="504">
        <v>0</v>
      </c>
      <c r="DV54" s="504">
        <v>0</v>
      </c>
      <c r="DW54" s="504">
        <v>0</v>
      </c>
      <c r="DX54" s="504">
        <v>0</v>
      </c>
      <c r="DY54" s="504">
        <v>0</v>
      </c>
      <c r="DZ54" s="504">
        <v>0</v>
      </c>
      <c r="EA54" s="504">
        <v>0</v>
      </c>
      <c r="EB54" s="504">
        <v>0</v>
      </c>
      <c r="EC54" s="504">
        <v>0</v>
      </c>
      <c r="ED54" s="504">
        <v>0</v>
      </c>
      <c r="EE54" s="504">
        <v>0</v>
      </c>
      <c r="EF54" s="504">
        <v>0</v>
      </c>
      <c r="EG54" s="504">
        <v>0</v>
      </c>
      <c r="EH54" s="504">
        <v>0</v>
      </c>
      <c r="EI54" s="504">
        <v>0</v>
      </c>
      <c r="EJ54" s="504">
        <v>0</v>
      </c>
      <c r="EK54" s="504">
        <v>0</v>
      </c>
      <c r="EL54" s="504">
        <v>0</v>
      </c>
      <c r="EM54" s="504">
        <v>0</v>
      </c>
      <c r="EN54" s="504">
        <v>0</v>
      </c>
      <c r="EO54" s="504">
        <v>0</v>
      </c>
      <c r="EP54" s="504">
        <v>0</v>
      </c>
      <c r="EQ54" s="504">
        <v>0</v>
      </c>
      <c r="ER54" s="504">
        <v>0</v>
      </c>
      <c r="ES54" s="504">
        <v>0</v>
      </c>
      <c r="ET54" s="504">
        <v>0</v>
      </c>
      <c r="EU54" s="504">
        <v>0</v>
      </c>
      <c r="EV54" s="504">
        <v>0</v>
      </c>
      <c r="EW54" s="504">
        <v>0</v>
      </c>
      <c r="EX54" s="504">
        <v>0</v>
      </c>
      <c r="EY54" s="504">
        <v>0</v>
      </c>
      <c r="EZ54" s="504">
        <v>0</v>
      </c>
      <c r="FA54" s="504">
        <v>0</v>
      </c>
      <c r="FB54" s="504">
        <v>0</v>
      </c>
      <c r="FC54" s="504">
        <v>0</v>
      </c>
      <c r="FD54" s="504">
        <v>0</v>
      </c>
      <c r="FE54" s="504">
        <v>0</v>
      </c>
      <c r="FF54" s="504">
        <v>0</v>
      </c>
      <c r="FG54" s="504">
        <v>0</v>
      </c>
      <c r="FH54" s="504">
        <v>0</v>
      </c>
      <c r="FI54" s="504">
        <v>0</v>
      </c>
      <c r="FJ54" s="504">
        <v>0</v>
      </c>
      <c r="FK54" s="504">
        <v>0</v>
      </c>
      <c r="FL54" s="504">
        <v>0</v>
      </c>
      <c r="FM54" s="504">
        <v>0</v>
      </c>
      <c r="FN54" s="504">
        <v>0</v>
      </c>
      <c r="FO54" s="504">
        <v>0</v>
      </c>
      <c r="FP54" s="504">
        <v>0</v>
      </c>
      <c r="FQ54" s="504">
        <v>0</v>
      </c>
      <c r="FR54" s="504">
        <v>0</v>
      </c>
      <c r="FS54" s="504">
        <v>0</v>
      </c>
      <c r="FT54" s="504">
        <v>0</v>
      </c>
      <c r="FU54" s="504">
        <v>0</v>
      </c>
      <c r="FV54" s="504">
        <v>0</v>
      </c>
      <c r="FW54" s="504">
        <v>0</v>
      </c>
      <c r="FX54" s="504">
        <v>0</v>
      </c>
      <c r="FY54" s="504">
        <v>0</v>
      </c>
      <c r="FZ54" s="504">
        <v>0</v>
      </c>
      <c r="GA54" s="504">
        <v>0</v>
      </c>
      <c r="GB54" s="504">
        <v>0</v>
      </c>
      <c r="GC54" s="504">
        <v>0</v>
      </c>
      <c r="GD54" s="504">
        <v>0</v>
      </c>
      <c r="GE54" s="504">
        <v>0</v>
      </c>
      <c r="GF54" s="504">
        <v>0</v>
      </c>
      <c r="GG54" s="504">
        <v>0</v>
      </c>
      <c r="GH54" s="504">
        <v>0</v>
      </c>
      <c r="GI54" s="504">
        <v>0</v>
      </c>
      <c r="GJ54" s="504">
        <v>0</v>
      </c>
      <c r="GK54" s="504">
        <v>0</v>
      </c>
      <c r="GL54" s="504">
        <v>0</v>
      </c>
      <c r="GM54" s="504">
        <v>0</v>
      </c>
      <c r="GN54" s="504">
        <v>0</v>
      </c>
      <c r="GO54" s="504">
        <v>0</v>
      </c>
      <c r="GP54" s="504">
        <v>0</v>
      </c>
      <c r="GQ54" s="504">
        <v>0</v>
      </c>
      <c r="GR54" s="504">
        <v>0</v>
      </c>
      <c r="GS54" s="504">
        <v>0</v>
      </c>
      <c r="GT54" s="504">
        <v>0</v>
      </c>
      <c r="GU54" s="504">
        <v>0</v>
      </c>
      <c r="GV54" s="504">
        <v>0</v>
      </c>
      <c r="GW54" s="504">
        <v>0</v>
      </c>
      <c r="GX54" s="504">
        <v>0</v>
      </c>
      <c r="GY54" s="504">
        <v>0</v>
      </c>
      <c r="GZ54" s="504">
        <v>0</v>
      </c>
      <c r="HA54" s="504">
        <v>0</v>
      </c>
      <c r="HB54" s="504">
        <v>0</v>
      </c>
      <c r="HC54" s="504">
        <v>0</v>
      </c>
      <c r="HD54" s="504">
        <v>0</v>
      </c>
      <c r="HE54" s="504">
        <v>0</v>
      </c>
      <c r="HF54" s="504">
        <v>0</v>
      </c>
      <c r="HG54" s="504">
        <v>0</v>
      </c>
      <c r="HH54" s="504">
        <v>0</v>
      </c>
      <c r="HI54" s="504">
        <v>0</v>
      </c>
      <c r="HJ54" s="504">
        <v>0</v>
      </c>
      <c r="HK54" s="504">
        <v>0</v>
      </c>
      <c r="HL54" s="504">
        <v>0</v>
      </c>
      <c r="HM54" s="504">
        <v>0</v>
      </c>
      <c r="HN54" s="504">
        <v>0</v>
      </c>
      <c r="HO54" s="504">
        <v>0</v>
      </c>
      <c r="HP54" s="504">
        <v>0</v>
      </c>
      <c r="HQ54" s="504">
        <v>0</v>
      </c>
      <c r="HR54" s="504">
        <v>0</v>
      </c>
      <c r="HS54" s="504">
        <v>0</v>
      </c>
      <c r="HT54" s="504">
        <v>0</v>
      </c>
      <c r="HU54" s="504">
        <v>0</v>
      </c>
      <c r="HV54" s="504">
        <v>0</v>
      </c>
      <c r="HW54" s="504">
        <v>0</v>
      </c>
      <c r="HX54" s="504">
        <v>0</v>
      </c>
      <c r="HY54" s="504">
        <v>0</v>
      </c>
      <c r="HZ54" s="504">
        <v>0</v>
      </c>
      <c r="IA54" s="504">
        <v>0</v>
      </c>
      <c r="IB54" s="504">
        <v>0</v>
      </c>
      <c r="IC54" s="504">
        <v>0</v>
      </c>
      <c r="ID54" s="504">
        <v>0</v>
      </c>
      <c r="IE54" s="504">
        <v>0</v>
      </c>
      <c r="IF54" s="504">
        <v>0</v>
      </c>
      <c r="IG54" s="504">
        <v>0</v>
      </c>
      <c r="IH54" s="504">
        <v>0</v>
      </c>
      <c r="II54" s="504">
        <v>0</v>
      </c>
      <c r="IJ54" s="504">
        <v>0</v>
      </c>
      <c r="IK54" s="504">
        <v>0</v>
      </c>
      <c r="IL54" s="504">
        <v>0</v>
      </c>
      <c r="IM54" s="504">
        <v>0</v>
      </c>
      <c r="IN54" s="504">
        <v>0</v>
      </c>
      <c r="IO54" s="504">
        <v>0</v>
      </c>
      <c r="IP54" s="504">
        <v>0</v>
      </c>
      <c r="IQ54" s="504">
        <v>0</v>
      </c>
      <c r="IR54" s="504">
        <v>0</v>
      </c>
      <c r="IS54" s="504">
        <v>0</v>
      </c>
      <c r="IT54" s="504">
        <v>0</v>
      </c>
      <c r="IU54" s="504">
        <v>0</v>
      </c>
      <c r="IV54" s="504">
        <v>0</v>
      </c>
      <c r="IW54" s="504">
        <v>0</v>
      </c>
      <c r="IX54" s="504">
        <v>0</v>
      </c>
      <c r="IY54" s="504">
        <v>0</v>
      </c>
      <c r="IZ54" s="504">
        <v>0</v>
      </c>
      <c r="JA54" s="504">
        <v>0</v>
      </c>
      <c r="JB54" s="504">
        <v>0</v>
      </c>
      <c r="JC54" s="504">
        <v>0</v>
      </c>
      <c r="JD54" s="504">
        <v>0</v>
      </c>
      <c r="JE54" s="504">
        <v>0</v>
      </c>
      <c r="JF54" s="504">
        <v>0</v>
      </c>
      <c r="JG54" s="504">
        <v>0</v>
      </c>
      <c r="JH54" s="504">
        <v>0</v>
      </c>
      <c r="JI54" s="504">
        <v>0</v>
      </c>
      <c r="JJ54" s="504">
        <v>0</v>
      </c>
      <c r="JK54" s="504">
        <v>0</v>
      </c>
      <c r="JL54" s="504">
        <v>0</v>
      </c>
      <c r="JM54" s="504">
        <v>0</v>
      </c>
      <c r="JN54" s="504">
        <v>0</v>
      </c>
      <c r="JO54" s="504">
        <v>0</v>
      </c>
      <c r="JP54" s="504">
        <v>0</v>
      </c>
      <c r="JQ54" s="504">
        <v>0</v>
      </c>
      <c r="JR54" s="504">
        <v>0</v>
      </c>
      <c r="JS54" s="504">
        <v>0</v>
      </c>
      <c r="JT54" s="504">
        <v>0</v>
      </c>
      <c r="JU54" s="504">
        <v>0</v>
      </c>
      <c r="JV54" s="504">
        <v>0</v>
      </c>
      <c r="JW54" s="504">
        <v>0</v>
      </c>
      <c r="JX54" s="504">
        <v>0</v>
      </c>
      <c r="JY54" s="504">
        <v>0</v>
      </c>
      <c r="JZ54" s="504">
        <v>0</v>
      </c>
      <c r="KA54" s="504">
        <v>0</v>
      </c>
      <c r="KB54" s="504">
        <v>0</v>
      </c>
      <c r="KC54" s="504">
        <v>0</v>
      </c>
      <c r="KD54" s="504">
        <v>0</v>
      </c>
      <c r="KE54" s="504">
        <v>0</v>
      </c>
      <c r="KF54" s="504">
        <v>0</v>
      </c>
      <c r="KG54" s="504">
        <v>0</v>
      </c>
      <c r="KH54" s="504">
        <v>0</v>
      </c>
      <c r="KI54" s="504">
        <v>0</v>
      </c>
      <c r="KJ54" s="504">
        <v>0</v>
      </c>
      <c r="KK54" s="504">
        <v>0</v>
      </c>
      <c r="KL54" s="504">
        <v>0</v>
      </c>
      <c r="KM54" s="504">
        <v>0</v>
      </c>
      <c r="KN54" s="504">
        <v>0</v>
      </c>
      <c r="KO54" s="504">
        <v>0</v>
      </c>
      <c r="KP54" s="504">
        <v>0</v>
      </c>
      <c r="KQ54" s="504">
        <v>0</v>
      </c>
      <c r="KR54" s="504">
        <v>0</v>
      </c>
      <c r="KS54" s="504">
        <v>0</v>
      </c>
      <c r="KT54" s="504">
        <v>0</v>
      </c>
      <c r="KU54" s="504">
        <v>0</v>
      </c>
      <c r="KV54" s="504">
        <v>0</v>
      </c>
      <c r="KW54" s="504">
        <v>0</v>
      </c>
      <c r="KX54" s="504">
        <v>0</v>
      </c>
      <c r="KY54" s="504">
        <v>0</v>
      </c>
      <c r="KZ54" s="504">
        <v>0</v>
      </c>
      <c r="LA54" s="504">
        <v>0</v>
      </c>
      <c r="LB54" s="504">
        <v>0</v>
      </c>
      <c r="LC54" s="504">
        <v>0</v>
      </c>
      <c r="LD54" s="504">
        <v>0</v>
      </c>
      <c r="LE54" s="504">
        <v>0</v>
      </c>
      <c r="LF54" s="504">
        <v>0</v>
      </c>
      <c r="LG54" s="504">
        <v>0</v>
      </c>
      <c r="LH54" s="504">
        <v>0</v>
      </c>
      <c r="LI54" s="504">
        <v>0</v>
      </c>
      <c r="LJ54" s="504">
        <v>0</v>
      </c>
      <c r="LK54" s="504">
        <v>0</v>
      </c>
      <c r="LL54" s="504">
        <v>0</v>
      </c>
      <c r="LM54" s="504">
        <v>0</v>
      </c>
      <c r="LN54" s="504">
        <v>0</v>
      </c>
      <c r="LO54" s="504">
        <v>0</v>
      </c>
      <c r="LP54" s="504">
        <v>0</v>
      </c>
      <c r="LQ54" s="504">
        <v>0</v>
      </c>
      <c r="LR54" s="504">
        <v>0</v>
      </c>
      <c r="LS54" s="504">
        <v>0</v>
      </c>
      <c r="LT54" s="504">
        <v>0</v>
      </c>
      <c r="LU54" s="504">
        <v>0</v>
      </c>
      <c r="LV54" s="504">
        <v>0</v>
      </c>
      <c r="LW54" s="504">
        <v>0</v>
      </c>
      <c r="LX54" s="504">
        <v>0</v>
      </c>
      <c r="LY54" s="504">
        <v>0</v>
      </c>
      <c r="LZ54" s="504">
        <v>0</v>
      </c>
      <c r="MA54" s="504">
        <v>0</v>
      </c>
      <c r="MB54" s="504">
        <v>0</v>
      </c>
      <c r="MC54" s="504">
        <v>0</v>
      </c>
      <c r="MD54" s="504">
        <v>0</v>
      </c>
      <c r="ME54" s="504">
        <v>0</v>
      </c>
      <c r="MF54" s="504">
        <v>0</v>
      </c>
      <c r="MG54" s="504">
        <v>0</v>
      </c>
      <c r="MH54" s="504">
        <v>0</v>
      </c>
      <c r="MI54" s="504">
        <v>0</v>
      </c>
      <c r="MJ54" s="504">
        <v>0</v>
      </c>
      <c r="MK54" s="504">
        <v>0</v>
      </c>
      <c r="ML54" s="504">
        <v>0</v>
      </c>
      <c r="MM54" s="504">
        <v>0</v>
      </c>
      <c r="MN54" s="504">
        <v>0</v>
      </c>
      <c r="MO54" s="504">
        <v>0</v>
      </c>
      <c r="MP54" s="504">
        <v>0</v>
      </c>
      <c r="MQ54" s="504">
        <v>0</v>
      </c>
      <c r="MR54" s="504">
        <v>0</v>
      </c>
      <c r="MS54" s="504">
        <v>0</v>
      </c>
      <c r="MT54" s="504">
        <v>0</v>
      </c>
      <c r="MU54" s="504">
        <v>0</v>
      </c>
      <c r="MV54" s="504">
        <v>0</v>
      </c>
      <c r="MW54" s="504">
        <v>0</v>
      </c>
      <c r="MX54" s="504">
        <v>0</v>
      </c>
      <c r="MY54" s="504">
        <v>0</v>
      </c>
      <c r="MZ54" s="504">
        <v>0</v>
      </c>
      <c r="NA54" s="504">
        <v>0</v>
      </c>
      <c r="NB54" s="504">
        <v>0</v>
      </c>
      <c r="NC54" s="504">
        <v>0</v>
      </c>
      <c r="ND54" s="504">
        <v>0</v>
      </c>
      <c r="NE54" s="504">
        <v>0</v>
      </c>
      <c r="NF54" s="504">
        <v>0</v>
      </c>
      <c r="NG54" s="504">
        <v>0</v>
      </c>
      <c r="NH54" s="504">
        <v>0</v>
      </c>
      <c r="NI54" s="504">
        <v>0</v>
      </c>
      <c r="NJ54" s="504">
        <v>0</v>
      </c>
      <c r="NK54" s="504">
        <v>0</v>
      </c>
      <c r="NL54" s="504">
        <v>0</v>
      </c>
      <c r="NM54" s="504">
        <v>0</v>
      </c>
      <c r="NN54" s="504">
        <v>0</v>
      </c>
      <c r="NO54" s="504">
        <v>0</v>
      </c>
      <c r="NP54" s="504">
        <v>0</v>
      </c>
      <c r="NQ54" s="504">
        <v>0</v>
      </c>
      <c r="NR54" s="504">
        <v>0</v>
      </c>
      <c r="NS54" s="504">
        <v>0</v>
      </c>
      <c r="NT54" s="504">
        <v>0</v>
      </c>
      <c r="NU54" s="504">
        <v>0</v>
      </c>
      <c r="NV54" s="504">
        <v>0</v>
      </c>
      <c r="NW54" s="504">
        <v>0</v>
      </c>
      <c r="NX54" s="504">
        <v>0</v>
      </c>
      <c r="NY54" s="504">
        <v>0</v>
      </c>
      <c r="NZ54" s="504">
        <v>0</v>
      </c>
      <c r="OA54" s="504">
        <v>0</v>
      </c>
      <c r="OB54" s="504">
        <v>0</v>
      </c>
      <c r="OC54" s="504">
        <v>0</v>
      </c>
      <c r="OD54" s="504">
        <v>0</v>
      </c>
      <c r="OE54" s="504">
        <v>0</v>
      </c>
      <c r="OF54" s="504">
        <v>0</v>
      </c>
      <c r="OG54" s="504">
        <v>0</v>
      </c>
      <c r="OH54" s="504">
        <v>0</v>
      </c>
      <c r="OI54" s="504">
        <v>0</v>
      </c>
      <c r="OJ54" s="504">
        <v>0</v>
      </c>
      <c r="OK54" s="504">
        <v>0</v>
      </c>
      <c r="OL54" s="504">
        <v>0</v>
      </c>
      <c r="OM54" s="504">
        <v>0</v>
      </c>
      <c r="ON54" s="494"/>
    </row>
    <row r="55" spans="1:404" ht="18.75" customHeight="1" x14ac:dyDescent="0.4">
      <c r="A55" s="355" t="s">
        <v>331</v>
      </c>
      <c r="B55" s="358">
        <v>92</v>
      </c>
      <c r="C55" s="355" t="s">
        <v>60</v>
      </c>
      <c r="D55" s="501">
        <v>35.31</v>
      </c>
      <c r="E55" s="502">
        <v>61358</v>
      </c>
      <c r="F55" s="501">
        <v>35.299999999999997</v>
      </c>
      <c r="G55" s="502">
        <v>1482</v>
      </c>
      <c r="H55" s="501">
        <v>35.299999999999997</v>
      </c>
      <c r="I55" s="502">
        <v>4397</v>
      </c>
      <c r="J55" s="501">
        <v>35.299999999999997</v>
      </c>
      <c r="K55" s="502">
        <v>5067</v>
      </c>
      <c r="V55" s="501"/>
      <c r="W55" s="503"/>
      <c r="X55" s="501"/>
      <c r="Y55" s="503"/>
      <c r="Z55" s="501"/>
      <c r="AA55" s="503"/>
      <c r="AB55" s="495"/>
      <c r="AC55" s="504">
        <v>0</v>
      </c>
      <c r="AD55" s="504">
        <v>0</v>
      </c>
      <c r="AE55" s="504">
        <v>0</v>
      </c>
      <c r="AF55" s="504">
        <v>0</v>
      </c>
      <c r="AG55" s="504">
        <v>0</v>
      </c>
      <c r="AH55" s="504">
        <v>0</v>
      </c>
      <c r="AI55" s="504">
        <v>0</v>
      </c>
      <c r="AJ55" s="504">
        <v>0</v>
      </c>
      <c r="AK55" s="504">
        <v>0</v>
      </c>
      <c r="AL55" s="504">
        <v>0</v>
      </c>
      <c r="AM55" s="504">
        <v>0</v>
      </c>
      <c r="AN55" s="504">
        <v>0</v>
      </c>
      <c r="AO55" s="504">
        <v>0</v>
      </c>
      <c r="AP55" s="504">
        <v>0</v>
      </c>
      <c r="AQ55" s="504">
        <v>0</v>
      </c>
      <c r="AR55" s="504">
        <v>0</v>
      </c>
      <c r="AS55" s="504">
        <v>0</v>
      </c>
      <c r="AT55" s="504">
        <v>0</v>
      </c>
      <c r="AU55" s="504">
        <v>0</v>
      </c>
      <c r="AV55" s="504">
        <v>0</v>
      </c>
      <c r="AW55" s="504">
        <v>0</v>
      </c>
      <c r="AX55" s="504">
        <v>0</v>
      </c>
      <c r="AY55" s="504">
        <v>0</v>
      </c>
      <c r="AZ55" s="504">
        <v>0</v>
      </c>
      <c r="BA55" s="504">
        <v>0</v>
      </c>
      <c r="BB55" s="504">
        <v>0</v>
      </c>
      <c r="BC55" s="504">
        <v>0</v>
      </c>
      <c r="BD55" s="504">
        <v>0</v>
      </c>
      <c r="BE55" s="504">
        <v>0</v>
      </c>
      <c r="BF55" s="504">
        <v>0</v>
      </c>
      <c r="BG55" s="504">
        <v>0</v>
      </c>
      <c r="BH55" s="504">
        <v>0</v>
      </c>
      <c r="BI55" s="504">
        <v>0</v>
      </c>
      <c r="BJ55" s="504">
        <v>0</v>
      </c>
      <c r="BK55" s="504">
        <v>0</v>
      </c>
      <c r="BL55" s="504">
        <v>0</v>
      </c>
      <c r="BM55" s="504">
        <v>0</v>
      </c>
      <c r="BN55" s="504">
        <v>0</v>
      </c>
      <c r="BO55" s="504">
        <v>0</v>
      </c>
      <c r="BP55" s="504">
        <v>0</v>
      </c>
      <c r="BQ55" s="504">
        <v>0</v>
      </c>
      <c r="BR55" s="504">
        <v>0</v>
      </c>
      <c r="BS55" s="504">
        <v>0</v>
      </c>
      <c r="BT55" s="504">
        <v>0</v>
      </c>
      <c r="BU55" s="504">
        <v>0</v>
      </c>
      <c r="BV55" s="504">
        <v>0</v>
      </c>
      <c r="BW55" s="504">
        <v>0</v>
      </c>
      <c r="BX55" s="504">
        <v>0</v>
      </c>
      <c r="BY55" s="504">
        <v>0</v>
      </c>
      <c r="BZ55" s="504">
        <v>0</v>
      </c>
      <c r="CA55" s="504">
        <v>0</v>
      </c>
      <c r="CB55" s="504">
        <v>0</v>
      </c>
      <c r="CC55" s="504">
        <v>0</v>
      </c>
      <c r="CD55" s="504">
        <v>0</v>
      </c>
      <c r="CE55" s="504">
        <v>0</v>
      </c>
      <c r="CF55" s="504">
        <v>0</v>
      </c>
      <c r="CG55" s="504">
        <v>0</v>
      </c>
      <c r="CH55" s="504">
        <v>0</v>
      </c>
      <c r="CI55" s="504">
        <v>0</v>
      </c>
      <c r="CJ55" s="504">
        <v>0</v>
      </c>
      <c r="CK55" s="504">
        <v>0</v>
      </c>
      <c r="CL55" s="504">
        <v>0</v>
      </c>
      <c r="CM55" s="504">
        <v>0</v>
      </c>
      <c r="CN55" s="504">
        <v>0</v>
      </c>
      <c r="CO55" s="504">
        <v>0</v>
      </c>
      <c r="CP55" s="504">
        <v>0</v>
      </c>
      <c r="CQ55" s="504">
        <v>0</v>
      </c>
      <c r="CR55" s="504">
        <v>0</v>
      </c>
      <c r="CS55" s="504">
        <v>0</v>
      </c>
      <c r="CT55" s="504">
        <v>0</v>
      </c>
      <c r="CU55" s="504">
        <v>0</v>
      </c>
      <c r="CV55" s="504">
        <v>0</v>
      </c>
      <c r="CW55" s="504">
        <v>0</v>
      </c>
      <c r="CX55" s="504">
        <v>0</v>
      </c>
      <c r="CY55" s="504">
        <v>0</v>
      </c>
      <c r="CZ55" s="504">
        <v>0</v>
      </c>
      <c r="DA55" s="504">
        <v>0</v>
      </c>
      <c r="DB55" s="504">
        <v>0</v>
      </c>
      <c r="DC55" s="504">
        <v>0</v>
      </c>
      <c r="DD55" s="504">
        <v>0</v>
      </c>
      <c r="DE55" s="504">
        <v>0</v>
      </c>
      <c r="DF55" s="504">
        <v>0</v>
      </c>
      <c r="DG55" s="504">
        <v>0</v>
      </c>
      <c r="DH55" s="504">
        <v>0</v>
      </c>
      <c r="DI55" s="504">
        <v>0</v>
      </c>
      <c r="DJ55" s="504">
        <v>0</v>
      </c>
      <c r="DK55" s="504">
        <v>0</v>
      </c>
      <c r="DL55" s="504">
        <v>0</v>
      </c>
      <c r="DM55" s="504">
        <v>0</v>
      </c>
      <c r="DN55" s="504">
        <v>0</v>
      </c>
      <c r="DO55" s="504">
        <v>0</v>
      </c>
      <c r="DP55" s="504">
        <v>0</v>
      </c>
      <c r="DQ55" s="504">
        <v>0</v>
      </c>
      <c r="DR55" s="504">
        <v>0</v>
      </c>
      <c r="DS55" s="504">
        <v>0</v>
      </c>
      <c r="DT55" s="504">
        <v>0</v>
      </c>
      <c r="DU55" s="504">
        <v>0</v>
      </c>
      <c r="DV55" s="504">
        <v>0</v>
      </c>
      <c r="DW55" s="504">
        <v>0</v>
      </c>
      <c r="DX55" s="504">
        <v>0</v>
      </c>
      <c r="DY55" s="504">
        <v>0</v>
      </c>
      <c r="DZ55" s="504">
        <v>0</v>
      </c>
      <c r="EA55" s="504">
        <v>0</v>
      </c>
      <c r="EB55" s="504">
        <v>0</v>
      </c>
      <c r="EC55" s="504">
        <v>0</v>
      </c>
      <c r="ED55" s="504">
        <v>0</v>
      </c>
      <c r="EE55" s="504">
        <v>0</v>
      </c>
      <c r="EF55" s="504">
        <v>0</v>
      </c>
      <c r="EG55" s="504">
        <v>0</v>
      </c>
      <c r="EH55" s="504">
        <v>0</v>
      </c>
      <c r="EI55" s="504">
        <v>0</v>
      </c>
      <c r="EJ55" s="504">
        <v>0</v>
      </c>
      <c r="EK55" s="504">
        <v>0</v>
      </c>
      <c r="EL55" s="504">
        <v>0</v>
      </c>
      <c r="EM55" s="504">
        <v>0</v>
      </c>
      <c r="EN55" s="504">
        <v>0</v>
      </c>
      <c r="EO55" s="504">
        <v>0</v>
      </c>
      <c r="EP55" s="504">
        <v>0</v>
      </c>
      <c r="EQ55" s="504">
        <v>0</v>
      </c>
      <c r="ER55" s="504">
        <v>0</v>
      </c>
      <c r="ES55" s="504">
        <v>0</v>
      </c>
      <c r="ET55" s="504">
        <v>0</v>
      </c>
      <c r="EU55" s="504">
        <v>0</v>
      </c>
      <c r="EV55" s="504">
        <v>0</v>
      </c>
      <c r="EW55" s="504">
        <v>0</v>
      </c>
      <c r="EX55" s="504">
        <v>0</v>
      </c>
      <c r="EY55" s="504">
        <v>0</v>
      </c>
      <c r="EZ55" s="504">
        <v>0</v>
      </c>
      <c r="FA55" s="504">
        <v>0</v>
      </c>
      <c r="FB55" s="504">
        <v>0</v>
      </c>
      <c r="FC55" s="504">
        <v>0</v>
      </c>
      <c r="FD55" s="504">
        <v>0</v>
      </c>
      <c r="FE55" s="504">
        <v>0</v>
      </c>
      <c r="FF55" s="504">
        <v>0</v>
      </c>
      <c r="FG55" s="504">
        <v>0</v>
      </c>
      <c r="FH55" s="504">
        <v>0</v>
      </c>
      <c r="FI55" s="504">
        <v>0</v>
      </c>
      <c r="FJ55" s="504">
        <v>0</v>
      </c>
      <c r="FK55" s="504">
        <v>0</v>
      </c>
      <c r="FL55" s="504">
        <v>0</v>
      </c>
      <c r="FM55" s="504">
        <v>0</v>
      </c>
      <c r="FN55" s="504">
        <v>0</v>
      </c>
      <c r="FO55" s="504">
        <v>0</v>
      </c>
      <c r="FP55" s="504">
        <v>0</v>
      </c>
      <c r="FQ55" s="504">
        <v>0</v>
      </c>
      <c r="FR55" s="504">
        <v>0</v>
      </c>
      <c r="FS55" s="504">
        <v>0</v>
      </c>
      <c r="FT55" s="504">
        <v>0</v>
      </c>
      <c r="FU55" s="504">
        <v>0</v>
      </c>
      <c r="FV55" s="504">
        <v>0</v>
      </c>
      <c r="FW55" s="504">
        <v>0</v>
      </c>
      <c r="FX55" s="504">
        <v>0</v>
      </c>
      <c r="FY55" s="504">
        <v>0</v>
      </c>
      <c r="FZ55" s="504">
        <v>0</v>
      </c>
      <c r="GA55" s="504">
        <v>0</v>
      </c>
      <c r="GB55" s="504">
        <v>0</v>
      </c>
      <c r="GC55" s="504">
        <v>0</v>
      </c>
      <c r="GD55" s="504">
        <v>0</v>
      </c>
      <c r="GE55" s="504">
        <v>0</v>
      </c>
      <c r="GF55" s="504">
        <v>0</v>
      </c>
      <c r="GG55" s="504">
        <v>0</v>
      </c>
      <c r="GH55" s="504">
        <v>0</v>
      </c>
      <c r="GI55" s="504">
        <v>0</v>
      </c>
      <c r="GJ55" s="504">
        <v>0</v>
      </c>
      <c r="GK55" s="504">
        <v>0</v>
      </c>
      <c r="GL55" s="504">
        <v>0</v>
      </c>
      <c r="GM55" s="504">
        <v>0</v>
      </c>
      <c r="GN55" s="504">
        <v>0</v>
      </c>
      <c r="GO55" s="504">
        <v>0</v>
      </c>
      <c r="GP55" s="504">
        <v>0</v>
      </c>
      <c r="GQ55" s="504">
        <v>0</v>
      </c>
      <c r="GR55" s="504">
        <v>0</v>
      </c>
      <c r="GS55" s="504">
        <v>0</v>
      </c>
      <c r="GT55" s="504">
        <v>0</v>
      </c>
      <c r="GU55" s="504">
        <v>0</v>
      </c>
      <c r="GV55" s="504">
        <v>0</v>
      </c>
      <c r="GW55" s="504">
        <v>0</v>
      </c>
      <c r="GX55" s="504">
        <v>0</v>
      </c>
      <c r="GY55" s="504">
        <v>0</v>
      </c>
      <c r="GZ55" s="504">
        <v>0</v>
      </c>
      <c r="HA55" s="504">
        <v>0</v>
      </c>
      <c r="HB55" s="504">
        <v>0</v>
      </c>
      <c r="HC55" s="504">
        <v>0</v>
      </c>
      <c r="HD55" s="504">
        <v>0</v>
      </c>
      <c r="HE55" s="504">
        <v>0</v>
      </c>
      <c r="HF55" s="504">
        <v>0</v>
      </c>
      <c r="HG55" s="504">
        <v>0</v>
      </c>
      <c r="HH55" s="504">
        <v>0</v>
      </c>
      <c r="HI55" s="504">
        <v>0</v>
      </c>
      <c r="HJ55" s="504">
        <v>0</v>
      </c>
      <c r="HK55" s="504">
        <v>0</v>
      </c>
      <c r="HL55" s="504">
        <v>0</v>
      </c>
      <c r="HM55" s="504">
        <v>0</v>
      </c>
      <c r="HN55" s="504">
        <v>0</v>
      </c>
      <c r="HO55" s="504">
        <v>0</v>
      </c>
      <c r="HP55" s="504">
        <v>0</v>
      </c>
      <c r="HQ55" s="504">
        <v>0</v>
      </c>
      <c r="HR55" s="504">
        <v>0</v>
      </c>
      <c r="HS55" s="504">
        <v>0</v>
      </c>
      <c r="HT55" s="504">
        <v>0</v>
      </c>
      <c r="HU55" s="504">
        <v>0</v>
      </c>
      <c r="HV55" s="504">
        <v>0</v>
      </c>
      <c r="HW55" s="504">
        <v>0</v>
      </c>
      <c r="HX55" s="504">
        <v>0</v>
      </c>
      <c r="HY55" s="504">
        <v>0</v>
      </c>
      <c r="HZ55" s="504">
        <v>0</v>
      </c>
      <c r="IA55" s="504">
        <v>0</v>
      </c>
      <c r="IB55" s="504">
        <v>0</v>
      </c>
      <c r="IC55" s="504">
        <v>0</v>
      </c>
      <c r="ID55" s="504">
        <v>0</v>
      </c>
      <c r="IE55" s="504">
        <v>0</v>
      </c>
      <c r="IF55" s="504">
        <v>0</v>
      </c>
      <c r="IG55" s="504">
        <v>0</v>
      </c>
      <c r="IH55" s="504">
        <v>0</v>
      </c>
      <c r="II55" s="504">
        <v>0</v>
      </c>
      <c r="IJ55" s="504">
        <v>0</v>
      </c>
      <c r="IK55" s="504">
        <v>0</v>
      </c>
      <c r="IL55" s="504">
        <v>0</v>
      </c>
      <c r="IM55" s="504">
        <v>0</v>
      </c>
      <c r="IN55" s="504">
        <v>0</v>
      </c>
      <c r="IO55" s="504">
        <v>0</v>
      </c>
      <c r="IP55" s="504">
        <v>0</v>
      </c>
      <c r="IQ55" s="504">
        <v>0</v>
      </c>
      <c r="IR55" s="504">
        <v>0</v>
      </c>
      <c r="IS55" s="504">
        <v>0</v>
      </c>
      <c r="IT55" s="504">
        <v>0</v>
      </c>
      <c r="IU55" s="504">
        <v>0</v>
      </c>
      <c r="IV55" s="504">
        <v>0</v>
      </c>
      <c r="IW55" s="504">
        <v>0</v>
      </c>
      <c r="IX55" s="504">
        <v>0</v>
      </c>
      <c r="IY55" s="504">
        <v>0</v>
      </c>
      <c r="IZ55" s="504">
        <v>0</v>
      </c>
      <c r="JA55" s="504">
        <v>0</v>
      </c>
      <c r="JB55" s="504">
        <v>0</v>
      </c>
      <c r="JC55" s="504">
        <v>0</v>
      </c>
      <c r="JD55" s="504">
        <v>0</v>
      </c>
      <c r="JE55" s="504">
        <v>0</v>
      </c>
      <c r="JF55" s="504">
        <v>0</v>
      </c>
      <c r="JG55" s="504">
        <v>0</v>
      </c>
      <c r="JH55" s="504">
        <v>0</v>
      </c>
      <c r="JI55" s="504">
        <v>0</v>
      </c>
      <c r="JJ55" s="504">
        <v>0</v>
      </c>
      <c r="JK55" s="504">
        <v>0</v>
      </c>
      <c r="JL55" s="504">
        <v>0</v>
      </c>
      <c r="JM55" s="504">
        <v>0</v>
      </c>
      <c r="JN55" s="504">
        <v>0</v>
      </c>
      <c r="JO55" s="504">
        <v>0</v>
      </c>
      <c r="JP55" s="504">
        <v>0</v>
      </c>
      <c r="JQ55" s="504">
        <v>0</v>
      </c>
      <c r="JR55" s="504">
        <v>0</v>
      </c>
      <c r="JS55" s="504">
        <v>0</v>
      </c>
      <c r="JT55" s="504">
        <v>0</v>
      </c>
      <c r="JU55" s="504">
        <v>0</v>
      </c>
      <c r="JV55" s="504">
        <v>0</v>
      </c>
      <c r="JW55" s="504">
        <v>0</v>
      </c>
      <c r="JX55" s="504">
        <v>0</v>
      </c>
      <c r="JY55" s="504">
        <v>0</v>
      </c>
      <c r="JZ55" s="504">
        <v>0</v>
      </c>
      <c r="KA55" s="504">
        <v>0</v>
      </c>
      <c r="KB55" s="504">
        <v>0</v>
      </c>
      <c r="KC55" s="504">
        <v>0</v>
      </c>
      <c r="KD55" s="504">
        <v>0</v>
      </c>
      <c r="KE55" s="504">
        <v>0</v>
      </c>
      <c r="KF55" s="504">
        <v>0</v>
      </c>
      <c r="KG55" s="504">
        <v>0</v>
      </c>
      <c r="KH55" s="504">
        <v>0</v>
      </c>
      <c r="KI55" s="504">
        <v>0</v>
      </c>
      <c r="KJ55" s="504">
        <v>0</v>
      </c>
      <c r="KK55" s="504">
        <v>0</v>
      </c>
      <c r="KL55" s="504">
        <v>0</v>
      </c>
      <c r="KM55" s="504">
        <v>0</v>
      </c>
      <c r="KN55" s="504">
        <v>0</v>
      </c>
      <c r="KO55" s="504">
        <v>0</v>
      </c>
      <c r="KP55" s="504">
        <v>0</v>
      </c>
      <c r="KQ55" s="504">
        <v>0</v>
      </c>
      <c r="KR55" s="504">
        <v>0</v>
      </c>
      <c r="KS55" s="504">
        <v>0</v>
      </c>
      <c r="KT55" s="504">
        <v>0</v>
      </c>
      <c r="KU55" s="504">
        <v>0</v>
      </c>
      <c r="KV55" s="504">
        <v>0</v>
      </c>
      <c r="KW55" s="504">
        <v>0</v>
      </c>
      <c r="KX55" s="504">
        <v>0</v>
      </c>
      <c r="KY55" s="504">
        <v>0</v>
      </c>
      <c r="KZ55" s="504">
        <v>0</v>
      </c>
      <c r="LA55" s="504">
        <v>0</v>
      </c>
      <c r="LB55" s="504">
        <v>0</v>
      </c>
      <c r="LC55" s="504">
        <v>0</v>
      </c>
      <c r="LD55" s="504">
        <v>0</v>
      </c>
      <c r="LE55" s="504">
        <v>0</v>
      </c>
      <c r="LF55" s="504">
        <v>0</v>
      </c>
      <c r="LG55" s="504">
        <v>0</v>
      </c>
      <c r="LH55" s="504">
        <v>0</v>
      </c>
      <c r="LI55" s="504">
        <v>0</v>
      </c>
      <c r="LJ55" s="504">
        <v>0</v>
      </c>
      <c r="LK55" s="504">
        <v>0</v>
      </c>
      <c r="LL55" s="504">
        <v>0</v>
      </c>
      <c r="LM55" s="504">
        <v>0</v>
      </c>
      <c r="LN55" s="504">
        <v>0</v>
      </c>
      <c r="LO55" s="504">
        <v>0</v>
      </c>
      <c r="LP55" s="504">
        <v>0</v>
      </c>
      <c r="LQ55" s="504">
        <v>0</v>
      </c>
      <c r="LR55" s="504">
        <v>0</v>
      </c>
      <c r="LS55" s="504">
        <v>0</v>
      </c>
      <c r="LT55" s="504">
        <v>0</v>
      </c>
      <c r="LU55" s="504">
        <v>0</v>
      </c>
      <c r="LV55" s="504">
        <v>0</v>
      </c>
      <c r="LW55" s="504">
        <v>0</v>
      </c>
      <c r="LX55" s="504">
        <v>0</v>
      </c>
      <c r="LY55" s="504">
        <v>0</v>
      </c>
      <c r="LZ55" s="504">
        <v>0</v>
      </c>
      <c r="MA55" s="504">
        <v>0</v>
      </c>
      <c r="MB55" s="504">
        <v>0</v>
      </c>
      <c r="MC55" s="504">
        <v>0</v>
      </c>
      <c r="MD55" s="504">
        <v>0</v>
      </c>
      <c r="ME55" s="504">
        <v>0</v>
      </c>
      <c r="MF55" s="504">
        <v>0</v>
      </c>
      <c r="MG55" s="504">
        <v>0</v>
      </c>
      <c r="MH55" s="504">
        <v>0</v>
      </c>
      <c r="MI55" s="504">
        <v>0</v>
      </c>
      <c r="MJ55" s="504">
        <v>0</v>
      </c>
      <c r="MK55" s="504">
        <v>0</v>
      </c>
      <c r="ML55" s="504">
        <v>0</v>
      </c>
      <c r="MM55" s="504">
        <v>0</v>
      </c>
      <c r="MN55" s="504">
        <v>0</v>
      </c>
      <c r="MO55" s="504">
        <v>0</v>
      </c>
      <c r="MP55" s="504">
        <v>0</v>
      </c>
      <c r="MQ55" s="504">
        <v>0</v>
      </c>
      <c r="MR55" s="504">
        <v>0</v>
      </c>
      <c r="MS55" s="504">
        <v>0</v>
      </c>
      <c r="MT55" s="504">
        <v>0</v>
      </c>
      <c r="MU55" s="504">
        <v>0</v>
      </c>
      <c r="MV55" s="504">
        <v>0</v>
      </c>
      <c r="MW55" s="504">
        <v>0</v>
      </c>
      <c r="MX55" s="504">
        <v>0</v>
      </c>
      <c r="MY55" s="504">
        <v>0</v>
      </c>
      <c r="MZ55" s="504">
        <v>0</v>
      </c>
      <c r="NA55" s="504">
        <v>0</v>
      </c>
      <c r="NB55" s="504">
        <v>0</v>
      </c>
      <c r="NC55" s="504">
        <v>0</v>
      </c>
      <c r="ND55" s="504">
        <v>0</v>
      </c>
      <c r="NE55" s="504">
        <v>0</v>
      </c>
      <c r="NF55" s="504">
        <v>0</v>
      </c>
      <c r="NG55" s="504">
        <v>0</v>
      </c>
      <c r="NH55" s="504">
        <v>0</v>
      </c>
      <c r="NI55" s="504">
        <v>0</v>
      </c>
      <c r="NJ55" s="504">
        <v>0</v>
      </c>
      <c r="NK55" s="504">
        <v>0</v>
      </c>
      <c r="NL55" s="504">
        <v>0</v>
      </c>
      <c r="NM55" s="504">
        <v>0</v>
      </c>
      <c r="NN55" s="504">
        <v>0</v>
      </c>
      <c r="NO55" s="504">
        <v>0</v>
      </c>
      <c r="NP55" s="504">
        <v>0</v>
      </c>
      <c r="NQ55" s="504">
        <v>0</v>
      </c>
      <c r="NR55" s="504">
        <v>0</v>
      </c>
      <c r="NS55" s="504">
        <v>0</v>
      </c>
      <c r="NT55" s="504">
        <v>0</v>
      </c>
      <c r="NU55" s="504">
        <v>0</v>
      </c>
      <c r="NV55" s="504">
        <v>0</v>
      </c>
      <c r="NW55" s="504">
        <v>0</v>
      </c>
      <c r="NX55" s="504">
        <v>0</v>
      </c>
      <c r="NY55" s="504">
        <v>0</v>
      </c>
      <c r="NZ55" s="504">
        <v>0</v>
      </c>
      <c r="OA55" s="504">
        <v>0</v>
      </c>
      <c r="OB55" s="504">
        <v>0</v>
      </c>
      <c r="OC55" s="504">
        <v>0</v>
      </c>
      <c r="OD55" s="504">
        <v>0</v>
      </c>
      <c r="OE55" s="504">
        <v>0</v>
      </c>
      <c r="OF55" s="504">
        <v>0</v>
      </c>
      <c r="OG55" s="504">
        <v>0</v>
      </c>
      <c r="OH55" s="504">
        <v>0</v>
      </c>
      <c r="OI55" s="504">
        <v>0</v>
      </c>
      <c r="OJ55" s="504">
        <v>0</v>
      </c>
      <c r="OK55" s="504">
        <v>0</v>
      </c>
      <c r="OL55" s="504">
        <v>0</v>
      </c>
      <c r="OM55" s="504">
        <v>0</v>
      </c>
      <c r="ON55" s="494"/>
    </row>
    <row r="56" spans="1:404" ht="18.75" customHeight="1" x14ac:dyDescent="0.4">
      <c r="A56" s="355" t="s">
        <v>332</v>
      </c>
      <c r="B56" s="358">
        <v>216</v>
      </c>
      <c r="C56" s="355" t="s">
        <v>60</v>
      </c>
      <c r="D56" s="501">
        <v>35.39</v>
      </c>
      <c r="E56" s="502">
        <v>27340</v>
      </c>
      <c r="F56" s="501">
        <v>35.369999999999997</v>
      </c>
      <c r="G56" s="502">
        <v>8532</v>
      </c>
      <c r="H56" s="501">
        <v>35.380000000000003</v>
      </c>
      <c r="I56" s="502">
        <v>23533</v>
      </c>
      <c r="J56" s="501">
        <v>35.380000000000003</v>
      </c>
      <c r="K56" s="502">
        <v>26693</v>
      </c>
      <c r="V56" s="501"/>
      <c r="W56" s="503"/>
      <c r="X56" s="501"/>
      <c r="Y56" s="503"/>
      <c r="Z56" s="501"/>
      <c r="AA56" s="503"/>
      <c r="AB56" s="495"/>
      <c r="AC56" s="504">
        <v>0</v>
      </c>
      <c r="AD56" s="504">
        <v>0</v>
      </c>
      <c r="AE56" s="504">
        <v>0</v>
      </c>
      <c r="AF56" s="504">
        <v>0</v>
      </c>
      <c r="AG56" s="504">
        <v>0</v>
      </c>
      <c r="AH56" s="504">
        <v>0</v>
      </c>
      <c r="AI56" s="504">
        <v>0</v>
      </c>
      <c r="AJ56" s="504">
        <v>0</v>
      </c>
      <c r="AK56" s="504">
        <v>0</v>
      </c>
      <c r="AL56" s="504">
        <v>0</v>
      </c>
      <c r="AM56" s="504">
        <v>0</v>
      </c>
      <c r="AN56" s="504">
        <v>0</v>
      </c>
      <c r="AO56" s="504">
        <v>0</v>
      </c>
      <c r="AP56" s="504">
        <v>0</v>
      </c>
      <c r="AQ56" s="504">
        <v>0</v>
      </c>
      <c r="AR56" s="504">
        <v>0</v>
      </c>
      <c r="AS56" s="504">
        <v>0</v>
      </c>
      <c r="AT56" s="504">
        <v>0</v>
      </c>
      <c r="AU56" s="504">
        <v>0</v>
      </c>
      <c r="AV56" s="504">
        <v>0</v>
      </c>
      <c r="AW56" s="504">
        <v>0</v>
      </c>
      <c r="AX56" s="504">
        <v>0</v>
      </c>
      <c r="AY56" s="504">
        <v>0</v>
      </c>
      <c r="AZ56" s="504">
        <v>0</v>
      </c>
      <c r="BA56" s="504">
        <v>0</v>
      </c>
      <c r="BB56" s="504">
        <v>0</v>
      </c>
      <c r="BC56" s="504">
        <v>0</v>
      </c>
      <c r="BD56" s="504">
        <v>0</v>
      </c>
      <c r="BE56" s="504">
        <v>0</v>
      </c>
      <c r="BF56" s="504">
        <v>0</v>
      </c>
      <c r="BG56" s="504">
        <v>0</v>
      </c>
      <c r="BH56" s="504">
        <v>0</v>
      </c>
      <c r="BI56" s="504">
        <v>0</v>
      </c>
      <c r="BJ56" s="504">
        <v>0</v>
      </c>
      <c r="BK56" s="504">
        <v>0</v>
      </c>
      <c r="BL56" s="504">
        <v>0</v>
      </c>
      <c r="BM56" s="504">
        <v>0</v>
      </c>
      <c r="BN56" s="504">
        <v>0</v>
      </c>
      <c r="BO56" s="504">
        <v>0</v>
      </c>
      <c r="BP56" s="504">
        <v>0</v>
      </c>
      <c r="BQ56" s="504">
        <v>0</v>
      </c>
      <c r="BR56" s="504">
        <v>0</v>
      </c>
      <c r="BS56" s="504">
        <v>0</v>
      </c>
      <c r="BT56" s="504">
        <v>0</v>
      </c>
      <c r="BU56" s="504">
        <v>0</v>
      </c>
      <c r="BV56" s="504">
        <v>0</v>
      </c>
      <c r="BW56" s="504">
        <v>0</v>
      </c>
      <c r="BX56" s="504">
        <v>0</v>
      </c>
      <c r="BY56" s="504">
        <v>0</v>
      </c>
      <c r="BZ56" s="504">
        <v>0</v>
      </c>
      <c r="CA56" s="504">
        <v>0</v>
      </c>
      <c r="CB56" s="504">
        <v>0</v>
      </c>
      <c r="CC56" s="504">
        <v>0</v>
      </c>
      <c r="CD56" s="504">
        <v>0</v>
      </c>
      <c r="CE56" s="504">
        <v>0</v>
      </c>
      <c r="CF56" s="504">
        <v>0</v>
      </c>
      <c r="CG56" s="504">
        <v>0</v>
      </c>
      <c r="CH56" s="504">
        <v>0</v>
      </c>
      <c r="CI56" s="504">
        <v>0</v>
      </c>
      <c r="CJ56" s="504">
        <v>0</v>
      </c>
      <c r="CK56" s="504">
        <v>0</v>
      </c>
      <c r="CL56" s="504">
        <v>0</v>
      </c>
      <c r="CM56" s="504">
        <v>0</v>
      </c>
      <c r="CN56" s="504">
        <v>0</v>
      </c>
      <c r="CO56" s="504">
        <v>0</v>
      </c>
      <c r="CP56" s="504">
        <v>0</v>
      </c>
      <c r="CQ56" s="504">
        <v>0</v>
      </c>
      <c r="CR56" s="504">
        <v>0</v>
      </c>
      <c r="CS56" s="504">
        <v>0</v>
      </c>
      <c r="CT56" s="504">
        <v>0</v>
      </c>
      <c r="CU56" s="504">
        <v>0</v>
      </c>
      <c r="CV56" s="504">
        <v>0</v>
      </c>
      <c r="CW56" s="504">
        <v>0</v>
      </c>
      <c r="CX56" s="504">
        <v>0</v>
      </c>
      <c r="CY56" s="504">
        <v>0</v>
      </c>
      <c r="CZ56" s="504">
        <v>0</v>
      </c>
      <c r="DA56" s="504">
        <v>0</v>
      </c>
      <c r="DB56" s="504">
        <v>0</v>
      </c>
      <c r="DC56" s="504">
        <v>0</v>
      </c>
      <c r="DD56" s="504">
        <v>0</v>
      </c>
      <c r="DE56" s="504">
        <v>0</v>
      </c>
      <c r="DF56" s="504">
        <v>0</v>
      </c>
      <c r="DG56" s="504">
        <v>0</v>
      </c>
      <c r="DH56" s="504">
        <v>0</v>
      </c>
      <c r="DI56" s="504">
        <v>0</v>
      </c>
      <c r="DJ56" s="504">
        <v>0</v>
      </c>
      <c r="DK56" s="504">
        <v>0</v>
      </c>
      <c r="DL56" s="504">
        <v>0</v>
      </c>
      <c r="DM56" s="504">
        <v>0</v>
      </c>
      <c r="DN56" s="504">
        <v>0</v>
      </c>
      <c r="DO56" s="504">
        <v>0</v>
      </c>
      <c r="DP56" s="504">
        <v>0</v>
      </c>
      <c r="DQ56" s="504">
        <v>0</v>
      </c>
      <c r="DR56" s="504">
        <v>0</v>
      </c>
      <c r="DS56" s="504">
        <v>0</v>
      </c>
      <c r="DT56" s="504">
        <v>0</v>
      </c>
      <c r="DU56" s="504">
        <v>0</v>
      </c>
      <c r="DV56" s="504">
        <v>0</v>
      </c>
      <c r="DW56" s="504">
        <v>0</v>
      </c>
      <c r="DX56" s="504">
        <v>0</v>
      </c>
      <c r="DY56" s="504">
        <v>0</v>
      </c>
      <c r="DZ56" s="504">
        <v>0</v>
      </c>
      <c r="EA56" s="504">
        <v>0</v>
      </c>
      <c r="EB56" s="504">
        <v>0</v>
      </c>
      <c r="EC56" s="504">
        <v>0</v>
      </c>
      <c r="ED56" s="504">
        <v>0</v>
      </c>
      <c r="EE56" s="504">
        <v>0</v>
      </c>
      <c r="EF56" s="504">
        <v>0</v>
      </c>
      <c r="EG56" s="504">
        <v>0</v>
      </c>
      <c r="EH56" s="504">
        <v>0</v>
      </c>
      <c r="EI56" s="504">
        <v>0</v>
      </c>
      <c r="EJ56" s="504">
        <v>0</v>
      </c>
      <c r="EK56" s="504">
        <v>0</v>
      </c>
      <c r="EL56" s="504">
        <v>0</v>
      </c>
      <c r="EM56" s="504">
        <v>0</v>
      </c>
      <c r="EN56" s="504">
        <v>0</v>
      </c>
      <c r="EO56" s="504">
        <v>0</v>
      </c>
      <c r="EP56" s="504">
        <v>0</v>
      </c>
      <c r="EQ56" s="504">
        <v>0</v>
      </c>
      <c r="ER56" s="504">
        <v>0</v>
      </c>
      <c r="ES56" s="504">
        <v>0</v>
      </c>
      <c r="ET56" s="504">
        <v>0</v>
      </c>
      <c r="EU56" s="504">
        <v>0</v>
      </c>
      <c r="EV56" s="504">
        <v>0</v>
      </c>
      <c r="EW56" s="504">
        <v>0</v>
      </c>
      <c r="EX56" s="504">
        <v>0</v>
      </c>
      <c r="EY56" s="504">
        <v>0</v>
      </c>
      <c r="EZ56" s="504">
        <v>0</v>
      </c>
      <c r="FA56" s="504">
        <v>0</v>
      </c>
      <c r="FB56" s="504">
        <v>0</v>
      </c>
      <c r="FC56" s="504">
        <v>0</v>
      </c>
      <c r="FD56" s="504">
        <v>0</v>
      </c>
      <c r="FE56" s="504">
        <v>0</v>
      </c>
      <c r="FF56" s="504">
        <v>0</v>
      </c>
      <c r="FG56" s="504">
        <v>0</v>
      </c>
      <c r="FH56" s="504">
        <v>0</v>
      </c>
      <c r="FI56" s="504">
        <v>0</v>
      </c>
      <c r="FJ56" s="504">
        <v>0</v>
      </c>
      <c r="FK56" s="504">
        <v>0</v>
      </c>
      <c r="FL56" s="504">
        <v>0</v>
      </c>
      <c r="FM56" s="504">
        <v>0</v>
      </c>
      <c r="FN56" s="504">
        <v>0</v>
      </c>
      <c r="FO56" s="504">
        <v>0</v>
      </c>
      <c r="FP56" s="504">
        <v>0</v>
      </c>
      <c r="FQ56" s="504">
        <v>0</v>
      </c>
      <c r="FR56" s="504">
        <v>0</v>
      </c>
      <c r="FS56" s="504">
        <v>0</v>
      </c>
      <c r="FT56" s="504">
        <v>0</v>
      </c>
      <c r="FU56" s="504">
        <v>0</v>
      </c>
      <c r="FV56" s="504">
        <v>0</v>
      </c>
      <c r="FW56" s="504">
        <v>0</v>
      </c>
      <c r="FX56" s="504">
        <v>0</v>
      </c>
      <c r="FY56" s="504">
        <v>0</v>
      </c>
      <c r="FZ56" s="504">
        <v>0</v>
      </c>
      <c r="GA56" s="504">
        <v>0</v>
      </c>
      <c r="GB56" s="504">
        <v>0</v>
      </c>
      <c r="GC56" s="504">
        <v>0</v>
      </c>
      <c r="GD56" s="504">
        <v>0</v>
      </c>
      <c r="GE56" s="504">
        <v>0</v>
      </c>
      <c r="GF56" s="504">
        <v>0</v>
      </c>
      <c r="GG56" s="504">
        <v>0</v>
      </c>
      <c r="GH56" s="504">
        <v>0</v>
      </c>
      <c r="GI56" s="504">
        <v>0</v>
      </c>
      <c r="GJ56" s="504">
        <v>0</v>
      </c>
      <c r="GK56" s="504">
        <v>0</v>
      </c>
      <c r="GL56" s="504">
        <v>0</v>
      </c>
      <c r="GM56" s="504">
        <v>0</v>
      </c>
      <c r="GN56" s="504">
        <v>0</v>
      </c>
      <c r="GO56" s="504">
        <v>0</v>
      </c>
      <c r="GP56" s="504">
        <v>0</v>
      </c>
      <c r="GQ56" s="504">
        <v>0</v>
      </c>
      <c r="GR56" s="504">
        <v>0</v>
      </c>
      <c r="GS56" s="504">
        <v>0</v>
      </c>
      <c r="GT56" s="504">
        <v>0</v>
      </c>
      <c r="GU56" s="504">
        <v>0</v>
      </c>
      <c r="GV56" s="504">
        <v>0</v>
      </c>
      <c r="GW56" s="504">
        <v>0</v>
      </c>
      <c r="GX56" s="504">
        <v>0</v>
      </c>
      <c r="GY56" s="504">
        <v>0</v>
      </c>
      <c r="GZ56" s="504">
        <v>0</v>
      </c>
      <c r="HA56" s="504">
        <v>0</v>
      </c>
      <c r="HB56" s="504">
        <v>0</v>
      </c>
      <c r="HC56" s="504">
        <v>0</v>
      </c>
      <c r="HD56" s="504">
        <v>0</v>
      </c>
      <c r="HE56" s="504">
        <v>0</v>
      </c>
      <c r="HF56" s="504">
        <v>0</v>
      </c>
      <c r="HG56" s="504">
        <v>0</v>
      </c>
      <c r="HH56" s="504">
        <v>0</v>
      </c>
      <c r="HI56" s="504">
        <v>0</v>
      </c>
      <c r="HJ56" s="504">
        <v>0</v>
      </c>
      <c r="HK56" s="504">
        <v>0</v>
      </c>
      <c r="HL56" s="504">
        <v>0</v>
      </c>
      <c r="HM56" s="504">
        <v>0</v>
      </c>
      <c r="HN56" s="504">
        <v>0</v>
      </c>
      <c r="HO56" s="504">
        <v>0</v>
      </c>
      <c r="HP56" s="504">
        <v>0</v>
      </c>
      <c r="HQ56" s="504">
        <v>0</v>
      </c>
      <c r="HR56" s="504">
        <v>0</v>
      </c>
      <c r="HS56" s="504">
        <v>0</v>
      </c>
      <c r="HT56" s="504">
        <v>0</v>
      </c>
      <c r="HU56" s="504">
        <v>0</v>
      </c>
      <c r="HV56" s="504">
        <v>0</v>
      </c>
      <c r="HW56" s="504">
        <v>0</v>
      </c>
      <c r="HX56" s="504">
        <v>0</v>
      </c>
      <c r="HY56" s="504">
        <v>0</v>
      </c>
      <c r="HZ56" s="504">
        <v>0</v>
      </c>
      <c r="IA56" s="504">
        <v>0</v>
      </c>
      <c r="IB56" s="504">
        <v>0</v>
      </c>
      <c r="IC56" s="504">
        <v>0</v>
      </c>
      <c r="ID56" s="504">
        <v>0</v>
      </c>
      <c r="IE56" s="504">
        <v>0</v>
      </c>
      <c r="IF56" s="504">
        <v>0</v>
      </c>
      <c r="IG56" s="504">
        <v>0</v>
      </c>
      <c r="IH56" s="504">
        <v>0</v>
      </c>
      <c r="II56" s="504">
        <v>0</v>
      </c>
      <c r="IJ56" s="504">
        <v>0</v>
      </c>
      <c r="IK56" s="504">
        <v>0</v>
      </c>
      <c r="IL56" s="504">
        <v>0</v>
      </c>
      <c r="IM56" s="504">
        <v>0</v>
      </c>
      <c r="IN56" s="504">
        <v>0</v>
      </c>
      <c r="IO56" s="504">
        <v>0</v>
      </c>
      <c r="IP56" s="504">
        <v>0</v>
      </c>
      <c r="IQ56" s="504">
        <v>0</v>
      </c>
      <c r="IR56" s="504">
        <v>0</v>
      </c>
      <c r="IS56" s="504">
        <v>0</v>
      </c>
      <c r="IT56" s="504">
        <v>0</v>
      </c>
      <c r="IU56" s="504">
        <v>0</v>
      </c>
      <c r="IV56" s="504">
        <v>0</v>
      </c>
      <c r="IW56" s="504">
        <v>0</v>
      </c>
      <c r="IX56" s="504">
        <v>0</v>
      </c>
      <c r="IY56" s="504">
        <v>0</v>
      </c>
      <c r="IZ56" s="504">
        <v>0</v>
      </c>
      <c r="JA56" s="504">
        <v>0</v>
      </c>
      <c r="JB56" s="504">
        <v>0</v>
      </c>
      <c r="JC56" s="504">
        <v>0</v>
      </c>
      <c r="JD56" s="504">
        <v>0</v>
      </c>
      <c r="JE56" s="504">
        <v>0</v>
      </c>
      <c r="JF56" s="504">
        <v>0</v>
      </c>
      <c r="JG56" s="504">
        <v>0</v>
      </c>
      <c r="JH56" s="504">
        <v>0</v>
      </c>
      <c r="JI56" s="504">
        <v>0</v>
      </c>
      <c r="JJ56" s="504">
        <v>0</v>
      </c>
      <c r="JK56" s="504">
        <v>0</v>
      </c>
      <c r="JL56" s="504">
        <v>0</v>
      </c>
      <c r="JM56" s="504">
        <v>0</v>
      </c>
      <c r="JN56" s="504">
        <v>0</v>
      </c>
      <c r="JO56" s="504">
        <v>0</v>
      </c>
      <c r="JP56" s="504">
        <v>0</v>
      </c>
      <c r="JQ56" s="504">
        <v>0</v>
      </c>
      <c r="JR56" s="504">
        <v>0</v>
      </c>
      <c r="JS56" s="504">
        <v>0</v>
      </c>
      <c r="JT56" s="504">
        <v>0</v>
      </c>
      <c r="JU56" s="504">
        <v>0</v>
      </c>
      <c r="JV56" s="504">
        <v>0</v>
      </c>
      <c r="JW56" s="504">
        <v>0</v>
      </c>
      <c r="JX56" s="504">
        <v>0</v>
      </c>
      <c r="JY56" s="504">
        <v>0</v>
      </c>
      <c r="JZ56" s="504">
        <v>0</v>
      </c>
      <c r="KA56" s="504">
        <v>0</v>
      </c>
      <c r="KB56" s="504">
        <v>0</v>
      </c>
      <c r="KC56" s="504">
        <v>0</v>
      </c>
      <c r="KD56" s="504">
        <v>0</v>
      </c>
      <c r="KE56" s="504">
        <v>0</v>
      </c>
      <c r="KF56" s="504">
        <v>0</v>
      </c>
      <c r="KG56" s="504">
        <v>0</v>
      </c>
      <c r="KH56" s="504">
        <v>0</v>
      </c>
      <c r="KI56" s="504">
        <v>0</v>
      </c>
      <c r="KJ56" s="504">
        <v>0</v>
      </c>
      <c r="KK56" s="504">
        <v>0</v>
      </c>
      <c r="KL56" s="504">
        <v>0</v>
      </c>
      <c r="KM56" s="504">
        <v>0</v>
      </c>
      <c r="KN56" s="504">
        <v>0</v>
      </c>
      <c r="KO56" s="504">
        <v>0</v>
      </c>
      <c r="KP56" s="504">
        <v>0</v>
      </c>
      <c r="KQ56" s="504">
        <v>0</v>
      </c>
      <c r="KR56" s="504">
        <v>0</v>
      </c>
      <c r="KS56" s="504">
        <v>0</v>
      </c>
      <c r="KT56" s="504">
        <v>0</v>
      </c>
      <c r="KU56" s="504">
        <v>0</v>
      </c>
      <c r="KV56" s="504">
        <v>0</v>
      </c>
      <c r="KW56" s="504">
        <v>0</v>
      </c>
      <c r="KX56" s="504">
        <v>0</v>
      </c>
      <c r="KY56" s="504">
        <v>0</v>
      </c>
      <c r="KZ56" s="504">
        <v>0</v>
      </c>
      <c r="LA56" s="504">
        <v>0</v>
      </c>
      <c r="LB56" s="504">
        <v>0</v>
      </c>
      <c r="LC56" s="504">
        <v>0</v>
      </c>
      <c r="LD56" s="504">
        <v>0</v>
      </c>
      <c r="LE56" s="504">
        <v>0</v>
      </c>
      <c r="LF56" s="504">
        <v>0</v>
      </c>
      <c r="LG56" s="504">
        <v>0</v>
      </c>
      <c r="LH56" s="504">
        <v>0</v>
      </c>
      <c r="LI56" s="504">
        <v>0</v>
      </c>
      <c r="LJ56" s="504">
        <v>0</v>
      </c>
      <c r="LK56" s="504">
        <v>0</v>
      </c>
      <c r="LL56" s="504">
        <v>0</v>
      </c>
      <c r="LM56" s="504">
        <v>0</v>
      </c>
      <c r="LN56" s="504">
        <v>0</v>
      </c>
      <c r="LO56" s="504">
        <v>0</v>
      </c>
      <c r="LP56" s="504">
        <v>0</v>
      </c>
      <c r="LQ56" s="504">
        <v>0</v>
      </c>
      <c r="LR56" s="504">
        <v>0</v>
      </c>
      <c r="LS56" s="504">
        <v>0</v>
      </c>
      <c r="LT56" s="504">
        <v>0</v>
      </c>
      <c r="LU56" s="504">
        <v>0</v>
      </c>
      <c r="LV56" s="504">
        <v>0</v>
      </c>
      <c r="LW56" s="504">
        <v>0</v>
      </c>
      <c r="LX56" s="504">
        <v>0</v>
      </c>
      <c r="LY56" s="504">
        <v>0</v>
      </c>
      <c r="LZ56" s="504">
        <v>0</v>
      </c>
      <c r="MA56" s="504">
        <v>0</v>
      </c>
      <c r="MB56" s="504">
        <v>0</v>
      </c>
      <c r="MC56" s="504">
        <v>0</v>
      </c>
      <c r="MD56" s="504">
        <v>0</v>
      </c>
      <c r="ME56" s="504">
        <v>0</v>
      </c>
      <c r="MF56" s="504">
        <v>0</v>
      </c>
      <c r="MG56" s="504">
        <v>0</v>
      </c>
      <c r="MH56" s="504">
        <v>0</v>
      </c>
      <c r="MI56" s="504">
        <v>0</v>
      </c>
      <c r="MJ56" s="504">
        <v>0</v>
      </c>
      <c r="MK56" s="504">
        <v>0</v>
      </c>
      <c r="ML56" s="504">
        <v>0</v>
      </c>
      <c r="MM56" s="504">
        <v>0</v>
      </c>
      <c r="MN56" s="504">
        <v>0</v>
      </c>
      <c r="MO56" s="504">
        <v>0</v>
      </c>
      <c r="MP56" s="504">
        <v>0</v>
      </c>
      <c r="MQ56" s="504">
        <v>0</v>
      </c>
      <c r="MR56" s="504">
        <v>0</v>
      </c>
      <c r="MS56" s="504">
        <v>0</v>
      </c>
      <c r="MT56" s="504">
        <v>0</v>
      </c>
      <c r="MU56" s="504">
        <v>0</v>
      </c>
      <c r="MV56" s="504">
        <v>0</v>
      </c>
      <c r="MW56" s="504">
        <v>0</v>
      </c>
      <c r="MX56" s="504">
        <v>0</v>
      </c>
      <c r="MY56" s="504">
        <v>0</v>
      </c>
      <c r="MZ56" s="504">
        <v>0</v>
      </c>
      <c r="NA56" s="504">
        <v>0</v>
      </c>
      <c r="NB56" s="504">
        <v>0</v>
      </c>
      <c r="NC56" s="504">
        <v>0</v>
      </c>
      <c r="ND56" s="504">
        <v>0</v>
      </c>
      <c r="NE56" s="504">
        <v>0</v>
      </c>
      <c r="NF56" s="504">
        <v>0</v>
      </c>
      <c r="NG56" s="504">
        <v>0</v>
      </c>
      <c r="NH56" s="504">
        <v>0</v>
      </c>
      <c r="NI56" s="504">
        <v>0</v>
      </c>
      <c r="NJ56" s="504">
        <v>0</v>
      </c>
      <c r="NK56" s="504">
        <v>0</v>
      </c>
      <c r="NL56" s="504">
        <v>0</v>
      </c>
      <c r="NM56" s="504">
        <v>0</v>
      </c>
      <c r="NN56" s="504">
        <v>0</v>
      </c>
      <c r="NO56" s="504">
        <v>0</v>
      </c>
      <c r="NP56" s="504">
        <v>0</v>
      </c>
      <c r="NQ56" s="504">
        <v>0</v>
      </c>
      <c r="NR56" s="504">
        <v>0</v>
      </c>
      <c r="NS56" s="504">
        <v>0</v>
      </c>
      <c r="NT56" s="504">
        <v>0</v>
      </c>
      <c r="NU56" s="504">
        <v>0</v>
      </c>
      <c r="NV56" s="504">
        <v>0</v>
      </c>
      <c r="NW56" s="504">
        <v>0</v>
      </c>
      <c r="NX56" s="504">
        <v>0</v>
      </c>
      <c r="NY56" s="504">
        <v>0</v>
      </c>
      <c r="NZ56" s="504">
        <v>0</v>
      </c>
      <c r="OA56" s="504">
        <v>0</v>
      </c>
      <c r="OB56" s="504">
        <v>0</v>
      </c>
      <c r="OC56" s="504">
        <v>0</v>
      </c>
      <c r="OD56" s="504">
        <v>0</v>
      </c>
      <c r="OE56" s="504">
        <v>0</v>
      </c>
      <c r="OF56" s="504">
        <v>0</v>
      </c>
      <c r="OG56" s="504">
        <v>0</v>
      </c>
      <c r="OH56" s="504">
        <v>0</v>
      </c>
      <c r="OI56" s="504">
        <v>0</v>
      </c>
      <c r="OJ56" s="504">
        <v>0</v>
      </c>
      <c r="OK56" s="504">
        <v>0</v>
      </c>
      <c r="OL56" s="504">
        <v>0</v>
      </c>
      <c r="OM56" s="504">
        <v>0</v>
      </c>
      <c r="ON56" s="494"/>
    </row>
    <row r="57" spans="1:404" ht="18.75" customHeight="1" x14ac:dyDescent="0.4">
      <c r="A57" s="355" t="s">
        <v>333</v>
      </c>
      <c r="B57" s="358">
        <v>219</v>
      </c>
      <c r="C57" s="355" t="s">
        <v>60</v>
      </c>
      <c r="D57" s="501">
        <v>35.54</v>
      </c>
      <c r="F57" s="501">
        <v>35.51</v>
      </c>
      <c r="H57" s="501">
        <v>35.520000000000003</v>
      </c>
      <c r="J57" s="501">
        <v>35.51</v>
      </c>
      <c r="V57" s="501"/>
      <c r="W57" s="503"/>
      <c r="X57" s="501"/>
      <c r="Y57" s="503"/>
      <c r="Z57" s="501"/>
      <c r="AA57" s="503"/>
      <c r="AB57" s="495"/>
      <c r="AC57" s="504">
        <v>0</v>
      </c>
      <c r="AD57" s="504">
        <v>0</v>
      </c>
      <c r="AE57" s="504">
        <v>0</v>
      </c>
      <c r="AF57" s="504">
        <v>0</v>
      </c>
      <c r="AG57" s="504">
        <v>0</v>
      </c>
      <c r="AH57" s="504">
        <v>0</v>
      </c>
      <c r="AI57" s="504">
        <v>0</v>
      </c>
      <c r="AJ57" s="504">
        <v>0</v>
      </c>
      <c r="AK57" s="504">
        <v>0</v>
      </c>
      <c r="AL57" s="504">
        <v>0</v>
      </c>
      <c r="AM57" s="504">
        <v>0</v>
      </c>
      <c r="AN57" s="504">
        <v>0</v>
      </c>
      <c r="AO57" s="504">
        <v>0</v>
      </c>
      <c r="AP57" s="504">
        <v>0</v>
      </c>
      <c r="AQ57" s="504">
        <v>0</v>
      </c>
      <c r="AR57" s="504">
        <v>0</v>
      </c>
      <c r="AS57" s="504">
        <v>0</v>
      </c>
      <c r="AT57" s="504">
        <v>0</v>
      </c>
      <c r="AU57" s="504">
        <v>0</v>
      </c>
      <c r="AV57" s="504">
        <v>0</v>
      </c>
      <c r="AW57" s="504">
        <v>0</v>
      </c>
      <c r="AX57" s="504">
        <v>0</v>
      </c>
      <c r="AY57" s="504">
        <v>0</v>
      </c>
      <c r="AZ57" s="504">
        <v>0</v>
      </c>
      <c r="BA57" s="504">
        <v>0</v>
      </c>
      <c r="BB57" s="504">
        <v>0</v>
      </c>
      <c r="BC57" s="504">
        <v>0</v>
      </c>
      <c r="BD57" s="504">
        <v>0</v>
      </c>
      <c r="BE57" s="504">
        <v>0</v>
      </c>
      <c r="BF57" s="504">
        <v>0</v>
      </c>
      <c r="BG57" s="504">
        <v>0</v>
      </c>
      <c r="BH57" s="504">
        <v>0</v>
      </c>
      <c r="BI57" s="504">
        <v>0</v>
      </c>
      <c r="BJ57" s="504">
        <v>0</v>
      </c>
      <c r="BK57" s="504">
        <v>0</v>
      </c>
      <c r="BL57" s="504">
        <v>0</v>
      </c>
      <c r="BM57" s="504">
        <v>0</v>
      </c>
      <c r="BN57" s="504">
        <v>0</v>
      </c>
      <c r="BO57" s="504">
        <v>0</v>
      </c>
      <c r="BP57" s="504">
        <v>0</v>
      </c>
      <c r="BQ57" s="504">
        <v>0</v>
      </c>
      <c r="BR57" s="504">
        <v>0</v>
      </c>
      <c r="BS57" s="504">
        <v>0</v>
      </c>
      <c r="BT57" s="504">
        <v>0</v>
      </c>
      <c r="BU57" s="504">
        <v>0</v>
      </c>
      <c r="BV57" s="504">
        <v>0</v>
      </c>
      <c r="BW57" s="504">
        <v>0</v>
      </c>
      <c r="BX57" s="504">
        <v>0</v>
      </c>
      <c r="BY57" s="504">
        <v>0</v>
      </c>
      <c r="BZ57" s="504">
        <v>0</v>
      </c>
      <c r="CA57" s="504">
        <v>0</v>
      </c>
      <c r="CB57" s="504">
        <v>0</v>
      </c>
      <c r="CC57" s="504">
        <v>0</v>
      </c>
      <c r="CD57" s="504">
        <v>0</v>
      </c>
      <c r="CE57" s="504">
        <v>0</v>
      </c>
      <c r="CF57" s="504">
        <v>0</v>
      </c>
      <c r="CG57" s="504">
        <v>0</v>
      </c>
      <c r="CH57" s="504">
        <v>0</v>
      </c>
      <c r="CI57" s="504">
        <v>0</v>
      </c>
      <c r="CJ57" s="504">
        <v>0</v>
      </c>
      <c r="CK57" s="504">
        <v>0</v>
      </c>
      <c r="CL57" s="504">
        <v>0</v>
      </c>
      <c r="CM57" s="504">
        <v>0</v>
      </c>
      <c r="CN57" s="504">
        <v>0</v>
      </c>
      <c r="CO57" s="504">
        <v>0</v>
      </c>
      <c r="CP57" s="504">
        <v>0</v>
      </c>
      <c r="CQ57" s="504">
        <v>0</v>
      </c>
      <c r="CR57" s="504">
        <v>0</v>
      </c>
      <c r="CS57" s="504">
        <v>0</v>
      </c>
      <c r="CT57" s="504">
        <v>0</v>
      </c>
      <c r="CU57" s="504">
        <v>0</v>
      </c>
      <c r="CV57" s="504">
        <v>0</v>
      </c>
      <c r="CW57" s="504">
        <v>0</v>
      </c>
      <c r="CX57" s="504">
        <v>0</v>
      </c>
      <c r="CY57" s="504">
        <v>0</v>
      </c>
      <c r="CZ57" s="504">
        <v>0</v>
      </c>
      <c r="DA57" s="504">
        <v>0</v>
      </c>
      <c r="DB57" s="504">
        <v>0</v>
      </c>
      <c r="DC57" s="504">
        <v>0</v>
      </c>
      <c r="DD57" s="504">
        <v>0</v>
      </c>
      <c r="DE57" s="504">
        <v>0</v>
      </c>
      <c r="DF57" s="504">
        <v>0</v>
      </c>
      <c r="DG57" s="504">
        <v>0</v>
      </c>
      <c r="DH57" s="504">
        <v>0</v>
      </c>
      <c r="DI57" s="504">
        <v>0</v>
      </c>
      <c r="DJ57" s="504">
        <v>0</v>
      </c>
      <c r="DK57" s="504">
        <v>0</v>
      </c>
      <c r="DL57" s="504">
        <v>0</v>
      </c>
      <c r="DM57" s="504">
        <v>0</v>
      </c>
      <c r="DN57" s="504">
        <v>0</v>
      </c>
      <c r="DO57" s="504">
        <v>0</v>
      </c>
      <c r="DP57" s="504">
        <v>0</v>
      </c>
      <c r="DQ57" s="504">
        <v>0</v>
      </c>
      <c r="DR57" s="504">
        <v>0</v>
      </c>
      <c r="DS57" s="504">
        <v>0</v>
      </c>
      <c r="DT57" s="504">
        <v>0</v>
      </c>
      <c r="DU57" s="504">
        <v>0</v>
      </c>
      <c r="DV57" s="504">
        <v>0</v>
      </c>
      <c r="DW57" s="504">
        <v>0</v>
      </c>
      <c r="DX57" s="504">
        <v>0</v>
      </c>
      <c r="DY57" s="504">
        <v>0</v>
      </c>
      <c r="DZ57" s="504">
        <v>0</v>
      </c>
      <c r="EA57" s="504">
        <v>0</v>
      </c>
      <c r="EB57" s="504">
        <v>0</v>
      </c>
      <c r="EC57" s="504">
        <v>0</v>
      </c>
      <c r="ED57" s="504">
        <v>0</v>
      </c>
      <c r="EE57" s="504">
        <v>0</v>
      </c>
      <c r="EF57" s="504">
        <v>0</v>
      </c>
      <c r="EG57" s="504">
        <v>0</v>
      </c>
      <c r="EH57" s="504">
        <v>0</v>
      </c>
      <c r="EI57" s="504">
        <v>0</v>
      </c>
      <c r="EJ57" s="504">
        <v>0</v>
      </c>
      <c r="EK57" s="504">
        <v>0</v>
      </c>
      <c r="EL57" s="504">
        <v>0</v>
      </c>
      <c r="EM57" s="504">
        <v>0</v>
      </c>
      <c r="EN57" s="504">
        <v>0</v>
      </c>
      <c r="EO57" s="504">
        <v>0</v>
      </c>
      <c r="EP57" s="504">
        <v>0</v>
      </c>
      <c r="EQ57" s="504">
        <v>0</v>
      </c>
      <c r="ER57" s="504">
        <v>0</v>
      </c>
      <c r="ES57" s="504">
        <v>0</v>
      </c>
      <c r="ET57" s="504">
        <v>0</v>
      </c>
      <c r="EU57" s="504">
        <v>0</v>
      </c>
      <c r="EV57" s="504">
        <v>0</v>
      </c>
      <c r="EW57" s="504">
        <v>0</v>
      </c>
      <c r="EX57" s="504">
        <v>0</v>
      </c>
      <c r="EY57" s="504">
        <v>0</v>
      </c>
      <c r="EZ57" s="504">
        <v>0</v>
      </c>
      <c r="FA57" s="504">
        <v>0</v>
      </c>
      <c r="FB57" s="504">
        <v>0</v>
      </c>
      <c r="FC57" s="504">
        <v>0</v>
      </c>
      <c r="FD57" s="504">
        <v>0</v>
      </c>
      <c r="FE57" s="504">
        <v>0</v>
      </c>
      <c r="FF57" s="504">
        <v>0</v>
      </c>
      <c r="FG57" s="504">
        <v>0</v>
      </c>
      <c r="FH57" s="504">
        <v>0</v>
      </c>
      <c r="FI57" s="504">
        <v>0</v>
      </c>
      <c r="FJ57" s="504">
        <v>0</v>
      </c>
      <c r="FK57" s="504">
        <v>0</v>
      </c>
      <c r="FL57" s="504">
        <v>0</v>
      </c>
      <c r="FM57" s="504">
        <v>0</v>
      </c>
      <c r="FN57" s="504">
        <v>0</v>
      </c>
      <c r="FO57" s="504">
        <v>0</v>
      </c>
      <c r="FP57" s="504">
        <v>0</v>
      </c>
      <c r="FQ57" s="504">
        <v>0</v>
      </c>
      <c r="FR57" s="504">
        <v>0</v>
      </c>
      <c r="FS57" s="504">
        <v>0</v>
      </c>
      <c r="FT57" s="504">
        <v>0</v>
      </c>
      <c r="FU57" s="504">
        <v>0</v>
      </c>
      <c r="FV57" s="504">
        <v>0</v>
      </c>
      <c r="FW57" s="504">
        <v>0</v>
      </c>
      <c r="FX57" s="504">
        <v>0</v>
      </c>
      <c r="FY57" s="504">
        <v>0</v>
      </c>
      <c r="FZ57" s="504">
        <v>0</v>
      </c>
      <c r="GA57" s="504">
        <v>0</v>
      </c>
      <c r="GB57" s="504">
        <v>0</v>
      </c>
      <c r="GC57" s="504">
        <v>0</v>
      </c>
      <c r="GD57" s="504">
        <v>0</v>
      </c>
      <c r="GE57" s="504">
        <v>0</v>
      </c>
      <c r="GF57" s="504">
        <v>0</v>
      </c>
      <c r="GG57" s="504">
        <v>0</v>
      </c>
      <c r="GH57" s="504">
        <v>0</v>
      </c>
      <c r="GI57" s="504">
        <v>0</v>
      </c>
      <c r="GJ57" s="504">
        <v>0</v>
      </c>
      <c r="GK57" s="504">
        <v>0</v>
      </c>
      <c r="GL57" s="504">
        <v>0</v>
      </c>
      <c r="GM57" s="504">
        <v>0</v>
      </c>
      <c r="GN57" s="504">
        <v>0</v>
      </c>
      <c r="GO57" s="504">
        <v>0</v>
      </c>
      <c r="GP57" s="504">
        <v>0</v>
      </c>
      <c r="GQ57" s="504">
        <v>0</v>
      </c>
      <c r="GR57" s="504">
        <v>0</v>
      </c>
      <c r="GS57" s="504">
        <v>0</v>
      </c>
      <c r="GT57" s="504">
        <v>0</v>
      </c>
      <c r="GU57" s="504">
        <v>0</v>
      </c>
      <c r="GV57" s="504">
        <v>0</v>
      </c>
      <c r="GW57" s="504">
        <v>0</v>
      </c>
      <c r="GX57" s="504">
        <v>0</v>
      </c>
      <c r="GY57" s="504">
        <v>0</v>
      </c>
      <c r="GZ57" s="504">
        <v>0</v>
      </c>
      <c r="HA57" s="504">
        <v>0</v>
      </c>
      <c r="HB57" s="504">
        <v>0</v>
      </c>
      <c r="HC57" s="504">
        <v>0</v>
      </c>
      <c r="HD57" s="504">
        <v>0</v>
      </c>
      <c r="HE57" s="504">
        <v>0</v>
      </c>
      <c r="HF57" s="504">
        <v>0</v>
      </c>
      <c r="HG57" s="504">
        <v>0</v>
      </c>
      <c r="HH57" s="504">
        <v>0</v>
      </c>
      <c r="HI57" s="504">
        <v>0</v>
      </c>
      <c r="HJ57" s="504">
        <v>0</v>
      </c>
      <c r="HK57" s="504">
        <v>0</v>
      </c>
      <c r="HL57" s="504">
        <v>0</v>
      </c>
      <c r="HM57" s="504">
        <v>0</v>
      </c>
      <c r="HN57" s="504">
        <v>0</v>
      </c>
      <c r="HO57" s="504">
        <v>0</v>
      </c>
      <c r="HP57" s="504">
        <v>0</v>
      </c>
      <c r="HQ57" s="504">
        <v>0</v>
      </c>
      <c r="HR57" s="504">
        <v>0</v>
      </c>
      <c r="HS57" s="504">
        <v>0</v>
      </c>
      <c r="HT57" s="504">
        <v>0</v>
      </c>
      <c r="HU57" s="504">
        <v>0</v>
      </c>
      <c r="HV57" s="504">
        <v>0</v>
      </c>
      <c r="HW57" s="504">
        <v>0</v>
      </c>
      <c r="HX57" s="504">
        <v>0</v>
      </c>
      <c r="HY57" s="504">
        <v>0</v>
      </c>
      <c r="HZ57" s="504">
        <v>0</v>
      </c>
      <c r="IA57" s="504">
        <v>0</v>
      </c>
      <c r="IB57" s="504">
        <v>0</v>
      </c>
      <c r="IC57" s="504">
        <v>0</v>
      </c>
      <c r="ID57" s="504">
        <v>0</v>
      </c>
      <c r="IE57" s="504">
        <v>0</v>
      </c>
      <c r="IF57" s="504">
        <v>0</v>
      </c>
      <c r="IG57" s="504">
        <v>0</v>
      </c>
      <c r="IH57" s="504">
        <v>0</v>
      </c>
      <c r="II57" s="504">
        <v>0</v>
      </c>
      <c r="IJ57" s="504">
        <v>0</v>
      </c>
      <c r="IK57" s="504">
        <v>0</v>
      </c>
      <c r="IL57" s="504">
        <v>0</v>
      </c>
      <c r="IM57" s="504">
        <v>0</v>
      </c>
      <c r="IN57" s="504">
        <v>0</v>
      </c>
      <c r="IO57" s="504">
        <v>0</v>
      </c>
      <c r="IP57" s="504">
        <v>0</v>
      </c>
      <c r="IQ57" s="504">
        <v>0</v>
      </c>
      <c r="IR57" s="504">
        <v>0</v>
      </c>
      <c r="IS57" s="504">
        <v>0</v>
      </c>
      <c r="IT57" s="504">
        <v>0</v>
      </c>
      <c r="IU57" s="504">
        <v>0</v>
      </c>
      <c r="IV57" s="504">
        <v>0</v>
      </c>
      <c r="IW57" s="504">
        <v>0</v>
      </c>
      <c r="IX57" s="504">
        <v>0</v>
      </c>
      <c r="IY57" s="504">
        <v>0</v>
      </c>
      <c r="IZ57" s="504">
        <v>0</v>
      </c>
      <c r="JA57" s="504">
        <v>0</v>
      </c>
      <c r="JB57" s="504">
        <v>0</v>
      </c>
      <c r="JC57" s="504">
        <v>0</v>
      </c>
      <c r="JD57" s="504">
        <v>0</v>
      </c>
      <c r="JE57" s="504">
        <v>0</v>
      </c>
      <c r="JF57" s="504">
        <v>0</v>
      </c>
      <c r="JG57" s="504">
        <v>0</v>
      </c>
      <c r="JH57" s="504">
        <v>0</v>
      </c>
      <c r="JI57" s="504">
        <v>0</v>
      </c>
      <c r="JJ57" s="504">
        <v>0</v>
      </c>
      <c r="JK57" s="504">
        <v>0</v>
      </c>
      <c r="JL57" s="504">
        <v>0</v>
      </c>
      <c r="JM57" s="504">
        <v>0</v>
      </c>
      <c r="JN57" s="504">
        <v>0</v>
      </c>
      <c r="JO57" s="504">
        <v>0</v>
      </c>
      <c r="JP57" s="504">
        <v>0</v>
      </c>
      <c r="JQ57" s="504">
        <v>0</v>
      </c>
      <c r="JR57" s="504">
        <v>0</v>
      </c>
      <c r="JS57" s="504">
        <v>0</v>
      </c>
      <c r="JT57" s="504">
        <v>0</v>
      </c>
      <c r="JU57" s="504">
        <v>0</v>
      </c>
      <c r="JV57" s="504">
        <v>0</v>
      </c>
      <c r="JW57" s="504">
        <v>0</v>
      </c>
      <c r="JX57" s="504">
        <v>0</v>
      </c>
      <c r="JY57" s="504">
        <v>0</v>
      </c>
      <c r="JZ57" s="504">
        <v>0</v>
      </c>
      <c r="KA57" s="504">
        <v>0</v>
      </c>
      <c r="KB57" s="504">
        <v>0</v>
      </c>
      <c r="KC57" s="504">
        <v>0</v>
      </c>
      <c r="KD57" s="504">
        <v>0</v>
      </c>
      <c r="KE57" s="504">
        <v>0</v>
      </c>
      <c r="KF57" s="504">
        <v>0</v>
      </c>
      <c r="KG57" s="504">
        <v>0</v>
      </c>
      <c r="KH57" s="504">
        <v>0</v>
      </c>
      <c r="KI57" s="504">
        <v>0</v>
      </c>
      <c r="KJ57" s="504">
        <v>0</v>
      </c>
      <c r="KK57" s="504">
        <v>0</v>
      </c>
      <c r="KL57" s="504">
        <v>0</v>
      </c>
      <c r="KM57" s="504">
        <v>0</v>
      </c>
      <c r="KN57" s="504">
        <v>0</v>
      </c>
      <c r="KO57" s="504">
        <v>0</v>
      </c>
      <c r="KP57" s="504">
        <v>0</v>
      </c>
      <c r="KQ57" s="504">
        <v>0</v>
      </c>
      <c r="KR57" s="504">
        <v>0</v>
      </c>
      <c r="KS57" s="504">
        <v>0</v>
      </c>
      <c r="KT57" s="504">
        <v>0</v>
      </c>
      <c r="KU57" s="504">
        <v>0</v>
      </c>
      <c r="KV57" s="504">
        <v>0</v>
      </c>
      <c r="KW57" s="504">
        <v>0</v>
      </c>
      <c r="KX57" s="504">
        <v>0</v>
      </c>
      <c r="KY57" s="504">
        <v>0</v>
      </c>
      <c r="KZ57" s="504">
        <v>0</v>
      </c>
      <c r="LA57" s="504">
        <v>0</v>
      </c>
      <c r="LB57" s="504">
        <v>0</v>
      </c>
      <c r="LC57" s="504">
        <v>0</v>
      </c>
      <c r="LD57" s="504">
        <v>0</v>
      </c>
      <c r="LE57" s="504">
        <v>0</v>
      </c>
      <c r="LF57" s="504">
        <v>0</v>
      </c>
      <c r="LG57" s="504">
        <v>0</v>
      </c>
      <c r="LH57" s="504">
        <v>0</v>
      </c>
      <c r="LI57" s="504">
        <v>0</v>
      </c>
      <c r="LJ57" s="504">
        <v>0</v>
      </c>
      <c r="LK57" s="504">
        <v>0</v>
      </c>
      <c r="LL57" s="504">
        <v>0</v>
      </c>
      <c r="LM57" s="504">
        <v>0</v>
      </c>
      <c r="LN57" s="504">
        <v>0</v>
      </c>
      <c r="LO57" s="504">
        <v>0</v>
      </c>
      <c r="LP57" s="504">
        <v>0</v>
      </c>
      <c r="LQ57" s="504">
        <v>0</v>
      </c>
      <c r="LR57" s="504">
        <v>0</v>
      </c>
      <c r="LS57" s="504">
        <v>0</v>
      </c>
      <c r="LT57" s="504">
        <v>0</v>
      </c>
      <c r="LU57" s="504">
        <v>0</v>
      </c>
      <c r="LV57" s="504">
        <v>0</v>
      </c>
      <c r="LW57" s="504">
        <v>0</v>
      </c>
      <c r="LX57" s="504">
        <v>0</v>
      </c>
      <c r="LY57" s="504">
        <v>0</v>
      </c>
      <c r="LZ57" s="504">
        <v>0</v>
      </c>
      <c r="MA57" s="504">
        <v>0</v>
      </c>
      <c r="MB57" s="504">
        <v>0</v>
      </c>
      <c r="MC57" s="504">
        <v>0</v>
      </c>
      <c r="MD57" s="504">
        <v>0</v>
      </c>
      <c r="ME57" s="504">
        <v>0</v>
      </c>
      <c r="MF57" s="504">
        <v>0</v>
      </c>
      <c r="MG57" s="504">
        <v>0</v>
      </c>
      <c r="MH57" s="504">
        <v>0</v>
      </c>
      <c r="MI57" s="504">
        <v>0</v>
      </c>
      <c r="MJ57" s="504">
        <v>0</v>
      </c>
      <c r="MK57" s="504">
        <v>0</v>
      </c>
      <c r="ML57" s="504">
        <v>0</v>
      </c>
      <c r="MM57" s="504">
        <v>0</v>
      </c>
      <c r="MN57" s="504">
        <v>0</v>
      </c>
      <c r="MO57" s="504">
        <v>0</v>
      </c>
      <c r="MP57" s="504">
        <v>0</v>
      </c>
      <c r="MQ57" s="504">
        <v>0</v>
      </c>
      <c r="MR57" s="504">
        <v>0</v>
      </c>
      <c r="MS57" s="504">
        <v>0</v>
      </c>
      <c r="MT57" s="504">
        <v>0</v>
      </c>
      <c r="MU57" s="504">
        <v>0</v>
      </c>
      <c r="MV57" s="504">
        <v>0</v>
      </c>
      <c r="MW57" s="504">
        <v>0</v>
      </c>
      <c r="MX57" s="504">
        <v>0</v>
      </c>
      <c r="MY57" s="504">
        <v>0</v>
      </c>
      <c r="MZ57" s="504">
        <v>0</v>
      </c>
      <c r="NA57" s="504">
        <v>0</v>
      </c>
      <c r="NB57" s="504">
        <v>0</v>
      </c>
      <c r="NC57" s="504">
        <v>0</v>
      </c>
      <c r="ND57" s="504">
        <v>0</v>
      </c>
      <c r="NE57" s="504">
        <v>0</v>
      </c>
      <c r="NF57" s="504">
        <v>0</v>
      </c>
      <c r="NG57" s="504">
        <v>0</v>
      </c>
      <c r="NH57" s="504">
        <v>0</v>
      </c>
      <c r="NI57" s="504">
        <v>0</v>
      </c>
      <c r="NJ57" s="504">
        <v>0</v>
      </c>
      <c r="NK57" s="504">
        <v>0</v>
      </c>
      <c r="NL57" s="504">
        <v>0</v>
      </c>
      <c r="NM57" s="504">
        <v>0</v>
      </c>
      <c r="NN57" s="504">
        <v>0</v>
      </c>
      <c r="NO57" s="504">
        <v>0</v>
      </c>
      <c r="NP57" s="504">
        <v>0</v>
      </c>
      <c r="NQ57" s="504">
        <v>0</v>
      </c>
      <c r="NR57" s="504">
        <v>0</v>
      </c>
      <c r="NS57" s="504">
        <v>0</v>
      </c>
      <c r="NT57" s="504">
        <v>0</v>
      </c>
      <c r="NU57" s="504">
        <v>0</v>
      </c>
      <c r="NV57" s="504">
        <v>0</v>
      </c>
      <c r="NW57" s="504">
        <v>0</v>
      </c>
      <c r="NX57" s="504">
        <v>0</v>
      </c>
      <c r="NY57" s="504">
        <v>0</v>
      </c>
      <c r="NZ57" s="504">
        <v>0</v>
      </c>
      <c r="OA57" s="504">
        <v>0</v>
      </c>
      <c r="OB57" s="504">
        <v>0</v>
      </c>
      <c r="OC57" s="504">
        <v>0</v>
      </c>
      <c r="OD57" s="504">
        <v>0</v>
      </c>
      <c r="OE57" s="504">
        <v>0</v>
      </c>
      <c r="OF57" s="504">
        <v>0</v>
      </c>
      <c r="OG57" s="504">
        <v>0</v>
      </c>
      <c r="OH57" s="504">
        <v>0</v>
      </c>
      <c r="OI57" s="504">
        <v>0</v>
      </c>
      <c r="OJ57" s="504">
        <v>0</v>
      </c>
      <c r="OK57" s="504">
        <v>0</v>
      </c>
      <c r="OL57" s="504">
        <v>0</v>
      </c>
      <c r="OM57" s="504">
        <v>0</v>
      </c>
      <c r="ON57" s="494"/>
    </row>
    <row r="58" spans="1:404" ht="18.75" customHeight="1" x14ac:dyDescent="0.4">
      <c r="A58" s="355" t="s">
        <v>334</v>
      </c>
      <c r="B58" s="358">
        <v>216</v>
      </c>
      <c r="C58" s="355" t="s">
        <v>60</v>
      </c>
      <c r="D58" s="501">
        <v>35.75</v>
      </c>
      <c r="E58" s="502">
        <v>35917</v>
      </c>
      <c r="F58" s="501">
        <v>35.729999999999997</v>
      </c>
      <c r="G58" s="502">
        <v>22887</v>
      </c>
      <c r="H58" s="501">
        <v>35.74</v>
      </c>
      <c r="I58" s="502">
        <v>61353</v>
      </c>
      <c r="J58" s="501">
        <v>35.74</v>
      </c>
      <c r="K58" s="502">
        <v>67209</v>
      </c>
      <c r="V58" s="501"/>
      <c r="W58" s="503"/>
      <c r="X58" s="501"/>
      <c r="Y58" s="503"/>
      <c r="Z58" s="501"/>
      <c r="AA58" s="503"/>
      <c r="AB58" s="495"/>
      <c r="AC58" s="504">
        <v>0</v>
      </c>
      <c r="AD58" s="504">
        <v>0</v>
      </c>
      <c r="AE58" s="504">
        <v>0</v>
      </c>
      <c r="AF58" s="504">
        <v>0</v>
      </c>
      <c r="AG58" s="504">
        <v>0</v>
      </c>
      <c r="AH58" s="504">
        <v>0</v>
      </c>
      <c r="AI58" s="504">
        <v>0</v>
      </c>
      <c r="AJ58" s="504">
        <v>0</v>
      </c>
      <c r="AK58" s="504">
        <v>0</v>
      </c>
      <c r="AL58" s="504">
        <v>0</v>
      </c>
      <c r="AM58" s="504">
        <v>0</v>
      </c>
      <c r="AN58" s="504">
        <v>0</v>
      </c>
      <c r="AO58" s="504">
        <v>0</v>
      </c>
      <c r="AP58" s="504">
        <v>0</v>
      </c>
      <c r="AQ58" s="504">
        <v>0</v>
      </c>
      <c r="AR58" s="504">
        <v>0</v>
      </c>
      <c r="AS58" s="504">
        <v>0</v>
      </c>
      <c r="AT58" s="504">
        <v>0</v>
      </c>
      <c r="AU58" s="504">
        <v>0</v>
      </c>
      <c r="AV58" s="504">
        <v>0</v>
      </c>
      <c r="AW58" s="504">
        <v>0</v>
      </c>
      <c r="AX58" s="504">
        <v>0</v>
      </c>
      <c r="AY58" s="504">
        <v>0</v>
      </c>
      <c r="AZ58" s="504">
        <v>0</v>
      </c>
      <c r="BA58" s="504">
        <v>0</v>
      </c>
      <c r="BB58" s="504">
        <v>0</v>
      </c>
      <c r="BC58" s="504">
        <v>0</v>
      </c>
      <c r="BD58" s="504">
        <v>0</v>
      </c>
      <c r="BE58" s="504">
        <v>0</v>
      </c>
      <c r="BF58" s="504">
        <v>0</v>
      </c>
      <c r="BG58" s="504">
        <v>0</v>
      </c>
      <c r="BH58" s="504">
        <v>0</v>
      </c>
      <c r="BI58" s="504">
        <v>0</v>
      </c>
      <c r="BJ58" s="504">
        <v>0</v>
      </c>
      <c r="BK58" s="504">
        <v>0</v>
      </c>
      <c r="BL58" s="504">
        <v>0</v>
      </c>
      <c r="BM58" s="504">
        <v>0</v>
      </c>
      <c r="BN58" s="504">
        <v>0</v>
      </c>
      <c r="BO58" s="504">
        <v>0</v>
      </c>
      <c r="BP58" s="504">
        <v>0</v>
      </c>
      <c r="BQ58" s="504">
        <v>0</v>
      </c>
      <c r="BR58" s="504">
        <v>0</v>
      </c>
      <c r="BS58" s="504">
        <v>0</v>
      </c>
      <c r="BT58" s="504">
        <v>0</v>
      </c>
      <c r="BU58" s="504">
        <v>0</v>
      </c>
      <c r="BV58" s="504">
        <v>0</v>
      </c>
      <c r="BW58" s="504">
        <v>0</v>
      </c>
      <c r="BX58" s="504">
        <v>0</v>
      </c>
      <c r="BY58" s="504">
        <v>0</v>
      </c>
      <c r="BZ58" s="504">
        <v>0</v>
      </c>
      <c r="CA58" s="504">
        <v>0</v>
      </c>
      <c r="CB58" s="504">
        <v>0</v>
      </c>
      <c r="CC58" s="504">
        <v>0</v>
      </c>
      <c r="CD58" s="504">
        <v>0</v>
      </c>
      <c r="CE58" s="504">
        <v>0</v>
      </c>
      <c r="CF58" s="504">
        <v>0</v>
      </c>
      <c r="CG58" s="504">
        <v>0</v>
      </c>
      <c r="CH58" s="504">
        <v>0</v>
      </c>
      <c r="CI58" s="504">
        <v>0</v>
      </c>
      <c r="CJ58" s="504">
        <v>0</v>
      </c>
      <c r="CK58" s="504">
        <v>0</v>
      </c>
      <c r="CL58" s="504">
        <v>0</v>
      </c>
      <c r="CM58" s="504">
        <v>0</v>
      </c>
      <c r="CN58" s="504">
        <v>0</v>
      </c>
      <c r="CO58" s="504">
        <v>0</v>
      </c>
      <c r="CP58" s="504">
        <v>0</v>
      </c>
      <c r="CQ58" s="504">
        <v>0</v>
      </c>
      <c r="CR58" s="504">
        <v>0</v>
      </c>
      <c r="CS58" s="504">
        <v>0</v>
      </c>
      <c r="CT58" s="504">
        <v>0</v>
      </c>
      <c r="CU58" s="504">
        <v>0</v>
      </c>
      <c r="CV58" s="504">
        <v>0</v>
      </c>
      <c r="CW58" s="504">
        <v>0</v>
      </c>
      <c r="CX58" s="504">
        <v>0</v>
      </c>
      <c r="CY58" s="504">
        <v>0</v>
      </c>
      <c r="CZ58" s="504">
        <v>0</v>
      </c>
      <c r="DA58" s="504">
        <v>0</v>
      </c>
      <c r="DB58" s="504">
        <v>0</v>
      </c>
      <c r="DC58" s="504">
        <v>0</v>
      </c>
      <c r="DD58" s="504">
        <v>0</v>
      </c>
      <c r="DE58" s="504">
        <v>0</v>
      </c>
      <c r="DF58" s="504">
        <v>0</v>
      </c>
      <c r="DG58" s="504">
        <v>0</v>
      </c>
      <c r="DH58" s="504">
        <v>0</v>
      </c>
      <c r="DI58" s="504">
        <v>0</v>
      </c>
      <c r="DJ58" s="504">
        <v>0</v>
      </c>
      <c r="DK58" s="504">
        <v>0</v>
      </c>
      <c r="DL58" s="504">
        <v>0</v>
      </c>
      <c r="DM58" s="504">
        <v>0</v>
      </c>
      <c r="DN58" s="504">
        <v>0</v>
      </c>
      <c r="DO58" s="504">
        <v>0</v>
      </c>
      <c r="DP58" s="504">
        <v>0</v>
      </c>
      <c r="DQ58" s="504">
        <v>0</v>
      </c>
      <c r="DR58" s="504">
        <v>0</v>
      </c>
      <c r="DS58" s="504">
        <v>0</v>
      </c>
      <c r="DT58" s="504">
        <v>0</v>
      </c>
      <c r="DU58" s="504">
        <v>0</v>
      </c>
      <c r="DV58" s="504">
        <v>0</v>
      </c>
      <c r="DW58" s="504">
        <v>0</v>
      </c>
      <c r="DX58" s="504">
        <v>0</v>
      </c>
      <c r="DY58" s="504">
        <v>0</v>
      </c>
      <c r="DZ58" s="504">
        <v>0</v>
      </c>
      <c r="EA58" s="504">
        <v>0</v>
      </c>
      <c r="EB58" s="504">
        <v>0</v>
      </c>
      <c r="EC58" s="504">
        <v>0</v>
      </c>
      <c r="ED58" s="504">
        <v>0</v>
      </c>
      <c r="EE58" s="504">
        <v>0</v>
      </c>
      <c r="EF58" s="504">
        <v>0</v>
      </c>
      <c r="EG58" s="504">
        <v>0</v>
      </c>
      <c r="EH58" s="504">
        <v>0</v>
      </c>
      <c r="EI58" s="504">
        <v>0</v>
      </c>
      <c r="EJ58" s="504">
        <v>0</v>
      </c>
      <c r="EK58" s="504">
        <v>0</v>
      </c>
      <c r="EL58" s="504">
        <v>0</v>
      </c>
      <c r="EM58" s="504">
        <v>0</v>
      </c>
      <c r="EN58" s="504">
        <v>0</v>
      </c>
      <c r="EO58" s="504">
        <v>0</v>
      </c>
      <c r="EP58" s="504">
        <v>0</v>
      </c>
      <c r="EQ58" s="504">
        <v>0</v>
      </c>
      <c r="ER58" s="504">
        <v>0</v>
      </c>
      <c r="ES58" s="504">
        <v>0</v>
      </c>
      <c r="ET58" s="504">
        <v>0</v>
      </c>
      <c r="EU58" s="504">
        <v>0</v>
      </c>
      <c r="EV58" s="504">
        <v>0</v>
      </c>
      <c r="EW58" s="504">
        <v>0</v>
      </c>
      <c r="EX58" s="504">
        <v>0</v>
      </c>
      <c r="EY58" s="504">
        <v>0</v>
      </c>
      <c r="EZ58" s="504">
        <v>0</v>
      </c>
      <c r="FA58" s="504">
        <v>0</v>
      </c>
      <c r="FB58" s="504">
        <v>0</v>
      </c>
      <c r="FC58" s="504">
        <v>0</v>
      </c>
      <c r="FD58" s="504">
        <v>0</v>
      </c>
      <c r="FE58" s="504">
        <v>0</v>
      </c>
      <c r="FF58" s="504">
        <v>0</v>
      </c>
      <c r="FG58" s="504">
        <v>0</v>
      </c>
      <c r="FH58" s="504">
        <v>0</v>
      </c>
      <c r="FI58" s="504">
        <v>0</v>
      </c>
      <c r="FJ58" s="504">
        <v>0</v>
      </c>
      <c r="FK58" s="504">
        <v>0</v>
      </c>
      <c r="FL58" s="504">
        <v>0</v>
      </c>
      <c r="FM58" s="504">
        <v>0</v>
      </c>
      <c r="FN58" s="504">
        <v>0</v>
      </c>
      <c r="FO58" s="504">
        <v>0</v>
      </c>
      <c r="FP58" s="504">
        <v>0</v>
      </c>
      <c r="FQ58" s="504">
        <v>0</v>
      </c>
      <c r="FR58" s="504">
        <v>0</v>
      </c>
      <c r="FS58" s="504">
        <v>0</v>
      </c>
      <c r="FT58" s="504">
        <v>0</v>
      </c>
      <c r="FU58" s="504">
        <v>0</v>
      </c>
      <c r="FV58" s="504">
        <v>0</v>
      </c>
      <c r="FW58" s="504">
        <v>0</v>
      </c>
      <c r="FX58" s="504">
        <v>0</v>
      </c>
      <c r="FY58" s="504">
        <v>0</v>
      </c>
      <c r="FZ58" s="504">
        <v>0</v>
      </c>
      <c r="GA58" s="504">
        <v>0</v>
      </c>
      <c r="GB58" s="504">
        <v>0</v>
      </c>
      <c r="GC58" s="504">
        <v>0</v>
      </c>
      <c r="GD58" s="504">
        <v>0</v>
      </c>
      <c r="GE58" s="504">
        <v>0</v>
      </c>
      <c r="GF58" s="504">
        <v>0</v>
      </c>
      <c r="GG58" s="504">
        <v>0</v>
      </c>
      <c r="GH58" s="504">
        <v>0</v>
      </c>
      <c r="GI58" s="504">
        <v>0</v>
      </c>
      <c r="GJ58" s="504">
        <v>0</v>
      </c>
      <c r="GK58" s="504">
        <v>0</v>
      </c>
      <c r="GL58" s="504">
        <v>0</v>
      </c>
      <c r="GM58" s="504">
        <v>0</v>
      </c>
      <c r="GN58" s="504">
        <v>0</v>
      </c>
      <c r="GO58" s="504">
        <v>0</v>
      </c>
      <c r="GP58" s="504">
        <v>0</v>
      </c>
      <c r="GQ58" s="504">
        <v>0</v>
      </c>
      <c r="GR58" s="504">
        <v>0</v>
      </c>
      <c r="GS58" s="504">
        <v>0</v>
      </c>
      <c r="GT58" s="504">
        <v>0</v>
      </c>
      <c r="GU58" s="504">
        <v>0</v>
      </c>
      <c r="GV58" s="504">
        <v>0</v>
      </c>
      <c r="GW58" s="504">
        <v>0</v>
      </c>
      <c r="GX58" s="504">
        <v>0</v>
      </c>
      <c r="GY58" s="504">
        <v>0</v>
      </c>
      <c r="GZ58" s="504">
        <v>0</v>
      </c>
      <c r="HA58" s="504">
        <v>0</v>
      </c>
      <c r="HB58" s="504">
        <v>0</v>
      </c>
      <c r="HC58" s="504">
        <v>0</v>
      </c>
      <c r="HD58" s="504">
        <v>0</v>
      </c>
      <c r="HE58" s="504">
        <v>0</v>
      </c>
      <c r="HF58" s="504">
        <v>0</v>
      </c>
      <c r="HG58" s="504">
        <v>0</v>
      </c>
      <c r="HH58" s="504">
        <v>0</v>
      </c>
      <c r="HI58" s="504">
        <v>0</v>
      </c>
      <c r="HJ58" s="504">
        <v>0</v>
      </c>
      <c r="HK58" s="504">
        <v>0</v>
      </c>
      <c r="HL58" s="504">
        <v>0</v>
      </c>
      <c r="HM58" s="504">
        <v>0</v>
      </c>
      <c r="HN58" s="504">
        <v>0</v>
      </c>
      <c r="HO58" s="504">
        <v>0</v>
      </c>
      <c r="HP58" s="504">
        <v>0</v>
      </c>
      <c r="HQ58" s="504">
        <v>0</v>
      </c>
      <c r="HR58" s="504">
        <v>0</v>
      </c>
      <c r="HS58" s="504">
        <v>0</v>
      </c>
      <c r="HT58" s="504">
        <v>0</v>
      </c>
      <c r="HU58" s="504">
        <v>0</v>
      </c>
      <c r="HV58" s="504">
        <v>0</v>
      </c>
      <c r="HW58" s="504">
        <v>0</v>
      </c>
      <c r="HX58" s="504">
        <v>0</v>
      </c>
      <c r="HY58" s="504">
        <v>0</v>
      </c>
      <c r="HZ58" s="504">
        <v>0</v>
      </c>
      <c r="IA58" s="504">
        <v>0</v>
      </c>
      <c r="IB58" s="504">
        <v>0</v>
      </c>
      <c r="IC58" s="504">
        <v>0</v>
      </c>
      <c r="ID58" s="504">
        <v>0</v>
      </c>
      <c r="IE58" s="504">
        <v>0</v>
      </c>
      <c r="IF58" s="504">
        <v>0</v>
      </c>
      <c r="IG58" s="504">
        <v>0</v>
      </c>
      <c r="IH58" s="504">
        <v>0</v>
      </c>
      <c r="II58" s="504">
        <v>0</v>
      </c>
      <c r="IJ58" s="504">
        <v>0</v>
      </c>
      <c r="IK58" s="504">
        <v>0</v>
      </c>
      <c r="IL58" s="504">
        <v>0</v>
      </c>
      <c r="IM58" s="504">
        <v>0</v>
      </c>
      <c r="IN58" s="504">
        <v>0</v>
      </c>
      <c r="IO58" s="504">
        <v>0</v>
      </c>
      <c r="IP58" s="504">
        <v>0</v>
      </c>
      <c r="IQ58" s="504">
        <v>0</v>
      </c>
      <c r="IR58" s="504">
        <v>0</v>
      </c>
      <c r="IS58" s="504">
        <v>0</v>
      </c>
      <c r="IT58" s="504">
        <v>0</v>
      </c>
      <c r="IU58" s="504">
        <v>0</v>
      </c>
      <c r="IV58" s="504">
        <v>0</v>
      </c>
      <c r="IW58" s="504">
        <v>0</v>
      </c>
      <c r="IX58" s="504">
        <v>0</v>
      </c>
      <c r="IY58" s="504">
        <v>0</v>
      </c>
      <c r="IZ58" s="504">
        <v>0</v>
      </c>
      <c r="JA58" s="504">
        <v>0</v>
      </c>
      <c r="JB58" s="504">
        <v>0</v>
      </c>
      <c r="JC58" s="504">
        <v>0</v>
      </c>
      <c r="JD58" s="504">
        <v>0</v>
      </c>
      <c r="JE58" s="504">
        <v>0</v>
      </c>
      <c r="JF58" s="504">
        <v>0</v>
      </c>
      <c r="JG58" s="504">
        <v>0</v>
      </c>
      <c r="JH58" s="504">
        <v>0</v>
      </c>
      <c r="JI58" s="504">
        <v>0</v>
      </c>
      <c r="JJ58" s="504">
        <v>0</v>
      </c>
      <c r="JK58" s="504">
        <v>0</v>
      </c>
      <c r="JL58" s="504">
        <v>0</v>
      </c>
      <c r="JM58" s="504">
        <v>0</v>
      </c>
      <c r="JN58" s="504">
        <v>0</v>
      </c>
      <c r="JO58" s="504">
        <v>0</v>
      </c>
      <c r="JP58" s="504">
        <v>0</v>
      </c>
      <c r="JQ58" s="504">
        <v>0</v>
      </c>
      <c r="JR58" s="504">
        <v>0</v>
      </c>
      <c r="JS58" s="504">
        <v>0</v>
      </c>
      <c r="JT58" s="504">
        <v>0</v>
      </c>
      <c r="JU58" s="504">
        <v>0</v>
      </c>
      <c r="JV58" s="504">
        <v>0</v>
      </c>
      <c r="JW58" s="504">
        <v>0</v>
      </c>
      <c r="JX58" s="504">
        <v>0</v>
      </c>
      <c r="JY58" s="504">
        <v>0</v>
      </c>
      <c r="JZ58" s="504">
        <v>0</v>
      </c>
      <c r="KA58" s="504">
        <v>0</v>
      </c>
      <c r="KB58" s="504">
        <v>0</v>
      </c>
      <c r="KC58" s="504">
        <v>0</v>
      </c>
      <c r="KD58" s="504">
        <v>0</v>
      </c>
      <c r="KE58" s="504">
        <v>0</v>
      </c>
      <c r="KF58" s="504">
        <v>0</v>
      </c>
      <c r="KG58" s="504">
        <v>0</v>
      </c>
      <c r="KH58" s="504">
        <v>0</v>
      </c>
      <c r="KI58" s="504">
        <v>0</v>
      </c>
      <c r="KJ58" s="504">
        <v>0</v>
      </c>
      <c r="KK58" s="504">
        <v>0</v>
      </c>
      <c r="KL58" s="504">
        <v>0</v>
      </c>
      <c r="KM58" s="504">
        <v>0</v>
      </c>
      <c r="KN58" s="504">
        <v>0</v>
      </c>
      <c r="KO58" s="504">
        <v>0</v>
      </c>
      <c r="KP58" s="504">
        <v>0</v>
      </c>
      <c r="KQ58" s="504">
        <v>0</v>
      </c>
      <c r="KR58" s="504">
        <v>0</v>
      </c>
      <c r="KS58" s="504">
        <v>0</v>
      </c>
      <c r="KT58" s="504">
        <v>0</v>
      </c>
      <c r="KU58" s="504">
        <v>0</v>
      </c>
      <c r="KV58" s="504">
        <v>0</v>
      </c>
      <c r="KW58" s="504">
        <v>0</v>
      </c>
      <c r="KX58" s="504">
        <v>0</v>
      </c>
      <c r="KY58" s="504">
        <v>0</v>
      </c>
      <c r="KZ58" s="504">
        <v>0</v>
      </c>
      <c r="LA58" s="504">
        <v>0</v>
      </c>
      <c r="LB58" s="504">
        <v>0</v>
      </c>
      <c r="LC58" s="504">
        <v>0</v>
      </c>
      <c r="LD58" s="504">
        <v>0</v>
      </c>
      <c r="LE58" s="504">
        <v>0</v>
      </c>
      <c r="LF58" s="504">
        <v>0</v>
      </c>
      <c r="LG58" s="504">
        <v>0</v>
      </c>
      <c r="LH58" s="504">
        <v>0</v>
      </c>
      <c r="LI58" s="504">
        <v>0</v>
      </c>
      <c r="LJ58" s="504">
        <v>0</v>
      </c>
      <c r="LK58" s="504">
        <v>0</v>
      </c>
      <c r="LL58" s="504">
        <v>0</v>
      </c>
      <c r="LM58" s="504">
        <v>0</v>
      </c>
      <c r="LN58" s="504">
        <v>0</v>
      </c>
      <c r="LO58" s="504">
        <v>0</v>
      </c>
      <c r="LP58" s="504">
        <v>0</v>
      </c>
      <c r="LQ58" s="504">
        <v>0</v>
      </c>
      <c r="LR58" s="504">
        <v>0</v>
      </c>
      <c r="LS58" s="504">
        <v>0</v>
      </c>
      <c r="LT58" s="504">
        <v>0</v>
      </c>
      <c r="LU58" s="504">
        <v>0</v>
      </c>
      <c r="LV58" s="504">
        <v>0</v>
      </c>
      <c r="LW58" s="504">
        <v>0</v>
      </c>
      <c r="LX58" s="504">
        <v>0</v>
      </c>
      <c r="LY58" s="504">
        <v>0</v>
      </c>
      <c r="LZ58" s="504">
        <v>0</v>
      </c>
      <c r="MA58" s="504">
        <v>0</v>
      </c>
      <c r="MB58" s="504">
        <v>0</v>
      </c>
      <c r="MC58" s="504">
        <v>0</v>
      </c>
      <c r="MD58" s="504">
        <v>0</v>
      </c>
      <c r="ME58" s="504">
        <v>0</v>
      </c>
      <c r="MF58" s="504">
        <v>0</v>
      </c>
      <c r="MG58" s="504">
        <v>0</v>
      </c>
      <c r="MH58" s="504">
        <v>0</v>
      </c>
      <c r="MI58" s="504">
        <v>0</v>
      </c>
      <c r="MJ58" s="504">
        <v>0</v>
      </c>
      <c r="MK58" s="504">
        <v>0</v>
      </c>
      <c r="ML58" s="504">
        <v>0</v>
      </c>
      <c r="MM58" s="504">
        <v>0</v>
      </c>
      <c r="MN58" s="504">
        <v>0</v>
      </c>
      <c r="MO58" s="504">
        <v>0</v>
      </c>
      <c r="MP58" s="504">
        <v>0</v>
      </c>
      <c r="MQ58" s="504">
        <v>0</v>
      </c>
      <c r="MR58" s="504">
        <v>0</v>
      </c>
      <c r="MS58" s="504">
        <v>0</v>
      </c>
      <c r="MT58" s="504">
        <v>0</v>
      </c>
      <c r="MU58" s="504">
        <v>0</v>
      </c>
      <c r="MV58" s="504">
        <v>0</v>
      </c>
      <c r="MW58" s="504">
        <v>0</v>
      </c>
      <c r="MX58" s="504">
        <v>0</v>
      </c>
      <c r="MY58" s="504">
        <v>0</v>
      </c>
      <c r="MZ58" s="504">
        <v>0</v>
      </c>
      <c r="NA58" s="504">
        <v>0</v>
      </c>
      <c r="NB58" s="504">
        <v>0</v>
      </c>
      <c r="NC58" s="504">
        <v>0</v>
      </c>
      <c r="ND58" s="504">
        <v>0</v>
      </c>
      <c r="NE58" s="504">
        <v>0</v>
      </c>
      <c r="NF58" s="504">
        <v>0</v>
      </c>
      <c r="NG58" s="504">
        <v>0</v>
      </c>
      <c r="NH58" s="504">
        <v>0</v>
      </c>
      <c r="NI58" s="504">
        <v>0</v>
      </c>
      <c r="NJ58" s="504">
        <v>0</v>
      </c>
      <c r="NK58" s="504">
        <v>0</v>
      </c>
      <c r="NL58" s="504">
        <v>0</v>
      </c>
      <c r="NM58" s="504">
        <v>0</v>
      </c>
      <c r="NN58" s="504">
        <v>0</v>
      </c>
      <c r="NO58" s="504">
        <v>0</v>
      </c>
      <c r="NP58" s="504">
        <v>0</v>
      </c>
      <c r="NQ58" s="504">
        <v>0</v>
      </c>
      <c r="NR58" s="504">
        <v>0</v>
      </c>
      <c r="NS58" s="504">
        <v>0</v>
      </c>
      <c r="NT58" s="504">
        <v>0</v>
      </c>
      <c r="NU58" s="504">
        <v>0</v>
      </c>
      <c r="NV58" s="504">
        <v>0</v>
      </c>
      <c r="NW58" s="504">
        <v>0</v>
      </c>
      <c r="NX58" s="504">
        <v>0</v>
      </c>
      <c r="NY58" s="504">
        <v>0</v>
      </c>
      <c r="NZ58" s="504">
        <v>0</v>
      </c>
      <c r="OA58" s="504">
        <v>0</v>
      </c>
      <c r="OB58" s="504">
        <v>0</v>
      </c>
      <c r="OC58" s="504">
        <v>0</v>
      </c>
      <c r="OD58" s="504">
        <v>0</v>
      </c>
      <c r="OE58" s="504">
        <v>0</v>
      </c>
      <c r="OF58" s="504">
        <v>0</v>
      </c>
      <c r="OG58" s="504">
        <v>0</v>
      </c>
      <c r="OH58" s="504">
        <v>0</v>
      </c>
      <c r="OI58" s="504">
        <v>0</v>
      </c>
      <c r="OJ58" s="504">
        <v>0</v>
      </c>
      <c r="OK58" s="504">
        <v>0</v>
      </c>
      <c r="OL58" s="504">
        <v>0</v>
      </c>
      <c r="OM58" s="504">
        <v>0</v>
      </c>
      <c r="ON58" s="494"/>
    </row>
    <row r="59" spans="1:404" ht="18.75" customHeight="1" x14ac:dyDescent="0.4">
      <c r="A59" s="355" t="s">
        <v>335</v>
      </c>
      <c r="B59" s="358">
        <v>216</v>
      </c>
      <c r="C59" s="355" t="s">
        <v>60</v>
      </c>
      <c r="D59" s="501">
        <v>36.119999999999997</v>
      </c>
      <c r="E59" s="502">
        <v>39619</v>
      </c>
      <c r="F59" s="501">
        <v>36.1</v>
      </c>
      <c r="G59" s="502">
        <v>25649</v>
      </c>
      <c r="H59" s="501">
        <v>36.11</v>
      </c>
      <c r="I59" s="502">
        <v>68213</v>
      </c>
      <c r="J59" s="501">
        <v>36.11</v>
      </c>
      <c r="K59" s="502">
        <v>72192</v>
      </c>
      <c r="V59" s="501"/>
      <c r="W59" s="503"/>
      <c r="X59" s="501"/>
      <c r="Y59" s="503"/>
      <c r="Z59" s="501"/>
      <c r="AA59" s="503"/>
      <c r="AB59" s="495"/>
      <c r="AC59" s="504">
        <v>0</v>
      </c>
      <c r="AD59" s="504">
        <v>0</v>
      </c>
      <c r="AE59" s="504">
        <v>0</v>
      </c>
      <c r="AF59" s="504">
        <v>0</v>
      </c>
      <c r="AG59" s="504">
        <v>0</v>
      </c>
      <c r="AH59" s="504">
        <v>0</v>
      </c>
      <c r="AI59" s="504">
        <v>0</v>
      </c>
      <c r="AJ59" s="504">
        <v>0</v>
      </c>
      <c r="AK59" s="504">
        <v>0</v>
      </c>
      <c r="AL59" s="504">
        <v>0</v>
      </c>
      <c r="AM59" s="504">
        <v>0</v>
      </c>
      <c r="AN59" s="504">
        <v>0</v>
      </c>
      <c r="AO59" s="504">
        <v>0</v>
      </c>
      <c r="AP59" s="504">
        <v>0</v>
      </c>
      <c r="AQ59" s="504">
        <v>0</v>
      </c>
      <c r="AR59" s="504">
        <v>0</v>
      </c>
      <c r="AS59" s="504">
        <v>0</v>
      </c>
      <c r="AT59" s="504">
        <v>0</v>
      </c>
      <c r="AU59" s="504">
        <v>0</v>
      </c>
      <c r="AV59" s="504">
        <v>0</v>
      </c>
      <c r="AW59" s="504">
        <v>0</v>
      </c>
      <c r="AX59" s="504">
        <v>0</v>
      </c>
      <c r="AY59" s="504">
        <v>0</v>
      </c>
      <c r="AZ59" s="504">
        <v>0</v>
      </c>
      <c r="BA59" s="504">
        <v>0</v>
      </c>
      <c r="BB59" s="504">
        <v>0</v>
      </c>
      <c r="BC59" s="504">
        <v>0</v>
      </c>
      <c r="BD59" s="504">
        <v>0</v>
      </c>
      <c r="BE59" s="504">
        <v>0</v>
      </c>
      <c r="BF59" s="504">
        <v>0</v>
      </c>
      <c r="BG59" s="504">
        <v>0</v>
      </c>
      <c r="BH59" s="504">
        <v>0</v>
      </c>
      <c r="BI59" s="504">
        <v>0</v>
      </c>
      <c r="BJ59" s="504">
        <v>0</v>
      </c>
      <c r="BK59" s="504">
        <v>0</v>
      </c>
      <c r="BL59" s="504">
        <v>0</v>
      </c>
      <c r="BM59" s="504">
        <v>0</v>
      </c>
      <c r="BN59" s="504">
        <v>0</v>
      </c>
      <c r="BO59" s="504">
        <v>0</v>
      </c>
      <c r="BP59" s="504">
        <v>0</v>
      </c>
      <c r="BQ59" s="504">
        <v>0</v>
      </c>
      <c r="BR59" s="504">
        <v>0</v>
      </c>
      <c r="BS59" s="504">
        <v>0</v>
      </c>
      <c r="BT59" s="504">
        <v>0</v>
      </c>
      <c r="BU59" s="504">
        <v>0</v>
      </c>
      <c r="BV59" s="504">
        <v>0</v>
      </c>
      <c r="BW59" s="504">
        <v>0</v>
      </c>
      <c r="BX59" s="504">
        <v>0</v>
      </c>
      <c r="BY59" s="504">
        <v>0</v>
      </c>
      <c r="BZ59" s="504">
        <v>0</v>
      </c>
      <c r="CA59" s="504">
        <v>0</v>
      </c>
      <c r="CB59" s="504">
        <v>0</v>
      </c>
      <c r="CC59" s="504">
        <v>0</v>
      </c>
      <c r="CD59" s="504">
        <v>0</v>
      </c>
      <c r="CE59" s="504">
        <v>0</v>
      </c>
      <c r="CF59" s="504">
        <v>0</v>
      </c>
      <c r="CG59" s="504">
        <v>0</v>
      </c>
      <c r="CH59" s="504">
        <v>0</v>
      </c>
      <c r="CI59" s="504">
        <v>0</v>
      </c>
      <c r="CJ59" s="504">
        <v>0</v>
      </c>
      <c r="CK59" s="504">
        <v>0</v>
      </c>
      <c r="CL59" s="504">
        <v>0</v>
      </c>
      <c r="CM59" s="504">
        <v>0</v>
      </c>
      <c r="CN59" s="504">
        <v>0</v>
      </c>
      <c r="CO59" s="504">
        <v>0</v>
      </c>
      <c r="CP59" s="504">
        <v>0</v>
      </c>
      <c r="CQ59" s="504">
        <v>0</v>
      </c>
      <c r="CR59" s="504">
        <v>0</v>
      </c>
      <c r="CS59" s="504">
        <v>0</v>
      </c>
      <c r="CT59" s="504">
        <v>0</v>
      </c>
      <c r="CU59" s="504">
        <v>0</v>
      </c>
      <c r="CV59" s="504">
        <v>0</v>
      </c>
      <c r="CW59" s="504">
        <v>0</v>
      </c>
      <c r="CX59" s="504">
        <v>0</v>
      </c>
      <c r="CY59" s="504">
        <v>0</v>
      </c>
      <c r="CZ59" s="504">
        <v>0</v>
      </c>
      <c r="DA59" s="504">
        <v>0</v>
      </c>
      <c r="DB59" s="504">
        <v>0</v>
      </c>
      <c r="DC59" s="504">
        <v>0</v>
      </c>
      <c r="DD59" s="504">
        <v>0</v>
      </c>
      <c r="DE59" s="504">
        <v>0</v>
      </c>
      <c r="DF59" s="504">
        <v>0</v>
      </c>
      <c r="DG59" s="504">
        <v>0</v>
      </c>
      <c r="DH59" s="504">
        <v>0</v>
      </c>
      <c r="DI59" s="504">
        <v>0</v>
      </c>
      <c r="DJ59" s="504">
        <v>0</v>
      </c>
      <c r="DK59" s="504">
        <v>0</v>
      </c>
      <c r="DL59" s="504">
        <v>0</v>
      </c>
      <c r="DM59" s="504">
        <v>0</v>
      </c>
      <c r="DN59" s="504">
        <v>0</v>
      </c>
      <c r="DO59" s="504">
        <v>0</v>
      </c>
      <c r="DP59" s="504">
        <v>0</v>
      </c>
      <c r="DQ59" s="504">
        <v>0</v>
      </c>
      <c r="DR59" s="504">
        <v>0</v>
      </c>
      <c r="DS59" s="504">
        <v>0</v>
      </c>
      <c r="DT59" s="504">
        <v>0</v>
      </c>
      <c r="DU59" s="504">
        <v>0</v>
      </c>
      <c r="DV59" s="504">
        <v>0</v>
      </c>
      <c r="DW59" s="504">
        <v>0</v>
      </c>
      <c r="DX59" s="504">
        <v>0</v>
      </c>
      <c r="DY59" s="504">
        <v>0</v>
      </c>
      <c r="DZ59" s="504">
        <v>0</v>
      </c>
      <c r="EA59" s="504">
        <v>0</v>
      </c>
      <c r="EB59" s="504">
        <v>0</v>
      </c>
      <c r="EC59" s="504">
        <v>0</v>
      </c>
      <c r="ED59" s="504">
        <v>0</v>
      </c>
      <c r="EE59" s="504">
        <v>0</v>
      </c>
      <c r="EF59" s="504">
        <v>0</v>
      </c>
      <c r="EG59" s="504">
        <v>0</v>
      </c>
      <c r="EH59" s="504">
        <v>0</v>
      </c>
      <c r="EI59" s="504">
        <v>0</v>
      </c>
      <c r="EJ59" s="504">
        <v>0</v>
      </c>
      <c r="EK59" s="504">
        <v>0</v>
      </c>
      <c r="EL59" s="504">
        <v>0</v>
      </c>
      <c r="EM59" s="504">
        <v>0</v>
      </c>
      <c r="EN59" s="504">
        <v>0</v>
      </c>
      <c r="EO59" s="504">
        <v>0</v>
      </c>
      <c r="EP59" s="504">
        <v>0</v>
      </c>
      <c r="EQ59" s="504">
        <v>0</v>
      </c>
      <c r="ER59" s="504">
        <v>0</v>
      </c>
      <c r="ES59" s="504">
        <v>0</v>
      </c>
      <c r="ET59" s="504">
        <v>0</v>
      </c>
      <c r="EU59" s="504">
        <v>0</v>
      </c>
      <c r="EV59" s="504">
        <v>0</v>
      </c>
      <c r="EW59" s="504">
        <v>0</v>
      </c>
      <c r="EX59" s="504">
        <v>0</v>
      </c>
      <c r="EY59" s="504">
        <v>0</v>
      </c>
      <c r="EZ59" s="504">
        <v>0</v>
      </c>
      <c r="FA59" s="504">
        <v>0</v>
      </c>
      <c r="FB59" s="504">
        <v>0</v>
      </c>
      <c r="FC59" s="504">
        <v>0</v>
      </c>
      <c r="FD59" s="504">
        <v>0</v>
      </c>
      <c r="FE59" s="504">
        <v>0</v>
      </c>
      <c r="FF59" s="504">
        <v>0</v>
      </c>
      <c r="FG59" s="504">
        <v>0</v>
      </c>
      <c r="FH59" s="504">
        <v>0</v>
      </c>
      <c r="FI59" s="504">
        <v>0</v>
      </c>
      <c r="FJ59" s="504">
        <v>0</v>
      </c>
      <c r="FK59" s="504">
        <v>0</v>
      </c>
      <c r="FL59" s="504">
        <v>0</v>
      </c>
      <c r="FM59" s="504">
        <v>0</v>
      </c>
      <c r="FN59" s="504">
        <v>0</v>
      </c>
      <c r="FO59" s="504">
        <v>0</v>
      </c>
      <c r="FP59" s="504">
        <v>0</v>
      </c>
      <c r="FQ59" s="504">
        <v>0</v>
      </c>
      <c r="FR59" s="504">
        <v>0</v>
      </c>
      <c r="FS59" s="504">
        <v>0</v>
      </c>
      <c r="FT59" s="504">
        <v>0</v>
      </c>
      <c r="FU59" s="504">
        <v>0</v>
      </c>
      <c r="FV59" s="504">
        <v>0</v>
      </c>
      <c r="FW59" s="504">
        <v>0</v>
      </c>
      <c r="FX59" s="504">
        <v>0</v>
      </c>
      <c r="FY59" s="504">
        <v>0</v>
      </c>
      <c r="FZ59" s="504">
        <v>0</v>
      </c>
      <c r="GA59" s="504">
        <v>0</v>
      </c>
      <c r="GB59" s="504">
        <v>0</v>
      </c>
      <c r="GC59" s="504">
        <v>0</v>
      </c>
      <c r="GD59" s="504">
        <v>0</v>
      </c>
      <c r="GE59" s="504">
        <v>0</v>
      </c>
      <c r="GF59" s="504">
        <v>0</v>
      </c>
      <c r="GG59" s="504">
        <v>0</v>
      </c>
      <c r="GH59" s="504">
        <v>0</v>
      </c>
      <c r="GI59" s="504">
        <v>0</v>
      </c>
      <c r="GJ59" s="504">
        <v>0</v>
      </c>
      <c r="GK59" s="504">
        <v>0</v>
      </c>
      <c r="GL59" s="504">
        <v>0</v>
      </c>
      <c r="GM59" s="504">
        <v>0</v>
      </c>
      <c r="GN59" s="504">
        <v>0</v>
      </c>
      <c r="GO59" s="504">
        <v>0</v>
      </c>
      <c r="GP59" s="504">
        <v>0</v>
      </c>
      <c r="GQ59" s="504">
        <v>0</v>
      </c>
      <c r="GR59" s="504">
        <v>0</v>
      </c>
      <c r="GS59" s="504">
        <v>0</v>
      </c>
      <c r="GT59" s="504">
        <v>0</v>
      </c>
      <c r="GU59" s="504">
        <v>0</v>
      </c>
      <c r="GV59" s="504">
        <v>0</v>
      </c>
      <c r="GW59" s="504">
        <v>0</v>
      </c>
      <c r="GX59" s="504">
        <v>0</v>
      </c>
      <c r="GY59" s="504">
        <v>0</v>
      </c>
      <c r="GZ59" s="504">
        <v>0</v>
      </c>
      <c r="HA59" s="504">
        <v>0</v>
      </c>
      <c r="HB59" s="504">
        <v>0</v>
      </c>
      <c r="HC59" s="504">
        <v>0</v>
      </c>
      <c r="HD59" s="504">
        <v>0</v>
      </c>
      <c r="HE59" s="504">
        <v>0</v>
      </c>
      <c r="HF59" s="504">
        <v>0</v>
      </c>
      <c r="HG59" s="504">
        <v>0</v>
      </c>
      <c r="HH59" s="504">
        <v>0</v>
      </c>
      <c r="HI59" s="504">
        <v>0</v>
      </c>
      <c r="HJ59" s="504">
        <v>0</v>
      </c>
      <c r="HK59" s="504">
        <v>0</v>
      </c>
      <c r="HL59" s="504">
        <v>0</v>
      </c>
      <c r="HM59" s="504">
        <v>0</v>
      </c>
      <c r="HN59" s="504">
        <v>0</v>
      </c>
      <c r="HO59" s="504">
        <v>0</v>
      </c>
      <c r="HP59" s="504">
        <v>0</v>
      </c>
      <c r="HQ59" s="504">
        <v>0</v>
      </c>
      <c r="HR59" s="504">
        <v>0</v>
      </c>
      <c r="HS59" s="504">
        <v>0</v>
      </c>
      <c r="HT59" s="504">
        <v>0</v>
      </c>
      <c r="HU59" s="504">
        <v>0</v>
      </c>
      <c r="HV59" s="504">
        <v>0</v>
      </c>
      <c r="HW59" s="504">
        <v>0</v>
      </c>
      <c r="HX59" s="504">
        <v>0</v>
      </c>
      <c r="HY59" s="504">
        <v>0</v>
      </c>
      <c r="HZ59" s="504">
        <v>0</v>
      </c>
      <c r="IA59" s="504">
        <v>0</v>
      </c>
      <c r="IB59" s="504">
        <v>0</v>
      </c>
      <c r="IC59" s="504">
        <v>0</v>
      </c>
      <c r="ID59" s="504">
        <v>0</v>
      </c>
      <c r="IE59" s="504">
        <v>0</v>
      </c>
      <c r="IF59" s="504">
        <v>0</v>
      </c>
      <c r="IG59" s="504">
        <v>0</v>
      </c>
      <c r="IH59" s="504">
        <v>0</v>
      </c>
      <c r="II59" s="504">
        <v>0</v>
      </c>
      <c r="IJ59" s="504">
        <v>0</v>
      </c>
      <c r="IK59" s="504">
        <v>0</v>
      </c>
      <c r="IL59" s="504">
        <v>0</v>
      </c>
      <c r="IM59" s="504">
        <v>0</v>
      </c>
      <c r="IN59" s="504">
        <v>0</v>
      </c>
      <c r="IO59" s="504">
        <v>0</v>
      </c>
      <c r="IP59" s="504">
        <v>0</v>
      </c>
      <c r="IQ59" s="504">
        <v>0</v>
      </c>
      <c r="IR59" s="504">
        <v>0</v>
      </c>
      <c r="IS59" s="504">
        <v>0</v>
      </c>
      <c r="IT59" s="504">
        <v>0</v>
      </c>
      <c r="IU59" s="504">
        <v>0</v>
      </c>
      <c r="IV59" s="504">
        <v>0</v>
      </c>
      <c r="IW59" s="504">
        <v>0</v>
      </c>
      <c r="IX59" s="504">
        <v>0</v>
      </c>
      <c r="IY59" s="504">
        <v>0</v>
      </c>
      <c r="IZ59" s="504">
        <v>0</v>
      </c>
      <c r="JA59" s="504">
        <v>0</v>
      </c>
      <c r="JB59" s="504">
        <v>0</v>
      </c>
      <c r="JC59" s="504">
        <v>0</v>
      </c>
      <c r="JD59" s="504">
        <v>0</v>
      </c>
      <c r="JE59" s="504">
        <v>0</v>
      </c>
      <c r="JF59" s="504">
        <v>0</v>
      </c>
      <c r="JG59" s="504">
        <v>0</v>
      </c>
      <c r="JH59" s="504">
        <v>0</v>
      </c>
      <c r="JI59" s="504">
        <v>0</v>
      </c>
      <c r="JJ59" s="504">
        <v>0</v>
      </c>
      <c r="JK59" s="504">
        <v>0</v>
      </c>
      <c r="JL59" s="504">
        <v>0</v>
      </c>
      <c r="JM59" s="504">
        <v>0</v>
      </c>
      <c r="JN59" s="504">
        <v>0</v>
      </c>
      <c r="JO59" s="504">
        <v>0</v>
      </c>
      <c r="JP59" s="504">
        <v>0</v>
      </c>
      <c r="JQ59" s="504">
        <v>0</v>
      </c>
      <c r="JR59" s="504">
        <v>0</v>
      </c>
      <c r="JS59" s="504">
        <v>0</v>
      </c>
      <c r="JT59" s="504">
        <v>0</v>
      </c>
      <c r="JU59" s="504">
        <v>0</v>
      </c>
      <c r="JV59" s="504">
        <v>0</v>
      </c>
      <c r="JW59" s="504">
        <v>0</v>
      </c>
      <c r="JX59" s="504">
        <v>0</v>
      </c>
      <c r="JY59" s="504">
        <v>0</v>
      </c>
      <c r="JZ59" s="504">
        <v>0</v>
      </c>
      <c r="KA59" s="504">
        <v>0</v>
      </c>
      <c r="KB59" s="504">
        <v>0</v>
      </c>
      <c r="KC59" s="504">
        <v>0</v>
      </c>
      <c r="KD59" s="504">
        <v>0</v>
      </c>
      <c r="KE59" s="504">
        <v>0</v>
      </c>
      <c r="KF59" s="504">
        <v>0</v>
      </c>
      <c r="KG59" s="504">
        <v>0</v>
      </c>
      <c r="KH59" s="504">
        <v>0</v>
      </c>
      <c r="KI59" s="504">
        <v>0</v>
      </c>
      <c r="KJ59" s="504">
        <v>0</v>
      </c>
      <c r="KK59" s="504">
        <v>0</v>
      </c>
      <c r="KL59" s="504">
        <v>0</v>
      </c>
      <c r="KM59" s="504">
        <v>0</v>
      </c>
      <c r="KN59" s="504">
        <v>0</v>
      </c>
      <c r="KO59" s="504">
        <v>0</v>
      </c>
      <c r="KP59" s="504">
        <v>0</v>
      </c>
      <c r="KQ59" s="504">
        <v>0</v>
      </c>
      <c r="KR59" s="504">
        <v>0</v>
      </c>
      <c r="KS59" s="504">
        <v>0</v>
      </c>
      <c r="KT59" s="504">
        <v>0</v>
      </c>
      <c r="KU59" s="504">
        <v>0</v>
      </c>
      <c r="KV59" s="504">
        <v>0</v>
      </c>
      <c r="KW59" s="504">
        <v>0</v>
      </c>
      <c r="KX59" s="504">
        <v>0</v>
      </c>
      <c r="KY59" s="504">
        <v>0</v>
      </c>
      <c r="KZ59" s="504">
        <v>0</v>
      </c>
      <c r="LA59" s="504">
        <v>0</v>
      </c>
      <c r="LB59" s="504">
        <v>0</v>
      </c>
      <c r="LC59" s="504">
        <v>0</v>
      </c>
      <c r="LD59" s="504">
        <v>0</v>
      </c>
      <c r="LE59" s="504">
        <v>0</v>
      </c>
      <c r="LF59" s="504">
        <v>0</v>
      </c>
      <c r="LG59" s="504">
        <v>0</v>
      </c>
      <c r="LH59" s="504">
        <v>0</v>
      </c>
      <c r="LI59" s="504">
        <v>0</v>
      </c>
      <c r="LJ59" s="504">
        <v>0</v>
      </c>
      <c r="LK59" s="504">
        <v>0</v>
      </c>
      <c r="LL59" s="504">
        <v>0</v>
      </c>
      <c r="LM59" s="504">
        <v>0</v>
      </c>
      <c r="LN59" s="504">
        <v>0</v>
      </c>
      <c r="LO59" s="504">
        <v>0</v>
      </c>
      <c r="LP59" s="504">
        <v>0</v>
      </c>
      <c r="LQ59" s="504">
        <v>0</v>
      </c>
      <c r="LR59" s="504">
        <v>0</v>
      </c>
      <c r="LS59" s="504">
        <v>0</v>
      </c>
      <c r="LT59" s="504">
        <v>0</v>
      </c>
      <c r="LU59" s="504">
        <v>0</v>
      </c>
      <c r="LV59" s="504">
        <v>0</v>
      </c>
      <c r="LW59" s="504">
        <v>0</v>
      </c>
      <c r="LX59" s="504">
        <v>0</v>
      </c>
      <c r="LY59" s="504">
        <v>0</v>
      </c>
      <c r="LZ59" s="504">
        <v>0</v>
      </c>
      <c r="MA59" s="504">
        <v>0</v>
      </c>
      <c r="MB59" s="504">
        <v>0</v>
      </c>
      <c r="MC59" s="504">
        <v>0</v>
      </c>
      <c r="MD59" s="504">
        <v>0</v>
      </c>
      <c r="ME59" s="504">
        <v>0</v>
      </c>
      <c r="MF59" s="504">
        <v>0</v>
      </c>
      <c r="MG59" s="504">
        <v>0</v>
      </c>
      <c r="MH59" s="504">
        <v>0</v>
      </c>
      <c r="MI59" s="504">
        <v>0</v>
      </c>
      <c r="MJ59" s="504">
        <v>0</v>
      </c>
      <c r="MK59" s="504">
        <v>0</v>
      </c>
      <c r="ML59" s="504">
        <v>0</v>
      </c>
      <c r="MM59" s="504">
        <v>0</v>
      </c>
      <c r="MN59" s="504">
        <v>0</v>
      </c>
      <c r="MO59" s="504">
        <v>0</v>
      </c>
      <c r="MP59" s="504">
        <v>0</v>
      </c>
      <c r="MQ59" s="504">
        <v>0</v>
      </c>
      <c r="MR59" s="504">
        <v>0</v>
      </c>
      <c r="MS59" s="504">
        <v>0</v>
      </c>
      <c r="MT59" s="504">
        <v>0</v>
      </c>
      <c r="MU59" s="504">
        <v>0</v>
      </c>
      <c r="MV59" s="504">
        <v>0</v>
      </c>
      <c r="MW59" s="504">
        <v>0</v>
      </c>
      <c r="MX59" s="504">
        <v>0</v>
      </c>
      <c r="MY59" s="504">
        <v>0</v>
      </c>
      <c r="MZ59" s="504">
        <v>0</v>
      </c>
      <c r="NA59" s="504">
        <v>0</v>
      </c>
      <c r="NB59" s="504">
        <v>0</v>
      </c>
      <c r="NC59" s="504">
        <v>0</v>
      </c>
      <c r="ND59" s="504">
        <v>0</v>
      </c>
      <c r="NE59" s="504">
        <v>0</v>
      </c>
      <c r="NF59" s="504">
        <v>0</v>
      </c>
      <c r="NG59" s="504">
        <v>0</v>
      </c>
      <c r="NH59" s="504">
        <v>0</v>
      </c>
      <c r="NI59" s="504">
        <v>0</v>
      </c>
      <c r="NJ59" s="504">
        <v>0</v>
      </c>
      <c r="NK59" s="504">
        <v>0</v>
      </c>
      <c r="NL59" s="504">
        <v>0</v>
      </c>
      <c r="NM59" s="504">
        <v>0</v>
      </c>
      <c r="NN59" s="504">
        <v>0</v>
      </c>
      <c r="NO59" s="504">
        <v>0</v>
      </c>
      <c r="NP59" s="504">
        <v>0</v>
      </c>
      <c r="NQ59" s="504">
        <v>0</v>
      </c>
      <c r="NR59" s="504">
        <v>0</v>
      </c>
      <c r="NS59" s="504">
        <v>0</v>
      </c>
      <c r="NT59" s="504">
        <v>0</v>
      </c>
      <c r="NU59" s="504">
        <v>0</v>
      </c>
      <c r="NV59" s="504">
        <v>0</v>
      </c>
      <c r="NW59" s="504">
        <v>0</v>
      </c>
      <c r="NX59" s="504">
        <v>0</v>
      </c>
      <c r="NY59" s="504">
        <v>0</v>
      </c>
      <c r="NZ59" s="504">
        <v>0</v>
      </c>
      <c r="OA59" s="504">
        <v>0</v>
      </c>
      <c r="OB59" s="504">
        <v>0</v>
      </c>
      <c r="OC59" s="504">
        <v>0</v>
      </c>
      <c r="OD59" s="504">
        <v>0</v>
      </c>
      <c r="OE59" s="504">
        <v>0</v>
      </c>
      <c r="OF59" s="504">
        <v>0</v>
      </c>
      <c r="OG59" s="504">
        <v>0</v>
      </c>
      <c r="OH59" s="504">
        <v>0</v>
      </c>
      <c r="OI59" s="504">
        <v>0</v>
      </c>
      <c r="OJ59" s="504">
        <v>0</v>
      </c>
      <c r="OK59" s="504">
        <v>0</v>
      </c>
      <c r="OL59" s="504">
        <v>0</v>
      </c>
      <c r="OM59" s="504">
        <v>0</v>
      </c>
      <c r="ON59" s="494"/>
    </row>
    <row r="60" spans="1:404" ht="18.75" customHeight="1" x14ac:dyDescent="0.4">
      <c r="A60" s="355" t="s">
        <v>336</v>
      </c>
      <c r="B60" s="358">
        <v>216</v>
      </c>
      <c r="C60" s="355" t="s">
        <v>60</v>
      </c>
      <c r="D60" s="501">
        <v>36.22</v>
      </c>
      <c r="E60" s="502">
        <v>28156</v>
      </c>
      <c r="F60" s="501">
        <v>36.21</v>
      </c>
      <c r="G60" s="502">
        <v>21511</v>
      </c>
      <c r="H60" s="501">
        <v>36.21</v>
      </c>
      <c r="I60" s="502">
        <v>57900</v>
      </c>
      <c r="J60" s="501">
        <v>36.21</v>
      </c>
      <c r="K60" s="502">
        <v>63642</v>
      </c>
      <c r="V60" s="501"/>
      <c r="W60" s="503"/>
      <c r="X60" s="501"/>
      <c r="Y60" s="503"/>
      <c r="Z60" s="501"/>
      <c r="AA60" s="503"/>
      <c r="AB60" s="495"/>
      <c r="AC60" s="504">
        <v>0</v>
      </c>
      <c r="AD60" s="504">
        <v>0</v>
      </c>
      <c r="AE60" s="504">
        <v>0</v>
      </c>
      <c r="AF60" s="504">
        <v>0</v>
      </c>
      <c r="AG60" s="504">
        <v>0</v>
      </c>
      <c r="AH60" s="504">
        <v>0</v>
      </c>
      <c r="AI60" s="504">
        <v>0</v>
      </c>
      <c r="AJ60" s="504">
        <v>0</v>
      </c>
      <c r="AK60" s="504">
        <v>0</v>
      </c>
      <c r="AL60" s="504">
        <v>0</v>
      </c>
      <c r="AM60" s="504">
        <v>0</v>
      </c>
      <c r="AN60" s="504">
        <v>0</v>
      </c>
      <c r="AO60" s="504">
        <v>0</v>
      </c>
      <c r="AP60" s="504">
        <v>0</v>
      </c>
      <c r="AQ60" s="504">
        <v>0</v>
      </c>
      <c r="AR60" s="504">
        <v>0</v>
      </c>
      <c r="AS60" s="504">
        <v>0</v>
      </c>
      <c r="AT60" s="504">
        <v>0</v>
      </c>
      <c r="AU60" s="504">
        <v>0</v>
      </c>
      <c r="AV60" s="504">
        <v>0</v>
      </c>
      <c r="AW60" s="504">
        <v>0</v>
      </c>
      <c r="AX60" s="504">
        <v>0</v>
      </c>
      <c r="AY60" s="504">
        <v>0</v>
      </c>
      <c r="AZ60" s="504">
        <v>0</v>
      </c>
      <c r="BA60" s="504">
        <v>0</v>
      </c>
      <c r="BB60" s="504">
        <v>0</v>
      </c>
      <c r="BC60" s="504">
        <v>0</v>
      </c>
      <c r="BD60" s="504">
        <v>0</v>
      </c>
      <c r="BE60" s="504">
        <v>0</v>
      </c>
      <c r="BF60" s="504">
        <v>0</v>
      </c>
      <c r="BG60" s="504">
        <v>0</v>
      </c>
      <c r="BH60" s="504">
        <v>0</v>
      </c>
      <c r="BI60" s="504">
        <v>0</v>
      </c>
      <c r="BJ60" s="504">
        <v>0</v>
      </c>
      <c r="BK60" s="504">
        <v>0</v>
      </c>
      <c r="BL60" s="504">
        <v>0</v>
      </c>
      <c r="BM60" s="504">
        <v>0</v>
      </c>
      <c r="BN60" s="504">
        <v>0</v>
      </c>
      <c r="BO60" s="504">
        <v>0</v>
      </c>
      <c r="BP60" s="504">
        <v>0</v>
      </c>
      <c r="BQ60" s="504">
        <v>0</v>
      </c>
      <c r="BR60" s="504">
        <v>0</v>
      </c>
      <c r="BS60" s="504">
        <v>0</v>
      </c>
      <c r="BT60" s="504">
        <v>0</v>
      </c>
      <c r="BU60" s="504">
        <v>0</v>
      </c>
      <c r="BV60" s="504">
        <v>0</v>
      </c>
      <c r="BW60" s="504">
        <v>0</v>
      </c>
      <c r="BX60" s="504">
        <v>0</v>
      </c>
      <c r="BY60" s="504">
        <v>0</v>
      </c>
      <c r="BZ60" s="504">
        <v>0</v>
      </c>
      <c r="CA60" s="504">
        <v>0</v>
      </c>
      <c r="CB60" s="504">
        <v>0</v>
      </c>
      <c r="CC60" s="504">
        <v>0</v>
      </c>
      <c r="CD60" s="504">
        <v>0</v>
      </c>
      <c r="CE60" s="504">
        <v>0</v>
      </c>
      <c r="CF60" s="504">
        <v>0</v>
      </c>
      <c r="CG60" s="504">
        <v>0</v>
      </c>
      <c r="CH60" s="504">
        <v>0</v>
      </c>
      <c r="CI60" s="504">
        <v>0</v>
      </c>
      <c r="CJ60" s="504">
        <v>0</v>
      </c>
      <c r="CK60" s="504">
        <v>0</v>
      </c>
      <c r="CL60" s="504">
        <v>0</v>
      </c>
      <c r="CM60" s="504">
        <v>0</v>
      </c>
      <c r="CN60" s="504">
        <v>0</v>
      </c>
      <c r="CO60" s="504">
        <v>0</v>
      </c>
      <c r="CP60" s="504">
        <v>0</v>
      </c>
      <c r="CQ60" s="504">
        <v>0</v>
      </c>
      <c r="CR60" s="504">
        <v>0</v>
      </c>
      <c r="CS60" s="504">
        <v>0</v>
      </c>
      <c r="CT60" s="504">
        <v>0</v>
      </c>
      <c r="CU60" s="504">
        <v>0</v>
      </c>
      <c r="CV60" s="504">
        <v>0</v>
      </c>
      <c r="CW60" s="504">
        <v>0</v>
      </c>
      <c r="CX60" s="504">
        <v>0</v>
      </c>
      <c r="CY60" s="504">
        <v>0</v>
      </c>
      <c r="CZ60" s="504">
        <v>0</v>
      </c>
      <c r="DA60" s="504">
        <v>0</v>
      </c>
      <c r="DB60" s="504">
        <v>0</v>
      </c>
      <c r="DC60" s="504">
        <v>0</v>
      </c>
      <c r="DD60" s="504">
        <v>0</v>
      </c>
      <c r="DE60" s="504">
        <v>0</v>
      </c>
      <c r="DF60" s="504">
        <v>0</v>
      </c>
      <c r="DG60" s="504">
        <v>0</v>
      </c>
      <c r="DH60" s="504">
        <v>0</v>
      </c>
      <c r="DI60" s="504">
        <v>0</v>
      </c>
      <c r="DJ60" s="504">
        <v>0</v>
      </c>
      <c r="DK60" s="504">
        <v>0</v>
      </c>
      <c r="DL60" s="504">
        <v>0</v>
      </c>
      <c r="DM60" s="504">
        <v>0</v>
      </c>
      <c r="DN60" s="504">
        <v>0</v>
      </c>
      <c r="DO60" s="504">
        <v>0</v>
      </c>
      <c r="DP60" s="504">
        <v>0</v>
      </c>
      <c r="DQ60" s="504">
        <v>0</v>
      </c>
      <c r="DR60" s="504">
        <v>0</v>
      </c>
      <c r="DS60" s="504">
        <v>0</v>
      </c>
      <c r="DT60" s="504">
        <v>0</v>
      </c>
      <c r="DU60" s="504">
        <v>0</v>
      </c>
      <c r="DV60" s="504">
        <v>0</v>
      </c>
      <c r="DW60" s="504">
        <v>0</v>
      </c>
      <c r="DX60" s="504">
        <v>0</v>
      </c>
      <c r="DY60" s="504">
        <v>0</v>
      </c>
      <c r="DZ60" s="504">
        <v>0</v>
      </c>
      <c r="EA60" s="504">
        <v>0</v>
      </c>
      <c r="EB60" s="504">
        <v>0</v>
      </c>
      <c r="EC60" s="504">
        <v>0</v>
      </c>
      <c r="ED60" s="504">
        <v>0</v>
      </c>
      <c r="EE60" s="504">
        <v>0</v>
      </c>
      <c r="EF60" s="504">
        <v>0</v>
      </c>
      <c r="EG60" s="504">
        <v>0</v>
      </c>
      <c r="EH60" s="504">
        <v>0</v>
      </c>
      <c r="EI60" s="504">
        <v>0</v>
      </c>
      <c r="EJ60" s="504">
        <v>0</v>
      </c>
      <c r="EK60" s="504">
        <v>0</v>
      </c>
      <c r="EL60" s="504">
        <v>0</v>
      </c>
      <c r="EM60" s="504">
        <v>0</v>
      </c>
      <c r="EN60" s="504">
        <v>0</v>
      </c>
      <c r="EO60" s="504">
        <v>0</v>
      </c>
      <c r="EP60" s="504">
        <v>0</v>
      </c>
      <c r="EQ60" s="504">
        <v>0</v>
      </c>
      <c r="ER60" s="504">
        <v>0</v>
      </c>
      <c r="ES60" s="504">
        <v>0</v>
      </c>
      <c r="ET60" s="504">
        <v>0</v>
      </c>
      <c r="EU60" s="504">
        <v>0</v>
      </c>
      <c r="EV60" s="504">
        <v>0</v>
      </c>
      <c r="EW60" s="504">
        <v>0</v>
      </c>
      <c r="EX60" s="504">
        <v>0</v>
      </c>
      <c r="EY60" s="504">
        <v>0</v>
      </c>
      <c r="EZ60" s="504">
        <v>0</v>
      </c>
      <c r="FA60" s="504">
        <v>0</v>
      </c>
      <c r="FB60" s="504">
        <v>0</v>
      </c>
      <c r="FC60" s="504">
        <v>0</v>
      </c>
      <c r="FD60" s="504">
        <v>0</v>
      </c>
      <c r="FE60" s="504">
        <v>0</v>
      </c>
      <c r="FF60" s="504">
        <v>0</v>
      </c>
      <c r="FG60" s="504">
        <v>0</v>
      </c>
      <c r="FH60" s="504">
        <v>0</v>
      </c>
      <c r="FI60" s="504">
        <v>0</v>
      </c>
      <c r="FJ60" s="504">
        <v>0</v>
      </c>
      <c r="FK60" s="504">
        <v>0</v>
      </c>
      <c r="FL60" s="504">
        <v>0</v>
      </c>
      <c r="FM60" s="504">
        <v>0</v>
      </c>
      <c r="FN60" s="504">
        <v>0</v>
      </c>
      <c r="FO60" s="504">
        <v>0</v>
      </c>
      <c r="FP60" s="504">
        <v>0</v>
      </c>
      <c r="FQ60" s="504">
        <v>0</v>
      </c>
      <c r="FR60" s="504">
        <v>0</v>
      </c>
      <c r="FS60" s="504">
        <v>0</v>
      </c>
      <c r="FT60" s="504">
        <v>0</v>
      </c>
      <c r="FU60" s="504">
        <v>0</v>
      </c>
      <c r="FV60" s="504">
        <v>0</v>
      </c>
      <c r="FW60" s="504">
        <v>0</v>
      </c>
      <c r="FX60" s="504">
        <v>0</v>
      </c>
      <c r="FY60" s="504">
        <v>0</v>
      </c>
      <c r="FZ60" s="504">
        <v>0</v>
      </c>
      <c r="GA60" s="504">
        <v>0</v>
      </c>
      <c r="GB60" s="504">
        <v>0</v>
      </c>
      <c r="GC60" s="504">
        <v>0</v>
      </c>
      <c r="GD60" s="504">
        <v>0</v>
      </c>
      <c r="GE60" s="504">
        <v>0</v>
      </c>
      <c r="GF60" s="504">
        <v>0</v>
      </c>
      <c r="GG60" s="504">
        <v>0</v>
      </c>
      <c r="GH60" s="504">
        <v>0</v>
      </c>
      <c r="GI60" s="504">
        <v>0</v>
      </c>
      <c r="GJ60" s="504">
        <v>0</v>
      </c>
      <c r="GK60" s="504">
        <v>0</v>
      </c>
      <c r="GL60" s="504">
        <v>0</v>
      </c>
      <c r="GM60" s="504">
        <v>0</v>
      </c>
      <c r="GN60" s="504">
        <v>0</v>
      </c>
      <c r="GO60" s="504">
        <v>0</v>
      </c>
      <c r="GP60" s="504">
        <v>0</v>
      </c>
      <c r="GQ60" s="504">
        <v>0</v>
      </c>
      <c r="GR60" s="504">
        <v>0</v>
      </c>
      <c r="GS60" s="504">
        <v>0</v>
      </c>
      <c r="GT60" s="504">
        <v>0</v>
      </c>
      <c r="GU60" s="504">
        <v>0</v>
      </c>
      <c r="GV60" s="504">
        <v>0</v>
      </c>
      <c r="GW60" s="504">
        <v>0</v>
      </c>
      <c r="GX60" s="504">
        <v>0</v>
      </c>
      <c r="GY60" s="504">
        <v>0</v>
      </c>
      <c r="GZ60" s="504">
        <v>0</v>
      </c>
      <c r="HA60" s="504">
        <v>0</v>
      </c>
      <c r="HB60" s="504">
        <v>0</v>
      </c>
      <c r="HC60" s="504">
        <v>0</v>
      </c>
      <c r="HD60" s="504">
        <v>0</v>
      </c>
      <c r="HE60" s="504">
        <v>0</v>
      </c>
      <c r="HF60" s="504">
        <v>0</v>
      </c>
      <c r="HG60" s="504">
        <v>0</v>
      </c>
      <c r="HH60" s="504">
        <v>0</v>
      </c>
      <c r="HI60" s="504">
        <v>0</v>
      </c>
      <c r="HJ60" s="504">
        <v>0</v>
      </c>
      <c r="HK60" s="504">
        <v>0</v>
      </c>
      <c r="HL60" s="504">
        <v>0</v>
      </c>
      <c r="HM60" s="504">
        <v>0</v>
      </c>
      <c r="HN60" s="504">
        <v>0</v>
      </c>
      <c r="HO60" s="504">
        <v>0</v>
      </c>
      <c r="HP60" s="504">
        <v>0</v>
      </c>
      <c r="HQ60" s="504">
        <v>0</v>
      </c>
      <c r="HR60" s="504">
        <v>0</v>
      </c>
      <c r="HS60" s="504">
        <v>0</v>
      </c>
      <c r="HT60" s="504">
        <v>0</v>
      </c>
      <c r="HU60" s="504">
        <v>0</v>
      </c>
      <c r="HV60" s="504">
        <v>0</v>
      </c>
      <c r="HW60" s="504">
        <v>0</v>
      </c>
      <c r="HX60" s="504">
        <v>0</v>
      </c>
      <c r="HY60" s="504">
        <v>0</v>
      </c>
      <c r="HZ60" s="504">
        <v>0</v>
      </c>
      <c r="IA60" s="504">
        <v>0</v>
      </c>
      <c r="IB60" s="504">
        <v>0</v>
      </c>
      <c r="IC60" s="504">
        <v>0</v>
      </c>
      <c r="ID60" s="504">
        <v>0</v>
      </c>
      <c r="IE60" s="504">
        <v>0</v>
      </c>
      <c r="IF60" s="504">
        <v>0</v>
      </c>
      <c r="IG60" s="504">
        <v>0</v>
      </c>
      <c r="IH60" s="504">
        <v>0</v>
      </c>
      <c r="II60" s="504">
        <v>0</v>
      </c>
      <c r="IJ60" s="504">
        <v>0</v>
      </c>
      <c r="IK60" s="504">
        <v>0</v>
      </c>
      <c r="IL60" s="504">
        <v>0</v>
      </c>
      <c r="IM60" s="504">
        <v>0</v>
      </c>
      <c r="IN60" s="504">
        <v>0</v>
      </c>
      <c r="IO60" s="504">
        <v>0</v>
      </c>
      <c r="IP60" s="504">
        <v>0</v>
      </c>
      <c r="IQ60" s="504">
        <v>0</v>
      </c>
      <c r="IR60" s="504">
        <v>0</v>
      </c>
      <c r="IS60" s="504">
        <v>0</v>
      </c>
      <c r="IT60" s="504">
        <v>0</v>
      </c>
      <c r="IU60" s="504">
        <v>0</v>
      </c>
      <c r="IV60" s="504">
        <v>0</v>
      </c>
      <c r="IW60" s="504">
        <v>0</v>
      </c>
      <c r="IX60" s="504">
        <v>0</v>
      </c>
      <c r="IY60" s="504">
        <v>0</v>
      </c>
      <c r="IZ60" s="504">
        <v>0</v>
      </c>
      <c r="JA60" s="504">
        <v>0</v>
      </c>
      <c r="JB60" s="504">
        <v>0</v>
      </c>
      <c r="JC60" s="504">
        <v>0</v>
      </c>
      <c r="JD60" s="504">
        <v>0</v>
      </c>
      <c r="JE60" s="504">
        <v>0</v>
      </c>
      <c r="JF60" s="504">
        <v>0</v>
      </c>
      <c r="JG60" s="504">
        <v>0</v>
      </c>
      <c r="JH60" s="504">
        <v>0</v>
      </c>
      <c r="JI60" s="504">
        <v>0</v>
      </c>
      <c r="JJ60" s="504">
        <v>0</v>
      </c>
      <c r="JK60" s="504">
        <v>0</v>
      </c>
      <c r="JL60" s="504">
        <v>0</v>
      </c>
      <c r="JM60" s="504">
        <v>0</v>
      </c>
      <c r="JN60" s="504">
        <v>0</v>
      </c>
      <c r="JO60" s="504">
        <v>0</v>
      </c>
      <c r="JP60" s="504">
        <v>0</v>
      </c>
      <c r="JQ60" s="504">
        <v>0</v>
      </c>
      <c r="JR60" s="504">
        <v>0</v>
      </c>
      <c r="JS60" s="504">
        <v>0</v>
      </c>
      <c r="JT60" s="504">
        <v>0</v>
      </c>
      <c r="JU60" s="504">
        <v>0</v>
      </c>
      <c r="JV60" s="504">
        <v>0</v>
      </c>
      <c r="JW60" s="504">
        <v>0</v>
      </c>
      <c r="JX60" s="504">
        <v>0</v>
      </c>
      <c r="JY60" s="504">
        <v>0</v>
      </c>
      <c r="JZ60" s="504">
        <v>0</v>
      </c>
      <c r="KA60" s="504">
        <v>0</v>
      </c>
      <c r="KB60" s="504">
        <v>0</v>
      </c>
      <c r="KC60" s="504">
        <v>0</v>
      </c>
      <c r="KD60" s="504">
        <v>0</v>
      </c>
      <c r="KE60" s="504">
        <v>0</v>
      </c>
      <c r="KF60" s="504">
        <v>0</v>
      </c>
      <c r="KG60" s="504">
        <v>0</v>
      </c>
      <c r="KH60" s="504">
        <v>0</v>
      </c>
      <c r="KI60" s="504">
        <v>0</v>
      </c>
      <c r="KJ60" s="504">
        <v>0</v>
      </c>
      <c r="KK60" s="504">
        <v>0</v>
      </c>
      <c r="KL60" s="504">
        <v>0</v>
      </c>
      <c r="KM60" s="504">
        <v>0</v>
      </c>
      <c r="KN60" s="504">
        <v>0</v>
      </c>
      <c r="KO60" s="504">
        <v>0</v>
      </c>
      <c r="KP60" s="504">
        <v>0</v>
      </c>
      <c r="KQ60" s="504">
        <v>0</v>
      </c>
      <c r="KR60" s="504">
        <v>0</v>
      </c>
      <c r="KS60" s="504">
        <v>0</v>
      </c>
      <c r="KT60" s="504">
        <v>0</v>
      </c>
      <c r="KU60" s="504">
        <v>0</v>
      </c>
      <c r="KV60" s="504">
        <v>0</v>
      </c>
      <c r="KW60" s="504">
        <v>0</v>
      </c>
      <c r="KX60" s="504">
        <v>0</v>
      </c>
      <c r="KY60" s="504">
        <v>0</v>
      </c>
      <c r="KZ60" s="504">
        <v>0</v>
      </c>
      <c r="LA60" s="504">
        <v>0</v>
      </c>
      <c r="LB60" s="504">
        <v>0</v>
      </c>
      <c r="LC60" s="504">
        <v>0</v>
      </c>
      <c r="LD60" s="504">
        <v>0</v>
      </c>
      <c r="LE60" s="504">
        <v>0</v>
      </c>
      <c r="LF60" s="504">
        <v>0</v>
      </c>
      <c r="LG60" s="504">
        <v>0</v>
      </c>
      <c r="LH60" s="504">
        <v>0</v>
      </c>
      <c r="LI60" s="504">
        <v>0</v>
      </c>
      <c r="LJ60" s="504">
        <v>0</v>
      </c>
      <c r="LK60" s="504">
        <v>0</v>
      </c>
      <c r="LL60" s="504">
        <v>0</v>
      </c>
      <c r="LM60" s="504">
        <v>0</v>
      </c>
      <c r="LN60" s="504">
        <v>0</v>
      </c>
      <c r="LO60" s="504">
        <v>0</v>
      </c>
      <c r="LP60" s="504">
        <v>0</v>
      </c>
      <c r="LQ60" s="504">
        <v>0</v>
      </c>
      <c r="LR60" s="504">
        <v>0</v>
      </c>
      <c r="LS60" s="504">
        <v>0</v>
      </c>
      <c r="LT60" s="504">
        <v>0</v>
      </c>
      <c r="LU60" s="504">
        <v>0</v>
      </c>
      <c r="LV60" s="504">
        <v>0</v>
      </c>
      <c r="LW60" s="504">
        <v>0</v>
      </c>
      <c r="LX60" s="504">
        <v>0</v>
      </c>
      <c r="LY60" s="504">
        <v>0</v>
      </c>
      <c r="LZ60" s="504">
        <v>0</v>
      </c>
      <c r="MA60" s="504">
        <v>0</v>
      </c>
      <c r="MB60" s="504">
        <v>0</v>
      </c>
      <c r="MC60" s="504">
        <v>0</v>
      </c>
      <c r="MD60" s="504">
        <v>0</v>
      </c>
      <c r="ME60" s="504">
        <v>0</v>
      </c>
      <c r="MF60" s="504">
        <v>0</v>
      </c>
      <c r="MG60" s="504">
        <v>0</v>
      </c>
      <c r="MH60" s="504">
        <v>0</v>
      </c>
      <c r="MI60" s="504">
        <v>0</v>
      </c>
      <c r="MJ60" s="504">
        <v>0</v>
      </c>
      <c r="MK60" s="504">
        <v>0</v>
      </c>
      <c r="ML60" s="504">
        <v>0</v>
      </c>
      <c r="MM60" s="504">
        <v>0</v>
      </c>
      <c r="MN60" s="504">
        <v>0</v>
      </c>
      <c r="MO60" s="504">
        <v>0</v>
      </c>
      <c r="MP60" s="504">
        <v>0</v>
      </c>
      <c r="MQ60" s="504">
        <v>0</v>
      </c>
      <c r="MR60" s="504">
        <v>0</v>
      </c>
      <c r="MS60" s="504">
        <v>0</v>
      </c>
      <c r="MT60" s="504">
        <v>0</v>
      </c>
      <c r="MU60" s="504">
        <v>0</v>
      </c>
      <c r="MV60" s="504">
        <v>0</v>
      </c>
      <c r="MW60" s="504">
        <v>0</v>
      </c>
      <c r="MX60" s="504">
        <v>0</v>
      </c>
      <c r="MY60" s="504">
        <v>0</v>
      </c>
      <c r="MZ60" s="504">
        <v>0</v>
      </c>
      <c r="NA60" s="504">
        <v>0</v>
      </c>
      <c r="NB60" s="504">
        <v>0</v>
      </c>
      <c r="NC60" s="504">
        <v>0</v>
      </c>
      <c r="ND60" s="504">
        <v>0</v>
      </c>
      <c r="NE60" s="504">
        <v>0</v>
      </c>
      <c r="NF60" s="504">
        <v>0</v>
      </c>
      <c r="NG60" s="504">
        <v>0</v>
      </c>
      <c r="NH60" s="504">
        <v>0</v>
      </c>
      <c r="NI60" s="504">
        <v>0</v>
      </c>
      <c r="NJ60" s="504">
        <v>0</v>
      </c>
      <c r="NK60" s="504">
        <v>0</v>
      </c>
      <c r="NL60" s="504">
        <v>0</v>
      </c>
      <c r="NM60" s="504">
        <v>0</v>
      </c>
      <c r="NN60" s="504">
        <v>0</v>
      </c>
      <c r="NO60" s="504">
        <v>0</v>
      </c>
      <c r="NP60" s="504">
        <v>0</v>
      </c>
      <c r="NQ60" s="504">
        <v>0</v>
      </c>
      <c r="NR60" s="504">
        <v>0</v>
      </c>
      <c r="NS60" s="504">
        <v>0</v>
      </c>
      <c r="NT60" s="504">
        <v>0</v>
      </c>
      <c r="NU60" s="504">
        <v>0</v>
      </c>
      <c r="NV60" s="504">
        <v>0</v>
      </c>
      <c r="NW60" s="504">
        <v>0</v>
      </c>
      <c r="NX60" s="504">
        <v>0</v>
      </c>
      <c r="NY60" s="504">
        <v>0</v>
      </c>
      <c r="NZ60" s="504">
        <v>0</v>
      </c>
      <c r="OA60" s="504">
        <v>0</v>
      </c>
      <c r="OB60" s="504">
        <v>0</v>
      </c>
      <c r="OC60" s="504">
        <v>0</v>
      </c>
      <c r="OD60" s="504">
        <v>0</v>
      </c>
      <c r="OE60" s="504">
        <v>0</v>
      </c>
      <c r="OF60" s="504">
        <v>0</v>
      </c>
      <c r="OG60" s="504">
        <v>0</v>
      </c>
      <c r="OH60" s="504">
        <v>0</v>
      </c>
      <c r="OI60" s="504">
        <v>0</v>
      </c>
      <c r="OJ60" s="504">
        <v>0</v>
      </c>
      <c r="OK60" s="504">
        <v>0</v>
      </c>
      <c r="OL60" s="504">
        <v>0</v>
      </c>
      <c r="OM60" s="504">
        <v>0</v>
      </c>
      <c r="ON60" s="494"/>
    </row>
    <row r="61" spans="1:404" ht="18.75" customHeight="1" x14ac:dyDescent="0.4">
      <c r="A61" s="355" t="s">
        <v>337</v>
      </c>
      <c r="B61" s="358">
        <v>191</v>
      </c>
      <c r="C61" s="355" t="s">
        <v>60</v>
      </c>
      <c r="D61" s="501">
        <v>36.86</v>
      </c>
      <c r="E61" s="502">
        <v>14544</v>
      </c>
      <c r="F61" s="501">
        <v>36.840000000000003</v>
      </c>
      <c r="G61" s="502">
        <v>6731</v>
      </c>
      <c r="H61" s="501">
        <v>36.85</v>
      </c>
      <c r="I61" s="502">
        <v>16812</v>
      </c>
      <c r="J61" s="501">
        <v>36.840000000000003</v>
      </c>
      <c r="K61" s="502">
        <v>18423</v>
      </c>
      <c r="V61" s="501"/>
      <c r="W61" s="503"/>
      <c r="X61" s="501"/>
      <c r="Y61" s="503"/>
      <c r="Z61" s="501"/>
      <c r="AA61" s="503"/>
      <c r="AB61" s="495"/>
      <c r="AC61" s="504">
        <v>0</v>
      </c>
      <c r="AD61" s="504">
        <v>0</v>
      </c>
      <c r="AE61" s="504">
        <v>0</v>
      </c>
      <c r="AF61" s="504">
        <v>0</v>
      </c>
      <c r="AG61" s="504">
        <v>0</v>
      </c>
      <c r="AH61" s="504">
        <v>0</v>
      </c>
      <c r="AI61" s="504">
        <v>0</v>
      </c>
      <c r="AJ61" s="504">
        <v>0</v>
      </c>
      <c r="AK61" s="504">
        <v>0</v>
      </c>
      <c r="AL61" s="504">
        <v>0</v>
      </c>
      <c r="AM61" s="504">
        <v>0</v>
      </c>
      <c r="AN61" s="504">
        <v>0</v>
      </c>
      <c r="AO61" s="504">
        <v>0</v>
      </c>
      <c r="AP61" s="504">
        <v>0</v>
      </c>
      <c r="AQ61" s="504">
        <v>0</v>
      </c>
      <c r="AR61" s="504">
        <v>0</v>
      </c>
      <c r="AS61" s="504">
        <v>0</v>
      </c>
      <c r="AT61" s="504">
        <v>0</v>
      </c>
      <c r="AU61" s="504">
        <v>0</v>
      </c>
      <c r="AV61" s="504">
        <v>0</v>
      </c>
      <c r="AW61" s="504">
        <v>0</v>
      </c>
      <c r="AX61" s="504">
        <v>0</v>
      </c>
      <c r="AY61" s="504">
        <v>0</v>
      </c>
      <c r="AZ61" s="504">
        <v>0</v>
      </c>
      <c r="BA61" s="504">
        <v>0</v>
      </c>
      <c r="BB61" s="504">
        <v>0</v>
      </c>
      <c r="BC61" s="504">
        <v>0</v>
      </c>
      <c r="BD61" s="504">
        <v>0</v>
      </c>
      <c r="BE61" s="504">
        <v>0</v>
      </c>
      <c r="BF61" s="504">
        <v>0</v>
      </c>
      <c r="BG61" s="504">
        <v>0</v>
      </c>
      <c r="BH61" s="504">
        <v>0</v>
      </c>
      <c r="BI61" s="504">
        <v>0</v>
      </c>
      <c r="BJ61" s="504">
        <v>0</v>
      </c>
      <c r="BK61" s="504">
        <v>0</v>
      </c>
      <c r="BL61" s="504">
        <v>0</v>
      </c>
      <c r="BM61" s="504">
        <v>0</v>
      </c>
      <c r="BN61" s="504">
        <v>0</v>
      </c>
      <c r="BO61" s="504">
        <v>0</v>
      </c>
      <c r="BP61" s="504">
        <v>0</v>
      </c>
      <c r="BQ61" s="504">
        <v>0</v>
      </c>
      <c r="BR61" s="504">
        <v>0</v>
      </c>
      <c r="BS61" s="504">
        <v>0</v>
      </c>
      <c r="BT61" s="504">
        <v>0</v>
      </c>
      <c r="BU61" s="504">
        <v>0</v>
      </c>
      <c r="BV61" s="504">
        <v>0</v>
      </c>
      <c r="BW61" s="504">
        <v>0</v>
      </c>
      <c r="BX61" s="504">
        <v>0</v>
      </c>
      <c r="BY61" s="504">
        <v>0</v>
      </c>
      <c r="BZ61" s="504">
        <v>0</v>
      </c>
      <c r="CA61" s="504">
        <v>0</v>
      </c>
      <c r="CB61" s="504">
        <v>0</v>
      </c>
      <c r="CC61" s="504">
        <v>0</v>
      </c>
      <c r="CD61" s="504">
        <v>0</v>
      </c>
      <c r="CE61" s="504">
        <v>0</v>
      </c>
      <c r="CF61" s="504">
        <v>0</v>
      </c>
      <c r="CG61" s="504">
        <v>0</v>
      </c>
      <c r="CH61" s="504">
        <v>0</v>
      </c>
      <c r="CI61" s="504">
        <v>0</v>
      </c>
      <c r="CJ61" s="504">
        <v>0</v>
      </c>
      <c r="CK61" s="504">
        <v>0</v>
      </c>
      <c r="CL61" s="504">
        <v>0</v>
      </c>
      <c r="CM61" s="504">
        <v>0</v>
      </c>
      <c r="CN61" s="504">
        <v>0</v>
      </c>
      <c r="CO61" s="504">
        <v>0</v>
      </c>
      <c r="CP61" s="504">
        <v>0</v>
      </c>
      <c r="CQ61" s="504">
        <v>0</v>
      </c>
      <c r="CR61" s="504">
        <v>0</v>
      </c>
      <c r="CS61" s="504">
        <v>0</v>
      </c>
      <c r="CT61" s="504">
        <v>0</v>
      </c>
      <c r="CU61" s="504">
        <v>0</v>
      </c>
      <c r="CV61" s="504">
        <v>0</v>
      </c>
      <c r="CW61" s="504">
        <v>0</v>
      </c>
      <c r="CX61" s="504">
        <v>0</v>
      </c>
      <c r="CY61" s="504">
        <v>0</v>
      </c>
      <c r="CZ61" s="504">
        <v>0</v>
      </c>
      <c r="DA61" s="504">
        <v>0</v>
      </c>
      <c r="DB61" s="504">
        <v>0</v>
      </c>
      <c r="DC61" s="504">
        <v>0</v>
      </c>
      <c r="DD61" s="504">
        <v>0</v>
      </c>
      <c r="DE61" s="504">
        <v>0</v>
      </c>
      <c r="DF61" s="504">
        <v>0</v>
      </c>
      <c r="DG61" s="504">
        <v>0</v>
      </c>
      <c r="DH61" s="504">
        <v>0</v>
      </c>
      <c r="DI61" s="504">
        <v>0</v>
      </c>
      <c r="DJ61" s="504">
        <v>0</v>
      </c>
      <c r="DK61" s="504">
        <v>0</v>
      </c>
      <c r="DL61" s="504">
        <v>0</v>
      </c>
      <c r="DM61" s="504">
        <v>0</v>
      </c>
      <c r="DN61" s="504">
        <v>0</v>
      </c>
      <c r="DO61" s="504">
        <v>0</v>
      </c>
      <c r="DP61" s="504">
        <v>0</v>
      </c>
      <c r="DQ61" s="504">
        <v>0</v>
      </c>
      <c r="DR61" s="504">
        <v>0</v>
      </c>
      <c r="DS61" s="504">
        <v>0</v>
      </c>
      <c r="DT61" s="504">
        <v>0</v>
      </c>
      <c r="DU61" s="504">
        <v>0</v>
      </c>
      <c r="DV61" s="504">
        <v>0</v>
      </c>
      <c r="DW61" s="504">
        <v>0</v>
      </c>
      <c r="DX61" s="504">
        <v>0</v>
      </c>
      <c r="DY61" s="504">
        <v>0</v>
      </c>
      <c r="DZ61" s="504">
        <v>0</v>
      </c>
      <c r="EA61" s="504">
        <v>0</v>
      </c>
      <c r="EB61" s="504">
        <v>0</v>
      </c>
      <c r="EC61" s="504">
        <v>0</v>
      </c>
      <c r="ED61" s="504">
        <v>0</v>
      </c>
      <c r="EE61" s="504">
        <v>0</v>
      </c>
      <c r="EF61" s="504">
        <v>0</v>
      </c>
      <c r="EG61" s="504">
        <v>0</v>
      </c>
      <c r="EH61" s="504">
        <v>0</v>
      </c>
      <c r="EI61" s="504">
        <v>0</v>
      </c>
      <c r="EJ61" s="504">
        <v>0</v>
      </c>
      <c r="EK61" s="504">
        <v>0</v>
      </c>
      <c r="EL61" s="504">
        <v>0</v>
      </c>
      <c r="EM61" s="504">
        <v>0</v>
      </c>
      <c r="EN61" s="504">
        <v>0</v>
      </c>
      <c r="EO61" s="504">
        <v>0</v>
      </c>
      <c r="EP61" s="504">
        <v>0</v>
      </c>
      <c r="EQ61" s="504">
        <v>0</v>
      </c>
      <c r="ER61" s="504">
        <v>0</v>
      </c>
      <c r="ES61" s="504">
        <v>0</v>
      </c>
      <c r="ET61" s="504">
        <v>0</v>
      </c>
      <c r="EU61" s="504">
        <v>0</v>
      </c>
      <c r="EV61" s="504">
        <v>0</v>
      </c>
      <c r="EW61" s="504">
        <v>0</v>
      </c>
      <c r="EX61" s="504">
        <v>0</v>
      </c>
      <c r="EY61" s="504">
        <v>0</v>
      </c>
      <c r="EZ61" s="504">
        <v>0</v>
      </c>
      <c r="FA61" s="504">
        <v>0</v>
      </c>
      <c r="FB61" s="504">
        <v>0</v>
      </c>
      <c r="FC61" s="504">
        <v>0</v>
      </c>
      <c r="FD61" s="504">
        <v>0</v>
      </c>
      <c r="FE61" s="504">
        <v>0</v>
      </c>
      <c r="FF61" s="504">
        <v>0</v>
      </c>
      <c r="FG61" s="504">
        <v>0</v>
      </c>
      <c r="FH61" s="504">
        <v>0</v>
      </c>
      <c r="FI61" s="504">
        <v>0</v>
      </c>
      <c r="FJ61" s="504">
        <v>0</v>
      </c>
      <c r="FK61" s="504">
        <v>0</v>
      </c>
      <c r="FL61" s="504">
        <v>0</v>
      </c>
      <c r="FM61" s="504">
        <v>0</v>
      </c>
      <c r="FN61" s="504">
        <v>0</v>
      </c>
      <c r="FO61" s="504">
        <v>0</v>
      </c>
      <c r="FP61" s="504">
        <v>0</v>
      </c>
      <c r="FQ61" s="504">
        <v>0</v>
      </c>
      <c r="FR61" s="504">
        <v>0</v>
      </c>
      <c r="FS61" s="504">
        <v>0</v>
      </c>
      <c r="FT61" s="504">
        <v>0</v>
      </c>
      <c r="FU61" s="504">
        <v>0</v>
      </c>
      <c r="FV61" s="504">
        <v>0</v>
      </c>
      <c r="FW61" s="504">
        <v>0</v>
      </c>
      <c r="FX61" s="504">
        <v>0</v>
      </c>
      <c r="FY61" s="504">
        <v>0</v>
      </c>
      <c r="FZ61" s="504">
        <v>0</v>
      </c>
      <c r="GA61" s="504">
        <v>0</v>
      </c>
      <c r="GB61" s="504">
        <v>0</v>
      </c>
      <c r="GC61" s="504">
        <v>0</v>
      </c>
      <c r="GD61" s="504">
        <v>0</v>
      </c>
      <c r="GE61" s="504">
        <v>0</v>
      </c>
      <c r="GF61" s="504">
        <v>0</v>
      </c>
      <c r="GG61" s="504">
        <v>0</v>
      </c>
      <c r="GH61" s="504">
        <v>0</v>
      </c>
      <c r="GI61" s="504">
        <v>0</v>
      </c>
      <c r="GJ61" s="504">
        <v>0</v>
      </c>
      <c r="GK61" s="504">
        <v>0</v>
      </c>
      <c r="GL61" s="504">
        <v>0</v>
      </c>
      <c r="GM61" s="504">
        <v>0</v>
      </c>
      <c r="GN61" s="504">
        <v>0</v>
      </c>
      <c r="GO61" s="504">
        <v>0</v>
      </c>
      <c r="GP61" s="504">
        <v>0</v>
      </c>
      <c r="GQ61" s="504">
        <v>0</v>
      </c>
      <c r="GR61" s="504">
        <v>0</v>
      </c>
      <c r="GS61" s="504">
        <v>0</v>
      </c>
      <c r="GT61" s="504">
        <v>0</v>
      </c>
      <c r="GU61" s="504">
        <v>0</v>
      </c>
      <c r="GV61" s="504">
        <v>0</v>
      </c>
      <c r="GW61" s="504">
        <v>0</v>
      </c>
      <c r="GX61" s="504">
        <v>0</v>
      </c>
      <c r="GY61" s="504">
        <v>0</v>
      </c>
      <c r="GZ61" s="504">
        <v>0</v>
      </c>
      <c r="HA61" s="504">
        <v>0</v>
      </c>
      <c r="HB61" s="504">
        <v>0</v>
      </c>
      <c r="HC61" s="504">
        <v>0</v>
      </c>
      <c r="HD61" s="504">
        <v>0</v>
      </c>
      <c r="HE61" s="504">
        <v>0</v>
      </c>
      <c r="HF61" s="504">
        <v>0</v>
      </c>
      <c r="HG61" s="504">
        <v>0</v>
      </c>
      <c r="HH61" s="504">
        <v>0</v>
      </c>
      <c r="HI61" s="504">
        <v>0</v>
      </c>
      <c r="HJ61" s="504">
        <v>0</v>
      </c>
      <c r="HK61" s="504">
        <v>0</v>
      </c>
      <c r="HL61" s="504">
        <v>0</v>
      </c>
      <c r="HM61" s="504">
        <v>0</v>
      </c>
      <c r="HN61" s="504">
        <v>0</v>
      </c>
      <c r="HO61" s="504">
        <v>0</v>
      </c>
      <c r="HP61" s="504">
        <v>0</v>
      </c>
      <c r="HQ61" s="504">
        <v>0</v>
      </c>
      <c r="HR61" s="504">
        <v>0</v>
      </c>
      <c r="HS61" s="504">
        <v>0</v>
      </c>
      <c r="HT61" s="504">
        <v>0</v>
      </c>
      <c r="HU61" s="504">
        <v>0</v>
      </c>
      <c r="HV61" s="504">
        <v>0</v>
      </c>
      <c r="HW61" s="504">
        <v>0</v>
      </c>
      <c r="HX61" s="504">
        <v>0</v>
      </c>
      <c r="HY61" s="504">
        <v>0</v>
      </c>
      <c r="HZ61" s="504">
        <v>0</v>
      </c>
      <c r="IA61" s="504">
        <v>0</v>
      </c>
      <c r="IB61" s="504">
        <v>0</v>
      </c>
      <c r="IC61" s="504">
        <v>0</v>
      </c>
      <c r="ID61" s="504">
        <v>0</v>
      </c>
      <c r="IE61" s="504">
        <v>0</v>
      </c>
      <c r="IF61" s="504">
        <v>0</v>
      </c>
      <c r="IG61" s="504">
        <v>0</v>
      </c>
      <c r="IH61" s="504">
        <v>0</v>
      </c>
      <c r="II61" s="504">
        <v>0</v>
      </c>
      <c r="IJ61" s="504">
        <v>0</v>
      </c>
      <c r="IK61" s="504">
        <v>0</v>
      </c>
      <c r="IL61" s="504">
        <v>0</v>
      </c>
      <c r="IM61" s="504">
        <v>0</v>
      </c>
      <c r="IN61" s="504">
        <v>0</v>
      </c>
      <c r="IO61" s="504">
        <v>0</v>
      </c>
      <c r="IP61" s="504">
        <v>0</v>
      </c>
      <c r="IQ61" s="504">
        <v>0</v>
      </c>
      <c r="IR61" s="504">
        <v>0</v>
      </c>
      <c r="IS61" s="504">
        <v>0</v>
      </c>
      <c r="IT61" s="504">
        <v>0</v>
      </c>
      <c r="IU61" s="504">
        <v>0</v>
      </c>
      <c r="IV61" s="504">
        <v>0</v>
      </c>
      <c r="IW61" s="504">
        <v>0</v>
      </c>
      <c r="IX61" s="504">
        <v>0</v>
      </c>
      <c r="IY61" s="504">
        <v>0</v>
      </c>
      <c r="IZ61" s="504">
        <v>0</v>
      </c>
      <c r="JA61" s="504">
        <v>0</v>
      </c>
      <c r="JB61" s="504">
        <v>0</v>
      </c>
      <c r="JC61" s="504">
        <v>0</v>
      </c>
      <c r="JD61" s="504">
        <v>0</v>
      </c>
      <c r="JE61" s="504">
        <v>0</v>
      </c>
      <c r="JF61" s="504">
        <v>0</v>
      </c>
      <c r="JG61" s="504">
        <v>0</v>
      </c>
      <c r="JH61" s="504">
        <v>0</v>
      </c>
      <c r="JI61" s="504">
        <v>0</v>
      </c>
      <c r="JJ61" s="504">
        <v>0</v>
      </c>
      <c r="JK61" s="504">
        <v>0</v>
      </c>
      <c r="JL61" s="504">
        <v>0</v>
      </c>
      <c r="JM61" s="504">
        <v>0</v>
      </c>
      <c r="JN61" s="504">
        <v>0</v>
      </c>
      <c r="JO61" s="504">
        <v>0</v>
      </c>
      <c r="JP61" s="504">
        <v>0</v>
      </c>
      <c r="JQ61" s="504">
        <v>0</v>
      </c>
      <c r="JR61" s="504">
        <v>0</v>
      </c>
      <c r="JS61" s="504">
        <v>0</v>
      </c>
      <c r="JT61" s="504">
        <v>0</v>
      </c>
      <c r="JU61" s="504">
        <v>0</v>
      </c>
      <c r="JV61" s="504">
        <v>0</v>
      </c>
      <c r="JW61" s="504">
        <v>0</v>
      </c>
      <c r="JX61" s="504">
        <v>0</v>
      </c>
      <c r="JY61" s="504">
        <v>0</v>
      </c>
      <c r="JZ61" s="504">
        <v>0</v>
      </c>
      <c r="KA61" s="504">
        <v>0</v>
      </c>
      <c r="KB61" s="504">
        <v>0</v>
      </c>
      <c r="KC61" s="504">
        <v>0</v>
      </c>
      <c r="KD61" s="504">
        <v>0</v>
      </c>
      <c r="KE61" s="504">
        <v>0</v>
      </c>
      <c r="KF61" s="504">
        <v>0</v>
      </c>
      <c r="KG61" s="504">
        <v>0</v>
      </c>
      <c r="KH61" s="504">
        <v>0</v>
      </c>
      <c r="KI61" s="504">
        <v>0</v>
      </c>
      <c r="KJ61" s="504">
        <v>0</v>
      </c>
      <c r="KK61" s="504">
        <v>0</v>
      </c>
      <c r="KL61" s="504">
        <v>0</v>
      </c>
      <c r="KM61" s="504">
        <v>0</v>
      </c>
      <c r="KN61" s="504">
        <v>0</v>
      </c>
      <c r="KO61" s="504">
        <v>0</v>
      </c>
      <c r="KP61" s="504">
        <v>0</v>
      </c>
      <c r="KQ61" s="504">
        <v>0</v>
      </c>
      <c r="KR61" s="504">
        <v>0</v>
      </c>
      <c r="KS61" s="504">
        <v>0</v>
      </c>
      <c r="KT61" s="504">
        <v>0</v>
      </c>
      <c r="KU61" s="504">
        <v>0</v>
      </c>
      <c r="KV61" s="504">
        <v>0</v>
      </c>
      <c r="KW61" s="504">
        <v>0</v>
      </c>
      <c r="KX61" s="504">
        <v>0</v>
      </c>
      <c r="KY61" s="504">
        <v>0</v>
      </c>
      <c r="KZ61" s="504">
        <v>0</v>
      </c>
      <c r="LA61" s="504">
        <v>0</v>
      </c>
      <c r="LB61" s="504">
        <v>0</v>
      </c>
      <c r="LC61" s="504">
        <v>0</v>
      </c>
      <c r="LD61" s="504">
        <v>0</v>
      </c>
      <c r="LE61" s="504">
        <v>0</v>
      </c>
      <c r="LF61" s="504">
        <v>0</v>
      </c>
      <c r="LG61" s="504">
        <v>0</v>
      </c>
      <c r="LH61" s="504">
        <v>0</v>
      </c>
      <c r="LI61" s="504">
        <v>0</v>
      </c>
      <c r="LJ61" s="504">
        <v>0</v>
      </c>
      <c r="LK61" s="504">
        <v>0</v>
      </c>
      <c r="LL61" s="504">
        <v>0</v>
      </c>
      <c r="LM61" s="504">
        <v>0</v>
      </c>
      <c r="LN61" s="504">
        <v>0</v>
      </c>
      <c r="LO61" s="504">
        <v>0</v>
      </c>
      <c r="LP61" s="504">
        <v>0</v>
      </c>
      <c r="LQ61" s="504">
        <v>0</v>
      </c>
      <c r="LR61" s="504">
        <v>0</v>
      </c>
      <c r="LS61" s="504">
        <v>0</v>
      </c>
      <c r="LT61" s="504">
        <v>0</v>
      </c>
      <c r="LU61" s="504">
        <v>0</v>
      </c>
      <c r="LV61" s="504">
        <v>0</v>
      </c>
      <c r="LW61" s="504">
        <v>0</v>
      </c>
      <c r="LX61" s="504">
        <v>0</v>
      </c>
      <c r="LY61" s="504">
        <v>0</v>
      </c>
      <c r="LZ61" s="504">
        <v>0</v>
      </c>
      <c r="MA61" s="504">
        <v>0</v>
      </c>
      <c r="MB61" s="504">
        <v>0</v>
      </c>
      <c r="MC61" s="504">
        <v>0</v>
      </c>
      <c r="MD61" s="504">
        <v>0</v>
      </c>
      <c r="ME61" s="504">
        <v>0</v>
      </c>
      <c r="MF61" s="504">
        <v>0</v>
      </c>
      <c r="MG61" s="504">
        <v>0</v>
      </c>
      <c r="MH61" s="504">
        <v>0</v>
      </c>
      <c r="MI61" s="504">
        <v>0</v>
      </c>
      <c r="MJ61" s="504">
        <v>0</v>
      </c>
      <c r="MK61" s="504">
        <v>0</v>
      </c>
      <c r="ML61" s="504">
        <v>0</v>
      </c>
      <c r="MM61" s="504">
        <v>0</v>
      </c>
      <c r="MN61" s="504">
        <v>0</v>
      </c>
      <c r="MO61" s="504">
        <v>0</v>
      </c>
      <c r="MP61" s="504">
        <v>0</v>
      </c>
      <c r="MQ61" s="504">
        <v>0</v>
      </c>
      <c r="MR61" s="504">
        <v>0</v>
      </c>
      <c r="MS61" s="504">
        <v>0</v>
      </c>
      <c r="MT61" s="504">
        <v>0</v>
      </c>
      <c r="MU61" s="504">
        <v>0</v>
      </c>
      <c r="MV61" s="504">
        <v>0</v>
      </c>
      <c r="MW61" s="504">
        <v>0</v>
      </c>
      <c r="MX61" s="504">
        <v>0</v>
      </c>
      <c r="MY61" s="504">
        <v>0</v>
      </c>
      <c r="MZ61" s="504">
        <v>0</v>
      </c>
      <c r="NA61" s="504">
        <v>0</v>
      </c>
      <c r="NB61" s="504">
        <v>0</v>
      </c>
      <c r="NC61" s="504">
        <v>0</v>
      </c>
      <c r="ND61" s="504">
        <v>0</v>
      </c>
      <c r="NE61" s="504">
        <v>0</v>
      </c>
      <c r="NF61" s="504">
        <v>0</v>
      </c>
      <c r="NG61" s="504">
        <v>0</v>
      </c>
      <c r="NH61" s="504">
        <v>0</v>
      </c>
      <c r="NI61" s="504">
        <v>0</v>
      </c>
      <c r="NJ61" s="504">
        <v>0</v>
      </c>
      <c r="NK61" s="504">
        <v>0</v>
      </c>
      <c r="NL61" s="504">
        <v>0</v>
      </c>
      <c r="NM61" s="504">
        <v>0</v>
      </c>
      <c r="NN61" s="504">
        <v>0</v>
      </c>
      <c r="NO61" s="504">
        <v>0</v>
      </c>
      <c r="NP61" s="504">
        <v>0</v>
      </c>
      <c r="NQ61" s="504">
        <v>0</v>
      </c>
      <c r="NR61" s="504">
        <v>0</v>
      </c>
      <c r="NS61" s="504">
        <v>0</v>
      </c>
      <c r="NT61" s="504">
        <v>0</v>
      </c>
      <c r="NU61" s="504">
        <v>0</v>
      </c>
      <c r="NV61" s="504">
        <v>0</v>
      </c>
      <c r="NW61" s="504">
        <v>0</v>
      </c>
      <c r="NX61" s="504">
        <v>0</v>
      </c>
      <c r="NY61" s="504">
        <v>0</v>
      </c>
      <c r="NZ61" s="504">
        <v>0</v>
      </c>
      <c r="OA61" s="504">
        <v>0</v>
      </c>
      <c r="OB61" s="504">
        <v>0</v>
      </c>
      <c r="OC61" s="504">
        <v>0</v>
      </c>
      <c r="OD61" s="504">
        <v>0</v>
      </c>
      <c r="OE61" s="504">
        <v>0</v>
      </c>
      <c r="OF61" s="504">
        <v>0</v>
      </c>
      <c r="OG61" s="504">
        <v>0</v>
      </c>
      <c r="OH61" s="504">
        <v>0</v>
      </c>
      <c r="OI61" s="504">
        <v>0</v>
      </c>
      <c r="OJ61" s="504">
        <v>0</v>
      </c>
      <c r="OK61" s="504">
        <v>0</v>
      </c>
      <c r="OL61" s="504">
        <v>0</v>
      </c>
      <c r="OM61" s="504">
        <v>0</v>
      </c>
      <c r="ON61" s="494"/>
    </row>
    <row r="62" spans="1:404" ht="18.75" customHeight="1" x14ac:dyDescent="0.4">
      <c r="A62" s="355" t="s">
        <v>338</v>
      </c>
      <c r="B62" s="358">
        <v>191</v>
      </c>
      <c r="C62" s="355" t="s">
        <v>60</v>
      </c>
      <c r="D62" s="501">
        <v>37.67</v>
      </c>
      <c r="E62" s="502">
        <v>10184</v>
      </c>
      <c r="F62" s="501">
        <v>37.659999999999997</v>
      </c>
      <c r="G62" s="502">
        <v>4225</v>
      </c>
      <c r="H62" s="501">
        <v>37.659999999999997</v>
      </c>
      <c r="I62" s="502">
        <v>10721</v>
      </c>
      <c r="J62" s="501">
        <v>37.659999999999997</v>
      </c>
      <c r="K62" s="502">
        <v>11644</v>
      </c>
      <c r="V62" s="501"/>
      <c r="W62" s="503"/>
      <c r="X62" s="501"/>
      <c r="Y62" s="503"/>
      <c r="Z62" s="501"/>
      <c r="AA62" s="503"/>
      <c r="AB62" s="495"/>
      <c r="AC62" s="504">
        <v>0</v>
      </c>
      <c r="AD62" s="504">
        <v>0</v>
      </c>
      <c r="AE62" s="504">
        <v>0</v>
      </c>
      <c r="AF62" s="504">
        <v>0</v>
      </c>
      <c r="AG62" s="504">
        <v>0</v>
      </c>
      <c r="AH62" s="504">
        <v>0</v>
      </c>
      <c r="AI62" s="504">
        <v>0</v>
      </c>
      <c r="AJ62" s="504">
        <v>0</v>
      </c>
      <c r="AK62" s="504">
        <v>0</v>
      </c>
      <c r="AL62" s="504">
        <v>0</v>
      </c>
      <c r="AM62" s="504">
        <v>0</v>
      </c>
      <c r="AN62" s="504">
        <v>0</v>
      </c>
      <c r="AO62" s="504">
        <v>0</v>
      </c>
      <c r="AP62" s="504">
        <v>0</v>
      </c>
      <c r="AQ62" s="504">
        <v>0</v>
      </c>
      <c r="AR62" s="504">
        <v>0</v>
      </c>
      <c r="AS62" s="504">
        <v>0</v>
      </c>
      <c r="AT62" s="504">
        <v>0</v>
      </c>
      <c r="AU62" s="504">
        <v>0</v>
      </c>
      <c r="AV62" s="504">
        <v>0</v>
      </c>
      <c r="AW62" s="504">
        <v>0</v>
      </c>
      <c r="AX62" s="504">
        <v>0</v>
      </c>
      <c r="AY62" s="504">
        <v>0</v>
      </c>
      <c r="AZ62" s="504">
        <v>0</v>
      </c>
      <c r="BA62" s="504">
        <v>0</v>
      </c>
      <c r="BB62" s="504">
        <v>0</v>
      </c>
      <c r="BC62" s="504">
        <v>0</v>
      </c>
      <c r="BD62" s="504">
        <v>0</v>
      </c>
      <c r="BE62" s="504">
        <v>0</v>
      </c>
      <c r="BF62" s="504">
        <v>0</v>
      </c>
      <c r="BG62" s="504">
        <v>0</v>
      </c>
      <c r="BH62" s="504">
        <v>0</v>
      </c>
      <c r="BI62" s="504">
        <v>0</v>
      </c>
      <c r="BJ62" s="504">
        <v>0</v>
      </c>
      <c r="BK62" s="504">
        <v>0</v>
      </c>
      <c r="BL62" s="504">
        <v>0</v>
      </c>
      <c r="BM62" s="504">
        <v>0</v>
      </c>
      <c r="BN62" s="504">
        <v>0</v>
      </c>
      <c r="BO62" s="504">
        <v>0</v>
      </c>
      <c r="BP62" s="504">
        <v>0</v>
      </c>
      <c r="BQ62" s="504">
        <v>0</v>
      </c>
      <c r="BR62" s="504">
        <v>0</v>
      </c>
      <c r="BS62" s="504">
        <v>0</v>
      </c>
      <c r="BT62" s="504">
        <v>0</v>
      </c>
      <c r="BU62" s="504">
        <v>0</v>
      </c>
      <c r="BV62" s="504">
        <v>0</v>
      </c>
      <c r="BW62" s="504">
        <v>0</v>
      </c>
      <c r="BX62" s="504">
        <v>0</v>
      </c>
      <c r="BY62" s="504">
        <v>0</v>
      </c>
      <c r="BZ62" s="504">
        <v>0</v>
      </c>
      <c r="CA62" s="504">
        <v>0</v>
      </c>
      <c r="CB62" s="504">
        <v>0</v>
      </c>
      <c r="CC62" s="504">
        <v>0</v>
      </c>
      <c r="CD62" s="504">
        <v>0</v>
      </c>
      <c r="CE62" s="504">
        <v>0</v>
      </c>
      <c r="CF62" s="504">
        <v>0</v>
      </c>
      <c r="CG62" s="504">
        <v>0</v>
      </c>
      <c r="CH62" s="504">
        <v>0</v>
      </c>
      <c r="CI62" s="504">
        <v>0</v>
      </c>
      <c r="CJ62" s="504">
        <v>0</v>
      </c>
      <c r="CK62" s="504">
        <v>0</v>
      </c>
      <c r="CL62" s="504">
        <v>0</v>
      </c>
      <c r="CM62" s="504">
        <v>0</v>
      </c>
      <c r="CN62" s="504">
        <v>0</v>
      </c>
      <c r="CO62" s="504">
        <v>0</v>
      </c>
      <c r="CP62" s="504">
        <v>0</v>
      </c>
      <c r="CQ62" s="504">
        <v>0</v>
      </c>
      <c r="CR62" s="504">
        <v>0</v>
      </c>
      <c r="CS62" s="504">
        <v>0</v>
      </c>
      <c r="CT62" s="504">
        <v>0</v>
      </c>
      <c r="CU62" s="504">
        <v>0</v>
      </c>
      <c r="CV62" s="504">
        <v>0</v>
      </c>
      <c r="CW62" s="504">
        <v>0</v>
      </c>
      <c r="CX62" s="504">
        <v>0</v>
      </c>
      <c r="CY62" s="504">
        <v>0</v>
      </c>
      <c r="CZ62" s="504">
        <v>0</v>
      </c>
      <c r="DA62" s="504">
        <v>0</v>
      </c>
      <c r="DB62" s="504">
        <v>0</v>
      </c>
      <c r="DC62" s="504">
        <v>0</v>
      </c>
      <c r="DD62" s="504">
        <v>0</v>
      </c>
      <c r="DE62" s="504">
        <v>0</v>
      </c>
      <c r="DF62" s="504">
        <v>0</v>
      </c>
      <c r="DG62" s="504">
        <v>0</v>
      </c>
      <c r="DH62" s="504">
        <v>0</v>
      </c>
      <c r="DI62" s="504">
        <v>0</v>
      </c>
      <c r="DJ62" s="504">
        <v>0</v>
      </c>
      <c r="DK62" s="504">
        <v>0</v>
      </c>
      <c r="DL62" s="504">
        <v>0</v>
      </c>
      <c r="DM62" s="504">
        <v>0</v>
      </c>
      <c r="DN62" s="504">
        <v>0</v>
      </c>
      <c r="DO62" s="504">
        <v>0</v>
      </c>
      <c r="DP62" s="504">
        <v>0</v>
      </c>
      <c r="DQ62" s="504">
        <v>0</v>
      </c>
      <c r="DR62" s="504">
        <v>0</v>
      </c>
      <c r="DS62" s="504">
        <v>0</v>
      </c>
      <c r="DT62" s="504">
        <v>0</v>
      </c>
      <c r="DU62" s="504">
        <v>0</v>
      </c>
      <c r="DV62" s="504">
        <v>0</v>
      </c>
      <c r="DW62" s="504">
        <v>0</v>
      </c>
      <c r="DX62" s="504">
        <v>0</v>
      </c>
      <c r="DY62" s="504">
        <v>0</v>
      </c>
      <c r="DZ62" s="504">
        <v>0</v>
      </c>
      <c r="EA62" s="504">
        <v>0</v>
      </c>
      <c r="EB62" s="504">
        <v>0</v>
      </c>
      <c r="EC62" s="504">
        <v>0</v>
      </c>
      <c r="ED62" s="504">
        <v>0</v>
      </c>
      <c r="EE62" s="504">
        <v>0</v>
      </c>
      <c r="EF62" s="504">
        <v>0</v>
      </c>
      <c r="EG62" s="504">
        <v>0</v>
      </c>
      <c r="EH62" s="504">
        <v>0</v>
      </c>
      <c r="EI62" s="504">
        <v>0</v>
      </c>
      <c r="EJ62" s="504">
        <v>0</v>
      </c>
      <c r="EK62" s="504">
        <v>0</v>
      </c>
      <c r="EL62" s="504">
        <v>0</v>
      </c>
      <c r="EM62" s="504">
        <v>0</v>
      </c>
      <c r="EN62" s="504">
        <v>0</v>
      </c>
      <c r="EO62" s="504">
        <v>0</v>
      </c>
      <c r="EP62" s="504">
        <v>0</v>
      </c>
      <c r="EQ62" s="504">
        <v>0</v>
      </c>
      <c r="ER62" s="504">
        <v>0</v>
      </c>
      <c r="ES62" s="504">
        <v>0</v>
      </c>
      <c r="ET62" s="504">
        <v>0</v>
      </c>
      <c r="EU62" s="504">
        <v>0</v>
      </c>
      <c r="EV62" s="504">
        <v>0</v>
      </c>
      <c r="EW62" s="504">
        <v>0</v>
      </c>
      <c r="EX62" s="504">
        <v>0</v>
      </c>
      <c r="EY62" s="504">
        <v>0</v>
      </c>
      <c r="EZ62" s="504">
        <v>0</v>
      </c>
      <c r="FA62" s="504">
        <v>0</v>
      </c>
      <c r="FB62" s="504">
        <v>0</v>
      </c>
      <c r="FC62" s="504">
        <v>0</v>
      </c>
      <c r="FD62" s="504">
        <v>0</v>
      </c>
      <c r="FE62" s="504">
        <v>0</v>
      </c>
      <c r="FF62" s="504">
        <v>0</v>
      </c>
      <c r="FG62" s="504">
        <v>0</v>
      </c>
      <c r="FH62" s="504">
        <v>0</v>
      </c>
      <c r="FI62" s="504">
        <v>0</v>
      </c>
      <c r="FJ62" s="504">
        <v>0</v>
      </c>
      <c r="FK62" s="504">
        <v>0</v>
      </c>
      <c r="FL62" s="504">
        <v>0</v>
      </c>
      <c r="FM62" s="504">
        <v>0</v>
      </c>
      <c r="FN62" s="504">
        <v>0</v>
      </c>
      <c r="FO62" s="504">
        <v>0</v>
      </c>
      <c r="FP62" s="504">
        <v>0</v>
      </c>
      <c r="FQ62" s="504">
        <v>0</v>
      </c>
      <c r="FR62" s="504">
        <v>0</v>
      </c>
      <c r="FS62" s="504">
        <v>0</v>
      </c>
      <c r="FT62" s="504">
        <v>0</v>
      </c>
      <c r="FU62" s="504">
        <v>0</v>
      </c>
      <c r="FV62" s="504">
        <v>0</v>
      </c>
      <c r="FW62" s="504">
        <v>0</v>
      </c>
      <c r="FX62" s="504">
        <v>0</v>
      </c>
      <c r="FY62" s="504">
        <v>0</v>
      </c>
      <c r="FZ62" s="504">
        <v>0</v>
      </c>
      <c r="GA62" s="504">
        <v>0</v>
      </c>
      <c r="GB62" s="504">
        <v>0</v>
      </c>
      <c r="GC62" s="504">
        <v>0</v>
      </c>
      <c r="GD62" s="504">
        <v>0</v>
      </c>
      <c r="GE62" s="504">
        <v>0</v>
      </c>
      <c r="GF62" s="504">
        <v>0</v>
      </c>
      <c r="GG62" s="504">
        <v>0</v>
      </c>
      <c r="GH62" s="504">
        <v>0</v>
      </c>
      <c r="GI62" s="504">
        <v>0</v>
      </c>
      <c r="GJ62" s="504">
        <v>0</v>
      </c>
      <c r="GK62" s="504">
        <v>0</v>
      </c>
      <c r="GL62" s="504">
        <v>0</v>
      </c>
      <c r="GM62" s="504">
        <v>0</v>
      </c>
      <c r="GN62" s="504">
        <v>0</v>
      </c>
      <c r="GO62" s="504">
        <v>0</v>
      </c>
      <c r="GP62" s="504">
        <v>0</v>
      </c>
      <c r="GQ62" s="504">
        <v>0</v>
      </c>
      <c r="GR62" s="504">
        <v>0</v>
      </c>
      <c r="GS62" s="504">
        <v>0</v>
      </c>
      <c r="GT62" s="504">
        <v>0</v>
      </c>
      <c r="GU62" s="504">
        <v>0</v>
      </c>
      <c r="GV62" s="504">
        <v>0</v>
      </c>
      <c r="GW62" s="504">
        <v>0</v>
      </c>
      <c r="GX62" s="504">
        <v>0</v>
      </c>
      <c r="GY62" s="504">
        <v>0</v>
      </c>
      <c r="GZ62" s="504">
        <v>0</v>
      </c>
      <c r="HA62" s="504">
        <v>0</v>
      </c>
      <c r="HB62" s="504">
        <v>0</v>
      </c>
      <c r="HC62" s="504">
        <v>0</v>
      </c>
      <c r="HD62" s="504">
        <v>0</v>
      </c>
      <c r="HE62" s="504">
        <v>0</v>
      </c>
      <c r="HF62" s="504">
        <v>0</v>
      </c>
      <c r="HG62" s="504">
        <v>0</v>
      </c>
      <c r="HH62" s="504">
        <v>0</v>
      </c>
      <c r="HI62" s="504">
        <v>0</v>
      </c>
      <c r="HJ62" s="504">
        <v>0</v>
      </c>
      <c r="HK62" s="504">
        <v>0</v>
      </c>
      <c r="HL62" s="504">
        <v>0</v>
      </c>
      <c r="HM62" s="504">
        <v>0</v>
      </c>
      <c r="HN62" s="504">
        <v>0</v>
      </c>
      <c r="HO62" s="504">
        <v>0</v>
      </c>
      <c r="HP62" s="504">
        <v>0</v>
      </c>
      <c r="HQ62" s="504">
        <v>0</v>
      </c>
      <c r="HR62" s="504">
        <v>0</v>
      </c>
      <c r="HS62" s="504">
        <v>0</v>
      </c>
      <c r="HT62" s="504">
        <v>0</v>
      </c>
      <c r="HU62" s="504">
        <v>0</v>
      </c>
      <c r="HV62" s="504">
        <v>0</v>
      </c>
      <c r="HW62" s="504">
        <v>0</v>
      </c>
      <c r="HX62" s="504">
        <v>0</v>
      </c>
      <c r="HY62" s="504">
        <v>0</v>
      </c>
      <c r="HZ62" s="504">
        <v>0</v>
      </c>
      <c r="IA62" s="504">
        <v>0</v>
      </c>
      <c r="IB62" s="504">
        <v>0</v>
      </c>
      <c r="IC62" s="504">
        <v>0</v>
      </c>
      <c r="ID62" s="504">
        <v>0</v>
      </c>
      <c r="IE62" s="504">
        <v>0</v>
      </c>
      <c r="IF62" s="504">
        <v>0</v>
      </c>
      <c r="IG62" s="504">
        <v>0</v>
      </c>
      <c r="IH62" s="504">
        <v>0</v>
      </c>
      <c r="II62" s="504">
        <v>0</v>
      </c>
      <c r="IJ62" s="504">
        <v>0</v>
      </c>
      <c r="IK62" s="504">
        <v>0</v>
      </c>
      <c r="IL62" s="504">
        <v>0</v>
      </c>
      <c r="IM62" s="504">
        <v>0</v>
      </c>
      <c r="IN62" s="504">
        <v>0</v>
      </c>
      <c r="IO62" s="504">
        <v>0</v>
      </c>
      <c r="IP62" s="504">
        <v>0</v>
      </c>
      <c r="IQ62" s="504">
        <v>0</v>
      </c>
      <c r="IR62" s="504">
        <v>0</v>
      </c>
      <c r="IS62" s="504">
        <v>0</v>
      </c>
      <c r="IT62" s="504">
        <v>0</v>
      </c>
      <c r="IU62" s="504">
        <v>0</v>
      </c>
      <c r="IV62" s="504">
        <v>0</v>
      </c>
      <c r="IW62" s="504">
        <v>0</v>
      </c>
      <c r="IX62" s="504">
        <v>0</v>
      </c>
      <c r="IY62" s="504">
        <v>0</v>
      </c>
      <c r="IZ62" s="504">
        <v>0</v>
      </c>
      <c r="JA62" s="504">
        <v>0</v>
      </c>
      <c r="JB62" s="504">
        <v>0</v>
      </c>
      <c r="JC62" s="504">
        <v>0</v>
      </c>
      <c r="JD62" s="504">
        <v>0</v>
      </c>
      <c r="JE62" s="504">
        <v>0</v>
      </c>
      <c r="JF62" s="504">
        <v>0</v>
      </c>
      <c r="JG62" s="504">
        <v>0</v>
      </c>
      <c r="JH62" s="504">
        <v>0</v>
      </c>
      <c r="JI62" s="504">
        <v>0</v>
      </c>
      <c r="JJ62" s="504">
        <v>0</v>
      </c>
      <c r="JK62" s="504">
        <v>0</v>
      </c>
      <c r="JL62" s="504">
        <v>0</v>
      </c>
      <c r="JM62" s="504">
        <v>0</v>
      </c>
      <c r="JN62" s="504">
        <v>0</v>
      </c>
      <c r="JO62" s="504">
        <v>0</v>
      </c>
      <c r="JP62" s="504">
        <v>0</v>
      </c>
      <c r="JQ62" s="504">
        <v>0</v>
      </c>
      <c r="JR62" s="504">
        <v>0</v>
      </c>
      <c r="JS62" s="504">
        <v>0</v>
      </c>
      <c r="JT62" s="504">
        <v>0</v>
      </c>
      <c r="JU62" s="504">
        <v>0</v>
      </c>
      <c r="JV62" s="504">
        <v>0</v>
      </c>
      <c r="JW62" s="504">
        <v>0</v>
      </c>
      <c r="JX62" s="504">
        <v>0</v>
      </c>
      <c r="JY62" s="504">
        <v>0</v>
      </c>
      <c r="JZ62" s="504">
        <v>0</v>
      </c>
      <c r="KA62" s="504">
        <v>0</v>
      </c>
      <c r="KB62" s="504">
        <v>0</v>
      </c>
      <c r="KC62" s="504">
        <v>0</v>
      </c>
      <c r="KD62" s="504">
        <v>0</v>
      </c>
      <c r="KE62" s="504">
        <v>0</v>
      </c>
      <c r="KF62" s="504">
        <v>0</v>
      </c>
      <c r="KG62" s="504">
        <v>0</v>
      </c>
      <c r="KH62" s="504">
        <v>0</v>
      </c>
      <c r="KI62" s="504">
        <v>0</v>
      </c>
      <c r="KJ62" s="504">
        <v>0</v>
      </c>
      <c r="KK62" s="504">
        <v>0</v>
      </c>
      <c r="KL62" s="504">
        <v>0</v>
      </c>
      <c r="KM62" s="504">
        <v>0</v>
      </c>
      <c r="KN62" s="504">
        <v>0</v>
      </c>
      <c r="KO62" s="504">
        <v>0</v>
      </c>
      <c r="KP62" s="504">
        <v>0</v>
      </c>
      <c r="KQ62" s="504">
        <v>0</v>
      </c>
      <c r="KR62" s="504">
        <v>0</v>
      </c>
      <c r="KS62" s="504">
        <v>0</v>
      </c>
      <c r="KT62" s="504">
        <v>0</v>
      </c>
      <c r="KU62" s="504">
        <v>0</v>
      </c>
      <c r="KV62" s="504">
        <v>0</v>
      </c>
      <c r="KW62" s="504">
        <v>0</v>
      </c>
      <c r="KX62" s="504">
        <v>0</v>
      </c>
      <c r="KY62" s="504">
        <v>0</v>
      </c>
      <c r="KZ62" s="504">
        <v>0</v>
      </c>
      <c r="LA62" s="504">
        <v>0</v>
      </c>
      <c r="LB62" s="504">
        <v>0</v>
      </c>
      <c r="LC62" s="504">
        <v>0</v>
      </c>
      <c r="LD62" s="504">
        <v>0</v>
      </c>
      <c r="LE62" s="504">
        <v>0</v>
      </c>
      <c r="LF62" s="504">
        <v>0</v>
      </c>
      <c r="LG62" s="504">
        <v>0</v>
      </c>
      <c r="LH62" s="504">
        <v>0</v>
      </c>
      <c r="LI62" s="504">
        <v>0</v>
      </c>
      <c r="LJ62" s="504">
        <v>0</v>
      </c>
      <c r="LK62" s="504">
        <v>0</v>
      </c>
      <c r="LL62" s="504">
        <v>0</v>
      </c>
      <c r="LM62" s="504">
        <v>0</v>
      </c>
      <c r="LN62" s="504">
        <v>0</v>
      </c>
      <c r="LO62" s="504">
        <v>0</v>
      </c>
      <c r="LP62" s="504">
        <v>0</v>
      </c>
      <c r="LQ62" s="504">
        <v>0</v>
      </c>
      <c r="LR62" s="504">
        <v>0</v>
      </c>
      <c r="LS62" s="504">
        <v>0</v>
      </c>
      <c r="LT62" s="504">
        <v>0</v>
      </c>
      <c r="LU62" s="504">
        <v>0</v>
      </c>
      <c r="LV62" s="504">
        <v>0</v>
      </c>
      <c r="LW62" s="504">
        <v>0</v>
      </c>
      <c r="LX62" s="504">
        <v>0</v>
      </c>
      <c r="LY62" s="504">
        <v>0</v>
      </c>
      <c r="LZ62" s="504">
        <v>0</v>
      </c>
      <c r="MA62" s="504">
        <v>0</v>
      </c>
      <c r="MB62" s="504">
        <v>0</v>
      </c>
      <c r="MC62" s="504">
        <v>0</v>
      </c>
      <c r="MD62" s="504">
        <v>0</v>
      </c>
      <c r="ME62" s="504">
        <v>0</v>
      </c>
      <c r="MF62" s="504">
        <v>0</v>
      </c>
      <c r="MG62" s="504">
        <v>0</v>
      </c>
      <c r="MH62" s="504">
        <v>0</v>
      </c>
      <c r="MI62" s="504">
        <v>0</v>
      </c>
      <c r="MJ62" s="504">
        <v>0</v>
      </c>
      <c r="MK62" s="504">
        <v>0</v>
      </c>
      <c r="ML62" s="504">
        <v>0</v>
      </c>
      <c r="MM62" s="504">
        <v>0</v>
      </c>
      <c r="MN62" s="504">
        <v>0</v>
      </c>
      <c r="MO62" s="504">
        <v>0</v>
      </c>
      <c r="MP62" s="504">
        <v>0</v>
      </c>
      <c r="MQ62" s="504">
        <v>0</v>
      </c>
      <c r="MR62" s="504">
        <v>0</v>
      </c>
      <c r="MS62" s="504">
        <v>0</v>
      </c>
      <c r="MT62" s="504">
        <v>0</v>
      </c>
      <c r="MU62" s="504">
        <v>0</v>
      </c>
      <c r="MV62" s="504">
        <v>0</v>
      </c>
      <c r="MW62" s="504">
        <v>0</v>
      </c>
      <c r="MX62" s="504">
        <v>0</v>
      </c>
      <c r="MY62" s="504">
        <v>0</v>
      </c>
      <c r="MZ62" s="504">
        <v>0</v>
      </c>
      <c r="NA62" s="504">
        <v>0</v>
      </c>
      <c r="NB62" s="504">
        <v>0</v>
      </c>
      <c r="NC62" s="504">
        <v>0</v>
      </c>
      <c r="ND62" s="504">
        <v>0</v>
      </c>
      <c r="NE62" s="504">
        <v>0</v>
      </c>
      <c r="NF62" s="504">
        <v>0</v>
      </c>
      <c r="NG62" s="504">
        <v>0</v>
      </c>
      <c r="NH62" s="504">
        <v>0</v>
      </c>
      <c r="NI62" s="504">
        <v>0</v>
      </c>
      <c r="NJ62" s="504">
        <v>0</v>
      </c>
      <c r="NK62" s="504">
        <v>0</v>
      </c>
      <c r="NL62" s="504">
        <v>0</v>
      </c>
      <c r="NM62" s="504">
        <v>0</v>
      </c>
      <c r="NN62" s="504">
        <v>0</v>
      </c>
      <c r="NO62" s="504">
        <v>0</v>
      </c>
      <c r="NP62" s="504">
        <v>0</v>
      </c>
      <c r="NQ62" s="504">
        <v>0</v>
      </c>
      <c r="NR62" s="504">
        <v>0</v>
      </c>
      <c r="NS62" s="504">
        <v>0</v>
      </c>
      <c r="NT62" s="504">
        <v>0</v>
      </c>
      <c r="NU62" s="504">
        <v>0</v>
      </c>
      <c r="NV62" s="504">
        <v>0</v>
      </c>
      <c r="NW62" s="504">
        <v>0</v>
      </c>
      <c r="NX62" s="504">
        <v>0</v>
      </c>
      <c r="NY62" s="504">
        <v>0</v>
      </c>
      <c r="NZ62" s="504">
        <v>0</v>
      </c>
      <c r="OA62" s="504">
        <v>0</v>
      </c>
      <c r="OB62" s="504">
        <v>0</v>
      </c>
      <c r="OC62" s="504">
        <v>0</v>
      </c>
      <c r="OD62" s="504">
        <v>0</v>
      </c>
      <c r="OE62" s="504">
        <v>0</v>
      </c>
      <c r="OF62" s="504">
        <v>0</v>
      </c>
      <c r="OG62" s="504">
        <v>0</v>
      </c>
      <c r="OH62" s="504">
        <v>0</v>
      </c>
      <c r="OI62" s="504">
        <v>0</v>
      </c>
      <c r="OJ62" s="504">
        <v>0</v>
      </c>
      <c r="OK62" s="504">
        <v>0</v>
      </c>
      <c r="OL62" s="504">
        <v>0</v>
      </c>
      <c r="OM62" s="504">
        <v>0</v>
      </c>
      <c r="ON62" s="494"/>
    </row>
    <row r="63" spans="1:404" ht="18.75" customHeight="1" x14ac:dyDescent="0.4">
      <c r="A63" s="355" t="s">
        <v>339</v>
      </c>
      <c r="B63" s="358">
        <v>92</v>
      </c>
      <c r="C63" s="355" t="s">
        <v>60</v>
      </c>
      <c r="D63" s="501">
        <v>38.47</v>
      </c>
      <c r="E63" s="502">
        <v>8792</v>
      </c>
      <c r="F63" s="501">
        <v>38.46</v>
      </c>
      <c r="G63" s="502">
        <v>872</v>
      </c>
      <c r="H63" s="501">
        <v>38.46</v>
      </c>
      <c r="I63" s="502">
        <v>2586</v>
      </c>
      <c r="J63" s="501">
        <v>38.450000000000003</v>
      </c>
      <c r="K63" s="502">
        <v>3011</v>
      </c>
      <c r="V63" s="501"/>
      <c r="W63" s="503"/>
      <c r="X63" s="501"/>
      <c r="Y63" s="503"/>
      <c r="Z63" s="501"/>
      <c r="AA63" s="503"/>
      <c r="AB63" s="495"/>
      <c r="AC63" s="504">
        <v>0</v>
      </c>
      <c r="AD63" s="504">
        <v>0</v>
      </c>
      <c r="AE63" s="504">
        <v>0</v>
      </c>
      <c r="AF63" s="504">
        <v>0</v>
      </c>
      <c r="AG63" s="504">
        <v>0</v>
      </c>
      <c r="AH63" s="504">
        <v>0</v>
      </c>
      <c r="AI63" s="504">
        <v>0</v>
      </c>
      <c r="AJ63" s="504">
        <v>0</v>
      </c>
      <c r="AK63" s="504">
        <v>0</v>
      </c>
      <c r="AL63" s="504">
        <v>0</v>
      </c>
      <c r="AM63" s="504">
        <v>0</v>
      </c>
      <c r="AN63" s="504">
        <v>0</v>
      </c>
      <c r="AO63" s="504">
        <v>0</v>
      </c>
      <c r="AP63" s="504">
        <v>0</v>
      </c>
      <c r="AQ63" s="504">
        <v>0</v>
      </c>
      <c r="AR63" s="504">
        <v>0</v>
      </c>
      <c r="AS63" s="504">
        <v>0</v>
      </c>
      <c r="AT63" s="504">
        <v>0</v>
      </c>
      <c r="AU63" s="504">
        <v>0</v>
      </c>
      <c r="AV63" s="504">
        <v>0</v>
      </c>
      <c r="AW63" s="504">
        <v>0</v>
      </c>
      <c r="AX63" s="504">
        <v>0</v>
      </c>
      <c r="AY63" s="504">
        <v>0</v>
      </c>
      <c r="AZ63" s="504">
        <v>0</v>
      </c>
      <c r="BA63" s="504">
        <v>0</v>
      </c>
      <c r="BB63" s="504">
        <v>0</v>
      </c>
      <c r="BC63" s="504">
        <v>0</v>
      </c>
      <c r="BD63" s="504">
        <v>0</v>
      </c>
      <c r="BE63" s="504">
        <v>0</v>
      </c>
      <c r="BF63" s="504">
        <v>0</v>
      </c>
      <c r="BG63" s="504">
        <v>0</v>
      </c>
      <c r="BH63" s="504">
        <v>0</v>
      </c>
      <c r="BI63" s="504">
        <v>0</v>
      </c>
      <c r="BJ63" s="504">
        <v>0</v>
      </c>
      <c r="BK63" s="504">
        <v>0</v>
      </c>
      <c r="BL63" s="504">
        <v>0</v>
      </c>
      <c r="BM63" s="504">
        <v>0</v>
      </c>
      <c r="BN63" s="504">
        <v>0</v>
      </c>
      <c r="BO63" s="504">
        <v>0</v>
      </c>
      <c r="BP63" s="504">
        <v>0</v>
      </c>
      <c r="BQ63" s="504">
        <v>0</v>
      </c>
      <c r="BR63" s="504">
        <v>0</v>
      </c>
      <c r="BS63" s="504">
        <v>0</v>
      </c>
      <c r="BT63" s="504">
        <v>0</v>
      </c>
      <c r="BU63" s="504">
        <v>0</v>
      </c>
      <c r="BV63" s="504">
        <v>0</v>
      </c>
      <c r="BW63" s="504">
        <v>0</v>
      </c>
      <c r="BX63" s="504">
        <v>0</v>
      </c>
      <c r="BY63" s="504">
        <v>0</v>
      </c>
      <c r="BZ63" s="504">
        <v>0</v>
      </c>
      <c r="CA63" s="504">
        <v>0</v>
      </c>
      <c r="CB63" s="504">
        <v>0</v>
      </c>
      <c r="CC63" s="504">
        <v>0</v>
      </c>
      <c r="CD63" s="504">
        <v>0</v>
      </c>
      <c r="CE63" s="504">
        <v>0</v>
      </c>
      <c r="CF63" s="504">
        <v>0</v>
      </c>
      <c r="CG63" s="504">
        <v>0</v>
      </c>
      <c r="CH63" s="504">
        <v>0</v>
      </c>
      <c r="CI63" s="504">
        <v>0</v>
      </c>
      <c r="CJ63" s="504">
        <v>0</v>
      </c>
      <c r="CK63" s="504">
        <v>0</v>
      </c>
      <c r="CL63" s="504">
        <v>0</v>
      </c>
      <c r="CM63" s="504">
        <v>0</v>
      </c>
      <c r="CN63" s="504">
        <v>0</v>
      </c>
      <c r="CO63" s="504">
        <v>0</v>
      </c>
      <c r="CP63" s="504">
        <v>0</v>
      </c>
      <c r="CQ63" s="504">
        <v>0</v>
      </c>
      <c r="CR63" s="504">
        <v>0</v>
      </c>
      <c r="CS63" s="504">
        <v>0</v>
      </c>
      <c r="CT63" s="504">
        <v>0</v>
      </c>
      <c r="CU63" s="504">
        <v>0</v>
      </c>
      <c r="CV63" s="504">
        <v>0</v>
      </c>
      <c r="CW63" s="504">
        <v>0</v>
      </c>
      <c r="CX63" s="504">
        <v>0</v>
      </c>
      <c r="CY63" s="504">
        <v>0</v>
      </c>
      <c r="CZ63" s="504">
        <v>0</v>
      </c>
      <c r="DA63" s="504">
        <v>0</v>
      </c>
      <c r="DB63" s="504">
        <v>0</v>
      </c>
      <c r="DC63" s="504">
        <v>0</v>
      </c>
      <c r="DD63" s="504">
        <v>0</v>
      </c>
      <c r="DE63" s="504">
        <v>0</v>
      </c>
      <c r="DF63" s="504">
        <v>0</v>
      </c>
      <c r="DG63" s="504">
        <v>0</v>
      </c>
      <c r="DH63" s="504">
        <v>0</v>
      </c>
      <c r="DI63" s="504">
        <v>0</v>
      </c>
      <c r="DJ63" s="504">
        <v>0</v>
      </c>
      <c r="DK63" s="504">
        <v>0</v>
      </c>
      <c r="DL63" s="504">
        <v>0</v>
      </c>
      <c r="DM63" s="504">
        <v>0</v>
      </c>
      <c r="DN63" s="504">
        <v>0</v>
      </c>
      <c r="DO63" s="504">
        <v>0</v>
      </c>
      <c r="DP63" s="504">
        <v>0</v>
      </c>
      <c r="DQ63" s="504">
        <v>0</v>
      </c>
      <c r="DR63" s="504">
        <v>0</v>
      </c>
      <c r="DS63" s="504">
        <v>0</v>
      </c>
      <c r="DT63" s="504">
        <v>0</v>
      </c>
      <c r="DU63" s="504">
        <v>0</v>
      </c>
      <c r="DV63" s="504">
        <v>0</v>
      </c>
      <c r="DW63" s="504">
        <v>0</v>
      </c>
      <c r="DX63" s="504">
        <v>0</v>
      </c>
      <c r="DY63" s="504">
        <v>0</v>
      </c>
      <c r="DZ63" s="504">
        <v>0</v>
      </c>
      <c r="EA63" s="504">
        <v>0</v>
      </c>
      <c r="EB63" s="504">
        <v>0</v>
      </c>
      <c r="EC63" s="504">
        <v>0</v>
      </c>
      <c r="ED63" s="504">
        <v>0</v>
      </c>
      <c r="EE63" s="504">
        <v>0</v>
      </c>
      <c r="EF63" s="504">
        <v>0</v>
      </c>
      <c r="EG63" s="504">
        <v>0</v>
      </c>
      <c r="EH63" s="504">
        <v>0</v>
      </c>
      <c r="EI63" s="504">
        <v>0</v>
      </c>
      <c r="EJ63" s="504">
        <v>0</v>
      </c>
      <c r="EK63" s="504">
        <v>0</v>
      </c>
      <c r="EL63" s="504">
        <v>0</v>
      </c>
      <c r="EM63" s="504">
        <v>0</v>
      </c>
      <c r="EN63" s="504">
        <v>0</v>
      </c>
      <c r="EO63" s="504">
        <v>0</v>
      </c>
      <c r="EP63" s="504">
        <v>0</v>
      </c>
      <c r="EQ63" s="504">
        <v>0</v>
      </c>
      <c r="ER63" s="504">
        <v>0</v>
      </c>
      <c r="ES63" s="504">
        <v>0</v>
      </c>
      <c r="ET63" s="504">
        <v>0</v>
      </c>
      <c r="EU63" s="504">
        <v>0</v>
      </c>
      <c r="EV63" s="504">
        <v>0</v>
      </c>
      <c r="EW63" s="504">
        <v>0</v>
      </c>
      <c r="EX63" s="504">
        <v>0</v>
      </c>
      <c r="EY63" s="504">
        <v>0</v>
      </c>
      <c r="EZ63" s="504">
        <v>0</v>
      </c>
      <c r="FA63" s="504">
        <v>0</v>
      </c>
      <c r="FB63" s="504">
        <v>0</v>
      </c>
      <c r="FC63" s="504">
        <v>0</v>
      </c>
      <c r="FD63" s="504">
        <v>0</v>
      </c>
      <c r="FE63" s="504">
        <v>0</v>
      </c>
      <c r="FF63" s="504">
        <v>0</v>
      </c>
      <c r="FG63" s="504">
        <v>0</v>
      </c>
      <c r="FH63" s="504">
        <v>0</v>
      </c>
      <c r="FI63" s="504">
        <v>0</v>
      </c>
      <c r="FJ63" s="504">
        <v>0</v>
      </c>
      <c r="FK63" s="504">
        <v>0</v>
      </c>
      <c r="FL63" s="504">
        <v>0</v>
      </c>
      <c r="FM63" s="504">
        <v>0</v>
      </c>
      <c r="FN63" s="504">
        <v>0</v>
      </c>
      <c r="FO63" s="504">
        <v>0</v>
      </c>
      <c r="FP63" s="504">
        <v>0</v>
      </c>
      <c r="FQ63" s="504">
        <v>0</v>
      </c>
      <c r="FR63" s="504">
        <v>0</v>
      </c>
      <c r="FS63" s="504">
        <v>0</v>
      </c>
      <c r="FT63" s="504">
        <v>0</v>
      </c>
      <c r="FU63" s="504">
        <v>0</v>
      </c>
      <c r="FV63" s="504">
        <v>0</v>
      </c>
      <c r="FW63" s="504">
        <v>0</v>
      </c>
      <c r="FX63" s="504">
        <v>0</v>
      </c>
      <c r="FY63" s="504">
        <v>0</v>
      </c>
      <c r="FZ63" s="504">
        <v>0</v>
      </c>
      <c r="GA63" s="504">
        <v>0</v>
      </c>
      <c r="GB63" s="504">
        <v>0</v>
      </c>
      <c r="GC63" s="504">
        <v>0</v>
      </c>
      <c r="GD63" s="504">
        <v>0</v>
      </c>
      <c r="GE63" s="504">
        <v>0</v>
      </c>
      <c r="GF63" s="504">
        <v>0</v>
      </c>
      <c r="GG63" s="504">
        <v>0</v>
      </c>
      <c r="GH63" s="504">
        <v>0</v>
      </c>
      <c r="GI63" s="504">
        <v>0</v>
      </c>
      <c r="GJ63" s="504">
        <v>0</v>
      </c>
      <c r="GK63" s="504">
        <v>0</v>
      </c>
      <c r="GL63" s="504">
        <v>0</v>
      </c>
      <c r="GM63" s="504">
        <v>0</v>
      </c>
      <c r="GN63" s="504">
        <v>0</v>
      </c>
      <c r="GO63" s="504">
        <v>0</v>
      </c>
      <c r="GP63" s="504">
        <v>0</v>
      </c>
      <c r="GQ63" s="504">
        <v>0</v>
      </c>
      <c r="GR63" s="504">
        <v>0</v>
      </c>
      <c r="GS63" s="504">
        <v>0</v>
      </c>
      <c r="GT63" s="504">
        <v>0</v>
      </c>
      <c r="GU63" s="504">
        <v>0</v>
      </c>
      <c r="GV63" s="504">
        <v>0</v>
      </c>
      <c r="GW63" s="504">
        <v>0</v>
      </c>
      <c r="GX63" s="504">
        <v>0</v>
      </c>
      <c r="GY63" s="504">
        <v>0</v>
      </c>
      <c r="GZ63" s="504">
        <v>0</v>
      </c>
      <c r="HA63" s="504">
        <v>0</v>
      </c>
      <c r="HB63" s="504">
        <v>0</v>
      </c>
      <c r="HC63" s="504">
        <v>0</v>
      </c>
      <c r="HD63" s="504">
        <v>0</v>
      </c>
      <c r="HE63" s="504">
        <v>0</v>
      </c>
      <c r="HF63" s="504">
        <v>0</v>
      </c>
      <c r="HG63" s="504">
        <v>0</v>
      </c>
      <c r="HH63" s="504">
        <v>0</v>
      </c>
      <c r="HI63" s="504">
        <v>0</v>
      </c>
      <c r="HJ63" s="504">
        <v>0</v>
      </c>
      <c r="HK63" s="504">
        <v>0</v>
      </c>
      <c r="HL63" s="504">
        <v>0</v>
      </c>
      <c r="HM63" s="504">
        <v>0</v>
      </c>
      <c r="HN63" s="504">
        <v>0</v>
      </c>
      <c r="HO63" s="504">
        <v>0</v>
      </c>
      <c r="HP63" s="504">
        <v>0</v>
      </c>
      <c r="HQ63" s="504">
        <v>0</v>
      </c>
      <c r="HR63" s="504">
        <v>0</v>
      </c>
      <c r="HS63" s="504">
        <v>0</v>
      </c>
      <c r="HT63" s="504">
        <v>0</v>
      </c>
      <c r="HU63" s="504">
        <v>0</v>
      </c>
      <c r="HV63" s="504">
        <v>0</v>
      </c>
      <c r="HW63" s="504">
        <v>0</v>
      </c>
      <c r="HX63" s="504">
        <v>0</v>
      </c>
      <c r="HY63" s="504">
        <v>0</v>
      </c>
      <c r="HZ63" s="504">
        <v>0</v>
      </c>
      <c r="IA63" s="504">
        <v>0</v>
      </c>
      <c r="IB63" s="504">
        <v>0</v>
      </c>
      <c r="IC63" s="504">
        <v>0</v>
      </c>
      <c r="ID63" s="504">
        <v>0</v>
      </c>
      <c r="IE63" s="504">
        <v>0</v>
      </c>
      <c r="IF63" s="504">
        <v>0</v>
      </c>
      <c r="IG63" s="504">
        <v>0</v>
      </c>
      <c r="IH63" s="504">
        <v>0</v>
      </c>
      <c r="II63" s="504">
        <v>0</v>
      </c>
      <c r="IJ63" s="504">
        <v>0</v>
      </c>
      <c r="IK63" s="504">
        <v>0</v>
      </c>
      <c r="IL63" s="504">
        <v>0</v>
      </c>
      <c r="IM63" s="504">
        <v>0</v>
      </c>
      <c r="IN63" s="504">
        <v>0</v>
      </c>
      <c r="IO63" s="504">
        <v>0</v>
      </c>
      <c r="IP63" s="504">
        <v>0</v>
      </c>
      <c r="IQ63" s="504">
        <v>0</v>
      </c>
      <c r="IR63" s="504">
        <v>0</v>
      </c>
      <c r="IS63" s="504">
        <v>0</v>
      </c>
      <c r="IT63" s="504">
        <v>0</v>
      </c>
      <c r="IU63" s="504">
        <v>0</v>
      </c>
      <c r="IV63" s="504">
        <v>0</v>
      </c>
      <c r="IW63" s="504">
        <v>0</v>
      </c>
      <c r="IX63" s="504">
        <v>0</v>
      </c>
      <c r="IY63" s="504">
        <v>0</v>
      </c>
      <c r="IZ63" s="504">
        <v>0</v>
      </c>
      <c r="JA63" s="504">
        <v>0</v>
      </c>
      <c r="JB63" s="504">
        <v>0</v>
      </c>
      <c r="JC63" s="504">
        <v>0</v>
      </c>
      <c r="JD63" s="504">
        <v>0</v>
      </c>
      <c r="JE63" s="504">
        <v>0</v>
      </c>
      <c r="JF63" s="504">
        <v>0</v>
      </c>
      <c r="JG63" s="504">
        <v>0</v>
      </c>
      <c r="JH63" s="504">
        <v>0</v>
      </c>
      <c r="JI63" s="504">
        <v>0</v>
      </c>
      <c r="JJ63" s="504">
        <v>0</v>
      </c>
      <c r="JK63" s="504">
        <v>0</v>
      </c>
      <c r="JL63" s="504">
        <v>0</v>
      </c>
      <c r="JM63" s="504">
        <v>0</v>
      </c>
      <c r="JN63" s="504">
        <v>0</v>
      </c>
      <c r="JO63" s="504">
        <v>0</v>
      </c>
      <c r="JP63" s="504">
        <v>0</v>
      </c>
      <c r="JQ63" s="504">
        <v>0</v>
      </c>
      <c r="JR63" s="504">
        <v>0</v>
      </c>
      <c r="JS63" s="504">
        <v>0</v>
      </c>
      <c r="JT63" s="504">
        <v>0</v>
      </c>
      <c r="JU63" s="504">
        <v>0</v>
      </c>
      <c r="JV63" s="504">
        <v>0</v>
      </c>
      <c r="JW63" s="504">
        <v>0</v>
      </c>
      <c r="JX63" s="504">
        <v>0</v>
      </c>
      <c r="JY63" s="504">
        <v>0</v>
      </c>
      <c r="JZ63" s="504">
        <v>0</v>
      </c>
      <c r="KA63" s="504">
        <v>0</v>
      </c>
      <c r="KB63" s="504">
        <v>0</v>
      </c>
      <c r="KC63" s="504">
        <v>0</v>
      </c>
      <c r="KD63" s="504">
        <v>0</v>
      </c>
      <c r="KE63" s="504">
        <v>0</v>
      </c>
      <c r="KF63" s="504">
        <v>0</v>
      </c>
      <c r="KG63" s="504">
        <v>0</v>
      </c>
      <c r="KH63" s="504">
        <v>0</v>
      </c>
      <c r="KI63" s="504">
        <v>0</v>
      </c>
      <c r="KJ63" s="504">
        <v>0</v>
      </c>
      <c r="KK63" s="504">
        <v>0</v>
      </c>
      <c r="KL63" s="504">
        <v>0</v>
      </c>
      <c r="KM63" s="504">
        <v>0</v>
      </c>
      <c r="KN63" s="504">
        <v>0</v>
      </c>
      <c r="KO63" s="504">
        <v>0</v>
      </c>
      <c r="KP63" s="504">
        <v>0</v>
      </c>
      <c r="KQ63" s="504">
        <v>0</v>
      </c>
      <c r="KR63" s="504">
        <v>0</v>
      </c>
      <c r="KS63" s="504">
        <v>0</v>
      </c>
      <c r="KT63" s="504">
        <v>0</v>
      </c>
      <c r="KU63" s="504">
        <v>0</v>
      </c>
      <c r="KV63" s="504">
        <v>0</v>
      </c>
      <c r="KW63" s="504">
        <v>0</v>
      </c>
      <c r="KX63" s="504">
        <v>0</v>
      </c>
      <c r="KY63" s="504">
        <v>0</v>
      </c>
      <c r="KZ63" s="504">
        <v>0</v>
      </c>
      <c r="LA63" s="504">
        <v>0</v>
      </c>
      <c r="LB63" s="504">
        <v>0</v>
      </c>
      <c r="LC63" s="504">
        <v>0</v>
      </c>
      <c r="LD63" s="504">
        <v>0</v>
      </c>
      <c r="LE63" s="504">
        <v>0</v>
      </c>
      <c r="LF63" s="504">
        <v>0</v>
      </c>
      <c r="LG63" s="504">
        <v>0</v>
      </c>
      <c r="LH63" s="504">
        <v>0</v>
      </c>
      <c r="LI63" s="504">
        <v>0</v>
      </c>
      <c r="LJ63" s="504">
        <v>0</v>
      </c>
      <c r="LK63" s="504">
        <v>0</v>
      </c>
      <c r="LL63" s="504">
        <v>0</v>
      </c>
      <c r="LM63" s="504">
        <v>0</v>
      </c>
      <c r="LN63" s="504">
        <v>0</v>
      </c>
      <c r="LO63" s="504">
        <v>0</v>
      </c>
      <c r="LP63" s="504">
        <v>0</v>
      </c>
      <c r="LQ63" s="504">
        <v>0</v>
      </c>
      <c r="LR63" s="504">
        <v>0</v>
      </c>
      <c r="LS63" s="504">
        <v>0</v>
      </c>
      <c r="LT63" s="504">
        <v>0</v>
      </c>
      <c r="LU63" s="504">
        <v>0</v>
      </c>
      <c r="LV63" s="504">
        <v>0</v>
      </c>
      <c r="LW63" s="504">
        <v>0</v>
      </c>
      <c r="LX63" s="504">
        <v>0</v>
      </c>
      <c r="LY63" s="504">
        <v>0</v>
      </c>
      <c r="LZ63" s="504">
        <v>0</v>
      </c>
      <c r="MA63" s="504">
        <v>0</v>
      </c>
      <c r="MB63" s="504">
        <v>0</v>
      </c>
      <c r="MC63" s="504">
        <v>0</v>
      </c>
      <c r="MD63" s="504">
        <v>0</v>
      </c>
      <c r="ME63" s="504">
        <v>0</v>
      </c>
      <c r="MF63" s="504">
        <v>0</v>
      </c>
      <c r="MG63" s="504">
        <v>0</v>
      </c>
      <c r="MH63" s="504">
        <v>0</v>
      </c>
      <c r="MI63" s="504">
        <v>0</v>
      </c>
      <c r="MJ63" s="504">
        <v>0</v>
      </c>
      <c r="MK63" s="504">
        <v>0</v>
      </c>
      <c r="ML63" s="504">
        <v>0</v>
      </c>
      <c r="MM63" s="504">
        <v>0</v>
      </c>
      <c r="MN63" s="504">
        <v>0</v>
      </c>
      <c r="MO63" s="504">
        <v>0</v>
      </c>
      <c r="MP63" s="504">
        <v>0</v>
      </c>
      <c r="MQ63" s="504">
        <v>0</v>
      </c>
      <c r="MR63" s="504">
        <v>0</v>
      </c>
      <c r="MS63" s="504">
        <v>0</v>
      </c>
      <c r="MT63" s="504">
        <v>0</v>
      </c>
      <c r="MU63" s="504">
        <v>0</v>
      </c>
      <c r="MV63" s="504">
        <v>0</v>
      </c>
      <c r="MW63" s="504">
        <v>0</v>
      </c>
      <c r="MX63" s="504">
        <v>0</v>
      </c>
      <c r="MY63" s="504">
        <v>0</v>
      </c>
      <c r="MZ63" s="504">
        <v>0</v>
      </c>
      <c r="NA63" s="504">
        <v>0</v>
      </c>
      <c r="NB63" s="504">
        <v>0</v>
      </c>
      <c r="NC63" s="504">
        <v>0</v>
      </c>
      <c r="ND63" s="504">
        <v>0</v>
      </c>
      <c r="NE63" s="504">
        <v>0</v>
      </c>
      <c r="NF63" s="504">
        <v>0</v>
      </c>
      <c r="NG63" s="504">
        <v>0</v>
      </c>
      <c r="NH63" s="504">
        <v>0</v>
      </c>
      <c r="NI63" s="504">
        <v>0</v>
      </c>
      <c r="NJ63" s="504">
        <v>0</v>
      </c>
      <c r="NK63" s="504">
        <v>0</v>
      </c>
      <c r="NL63" s="504">
        <v>0</v>
      </c>
      <c r="NM63" s="504">
        <v>0</v>
      </c>
      <c r="NN63" s="504">
        <v>0</v>
      </c>
      <c r="NO63" s="504">
        <v>0</v>
      </c>
      <c r="NP63" s="504">
        <v>0</v>
      </c>
      <c r="NQ63" s="504">
        <v>0</v>
      </c>
      <c r="NR63" s="504">
        <v>0</v>
      </c>
      <c r="NS63" s="504">
        <v>0</v>
      </c>
      <c r="NT63" s="504">
        <v>0</v>
      </c>
      <c r="NU63" s="504">
        <v>0</v>
      </c>
      <c r="NV63" s="504">
        <v>0</v>
      </c>
      <c r="NW63" s="504">
        <v>0</v>
      </c>
      <c r="NX63" s="504">
        <v>0</v>
      </c>
      <c r="NY63" s="504">
        <v>0</v>
      </c>
      <c r="NZ63" s="504">
        <v>0</v>
      </c>
      <c r="OA63" s="504">
        <v>0</v>
      </c>
      <c r="OB63" s="504">
        <v>0</v>
      </c>
      <c r="OC63" s="504">
        <v>0</v>
      </c>
      <c r="OD63" s="504">
        <v>0</v>
      </c>
      <c r="OE63" s="504">
        <v>0</v>
      </c>
      <c r="OF63" s="504">
        <v>0</v>
      </c>
      <c r="OG63" s="504">
        <v>0</v>
      </c>
      <c r="OH63" s="504">
        <v>0</v>
      </c>
      <c r="OI63" s="504">
        <v>0</v>
      </c>
      <c r="OJ63" s="504">
        <v>0</v>
      </c>
      <c r="OK63" s="504">
        <v>0</v>
      </c>
      <c r="OL63" s="504">
        <v>0</v>
      </c>
      <c r="OM63" s="504">
        <v>0</v>
      </c>
      <c r="ON63" s="494"/>
    </row>
    <row r="64" spans="1:404" ht="18.75" customHeight="1" x14ac:dyDescent="0.4">
      <c r="A64" s="355" t="s">
        <v>340</v>
      </c>
      <c r="B64" s="358">
        <v>218</v>
      </c>
      <c r="C64" s="355" t="s">
        <v>60</v>
      </c>
      <c r="D64" s="501">
        <v>43.98</v>
      </c>
      <c r="E64" s="502">
        <v>15515</v>
      </c>
      <c r="F64" s="501">
        <v>43.96</v>
      </c>
      <c r="G64" s="502">
        <v>5440</v>
      </c>
      <c r="H64" s="501">
        <v>43.96</v>
      </c>
      <c r="I64" s="502">
        <v>14468</v>
      </c>
      <c r="J64" s="501">
        <v>43.96</v>
      </c>
      <c r="K64" s="502">
        <v>16089</v>
      </c>
      <c r="V64" s="501"/>
      <c r="W64" s="503"/>
      <c r="X64" s="501"/>
      <c r="Y64" s="503"/>
      <c r="Z64" s="501"/>
      <c r="AA64" s="503"/>
      <c r="AB64" s="495"/>
      <c r="AC64" s="504">
        <v>0</v>
      </c>
      <c r="AD64" s="504">
        <v>0</v>
      </c>
      <c r="AE64" s="504">
        <v>0</v>
      </c>
      <c r="AF64" s="504">
        <v>0</v>
      </c>
      <c r="AG64" s="504">
        <v>0</v>
      </c>
      <c r="AH64" s="504">
        <v>0</v>
      </c>
      <c r="AI64" s="504">
        <v>0</v>
      </c>
      <c r="AJ64" s="504">
        <v>0</v>
      </c>
      <c r="AK64" s="504">
        <v>0</v>
      </c>
      <c r="AL64" s="504">
        <v>0</v>
      </c>
      <c r="AM64" s="504">
        <v>0</v>
      </c>
      <c r="AN64" s="504">
        <v>0</v>
      </c>
      <c r="AO64" s="504">
        <v>0</v>
      </c>
      <c r="AP64" s="504">
        <v>0</v>
      </c>
      <c r="AQ64" s="504">
        <v>0</v>
      </c>
      <c r="AR64" s="504">
        <v>0</v>
      </c>
      <c r="AS64" s="504">
        <v>0</v>
      </c>
      <c r="AT64" s="504">
        <v>0</v>
      </c>
      <c r="AU64" s="504">
        <v>0</v>
      </c>
      <c r="AV64" s="504">
        <v>0</v>
      </c>
      <c r="AW64" s="504">
        <v>0</v>
      </c>
      <c r="AX64" s="504">
        <v>0</v>
      </c>
      <c r="AY64" s="504">
        <v>0</v>
      </c>
      <c r="AZ64" s="504">
        <v>0</v>
      </c>
      <c r="BA64" s="504">
        <v>0</v>
      </c>
      <c r="BB64" s="504">
        <v>0</v>
      </c>
      <c r="BC64" s="504">
        <v>0</v>
      </c>
      <c r="BD64" s="504">
        <v>0</v>
      </c>
      <c r="BE64" s="504">
        <v>0</v>
      </c>
      <c r="BF64" s="504">
        <v>0</v>
      </c>
      <c r="BG64" s="504">
        <v>0</v>
      </c>
      <c r="BH64" s="504">
        <v>0</v>
      </c>
      <c r="BI64" s="504">
        <v>0</v>
      </c>
      <c r="BJ64" s="504">
        <v>0</v>
      </c>
      <c r="BK64" s="504">
        <v>0</v>
      </c>
      <c r="BL64" s="504">
        <v>0</v>
      </c>
      <c r="BM64" s="504">
        <v>0</v>
      </c>
      <c r="BN64" s="504">
        <v>0</v>
      </c>
      <c r="BO64" s="504">
        <v>0</v>
      </c>
      <c r="BP64" s="504">
        <v>0</v>
      </c>
      <c r="BQ64" s="504">
        <v>0</v>
      </c>
      <c r="BR64" s="504">
        <v>0</v>
      </c>
      <c r="BS64" s="504">
        <v>0</v>
      </c>
      <c r="BT64" s="504">
        <v>0</v>
      </c>
      <c r="BU64" s="504">
        <v>0</v>
      </c>
      <c r="BV64" s="504">
        <v>0</v>
      </c>
      <c r="BW64" s="504">
        <v>0</v>
      </c>
      <c r="BX64" s="504">
        <v>0</v>
      </c>
      <c r="BY64" s="504">
        <v>0</v>
      </c>
      <c r="BZ64" s="504">
        <v>0</v>
      </c>
      <c r="CA64" s="504">
        <v>0</v>
      </c>
      <c r="CB64" s="504">
        <v>0</v>
      </c>
      <c r="CC64" s="504">
        <v>0</v>
      </c>
      <c r="CD64" s="504">
        <v>0</v>
      </c>
      <c r="CE64" s="504">
        <v>0</v>
      </c>
      <c r="CF64" s="504">
        <v>0</v>
      </c>
      <c r="CG64" s="504">
        <v>0</v>
      </c>
      <c r="CH64" s="504">
        <v>0</v>
      </c>
      <c r="CI64" s="504">
        <v>0</v>
      </c>
      <c r="CJ64" s="504">
        <v>0</v>
      </c>
      <c r="CK64" s="504">
        <v>0</v>
      </c>
      <c r="CL64" s="504">
        <v>0</v>
      </c>
      <c r="CM64" s="504">
        <v>0</v>
      </c>
      <c r="CN64" s="504">
        <v>0</v>
      </c>
      <c r="CO64" s="504">
        <v>0</v>
      </c>
      <c r="CP64" s="504">
        <v>0</v>
      </c>
      <c r="CQ64" s="504">
        <v>0</v>
      </c>
      <c r="CR64" s="504">
        <v>0</v>
      </c>
      <c r="CS64" s="504">
        <v>0</v>
      </c>
      <c r="CT64" s="504">
        <v>0</v>
      </c>
      <c r="CU64" s="504">
        <v>0</v>
      </c>
      <c r="CV64" s="504">
        <v>0</v>
      </c>
      <c r="CW64" s="504">
        <v>0</v>
      </c>
      <c r="CX64" s="504">
        <v>0</v>
      </c>
      <c r="CY64" s="504">
        <v>0</v>
      </c>
      <c r="CZ64" s="504">
        <v>0</v>
      </c>
      <c r="DA64" s="504">
        <v>0</v>
      </c>
      <c r="DB64" s="504">
        <v>0</v>
      </c>
      <c r="DC64" s="504">
        <v>0</v>
      </c>
      <c r="DD64" s="504">
        <v>0</v>
      </c>
      <c r="DE64" s="504">
        <v>0</v>
      </c>
      <c r="DF64" s="504">
        <v>0</v>
      </c>
      <c r="DG64" s="504">
        <v>0</v>
      </c>
      <c r="DH64" s="504">
        <v>0</v>
      </c>
      <c r="DI64" s="504">
        <v>0</v>
      </c>
      <c r="DJ64" s="504">
        <v>0</v>
      </c>
      <c r="DK64" s="504">
        <v>0</v>
      </c>
      <c r="DL64" s="504">
        <v>0</v>
      </c>
      <c r="DM64" s="504">
        <v>0</v>
      </c>
      <c r="DN64" s="504">
        <v>0</v>
      </c>
      <c r="DO64" s="504">
        <v>0</v>
      </c>
      <c r="DP64" s="504">
        <v>0</v>
      </c>
      <c r="DQ64" s="504">
        <v>0</v>
      </c>
      <c r="DR64" s="504">
        <v>0</v>
      </c>
      <c r="DS64" s="504">
        <v>0</v>
      </c>
      <c r="DT64" s="504">
        <v>0</v>
      </c>
      <c r="DU64" s="504">
        <v>0</v>
      </c>
      <c r="DV64" s="504">
        <v>0</v>
      </c>
      <c r="DW64" s="504">
        <v>0</v>
      </c>
      <c r="DX64" s="504">
        <v>0</v>
      </c>
      <c r="DY64" s="504">
        <v>0</v>
      </c>
      <c r="DZ64" s="504">
        <v>0</v>
      </c>
      <c r="EA64" s="504">
        <v>0</v>
      </c>
      <c r="EB64" s="504">
        <v>0</v>
      </c>
      <c r="EC64" s="504">
        <v>0</v>
      </c>
      <c r="ED64" s="504">
        <v>0</v>
      </c>
      <c r="EE64" s="504">
        <v>0</v>
      </c>
      <c r="EF64" s="504">
        <v>0</v>
      </c>
      <c r="EG64" s="504">
        <v>0</v>
      </c>
      <c r="EH64" s="504">
        <v>0</v>
      </c>
      <c r="EI64" s="504">
        <v>0</v>
      </c>
      <c r="EJ64" s="504">
        <v>0</v>
      </c>
      <c r="EK64" s="504">
        <v>0</v>
      </c>
      <c r="EL64" s="504">
        <v>0</v>
      </c>
      <c r="EM64" s="504">
        <v>0</v>
      </c>
      <c r="EN64" s="504">
        <v>0</v>
      </c>
      <c r="EO64" s="504">
        <v>0</v>
      </c>
      <c r="EP64" s="504">
        <v>0</v>
      </c>
      <c r="EQ64" s="504">
        <v>0</v>
      </c>
      <c r="ER64" s="504">
        <v>0</v>
      </c>
      <c r="ES64" s="504">
        <v>0</v>
      </c>
      <c r="ET64" s="504">
        <v>0</v>
      </c>
      <c r="EU64" s="504">
        <v>0</v>
      </c>
      <c r="EV64" s="504">
        <v>0</v>
      </c>
      <c r="EW64" s="504">
        <v>0</v>
      </c>
      <c r="EX64" s="504">
        <v>0</v>
      </c>
      <c r="EY64" s="504">
        <v>0</v>
      </c>
      <c r="EZ64" s="504">
        <v>0</v>
      </c>
      <c r="FA64" s="504">
        <v>0</v>
      </c>
      <c r="FB64" s="504">
        <v>0</v>
      </c>
      <c r="FC64" s="504">
        <v>0</v>
      </c>
      <c r="FD64" s="504">
        <v>0</v>
      </c>
      <c r="FE64" s="504">
        <v>0</v>
      </c>
      <c r="FF64" s="504">
        <v>0</v>
      </c>
      <c r="FG64" s="504">
        <v>0</v>
      </c>
      <c r="FH64" s="504">
        <v>0</v>
      </c>
      <c r="FI64" s="504">
        <v>0</v>
      </c>
      <c r="FJ64" s="504">
        <v>0</v>
      </c>
      <c r="FK64" s="504">
        <v>0</v>
      </c>
      <c r="FL64" s="504">
        <v>0</v>
      </c>
      <c r="FM64" s="504">
        <v>0</v>
      </c>
      <c r="FN64" s="504">
        <v>0</v>
      </c>
      <c r="FO64" s="504">
        <v>0</v>
      </c>
      <c r="FP64" s="504">
        <v>0</v>
      </c>
      <c r="FQ64" s="504">
        <v>0</v>
      </c>
      <c r="FR64" s="504">
        <v>0</v>
      </c>
      <c r="FS64" s="504">
        <v>0</v>
      </c>
      <c r="FT64" s="504">
        <v>0</v>
      </c>
      <c r="FU64" s="504">
        <v>0</v>
      </c>
      <c r="FV64" s="504">
        <v>0</v>
      </c>
      <c r="FW64" s="504">
        <v>0</v>
      </c>
      <c r="FX64" s="504">
        <v>0</v>
      </c>
      <c r="FY64" s="504">
        <v>0</v>
      </c>
      <c r="FZ64" s="504">
        <v>0</v>
      </c>
      <c r="GA64" s="504">
        <v>0</v>
      </c>
      <c r="GB64" s="504">
        <v>0</v>
      </c>
      <c r="GC64" s="504">
        <v>0</v>
      </c>
      <c r="GD64" s="504">
        <v>0</v>
      </c>
      <c r="GE64" s="504">
        <v>0</v>
      </c>
      <c r="GF64" s="504">
        <v>0</v>
      </c>
      <c r="GG64" s="504">
        <v>0</v>
      </c>
      <c r="GH64" s="504">
        <v>0</v>
      </c>
      <c r="GI64" s="504">
        <v>0</v>
      </c>
      <c r="GJ64" s="504">
        <v>0</v>
      </c>
      <c r="GK64" s="504">
        <v>0</v>
      </c>
      <c r="GL64" s="504">
        <v>0</v>
      </c>
      <c r="GM64" s="504">
        <v>0</v>
      </c>
      <c r="GN64" s="504">
        <v>0</v>
      </c>
      <c r="GO64" s="504">
        <v>0</v>
      </c>
      <c r="GP64" s="504">
        <v>0</v>
      </c>
      <c r="GQ64" s="504">
        <v>0</v>
      </c>
      <c r="GR64" s="504">
        <v>0</v>
      </c>
      <c r="GS64" s="504">
        <v>0</v>
      </c>
      <c r="GT64" s="504">
        <v>0</v>
      </c>
      <c r="GU64" s="504">
        <v>0</v>
      </c>
      <c r="GV64" s="504">
        <v>0</v>
      </c>
      <c r="GW64" s="504">
        <v>0</v>
      </c>
      <c r="GX64" s="504">
        <v>0</v>
      </c>
      <c r="GY64" s="504">
        <v>0</v>
      </c>
      <c r="GZ64" s="504">
        <v>0</v>
      </c>
      <c r="HA64" s="504">
        <v>0</v>
      </c>
      <c r="HB64" s="504">
        <v>0</v>
      </c>
      <c r="HC64" s="504">
        <v>0</v>
      </c>
      <c r="HD64" s="504">
        <v>0</v>
      </c>
      <c r="HE64" s="504">
        <v>0</v>
      </c>
      <c r="HF64" s="504">
        <v>0</v>
      </c>
      <c r="HG64" s="504">
        <v>0</v>
      </c>
      <c r="HH64" s="504">
        <v>0</v>
      </c>
      <c r="HI64" s="504">
        <v>0</v>
      </c>
      <c r="HJ64" s="504">
        <v>0</v>
      </c>
      <c r="HK64" s="504">
        <v>0</v>
      </c>
      <c r="HL64" s="504">
        <v>0</v>
      </c>
      <c r="HM64" s="504">
        <v>0</v>
      </c>
      <c r="HN64" s="504">
        <v>0</v>
      </c>
      <c r="HO64" s="504">
        <v>0</v>
      </c>
      <c r="HP64" s="504">
        <v>0</v>
      </c>
      <c r="HQ64" s="504">
        <v>0</v>
      </c>
      <c r="HR64" s="504">
        <v>0</v>
      </c>
      <c r="HS64" s="504">
        <v>0</v>
      </c>
      <c r="HT64" s="504">
        <v>0</v>
      </c>
      <c r="HU64" s="504">
        <v>0</v>
      </c>
      <c r="HV64" s="504">
        <v>0</v>
      </c>
      <c r="HW64" s="504">
        <v>0</v>
      </c>
      <c r="HX64" s="504">
        <v>0</v>
      </c>
      <c r="HY64" s="504">
        <v>0</v>
      </c>
      <c r="HZ64" s="504">
        <v>0</v>
      </c>
      <c r="IA64" s="504">
        <v>0</v>
      </c>
      <c r="IB64" s="504">
        <v>0</v>
      </c>
      <c r="IC64" s="504">
        <v>0</v>
      </c>
      <c r="ID64" s="504">
        <v>0</v>
      </c>
      <c r="IE64" s="504">
        <v>0</v>
      </c>
      <c r="IF64" s="504">
        <v>0</v>
      </c>
      <c r="IG64" s="504">
        <v>0</v>
      </c>
      <c r="IH64" s="504">
        <v>0</v>
      </c>
      <c r="II64" s="504">
        <v>0</v>
      </c>
      <c r="IJ64" s="504">
        <v>0</v>
      </c>
      <c r="IK64" s="504">
        <v>0</v>
      </c>
      <c r="IL64" s="504">
        <v>0</v>
      </c>
      <c r="IM64" s="504">
        <v>0</v>
      </c>
      <c r="IN64" s="504">
        <v>0</v>
      </c>
      <c r="IO64" s="504">
        <v>0</v>
      </c>
      <c r="IP64" s="504">
        <v>0</v>
      </c>
      <c r="IQ64" s="504">
        <v>0</v>
      </c>
      <c r="IR64" s="504">
        <v>0</v>
      </c>
      <c r="IS64" s="504">
        <v>0</v>
      </c>
      <c r="IT64" s="504">
        <v>0</v>
      </c>
      <c r="IU64" s="504">
        <v>0</v>
      </c>
      <c r="IV64" s="504">
        <v>0</v>
      </c>
      <c r="IW64" s="504">
        <v>0</v>
      </c>
      <c r="IX64" s="504">
        <v>0</v>
      </c>
      <c r="IY64" s="504">
        <v>0</v>
      </c>
      <c r="IZ64" s="504">
        <v>0</v>
      </c>
      <c r="JA64" s="504">
        <v>0</v>
      </c>
      <c r="JB64" s="504">
        <v>0</v>
      </c>
      <c r="JC64" s="504">
        <v>0</v>
      </c>
      <c r="JD64" s="504">
        <v>0</v>
      </c>
      <c r="JE64" s="504">
        <v>0</v>
      </c>
      <c r="JF64" s="504">
        <v>0</v>
      </c>
      <c r="JG64" s="504">
        <v>0</v>
      </c>
      <c r="JH64" s="504">
        <v>0</v>
      </c>
      <c r="JI64" s="504">
        <v>0</v>
      </c>
      <c r="JJ64" s="504">
        <v>0</v>
      </c>
      <c r="JK64" s="504">
        <v>0</v>
      </c>
      <c r="JL64" s="504">
        <v>0</v>
      </c>
      <c r="JM64" s="504">
        <v>0</v>
      </c>
      <c r="JN64" s="504">
        <v>0</v>
      </c>
      <c r="JO64" s="504">
        <v>0</v>
      </c>
      <c r="JP64" s="504">
        <v>0</v>
      </c>
      <c r="JQ64" s="504">
        <v>0</v>
      </c>
      <c r="JR64" s="504">
        <v>0</v>
      </c>
      <c r="JS64" s="504">
        <v>0</v>
      </c>
      <c r="JT64" s="504">
        <v>0</v>
      </c>
      <c r="JU64" s="504">
        <v>0</v>
      </c>
      <c r="JV64" s="504">
        <v>0</v>
      </c>
      <c r="JW64" s="504">
        <v>0</v>
      </c>
      <c r="JX64" s="504">
        <v>0</v>
      </c>
      <c r="JY64" s="504">
        <v>0</v>
      </c>
      <c r="JZ64" s="504">
        <v>0</v>
      </c>
      <c r="KA64" s="504">
        <v>0</v>
      </c>
      <c r="KB64" s="504">
        <v>0</v>
      </c>
      <c r="KC64" s="504">
        <v>0</v>
      </c>
      <c r="KD64" s="504">
        <v>0</v>
      </c>
      <c r="KE64" s="504">
        <v>0</v>
      </c>
      <c r="KF64" s="504">
        <v>0</v>
      </c>
      <c r="KG64" s="504">
        <v>0</v>
      </c>
      <c r="KH64" s="504">
        <v>0</v>
      </c>
      <c r="KI64" s="504">
        <v>0</v>
      </c>
      <c r="KJ64" s="504">
        <v>0</v>
      </c>
      <c r="KK64" s="504">
        <v>0</v>
      </c>
      <c r="KL64" s="504">
        <v>0</v>
      </c>
      <c r="KM64" s="504">
        <v>0</v>
      </c>
      <c r="KN64" s="504">
        <v>0</v>
      </c>
      <c r="KO64" s="504">
        <v>0</v>
      </c>
      <c r="KP64" s="504">
        <v>0</v>
      </c>
      <c r="KQ64" s="504">
        <v>0</v>
      </c>
      <c r="KR64" s="504">
        <v>0</v>
      </c>
      <c r="KS64" s="504">
        <v>0</v>
      </c>
      <c r="KT64" s="504">
        <v>0</v>
      </c>
      <c r="KU64" s="504">
        <v>0</v>
      </c>
      <c r="KV64" s="504">
        <v>0</v>
      </c>
      <c r="KW64" s="504">
        <v>0</v>
      </c>
      <c r="KX64" s="504">
        <v>0</v>
      </c>
      <c r="KY64" s="504">
        <v>0</v>
      </c>
      <c r="KZ64" s="504">
        <v>0</v>
      </c>
      <c r="LA64" s="504">
        <v>0</v>
      </c>
      <c r="LB64" s="504">
        <v>0</v>
      </c>
      <c r="LC64" s="504">
        <v>0</v>
      </c>
      <c r="LD64" s="504">
        <v>0</v>
      </c>
      <c r="LE64" s="504">
        <v>0</v>
      </c>
      <c r="LF64" s="504">
        <v>0</v>
      </c>
      <c r="LG64" s="504">
        <v>0</v>
      </c>
      <c r="LH64" s="504">
        <v>0</v>
      </c>
      <c r="LI64" s="504">
        <v>0</v>
      </c>
      <c r="LJ64" s="504">
        <v>0</v>
      </c>
      <c r="LK64" s="504">
        <v>0</v>
      </c>
      <c r="LL64" s="504">
        <v>0</v>
      </c>
      <c r="LM64" s="504">
        <v>0</v>
      </c>
      <c r="LN64" s="504">
        <v>0</v>
      </c>
      <c r="LO64" s="504">
        <v>0</v>
      </c>
      <c r="LP64" s="504">
        <v>0</v>
      </c>
      <c r="LQ64" s="504">
        <v>0</v>
      </c>
      <c r="LR64" s="504">
        <v>0</v>
      </c>
      <c r="LS64" s="504">
        <v>0</v>
      </c>
      <c r="LT64" s="504">
        <v>0</v>
      </c>
      <c r="LU64" s="504">
        <v>0</v>
      </c>
      <c r="LV64" s="504">
        <v>0</v>
      </c>
      <c r="LW64" s="504">
        <v>0</v>
      </c>
      <c r="LX64" s="504">
        <v>0</v>
      </c>
      <c r="LY64" s="504">
        <v>0</v>
      </c>
      <c r="LZ64" s="504">
        <v>0</v>
      </c>
      <c r="MA64" s="504">
        <v>0</v>
      </c>
      <c r="MB64" s="504">
        <v>0</v>
      </c>
      <c r="MC64" s="504">
        <v>0</v>
      </c>
      <c r="MD64" s="504">
        <v>0</v>
      </c>
      <c r="ME64" s="504">
        <v>0</v>
      </c>
      <c r="MF64" s="504">
        <v>0</v>
      </c>
      <c r="MG64" s="504">
        <v>0</v>
      </c>
      <c r="MH64" s="504">
        <v>0</v>
      </c>
      <c r="MI64" s="504">
        <v>0</v>
      </c>
      <c r="MJ64" s="504">
        <v>0</v>
      </c>
      <c r="MK64" s="504">
        <v>0</v>
      </c>
      <c r="ML64" s="504">
        <v>0</v>
      </c>
      <c r="MM64" s="504">
        <v>0</v>
      </c>
      <c r="MN64" s="504">
        <v>0</v>
      </c>
      <c r="MO64" s="504">
        <v>0</v>
      </c>
      <c r="MP64" s="504">
        <v>0</v>
      </c>
      <c r="MQ64" s="504">
        <v>0</v>
      </c>
      <c r="MR64" s="504">
        <v>0</v>
      </c>
      <c r="MS64" s="504">
        <v>0</v>
      </c>
      <c r="MT64" s="504">
        <v>0</v>
      </c>
      <c r="MU64" s="504">
        <v>0</v>
      </c>
      <c r="MV64" s="504">
        <v>0</v>
      </c>
      <c r="MW64" s="504">
        <v>0</v>
      </c>
      <c r="MX64" s="504">
        <v>0</v>
      </c>
      <c r="MY64" s="504">
        <v>0</v>
      </c>
      <c r="MZ64" s="504">
        <v>0</v>
      </c>
      <c r="NA64" s="504">
        <v>0</v>
      </c>
      <c r="NB64" s="504">
        <v>0</v>
      </c>
      <c r="NC64" s="504">
        <v>0</v>
      </c>
      <c r="ND64" s="504">
        <v>0</v>
      </c>
      <c r="NE64" s="504">
        <v>0</v>
      </c>
      <c r="NF64" s="504">
        <v>0</v>
      </c>
      <c r="NG64" s="504">
        <v>0</v>
      </c>
      <c r="NH64" s="504">
        <v>0</v>
      </c>
      <c r="NI64" s="504">
        <v>0</v>
      </c>
      <c r="NJ64" s="504">
        <v>0</v>
      </c>
      <c r="NK64" s="504">
        <v>0</v>
      </c>
      <c r="NL64" s="504">
        <v>0</v>
      </c>
      <c r="NM64" s="504">
        <v>0</v>
      </c>
      <c r="NN64" s="504">
        <v>0</v>
      </c>
      <c r="NO64" s="504">
        <v>0</v>
      </c>
      <c r="NP64" s="504">
        <v>0</v>
      </c>
      <c r="NQ64" s="504">
        <v>0</v>
      </c>
      <c r="NR64" s="504">
        <v>0</v>
      </c>
      <c r="NS64" s="504">
        <v>0</v>
      </c>
      <c r="NT64" s="504">
        <v>0</v>
      </c>
      <c r="NU64" s="504">
        <v>0</v>
      </c>
      <c r="NV64" s="504">
        <v>0</v>
      </c>
      <c r="NW64" s="504">
        <v>0</v>
      </c>
      <c r="NX64" s="504">
        <v>0</v>
      </c>
      <c r="NY64" s="504">
        <v>0</v>
      </c>
      <c r="NZ64" s="504">
        <v>0</v>
      </c>
      <c r="OA64" s="504">
        <v>0</v>
      </c>
      <c r="OB64" s="504">
        <v>0</v>
      </c>
      <c r="OC64" s="504">
        <v>0</v>
      </c>
      <c r="OD64" s="504">
        <v>0</v>
      </c>
      <c r="OE64" s="504">
        <v>0</v>
      </c>
      <c r="OF64" s="504">
        <v>0</v>
      </c>
      <c r="OG64" s="504">
        <v>0</v>
      </c>
      <c r="OH64" s="504">
        <v>0</v>
      </c>
      <c r="OI64" s="504">
        <v>0</v>
      </c>
      <c r="OJ64" s="504">
        <v>0</v>
      </c>
      <c r="OK64" s="504">
        <v>0</v>
      </c>
      <c r="OL64" s="504">
        <v>0</v>
      </c>
      <c r="OM64" s="504">
        <v>0</v>
      </c>
      <c r="ON64" s="494"/>
    </row>
    <row r="65" spans="1:404" ht="18.75" customHeight="1" x14ac:dyDescent="0.4">
      <c r="A65" s="355" t="s">
        <v>341</v>
      </c>
      <c r="B65" s="358">
        <v>191</v>
      </c>
      <c r="C65" s="355" t="s">
        <v>60</v>
      </c>
      <c r="D65" s="501">
        <v>44.67</v>
      </c>
      <c r="E65" s="502">
        <v>24582</v>
      </c>
      <c r="F65" s="501">
        <v>44.65</v>
      </c>
      <c r="G65" s="502">
        <v>12342</v>
      </c>
      <c r="H65" s="501">
        <v>44.66</v>
      </c>
      <c r="I65" s="502">
        <v>32001</v>
      </c>
      <c r="J65" s="501">
        <v>44.66</v>
      </c>
      <c r="K65" s="502">
        <v>33622</v>
      </c>
      <c r="V65" s="501"/>
      <c r="W65" s="503"/>
      <c r="X65" s="501"/>
      <c r="Y65" s="503"/>
      <c r="Z65" s="501"/>
      <c r="AA65" s="503"/>
      <c r="AB65" s="495"/>
      <c r="AC65" s="504">
        <v>0</v>
      </c>
      <c r="AD65" s="504">
        <v>0</v>
      </c>
      <c r="AE65" s="504">
        <v>0</v>
      </c>
      <c r="AF65" s="504">
        <v>0</v>
      </c>
      <c r="AG65" s="504">
        <v>0</v>
      </c>
      <c r="AH65" s="504">
        <v>0</v>
      </c>
      <c r="AI65" s="504">
        <v>0</v>
      </c>
      <c r="AJ65" s="504">
        <v>0</v>
      </c>
      <c r="AK65" s="504">
        <v>0</v>
      </c>
      <c r="AL65" s="504">
        <v>0</v>
      </c>
      <c r="AM65" s="504">
        <v>0</v>
      </c>
      <c r="AN65" s="504">
        <v>0</v>
      </c>
      <c r="AO65" s="504">
        <v>0</v>
      </c>
      <c r="AP65" s="504">
        <v>0</v>
      </c>
      <c r="AQ65" s="504">
        <v>0</v>
      </c>
      <c r="AR65" s="504">
        <v>0</v>
      </c>
      <c r="AS65" s="504">
        <v>0</v>
      </c>
      <c r="AT65" s="504">
        <v>0</v>
      </c>
      <c r="AU65" s="504">
        <v>0</v>
      </c>
      <c r="AV65" s="504">
        <v>0</v>
      </c>
      <c r="AW65" s="504">
        <v>0</v>
      </c>
      <c r="AX65" s="504">
        <v>0</v>
      </c>
      <c r="AY65" s="504">
        <v>0</v>
      </c>
      <c r="AZ65" s="504">
        <v>0</v>
      </c>
      <c r="BA65" s="504">
        <v>0</v>
      </c>
      <c r="BB65" s="504">
        <v>0</v>
      </c>
      <c r="BC65" s="504">
        <v>0</v>
      </c>
      <c r="BD65" s="504">
        <v>0</v>
      </c>
      <c r="BE65" s="504">
        <v>0</v>
      </c>
      <c r="BF65" s="504">
        <v>0</v>
      </c>
      <c r="BG65" s="504">
        <v>0</v>
      </c>
      <c r="BH65" s="504">
        <v>0</v>
      </c>
      <c r="BI65" s="504">
        <v>0</v>
      </c>
      <c r="BJ65" s="504">
        <v>0</v>
      </c>
      <c r="BK65" s="504">
        <v>0</v>
      </c>
      <c r="BL65" s="504">
        <v>0</v>
      </c>
      <c r="BM65" s="504">
        <v>0</v>
      </c>
      <c r="BN65" s="504">
        <v>0</v>
      </c>
      <c r="BO65" s="504">
        <v>0</v>
      </c>
      <c r="BP65" s="504">
        <v>0</v>
      </c>
      <c r="BQ65" s="504">
        <v>0</v>
      </c>
      <c r="BR65" s="504">
        <v>0</v>
      </c>
      <c r="BS65" s="504">
        <v>0</v>
      </c>
      <c r="BT65" s="504">
        <v>0</v>
      </c>
      <c r="BU65" s="504">
        <v>0</v>
      </c>
      <c r="BV65" s="504">
        <v>0</v>
      </c>
      <c r="BW65" s="504">
        <v>0</v>
      </c>
      <c r="BX65" s="504">
        <v>0</v>
      </c>
      <c r="BY65" s="504">
        <v>0</v>
      </c>
      <c r="BZ65" s="504">
        <v>0</v>
      </c>
      <c r="CA65" s="504">
        <v>0</v>
      </c>
      <c r="CB65" s="504">
        <v>0</v>
      </c>
      <c r="CC65" s="504">
        <v>0</v>
      </c>
      <c r="CD65" s="504">
        <v>0</v>
      </c>
      <c r="CE65" s="504">
        <v>0</v>
      </c>
      <c r="CF65" s="504">
        <v>0</v>
      </c>
      <c r="CG65" s="504">
        <v>0</v>
      </c>
      <c r="CH65" s="504">
        <v>0</v>
      </c>
      <c r="CI65" s="504">
        <v>0</v>
      </c>
      <c r="CJ65" s="504">
        <v>0</v>
      </c>
      <c r="CK65" s="504">
        <v>0</v>
      </c>
      <c r="CL65" s="504">
        <v>0</v>
      </c>
      <c r="CM65" s="504">
        <v>0</v>
      </c>
      <c r="CN65" s="504">
        <v>0</v>
      </c>
      <c r="CO65" s="504">
        <v>0</v>
      </c>
      <c r="CP65" s="504">
        <v>0</v>
      </c>
      <c r="CQ65" s="504">
        <v>0</v>
      </c>
      <c r="CR65" s="504">
        <v>0</v>
      </c>
      <c r="CS65" s="504">
        <v>0</v>
      </c>
      <c r="CT65" s="504">
        <v>0</v>
      </c>
      <c r="CU65" s="504">
        <v>0</v>
      </c>
      <c r="CV65" s="504">
        <v>0</v>
      </c>
      <c r="CW65" s="504">
        <v>0</v>
      </c>
      <c r="CX65" s="504">
        <v>0</v>
      </c>
      <c r="CY65" s="504">
        <v>0</v>
      </c>
      <c r="CZ65" s="504">
        <v>0</v>
      </c>
      <c r="DA65" s="504">
        <v>0</v>
      </c>
      <c r="DB65" s="504">
        <v>0</v>
      </c>
      <c r="DC65" s="504">
        <v>0</v>
      </c>
      <c r="DD65" s="504">
        <v>0</v>
      </c>
      <c r="DE65" s="504">
        <v>0</v>
      </c>
      <c r="DF65" s="504">
        <v>0</v>
      </c>
      <c r="DG65" s="504">
        <v>0</v>
      </c>
      <c r="DH65" s="504">
        <v>0</v>
      </c>
      <c r="DI65" s="504">
        <v>0</v>
      </c>
      <c r="DJ65" s="504">
        <v>0</v>
      </c>
      <c r="DK65" s="504">
        <v>0</v>
      </c>
      <c r="DL65" s="504">
        <v>0</v>
      </c>
      <c r="DM65" s="504">
        <v>0</v>
      </c>
      <c r="DN65" s="504">
        <v>0</v>
      </c>
      <c r="DO65" s="504">
        <v>0</v>
      </c>
      <c r="DP65" s="504">
        <v>0</v>
      </c>
      <c r="DQ65" s="504">
        <v>0</v>
      </c>
      <c r="DR65" s="504">
        <v>0</v>
      </c>
      <c r="DS65" s="504">
        <v>0</v>
      </c>
      <c r="DT65" s="504">
        <v>0</v>
      </c>
      <c r="DU65" s="504">
        <v>0</v>
      </c>
      <c r="DV65" s="504">
        <v>0</v>
      </c>
      <c r="DW65" s="504">
        <v>0</v>
      </c>
      <c r="DX65" s="504">
        <v>0</v>
      </c>
      <c r="DY65" s="504">
        <v>0</v>
      </c>
      <c r="DZ65" s="504">
        <v>0</v>
      </c>
      <c r="EA65" s="504">
        <v>0</v>
      </c>
      <c r="EB65" s="504">
        <v>0</v>
      </c>
      <c r="EC65" s="504">
        <v>0</v>
      </c>
      <c r="ED65" s="504">
        <v>0</v>
      </c>
      <c r="EE65" s="504">
        <v>0</v>
      </c>
      <c r="EF65" s="504">
        <v>0</v>
      </c>
      <c r="EG65" s="504">
        <v>0</v>
      </c>
      <c r="EH65" s="504">
        <v>0</v>
      </c>
      <c r="EI65" s="504">
        <v>0</v>
      </c>
      <c r="EJ65" s="504">
        <v>0</v>
      </c>
      <c r="EK65" s="504">
        <v>0</v>
      </c>
      <c r="EL65" s="504">
        <v>0</v>
      </c>
      <c r="EM65" s="504">
        <v>0</v>
      </c>
      <c r="EN65" s="504">
        <v>0</v>
      </c>
      <c r="EO65" s="504">
        <v>0</v>
      </c>
      <c r="EP65" s="504">
        <v>0</v>
      </c>
      <c r="EQ65" s="504">
        <v>0</v>
      </c>
      <c r="ER65" s="504">
        <v>0</v>
      </c>
      <c r="ES65" s="504">
        <v>0</v>
      </c>
      <c r="ET65" s="504">
        <v>0</v>
      </c>
      <c r="EU65" s="504">
        <v>0</v>
      </c>
      <c r="EV65" s="504">
        <v>0</v>
      </c>
      <c r="EW65" s="504">
        <v>0</v>
      </c>
      <c r="EX65" s="504">
        <v>0</v>
      </c>
      <c r="EY65" s="504">
        <v>0</v>
      </c>
      <c r="EZ65" s="504">
        <v>0</v>
      </c>
      <c r="FA65" s="504">
        <v>0</v>
      </c>
      <c r="FB65" s="504">
        <v>0</v>
      </c>
      <c r="FC65" s="504">
        <v>0</v>
      </c>
      <c r="FD65" s="504">
        <v>0</v>
      </c>
      <c r="FE65" s="504">
        <v>0</v>
      </c>
      <c r="FF65" s="504">
        <v>0</v>
      </c>
      <c r="FG65" s="504">
        <v>0</v>
      </c>
      <c r="FH65" s="504">
        <v>0</v>
      </c>
      <c r="FI65" s="504">
        <v>0</v>
      </c>
      <c r="FJ65" s="504">
        <v>0</v>
      </c>
      <c r="FK65" s="504">
        <v>0</v>
      </c>
      <c r="FL65" s="504">
        <v>0</v>
      </c>
      <c r="FM65" s="504">
        <v>0</v>
      </c>
      <c r="FN65" s="504">
        <v>0</v>
      </c>
      <c r="FO65" s="504">
        <v>0</v>
      </c>
      <c r="FP65" s="504">
        <v>0</v>
      </c>
      <c r="FQ65" s="504">
        <v>0</v>
      </c>
      <c r="FR65" s="504">
        <v>0</v>
      </c>
      <c r="FS65" s="504">
        <v>0</v>
      </c>
      <c r="FT65" s="504">
        <v>0</v>
      </c>
      <c r="FU65" s="504">
        <v>0</v>
      </c>
      <c r="FV65" s="504">
        <v>0</v>
      </c>
      <c r="FW65" s="504">
        <v>0</v>
      </c>
      <c r="FX65" s="504">
        <v>0</v>
      </c>
      <c r="FY65" s="504">
        <v>0</v>
      </c>
      <c r="FZ65" s="504">
        <v>0</v>
      </c>
      <c r="GA65" s="504">
        <v>0</v>
      </c>
      <c r="GB65" s="504">
        <v>0</v>
      </c>
      <c r="GC65" s="504">
        <v>0</v>
      </c>
      <c r="GD65" s="504">
        <v>0</v>
      </c>
      <c r="GE65" s="504">
        <v>0</v>
      </c>
      <c r="GF65" s="504">
        <v>0</v>
      </c>
      <c r="GG65" s="504">
        <v>0</v>
      </c>
      <c r="GH65" s="504">
        <v>0</v>
      </c>
      <c r="GI65" s="504">
        <v>0</v>
      </c>
      <c r="GJ65" s="504">
        <v>0</v>
      </c>
      <c r="GK65" s="504">
        <v>0</v>
      </c>
      <c r="GL65" s="504">
        <v>0</v>
      </c>
      <c r="GM65" s="504">
        <v>0</v>
      </c>
      <c r="GN65" s="504">
        <v>0</v>
      </c>
      <c r="GO65" s="504">
        <v>0</v>
      </c>
      <c r="GP65" s="504">
        <v>0</v>
      </c>
      <c r="GQ65" s="504">
        <v>0</v>
      </c>
      <c r="GR65" s="504">
        <v>0</v>
      </c>
      <c r="GS65" s="504">
        <v>0</v>
      </c>
      <c r="GT65" s="504">
        <v>0</v>
      </c>
      <c r="GU65" s="504">
        <v>0</v>
      </c>
      <c r="GV65" s="504">
        <v>0</v>
      </c>
      <c r="GW65" s="504">
        <v>0</v>
      </c>
      <c r="GX65" s="504">
        <v>0</v>
      </c>
      <c r="GY65" s="504">
        <v>0</v>
      </c>
      <c r="GZ65" s="504">
        <v>0</v>
      </c>
      <c r="HA65" s="504">
        <v>0</v>
      </c>
      <c r="HB65" s="504">
        <v>0</v>
      </c>
      <c r="HC65" s="504">
        <v>0</v>
      </c>
      <c r="HD65" s="504">
        <v>0</v>
      </c>
      <c r="HE65" s="504">
        <v>0</v>
      </c>
      <c r="HF65" s="504">
        <v>0</v>
      </c>
      <c r="HG65" s="504">
        <v>0</v>
      </c>
      <c r="HH65" s="504">
        <v>0</v>
      </c>
      <c r="HI65" s="504">
        <v>0</v>
      </c>
      <c r="HJ65" s="504">
        <v>0</v>
      </c>
      <c r="HK65" s="504">
        <v>0</v>
      </c>
      <c r="HL65" s="504">
        <v>0</v>
      </c>
      <c r="HM65" s="504">
        <v>0</v>
      </c>
      <c r="HN65" s="504">
        <v>0</v>
      </c>
      <c r="HO65" s="504">
        <v>0</v>
      </c>
      <c r="HP65" s="504">
        <v>0</v>
      </c>
      <c r="HQ65" s="504">
        <v>0</v>
      </c>
      <c r="HR65" s="504">
        <v>0</v>
      </c>
      <c r="HS65" s="504">
        <v>0</v>
      </c>
      <c r="HT65" s="504">
        <v>0</v>
      </c>
      <c r="HU65" s="504">
        <v>0</v>
      </c>
      <c r="HV65" s="504">
        <v>0</v>
      </c>
      <c r="HW65" s="504">
        <v>0</v>
      </c>
      <c r="HX65" s="504">
        <v>0</v>
      </c>
      <c r="HY65" s="504">
        <v>0</v>
      </c>
      <c r="HZ65" s="504">
        <v>0</v>
      </c>
      <c r="IA65" s="504">
        <v>0</v>
      </c>
      <c r="IB65" s="504">
        <v>0</v>
      </c>
      <c r="IC65" s="504">
        <v>0</v>
      </c>
      <c r="ID65" s="504">
        <v>0</v>
      </c>
      <c r="IE65" s="504">
        <v>0</v>
      </c>
      <c r="IF65" s="504">
        <v>0</v>
      </c>
      <c r="IG65" s="504">
        <v>0</v>
      </c>
      <c r="IH65" s="504">
        <v>0</v>
      </c>
      <c r="II65" s="504">
        <v>0</v>
      </c>
      <c r="IJ65" s="504">
        <v>0</v>
      </c>
      <c r="IK65" s="504">
        <v>0</v>
      </c>
      <c r="IL65" s="504">
        <v>0</v>
      </c>
      <c r="IM65" s="504">
        <v>0</v>
      </c>
      <c r="IN65" s="504">
        <v>0</v>
      </c>
      <c r="IO65" s="504">
        <v>0</v>
      </c>
      <c r="IP65" s="504">
        <v>0</v>
      </c>
      <c r="IQ65" s="504">
        <v>0</v>
      </c>
      <c r="IR65" s="504">
        <v>0</v>
      </c>
      <c r="IS65" s="504">
        <v>0</v>
      </c>
      <c r="IT65" s="504">
        <v>0</v>
      </c>
      <c r="IU65" s="504">
        <v>0</v>
      </c>
      <c r="IV65" s="504">
        <v>0</v>
      </c>
      <c r="IW65" s="504">
        <v>0</v>
      </c>
      <c r="IX65" s="504">
        <v>0</v>
      </c>
      <c r="IY65" s="504">
        <v>0</v>
      </c>
      <c r="IZ65" s="504">
        <v>0</v>
      </c>
      <c r="JA65" s="504">
        <v>0</v>
      </c>
      <c r="JB65" s="504">
        <v>0</v>
      </c>
      <c r="JC65" s="504">
        <v>0</v>
      </c>
      <c r="JD65" s="504">
        <v>0</v>
      </c>
      <c r="JE65" s="504">
        <v>0</v>
      </c>
      <c r="JF65" s="504">
        <v>0</v>
      </c>
      <c r="JG65" s="504">
        <v>0</v>
      </c>
      <c r="JH65" s="504">
        <v>0</v>
      </c>
      <c r="JI65" s="504">
        <v>0</v>
      </c>
      <c r="JJ65" s="504">
        <v>0</v>
      </c>
      <c r="JK65" s="504">
        <v>0</v>
      </c>
      <c r="JL65" s="504">
        <v>0</v>
      </c>
      <c r="JM65" s="504">
        <v>0</v>
      </c>
      <c r="JN65" s="504">
        <v>0</v>
      </c>
      <c r="JO65" s="504">
        <v>0</v>
      </c>
      <c r="JP65" s="504">
        <v>0</v>
      </c>
      <c r="JQ65" s="504">
        <v>0</v>
      </c>
      <c r="JR65" s="504">
        <v>0</v>
      </c>
      <c r="JS65" s="504">
        <v>0</v>
      </c>
      <c r="JT65" s="504">
        <v>0</v>
      </c>
      <c r="JU65" s="504">
        <v>0</v>
      </c>
      <c r="JV65" s="504">
        <v>0</v>
      </c>
      <c r="JW65" s="504">
        <v>0</v>
      </c>
      <c r="JX65" s="504">
        <v>0</v>
      </c>
      <c r="JY65" s="504">
        <v>0</v>
      </c>
      <c r="JZ65" s="504">
        <v>0</v>
      </c>
      <c r="KA65" s="504">
        <v>0</v>
      </c>
      <c r="KB65" s="504">
        <v>0</v>
      </c>
      <c r="KC65" s="504">
        <v>0</v>
      </c>
      <c r="KD65" s="504">
        <v>0</v>
      </c>
      <c r="KE65" s="504">
        <v>0</v>
      </c>
      <c r="KF65" s="504">
        <v>0</v>
      </c>
      <c r="KG65" s="504">
        <v>0</v>
      </c>
      <c r="KH65" s="504">
        <v>0</v>
      </c>
      <c r="KI65" s="504">
        <v>0</v>
      </c>
      <c r="KJ65" s="504">
        <v>0</v>
      </c>
      <c r="KK65" s="504">
        <v>0</v>
      </c>
      <c r="KL65" s="504">
        <v>0</v>
      </c>
      <c r="KM65" s="504">
        <v>0</v>
      </c>
      <c r="KN65" s="504">
        <v>0</v>
      </c>
      <c r="KO65" s="504">
        <v>0</v>
      </c>
      <c r="KP65" s="504">
        <v>0</v>
      </c>
      <c r="KQ65" s="504">
        <v>0</v>
      </c>
      <c r="KR65" s="504">
        <v>0</v>
      </c>
      <c r="KS65" s="504">
        <v>0</v>
      </c>
      <c r="KT65" s="504">
        <v>0</v>
      </c>
      <c r="KU65" s="504">
        <v>0</v>
      </c>
      <c r="KV65" s="504">
        <v>0</v>
      </c>
      <c r="KW65" s="504">
        <v>0</v>
      </c>
      <c r="KX65" s="504">
        <v>0</v>
      </c>
      <c r="KY65" s="504">
        <v>0</v>
      </c>
      <c r="KZ65" s="504">
        <v>0</v>
      </c>
      <c r="LA65" s="504">
        <v>0</v>
      </c>
      <c r="LB65" s="504">
        <v>0</v>
      </c>
      <c r="LC65" s="504">
        <v>0</v>
      </c>
      <c r="LD65" s="504">
        <v>0</v>
      </c>
      <c r="LE65" s="504">
        <v>0</v>
      </c>
      <c r="LF65" s="504">
        <v>0</v>
      </c>
      <c r="LG65" s="504">
        <v>0</v>
      </c>
      <c r="LH65" s="504">
        <v>0</v>
      </c>
      <c r="LI65" s="504">
        <v>0</v>
      </c>
      <c r="LJ65" s="504">
        <v>0</v>
      </c>
      <c r="LK65" s="504">
        <v>0</v>
      </c>
      <c r="LL65" s="504">
        <v>0</v>
      </c>
      <c r="LM65" s="504">
        <v>0</v>
      </c>
      <c r="LN65" s="504">
        <v>0</v>
      </c>
      <c r="LO65" s="504">
        <v>0</v>
      </c>
      <c r="LP65" s="504">
        <v>0</v>
      </c>
      <c r="LQ65" s="504">
        <v>0</v>
      </c>
      <c r="LR65" s="504">
        <v>0</v>
      </c>
      <c r="LS65" s="504">
        <v>0</v>
      </c>
      <c r="LT65" s="504">
        <v>0</v>
      </c>
      <c r="LU65" s="504">
        <v>0</v>
      </c>
      <c r="LV65" s="504">
        <v>0</v>
      </c>
      <c r="LW65" s="504">
        <v>0</v>
      </c>
      <c r="LX65" s="504">
        <v>0</v>
      </c>
      <c r="LY65" s="504">
        <v>0</v>
      </c>
      <c r="LZ65" s="504">
        <v>0</v>
      </c>
      <c r="MA65" s="504">
        <v>0</v>
      </c>
      <c r="MB65" s="504">
        <v>0</v>
      </c>
      <c r="MC65" s="504">
        <v>0</v>
      </c>
      <c r="MD65" s="504">
        <v>0</v>
      </c>
      <c r="ME65" s="504">
        <v>0</v>
      </c>
      <c r="MF65" s="504">
        <v>0</v>
      </c>
      <c r="MG65" s="504">
        <v>0</v>
      </c>
      <c r="MH65" s="504">
        <v>0</v>
      </c>
      <c r="MI65" s="504">
        <v>0</v>
      </c>
      <c r="MJ65" s="504">
        <v>0</v>
      </c>
      <c r="MK65" s="504">
        <v>0</v>
      </c>
      <c r="ML65" s="504">
        <v>0</v>
      </c>
      <c r="MM65" s="504">
        <v>0</v>
      </c>
      <c r="MN65" s="504">
        <v>0</v>
      </c>
      <c r="MO65" s="504">
        <v>0</v>
      </c>
      <c r="MP65" s="504">
        <v>0</v>
      </c>
      <c r="MQ65" s="504">
        <v>0</v>
      </c>
      <c r="MR65" s="504">
        <v>0</v>
      </c>
      <c r="MS65" s="504">
        <v>0</v>
      </c>
      <c r="MT65" s="504">
        <v>0</v>
      </c>
      <c r="MU65" s="504">
        <v>0</v>
      </c>
      <c r="MV65" s="504">
        <v>0</v>
      </c>
      <c r="MW65" s="504">
        <v>0</v>
      </c>
      <c r="MX65" s="504">
        <v>0</v>
      </c>
      <c r="MY65" s="504">
        <v>0</v>
      </c>
      <c r="MZ65" s="504">
        <v>0</v>
      </c>
      <c r="NA65" s="504">
        <v>0</v>
      </c>
      <c r="NB65" s="504">
        <v>0</v>
      </c>
      <c r="NC65" s="504">
        <v>0</v>
      </c>
      <c r="ND65" s="504">
        <v>0</v>
      </c>
      <c r="NE65" s="504">
        <v>0</v>
      </c>
      <c r="NF65" s="504">
        <v>0</v>
      </c>
      <c r="NG65" s="504">
        <v>0</v>
      </c>
      <c r="NH65" s="504">
        <v>0</v>
      </c>
      <c r="NI65" s="504">
        <v>0</v>
      </c>
      <c r="NJ65" s="504">
        <v>0</v>
      </c>
      <c r="NK65" s="504">
        <v>0</v>
      </c>
      <c r="NL65" s="504">
        <v>0</v>
      </c>
      <c r="NM65" s="504">
        <v>0</v>
      </c>
      <c r="NN65" s="504">
        <v>0</v>
      </c>
      <c r="NO65" s="504">
        <v>0</v>
      </c>
      <c r="NP65" s="504">
        <v>0</v>
      </c>
      <c r="NQ65" s="504">
        <v>0</v>
      </c>
      <c r="NR65" s="504">
        <v>0</v>
      </c>
      <c r="NS65" s="504">
        <v>0</v>
      </c>
      <c r="NT65" s="504">
        <v>0</v>
      </c>
      <c r="NU65" s="504">
        <v>0</v>
      </c>
      <c r="NV65" s="504">
        <v>0</v>
      </c>
      <c r="NW65" s="504">
        <v>0</v>
      </c>
      <c r="NX65" s="504">
        <v>0</v>
      </c>
      <c r="NY65" s="504">
        <v>0</v>
      </c>
      <c r="NZ65" s="504">
        <v>0</v>
      </c>
      <c r="OA65" s="504">
        <v>0</v>
      </c>
      <c r="OB65" s="504">
        <v>0</v>
      </c>
      <c r="OC65" s="504">
        <v>0</v>
      </c>
      <c r="OD65" s="504">
        <v>0</v>
      </c>
      <c r="OE65" s="504">
        <v>0</v>
      </c>
      <c r="OF65" s="504">
        <v>0</v>
      </c>
      <c r="OG65" s="504">
        <v>0</v>
      </c>
      <c r="OH65" s="504">
        <v>0</v>
      </c>
      <c r="OI65" s="504">
        <v>0</v>
      </c>
      <c r="OJ65" s="504">
        <v>0</v>
      </c>
      <c r="OK65" s="504">
        <v>0</v>
      </c>
      <c r="OL65" s="504">
        <v>0</v>
      </c>
      <c r="OM65" s="504">
        <v>0</v>
      </c>
      <c r="ON65" s="494"/>
    </row>
    <row r="66" spans="1:404" ht="18.75" customHeight="1" x14ac:dyDescent="0.4">
      <c r="A66" s="355" t="s">
        <v>342</v>
      </c>
      <c r="B66" s="358">
        <v>231</v>
      </c>
      <c r="C66" s="355" t="s">
        <v>60</v>
      </c>
      <c r="D66" s="501">
        <v>45.14</v>
      </c>
      <c r="E66" s="502">
        <v>14931</v>
      </c>
      <c r="F66" s="501">
        <v>45.12</v>
      </c>
      <c r="H66" s="501">
        <v>45.13</v>
      </c>
      <c r="J66" s="501">
        <v>45.13</v>
      </c>
      <c r="V66" s="501"/>
      <c r="W66" s="503"/>
      <c r="X66" s="501"/>
      <c r="Y66" s="503"/>
      <c r="Z66" s="501"/>
      <c r="AA66" s="503"/>
      <c r="AB66" s="495"/>
      <c r="AC66" s="504">
        <v>0</v>
      </c>
      <c r="AD66" s="504">
        <v>0</v>
      </c>
      <c r="AE66" s="504">
        <v>0</v>
      </c>
      <c r="AF66" s="504">
        <v>0</v>
      </c>
      <c r="AG66" s="504">
        <v>0</v>
      </c>
      <c r="AH66" s="504">
        <v>0</v>
      </c>
      <c r="AI66" s="504">
        <v>0</v>
      </c>
      <c r="AJ66" s="504">
        <v>0</v>
      </c>
      <c r="AK66" s="504">
        <v>0</v>
      </c>
      <c r="AL66" s="504">
        <v>0</v>
      </c>
      <c r="AM66" s="504">
        <v>0</v>
      </c>
      <c r="AN66" s="504">
        <v>0</v>
      </c>
      <c r="AO66" s="504">
        <v>0</v>
      </c>
      <c r="AP66" s="504">
        <v>0</v>
      </c>
      <c r="AQ66" s="504">
        <v>0</v>
      </c>
      <c r="AR66" s="504">
        <v>0</v>
      </c>
      <c r="AS66" s="504">
        <v>0</v>
      </c>
      <c r="AT66" s="504">
        <v>0</v>
      </c>
      <c r="AU66" s="504">
        <v>0</v>
      </c>
      <c r="AV66" s="504">
        <v>0</v>
      </c>
      <c r="AW66" s="504">
        <v>0</v>
      </c>
      <c r="AX66" s="504">
        <v>0</v>
      </c>
      <c r="AY66" s="504">
        <v>0</v>
      </c>
      <c r="AZ66" s="504">
        <v>0</v>
      </c>
      <c r="BA66" s="504">
        <v>0</v>
      </c>
      <c r="BB66" s="504">
        <v>0</v>
      </c>
      <c r="BC66" s="504">
        <v>0</v>
      </c>
      <c r="BD66" s="504">
        <v>0</v>
      </c>
      <c r="BE66" s="504">
        <v>0</v>
      </c>
      <c r="BF66" s="504">
        <v>0</v>
      </c>
      <c r="BG66" s="504">
        <v>0</v>
      </c>
      <c r="BH66" s="504">
        <v>0</v>
      </c>
      <c r="BI66" s="504">
        <v>0</v>
      </c>
      <c r="BJ66" s="504">
        <v>0</v>
      </c>
      <c r="BK66" s="504">
        <v>0</v>
      </c>
      <c r="BL66" s="504">
        <v>0</v>
      </c>
      <c r="BM66" s="504">
        <v>0</v>
      </c>
      <c r="BN66" s="504">
        <v>0</v>
      </c>
      <c r="BO66" s="504">
        <v>0</v>
      </c>
      <c r="BP66" s="504">
        <v>0</v>
      </c>
      <c r="BQ66" s="504">
        <v>0</v>
      </c>
      <c r="BR66" s="504">
        <v>0</v>
      </c>
      <c r="BS66" s="504">
        <v>0</v>
      </c>
      <c r="BT66" s="504">
        <v>0</v>
      </c>
      <c r="BU66" s="504">
        <v>0</v>
      </c>
      <c r="BV66" s="504">
        <v>0</v>
      </c>
      <c r="BW66" s="504">
        <v>0</v>
      </c>
      <c r="BX66" s="504">
        <v>0</v>
      </c>
      <c r="BY66" s="504">
        <v>0</v>
      </c>
      <c r="BZ66" s="504">
        <v>0</v>
      </c>
      <c r="CA66" s="504">
        <v>0</v>
      </c>
      <c r="CB66" s="504">
        <v>0</v>
      </c>
      <c r="CC66" s="504">
        <v>0</v>
      </c>
      <c r="CD66" s="504">
        <v>0</v>
      </c>
      <c r="CE66" s="504">
        <v>0</v>
      </c>
      <c r="CF66" s="504">
        <v>0</v>
      </c>
      <c r="CG66" s="504">
        <v>0</v>
      </c>
      <c r="CH66" s="504">
        <v>0</v>
      </c>
      <c r="CI66" s="504">
        <v>0</v>
      </c>
      <c r="CJ66" s="504">
        <v>0</v>
      </c>
      <c r="CK66" s="504">
        <v>0</v>
      </c>
      <c r="CL66" s="504">
        <v>0</v>
      </c>
      <c r="CM66" s="504">
        <v>0</v>
      </c>
      <c r="CN66" s="504">
        <v>0</v>
      </c>
      <c r="CO66" s="504">
        <v>0</v>
      </c>
      <c r="CP66" s="504">
        <v>0</v>
      </c>
      <c r="CQ66" s="504">
        <v>0</v>
      </c>
      <c r="CR66" s="504">
        <v>0</v>
      </c>
      <c r="CS66" s="504">
        <v>0</v>
      </c>
      <c r="CT66" s="504">
        <v>0</v>
      </c>
      <c r="CU66" s="504">
        <v>0</v>
      </c>
      <c r="CV66" s="504">
        <v>0</v>
      </c>
      <c r="CW66" s="504">
        <v>0</v>
      </c>
      <c r="CX66" s="504">
        <v>0</v>
      </c>
      <c r="CY66" s="504">
        <v>0</v>
      </c>
      <c r="CZ66" s="504">
        <v>0</v>
      </c>
      <c r="DA66" s="504">
        <v>0</v>
      </c>
      <c r="DB66" s="504">
        <v>0</v>
      </c>
      <c r="DC66" s="504">
        <v>0</v>
      </c>
      <c r="DD66" s="504">
        <v>0</v>
      </c>
      <c r="DE66" s="504">
        <v>0</v>
      </c>
      <c r="DF66" s="504">
        <v>0</v>
      </c>
      <c r="DG66" s="504">
        <v>0</v>
      </c>
      <c r="DH66" s="504">
        <v>0</v>
      </c>
      <c r="DI66" s="504">
        <v>0</v>
      </c>
      <c r="DJ66" s="504">
        <v>0</v>
      </c>
      <c r="DK66" s="504">
        <v>0</v>
      </c>
      <c r="DL66" s="504">
        <v>0</v>
      </c>
      <c r="DM66" s="504">
        <v>0</v>
      </c>
      <c r="DN66" s="504">
        <v>0</v>
      </c>
      <c r="DO66" s="504">
        <v>0</v>
      </c>
      <c r="DP66" s="504">
        <v>0</v>
      </c>
      <c r="DQ66" s="504">
        <v>0</v>
      </c>
      <c r="DR66" s="504">
        <v>0</v>
      </c>
      <c r="DS66" s="504">
        <v>0</v>
      </c>
      <c r="DT66" s="504">
        <v>0</v>
      </c>
      <c r="DU66" s="504">
        <v>0</v>
      </c>
      <c r="DV66" s="504">
        <v>0</v>
      </c>
      <c r="DW66" s="504">
        <v>0</v>
      </c>
      <c r="DX66" s="504">
        <v>0</v>
      </c>
      <c r="DY66" s="504">
        <v>0</v>
      </c>
      <c r="DZ66" s="504">
        <v>0</v>
      </c>
      <c r="EA66" s="504">
        <v>0</v>
      </c>
      <c r="EB66" s="504">
        <v>0</v>
      </c>
      <c r="EC66" s="504">
        <v>0</v>
      </c>
      <c r="ED66" s="504">
        <v>0</v>
      </c>
      <c r="EE66" s="504">
        <v>0</v>
      </c>
      <c r="EF66" s="504">
        <v>0</v>
      </c>
      <c r="EG66" s="504">
        <v>0</v>
      </c>
      <c r="EH66" s="504">
        <v>0</v>
      </c>
      <c r="EI66" s="504">
        <v>0</v>
      </c>
      <c r="EJ66" s="504">
        <v>0</v>
      </c>
      <c r="EK66" s="504">
        <v>0</v>
      </c>
      <c r="EL66" s="504">
        <v>0</v>
      </c>
      <c r="EM66" s="504">
        <v>0</v>
      </c>
      <c r="EN66" s="504">
        <v>0</v>
      </c>
      <c r="EO66" s="504">
        <v>0</v>
      </c>
      <c r="EP66" s="504">
        <v>0</v>
      </c>
      <c r="EQ66" s="504">
        <v>0</v>
      </c>
      <c r="ER66" s="504">
        <v>0</v>
      </c>
      <c r="ES66" s="504">
        <v>0</v>
      </c>
      <c r="ET66" s="504">
        <v>0</v>
      </c>
      <c r="EU66" s="504">
        <v>0</v>
      </c>
      <c r="EV66" s="504">
        <v>0</v>
      </c>
      <c r="EW66" s="504">
        <v>0</v>
      </c>
      <c r="EX66" s="504">
        <v>0</v>
      </c>
      <c r="EY66" s="504">
        <v>0</v>
      </c>
      <c r="EZ66" s="504">
        <v>0</v>
      </c>
      <c r="FA66" s="504">
        <v>0</v>
      </c>
      <c r="FB66" s="504">
        <v>0</v>
      </c>
      <c r="FC66" s="504">
        <v>0</v>
      </c>
      <c r="FD66" s="504">
        <v>0</v>
      </c>
      <c r="FE66" s="504">
        <v>0</v>
      </c>
      <c r="FF66" s="504">
        <v>0</v>
      </c>
      <c r="FG66" s="504">
        <v>0</v>
      </c>
      <c r="FH66" s="504">
        <v>0</v>
      </c>
      <c r="FI66" s="504">
        <v>0</v>
      </c>
      <c r="FJ66" s="504">
        <v>0</v>
      </c>
      <c r="FK66" s="504">
        <v>0</v>
      </c>
      <c r="FL66" s="504">
        <v>0</v>
      </c>
      <c r="FM66" s="504">
        <v>0</v>
      </c>
      <c r="FN66" s="504">
        <v>0</v>
      </c>
      <c r="FO66" s="504">
        <v>0</v>
      </c>
      <c r="FP66" s="504">
        <v>0</v>
      </c>
      <c r="FQ66" s="504">
        <v>0</v>
      </c>
      <c r="FR66" s="504">
        <v>0</v>
      </c>
      <c r="FS66" s="504">
        <v>0</v>
      </c>
      <c r="FT66" s="504">
        <v>0</v>
      </c>
      <c r="FU66" s="504">
        <v>0</v>
      </c>
      <c r="FV66" s="504">
        <v>0</v>
      </c>
      <c r="FW66" s="504">
        <v>0</v>
      </c>
      <c r="FX66" s="504">
        <v>0</v>
      </c>
      <c r="FY66" s="504">
        <v>0</v>
      </c>
      <c r="FZ66" s="504">
        <v>0</v>
      </c>
      <c r="GA66" s="504">
        <v>0</v>
      </c>
      <c r="GB66" s="504">
        <v>0</v>
      </c>
      <c r="GC66" s="504">
        <v>0</v>
      </c>
      <c r="GD66" s="504">
        <v>0</v>
      </c>
      <c r="GE66" s="504">
        <v>0</v>
      </c>
      <c r="GF66" s="504">
        <v>0</v>
      </c>
      <c r="GG66" s="504">
        <v>0</v>
      </c>
      <c r="GH66" s="504">
        <v>0</v>
      </c>
      <c r="GI66" s="504">
        <v>0</v>
      </c>
      <c r="GJ66" s="504">
        <v>0</v>
      </c>
      <c r="GK66" s="504">
        <v>0</v>
      </c>
      <c r="GL66" s="504">
        <v>0</v>
      </c>
      <c r="GM66" s="504">
        <v>0</v>
      </c>
      <c r="GN66" s="504">
        <v>0</v>
      </c>
      <c r="GO66" s="504">
        <v>0</v>
      </c>
      <c r="GP66" s="504">
        <v>0</v>
      </c>
      <c r="GQ66" s="504">
        <v>0</v>
      </c>
      <c r="GR66" s="504">
        <v>0</v>
      </c>
      <c r="GS66" s="504">
        <v>0</v>
      </c>
      <c r="GT66" s="504">
        <v>0</v>
      </c>
      <c r="GU66" s="504">
        <v>0</v>
      </c>
      <c r="GV66" s="504">
        <v>0</v>
      </c>
      <c r="GW66" s="504">
        <v>0</v>
      </c>
      <c r="GX66" s="504">
        <v>0</v>
      </c>
      <c r="GY66" s="504">
        <v>0</v>
      </c>
      <c r="GZ66" s="504">
        <v>0</v>
      </c>
      <c r="HA66" s="504">
        <v>0</v>
      </c>
      <c r="HB66" s="504">
        <v>0</v>
      </c>
      <c r="HC66" s="504">
        <v>0</v>
      </c>
      <c r="HD66" s="504">
        <v>0</v>
      </c>
      <c r="HE66" s="504">
        <v>0</v>
      </c>
      <c r="HF66" s="504">
        <v>0</v>
      </c>
      <c r="HG66" s="504">
        <v>0</v>
      </c>
      <c r="HH66" s="504">
        <v>0</v>
      </c>
      <c r="HI66" s="504">
        <v>0</v>
      </c>
      <c r="HJ66" s="504">
        <v>0</v>
      </c>
      <c r="HK66" s="504">
        <v>0</v>
      </c>
      <c r="HL66" s="504">
        <v>0</v>
      </c>
      <c r="HM66" s="504">
        <v>0</v>
      </c>
      <c r="HN66" s="504">
        <v>0</v>
      </c>
      <c r="HO66" s="504">
        <v>0</v>
      </c>
      <c r="HP66" s="504">
        <v>0</v>
      </c>
      <c r="HQ66" s="504">
        <v>0</v>
      </c>
      <c r="HR66" s="504">
        <v>0</v>
      </c>
      <c r="HS66" s="504">
        <v>0</v>
      </c>
      <c r="HT66" s="504">
        <v>0</v>
      </c>
      <c r="HU66" s="504">
        <v>0</v>
      </c>
      <c r="HV66" s="504">
        <v>0</v>
      </c>
      <c r="HW66" s="504">
        <v>0</v>
      </c>
      <c r="HX66" s="504">
        <v>0</v>
      </c>
      <c r="HY66" s="504">
        <v>0</v>
      </c>
      <c r="HZ66" s="504">
        <v>0</v>
      </c>
      <c r="IA66" s="504">
        <v>0</v>
      </c>
      <c r="IB66" s="504">
        <v>0</v>
      </c>
      <c r="IC66" s="504">
        <v>0</v>
      </c>
      <c r="ID66" s="504">
        <v>0</v>
      </c>
      <c r="IE66" s="504">
        <v>0</v>
      </c>
      <c r="IF66" s="504">
        <v>0</v>
      </c>
      <c r="IG66" s="504">
        <v>0</v>
      </c>
      <c r="IH66" s="504">
        <v>0</v>
      </c>
      <c r="II66" s="504">
        <v>0</v>
      </c>
      <c r="IJ66" s="504">
        <v>0</v>
      </c>
      <c r="IK66" s="504">
        <v>0</v>
      </c>
      <c r="IL66" s="504">
        <v>0</v>
      </c>
      <c r="IM66" s="504">
        <v>0</v>
      </c>
      <c r="IN66" s="504">
        <v>0</v>
      </c>
      <c r="IO66" s="504">
        <v>0</v>
      </c>
      <c r="IP66" s="504">
        <v>0</v>
      </c>
      <c r="IQ66" s="504">
        <v>0</v>
      </c>
      <c r="IR66" s="504">
        <v>0</v>
      </c>
      <c r="IS66" s="504">
        <v>0</v>
      </c>
      <c r="IT66" s="504">
        <v>0</v>
      </c>
      <c r="IU66" s="504">
        <v>0</v>
      </c>
      <c r="IV66" s="504">
        <v>0</v>
      </c>
      <c r="IW66" s="504">
        <v>0</v>
      </c>
      <c r="IX66" s="504">
        <v>0</v>
      </c>
      <c r="IY66" s="504">
        <v>0</v>
      </c>
      <c r="IZ66" s="504">
        <v>0</v>
      </c>
      <c r="JA66" s="504">
        <v>0</v>
      </c>
      <c r="JB66" s="504">
        <v>0</v>
      </c>
      <c r="JC66" s="504">
        <v>0</v>
      </c>
      <c r="JD66" s="504">
        <v>0</v>
      </c>
      <c r="JE66" s="504">
        <v>0</v>
      </c>
      <c r="JF66" s="504">
        <v>0</v>
      </c>
      <c r="JG66" s="504">
        <v>0</v>
      </c>
      <c r="JH66" s="504">
        <v>0</v>
      </c>
      <c r="JI66" s="504">
        <v>0</v>
      </c>
      <c r="JJ66" s="504">
        <v>0</v>
      </c>
      <c r="JK66" s="504">
        <v>0</v>
      </c>
      <c r="JL66" s="504">
        <v>0</v>
      </c>
      <c r="JM66" s="504">
        <v>0</v>
      </c>
      <c r="JN66" s="504">
        <v>0</v>
      </c>
      <c r="JO66" s="504">
        <v>0</v>
      </c>
      <c r="JP66" s="504">
        <v>0</v>
      </c>
      <c r="JQ66" s="504">
        <v>0</v>
      </c>
      <c r="JR66" s="504">
        <v>0</v>
      </c>
      <c r="JS66" s="504">
        <v>0</v>
      </c>
      <c r="JT66" s="504">
        <v>0</v>
      </c>
      <c r="JU66" s="504">
        <v>0</v>
      </c>
      <c r="JV66" s="504">
        <v>0</v>
      </c>
      <c r="JW66" s="504">
        <v>0</v>
      </c>
      <c r="JX66" s="504">
        <v>0</v>
      </c>
      <c r="JY66" s="504">
        <v>0</v>
      </c>
      <c r="JZ66" s="504">
        <v>0</v>
      </c>
      <c r="KA66" s="504">
        <v>0</v>
      </c>
      <c r="KB66" s="504">
        <v>0</v>
      </c>
      <c r="KC66" s="504">
        <v>0</v>
      </c>
      <c r="KD66" s="504">
        <v>0</v>
      </c>
      <c r="KE66" s="504">
        <v>0</v>
      </c>
      <c r="KF66" s="504">
        <v>0</v>
      </c>
      <c r="KG66" s="504">
        <v>0</v>
      </c>
      <c r="KH66" s="504">
        <v>0</v>
      </c>
      <c r="KI66" s="504">
        <v>0</v>
      </c>
      <c r="KJ66" s="504">
        <v>0</v>
      </c>
      <c r="KK66" s="504">
        <v>0</v>
      </c>
      <c r="KL66" s="504">
        <v>0</v>
      </c>
      <c r="KM66" s="504">
        <v>0</v>
      </c>
      <c r="KN66" s="504">
        <v>0</v>
      </c>
      <c r="KO66" s="504">
        <v>0</v>
      </c>
      <c r="KP66" s="504">
        <v>0</v>
      </c>
      <c r="KQ66" s="504">
        <v>0</v>
      </c>
      <c r="KR66" s="504">
        <v>0</v>
      </c>
      <c r="KS66" s="504">
        <v>0</v>
      </c>
      <c r="KT66" s="504">
        <v>0</v>
      </c>
      <c r="KU66" s="504">
        <v>0</v>
      </c>
      <c r="KV66" s="504">
        <v>0</v>
      </c>
      <c r="KW66" s="504">
        <v>0</v>
      </c>
      <c r="KX66" s="504">
        <v>0</v>
      </c>
      <c r="KY66" s="504">
        <v>0</v>
      </c>
      <c r="KZ66" s="504">
        <v>0</v>
      </c>
      <c r="LA66" s="504">
        <v>0</v>
      </c>
      <c r="LB66" s="504">
        <v>0</v>
      </c>
      <c r="LC66" s="504">
        <v>0</v>
      </c>
      <c r="LD66" s="504">
        <v>0</v>
      </c>
      <c r="LE66" s="504">
        <v>0</v>
      </c>
      <c r="LF66" s="504">
        <v>0</v>
      </c>
      <c r="LG66" s="504">
        <v>0</v>
      </c>
      <c r="LH66" s="504">
        <v>0</v>
      </c>
      <c r="LI66" s="504">
        <v>0</v>
      </c>
      <c r="LJ66" s="504">
        <v>0</v>
      </c>
      <c r="LK66" s="504">
        <v>0</v>
      </c>
      <c r="LL66" s="504">
        <v>0</v>
      </c>
      <c r="LM66" s="504">
        <v>0</v>
      </c>
      <c r="LN66" s="504">
        <v>0</v>
      </c>
      <c r="LO66" s="504">
        <v>0</v>
      </c>
      <c r="LP66" s="504">
        <v>0</v>
      </c>
      <c r="LQ66" s="504">
        <v>0</v>
      </c>
      <c r="LR66" s="504">
        <v>0</v>
      </c>
      <c r="LS66" s="504">
        <v>0</v>
      </c>
      <c r="LT66" s="504">
        <v>0</v>
      </c>
      <c r="LU66" s="504">
        <v>0</v>
      </c>
      <c r="LV66" s="504">
        <v>0</v>
      </c>
      <c r="LW66" s="504">
        <v>0</v>
      </c>
      <c r="LX66" s="504">
        <v>0</v>
      </c>
      <c r="LY66" s="504">
        <v>0</v>
      </c>
      <c r="LZ66" s="504">
        <v>0</v>
      </c>
      <c r="MA66" s="504">
        <v>0</v>
      </c>
      <c r="MB66" s="504">
        <v>0</v>
      </c>
      <c r="MC66" s="504">
        <v>0</v>
      </c>
      <c r="MD66" s="504">
        <v>0</v>
      </c>
      <c r="ME66" s="504">
        <v>0</v>
      </c>
      <c r="MF66" s="504">
        <v>0</v>
      </c>
      <c r="MG66" s="504">
        <v>0</v>
      </c>
      <c r="MH66" s="504">
        <v>0</v>
      </c>
      <c r="MI66" s="504">
        <v>0</v>
      </c>
      <c r="MJ66" s="504">
        <v>0</v>
      </c>
      <c r="MK66" s="504">
        <v>0</v>
      </c>
      <c r="ML66" s="504">
        <v>0</v>
      </c>
      <c r="MM66" s="504">
        <v>0</v>
      </c>
      <c r="MN66" s="504">
        <v>0</v>
      </c>
      <c r="MO66" s="504">
        <v>0</v>
      </c>
      <c r="MP66" s="504">
        <v>0</v>
      </c>
      <c r="MQ66" s="504">
        <v>0</v>
      </c>
      <c r="MR66" s="504">
        <v>0</v>
      </c>
      <c r="MS66" s="504">
        <v>0</v>
      </c>
      <c r="MT66" s="504">
        <v>0</v>
      </c>
      <c r="MU66" s="504">
        <v>0</v>
      </c>
      <c r="MV66" s="504">
        <v>0</v>
      </c>
      <c r="MW66" s="504">
        <v>0</v>
      </c>
      <c r="MX66" s="504">
        <v>0</v>
      </c>
      <c r="MY66" s="504">
        <v>0</v>
      </c>
      <c r="MZ66" s="504">
        <v>0</v>
      </c>
      <c r="NA66" s="504">
        <v>0</v>
      </c>
      <c r="NB66" s="504">
        <v>0</v>
      </c>
      <c r="NC66" s="504">
        <v>0</v>
      </c>
      <c r="ND66" s="504">
        <v>0</v>
      </c>
      <c r="NE66" s="504">
        <v>0</v>
      </c>
      <c r="NF66" s="504">
        <v>0</v>
      </c>
      <c r="NG66" s="504">
        <v>0</v>
      </c>
      <c r="NH66" s="504">
        <v>0</v>
      </c>
      <c r="NI66" s="504">
        <v>0</v>
      </c>
      <c r="NJ66" s="504">
        <v>0</v>
      </c>
      <c r="NK66" s="504">
        <v>0</v>
      </c>
      <c r="NL66" s="504">
        <v>0</v>
      </c>
      <c r="NM66" s="504">
        <v>0</v>
      </c>
      <c r="NN66" s="504">
        <v>0</v>
      </c>
      <c r="NO66" s="504">
        <v>0</v>
      </c>
      <c r="NP66" s="504">
        <v>0</v>
      </c>
      <c r="NQ66" s="504">
        <v>0</v>
      </c>
      <c r="NR66" s="504">
        <v>0</v>
      </c>
      <c r="NS66" s="504">
        <v>0</v>
      </c>
      <c r="NT66" s="504">
        <v>0</v>
      </c>
      <c r="NU66" s="504">
        <v>0</v>
      </c>
      <c r="NV66" s="504">
        <v>0</v>
      </c>
      <c r="NW66" s="504">
        <v>0</v>
      </c>
      <c r="NX66" s="504">
        <v>0</v>
      </c>
      <c r="NY66" s="504">
        <v>0</v>
      </c>
      <c r="NZ66" s="504">
        <v>0</v>
      </c>
      <c r="OA66" s="504">
        <v>0</v>
      </c>
      <c r="OB66" s="504">
        <v>0</v>
      </c>
      <c r="OC66" s="504">
        <v>0</v>
      </c>
      <c r="OD66" s="504">
        <v>0</v>
      </c>
      <c r="OE66" s="504">
        <v>0</v>
      </c>
      <c r="OF66" s="504">
        <v>0</v>
      </c>
      <c r="OG66" s="504">
        <v>0</v>
      </c>
      <c r="OH66" s="504">
        <v>0</v>
      </c>
      <c r="OI66" s="504">
        <v>0</v>
      </c>
      <c r="OJ66" s="504">
        <v>0</v>
      </c>
      <c r="OK66" s="504">
        <v>0</v>
      </c>
      <c r="OL66" s="504">
        <v>0</v>
      </c>
      <c r="OM66" s="504">
        <v>0</v>
      </c>
      <c r="ON66" s="494"/>
    </row>
    <row r="67" spans="1:404" ht="18.75" customHeight="1" x14ac:dyDescent="0.4">
      <c r="A67" s="355" t="s">
        <v>343</v>
      </c>
      <c r="B67" s="358">
        <v>191</v>
      </c>
      <c r="C67" s="355" t="s">
        <v>60</v>
      </c>
      <c r="D67" s="501">
        <v>45.15</v>
      </c>
      <c r="E67" s="502">
        <v>31738</v>
      </c>
      <c r="F67" s="501">
        <v>45.14</v>
      </c>
      <c r="G67" s="502">
        <v>9245</v>
      </c>
      <c r="H67" s="501">
        <v>45.14</v>
      </c>
      <c r="I67" s="502">
        <v>24025</v>
      </c>
      <c r="J67" s="501">
        <v>45.14</v>
      </c>
      <c r="K67" s="502">
        <v>27059</v>
      </c>
      <c r="V67" s="505"/>
      <c r="W67" s="503"/>
      <c r="X67" s="501"/>
      <c r="Y67" s="503"/>
      <c r="Z67" s="501"/>
      <c r="AA67" s="503"/>
      <c r="AB67" s="495"/>
      <c r="AC67" s="504">
        <v>0</v>
      </c>
      <c r="AD67" s="504">
        <v>0</v>
      </c>
      <c r="AE67" s="504">
        <v>0</v>
      </c>
      <c r="AF67" s="504">
        <v>0</v>
      </c>
      <c r="AG67" s="504">
        <v>0</v>
      </c>
      <c r="AH67" s="504">
        <v>0</v>
      </c>
      <c r="AI67" s="504">
        <v>0</v>
      </c>
      <c r="AJ67" s="504">
        <v>0</v>
      </c>
      <c r="AK67" s="504">
        <v>0</v>
      </c>
      <c r="AL67" s="504">
        <v>0</v>
      </c>
      <c r="AM67" s="504">
        <v>0</v>
      </c>
      <c r="AN67" s="504">
        <v>0</v>
      </c>
      <c r="AO67" s="504">
        <v>0</v>
      </c>
      <c r="AP67" s="504">
        <v>0</v>
      </c>
      <c r="AQ67" s="504">
        <v>0</v>
      </c>
      <c r="AR67" s="504">
        <v>0</v>
      </c>
      <c r="AS67" s="504">
        <v>0</v>
      </c>
      <c r="AT67" s="504">
        <v>0</v>
      </c>
      <c r="AU67" s="504">
        <v>0</v>
      </c>
      <c r="AV67" s="504">
        <v>0</v>
      </c>
      <c r="AW67" s="504">
        <v>0</v>
      </c>
      <c r="AX67" s="504">
        <v>0</v>
      </c>
      <c r="AY67" s="504">
        <v>0</v>
      </c>
      <c r="AZ67" s="504">
        <v>0</v>
      </c>
      <c r="BA67" s="504">
        <v>0</v>
      </c>
      <c r="BB67" s="504">
        <v>0</v>
      </c>
      <c r="BC67" s="504">
        <v>0</v>
      </c>
      <c r="BD67" s="504">
        <v>0</v>
      </c>
      <c r="BE67" s="504">
        <v>0</v>
      </c>
      <c r="BF67" s="504">
        <v>0</v>
      </c>
      <c r="BG67" s="504">
        <v>0</v>
      </c>
      <c r="BH67" s="504">
        <v>0</v>
      </c>
      <c r="BI67" s="504">
        <v>0</v>
      </c>
      <c r="BJ67" s="504">
        <v>0</v>
      </c>
      <c r="BK67" s="504">
        <v>0</v>
      </c>
      <c r="BL67" s="504">
        <v>0</v>
      </c>
      <c r="BM67" s="504">
        <v>0</v>
      </c>
      <c r="BN67" s="504">
        <v>0</v>
      </c>
      <c r="BO67" s="504">
        <v>0</v>
      </c>
      <c r="BP67" s="504">
        <v>0</v>
      </c>
      <c r="BQ67" s="504">
        <v>0</v>
      </c>
      <c r="BR67" s="504">
        <v>0</v>
      </c>
      <c r="BS67" s="504">
        <v>0</v>
      </c>
      <c r="BT67" s="504">
        <v>0</v>
      </c>
      <c r="BU67" s="504">
        <v>0</v>
      </c>
      <c r="BV67" s="504">
        <v>0</v>
      </c>
      <c r="BW67" s="504">
        <v>0</v>
      </c>
      <c r="BX67" s="504">
        <v>0</v>
      </c>
      <c r="BY67" s="504">
        <v>0</v>
      </c>
      <c r="BZ67" s="504">
        <v>0</v>
      </c>
      <c r="CA67" s="504">
        <v>0</v>
      </c>
      <c r="CB67" s="504">
        <v>0</v>
      </c>
      <c r="CC67" s="504">
        <v>0</v>
      </c>
      <c r="CD67" s="504">
        <v>0</v>
      </c>
      <c r="CE67" s="504">
        <v>0</v>
      </c>
      <c r="CF67" s="504">
        <v>0</v>
      </c>
      <c r="CG67" s="504">
        <v>0</v>
      </c>
      <c r="CH67" s="504">
        <v>0</v>
      </c>
      <c r="CI67" s="504">
        <v>0</v>
      </c>
      <c r="CJ67" s="504">
        <v>0</v>
      </c>
      <c r="CK67" s="504">
        <v>0</v>
      </c>
      <c r="CL67" s="504">
        <v>0</v>
      </c>
      <c r="CM67" s="504">
        <v>0</v>
      </c>
      <c r="CN67" s="504">
        <v>0</v>
      </c>
      <c r="CO67" s="504">
        <v>0</v>
      </c>
      <c r="CP67" s="504">
        <v>0</v>
      </c>
      <c r="CQ67" s="504">
        <v>0</v>
      </c>
      <c r="CR67" s="504">
        <v>0</v>
      </c>
      <c r="CS67" s="504">
        <v>0</v>
      </c>
      <c r="CT67" s="504">
        <v>0</v>
      </c>
      <c r="CU67" s="504">
        <v>0</v>
      </c>
      <c r="CV67" s="504">
        <v>0</v>
      </c>
      <c r="CW67" s="504">
        <v>0</v>
      </c>
      <c r="CX67" s="504">
        <v>0</v>
      </c>
      <c r="CY67" s="504">
        <v>0</v>
      </c>
      <c r="CZ67" s="504">
        <v>0</v>
      </c>
      <c r="DA67" s="504">
        <v>0</v>
      </c>
      <c r="DB67" s="504">
        <v>0</v>
      </c>
      <c r="DC67" s="504">
        <v>0</v>
      </c>
      <c r="DD67" s="504">
        <v>0</v>
      </c>
      <c r="DE67" s="504">
        <v>0</v>
      </c>
      <c r="DF67" s="504">
        <v>0</v>
      </c>
      <c r="DG67" s="504">
        <v>0</v>
      </c>
      <c r="DH67" s="504">
        <v>0</v>
      </c>
      <c r="DI67" s="504">
        <v>0</v>
      </c>
      <c r="DJ67" s="504">
        <v>0</v>
      </c>
      <c r="DK67" s="504">
        <v>0</v>
      </c>
      <c r="DL67" s="504">
        <v>0</v>
      </c>
      <c r="DM67" s="504">
        <v>0</v>
      </c>
      <c r="DN67" s="504">
        <v>0</v>
      </c>
      <c r="DO67" s="504">
        <v>0</v>
      </c>
      <c r="DP67" s="504">
        <v>0</v>
      </c>
      <c r="DQ67" s="504">
        <v>0</v>
      </c>
      <c r="DR67" s="504">
        <v>0</v>
      </c>
      <c r="DS67" s="504">
        <v>0</v>
      </c>
      <c r="DT67" s="504">
        <v>0</v>
      </c>
      <c r="DU67" s="504">
        <v>0</v>
      </c>
      <c r="DV67" s="504">
        <v>0</v>
      </c>
      <c r="DW67" s="504">
        <v>0</v>
      </c>
      <c r="DX67" s="504">
        <v>0</v>
      </c>
      <c r="DY67" s="504">
        <v>0</v>
      </c>
      <c r="DZ67" s="504">
        <v>0</v>
      </c>
      <c r="EA67" s="504">
        <v>0</v>
      </c>
      <c r="EB67" s="504">
        <v>0</v>
      </c>
      <c r="EC67" s="504">
        <v>0</v>
      </c>
      <c r="ED67" s="504">
        <v>0</v>
      </c>
      <c r="EE67" s="504">
        <v>0</v>
      </c>
      <c r="EF67" s="504">
        <v>0</v>
      </c>
      <c r="EG67" s="504">
        <v>0</v>
      </c>
      <c r="EH67" s="504">
        <v>0</v>
      </c>
      <c r="EI67" s="504">
        <v>0</v>
      </c>
      <c r="EJ67" s="504">
        <v>0</v>
      </c>
      <c r="EK67" s="504">
        <v>0</v>
      </c>
      <c r="EL67" s="504">
        <v>0</v>
      </c>
      <c r="EM67" s="504">
        <v>0</v>
      </c>
      <c r="EN67" s="504">
        <v>0</v>
      </c>
      <c r="EO67" s="504">
        <v>0</v>
      </c>
      <c r="EP67" s="504">
        <v>0</v>
      </c>
      <c r="EQ67" s="504">
        <v>0</v>
      </c>
      <c r="ER67" s="504">
        <v>0</v>
      </c>
      <c r="ES67" s="504">
        <v>0</v>
      </c>
      <c r="ET67" s="504">
        <v>0</v>
      </c>
      <c r="EU67" s="504">
        <v>0</v>
      </c>
      <c r="EV67" s="504">
        <v>0</v>
      </c>
      <c r="EW67" s="504">
        <v>0</v>
      </c>
      <c r="EX67" s="504">
        <v>0</v>
      </c>
      <c r="EY67" s="504">
        <v>0</v>
      </c>
      <c r="EZ67" s="504">
        <v>0</v>
      </c>
      <c r="FA67" s="504">
        <v>0</v>
      </c>
      <c r="FB67" s="504">
        <v>0</v>
      </c>
      <c r="FC67" s="504">
        <v>0</v>
      </c>
      <c r="FD67" s="504">
        <v>0</v>
      </c>
      <c r="FE67" s="504">
        <v>0</v>
      </c>
      <c r="FF67" s="504">
        <v>0</v>
      </c>
      <c r="FG67" s="504">
        <v>0</v>
      </c>
      <c r="FH67" s="504">
        <v>0</v>
      </c>
      <c r="FI67" s="504">
        <v>0</v>
      </c>
      <c r="FJ67" s="504">
        <v>0</v>
      </c>
      <c r="FK67" s="504">
        <v>0</v>
      </c>
      <c r="FL67" s="504">
        <v>0</v>
      </c>
      <c r="FM67" s="504">
        <v>0</v>
      </c>
      <c r="FN67" s="504">
        <v>0</v>
      </c>
      <c r="FO67" s="504">
        <v>0</v>
      </c>
      <c r="FP67" s="504">
        <v>0</v>
      </c>
      <c r="FQ67" s="504">
        <v>0</v>
      </c>
      <c r="FR67" s="504">
        <v>0</v>
      </c>
      <c r="FS67" s="504">
        <v>0</v>
      </c>
      <c r="FT67" s="504">
        <v>0</v>
      </c>
      <c r="FU67" s="504">
        <v>0</v>
      </c>
      <c r="FV67" s="504">
        <v>0</v>
      </c>
      <c r="FW67" s="504">
        <v>0</v>
      </c>
      <c r="FX67" s="504">
        <v>0</v>
      </c>
      <c r="FY67" s="504">
        <v>0</v>
      </c>
      <c r="FZ67" s="504">
        <v>0</v>
      </c>
      <c r="GA67" s="504">
        <v>0</v>
      </c>
      <c r="GB67" s="504">
        <v>0</v>
      </c>
      <c r="GC67" s="504">
        <v>0</v>
      </c>
      <c r="GD67" s="504">
        <v>0</v>
      </c>
      <c r="GE67" s="504">
        <v>0</v>
      </c>
      <c r="GF67" s="504">
        <v>0</v>
      </c>
      <c r="GG67" s="504">
        <v>0</v>
      </c>
      <c r="GH67" s="504">
        <v>0</v>
      </c>
      <c r="GI67" s="504">
        <v>0</v>
      </c>
      <c r="GJ67" s="504">
        <v>0</v>
      </c>
      <c r="GK67" s="504">
        <v>0</v>
      </c>
      <c r="GL67" s="504">
        <v>0</v>
      </c>
      <c r="GM67" s="504">
        <v>0</v>
      </c>
      <c r="GN67" s="504">
        <v>0</v>
      </c>
      <c r="GO67" s="504">
        <v>0</v>
      </c>
      <c r="GP67" s="504">
        <v>0</v>
      </c>
      <c r="GQ67" s="504">
        <v>0</v>
      </c>
      <c r="GR67" s="504">
        <v>0</v>
      </c>
      <c r="GS67" s="504">
        <v>0</v>
      </c>
      <c r="GT67" s="504">
        <v>0</v>
      </c>
      <c r="GU67" s="504">
        <v>0</v>
      </c>
      <c r="GV67" s="504">
        <v>0</v>
      </c>
      <c r="GW67" s="504">
        <v>0</v>
      </c>
      <c r="GX67" s="504">
        <v>0</v>
      </c>
      <c r="GY67" s="504">
        <v>0</v>
      </c>
      <c r="GZ67" s="504">
        <v>0</v>
      </c>
      <c r="HA67" s="504">
        <v>0</v>
      </c>
      <c r="HB67" s="504">
        <v>0</v>
      </c>
      <c r="HC67" s="504">
        <v>0</v>
      </c>
      <c r="HD67" s="504">
        <v>0</v>
      </c>
      <c r="HE67" s="504">
        <v>0</v>
      </c>
      <c r="HF67" s="504">
        <v>0</v>
      </c>
      <c r="HG67" s="504">
        <v>0</v>
      </c>
      <c r="HH67" s="504">
        <v>0</v>
      </c>
      <c r="HI67" s="504">
        <v>0</v>
      </c>
      <c r="HJ67" s="504">
        <v>0</v>
      </c>
      <c r="HK67" s="504">
        <v>0</v>
      </c>
      <c r="HL67" s="504">
        <v>0</v>
      </c>
      <c r="HM67" s="504">
        <v>0</v>
      </c>
      <c r="HN67" s="504">
        <v>0</v>
      </c>
      <c r="HO67" s="504">
        <v>0</v>
      </c>
      <c r="HP67" s="504">
        <v>0</v>
      </c>
      <c r="HQ67" s="504">
        <v>0</v>
      </c>
      <c r="HR67" s="504">
        <v>0</v>
      </c>
      <c r="HS67" s="504">
        <v>0</v>
      </c>
      <c r="HT67" s="504">
        <v>0</v>
      </c>
      <c r="HU67" s="504">
        <v>0</v>
      </c>
      <c r="HV67" s="504">
        <v>0</v>
      </c>
      <c r="HW67" s="504">
        <v>0</v>
      </c>
      <c r="HX67" s="504">
        <v>0</v>
      </c>
      <c r="HY67" s="504">
        <v>0</v>
      </c>
      <c r="HZ67" s="504">
        <v>0</v>
      </c>
      <c r="IA67" s="504">
        <v>0</v>
      </c>
      <c r="IB67" s="504">
        <v>0</v>
      </c>
      <c r="IC67" s="504">
        <v>0</v>
      </c>
      <c r="ID67" s="504">
        <v>0</v>
      </c>
      <c r="IE67" s="504">
        <v>0</v>
      </c>
      <c r="IF67" s="504">
        <v>0</v>
      </c>
      <c r="IG67" s="504">
        <v>0</v>
      </c>
      <c r="IH67" s="504">
        <v>0</v>
      </c>
      <c r="II67" s="504">
        <v>0</v>
      </c>
      <c r="IJ67" s="504">
        <v>0</v>
      </c>
      <c r="IK67" s="504">
        <v>0</v>
      </c>
      <c r="IL67" s="504">
        <v>0</v>
      </c>
      <c r="IM67" s="504">
        <v>0</v>
      </c>
      <c r="IN67" s="504">
        <v>0</v>
      </c>
      <c r="IO67" s="504">
        <v>0</v>
      </c>
      <c r="IP67" s="504">
        <v>0</v>
      </c>
      <c r="IQ67" s="504">
        <v>0</v>
      </c>
      <c r="IR67" s="504">
        <v>0</v>
      </c>
      <c r="IS67" s="504">
        <v>0</v>
      </c>
      <c r="IT67" s="504">
        <v>0</v>
      </c>
      <c r="IU67" s="504">
        <v>0</v>
      </c>
      <c r="IV67" s="504">
        <v>0</v>
      </c>
      <c r="IW67" s="504">
        <v>0</v>
      </c>
      <c r="IX67" s="504">
        <v>0</v>
      </c>
      <c r="IY67" s="504">
        <v>0</v>
      </c>
      <c r="IZ67" s="504">
        <v>0</v>
      </c>
      <c r="JA67" s="504">
        <v>0</v>
      </c>
      <c r="JB67" s="504">
        <v>0</v>
      </c>
      <c r="JC67" s="504">
        <v>0</v>
      </c>
      <c r="JD67" s="504">
        <v>0</v>
      </c>
      <c r="JE67" s="504">
        <v>0</v>
      </c>
      <c r="JF67" s="504">
        <v>0</v>
      </c>
      <c r="JG67" s="504">
        <v>0</v>
      </c>
      <c r="JH67" s="504">
        <v>0</v>
      </c>
      <c r="JI67" s="504">
        <v>0</v>
      </c>
      <c r="JJ67" s="504">
        <v>0</v>
      </c>
      <c r="JK67" s="504">
        <v>0</v>
      </c>
      <c r="JL67" s="504">
        <v>0</v>
      </c>
      <c r="JM67" s="504">
        <v>0</v>
      </c>
      <c r="JN67" s="504">
        <v>0</v>
      </c>
      <c r="JO67" s="504">
        <v>0</v>
      </c>
      <c r="JP67" s="504">
        <v>0</v>
      </c>
      <c r="JQ67" s="504">
        <v>0</v>
      </c>
      <c r="JR67" s="504">
        <v>0</v>
      </c>
      <c r="JS67" s="504">
        <v>0</v>
      </c>
      <c r="JT67" s="504">
        <v>0</v>
      </c>
      <c r="JU67" s="504">
        <v>0</v>
      </c>
      <c r="JV67" s="504">
        <v>0</v>
      </c>
      <c r="JW67" s="504">
        <v>0</v>
      </c>
      <c r="JX67" s="504">
        <v>0</v>
      </c>
      <c r="JY67" s="504">
        <v>0</v>
      </c>
      <c r="JZ67" s="504">
        <v>0</v>
      </c>
      <c r="KA67" s="504">
        <v>0</v>
      </c>
      <c r="KB67" s="504">
        <v>0</v>
      </c>
      <c r="KC67" s="504">
        <v>0</v>
      </c>
      <c r="KD67" s="504">
        <v>0</v>
      </c>
      <c r="KE67" s="504">
        <v>0</v>
      </c>
      <c r="KF67" s="504">
        <v>0</v>
      </c>
      <c r="KG67" s="504">
        <v>0</v>
      </c>
      <c r="KH67" s="504">
        <v>0</v>
      </c>
      <c r="KI67" s="504">
        <v>0</v>
      </c>
      <c r="KJ67" s="504">
        <v>0</v>
      </c>
      <c r="KK67" s="504">
        <v>0</v>
      </c>
      <c r="KL67" s="504">
        <v>0</v>
      </c>
      <c r="KM67" s="504">
        <v>0</v>
      </c>
      <c r="KN67" s="504">
        <v>0</v>
      </c>
      <c r="KO67" s="504">
        <v>0</v>
      </c>
      <c r="KP67" s="504">
        <v>0</v>
      </c>
      <c r="KQ67" s="504">
        <v>0</v>
      </c>
      <c r="KR67" s="504">
        <v>0</v>
      </c>
      <c r="KS67" s="504">
        <v>0</v>
      </c>
      <c r="KT67" s="504">
        <v>0</v>
      </c>
      <c r="KU67" s="504">
        <v>0</v>
      </c>
      <c r="KV67" s="504">
        <v>0</v>
      </c>
      <c r="KW67" s="504">
        <v>0</v>
      </c>
      <c r="KX67" s="504">
        <v>0</v>
      </c>
      <c r="KY67" s="504">
        <v>0</v>
      </c>
      <c r="KZ67" s="504">
        <v>0</v>
      </c>
      <c r="LA67" s="504">
        <v>0</v>
      </c>
      <c r="LB67" s="504">
        <v>0</v>
      </c>
      <c r="LC67" s="504">
        <v>0</v>
      </c>
      <c r="LD67" s="504">
        <v>0</v>
      </c>
      <c r="LE67" s="504">
        <v>0</v>
      </c>
      <c r="LF67" s="504">
        <v>0</v>
      </c>
      <c r="LG67" s="504">
        <v>0</v>
      </c>
      <c r="LH67" s="504">
        <v>0</v>
      </c>
      <c r="LI67" s="504">
        <v>0</v>
      </c>
      <c r="LJ67" s="504">
        <v>0</v>
      </c>
      <c r="LK67" s="504">
        <v>0</v>
      </c>
      <c r="LL67" s="504">
        <v>0</v>
      </c>
      <c r="LM67" s="504">
        <v>0</v>
      </c>
      <c r="LN67" s="504">
        <v>0</v>
      </c>
      <c r="LO67" s="504">
        <v>0</v>
      </c>
      <c r="LP67" s="504">
        <v>0</v>
      </c>
      <c r="LQ67" s="504">
        <v>0</v>
      </c>
      <c r="LR67" s="504">
        <v>0</v>
      </c>
      <c r="LS67" s="504">
        <v>0</v>
      </c>
      <c r="LT67" s="504">
        <v>0</v>
      </c>
      <c r="LU67" s="504">
        <v>0</v>
      </c>
      <c r="LV67" s="504">
        <v>0</v>
      </c>
      <c r="LW67" s="504">
        <v>0</v>
      </c>
      <c r="LX67" s="504">
        <v>0</v>
      </c>
      <c r="LY67" s="504">
        <v>0</v>
      </c>
      <c r="LZ67" s="504">
        <v>0</v>
      </c>
      <c r="MA67" s="504">
        <v>0</v>
      </c>
      <c r="MB67" s="504">
        <v>0</v>
      </c>
      <c r="MC67" s="504">
        <v>0</v>
      </c>
      <c r="MD67" s="504">
        <v>0</v>
      </c>
      <c r="ME67" s="504">
        <v>0</v>
      </c>
      <c r="MF67" s="504">
        <v>0</v>
      </c>
      <c r="MG67" s="504">
        <v>0</v>
      </c>
      <c r="MH67" s="504">
        <v>0</v>
      </c>
      <c r="MI67" s="504">
        <v>0</v>
      </c>
      <c r="MJ67" s="504">
        <v>0</v>
      </c>
      <c r="MK67" s="504">
        <v>0</v>
      </c>
      <c r="ML67" s="504">
        <v>0</v>
      </c>
      <c r="MM67" s="504">
        <v>0</v>
      </c>
      <c r="MN67" s="504">
        <v>0</v>
      </c>
      <c r="MO67" s="504">
        <v>0</v>
      </c>
      <c r="MP67" s="504">
        <v>0</v>
      </c>
      <c r="MQ67" s="504">
        <v>0</v>
      </c>
      <c r="MR67" s="504">
        <v>0</v>
      </c>
      <c r="MS67" s="504">
        <v>0</v>
      </c>
      <c r="MT67" s="504">
        <v>0</v>
      </c>
      <c r="MU67" s="504">
        <v>0</v>
      </c>
      <c r="MV67" s="504">
        <v>0</v>
      </c>
      <c r="MW67" s="504">
        <v>0</v>
      </c>
      <c r="MX67" s="504">
        <v>0</v>
      </c>
      <c r="MY67" s="504">
        <v>0</v>
      </c>
      <c r="MZ67" s="504">
        <v>0</v>
      </c>
      <c r="NA67" s="504">
        <v>0</v>
      </c>
      <c r="NB67" s="504">
        <v>0</v>
      </c>
      <c r="NC67" s="504">
        <v>0</v>
      </c>
      <c r="ND67" s="504">
        <v>0</v>
      </c>
      <c r="NE67" s="504">
        <v>0</v>
      </c>
      <c r="NF67" s="504">
        <v>0</v>
      </c>
      <c r="NG67" s="504">
        <v>0</v>
      </c>
      <c r="NH67" s="504">
        <v>0</v>
      </c>
      <c r="NI67" s="504">
        <v>0</v>
      </c>
      <c r="NJ67" s="504">
        <v>0</v>
      </c>
      <c r="NK67" s="504">
        <v>0</v>
      </c>
      <c r="NL67" s="504">
        <v>0</v>
      </c>
      <c r="NM67" s="504">
        <v>0</v>
      </c>
      <c r="NN67" s="504">
        <v>0</v>
      </c>
      <c r="NO67" s="504">
        <v>0</v>
      </c>
      <c r="NP67" s="504">
        <v>0</v>
      </c>
      <c r="NQ67" s="504">
        <v>0</v>
      </c>
      <c r="NR67" s="504">
        <v>0</v>
      </c>
      <c r="NS67" s="504">
        <v>0</v>
      </c>
      <c r="NT67" s="504">
        <v>0</v>
      </c>
      <c r="NU67" s="504">
        <v>0</v>
      </c>
      <c r="NV67" s="504">
        <v>0</v>
      </c>
      <c r="NW67" s="504">
        <v>0</v>
      </c>
      <c r="NX67" s="504">
        <v>0</v>
      </c>
      <c r="NY67" s="504">
        <v>0</v>
      </c>
      <c r="NZ67" s="504">
        <v>0</v>
      </c>
      <c r="OA67" s="504">
        <v>0</v>
      </c>
      <c r="OB67" s="504">
        <v>0</v>
      </c>
      <c r="OC67" s="504">
        <v>0</v>
      </c>
      <c r="OD67" s="504">
        <v>0</v>
      </c>
      <c r="OE67" s="504">
        <v>0</v>
      </c>
      <c r="OF67" s="504">
        <v>0</v>
      </c>
      <c r="OG67" s="504">
        <v>0</v>
      </c>
      <c r="OH67" s="504">
        <v>0</v>
      </c>
      <c r="OI67" s="504">
        <v>0</v>
      </c>
      <c r="OJ67" s="504">
        <v>0</v>
      </c>
      <c r="OK67" s="504">
        <v>0</v>
      </c>
      <c r="OL67" s="504">
        <v>0</v>
      </c>
      <c r="OM67" s="504">
        <v>0</v>
      </c>
      <c r="ON67" s="494"/>
    </row>
    <row r="68" spans="1:404" ht="18.75" customHeight="1" x14ac:dyDescent="0.4">
      <c r="A68" s="355" t="s">
        <v>344</v>
      </c>
      <c r="B68" s="358">
        <v>231</v>
      </c>
      <c r="C68" s="355" t="s">
        <v>60</v>
      </c>
      <c r="D68" s="501">
        <v>46.01</v>
      </c>
      <c r="E68" s="502">
        <v>45678</v>
      </c>
      <c r="F68" s="502">
        <v>46</v>
      </c>
      <c r="G68" s="502">
        <v>7157</v>
      </c>
      <c r="H68" s="502">
        <v>46</v>
      </c>
      <c r="I68" s="502">
        <v>21171</v>
      </c>
      <c r="J68" s="502">
        <v>46</v>
      </c>
      <c r="K68" s="502">
        <v>23224</v>
      </c>
      <c r="V68" s="501"/>
      <c r="W68" s="503"/>
      <c r="X68" s="501"/>
      <c r="Y68" s="503"/>
      <c r="Z68" s="501"/>
      <c r="AA68" s="503"/>
      <c r="AB68" s="495"/>
      <c r="AC68" s="504">
        <v>0</v>
      </c>
      <c r="AD68" s="504">
        <v>0</v>
      </c>
      <c r="AE68" s="504">
        <v>0</v>
      </c>
      <c r="AF68" s="504">
        <v>0</v>
      </c>
      <c r="AG68" s="504">
        <v>0</v>
      </c>
      <c r="AH68" s="504">
        <v>0</v>
      </c>
      <c r="AI68" s="504">
        <v>0</v>
      </c>
      <c r="AJ68" s="504">
        <v>0</v>
      </c>
      <c r="AK68" s="504">
        <v>0</v>
      </c>
      <c r="AL68" s="504">
        <v>0</v>
      </c>
      <c r="AM68" s="504">
        <v>0</v>
      </c>
      <c r="AN68" s="504">
        <v>0</v>
      </c>
      <c r="AO68" s="504">
        <v>0</v>
      </c>
      <c r="AP68" s="504">
        <v>0</v>
      </c>
      <c r="AQ68" s="504">
        <v>0</v>
      </c>
      <c r="AR68" s="504">
        <v>0</v>
      </c>
      <c r="AS68" s="504">
        <v>0</v>
      </c>
      <c r="AT68" s="504">
        <v>0</v>
      </c>
      <c r="AU68" s="504">
        <v>0</v>
      </c>
      <c r="AV68" s="504">
        <v>0</v>
      </c>
      <c r="AW68" s="504">
        <v>0</v>
      </c>
      <c r="AX68" s="504">
        <v>0</v>
      </c>
      <c r="AY68" s="504">
        <v>0</v>
      </c>
      <c r="AZ68" s="504">
        <v>0</v>
      </c>
      <c r="BA68" s="504">
        <v>0</v>
      </c>
      <c r="BB68" s="504">
        <v>0</v>
      </c>
      <c r="BC68" s="504">
        <v>0</v>
      </c>
      <c r="BD68" s="504">
        <v>0</v>
      </c>
      <c r="BE68" s="504">
        <v>0</v>
      </c>
      <c r="BF68" s="504">
        <v>0</v>
      </c>
      <c r="BG68" s="504">
        <v>0</v>
      </c>
      <c r="BH68" s="504">
        <v>0</v>
      </c>
      <c r="BI68" s="504">
        <v>0</v>
      </c>
      <c r="BJ68" s="504">
        <v>0</v>
      </c>
      <c r="BK68" s="504">
        <v>0</v>
      </c>
      <c r="BL68" s="504">
        <v>0</v>
      </c>
      <c r="BM68" s="504">
        <v>0</v>
      </c>
      <c r="BN68" s="504">
        <v>0</v>
      </c>
      <c r="BO68" s="504">
        <v>0</v>
      </c>
      <c r="BP68" s="504">
        <v>0</v>
      </c>
      <c r="BQ68" s="504">
        <v>0</v>
      </c>
      <c r="BR68" s="504">
        <v>0</v>
      </c>
      <c r="BS68" s="504">
        <v>0</v>
      </c>
      <c r="BT68" s="504">
        <v>0</v>
      </c>
      <c r="BU68" s="504">
        <v>0</v>
      </c>
      <c r="BV68" s="504">
        <v>0</v>
      </c>
      <c r="BW68" s="504">
        <v>0</v>
      </c>
      <c r="BX68" s="504">
        <v>0</v>
      </c>
      <c r="BY68" s="504">
        <v>0</v>
      </c>
      <c r="BZ68" s="504">
        <v>0</v>
      </c>
      <c r="CA68" s="504">
        <v>0</v>
      </c>
      <c r="CB68" s="504">
        <v>0</v>
      </c>
      <c r="CC68" s="504">
        <v>0</v>
      </c>
      <c r="CD68" s="504">
        <v>0</v>
      </c>
      <c r="CE68" s="504">
        <v>0</v>
      </c>
      <c r="CF68" s="504">
        <v>0</v>
      </c>
      <c r="CG68" s="504">
        <v>0</v>
      </c>
      <c r="CH68" s="504">
        <v>0</v>
      </c>
      <c r="CI68" s="504">
        <v>0</v>
      </c>
      <c r="CJ68" s="504">
        <v>0</v>
      </c>
      <c r="CK68" s="504">
        <v>0</v>
      </c>
      <c r="CL68" s="504">
        <v>0</v>
      </c>
      <c r="CM68" s="504">
        <v>0</v>
      </c>
      <c r="CN68" s="504">
        <v>0</v>
      </c>
      <c r="CO68" s="504">
        <v>0</v>
      </c>
      <c r="CP68" s="504">
        <v>0</v>
      </c>
      <c r="CQ68" s="504">
        <v>0</v>
      </c>
      <c r="CR68" s="504">
        <v>0</v>
      </c>
      <c r="CS68" s="504">
        <v>0</v>
      </c>
      <c r="CT68" s="504">
        <v>0</v>
      </c>
      <c r="CU68" s="504">
        <v>0</v>
      </c>
      <c r="CV68" s="504">
        <v>0</v>
      </c>
      <c r="CW68" s="504">
        <v>0</v>
      </c>
      <c r="CX68" s="504">
        <v>0</v>
      </c>
      <c r="CY68" s="504">
        <v>0</v>
      </c>
      <c r="CZ68" s="504">
        <v>0</v>
      </c>
      <c r="DA68" s="504">
        <v>0</v>
      </c>
      <c r="DB68" s="504">
        <v>0</v>
      </c>
      <c r="DC68" s="504">
        <v>0</v>
      </c>
      <c r="DD68" s="504">
        <v>0</v>
      </c>
      <c r="DE68" s="504">
        <v>0</v>
      </c>
      <c r="DF68" s="504">
        <v>0</v>
      </c>
      <c r="DG68" s="504">
        <v>0</v>
      </c>
      <c r="DH68" s="504">
        <v>0</v>
      </c>
      <c r="DI68" s="504">
        <v>0</v>
      </c>
      <c r="DJ68" s="504">
        <v>0</v>
      </c>
      <c r="DK68" s="504">
        <v>0</v>
      </c>
      <c r="DL68" s="504">
        <v>0</v>
      </c>
      <c r="DM68" s="504">
        <v>0</v>
      </c>
      <c r="DN68" s="504">
        <v>0</v>
      </c>
      <c r="DO68" s="504">
        <v>0</v>
      </c>
      <c r="DP68" s="504">
        <v>0</v>
      </c>
      <c r="DQ68" s="504">
        <v>0</v>
      </c>
      <c r="DR68" s="504">
        <v>0</v>
      </c>
      <c r="DS68" s="504">
        <v>0</v>
      </c>
      <c r="DT68" s="504">
        <v>0</v>
      </c>
      <c r="DU68" s="504">
        <v>0</v>
      </c>
      <c r="DV68" s="504">
        <v>0</v>
      </c>
      <c r="DW68" s="504">
        <v>0</v>
      </c>
      <c r="DX68" s="504">
        <v>0</v>
      </c>
      <c r="DY68" s="504">
        <v>0</v>
      </c>
      <c r="DZ68" s="504">
        <v>0</v>
      </c>
      <c r="EA68" s="504">
        <v>0</v>
      </c>
      <c r="EB68" s="504">
        <v>0</v>
      </c>
      <c r="EC68" s="504">
        <v>0</v>
      </c>
      <c r="ED68" s="504">
        <v>0</v>
      </c>
      <c r="EE68" s="504">
        <v>0</v>
      </c>
      <c r="EF68" s="504">
        <v>0</v>
      </c>
      <c r="EG68" s="504">
        <v>0</v>
      </c>
      <c r="EH68" s="504">
        <v>0</v>
      </c>
      <c r="EI68" s="504">
        <v>0</v>
      </c>
      <c r="EJ68" s="504">
        <v>0</v>
      </c>
      <c r="EK68" s="504">
        <v>0</v>
      </c>
      <c r="EL68" s="504">
        <v>0</v>
      </c>
      <c r="EM68" s="504">
        <v>0</v>
      </c>
      <c r="EN68" s="504">
        <v>0</v>
      </c>
      <c r="EO68" s="504">
        <v>0</v>
      </c>
      <c r="EP68" s="504">
        <v>0</v>
      </c>
      <c r="EQ68" s="504">
        <v>0</v>
      </c>
      <c r="ER68" s="504">
        <v>0</v>
      </c>
      <c r="ES68" s="504">
        <v>0</v>
      </c>
      <c r="ET68" s="504">
        <v>0</v>
      </c>
      <c r="EU68" s="504">
        <v>0</v>
      </c>
      <c r="EV68" s="504">
        <v>0</v>
      </c>
      <c r="EW68" s="504">
        <v>0</v>
      </c>
      <c r="EX68" s="504">
        <v>0</v>
      </c>
      <c r="EY68" s="504">
        <v>0</v>
      </c>
      <c r="EZ68" s="504">
        <v>0</v>
      </c>
      <c r="FA68" s="504">
        <v>0</v>
      </c>
      <c r="FB68" s="504">
        <v>0</v>
      </c>
      <c r="FC68" s="504">
        <v>0</v>
      </c>
      <c r="FD68" s="504">
        <v>0</v>
      </c>
      <c r="FE68" s="504">
        <v>0</v>
      </c>
      <c r="FF68" s="504">
        <v>0</v>
      </c>
      <c r="FG68" s="504">
        <v>0</v>
      </c>
      <c r="FH68" s="504">
        <v>0</v>
      </c>
      <c r="FI68" s="504">
        <v>0</v>
      </c>
      <c r="FJ68" s="504">
        <v>0</v>
      </c>
      <c r="FK68" s="504">
        <v>0</v>
      </c>
      <c r="FL68" s="504">
        <v>0</v>
      </c>
      <c r="FM68" s="504">
        <v>0</v>
      </c>
      <c r="FN68" s="504">
        <v>0</v>
      </c>
      <c r="FO68" s="504">
        <v>0</v>
      </c>
      <c r="FP68" s="504">
        <v>0</v>
      </c>
      <c r="FQ68" s="504">
        <v>0</v>
      </c>
      <c r="FR68" s="504">
        <v>0</v>
      </c>
      <c r="FS68" s="504">
        <v>0</v>
      </c>
      <c r="FT68" s="504">
        <v>0</v>
      </c>
      <c r="FU68" s="504">
        <v>0</v>
      </c>
      <c r="FV68" s="504">
        <v>0</v>
      </c>
      <c r="FW68" s="504">
        <v>0</v>
      </c>
      <c r="FX68" s="504">
        <v>0</v>
      </c>
      <c r="FY68" s="504">
        <v>0</v>
      </c>
      <c r="FZ68" s="504">
        <v>0</v>
      </c>
      <c r="GA68" s="504">
        <v>0</v>
      </c>
      <c r="GB68" s="504">
        <v>0</v>
      </c>
      <c r="GC68" s="504">
        <v>0</v>
      </c>
      <c r="GD68" s="504">
        <v>0</v>
      </c>
      <c r="GE68" s="504">
        <v>0</v>
      </c>
      <c r="GF68" s="504">
        <v>0</v>
      </c>
      <c r="GG68" s="504">
        <v>0</v>
      </c>
      <c r="GH68" s="504">
        <v>0</v>
      </c>
      <c r="GI68" s="504">
        <v>0</v>
      </c>
      <c r="GJ68" s="504">
        <v>0</v>
      </c>
      <c r="GK68" s="504">
        <v>0</v>
      </c>
      <c r="GL68" s="504">
        <v>0</v>
      </c>
      <c r="GM68" s="504">
        <v>0</v>
      </c>
      <c r="GN68" s="504">
        <v>0</v>
      </c>
      <c r="GO68" s="504">
        <v>0</v>
      </c>
      <c r="GP68" s="504">
        <v>0</v>
      </c>
      <c r="GQ68" s="504">
        <v>0</v>
      </c>
      <c r="GR68" s="504">
        <v>0</v>
      </c>
      <c r="GS68" s="504">
        <v>0</v>
      </c>
      <c r="GT68" s="504">
        <v>0</v>
      </c>
      <c r="GU68" s="504">
        <v>0</v>
      </c>
      <c r="GV68" s="504">
        <v>0</v>
      </c>
      <c r="GW68" s="504">
        <v>0</v>
      </c>
      <c r="GX68" s="504">
        <v>0</v>
      </c>
      <c r="GY68" s="504">
        <v>0</v>
      </c>
      <c r="GZ68" s="504">
        <v>0</v>
      </c>
      <c r="HA68" s="504">
        <v>0</v>
      </c>
      <c r="HB68" s="504">
        <v>0</v>
      </c>
      <c r="HC68" s="504">
        <v>0</v>
      </c>
      <c r="HD68" s="504">
        <v>0</v>
      </c>
      <c r="HE68" s="504">
        <v>0</v>
      </c>
      <c r="HF68" s="504">
        <v>0</v>
      </c>
      <c r="HG68" s="504">
        <v>0</v>
      </c>
      <c r="HH68" s="504">
        <v>0</v>
      </c>
      <c r="HI68" s="504">
        <v>0</v>
      </c>
      <c r="HJ68" s="504">
        <v>0</v>
      </c>
      <c r="HK68" s="504">
        <v>0</v>
      </c>
      <c r="HL68" s="504">
        <v>0</v>
      </c>
      <c r="HM68" s="504">
        <v>0</v>
      </c>
      <c r="HN68" s="504">
        <v>0</v>
      </c>
      <c r="HO68" s="504">
        <v>0</v>
      </c>
      <c r="HP68" s="504">
        <v>0</v>
      </c>
      <c r="HQ68" s="504">
        <v>0</v>
      </c>
      <c r="HR68" s="504">
        <v>0</v>
      </c>
      <c r="HS68" s="504">
        <v>0</v>
      </c>
      <c r="HT68" s="504">
        <v>0</v>
      </c>
      <c r="HU68" s="504">
        <v>0</v>
      </c>
      <c r="HV68" s="504">
        <v>0</v>
      </c>
      <c r="HW68" s="504">
        <v>0</v>
      </c>
      <c r="HX68" s="504">
        <v>0</v>
      </c>
      <c r="HY68" s="504">
        <v>0</v>
      </c>
      <c r="HZ68" s="504">
        <v>0</v>
      </c>
      <c r="IA68" s="504">
        <v>0</v>
      </c>
      <c r="IB68" s="504">
        <v>0</v>
      </c>
      <c r="IC68" s="504">
        <v>0</v>
      </c>
      <c r="ID68" s="504">
        <v>0</v>
      </c>
      <c r="IE68" s="504">
        <v>0</v>
      </c>
      <c r="IF68" s="504">
        <v>0</v>
      </c>
      <c r="IG68" s="504">
        <v>0</v>
      </c>
      <c r="IH68" s="504">
        <v>0</v>
      </c>
      <c r="II68" s="504">
        <v>0</v>
      </c>
      <c r="IJ68" s="504">
        <v>0</v>
      </c>
      <c r="IK68" s="504">
        <v>0</v>
      </c>
      <c r="IL68" s="504">
        <v>0</v>
      </c>
      <c r="IM68" s="504">
        <v>0</v>
      </c>
      <c r="IN68" s="504">
        <v>0</v>
      </c>
      <c r="IO68" s="504">
        <v>0</v>
      </c>
      <c r="IP68" s="504">
        <v>0</v>
      </c>
      <c r="IQ68" s="504">
        <v>0</v>
      </c>
      <c r="IR68" s="504">
        <v>0</v>
      </c>
      <c r="IS68" s="504">
        <v>0</v>
      </c>
      <c r="IT68" s="504">
        <v>0</v>
      </c>
      <c r="IU68" s="504">
        <v>0</v>
      </c>
      <c r="IV68" s="504">
        <v>0</v>
      </c>
      <c r="IW68" s="504">
        <v>0</v>
      </c>
      <c r="IX68" s="504">
        <v>0</v>
      </c>
      <c r="IY68" s="504">
        <v>0</v>
      </c>
      <c r="IZ68" s="504">
        <v>0</v>
      </c>
      <c r="JA68" s="504">
        <v>0</v>
      </c>
      <c r="JB68" s="504">
        <v>0</v>
      </c>
      <c r="JC68" s="504">
        <v>0</v>
      </c>
      <c r="JD68" s="504">
        <v>0</v>
      </c>
      <c r="JE68" s="504">
        <v>0</v>
      </c>
      <c r="JF68" s="504">
        <v>0</v>
      </c>
      <c r="JG68" s="504">
        <v>0</v>
      </c>
      <c r="JH68" s="504">
        <v>0</v>
      </c>
      <c r="JI68" s="504">
        <v>0</v>
      </c>
      <c r="JJ68" s="504">
        <v>0</v>
      </c>
      <c r="JK68" s="504">
        <v>0</v>
      </c>
      <c r="JL68" s="504">
        <v>0</v>
      </c>
      <c r="JM68" s="504">
        <v>0</v>
      </c>
      <c r="JN68" s="504">
        <v>0</v>
      </c>
      <c r="JO68" s="504">
        <v>0</v>
      </c>
      <c r="JP68" s="504">
        <v>0</v>
      </c>
      <c r="JQ68" s="504">
        <v>0</v>
      </c>
      <c r="JR68" s="504">
        <v>0</v>
      </c>
      <c r="JS68" s="504">
        <v>0</v>
      </c>
      <c r="JT68" s="504">
        <v>0</v>
      </c>
      <c r="JU68" s="504">
        <v>0</v>
      </c>
      <c r="JV68" s="504">
        <v>0</v>
      </c>
      <c r="JW68" s="504">
        <v>0</v>
      </c>
      <c r="JX68" s="504">
        <v>0</v>
      </c>
      <c r="JY68" s="504">
        <v>0</v>
      </c>
      <c r="JZ68" s="504">
        <v>0</v>
      </c>
      <c r="KA68" s="504">
        <v>0</v>
      </c>
      <c r="KB68" s="504">
        <v>0</v>
      </c>
      <c r="KC68" s="504">
        <v>0</v>
      </c>
      <c r="KD68" s="504">
        <v>0</v>
      </c>
      <c r="KE68" s="504">
        <v>0</v>
      </c>
      <c r="KF68" s="504">
        <v>0</v>
      </c>
      <c r="KG68" s="504">
        <v>0</v>
      </c>
      <c r="KH68" s="504">
        <v>0</v>
      </c>
      <c r="KI68" s="504">
        <v>0</v>
      </c>
      <c r="KJ68" s="504">
        <v>0</v>
      </c>
      <c r="KK68" s="504">
        <v>0</v>
      </c>
      <c r="KL68" s="504">
        <v>0</v>
      </c>
      <c r="KM68" s="504">
        <v>0</v>
      </c>
      <c r="KN68" s="504">
        <v>0</v>
      </c>
      <c r="KO68" s="504">
        <v>0</v>
      </c>
      <c r="KP68" s="504">
        <v>0</v>
      </c>
      <c r="KQ68" s="504">
        <v>0</v>
      </c>
      <c r="KR68" s="504">
        <v>0</v>
      </c>
      <c r="KS68" s="504">
        <v>0</v>
      </c>
      <c r="KT68" s="504">
        <v>0</v>
      </c>
      <c r="KU68" s="504">
        <v>0</v>
      </c>
      <c r="KV68" s="504">
        <v>0</v>
      </c>
      <c r="KW68" s="504">
        <v>0</v>
      </c>
      <c r="KX68" s="504">
        <v>0</v>
      </c>
      <c r="KY68" s="504">
        <v>0</v>
      </c>
      <c r="KZ68" s="504">
        <v>0</v>
      </c>
      <c r="LA68" s="504">
        <v>0</v>
      </c>
      <c r="LB68" s="504">
        <v>0</v>
      </c>
      <c r="LC68" s="504">
        <v>0</v>
      </c>
      <c r="LD68" s="504">
        <v>0</v>
      </c>
      <c r="LE68" s="504">
        <v>0</v>
      </c>
      <c r="LF68" s="504">
        <v>0</v>
      </c>
      <c r="LG68" s="504">
        <v>0</v>
      </c>
      <c r="LH68" s="504">
        <v>0</v>
      </c>
      <c r="LI68" s="504">
        <v>0</v>
      </c>
      <c r="LJ68" s="504">
        <v>0</v>
      </c>
      <c r="LK68" s="504">
        <v>0</v>
      </c>
      <c r="LL68" s="504">
        <v>0</v>
      </c>
      <c r="LM68" s="504">
        <v>0</v>
      </c>
      <c r="LN68" s="504">
        <v>0</v>
      </c>
      <c r="LO68" s="504">
        <v>0</v>
      </c>
      <c r="LP68" s="504">
        <v>0</v>
      </c>
      <c r="LQ68" s="504">
        <v>0</v>
      </c>
      <c r="LR68" s="504">
        <v>0</v>
      </c>
      <c r="LS68" s="504">
        <v>0</v>
      </c>
      <c r="LT68" s="504">
        <v>0</v>
      </c>
      <c r="LU68" s="504">
        <v>0</v>
      </c>
      <c r="LV68" s="504">
        <v>0</v>
      </c>
      <c r="LW68" s="504">
        <v>0</v>
      </c>
      <c r="LX68" s="504">
        <v>0</v>
      </c>
      <c r="LY68" s="504">
        <v>0</v>
      </c>
      <c r="LZ68" s="504">
        <v>0</v>
      </c>
      <c r="MA68" s="504">
        <v>0</v>
      </c>
      <c r="MB68" s="504">
        <v>0</v>
      </c>
      <c r="MC68" s="504">
        <v>0</v>
      </c>
      <c r="MD68" s="504">
        <v>0</v>
      </c>
      <c r="ME68" s="504">
        <v>0</v>
      </c>
      <c r="MF68" s="504">
        <v>0</v>
      </c>
      <c r="MG68" s="504">
        <v>0</v>
      </c>
      <c r="MH68" s="504">
        <v>0</v>
      </c>
      <c r="MI68" s="504">
        <v>0</v>
      </c>
      <c r="MJ68" s="504">
        <v>0</v>
      </c>
      <c r="MK68" s="504">
        <v>0</v>
      </c>
      <c r="ML68" s="504">
        <v>0</v>
      </c>
      <c r="MM68" s="504">
        <v>0</v>
      </c>
      <c r="MN68" s="504">
        <v>0</v>
      </c>
      <c r="MO68" s="504">
        <v>0</v>
      </c>
      <c r="MP68" s="504">
        <v>0</v>
      </c>
      <c r="MQ68" s="504">
        <v>0</v>
      </c>
      <c r="MR68" s="504">
        <v>0</v>
      </c>
      <c r="MS68" s="504">
        <v>0</v>
      </c>
      <c r="MT68" s="504">
        <v>0</v>
      </c>
      <c r="MU68" s="504">
        <v>0</v>
      </c>
      <c r="MV68" s="504">
        <v>0</v>
      </c>
      <c r="MW68" s="504">
        <v>0</v>
      </c>
      <c r="MX68" s="504">
        <v>0</v>
      </c>
      <c r="MY68" s="504">
        <v>0</v>
      </c>
      <c r="MZ68" s="504">
        <v>0</v>
      </c>
      <c r="NA68" s="504">
        <v>0</v>
      </c>
      <c r="NB68" s="504">
        <v>0</v>
      </c>
      <c r="NC68" s="504">
        <v>0</v>
      </c>
      <c r="ND68" s="504">
        <v>0</v>
      </c>
      <c r="NE68" s="504">
        <v>0</v>
      </c>
      <c r="NF68" s="504">
        <v>0</v>
      </c>
      <c r="NG68" s="504">
        <v>0</v>
      </c>
      <c r="NH68" s="504">
        <v>0</v>
      </c>
      <c r="NI68" s="504">
        <v>0</v>
      </c>
      <c r="NJ68" s="504">
        <v>0</v>
      </c>
      <c r="NK68" s="504">
        <v>0</v>
      </c>
      <c r="NL68" s="504">
        <v>0</v>
      </c>
      <c r="NM68" s="504">
        <v>0</v>
      </c>
      <c r="NN68" s="504">
        <v>0</v>
      </c>
      <c r="NO68" s="504">
        <v>0</v>
      </c>
      <c r="NP68" s="504">
        <v>0</v>
      </c>
      <c r="NQ68" s="504">
        <v>0</v>
      </c>
      <c r="NR68" s="504">
        <v>0</v>
      </c>
      <c r="NS68" s="504">
        <v>0</v>
      </c>
      <c r="NT68" s="504">
        <v>0</v>
      </c>
      <c r="NU68" s="504">
        <v>0</v>
      </c>
      <c r="NV68" s="504">
        <v>0</v>
      </c>
      <c r="NW68" s="504">
        <v>0</v>
      </c>
      <c r="NX68" s="504">
        <v>0</v>
      </c>
      <c r="NY68" s="504">
        <v>0</v>
      </c>
      <c r="NZ68" s="504">
        <v>0</v>
      </c>
      <c r="OA68" s="504">
        <v>0</v>
      </c>
      <c r="OB68" s="504">
        <v>0</v>
      </c>
      <c r="OC68" s="504">
        <v>0</v>
      </c>
      <c r="OD68" s="504">
        <v>0</v>
      </c>
      <c r="OE68" s="504">
        <v>0</v>
      </c>
      <c r="OF68" s="504">
        <v>0</v>
      </c>
      <c r="OG68" s="504">
        <v>0</v>
      </c>
      <c r="OH68" s="504">
        <v>0</v>
      </c>
      <c r="OI68" s="504">
        <v>0</v>
      </c>
      <c r="OJ68" s="504">
        <v>0</v>
      </c>
      <c r="OK68" s="504">
        <v>0</v>
      </c>
      <c r="OL68" s="504">
        <v>0</v>
      </c>
      <c r="OM68" s="504">
        <v>0</v>
      </c>
      <c r="ON68" s="494"/>
    </row>
    <row r="69" spans="1:404" ht="18.75" customHeight="1" x14ac:dyDescent="0.4">
      <c r="A69" s="355" t="s">
        <v>87</v>
      </c>
      <c r="B69" s="358">
        <v>218</v>
      </c>
      <c r="C69" s="355" t="s">
        <v>60</v>
      </c>
      <c r="D69" s="501">
        <v>46.26</v>
      </c>
      <c r="E69" s="502">
        <v>19008</v>
      </c>
      <c r="F69" s="501">
        <v>46.25</v>
      </c>
      <c r="G69" s="502">
        <v>4924</v>
      </c>
      <c r="H69" s="501">
        <v>46.25</v>
      </c>
      <c r="I69" s="502">
        <v>13416</v>
      </c>
      <c r="J69" s="501">
        <v>46.25</v>
      </c>
      <c r="K69" s="502">
        <v>14619</v>
      </c>
      <c r="V69" s="501"/>
      <c r="W69" s="503"/>
      <c r="X69" s="501"/>
      <c r="Y69" s="503"/>
      <c r="Z69" s="501"/>
      <c r="AA69" s="503"/>
      <c r="AB69" s="495"/>
      <c r="AC69" s="504">
        <v>0</v>
      </c>
      <c r="AD69" s="504">
        <v>0</v>
      </c>
      <c r="AE69" s="504">
        <v>0</v>
      </c>
      <c r="AF69" s="504">
        <v>0</v>
      </c>
      <c r="AG69" s="504">
        <v>0</v>
      </c>
      <c r="AH69" s="504">
        <v>0</v>
      </c>
      <c r="AI69" s="504">
        <v>0</v>
      </c>
      <c r="AJ69" s="504">
        <v>0</v>
      </c>
      <c r="AK69" s="504">
        <v>0</v>
      </c>
      <c r="AL69" s="504">
        <v>0</v>
      </c>
      <c r="AM69" s="504">
        <v>0</v>
      </c>
      <c r="AN69" s="504">
        <v>0</v>
      </c>
      <c r="AO69" s="504">
        <v>0</v>
      </c>
      <c r="AP69" s="504">
        <v>0</v>
      </c>
      <c r="AQ69" s="504">
        <v>0</v>
      </c>
      <c r="AR69" s="504">
        <v>0</v>
      </c>
      <c r="AS69" s="504">
        <v>0</v>
      </c>
      <c r="AT69" s="504">
        <v>0</v>
      </c>
      <c r="AU69" s="504">
        <v>0</v>
      </c>
      <c r="AV69" s="504">
        <v>0</v>
      </c>
      <c r="AW69" s="504">
        <v>0</v>
      </c>
      <c r="AX69" s="504">
        <v>0</v>
      </c>
      <c r="AY69" s="504">
        <v>0</v>
      </c>
      <c r="AZ69" s="504">
        <v>0</v>
      </c>
      <c r="BA69" s="504">
        <v>0</v>
      </c>
      <c r="BB69" s="504">
        <v>0</v>
      </c>
      <c r="BC69" s="504">
        <v>0</v>
      </c>
      <c r="BD69" s="504">
        <v>0</v>
      </c>
      <c r="BE69" s="504">
        <v>0</v>
      </c>
      <c r="BF69" s="504">
        <v>0</v>
      </c>
      <c r="BG69" s="504">
        <v>0</v>
      </c>
      <c r="BH69" s="504">
        <v>0</v>
      </c>
      <c r="BI69" s="504">
        <v>0</v>
      </c>
      <c r="BJ69" s="504">
        <v>0</v>
      </c>
      <c r="BK69" s="504">
        <v>0</v>
      </c>
      <c r="BL69" s="504">
        <v>0</v>
      </c>
      <c r="BM69" s="504">
        <v>0</v>
      </c>
      <c r="BN69" s="504">
        <v>0</v>
      </c>
      <c r="BO69" s="504">
        <v>0</v>
      </c>
      <c r="BP69" s="504">
        <v>0</v>
      </c>
      <c r="BQ69" s="504">
        <v>0</v>
      </c>
      <c r="BR69" s="504">
        <v>0</v>
      </c>
      <c r="BS69" s="504">
        <v>0</v>
      </c>
      <c r="BT69" s="504">
        <v>0</v>
      </c>
      <c r="BU69" s="504">
        <v>0</v>
      </c>
      <c r="BV69" s="504">
        <v>0</v>
      </c>
      <c r="BW69" s="504">
        <v>0</v>
      </c>
      <c r="BX69" s="504">
        <v>0</v>
      </c>
      <c r="BY69" s="504">
        <v>0</v>
      </c>
      <c r="BZ69" s="504">
        <v>0</v>
      </c>
      <c r="CA69" s="504">
        <v>0</v>
      </c>
      <c r="CB69" s="504">
        <v>0</v>
      </c>
      <c r="CC69" s="504">
        <v>0</v>
      </c>
      <c r="CD69" s="504">
        <v>0</v>
      </c>
      <c r="CE69" s="504">
        <v>0</v>
      </c>
      <c r="CF69" s="504">
        <v>0</v>
      </c>
      <c r="CG69" s="504">
        <v>0</v>
      </c>
      <c r="CH69" s="504">
        <v>0</v>
      </c>
      <c r="CI69" s="504">
        <v>0</v>
      </c>
      <c r="CJ69" s="504">
        <v>0</v>
      </c>
      <c r="CK69" s="504">
        <v>0</v>
      </c>
      <c r="CL69" s="504">
        <v>0</v>
      </c>
      <c r="CM69" s="504">
        <v>0</v>
      </c>
      <c r="CN69" s="504">
        <v>0</v>
      </c>
      <c r="CO69" s="504">
        <v>0</v>
      </c>
      <c r="CP69" s="504">
        <v>0</v>
      </c>
      <c r="CQ69" s="504">
        <v>0</v>
      </c>
      <c r="CR69" s="504">
        <v>0</v>
      </c>
      <c r="CS69" s="504">
        <v>0</v>
      </c>
      <c r="CT69" s="504">
        <v>0</v>
      </c>
      <c r="CU69" s="504">
        <v>0</v>
      </c>
      <c r="CV69" s="504">
        <v>0</v>
      </c>
      <c r="CW69" s="504">
        <v>0</v>
      </c>
      <c r="CX69" s="504">
        <v>0</v>
      </c>
      <c r="CY69" s="504">
        <v>0</v>
      </c>
      <c r="CZ69" s="504">
        <v>0</v>
      </c>
      <c r="DA69" s="504">
        <v>0</v>
      </c>
      <c r="DB69" s="504">
        <v>0</v>
      </c>
      <c r="DC69" s="504">
        <v>0</v>
      </c>
      <c r="DD69" s="504">
        <v>0</v>
      </c>
      <c r="DE69" s="504">
        <v>0</v>
      </c>
      <c r="DF69" s="504">
        <v>0</v>
      </c>
      <c r="DG69" s="504">
        <v>0</v>
      </c>
      <c r="DH69" s="504">
        <v>0</v>
      </c>
      <c r="DI69" s="504">
        <v>0</v>
      </c>
      <c r="DJ69" s="504">
        <v>0</v>
      </c>
      <c r="DK69" s="504">
        <v>0</v>
      </c>
      <c r="DL69" s="504">
        <v>0</v>
      </c>
      <c r="DM69" s="504">
        <v>0</v>
      </c>
      <c r="DN69" s="504">
        <v>0</v>
      </c>
      <c r="DO69" s="504">
        <v>0</v>
      </c>
      <c r="DP69" s="504">
        <v>0</v>
      </c>
      <c r="DQ69" s="504">
        <v>0</v>
      </c>
      <c r="DR69" s="504">
        <v>0</v>
      </c>
      <c r="DS69" s="504">
        <v>0</v>
      </c>
      <c r="DT69" s="504">
        <v>0</v>
      </c>
      <c r="DU69" s="504">
        <v>0</v>
      </c>
      <c r="DV69" s="504">
        <v>0</v>
      </c>
      <c r="DW69" s="504">
        <v>0</v>
      </c>
      <c r="DX69" s="504">
        <v>0</v>
      </c>
      <c r="DY69" s="504">
        <v>0</v>
      </c>
      <c r="DZ69" s="504">
        <v>0</v>
      </c>
      <c r="EA69" s="504">
        <v>0</v>
      </c>
      <c r="EB69" s="504">
        <v>0</v>
      </c>
      <c r="EC69" s="504">
        <v>0</v>
      </c>
      <c r="ED69" s="504">
        <v>0</v>
      </c>
      <c r="EE69" s="504">
        <v>0</v>
      </c>
      <c r="EF69" s="504">
        <v>0</v>
      </c>
      <c r="EG69" s="504">
        <v>0</v>
      </c>
      <c r="EH69" s="504">
        <v>0</v>
      </c>
      <c r="EI69" s="504">
        <v>0</v>
      </c>
      <c r="EJ69" s="504">
        <v>0</v>
      </c>
      <c r="EK69" s="504">
        <v>0</v>
      </c>
      <c r="EL69" s="504">
        <v>0</v>
      </c>
      <c r="EM69" s="504">
        <v>0</v>
      </c>
      <c r="EN69" s="504">
        <v>0</v>
      </c>
      <c r="EO69" s="504">
        <v>0</v>
      </c>
      <c r="EP69" s="504">
        <v>0</v>
      </c>
      <c r="EQ69" s="504">
        <v>0</v>
      </c>
      <c r="ER69" s="504">
        <v>0</v>
      </c>
      <c r="ES69" s="504">
        <v>0</v>
      </c>
      <c r="ET69" s="504">
        <v>0</v>
      </c>
      <c r="EU69" s="504">
        <v>0</v>
      </c>
      <c r="EV69" s="504">
        <v>0</v>
      </c>
      <c r="EW69" s="504">
        <v>0</v>
      </c>
      <c r="EX69" s="504">
        <v>0</v>
      </c>
      <c r="EY69" s="504">
        <v>0</v>
      </c>
      <c r="EZ69" s="504">
        <v>0</v>
      </c>
      <c r="FA69" s="504">
        <v>0</v>
      </c>
      <c r="FB69" s="504">
        <v>0</v>
      </c>
      <c r="FC69" s="504">
        <v>0</v>
      </c>
      <c r="FD69" s="504">
        <v>0</v>
      </c>
      <c r="FE69" s="504">
        <v>0</v>
      </c>
      <c r="FF69" s="504">
        <v>0</v>
      </c>
      <c r="FG69" s="504">
        <v>0</v>
      </c>
      <c r="FH69" s="504">
        <v>0</v>
      </c>
      <c r="FI69" s="504">
        <v>0</v>
      </c>
      <c r="FJ69" s="504">
        <v>0</v>
      </c>
      <c r="FK69" s="504">
        <v>0</v>
      </c>
      <c r="FL69" s="504">
        <v>0</v>
      </c>
      <c r="FM69" s="504">
        <v>0</v>
      </c>
      <c r="FN69" s="504">
        <v>0</v>
      </c>
      <c r="FO69" s="504">
        <v>0</v>
      </c>
      <c r="FP69" s="504">
        <v>0</v>
      </c>
      <c r="FQ69" s="504">
        <v>0</v>
      </c>
      <c r="FR69" s="504">
        <v>0</v>
      </c>
      <c r="FS69" s="504">
        <v>0</v>
      </c>
      <c r="FT69" s="504">
        <v>0</v>
      </c>
      <c r="FU69" s="504">
        <v>0</v>
      </c>
      <c r="FV69" s="504">
        <v>0</v>
      </c>
      <c r="FW69" s="504">
        <v>0</v>
      </c>
      <c r="FX69" s="504">
        <v>0</v>
      </c>
      <c r="FY69" s="504">
        <v>0</v>
      </c>
      <c r="FZ69" s="504">
        <v>0</v>
      </c>
      <c r="GA69" s="504">
        <v>0</v>
      </c>
      <c r="GB69" s="504">
        <v>0</v>
      </c>
      <c r="GC69" s="504">
        <v>0</v>
      </c>
      <c r="GD69" s="504">
        <v>0</v>
      </c>
      <c r="GE69" s="504">
        <v>0</v>
      </c>
      <c r="GF69" s="504">
        <v>0</v>
      </c>
      <c r="GG69" s="504">
        <v>0</v>
      </c>
      <c r="GH69" s="504">
        <v>0</v>
      </c>
      <c r="GI69" s="504">
        <v>0</v>
      </c>
      <c r="GJ69" s="504">
        <v>0</v>
      </c>
      <c r="GK69" s="504">
        <v>0</v>
      </c>
      <c r="GL69" s="504">
        <v>0</v>
      </c>
      <c r="GM69" s="504">
        <v>0</v>
      </c>
      <c r="GN69" s="504">
        <v>0</v>
      </c>
      <c r="GO69" s="504">
        <v>0</v>
      </c>
      <c r="GP69" s="504">
        <v>0</v>
      </c>
      <c r="GQ69" s="504">
        <v>0</v>
      </c>
      <c r="GR69" s="504">
        <v>0</v>
      </c>
      <c r="GS69" s="504">
        <v>0</v>
      </c>
      <c r="GT69" s="504">
        <v>0</v>
      </c>
      <c r="GU69" s="504">
        <v>0</v>
      </c>
      <c r="GV69" s="504">
        <v>0</v>
      </c>
      <c r="GW69" s="504">
        <v>0</v>
      </c>
      <c r="GX69" s="504">
        <v>0</v>
      </c>
      <c r="GY69" s="504">
        <v>0</v>
      </c>
      <c r="GZ69" s="504">
        <v>0</v>
      </c>
      <c r="HA69" s="504">
        <v>0</v>
      </c>
      <c r="HB69" s="504">
        <v>0</v>
      </c>
      <c r="HC69" s="504">
        <v>0</v>
      </c>
      <c r="HD69" s="504">
        <v>0</v>
      </c>
      <c r="HE69" s="504">
        <v>0</v>
      </c>
      <c r="HF69" s="504">
        <v>0</v>
      </c>
      <c r="HG69" s="504">
        <v>0</v>
      </c>
      <c r="HH69" s="504">
        <v>0</v>
      </c>
      <c r="HI69" s="504">
        <v>0</v>
      </c>
      <c r="HJ69" s="504">
        <v>0</v>
      </c>
      <c r="HK69" s="504">
        <v>0</v>
      </c>
      <c r="HL69" s="504">
        <v>0</v>
      </c>
      <c r="HM69" s="504">
        <v>0</v>
      </c>
      <c r="HN69" s="504">
        <v>0</v>
      </c>
      <c r="HO69" s="504">
        <v>0</v>
      </c>
      <c r="HP69" s="504">
        <v>0</v>
      </c>
      <c r="HQ69" s="504">
        <v>0</v>
      </c>
      <c r="HR69" s="504">
        <v>0</v>
      </c>
      <c r="HS69" s="504">
        <v>0</v>
      </c>
      <c r="HT69" s="504">
        <v>0</v>
      </c>
      <c r="HU69" s="504">
        <v>0</v>
      </c>
      <c r="HV69" s="504">
        <v>0</v>
      </c>
      <c r="HW69" s="504">
        <v>0</v>
      </c>
      <c r="HX69" s="504">
        <v>0</v>
      </c>
      <c r="HY69" s="504">
        <v>0</v>
      </c>
      <c r="HZ69" s="504">
        <v>0</v>
      </c>
      <c r="IA69" s="504">
        <v>0</v>
      </c>
      <c r="IB69" s="504">
        <v>0</v>
      </c>
      <c r="IC69" s="504">
        <v>0</v>
      </c>
      <c r="ID69" s="504">
        <v>0</v>
      </c>
      <c r="IE69" s="504">
        <v>0</v>
      </c>
      <c r="IF69" s="504">
        <v>0</v>
      </c>
      <c r="IG69" s="504">
        <v>0</v>
      </c>
      <c r="IH69" s="504">
        <v>0</v>
      </c>
      <c r="II69" s="504">
        <v>0</v>
      </c>
      <c r="IJ69" s="504">
        <v>0</v>
      </c>
      <c r="IK69" s="504">
        <v>0</v>
      </c>
      <c r="IL69" s="504">
        <v>0</v>
      </c>
      <c r="IM69" s="504">
        <v>0</v>
      </c>
      <c r="IN69" s="504">
        <v>0</v>
      </c>
      <c r="IO69" s="504">
        <v>0</v>
      </c>
      <c r="IP69" s="504">
        <v>0</v>
      </c>
      <c r="IQ69" s="504">
        <v>0</v>
      </c>
      <c r="IR69" s="504">
        <v>0</v>
      </c>
      <c r="IS69" s="504">
        <v>0</v>
      </c>
      <c r="IT69" s="504">
        <v>0</v>
      </c>
      <c r="IU69" s="504">
        <v>0</v>
      </c>
      <c r="IV69" s="504">
        <v>0</v>
      </c>
      <c r="IW69" s="504">
        <v>0</v>
      </c>
      <c r="IX69" s="504">
        <v>0</v>
      </c>
      <c r="IY69" s="504">
        <v>0</v>
      </c>
      <c r="IZ69" s="504">
        <v>0</v>
      </c>
      <c r="JA69" s="504">
        <v>0</v>
      </c>
      <c r="JB69" s="504">
        <v>0</v>
      </c>
      <c r="JC69" s="504">
        <v>0</v>
      </c>
      <c r="JD69" s="504">
        <v>0</v>
      </c>
      <c r="JE69" s="504">
        <v>0</v>
      </c>
      <c r="JF69" s="504">
        <v>0</v>
      </c>
      <c r="JG69" s="504">
        <v>0</v>
      </c>
      <c r="JH69" s="504">
        <v>0</v>
      </c>
      <c r="JI69" s="504">
        <v>0</v>
      </c>
      <c r="JJ69" s="504">
        <v>0</v>
      </c>
      <c r="JK69" s="504">
        <v>0</v>
      </c>
      <c r="JL69" s="504">
        <v>0</v>
      </c>
      <c r="JM69" s="504">
        <v>0</v>
      </c>
      <c r="JN69" s="504">
        <v>0</v>
      </c>
      <c r="JO69" s="504">
        <v>0</v>
      </c>
      <c r="JP69" s="504">
        <v>0</v>
      </c>
      <c r="JQ69" s="504">
        <v>0</v>
      </c>
      <c r="JR69" s="504">
        <v>0</v>
      </c>
      <c r="JS69" s="504">
        <v>0</v>
      </c>
      <c r="JT69" s="504">
        <v>0</v>
      </c>
      <c r="JU69" s="504">
        <v>0</v>
      </c>
      <c r="JV69" s="504">
        <v>0</v>
      </c>
      <c r="JW69" s="504">
        <v>0</v>
      </c>
      <c r="JX69" s="504">
        <v>0</v>
      </c>
      <c r="JY69" s="504">
        <v>0</v>
      </c>
      <c r="JZ69" s="504">
        <v>0</v>
      </c>
      <c r="KA69" s="504">
        <v>0</v>
      </c>
      <c r="KB69" s="504">
        <v>0</v>
      </c>
      <c r="KC69" s="504">
        <v>0</v>
      </c>
      <c r="KD69" s="504">
        <v>0</v>
      </c>
      <c r="KE69" s="504">
        <v>0</v>
      </c>
      <c r="KF69" s="504">
        <v>0</v>
      </c>
      <c r="KG69" s="504">
        <v>0</v>
      </c>
      <c r="KH69" s="504">
        <v>0</v>
      </c>
      <c r="KI69" s="504">
        <v>0</v>
      </c>
      <c r="KJ69" s="504">
        <v>0</v>
      </c>
      <c r="KK69" s="504">
        <v>0</v>
      </c>
      <c r="KL69" s="504">
        <v>0</v>
      </c>
      <c r="KM69" s="504">
        <v>0</v>
      </c>
      <c r="KN69" s="504">
        <v>0</v>
      </c>
      <c r="KO69" s="504">
        <v>0</v>
      </c>
      <c r="KP69" s="504">
        <v>0</v>
      </c>
      <c r="KQ69" s="504">
        <v>0</v>
      </c>
      <c r="KR69" s="504">
        <v>0</v>
      </c>
      <c r="KS69" s="504">
        <v>0</v>
      </c>
      <c r="KT69" s="504">
        <v>0</v>
      </c>
      <c r="KU69" s="504">
        <v>0</v>
      </c>
      <c r="KV69" s="504">
        <v>0</v>
      </c>
      <c r="KW69" s="504">
        <v>0</v>
      </c>
      <c r="KX69" s="504">
        <v>0</v>
      </c>
      <c r="KY69" s="504">
        <v>0</v>
      </c>
      <c r="KZ69" s="504">
        <v>0</v>
      </c>
      <c r="LA69" s="504">
        <v>0</v>
      </c>
      <c r="LB69" s="504">
        <v>0</v>
      </c>
      <c r="LC69" s="504">
        <v>0</v>
      </c>
      <c r="LD69" s="504">
        <v>0</v>
      </c>
      <c r="LE69" s="504">
        <v>0</v>
      </c>
      <c r="LF69" s="504">
        <v>0</v>
      </c>
      <c r="LG69" s="504">
        <v>0</v>
      </c>
      <c r="LH69" s="504">
        <v>0</v>
      </c>
      <c r="LI69" s="504">
        <v>0</v>
      </c>
      <c r="LJ69" s="504">
        <v>0</v>
      </c>
      <c r="LK69" s="504">
        <v>0</v>
      </c>
      <c r="LL69" s="504">
        <v>0</v>
      </c>
      <c r="LM69" s="504">
        <v>0</v>
      </c>
      <c r="LN69" s="504">
        <v>0</v>
      </c>
      <c r="LO69" s="504">
        <v>0</v>
      </c>
      <c r="LP69" s="504">
        <v>0</v>
      </c>
      <c r="LQ69" s="504">
        <v>0</v>
      </c>
      <c r="LR69" s="504">
        <v>0</v>
      </c>
      <c r="LS69" s="504">
        <v>0</v>
      </c>
      <c r="LT69" s="504">
        <v>0</v>
      </c>
      <c r="LU69" s="504">
        <v>0</v>
      </c>
      <c r="LV69" s="504">
        <v>0</v>
      </c>
      <c r="LW69" s="504">
        <v>0</v>
      </c>
      <c r="LX69" s="504">
        <v>0</v>
      </c>
      <c r="LY69" s="504">
        <v>0</v>
      </c>
      <c r="LZ69" s="504">
        <v>0</v>
      </c>
      <c r="MA69" s="504">
        <v>0</v>
      </c>
      <c r="MB69" s="504">
        <v>0</v>
      </c>
      <c r="MC69" s="504">
        <v>0</v>
      </c>
      <c r="MD69" s="504">
        <v>0</v>
      </c>
      <c r="ME69" s="504">
        <v>0</v>
      </c>
      <c r="MF69" s="504">
        <v>0</v>
      </c>
      <c r="MG69" s="504">
        <v>0</v>
      </c>
      <c r="MH69" s="504">
        <v>0</v>
      </c>
      <c r="MI69" s="504">
        <v>0</v>
      </c>
      <c r="MJ69" s="504">
        <v>0</v>
      </c>
      <c r="MK69" s="504">
        <v>0</v>
      </c>
      <c r="ML69" s="504">
        <v>0</v>
      </c>
      <c r="MM69" s="504">
        <v>0</v>
      </c>
      <c r="MN69" s="504">
        <v>0</v>
      </c>
      <c r="MO69" s="504">
        <v>0</v>
      </c>
      <c r="MP69" s="504">
        <v>0</v>
      </c>
      <c r="MQ69" s="504">
        <v>0</v>
      </c>
      <c r="MR69" s="504">
        <v>0</v>
      </c>
      <c r="MS69" s="504">
        <v>0</v>
      </c>
      <c r="MT69" s="504">
        <v>0</v>
      </c>
      <c r="MU69" s="504">
        <v>0</v>
      </c>
      <c r="MV69" s="504">
        <v>0</v>
      </c>
      <c r="MW69" s="504">
        <v>0</v>
      </c>
      <c r="MX69" s="504">
        <v>0</v>
      </c>
      <c r="MY69" s="504">
        <v>0</v>
      </c>
      <c r="MZ69" s="504">
        <v>0</v>
      </c>
      <c r="NA69" s="504">
        <v>0</v>
      </c>
      <c r="NB69" s="504">
        <v>0</v>
      </c>
      <c r="NC69" s="504">
        <v>0</v>
      </c>
      <c r="ND69" s="504">
        <v>0</v>
      </c>
      <c r="NE69" s="504">
        <v>0</v>
      </c>
      <c r="NF69" s="504">
        <v>0</v>
      </c>
      <c r="NG69" s="504">
        <v>0</v>
      </c>
      <c r="NH69" s="504">
        <v>0</v>
      </c>
      <c r="NI69" s="504">
        <v>0</v>
      </c>
      <c r="NJ69" s="504">
        <v>0</v>
      </c>
      <c r="NK69" s="504">
        <v>0</v>
      </c>
      <c r="NL69" s="504">
        <v>0</v>
      </c>
      <c r="NM69" s="504">
        <v>0</v>
      </c>
      <c r="NN69" s="504">
        <v>0</v>
      </c>
      <c r="NO69" s="504">
        <v>0</v>
      </c>
      <c r="NP69" s="504">
        <v>0</v>
      </c>
      <c r="NQ69" s="504">
        <v>0</v>
      </c>
      <c r="NR69" s="504">
        <v>0</v>
      </c>
      <c r="NS69" s="504">
        <v>0</v>
      </c>
      <c r="NT69" s="504">
        <v>0</v>
      </c>
      <c r="NU69" s="504">
        <v>0</v>
      </c>
      <c r="NV69" s="504">
        <v>0</v>
      </c>
      <c r="NW69" s="504">
        <v>0</v>
      </c>
      <c r="NX69" s="504">
        <v>0</v>
      </c>
      <c r="NY69" s="504">
        <v>0</v>
      </c>
      <c r="NZ69" s="504">
        <v>0</v>
      </c>
      <c r="OA69" s="504">
        <v>0</v>
      </c>
      <c r="OB69" s="504">
        <v>0</v>
      </c>
      <c r="OC69" s="504">
        <v>0</v>
      </c>
      <c r="OD69" s="504">
        <v>0</v>
      </c>
      <c r="OE69" s="504">
        <v>0</v>
      </c>
      <c r="OF69" s="504">
        <v>0</v>
      </c>
      <c r="OG69" s="504">
        <v>0</v>
      </c>
      <c r="OH69" s="504">
        <v>0</v>
      </c>
      <c r="OI69" s="504">
        <v>0</v>
      </c>
      <c r="OJ69" s="504">
        <v>0</v>
      </c>
      <c r="OK69" s="504">
        <v>0</v>
      </c>
      <c r="OL69" s="504">
        <v>0</v>
      </c>
      <c r="OM69" s="504">
        <v>0</v>
      </c>
      <c r="ON69" s="494"/>
    </row>
    <row r="70" spans="1:404" ht="18.75" customHeight="1" x14ac:dyDescent="0.4">
      <c r="A70" s="355" t="s">
        <v>88</v>
      </c>
      <c r="B70" s="358">
        <v>191</v>
      </c>
      <c r="C70" s="355" t="s">
        <v>60</v>
      </c>
      <c r="D70" s="501">
        <v>46.45</v>
      </c>
      <c r="E70" s="502">
        <v>10860</v>
      </c>
      <c r="F70" s="501">
        <v>46.44</v>
      </c>
      <c r="G70" s="502">
        <v>11192</v>
      </c>
      <c r="H70" s="501">
        <v>46.45</v>
      </c>
      <c r="I70" s="502">
        <v>28121</v>
      </c>
      <c r="J70" s="501">
        <v>46.45</v>
      </c>
      <c r="K70" s="502">
        <v>30365</v>
      </c>
      <c r="V70" s="501"/>
      <c r="W70" s="503"/>
      <c r="X70" s="501"/>
      <c r="Y70" s="503"/>
      <c r="Z70" s="501"/>
      <c r="AA70" s="503"/>
      <c r="AB70" s="495"/>
      <c r="AC70" s="504">
        <v>0</v>
      </c>
      <c r="AD70" s="504">
        <v>0</v>
      </c>
      <c r="AE70" s="504">
        <v>0</v>
      </c>
      <c r="AF70" s="504">
        <v>0</v>
      </c>
      <c r="AG70" s="504">
        <v>0</v>
      </c>
      <c r="AH70" s="504">
        <v>0</v>
      </c>
      <c r="AI70" s="504">
        <v>0</v>
      </c>
      <c r="AJ70" s="504">
        <v>0</v>
      </c>
      <c r="AK70" s="504">
        <v>0</v>
      </c>
      <c r="AL70" s="504">
        <v>0</v>
      </c>
      <c r="AM70" s="504">
        <v>0</v>
      </c>
      <c r="AN70" s="504">
        <v>0</v>
      </c>
      <c r="AO70" s="504">
        <v>0</v>
      </c>
      <c r="AP70" s="504">
        <v>0</v>
      </c>
      <c r="AQ70" s="504">
        <v>0</v>
      </c>
      <c r="AR70" s="504">
        <v>0</v>
      </c>
      <c r="AS70" s="504">
        <v>0</v>
      </c>
      <c r="AT70" s="504">
        <v>0</v>
      </c>
      <c r="AU70" s="504">
        <v>0</v>
      </c>
      <c r="AV70" s="504">
        <v>0</v>
      </c>
      <c r="AW70" s="504">
        <v>0</v>
      </c>
      <c r="AX70" s="504">
        <v>0</v>
      </c>
      <c r="AY70" s="504">
        <v>0</v>
      </c>
      <c r="AZ70" s="504">
        <v>0</v>
      </c>
      <c r="BA70" s="504">
        <v>0</v>
      </c>
      <c r="BB70" s="504">
        <v>0</v>
      </c>
      <c r="BC70" s="504">
        <v>0</v>
      </c>
      <c r="BD70" s="504">
        <v>0</v>
      </c>
      <c r="BE70" s="504">
        <v>0</v>
      </c>
      <c r="BF70" s="504">
        <v>0</v>
      </c>
      <c r="BG70" s="504">
        <v>0</v>
      </c>
      <c r="BH70" s="504">
        <v>0</v>
      </c>
      <c r="BI70" s="504">
        <v>0</v>
      </c>
      <c r="BJ70" s="504">
        <v>0</v>
      </c>
      <c r="BK70" s="504">
        <v>0</v>
      </c>
      <c r="BL70" s="504">
        <v>0</v>
      </c>
      <c r="BM70" s="504">
        <v>0</v>
      </c>
      <c r="BN70" s="504">
        <v>0</v>
      </c>
      <c r="BO70" s="504">
        <v>0</v>
      </c>
      <c r="BP70" s="504">
        <v>0</v>
      </c>
      <c r="BQ70" s="504">
        <v>0</v>
      </c>
      <c r="BR70" s="504">
        <v>0</v>
      </c>
      <c r="BS70" s="504">
        <v>0</v>
      </c>
      <c r="BT70" s="504">
        <v>0</v>
      </c>
      <c r="BU70" s="504">
        <v>0</v>
      </c>
      <c r="BV70" s="504">
        <v>0</v>
      </c>
      <c r="BW70" s="504">
        <v>0</v>
      </c>
      <c r="BX70" s="504">
        <v>0</v>
      </c>
      <c r="BY70" s="504">
        <v>0</v>
      </c>
      <c r="BZ70" s="504">
        <v>0</v>
      </c>
      <c r="CA70" s="504">
        <v>0</v>
      </c>
      <c r="CB70" s="504">
        <v>0</v>
      </c>
      <c r="CC70" s="504">
        <v>0</v>
      </c>
      <c r="CD70" s="504">
        <v>0</v>
      </c>
      <c r="CE70" s="504">
        <v>0</v>
      </c>
      <c r="CF70" s="504">
        <v>0</v>
      </c>
      <c r="CG70" s="504">
        <v>0</v>
      </c>
      <c r="CH70" s="504">
        <v>0</v>
      </c>
      <c r="CI70" s="504">
        <v>0</v>
      </c>
      <c r="CJ70" s="504">
        <v>0</v>
      </c>
      <c r="CK70" s="504">
        <v>0</v>
      </c>
      <c r="CL70" s="504">
        <v>0</v>
      </c>
      <c r="CM70" s="504">
        <v>0</v>
      </c>
      <c r="CN70" s="504">
        <v>0</v>
      </c>
      <c r="CO70" s="504">
        <v>0</v>
      </c>
      <c r="CP70" s="504">
        <v>0</v>
      </c>
      <c r="CQ70" s="504">
        <v>0</v>
      </c>
      <c r="CR70" s="504">
        <v>0</v>
      </c>
      <c r="CS70" s="504">
        <v>0</v>
      </c>
      <c r="CT70" s="504">
        <v>0</v>
      </c>
      <c r="CU70" s="504">
        <v>0</v>
      </c>
      <c r="CV70" s="504">
        <v>0</v>
      </c>
      <c r="CW70" s="504">
        <v>0</v>
      </c>
      <c r="CX70" s="504">
        <v>0</v>
      </c>
      <c r="CY70" s="504">
        <v>0</v>
      </c>
      <c r="CZ70" s="504">
        <v>0</v>
      </c>
      <c r="DA70" s="504">
        <v>0</v>
      </c>
      <c r="DB70" s="504">
        <v>0</v>
      </c>
      <c r="DC70" s="504">
        <v>0</v>
      </c>
      <c r="DD70" s="504">
        <v>0</v>
      </c>
      <c r="DE70" s="504">
        <v>0</v>
      </c>
      <c r="DF70" s="504">
        <v>0</v>
      </c>
      <c r="DG70" s="504">
        <v>0</v>
      </c>
      <c r="DH70" s="504">
        <v>0</v>
      </c>
      <c r="DI70" s="504">
        <v>0</v>
      </c>
      <c r="DJ70" s="504">
        <v>0</v>
      </c>
      <c r="DK70" s="504">
        <v>0</v>
      </c>
      <c r="DL70" s="504">
        <v>0</v>
      </c>
      <c r="DM70" s="504">
        <v>0</v>
      </c>
      <c r="DN70" s="504">
        <v>0</v>
      </c>
      <c r="DO70" s="504">
        <v>0</v>
      </c>
      <c r="DP70" s="504">
        <v>0</v>
      </c>
      <c r="DQ70" s="504">
        <v>0</v>
      </c>
      <c r="DR70" s="504">
        <v>0</v>
      </c>
      <c r="DS70" s="504">
        <v>0</v>
      </c>
      <c r="DT70" s="504">
        <v>0</v>
      </c>
      <c r="DU70" s="504">
        <v>0</v>
      </c>
      <c r="DV70" s="504">
        <v>0</v>
      </c>
      <c r="DW70" s="504">
        <v>0</v>
      </c>
      <c r="DX70" s="504">
        <v>0</v>
      </c>
      <c r="DY70" s="504">
        <v>0</v>
      </c>
      <c r="DZ70" s="504">
        <v>0</v>
      </c>
      <c r="EA70" s="504">
        <v>0</v>
      </c>
      <c r="EB70" s="504">
        <v>0</v>
      </c>
      <c r="EC70" s="504">
        <v>0</v>
      </c>
      <c r="ED70" s="504">
        <v>0</v>
      </c>
      <c r="EE70" s="504">
        <v>0</v>
      </c>
      <c r="EF70" s="504">
        <v>0</v>
      </c>
      <c r="EG70" s="504">
        <v>0</v>
      </c>
      <c r="EH70" s="504">
        <v>0</v>
      </c>
      <c r="EI70" s="504">
        <v>0</v>
      </c>
      <c r="EJ70" s="504">
        <v>0</v>
      </c>
      <c r="EK70" s="504">
        <v>0</v>
      </c>
      <c r="EL70" s="504">
        <v>0</v>
      </c>
      <c r="EM70" s="504">
        <v>0</v>
      </c>
      <c r="EN70" s="504">
        <v>0</v>
      </c>
      <c r="EO70" s="504">
        <v>0</v>
      </c>
      <c r="EP70" s="504">
        <v>0</v>
      </c>
      <c r="EQ70" s="504">
        <v>0</v>
      </c>
      <c r="ER70" s="504">
        <v>0</v>
      </c>
      <c r="ES70" s="504">
        <v>0</v>
      </c>
      <c r="ET70" s="504">
        <v>0</v>
      </c>
      <c r="EU70" s="504">
        <v>0</v>
      </c>
      <c r="EV70" s="504">
        <v>0</v>
      </c>
      <c r="EW70" s="504">
        <v>0</v>
      </c>
      <c r="EX70" s="504">
        <v>0</v>
      </c>
      <c r="EY70" s="504">
        <v>0</v>
      </c>
      <c r="EZ70" s="504">
        <v>0</v>
      </c>
      <c r="FA70" s="504">
        <v>0</v>
      </c>
      <c r="FB70" s="504">
        <v>0</v>
      </c>
      <c r="FC70" s="504">
        <v>0</v>
      </c>
      <c r="FD70" s="504">
        <v>0</v>
      </c>
      <c r="FE70" s="504">
        <v>0</v>
      </c>
      <c r="FF70" s="504">
        <v>0</v>
      </c>
      <c r="FG70" s="504">
        <v>0</v>
      </c>
      <c r="FH70" s="504">
        <v>0</v>
      </c>
      <c r="FI70" s="504">
        <v>0</v>
      </c>
      <c r="FJ70" s="504">
        <v>0</v>
      </c>
      <c r="FK70" s="504">
        <v>0</v>
      </c>
      <c r="FL70" s="504">
        <v>0</v>
      </c>
      <c r="FM70" s="504">
        <v>0</v>
      </c>
      <c r="FN70" s="504">
        <v>0</v>
      </c>
      <c r="FO70" s="504">
        <v>0</v>
      </c>
      <c r="FP70" s="504">
        <v>0</v>
      </c>
      <c r="FQ70" s="504">
        <v>0</v>
      </c>
      <c r="FR70" s="504">
        <v>0</v>
      </c>
      <c r="FS70" s="504">
        <v>0</v>
      </c>
      <c r="FT70" s="504">
        <v>0</v>
      </c>
      <c r="FU70" s="504">
        <v>0</v>
      </c>
      <c r="FV70" s="504">
        <v>0</v>
      </c>
      <c r="FW70" s="504">
        <v>0</v>
      </c>
      <c r="FX70" s="504">
        <v>0</v>
      </c>
      <c r="FY70" s="504">
        <v>0</v>
      </c>
      <c r="FZ70" s="504">
        <v>0</v>
      </c>
      <c r="GA70" s="504">
        <v>0</v>
      </c>
      <c r="GB70" s="504">
        <v>0</v>
      </c>
      <c r="GC70" s="504">
        <v>0</v>
      </c>
      <c r="GD70" s="504">
        <v>0</v>
      </c>
      <c r="GE70" s="504">
        <v>0</v>
      </c>
      <c r="GF70" s="504">
        <v>0</v>
      </c>
      <c r="GG70" s="504">
        <v>0</v>
      </c>
      <c r="GH70" s="504">
        <v>0</v>
      </c>
      <c r="GI70" s="504">
        <v>0</v>
      </c>
      <c r="GJ70" s="504">
        <v>0</v>
      </c>
      <c r="GK70" s="504">
        <v>0</v>
      </c>
      <c r="GL70" s="504">
        <v>0</v>
      </c>
      <c r="GM70" s="504">
        <v>0</v>
      </c>
      <c r="GN70" s="504">
        <v>0</v>
      </c>
      <c r="GO70" s="504">
        <v>0</v>
      </c>
      <c r="GP70" s="504">
        <v>0</v>
      </c>
      <c r="GQ70" s="504">
        <v>0</v>
      </c>
      <c r="GR70" s="504">
        <v>0</v>
      </c>
      <c r="GS70" s="504">
        <v>0</v>
      </c>
      <c r="GT70" s="504">
        <v>0</v>
      </c>
      <c r="GU70" s="504">
        <v>0</v>
      </c>
      <c r="GV70" s="504">
        <v>0</v>
      </c>
      <c r="GW70" s="504">
        <v>0</v>
      </c>
      <c r="GX70" s="504">
        <v>0</v>
      </c>
      <c r="GY70" s="504">
        <v>0</v>
      </c>
      <c r="GZ70" s="504">
        <v>0</v>
      </c>
      <c r="HA70" s="504">
        <v>0</v>
      </c>
      <c r="HB70" s="504">
        <v>0</v>
      </c>
      <c r="HC70" s="504">
        <v>0</v>
      </c>
      <c r="HD70" s="504">
        <v>0</v>
      </c>
      <c r="HE70" s="504">
        <v>0</v>
      </c>
      <c r="HF70" s="504">
        <v>0</v>
      </c>
      <c r="HG70" s="504">
        <v>0</v>
      </c>
      <c r="HH70" s="504">
        <v>0</v>
      </c>
      <c r="HI70" s="504">
        <v>0</v>
      </c>
      <c r="HJ70" s="504">
        <v>0</v>
      </c>
      <c r="HK70" s="504">
        <v>0</v>
      </c>
      <c r="HL70" s="504">
        <v>0</v>
      </c>
      <c r="HM70" s="504">
        <v>0</v>
      </c>
      <c r="HN70" s="504">
        <v>0</v>
      </c>
      <c r="HO70" s="504">
        <v>0</v>
      </c>
      <c r="HP70" s="504">
        <v>0</v>
      </c>
      <c r="HQ70" s="504">
        <v>0</v>
      </c>
      <c r="HR70" s="504">
        <v>0</v>
      </c>
      <c r="HS70" s="504">
        <v>0</v>
      </c>
      <c r="HT70" s="504">
        <v>0</v>
      </c>
      <c r="HU70" s="504">
        <v>0</v>
      </c>
      <c r="HV70" s="504">
        <v>0</v>
      </c>
      <c r="HW70" s="504">
        <v>0</v>
      </c>
      <c r="HX70" s="504">
        <v>0</v>
      </c>
      <c r="HY70" s="504">
        <v>0</v>
      </c>
      <c r="HZ70" s="504">
        <v>0</v>
      </c>
      <c r="IA70" s="504">
        <v>0</v>
      </c>
      <c r="IB70" s="504">
        <v>0</v>
      </c>
      <c r="IC70" s="504">
        <v>0</v>
      </c>
      <c r="ID70" s="504">
        <v>0</v>
      </c>
      <c r="IE70" s="504">
        <v>0</v>
      </c>
      <c r="IF70" s="504">
        <v>0</v>
      </c>
      <c r="IG70" s="504">
        <v>0</v>
      </c>
      <c r="IH70" s="504">
        <v>0</v>
      </c>
      <c r="II70" s="504">
        <v>0</v>
      </c>
      <c r="IJ70" s="504">
        <v>0</v>
      </c>
      <c r="IK70" s="504">
        <v>0</v>
      </c>
      <c r="IL70" s="504">
        <v>0</v>
      </c>
      <c r="IM70" s="504">
        <v>0</v>
      </c>
      <c r="IN70" s="504">
        <v>0</v>
      </c>
      <c r="IO70" s="504">
        <v>0</v>
      </c>
      <c r="IP70" s="504">
        <v>0</v>
      </c>
      <c r="IQ70" s="504">
        <v>0</v>
      </c>
      <c r="IR70" s="504">
        <v>0</v>
      </c>
      <c r="IS70" s="504">
        <v>0</v>
      </c>
      <c r="IT70" s="504">
        <v>0</v>
      </c>
      <c r="IU70" s="504">
        <v>0</v>
      </c>
      <c r="IV70" s="504">
        <v>0</v>
      </c>
      <c r="IW70" s="504">
        <v>0</v>
      </c>
      <c r="IX70" s="504">
        <v>0</v>
      </c>
      <c r="IY70" s="504">
        <v>0</v>
      </c>
      <c r="IZ70" s="504">
        <v>0</v>
      </c>
      <c r="JA70" s="504">
        <v>0</v>
      </c>
      <c r="JB70" s="504">
        <v>0</v>
      </c>
      <c r="JC70" s="504">
        <v>0</v>
      </c>
      <c r="JD70" s="504">
        <v>0</v>
      </c>
      <c r="JE70" s="504">
        <v>0</v>
      </c>
      <c r="JF70" s="504">
        <v>0</v>
      </c>
      <c r="JG70" s="504">
        <v>0</v>
      </c>
      <c r="JH70" s="504">
        <v>0</v>
      </c>
      <c r="JI70" s="504">
        <v>0</v>
      </c>
      <c r="JJ70" s="504">
        <v>0</v>
      </c>
      <c r="JK70" s="504">
        <v>0</v>
      </c>
      <c r="JL70" s="504">
        <v>0</v>
      </c>
      <c r="JM70" s="504">
        <v>0</v>
      </c>
      <c r="JN70" s="504">
        <v>0</v>
      </c>
      <c r="JO70" s="504">
        <v>0</v>
      </c>
      <c r="JP70" s="504">
        <v>0</v>
      </c>
      <c r="JQ70" s="504">
        <v>0</v>
      </c>
      <c r="JR70" s="504">
        <v>0</v>
      </c>
      <c r="JS70" s="504">
        <v>0</v>
      </c>
      <c r="JT70" s="504">
        <v>0</v>
      </c>
      <c r="JU70" s="504">
        <v>0</v>
      </c>
      <c r="JV70" s="504">
        <v>0</v>
      </c>
      <c r="JW70" s="504">
        <v>0</v>
      </c>
      <c r="JX70" s="504">
        <v>0</v>
      </c>
      <c r="JY70" s="504">
        <v>0</v>
      </c>
      <c r="JZ70" s="504">
        <v>0</v>
      </c>
      <c r="KA70" s="504">
        <v>0</v>
      </c>
      <c r="KB70" s="504">
        <v>0</v>
      </c>
      <c r="KC70" s="504">
        <v>0</v>
      </c>
      <c r="KD70" s="504">
        <v>0</v>
      </c>
      <c r="KE70" s="504">
        <v>0</v>
      </c>
      <c r="KF70" s="504">
        <v>0</v>
      </c>
      <c r="KG70" s="504">
        <v>0</v>
      </c>
      <c r="KH70" s="504">
        <v>0</v>
      </c>
      <c r="KI70" s="504">
        <v>0</v>
      </c>
      <c r="KJ70" s="504">
        <v>0</v>
      </c>
      <c r="KK70" s="504">
        <v>0</v>
      </c>
      <c r="KL70" s="504">
        <v>0</v>
      </c>
      <c r="KM70" s="504">
        <v>0</v>
      </c>
      <c r="KN70" s="504">
        <v>0</v>
      </c>
      <c r="KO70" s="504">
        <v>0</v>
      </c>
      <c r="KP70" s="504">
        <v>0</v>
      </c>
      <c r="KQ70" s="504">
        <v>0</v>
      </c>
      <c r="KR70" s="504">
        <v>0</v>
      </c>
      <c r="KS70" s="504">
        <v>0</v>
      </c>
      <c r="KT70" s="504">
        <v>0</v>
      </c>
      <c r="KU70" s="504">
        <v>0</v>
      </c>
      <c r="KV70" s="504">
        <v>0</v>
      </c>
      <c r="KW70" s="504">
        <v>0</v>
      </c>
      <c r="KX70" s="504">
        <v>0</v>
      </c>
      <c r="KY70" s="504">
        <v>0</v>
      </c>
      <c r="KZ70" s="504">
        <v>0</v>
      </c>
      <c r="LA70" s="504">
        <v>0</v>
      </c>
      <c r="LB70" s="504">
        <v>0</v>
      </c>
      <c r="LC70" s="504">
        <v>0</v>
      </c>
      <c r="LD70" s="504">
        <v>0</v>
      </c>
      <c r="LE70" s="504">
        <v>0</v>
      </c>
      <c r="LF70" s="504">
        <v>0</v>
      </c>
      <c r="LG70" s="504">
        <v>0</v>
      </c>
      <c r="LH70" s="504">
        <v>0</v>
      </c>
      <c r="LI70" s="504">
        <v>0</v>
      </c>
      <c r="LJ70" s="504">
        <v>0</v>
      </c>
      <c r="LK70" s="504">
        <v>0</v>
      </c>
      <c r="LL70" s="504">
        <v>0</v>
      </c>
      <c r="LM70" s="504">
        <v>0</v>
      </c>
      <c r="LN70" s="504">
        <v>0</v>
      </c>
      <c r="LO70" s="504">
        <v>0</v>
      </c>
      <c r="LP70" s="504">
        <v>0</v>
      </c>
      <c r="LQ70" s="504">
        <v>0</v>
      </c>
      <c r="LR70" s="504">
        <v>0</v>
      </c>
      <c r="LS70" s="504">
        <v>0</v>
      </c>
      <c r="LT70" s="504">
        <v>0</v>
      </c>
      <c r="LU70" s="504">
        <v>0</v>
      </c>
      <c r="LV70" s="504">
        <v>0</v>
      </c>
      <c r="LW70" s="504">
        <v>0</v>
      </c>
      <c r="LX70" s="504">
        <v>0</v>
      </c>
      <c r="LY70" s="504">
        <v>0</v>
      </c>
      <c r="LZ70" s="504">
        <v>0</v>
      </c>
      <c r="MA70" s="504">
        <v>0</v>
      </c>
      <c r="MB70" s="504">
        <v>0</v>
      </c>
      <c r="MC70" s="504">
        <v>0</v>
      </c>
      <c r="MD70" s="504">
        <v>0</v>
      </c>
      <c r="ME70" s="504">
        <v>0</v>
      </c>
      <c r="MF70" s="504">
        <v>0</v>
      </c>
      <c r="MG70" s="504">
        <v>0</v>
      </c>
      <c r="MH70" s="504">
        <v>0</v>
      </c>
      <c r="MI70" s="504">
        <v>0</v>
      </c>
      <c r="MJ70" s="504">
        <v>0</v>
      </c>
      <c r="MK70" s="504">
        <v>0</v>
      </c>
      <c r="ML70" s="504">
        <v>0</v>
      </c>
      <c r="MM70" s="504">
        <v>0</v>
      </c>
      <c r="MN70" s="504">
        <v>0</v>
      </c>
      <c r="MO70" s="504">
        <v>0</v>
      </c>
      <c r="MP70" s="504">
        <v>0</v>
      </c>
      <c r="MQ70" s="504">
        <v>0</v>
      </c>
      <c r="MR70" s="504">
        <v>0</v>
      </c>
      <c r="MS70" s="504">
        <v>0</v>
      </c>
      <c r="MT70" s="504">
        <v>0</v>
      </c>
      <c r="MU70" s="504">
        <v>0</v>
      </c>
      <c r="MV70" s="504">
        <v>0</v>
      </c>
      <c r="MW70" s="504">
        <v>0</v>
      </c>
      <c r="MX70" s="504">
        <v>0</v>
      </c>
      <c r="MY70" s="504">
        <v>0</v>
      </c>
      <c r="MZ70" s="504">
        <v>0</v>
      </c>
      <c r="NA70" s="504">
        <v>0</v>
      </c>
      <c r="NB70" s="504">
        <v>0</v>
      </c>
      <c r="NC70" s="504">
        <v>0</v>
      </c>
      <c r="ND70" s="504">
        <v>0</v>
      </c>
      <c r="NE70" s="504">
        <v>0</v>
      </c>
      <c r="NF70" s="504">
        <v>0</v>
      </c>
      <c r="NG70" s="504">
        <v>0</v>
      </c>
      <c r="NH70" s="504">
        <v>0</v>
      </c>
      <c r="NI70" s="504">
        <v>0</v>
      </c>
      <c r="NJ70" s="504">
        <v>0</v>
      </c>
      <c r="NK70" s="504">
        <v>0</v>
      </c>
      <c r="NL70" s="504">
        <v>0</v>
      </c>
      <c r="NM70" s="504">
        <v>0</v>
      </c>
      <c r="NN70" s="504">
        <v>0</v>
      </c>
      <c r="NO70" s="504">
        <v>0</v>
      </c>
      <c r="NP70" s="504">
        <v>0</v>
      </c>
      <c r="NQ70" s="504">
        <v>0</v>
      </c>
      <c r="NR70" s="504">
        <v>0</v>
      </c>
      <c r="NS70" s="504">
        <v>0</v>
      </c>
      <c r="NT70" s="504">
        <v>0</v>
      </c>
      <c r="NU70" s="504">
        <v>0</v>
      </c>
      <c r="NV70" s="504">
        <v>0</v>
      </c>
      <c r="NW70" s="504">
        <v>0</v>
      </c>
      <c r="NX70" s="504">
        <v>0</v>
      </c>
      <c r="NY70" s="504">
        <v>0</v>
      </c>
      <c r="NZ70" s="504">
        <v>0</v>
      </c>
      <c r="OA70" s="504">
        <v>0</v>
      </c>
      <c r="OB70" s="504">
        <v>0</v>
      </c>
      <c r="OC70" s="504">
        <v>0</v>
      </c>
      <c r="OD70" s="504">
        <v>0</v>
      </c>
      <c r="OE70" s="504">
        <v>0</v>
      </c>
      <c r="OF70" s="504">
        <v>0</v>
      </c>
      <c r="OG70" s="504">
        <v>0</v>
      </c>
      <c r="OH70" s="504">
        <v>0</v>
      </c>
      <c r="OI70" s="504">
        <v>0</v>
      </c>
      <c r="OJ70" s="504">
        <v>0</v>
      </c>
      <c r="OK70" s="504">
        <v>0</v>
      </c>
      <c r="OL70" s="504">
        <v>0</v>
      </c>
      <c r="OM70" s="504">
        <v>0</v>
      </c>
      <c r="ON70" s="494"/>
    </row>
    <row r="71" spans="1:404" ht="18.75" customHeight="1" x14ac:dyDescent="0.4">
      <c r="A71" s="355" t="s">
        <v>345</v>
      </c>
      <c r="B71" s="358">
        <v>231</v>
      </c>
      <c r="C71" s="355" t="s">
        <v>60</v>
      </c>
      <c r="D71" s="501">
        <v>46.72</v>
      </c>
      <c r="E71" s="502">
        <v>29288</v>
      </c>
      <c r="F71" s="501">
        <v>46.71</v>
      </c>
      <c r="H71" s="501">
        <v>46.72</v>
      </c>
      <c r="J71" s="501">
        <v>46.71</v>
      </c>
      <c r="V71" s="501"/>
      <c r="W71" s="503"/>
      <c r="X71" s="501"/>
      <c r="Y71" s="503"/>
      <c r="Z71" s="501"/>
      <c r="AA71" s="503"/>
      <c r="AB71" s="495"/>
      <c r="AC71" s="504">
        <v>0</v>
      </c>
      <c r="AD71" s="504">
        <v>0</v>
      </c>
      <c r="AE71" s="504">
        <v>0</v>
      </c>
      <c r="AF71" s="504">
        <v>0</v>
      </c>
      <c r="AG71" s="504">
        <v>0</v>
      </c>
      <c r="AH71" s="504">
        <v>0</v>
      </c>
      <c r="AI71" s="504">
        <v>0</v>
      </c>
      <c r="AJ71" s="504">
        <v>0</v>
      </c>
      <c r="AK71" s="504">
        <v>0</v>
      </c>
      <c r="AL71" s="504">
        <v>0</v>
      </c>
      <c r="AM71" s="504">
        <v>0</v>
      </c>
      <c r="AN71" s="504">
        <v>0</v>
      </c>
      <c r="AO71" s="504">
        <v>0</v>
      </c>
      <c r="AP71" s="504">
        <v>0</v>
      </c>
      <c r="AQ71" s="504">
        <v>0</v>
      </c>
      <c r="AR71" s="504">
        <v>0</v>
      </c>
      <c r="AS71" s="504">
        <v>0</v>
      </c>
      <c r="AT71" s="504">
        <v>0</v>
      </c>
      <c r="AU71" s="504">
        <v>0</v>
      </c>
      <c r="AV71" s="504">
        <v>0</v>
      </c>
      <c r="AW71" s="504">
        <v>0</v>
      </c>
      <c r="AX71" s="504">
        <v>0</v>
      </c>
      <c r="AY71" s="504">
        <v>0</v>
      </c>
      <c r="AZ71" s="504">
        <v>0</v>
      </c>
      <c r="BA71" s="504">
        <v>0</v>
      </c>
      <c r="BB71" s="504">
        <v>0</v>
      </c>
      <c r="BC71" s="504">
        <v>0</v>
      </c>
      <c r="BD71" s="504">
        <v>0</v>
      </c>
      <c r="BE71" s="504">
        <v>0</v>
      </c>
      <c r="BF71" s="504">
        <v>0</v>
      </c>
      <c r="BG71" s="504">
        <v>0</v>
      </c>
      <c r="BH71" s="504">
        <v>0</v>
      </c>
      <c r="BI71" s="504">
        <v>0</v>
      </c>
      <c r="BJ71" s="504">
        <v>0</v>
      </c>
      <c r="BK71" s="504">
        <v>0</v>
      </c>
      <c r="BL71" s="504">
        <v>0</v>
      </c>
      <c r="BM71" s="504">
        <v>0</v>
      </c>
      <c r="BN71" s="504">
        <v>0</v>
      </c>
      <c r="BO71" s="504">
        <v>0</v>
      </c>
      <c r="BP71" s="504">
        <v>0</v>
      </c>
      <c r="BQ71" s="504">
        <v>0</v>
      </c>
      <c r="BR71" s="504">
        <v>0</v>
      </c>
      <c r="BS71" s="504">
        <v>0</v>
      </c>
      <c r="BT71" s="504">
        <v>0</v>
      </c>
      <c r="BU71" s="504">
        <v>0</v>
      </c>
      <c r="BV71" s="504">
        <v>0</v>
      </c>
      <c r="BW71" s="504">
        <v>0</v>
      </c>
      <c r="BX71" s="504">
        <v>0</v>
      </c>
      <c r="BY71" s="504">
        <v>0</v>
      </c>
      <c r="BZ71" s="504">
        <v>0</v>
      </c>
      <c r="CA71" s="504">
        <v>0</v>
      </c>
      <c r="CB71" s="504">
        <v>0</v>
      </c>
      <c r="CC71" s="504">
        <v>0</v>
      </c>
      <c r="CD71" s="504">
        <v>0</v>
      </c>
      <c r="CE71" s="504">
        <v>0</v>
      </c>
      <c r="CF71" s="504">
        <v>0</v>
      </c>
      <c r="CG71" s="504">
        <v>0</v>
      </c>
      <c r="CH71" s="504">
        <v>0</v>
      </c>
      <c r="CI71" s="504">
        <v>0</v>
      </c>
      <c r="CJ71" s="504">
        <v>0</v>
      </c>
      <c r="CK71" s="504">
        <v>0</v>
      </c>
      <c r="CL71" s="504">
        <v>0</v>
      </c>
      <c r="CM71" s="504">
        <v>0</v>
      </c>
      <c r="CN71" s="504">
        <v>0</v>
      </c>
      <c r="CO71" s="504">
        <v>0</v>
      </c>
      <c r="CP71" s="504">
        <v>0</v>
      </c>
      <c r="CQ71" s="504">
        <v>0</v>
      </c>
      <c r="CR71" s="504">
        <v>0</v>
      </c>
      <c r="CS71" s="504">
        <v>0</v>
      </c>
      <c r="CT71" s="504">
        <v>0</v>
      </c>
      <c r="CU71" s="504">
        <v>0</v>
      </c>
      <c r="CV71" s="504">
        <v>0</v>
      </c>
      <c r="CW71" s="504">
        <v>0</v>
      </c>
      <c r="CX71" s="504">
        <v>0</v>
      </c>
      <c r="CY71" s="504">
        <v>0</v>
      </c>
      <c r="CZ71" s="504">
        <v>0</v>
      </c>
      <c r="DA71" s="504">
        <v>0</v>
      </c>
      <c r="DB71" s="504">
        <v>0</v>
      </c>
      <c r="DC71" s="504">
        <v>0</v>
      </c>
      <c r="DD71" s="504">
        <v>0</v>
      </c>
      <c r="DE71" s="504">
        <v>0</v>
      </c>
      <c r="DF71" s="504">
        <v>0</v>
      </c>
      <c r="DG71" s="504">
        <v>0</v>
      </c>
      <c r="DH71" s="504">
        <v>0</v>
      </c>
      <c r="DI71" s="504">
        <v>0</v>
      </c>
      <c r="DJ71" s="504">
        <v>0</v>
      </c>
      <c r="DK71" s="504">
        <v>0</v>
      </c>
      <c r="DL71" s="504">
        <v>0</v>
      </c>
      <c r="DM71" s="504">
        <v>0</v>
      </c>
      <c r="DN71" s="504">
        <v>0</v>
      </c>
      <c r="DO71" s="504">
        <v>0</v>
      </c>
      <c r="DP71" s="504">
        <v>0</v>
      </c>
      <c r="DQ71" s="504">
        <v>0</v>
      </c>
      <c r="DR71" s="504">
        <v>0</v>
      </c>
      <c r="DS71" s="504">
        <v>0</v>
      </c>
      <c r="DT71" s="504">
        <v>0</v>
      </c>
      <c r="DU71" s="504">
        <v>0</v>
      </c>
      <c r="DV71" s="504">
        <v>0</v>
      </c>
      <c r="DW71" s="504">
        <v>0</v>
      </c>
      <c r="DX71" s="504">
        <v>0</v>
      </c>
      <c r="DY71" s="504">
        <v>0</v>
      </c>
      <c r="DZ71" s="504">
        <v>0</v>
      </c>
      <c r="EA71" s="504">
        <v>0</v>
      </c>
      <c r="EB71" s="504">
        <v>0</v>
      </c>
      <c r="EC71" s="504">
        <v>0</v>
      </c>
      <c r="ED71" s="504">
        <v>0</v>
      </c>
      <c r="EE71" s="504">
        <v>0</v>
      </c>
      <c r="EF71" s="504">
        <v>0</v>
      </c>
      <c r="EG71" s="504">
        <v>0</v>
      </c>
      <c r="EH71" s="504">
        <v>0</v>
      </c>
      <c r="EI71" s="504">
        <v>0</v>
      </c>
      <c r="EJ71" s="504">
        <v>0</v>
      </c>
      <c r="EK71" s="504">
        <v>0</v>
      </c>
      <c r="EL71" s="504">
        <v>0</v>
      </c>
      <c r="EM71" s="504">
        <v>0</v>
      </c>
      <c r="EN71" s="504">
        <v>0</v>
      </c>
      <c r="EO71" s="504">
        <v>0</v>
      </c>
      <c r="EP71" s="504">
        <v>0</v>
      </c>
      <c r="EQ71" s="504">
        <v>0</v>
      </c>
      <c r="ER71" s="504">
        <v>0</v>
      </c>
      <c r="ES71" s="504">
        <v>0</v>
      </c>
      <c r="ET71" s="504">
        <v>0</v>
      </c>
      <c r="EU71" s="504">
        <v>0</v>
      </c>
      <c r="EV71" s="504">
        <v>0</v>
      </c>
      <c r="EW71" s="504">
        <v>0</v>
      </c>
      <c r="EX71" s="504">
        <v>0</v>
      </c>
      <c r="EY71" s="504">
        <v>0</v>
      </c>
      <c r="EZ71" s="504">
        <v>0</v>
      </c>
      <c r="FA71" s="504">
        <v>0</v>
      </c>
      <c r="FB71" s="504">
        <v>0</v>
      </c>
      <c r="FC71" s="504">
        <v>0</v>
      </c>
      <c r="FD71" s="504">
        <v>0</v>
      </c>
      <c r="FE71" s="504">
        <v>0</v>
      </c>
      <c r="FF71" s="504">
        <v>0</v>
      </c>
      <c r="FG71" s="504">
        <v>0</v>
      </c>
      <c r="FH71" s="504">
        <v>0</v>
      </c>
      <c r="FI71" s="504">
        <v>0</v>
      </c>
      <c r="FJ71" s="504">
        <v>0</v>
      </c>
      <c r="FK71" s="504">
        <v>0</v>
      </c>
      <c r="FL71" s="504">
        <v>0</v>
      </c>
      <c r="FM71" s="504">
        <v>0</v>
      </c>
      <c r="FN71" s="504">
        <v>0</v>
      </c>
      <c r="FO71" s="504">
        <v>0</v>
      </c>
      <c r="FP71" s="504">
        <v>0</v>
      </c>
      <c r="FQ71" s="504">
        <v>0</v>
      </c>
      <c r="FR71" s="504">
        <v>0</v>
      </c>
      <c r="FS71" s="504">
        <v>0</v>
      </c>
      <c r="FT71" s="504">
        <v>0</v>
      </c>
      <c r="FU71" s="504">
        <v>0</v>
      </c>
      <c r="FV71" s="504">
        <v>0</v>
      </c>
      <c r="FW71" s="504">
        <v>0</v>
      </c>
      <c r="FX71" s="504">
        <v>0</v>
      </c>
      <c r="FY71" s="504">
        <v>0</v>
      </c>
      <c r="FZ71" s="504">
        <v>0</v>
      </c>
      <c r="GA71" s="504">
        <v>0</v>
      </c>
      <c r="GB71" s="504">
        <v>0</v>
      </c>
      <c r="GC71" s="504">
        <v>0</v>
      </c>
      <c r="GD71" s="504">
        <v>0</v>
      </c>
      <c r="GE71" s="504">
        <v>0</v>
      </c>
      <c r="GF71" s="504">
        <v>0</v>
      </c>
      <c r="GG71" s="504">
        <v>0</v>
      </c>
      <c r="GH71" s="504">
        <v>0</v>
      </c>
      <c r="GI71" s="504">
        <v>0</v>
      </c>
      <c r="GJ71" s="504">
        <v>0</v>
      </c>
      <c r="GK71" s="504">
        <v>0</v>
      </c>
      <c r="GL71" s="504">
        <v>0</v>
      </c>
      <c r="GM71" s="504">
        <v>0</v>
      </c>
      <c r="GN71" s="504">
        <v>0</v>
      </c>
      <c r="GO71" s="504">
        <v>0</v>
      </c>
      <c r="GP71" s="504">
        <v>0</v>
      </c>
      <c r="GQ71" s="504">
        <v>0</v>
      </c>
      <c r="GR71" s="504">
        <v>0</v>
      </c>
      <c r="GS71" s="504">
        <v>0</v>
      </c>
      <c r="GT71" s="504">
        <v>0</v>
      </c>
      <c r="GU71" s="504">
        <v>0</v>
      </c>
      <c r="GV71" s="504">
        <v>0</v>
      </c>
      <c r="GW71" s="504">
        <v>0</v>
      </c>
      <c r="GX71" s="504">
        <v>0</v>
      </c>
      <c r="GY71" s="504">
        <v>0</v>
      </c>
      <c r="GZ71" s="504">
        <v>0</v>
      </c>
      <c r="HA71" s="504">
        <v>0</v>
      </c>
      <c r="HB71" s="504">
        <v>0</v>
      </c>
      <c r="HC71" s="504">
        <v>0</v>
      </c>
      <c r="HD71" s="504">
        <v>0</v>
      </c>
      <c r="HE71" s="504">
        <v>0</v>
      </c>
      <c r="HF71" s="504">
        <v>0</v>
      </c>
      <c r="HG71" s="504">
        <v>0</v>
      </c>
      <c r="HH71" s="504">
        <v>0</v>
      </c>
      <c r="HI71" s="504">
        <v>0</v>
      </c>
      <c r="HJ71" s="504">
        <v>0</v>
      </c>
      <c r="HK71" s="504">
        <v>0</v>
      </c>
      <c r="HL71" s="504">
        <v>0</v>
      </c>
      <c r="HM71" s="504">
        <v>0</v>
      </c>
      <c r="HN71" s="504">
        <v>0</v>
      </c>
      <c r="HO71" s="504">
        <v>0</v>
      </c>
      <c r="HP71" s="504">
        <v>0</v>
      </c>
      <c r="HQ71" s="504">
        <v>0</v>
      </c>
      <c r="HR71" s="504">
        <v>0</v>
      </c>
      <c r="HS71" s="504">
        <v>0</v>
      </c>
      <c r="HT71" s="504">
        <v>0</v>
      </c>
      <c r="HU71" s="504">
        <v>0</v>
      </c>
      <c r="HV71" s="504">
        <v>0</v>
      </c>
      <c r="HW71" s="504">
        <v>0</v>
      </c>
      <c r="HX71" s="504">
        <v>0</v>
      </c>
      <c r="HY71" s="504">
        <v>0</v>
      </c>
      <c r="HZ71" s="504">
        <v>0</v>
      </c>
      <c r="IA71" s="504">
        <v>0</v>
      </c>
      <c r="IB71" s="504">
        <v>0</v>
      </c>
      <c r="IC71" s="504">
        <v>0</v>
      </c>
      <c r="ID71" s="504">
        <v>0</v>
      </c>
      <c r="IE71" s="504">
        <v>0</v>
      </c>
      <c r="IF71" s="504">
        <v>0</v>
      </c>
      <c r="IG71" s="504">
        <v>0</v>
      </c>
      <c r="IH71" s="504">
        <v>0</v>
      </c>
      <c r="II71" s="504">
        <v>0</v>
      </c>
      <c r="IJ71" s="504">
        <v>0</v>
      </c>
      <c r="IK71" s="504">
        <v>0</v>
      </c>
      <c r="IL71" s="504">
        <v>0</v>
      </c>
      <c r="IM71" s="504">
        <v>0</v>
      </c>
      <c r="IN71" s="504">
        <v>0</v>
      </c>
      <c r="IO71" s="504">
        <v>0</v>
      </c>
      <c r="IP71" s="504">
        <v>0</v>
      </c>
      <c r="IQ71" s="504">
        <v>0</v>
      </c>
      <c r="IR71" s="504">
        <v>0</v>
      </c>
      <c r="IS71" s="504">
        <v>0</v>
      </c>
      <c r="IT71" s="504">
        <v>0</v>
      </c>
      <c r="IU71" s="504">
        <v>0</v>
      </c>
      <c r="IV71" s="504">
        <v>0</v>
      </c>
      <c r="IW71" s="504">
        <v>0</v>
      </c>
      <c r="IX71" s="504">
        <v>0</v>
      </c>
      <c r="IY71" s="504">
        <v>0</v>
      </c>
      <c r="IZ71" s="504">
        <v>0</v>
      </c>
      <c r="JA71" s="504">
        <v>0</v>
      </c>
      <c r="JB71" s="504">
        <v>0</v>
      </c>
      <c r="JC71" s="504">
        <v>0</v>
      </c>
      <c r="JD71" s="504">
        <v>0</v>
      </c>
      <c r="JE71" s="504">
        <v>0</v>
      </c>
      <c r="JF71" s="504">
        <v>0</v>
      </c>
      <c r="JG71" s="504">
        <v>0</v>
      </c>
      <c r="JH71" s="504">
        <v>0</v>
      </c>
      <c r="JI71" s="504">
        <v>0</v>
      </c>
      <c r="JJ71" s="504">
        <v>0</v>
      </c>
      <c r="JK71" s="504">
        <v>0</v>
      </c>
      <c r="JL71" s="504">
        <v>0</v>
      </c>
      <c r="JM71" s="504">
        <v>0</v>
      </c>
      <c r="JN71" s="504">
        <v>0</v>
      </c>
      <c r="JO71" s="504">
        <v>0</v>
      </c>
      <c r="JP71" s="504">
        <v>0</v>
      </c>
      <c r="JQ71" s="504">
        <v>0</v>
      </c>
      <c r="JR71" s="504">
        <v>0</v>
      </c>
      <c r="JS71" s="504">
        <v>0</v>
      </c>
      <c r="JT71" s="504">
        <v>0</v>
      </c>
      <c r="JU71" s="504">
        <v>0</v>
      </c>
      <c r="JV71" s="504">
        <v>0</v>
      </c>
      <c r="JW71" s="504">
        <v>0</v>
      </c>
      <c r="JX71" s="504">
        <v>0</v>
      </c>
      <c r="JY71" s="504">
        <v>0</v>
      </c>
      <c r="JZ71" s="504">
        <v>0</v>
      </c>
      <c r="KA71" s="504">
        <v>0</v>
      </c>
      <c r="KB71" s="504">
        <v>0</v>
      </c>
      <c r="KC71" s="504">
        <v>0</v>
      </c>
      <c r="KD71" s="504">
        <v>0</v>
      </c>
      <c r="KE71" s="504">
        <v>0</v>
      </c>
      <c r="KF71" s="504">
        <v>0</v>
      </c>
      <c r="KG71" s="504">
        <v>0</v>
      </c>
      <c r="KH71" s="504">
        <v>0</v>
      </c>
      <c r="KI71" s="504">
        <v>0</v>
      </c>
      <c r="KJ71" s="504">
        <v>0</v>
      </c>
      <c r="KK71" s="504">
        <v>0</v>
      </c>
      <c r="KL71" s="504">
        <v>0</v>
      </c>
      <c r="KM71" s="504">
        <v>0</v>
      </c>
      <c r="KN71" s="504">
        <v>0</v>
      </c>
      <c r="KO71" s="504">
        <v>0</v>
      </c>
      <c r="KP71" s="504">
        <v>0</v>
      </c>
      <c r="KQ71" s="504">
        <v>0</v>
      </c>
      <c r="KR71" s="504">
        <v>0</v>
      </c>
      <c r="KS71" s="504">
        <v>0</v>
      </c>
      <c r="KT71" s="504">
        <v>0</v>
      </c>
      <c r="KU71" s="504">
        <v>0</v>
      </c>
      <c r="KV71" s="504">
        <v>0</v>
      </c>
      <c r="KW71" s="504">
        <v>0</v>
      </c>
      <c r="KX71" s="504">
        <v>0</v>
      </c>
      <c r="KY71" s="504">
        <v>0</v>
      </c>
      <c r="KZ71" s="504">
        <v>0</v>
      </c>
      <c r="LA71" s="504">
        <v>0</v>
      </c>
      <c r="LB71" s="504">
        <v>0</v>
      </c>
      <c r="LC71" s="504">
        <v>0</v>
      </c>
      <c r="LD71" s="504">
        <v>0</v>
      </c>
      <c r="LE71" s="504">
        <v>0</v>
      </c>
      <c r="LF71" s="504">
        <v>0</v>
      </c>
      <c r="LG71" s="504">
        <v>0</v>
      </c>
      <c r="LH71" s="504">
        <v>0</v>
      </c>
      <c r="LI71" s="504">
        <v>0</v>
      </c>
      <c r="LJ71" s="504">
        <v>0</v>
      </c>
      <c r="LK71" s="504">
        <v>0</v>
      </c>
      <c r="LL71" s="504">
        <v>0</v>
      </c>
      <c r="LM71" s="504">
        <v>0</v>
      </c>
      <c r="LN71" s="504">
        <v>0</v>
      </c>
      <c r="LO71" s="504">
        <v>0</v>
      </c>
      <c r="LP71" s="504">
        <v>0</v>
      </c>
      <c r="LQ71" s="504">
        <v>0</v>
      </c>
      <c r="LR71" s="504">
        <v>0</v>
      </c>
      <c r="LS71" s="504">
        <v>0</v>
      </c>
      <c r="LT71" s="504">
        <v>0</v>
      </c>
      <c r="LU71" s="504">
        <v>0</v>
      </c>
      <c r="LV71" s="504">
        <v>0</v>
      </c>
      <c r="LW71" s="504">
        <v>0</v>
      </c>
      <c r="LX71" s="504">
        <v>0</v>
      </c>
      <c r="LY71" s="504">
        <v>0</v>
      </c>
      <c r="LZ71" s="504">
        <v>0</v>
      </c>
      <c r="MA71" s="504">
        <v>0</v>
      </c>
      <c r="MB71" s="504">
        <v>0</v>
      </c>
      <c r="MC71" s="504">
        <v>0</v>
      </c>
      <c r="MD71" s="504">
        <v>0</v>
      </c>
      <c r="ME71" s="504">
        <v>0</v>
      </c>
      <c r="MF71" s="504">
        <v>0</v>
      </c>
      <c r="MG71" s="504">
        <v>0</v>
      </c>
      <c r="MH71" s="504">
        <v>0</v>
      </c>
      <c r="MI71" s="504">
        <v>0</v>
      </c>
      <c r="MJ71" s="504">
        <v>0</v>
      </c>
      <c r="MK71" s="504">
        <v>0</v>
      </c>
      <c r="ML71" s="504">
        <v>0</v>
      </c>
      <c r="MM71" s="504">
        <v>0</v>
      </c>
      <c r="MN71" s="504">
        <v>0</v>
      </c>
      <c r="MO71" s="504">
        <v>0</v>
      </c>
      <c r="MP71" s="504">
        <v>0</v>
      </c>
      <c r="MQ71" s="504">
        <v>0</v>
      </c>
      <c r="MR71" s="504">
        <v>0</v>
      </c>
      <c r="MS71" s="504">
        <v>0</v>
      </c>
      <c r="MT71" s="504">
        <v>0</v>
      </c>
      <c r="MU71" s="504">
        <v>0</v>
      </c>
      <c r="MV71" s="504">
        <v>0</v>
      </c>
      <c r="MW71" s="504">
        <v>0</v>
      </c>
      <c r="MX71" s="504">
        <v>0</v>
      </c>
      <c r="MY71" s="504">
        <v>0</v>
      </c>
      <c r="MZ71" s="504">
        <v>0</v>
      </c>
      <c r="NA71" s="504">
        <v>0</v>
      </c>
      <c r="NB71" s="504">
        <v>0</v>
      </c>
      <c r="NC71" s="504">
        <v>0</v>
      </c>
      <c r="ND71" s="504">
        <v>0</v>
      </c>
      <c r="NE71" s="504">
        <v>0</v>
      </c>
      <c r="NF71" s="504">
        <v>0</v>
      </c>
      <c r="NG71" s="504">
        <v>0</v>
      </c>
      <c r="NH71" s="504">
        <v>0</v>
      </c>
      <c r="NI71" s="504">
        <v>0</v>
      </c>
      <c r="NJ71" s="504">
        <v>0</v>
      </c>
      <c r="NK71" s="504">
        <v>0</v>
      </c>
      <c r="NL71" s="504">
        <v>0</v>
      </c>
      <c r="NM71" s="504">
        <v>0</v>
      </c>
      <c r="NN71" s="504">
        <v>0</v>
      </c>
      <c r="NO71" s="504">
        <v>0</v>
      </c>
      <c r="NP71" s="504">
        <v>0</v>
      </c>
      <c r="NQ71" s="504">
        <v>0</v>
      </c>
      <c r="NR71" s="504">
        <v>0</v>
      </c>
      <c r="NS71" s="504">
        <v>0</v>
      </c>
      <c r="NT71" s="504">
        <v>0</v>
      </c>
      <c r="NU71" s="504">
        <v>0</v>
      </c>
      <c r="NV71" s="504">
        <v>0</v>
      </c>
      <c r="NW71" s="504">
        <v>0</v>
      </c>
      <c r="NX71" s="504">
        <v>0</v>
      </c>
      <c r="NY71" s="504">
        <v>0</v>
      </c>
      <c r="NZ71" s="504">
        <v>0</v>
      </c>
      <c r="OA71" s="504">
        <v>0</v>
      </c>
      <c r="OB71" s="504">
        <v>0</v>
      </c>
      <c r="OC71" s="504">
        <v>0</v>
      </c>
      <c r="OD71" s="504">
        <v>0</v>
      </c>
      <c r="OE71" s="504">
        <v>0</v>
      </c>
      <c r="OF71" s="504">
        <v>0</v>
      </c>
      <c r="OG71" s="504">
        <v>0</v>
      </c>
      <c r="OH71" s="504">
        <v>0</v>
      </c>
      <c r="OI71" s="504">
        <v>0</v>
      </c>
      <c r="OJ71" s="504">
        <v>0</v>
      </c>
      <c r="OK71" s="504">
        <v>0</v>
      </c>
      <c r="OL71" s="504">
        <v>0</v>
      </c>
      <c r="OM71" s="504">
        <v>0</v>
      </c>
      <c r="ON71" s="494"/>
    </row>
    <row r="72" spans="1:404" ht="18.75" customHeight="1" x14ac:dyDescent="0.4">
      <c r="A72" s="355" t="s">
        <v>89</v>
      </c>
      <c r="B72" s="358">
        <v>191</v>
      </c>
      <c r="C72" s="355" t="s">
        <v>60</v>
      </c>
      <c r="D72" s="501">
        <v>46.8</v>
      </c>
      <c r="E72" s="502">
        <v>70008</v>
      </c>
      <c r="F72" s="501">
        <v>46.78</v>
      </c>
      <c r="G72" s="502">
        <v>34904</v>
      </c>
      <c r="H72" s="501">
        <v>46.78</v>
      </c>
      <c r="I72" s="502">
        <v>85813</v>
      </c>
      <c r="J72" s="501">
        <v>46.79</v>
      </c>
      <c r="K72" s="502">
        <v>92777</v>
      </c>
      <c r="V72" s="501"/>
      <c r="W72" s="503"/>
      <c r="X72" s="501"/>
      <c r="Y72" s="503"/>
      <c r="Z72" s="501"/>
      <c r="AA72" s="503"/>
      <c r="AB72" s="495"/>
      <c r="AC72" s="504">
        <v>0</v>
      </c>
      <c r="AD72" s="504">
        <v>0</v>
      </c>
      <c r="AE72" s="504">
        <v>0</v>
      </c>
      <c r="AF72" s="504">
        <v>0</v>
      </c>
      <c r="AG72" s="504">
        <v>0</v>
      </c>
      <c r="AH72" s="504">
        <v>0</v>
      </c>
      <c r="AI72" s="504">
        <v>0</v>
      </c>
      <c r="AJ72" s="504">
        <v>0</v>
      </c>
      <c r="AK72" s="504">
        <v>0</v>
      </c>
      <c r="AL72" s="504">
        <v>0</v>
      </c>
      <c r="AM72" s="504">
        <v>0</v>
      </c>
      <c r="AN72" s="504">
        <v>0</v>
      </c>
      <c r="AO72" s="504">
        <v>0</v>
      </c>
      <c r="AP72" s="504">
        <v>0</v>
      </c>
      <c r="AQ72" s="504">
        <v>0</v>
      </c>
      <c r="AR72" s="504">
        <v>0</v>
      </c>
      <c r="AS72" s="504">
        <v>0</v>
      </c>
      <c r="AT72" s="504">
        <v>0</v>
      </c>
      <c r="AU72" s="504">
        <v>0</v>
      </c>
      <c r="AV72" s="504">
        <v>0</v>
      </c>
      <c r="AW72" s="504">
        <v>0</v>
      </c>
      <c r="AX72" s="504">
        <v>0</v>
      </c>
      <c r="AY72" s="504">
        <v>0</v>
      </c>
      <c r="AZ72" s="504">
        <v>0</v>
      </c>
      <c r="BA72" s="504">
        <v>0</v>
      </c>
      <c r="BB72" s="504">
        <v>0</v>
      </c>
      <c r="BC72" s="504">
        <v>0</v>
      </c>
      <c r="BD72" s="504">
        <v>0</v>
      </c>
      <c r="BE72" s="504">
        <v>0</v>
      </c>
      <c r="BF72" s="504">
        <v>0</v>
      </c>
      <c r="BG72" s="504">
        <v>0</v>
      </c>
      <c r="BH72" s="504">
        <v>0</v>
      </c>
      <c r="BI72" s="504">
        <v>0</v>
      </c>
      <c r="BJ72" s="504">
        <v>0</v>
      </c>
      <c r="BK72" s="504">
        <v>0</v>
      </c>
      <c r="BL72" s="504">
        <v>0</v>
      </c>
      <c r="BM72" s="504">
        <v>0</v>
      </c>
      <c r="BN72" s="504">
        <v>0</v>
      </c>
      <c r="BO72" s="504">
        <v>0</v>
      </c>
      <c r="BP72" s="504">
        <v>0</v>
      </c>
      <c r="BQ72" s="504">
        <v>0</v>
      </c>
      <c r="BR72" s="504">
        <v>0</v>
      </c>
      <c r="BS72" s="504">
        <v>0</v>
      </c>
      <c r="BT72" s="504">
        <v>0</v>
      </c>
      <c r="BU72" s="504">
        <v>0</v>
      </c>
      <c r="BV72" s="504">
        <v>0</v>
      </c>
      <c r="BW72" s="504">
        <v>0</v>
      </c>
      <c r="BX72" s="504">
        <v>0</v>
      </c>
      <c r="BY72" s="504">
        <v>0</v>
      </c>
      <c r="BZ72" s="504">
        <v>0</v>
      </c>
      <c r="CA72" s="504">
        <v>0</v>
      </c>
      <c r="CB72" s="504">
        <v>0</v>
      </c>
      <c r="CC72" s="504">
        <v>0</v>
      </c>
      <c r="CD72" s="504">
        <v>0</v>
      </c>
      <c r="CE72" s="504">
        <v>0</v>
      </c>
      <c r="CF72" s="504">
        <v>0</v>
      </c>
      <c r="CG72" s="504">
        <v>0</v>
      </c>
      <c r="CH72" s="504">
        <v>0</v>
      </c>
      <c r="CI72" s="504">
        <v>0</v>
      </c>
      <c r="CJ72" s="504">
        <v>0</v>
      </c>
      <c r="CK72" s="504">
        <v>0</v>
      </c>
      <c r="CL72" s="504">
        <v>0</v>
      </c>
      <c r="CM72" s="504">
        <v>0</v>
      </c>
      <c r="CN72" s="504">
        <v>0</v>
      </c>
      <c r="CO72" s="504">
        <v>0</v>
      </c>
      <c r="CP72" s="504">
        <v>0</v>
      </c>
      <c r="CQ72" s="504">
        <v>0</v>
      </c>
      <c r="CR72" s="504">
        <v>0</v>
      </c>
      <c r="CS72" s="504">
        <v>0</v>
      </c>
      <c r="CT72" s="504">
        <v>0</v>
      </c>
      <c r="CU72" s="504">
        <v>0</v>
      </c>
      <c r="CV72" s="504">
        <v>0</v>
      </c>
      <c r="CW72" s="504">
        <v>0</v>
      </c>
      <c r="CX72" s="504">
        <v>0</v>
      </c>
      <c r="CY72" s="504">
        <v>0</v>
      </c>
      <c r="CZ72" s="504">
        <v>0</v>
      </c>
      <c r="DA72" s="504">
        <v>0</v>
      </c>
      <c r="DB72" s="504">
        <v>0</v>
      </c>
      <c r="DC72" s="504">
        <v>0</v>
      </c>
      <c r="DD72" s="504">
        <v>0</v>
      </c>
      <c r="DE72" s="504">
        <v>0</v>
      </c>
      <c r="DF72" s="504">
        <v>0</v>
      </c>
      <c r="DG72" s="504">
        <v>0</v>
      </c>
      <c r="DH72" s="504">
        <v>0</v>
      </c>
      <c r="DI72" s="504">
        <v>0</v>
      </c>
      <c r="DJ72" s="504">
        <v>0</v>
      </c>
      <c r="DK72" s="504">
        <v>0</v>
      </c>
      <c r="DL72" s="504">
        <v>0</v>
      </c>
      <c r="DM72" s="504">
        <v>0</v>
      </c>
      <c r="DN72" s="504">
        <v>0</v>
      </c>
      <c r="DO72" s="504">
        <v>0</v>
      </c>
      <c r="DP72" s="504">
        <v>0</v>
      </c>
      <c r="DQ72" s="504">
        <v>0</v>
      </c>
      <c r="DR72" s="504">
        <v>0</v>
      </c>
      <c r="DS72" s="504">
        <v>0</v>
      </c>
      <c r="DT72" s="504">
        <v>0</v>
      </c>
      <c r="DU72" s="504">
        <v>0</v>
      </c>
      <c r="DV72" s="504">
        <v>0</v>
      </c>
      <c r="DW72" s="504">
        <v>0</v>
      </c>
      <c r="DX72" s="504">
        <v>0</v>
      </c>
      <c r="DY72" s="504">
        <v>0</v>
      </c>
      <c r="DZ72" s="504">
        <v>0</v>
      </c>
      <c r="EA72" s="504">
        <v>0</v>
      </c>
      <c r="EB72" s="504">
        <v>0</v>
      </c>
      <c r="EC72" s="504">
        <v>0</v>
      </c>
      <c r="ED72" s="504">
        <v>0</v>
      </c>
      <c r="EE72" s="504">
        <v>0</v>
      </c>
      <c r="EF72" s="504">
        <v>0</v>
      </c>
      <c r="EG72" s="504">
        <v>0</v>
      </c>
      <c r="EH72" s="504">
        <v>0</v>
      </c>
      <c r="EI72" s="504">
        <v>0</v>
      </c>
      <c r="EJ72" s="504">
        <v>0</v>
      </c>
      <c r="EK72" s="504">
        <v>0</v>
      </c>
      <c r="EL72" s="504">
        <v>0</v>
      </c>
      <c r="EM72" s="504">
        <v>0</v>
      </c>
      <c r="EN72" s="504">
        <v>0</v>
      </c>
      <c r="EO72" s="504">
        <v>0</v>
      </c>
      <c r="EP72" s="504">
        <v>0</v>
      </c>
      <c r="EQ72" s="504">
        <v>0</v>
      </c>
      <c r="ER72" s="504">
        <v>0</v>
      </c>
      <c r="ES72" s="504">
        <v>0</v>
      </c>
      <c r="ET72" s="504">
        <v>0</v>
      </c>
      <c r="EU72" s="504">
        <v>0</v>
      </c>
      <c r="EV72" s="504">
        <v>0</v>
      </c>
      <c r="EW72" s="504">
        <v>0</v>
      </c>
      <c r="EX72" s="504">
        <v>0</v>
      </c>
      <c r="EY72" s="504">
        <v>0</v>
      </c>
      <c r="EZ72" s="504">
        <v>0</v>
      </c>
      <c r="FA72" s="504">
        <v>0</v>
      </c>
      <c r="FB72" s="504">
        <v>0</v>
      </c>
      <c r="FC72" s="504">
        <v>0</v>
      </c>
      <c r="FD72" s="504">
        <v>0</v>
      </c>
      <c r="FE72" s="504">
        <v>0</v>
      </c>
      <c r="FF72" s="504">
        <v>0</v>
      </c>
      <c r="FG72" s="504">
        <v>0</v>
      </c>
      <c r="FH72" s="504">
        <v>0</v>
      </c>
      <c r="FI72" s="504">
        <v>0</v>
      </c>
      <c r="FJ72" s="504">
        <v>0</v>
      </c>
      <c r="FK72" s="504">
        <v>0</v>
      </c>
      <c r="FL72" s="504">
        <v>0</v>
      </c>
      <c r="FM72" s="504">
        <v>0</v>
      </c>
      <c r="FN72" s="504">
        <v>0</v>
      </c>
      <c r="FO72" s="504">
        <v>0</v>
      </c>
      <c r="FP72" s="504">
        <v>0</v>
      </c>
      <c r="FQ72" s="504">
        <v>0</v>
      </c>
      <c r="FR72" s="504">
        <v>0</v>
      </c>
      <c r="FS72" s="504">
        <v>0</v>
      </c>
      <c r="FT72" s="504">
        <v>0</v>
      </c>
      <c r="FU72" s="504">
        <v>0</v>
      </c>
      <c r="FV72" s="504">
        <v>0</v>
      </c>
      <c r="FW72" s="504">
        <v>0</v>
      </c>
      <c r="FX72" s="504">
        <v>0</v>
      </c>
      <c r="FY72" s="504">
        <v>0</v>
      </c>
      <c r="FZ72" s="504">
        <v>0</v>
      </c>
      <c r="GA72" s="504">
        <v>0</v>
      </c>
      <c r="GB72" s="504">
        <v>0</v>
      </c>
      <c r="GC72" s="504">
        <v>0</v>
      </c>
      <c r="GD72" s="504">
        <v>0</v>
      </c>
      <c r="GE72" s="504">
        <v>0</v>
      </c>
      <c r="GF72" s="504">
        <v>0</v>
      </c>
      <c r="GG72" s="504">
        <v>0</v>
      </c>
      <c r="GH72" s="504">
        <v>0</v>
      </c>
      <c r="GI72" s="504">
        <v>0</v>
      </c>
      <c r="GJ72" s="504">
        <v>0</v>
      </c>
      <c r="GK72" s="504">
        <v>0</v>
      </c>
      <c r="GL72" s="504">
        <v>0</v>
      </c>
      <c r="GM72" s="504">
        <v>0</v>
      </c>
      <c r="GN72" s="504">
        <v>0</v>
      </c>
      <c r="GO72" s="504">
        <v>0</v>
      </c>
      <c r="GP72" s="504">
        <v>0</v>
      </c>
      <c r="GQ72" s="504">
        <v>0</v>
      </c>
      <c r="GR72" s="504">
        <v>0</v>
      </c>
      <c r="GS72" s="504">
        <v>0</v>
      </c>
      <c r="GT72" s="504">
        <v>0</v>
      </c>
      <c r="GU72" s="504">
        <v>0</v>
      </c>
      <c r="GV72" s="504">
        <v>0</v>
      </c>
      <c r="GW72" s="504">
        <v>0</v>
      </c>
      <c r="GX72" s="504">
        <v>0</v>
      </c>
      <c r="GY72" s="504">
        <v>0</v>
      </c>
      <c r="GZ72" s="504">
        <v>0</v>
      </c>
      <c r="HA72" s="504">
        <v>0</v>
      </c>
      <c r="HB72" s="504">
        <v>0</v>
      </c>
      <c r="HC72" s="504">
        <v>0</v>
      </c>
      <c r="HD72" s="504">
        <v>0</v>
      </c>
      <c r="HE72" s="504">
        <v>0</v>
      </c>
      <c r="HF72" s="504">
        <v>0</v>
      </c>
      <c r="HG72" s="504">
        <v>0</v>
      </c>
      <c r="HH72" s="504">
        <v>0</v>
      </c>
      <c r="HI72" s="504">
        <v>0</v>
      </c>
      <c r="HJ72" s="504">
        <v>0</v>
      </c>
      <c r="HK72" s="504">
        <v>0</v>
      </c>
      <c r="HL72" s="504">
        <v>0</v>
      </c>
      <c r="HM72" s="504">
        <v>0</v>
      </c>
      <c r="HN72" s="504">
        <v>0</v>
      </c>
      <c r="HO72" s="504">
        <v>0</v>
      </c>
      <c r="HP72" s="504">
        <v>0</v>
      </c>
      <c r="HQ72" s="504">
        <v>0</v>
      </c>
      <c r="HR72" s="504">
        <v>0</v>
      </c>
      <c r="HS72" s="504">
        <v>0</v>
      </c>
      <c r="HT72" s="504">
        <v>0</v>
      </c>
      <c r="HU72" s="504">
        <v>0</v>
      </c>
      <c r="HV72" s="504">
        <v>0</v>
      </c>
      <c r="HW72" s="504">
        <v>0</v>
      </c>
      <c r="HX72" s="504">
        <v>0</v>
      </c>
      <c r="HY72" s="504">
        <v>0</v>
      </c>
      <c r="HZ72" s="504">
        <v>0</v>
      </c>
      <c r="IA72" s="504">
        <v>0</v>
      </c>
      <c r="IB72" s="504">
        <v>0</v>
      </c>
      <c r="IC72" s="504">
        <v>0</v>
      </c>
      <c r="ID72" s="504">
        <v>0</v>
      </c>
      <c r="IE72" s="504">
        <v>0</v>
      </c>
      <c r="IF72" s="504">
        <v>0</v>
      </c>
      <c r="IG72" s="504">
        <v>0</v>
      </c>
      <c r="IH72" s="504">
        <v>0</v>
      </c>
      <c r="II72" s="504">
        <v>0</v>
      </c>
      <c r="IJ72" s="504">
        <v>0</v>
      </c>
      <c r="IK72" s="504">
        <v>0</v>
      </c>
      <c r="IL72" s="504">
        <v>0</v>
      </c>
      <c r="IM72" s="504">
        <v>0</v>
      </c>
      <c r="IN72" s="504">
        <v>0</v>
      </c>
      <c r="IO72" s="504">
        <v>0</v>
      </c>
      <c r="IP72" s="504">
        <v>0</v>
      </c>
      <c r="IQ72" s="504">
        <v>0</v>
      </c>
      <c r="IR72" s="504">
        <v>0</v>
      </c>
      <c r="IS72" s="504">
        <v>0</v>
      </c>
      <c r="IT72" s="504">
        <v>0</v>
      </c>
      <c r="IU72" s="504">
        <v>0</v>
      </c>
      <c r="IV72" s="504">
        <v>0</v>
      </c>
      <c r="IW72" s="504">
        <v>0</v>
      </c>
      <c r="IX72" s="504">
        <v>0</v>
      </c>
      <c r="IY72" s="504">
        <v>0</v>
      </c>
      <c r="IZ72" s="504">
        <v>0</v>
      </c>
      <c r="JA72" s="504">
        <v>0</v>
      </c>
      <c r="JB72" s="504">
        <v>0</v>
      </c>
      <c r="JC72" s="504">
        <v>0</v>
      </c>
      <c r="JD72" s="504">
        <v>0</v>
      </c>
      <c r="JE72" s="504">
        <v>0</v>
      </c>
      <c r="JF72" s="504">
        <v>0</v>
      </c>
      <c r="JG72" s="504">
        <v>0</v>
      </c>
      <c r="JH72" s="504">
        <v>0</v>
      </c>
      <c r="JI72" s="504">
        <v>0</v>
      </c>
      <c r="JJ72" s="504">
        <v>0</v>
      </c>
      <c r="JK72" s="504">
        <v>0</v>
      </c>
      <c r="JL72" s="504">
        <v>0</v>
      </c>
      <c r="JM72" s="504">
        <v>0</v>
      </c>
      <c r="JN72" s="504">
        <v>0</v>
      </c>
      <c r="JO72" s="504">
        <v>0</v>
      </c>
      <c r="JP72" s="504">
        <v>0</v>
      </c>
      <c r="JQ72" s="504">
        <v>0</v>
      </c>
      <c r="JR72" s="504">
        <v>0</v>
      </c>
      <c r="JS72" s="504">
        <v>0</v>
      </c>
      <c r="JT72" s="504">
        <v>0</v>
      </c>
      <c r="JU72" s="504">
        <v>0</v>
      </c>
      <c r="JV72" s="504">
        <v>0</v>
      </c>
      <c r="JW72" s="504">
        <v>0</v>
      </c>
      <c r="JX72" s="504">
        <v>0</v>
      </c>
      <c r="JY72" s="504">
        <v>0</v>
      </c>
      <c r="JZ72" s="504">
        <v>0</v>
      </c>
      <c r="KA72" s="504">
        <v>0</v>
      </c>
      <c r="KB72" s="504">
        <v>0</v>
      </c>
      <c r="KC72" s="504">
        <v>0</v>
      </c>
      <c r="KD72" s="504">
        <v>0</v>
      </c>
      <c r="KE72" s="504">
        <v>0</v>
      </c>
      <c r="KF72" s="504">
        <v>0</v>
      </c>
      <c r="KG72" s="504">
        <v>0</v>
      </c>
      <c r="KH72" s="504">
        <v>0</v>
      </c>
      <c r="KI72" s="504">
        <v>0</v>
      </c>
      <c r="KJ72" s="504">
        <v>0</v>
      </c>
      <c r="KK72" s="504">
        <v>0</v>
      </c>
      <c r="KL72" s="504">
        <v>0</v>
      </c>
      <c r="KM72" s="504">
        <v>0</v>
      </c>
      <c r="KN72" s="504">
        <v>0</v>
      </c>
      <c r="KO72" s="504">
        <v>0</v>
      </c>
      <c r="KP72" s="504">
        <v>0</v>
      </c>
      <c r="KQ72" s="504">
        <v>0</v>
      </c>
      <c r="KR72" s="504">
        <v>0</v>
      </c>
      <c r="KS72" s="504">
        <v>0</v>
      </c>
      <c r="KT72" s="504">
        <v>0</v>
      </c>
      <c r="KU72" s="504">
        <v>0</v>
      </c>
      <c r="KV72" s="504">
        <v>0</v>
      </c>
      <c r="KW72" s="504">
        <v>0</v>
      </c>
      <c r="KX72" s="504">
        <v>0</v>
      </c>
      <c r="KY72" s="504">
        <v>0</v>
      </c>
      <c r="KZ72" s="504">
        <v>0</v>
      </c>
      <c r="LA72" s="504">
        <v>0</v>
      </c>
      <c r="LB72" s="504">
        <v>0</v>
      </c>
      <c r="LC72" s="504">
        <v>0</v>
      </c>
      <c r="LD72" s="504">
        <v>0</v>
      </c>
      <c r="LE72" s="504">
        <v>0</v>
      </c>
      <c r="LF72" s="504">
        <v>0</v>
      </c>
      <c r="LG72" s="504">
        <v>0</v>
      </c>
      <c r="LH72" s="504">
        <v>0</v>
      </c>
      <c r="LI72" s="504">
        <v>0</v>
      </c>
      <c r="LJ72" s="504">
        <v>0</v>
      </c>
      <c r="LK72" s="504">
        <v>0</v>
      </c>
      <c r="LL72" s="504">
        <v>0</v>
      </c>
      <c r="LM72" s="504">
        <v>0</v>
      </c>
      <c r="LN72" s="504">
        <v>0</v>
      </c>
      <c r="LO72" s="504">
        <v>0</v>
      </c>
      <c r="LP72" s="504">
        <v>0</v>
      </c>
      <c r="LQ72" s="504">
        <v>0</v>
      </c>
      <c r="LR72" s="504">
        <v>0</v>
      </c>
      <c r="LS72" s="504">
        <v>0</v>
      </c>
      <c r="LT72" s="504">
        <v>0</v>
      </c>
      <c r="LU72" s="504">
        <v>0</v>
      </c>
      <c r="LV72" s="504">
        <v>0</v>
      </c>
      <c r="LW72" s="504">
        <v>0</v>
      </c>
      <c r="LX72" s="504">
        <v>0</v>
      </c>
      <c r="LY72" s="504">
        <v>0</v>
      </c>
      <c r="LZ72" s="504">
        <v>0</v>
      </c>
      <c r="MA72" s="504">
        <v>0</v>
      </c>
      <c r="MB72" s="504">
        <v>0</v>
      </c>
      <c r="MC72" s="504">
        <v>0</v>
      </c>
      <c r="MD72" s="504">
        <v>0</v>
      </c>
      <c r="ME72" s="504">
        <v>0</v>
      </c>
      <c r="MF72" s="504">
        <v>0</v>
      </c>
      <c r="MG72" s="504">
        <v>0</v>
      </c>
      <c r="MH72" s="504">
        <v>0</v>
      </c>
      <c r="MI72" s="504">
        <v>0</v>
      </c>
      <c r="MJ72" s="504">
        <v>0</v>
      </c>
      <c r="MK72" s="504">
        <v>0</v>
      </c>
      <c r="ML72" s="504">
        <v>0</v>
      </c>
      <c r="MM72" s="504">
        <v>0</v>
      </c>
      <c r="MN72" s="504">
        <v>0</v>
      </c>
      <c r="MO72" s="504">
        <v>0</v>
      </c>
      <c r="MP72" s="504">
        <v>0</v>
      </c>
      <c r="MQ72" s="504">
        <v>0</v>
      </c>
      <c r="MR72" s="504">
        <v>0</v>
      </c>
      <c r="MS72" s="504">
        <v>0</v>
      </c>
      <c r="MT72" s="504">
        <v>0</v>
      </c>
      <c r="MU72" s="504">
        <v>0</v>
      </c>
      <c r="MV72" s="504">
        <v>0</v>
      </c>
      <c r="MW72" s="504">
        <v>0</v>
      </c>
      <c r="MX72" s="504">
        <v>0</v>
      </c>
      <c r="MY72" s="504">
        <v>0</v>
      </c>
      <c r="MZ72" s="504">
        <v>0</v>
      </c>
      <c r="NA72" s="504">
        <v>0</v>
      </c>
      <c r="NB72" s="504">
        <v>0</v>
      </c>
      <c r="NC72" s="504">
        <v>0</v>
      </c>
      <c r="ND72" s="504">
        <v>0</v>
      </c>
      <c r="NE72" s="504">
        <v>0</v>
      </c>
      <c r="NF72" s="504">
        <v>0</v>
      </c>
      <c r="NG72" s="504">
        <v>0</v>
      </c>
      <c r="NH72" s="504">
        <v>0</v>
      </c>
      <c r="NI72" s="504">
        <v>0</v>
      </c>
      <c r="NJ72" s="504">
        <v>0</v>
      </c>
      <c r="NK72" s="504">
        <v>0</v>
      </c>
      <c r="NL72" s="504">
        <v>0</v>
      </c>
      <c r="NM72" s="504">
        <v>0</v>
      </c>
      <c r="NN72" s="504">
        <v>0</v>
      </c>
      <c r="NO72" s="504">
        <v>0</v>
      </c>
      <c r="NP72" s="504">
        <v>0</v>
      </c>
      <c r="NQ72" s="504">
        <v>0</v>
      </c>
      <c r="NR72" s="504">
        <v>0</v>
      </c>
      <c r="NS72" s="504">
        <v>0</v>
      </c>
      <c r="NT72" s="504">
        <v>0</v>
      </c>
      <c r="NU72" s="504">
        <v>0</v>
      </c>
      <c r="NV72" s="504">
        <v>0</v>
      </c>
      <c r="NW72" s="504">
        <v>0</v>
      </c>
      <c r="NX72" s="504">
        <v>0</v>
      </c>
      <c r="NY72" s="504">
        <v>0</v>
      </c>
      <c r="NZ72" s="504">
        <v>0</v>
      </c>
      <c r="OA72" s="504">
        <v>0</v>
      </c>
      <c r="OB72" s="504">
        <v>0</v>
      </c>
      <c r="OC72" s="504">
        <v>0</v>
      </c>
      <c r="OD72" s="504">
        <v>0</v>
      </c>
      <c r="OE72" s="504">
        <v>0</v>
      </c>
      <c r="OF72" s="504">
        <v>0</v>
      </c>
      <c r="OG72" s="504">
        <v>0</v>
      </c>
      <c r="OH72" s="504">
        <v>0</v>
      </c>
      <c r="OI72" s="504">
        <v>0</v>
      </c>
      <c r="OJ72" s="504">
        <v>0</v>
      </c>
      <c r="OK72" s="504">
        <v>0</v>
      </c>
      <c r="OL72" s="504">
        <v>0</v>
      </c>
      <c r="OM72" s="504">
        <v>0</v>
      </c>
      <c r="ON72" s="494"/>
    </row>
    <row r="73" spans="1:404" ht="18.75" customHeight="1" x14ac:dyDescent="0.4">
      <c r="A73" s="355" t="s">
        <v>90</v>
      </c>
      <c r="B73" s="358">
        <v>191</v>
      </c>
      <c r="C73" s="355" t="s">
        <v>60</v>
      </c>
      <c r="D73" s="501">
        <v>47.64</v>
      </c>
      <c r="E73" s="502">
        <v>10976</v>
      </c>
      <c r="F73" s="501">
        <v>47.63</v>
      </c>
      <c r="G73" s="502">
        <v>5240</v>
      </c>
      <c r="H73" s="501">
        <v>47.63</v>
      </c>
      <c r="I73" s="502">
        <v>14731</v>
      </c>
      <c r="J73" s="501">
        <v>47.63</v>
      </c>
      <c r="K73" s="502">
        <v>15899</v>
      </c>
      <c r="V73" s="501"/>
      <c r="W73" s="503"/>
      <c r="X73" s="501"/>
      <c r="Y73" s="503"/>
      <c r="Z73" s="501"/>
      <c r="AA73" s="503"/>
      <c r="AB73" s="495"/>
      <c r="AC73" s="504">
        <v>0</v>
      </c>
      <c r="AD73" s="504">
        <v>0</v>
      </c>
      <c r="AE73" s="504">
        <v>0</v>
      </c>
      <c r="AF73" s="504">
        <v>0</v>
      </c>
      <c r="AG73" s="504">
        <v>0</v>
      </c>
      <c r="AH73" s="504">
        <v>0</v>
      </c>
      <c r="AI73" s="504">
        <v>0</v>
      </c>
      <c r="AJ73" s="504">
        <v>0</v>
      </c>
      <c r="AK73" s="504">
        <v>0</v>
      </c>
      <c r="AL73" s="504">
        <v>0</v>
      </c>
      <c r="AM73" s="504">
        <v>0</v>
      </c>
      <c r="AN73" s="504">
        <v>0</v>
      </c>
      <c r="AO73" s="504">
        <v>0</v>
      </c>
      <c r="AP73" s="504">
        <v>0</v>
      </c>
      <c r="AQ73" s="504">
        <v>0</v>
      </c>
      <c r="AR73" s="504">
        <v>0</v>
      </c>
      <c r="AS73" s="504">
        <v>0</v>
      </c>
      <c r="AT73" s="504">
        <v>0</v>
      </c>
      <c r="AU73" s="504">
        <v>0</v>
      </c>
      <c r="AV73" s="504">
        <v>0</v>
      </c>
      <c r="AW73" s="504">
        <v>0</v>
      </c>
      <c r="AX73" s="504">
        <v>0</v>
      </c>
      <c r="AY73" s="504">
        <v>0</v>
      </c>
      <c r="AZ73" s="504">
        <v>0</v>
      </c>
      <c r="BA73" s="504">
        <v>0</v>
      </c>
      <c r="BB73" s="504">
        <v>0</v>
      </c>
      <c r="BC73" s="504">
        <v>0</v>
      </c>
      <c r="BD73" s="504">
        <v>0</v>
      </c>
      <c r="BE73" s="504">
        <v>0</v>
      </c>
      <c r="BF73" s="504">
        <v>0</v>
      </c>
      <c r="BG73" s="504">
        <v>0</v>
      </c>
      <c r="BH73" s="504">
        <v>0</v>
      </c>
      <c r="BI73" s="504">
        <v>0</v>
      </c>
      <c r="BJ73" s="504">
        <v>0</v>
      </c>
      <c r="BK73" s="504">
        <v>0</v>
      </c>
      <c r="BL73" s="504">
        <v>0</v>
      </c>
      <c r="BM73" s="504">
        <v>0</v>
      </c>
      <c r="BN73" s="504">
        <v>0</v>
      </c>
      <c r="BO73" s="504">
        <v>0</v>
      </c>
      <c r="BP73" s="504">
        <v>0</v>
      </c>
      <c r="BQ73" s="504">
        <v>0</v>
      </c>
      <c r="BR73" s="504">
        <v>0</v>
      </c>
      <c r="BS73" s="504">
        <v>0</v>
      </c>
      <c r="BT73" s="504">
        <v>0</v>
      </c>
      <c r="BU73" s="504">
        <v>0</v>
      </c>
      <c r="BV73" s="504">
        <v>0</v>
      </c>
      <c r="BW73" s="504">
        <v>0</v>
      </c>
      <c r="BX73" s="504">
        <v>0</v>
      </c>
      <c r="BY73" s="504">
        <v>0</v>
      </c>
      <c r="BZ73" s="504">
        <v>0</v>
      </c>
      <c r="CA73" s="504">
        <v>0</v>
      </c>
      <c r="CB73" s="504">
        <v>0</v>
      </c>
      <c r="CC73" s="504">
        <v>0</v>
      </c>
      <c r="CD73" s="504">
        <v>0</v>
      </c>
      <c r="CE73" s="504">
        <v>0</v>
      </c>
      <c r="CF73" s="504">
        <v>0</v>
      </c>
      <c r="CG73" s="504">
        <v>0</v>
      </c>
      <c r="CH73" s="504">
        <v>0</v>
      </c>
      <c r="CI73" s="504">
        <v>0</v>
      </c>
      <c r="CJ73" s="504">
        <v>0</v>
      </c>
      <c r="CK73" s="504">
        <v>0</v>
      </c>
      <c r="CL73" s="504">
        <v>0</v>
      </c>
      <c r="CM73" s="504">
        <v>0</v>
      </c>
      <c r="CN73" s="504">
        <v>0</v>
      </c>
      <c r="CO73" s="504">
        <v>0</v>
      </c>
      <c r="CP73" s="504">
        <v>0</v>
      </c>
      <c r="CQ73" s="504">
        <v>0</v>
      </c>
      <c r="CR73" s="504">
        <v>0</v>
      </c>
      <c r="CS73" s="504">
        <v>0</v>
      </c>
      <c r="CT73" s="504">
        <v>0</v>
      </c>
      <c r="CU73" s="504">
        <v>0</v>
      </c>
      <c r="CV73" s="504">
        <v>0</v>
      </c>
      <c r="CW73" s="504">
        <v>0</v>
      </c>
      <c r="CX73" s="504">
        <v>0</v>
      </c>
      <c r="CY73" s="504">
        <v>0</v>
      </c>
      <c r="CZ73" s="504">
        <v>0</v>
      </c>
      <c r="DA73" s="504">
        <v>0</v>
      </c>
      <c r="DB73" s="504">
        <v>0</v>
      </c>
      <c r="DC73" s="504">
        <v>0</v>
      </c>
      <c r="DD73" s="504">
        <v>0</v>
      </c>
      <c r="DE73" s="504">
        <v>0</v>
      </c>
      <c r="DF73" s="504">
        <v>0</v>
      </c>
      <c r="DG73" s="504">
        <v>0</v>
      </c>
      <c r="DH73" s="504">
        <v>0</v>
      </c>
      <c r="DI73" s="504">
        <v>0</v>
      </c>
      <c r="DJ73" s="504">
        <v>0</v>
      </c>
      <c r="DK73" s="504">
        <v>0</v>
      </c>
      <c r="DL73" s="504">
        <v>0</v>
      </c>
      <c r="DM73" s="504">
        <v>0</v>
      </c>
      <c r="DN73" s="504">
        <v>0</v>
      </c>
      <c r="DO73" s="504">
        <v>0</v>
      </c>
      <c r="DP73" s="504">
        <v>0</v>
      </c>
      <c r="DQ73" s="504">
        <v>0</v>
      </c>
      <c r="DR73" s="504">
        <v>0</v>
      </c>
      <c r="DS73" s="504">
        <v>0</v>
      </c>
      <c r="DT73" s="504">
        <v>0</v>
      </c>
      <c r="DU73" s="504">
        <v>0</v>
      </c>
      <c r="DV73" s="504">
        <v>0</v>
      </c>
      <c r="DW73" s="504">
        <v>0</v>
      </c>
      <c r="DX73" s="504">
        <v>0</v>
      </c>
      <c r="DY73" s="504">
        <v>0</v>
      </c>
      <c r="DZ73" s="504">
        <v>0</v>
      </c>
      <c r="EA73" s="504">
        <v>0</v>
      </c>
      <c r="EB73" s="504">
        <v>0</v>
      </c>
      <c r="EC73" s="504">
        <v>0</v>
      </c>
      <c r="ED73" s="504">
        <v>0</v>
      </c>
      <c r="EE73" s="504">
        <v>0</v>
      </c>
      <c r="EF73" s="504">
        <v>0</v>
      </c>
      <c r="EG73" s="504">
        <v>0</v>
      </c>
      <c r="EH73" s="504">
        <v>0</v>
      </c>
      <c r="EI73" s="504">
        <v>0</v>
      </c>
      <c r="EJ73" s="504">
        <v>0</v>
      </c>
      <c r="EK73" s="504">
        <v>0</v>
      </c>
      <c r="EL73" s="504">
        <v>0</v>
      </c>
      <c r="EM73" s="504">
        <v>0</v>
      </c>
      <c r="EN73" s="504">
        <v>0</v>
      </c>
      <c r="EO73" s="504">
        <v>0</v>
      </c>
      <c r="EP73" s="504">
        <v>0</v>
      </c>
      <c r="EQ73" s="504">
        <v>0</v>
      </c>
      <c r="ER73" s="504">
        <v>0</v>
      </c>
      <c r="ES73" s="504">
        <v>0</v>
      </c>
      <c r="ET73" s="504">
        <v>0</v>
      </c>
      <c r="EU73" s="504">
        <v>0</v>
      </c>
      <c r="EV73" s="504">
        <v>0</v>
      </c>
      <c r="EW73" s="504">
        <v>0</v>
      </c>
      <c r="EX73" s="504">
        <v>0</v>
      </c>
      <c r="EY73" s="504">
        <v>0</v>
      </c>
      <c r="EZ73" s="504">
        <v>0</v>
      </c>
      <c r="FA73" s="504">
        <v>0</v>
      </c>
      <c r="FB73" s="504">
        <v>0</v>
      </c>
      <c r="FC73" s="504">
        <v>0</v>
      </c>
      <c r="FD73" s="504">
        <v>0</v>
      </c>
      <c r="FE73" s="504">
        <v>0</v>
      </c>
      <c r="FF73" s="504">
        <v>0</v>
      </c>
      <c r="FG73" s="504">
        <v>0</v>
      </c>
      <c r="FH73" s="504">
        <v>0</v>
      </c>
      <c r="FI73" s="504">
        <v>0</v>
      </c>
      <c r="FJ73" s="504">
        <v>0</v>
      </c>
      <c r="FK73" s="504">
        <v>0</v>
      </c>
      <c r="FL73" s="504">
        <v>0</v>
      </c>
      <c r="FM73" s="504">
        <v>0</v>
      </c>
      <c r="FN73" s="504">
        <v>0</v>
      </c>
      <c r="FO73" s="504">
        <v>0</v>
      </c>
      <c r="FP73" s="504">
        <v>0</v>
      </c>
      <c r="FQ73" s="504">
        <v>0</v>
      </c>
      <c r="FR73" s="504">
        <v>0</v>
      </c>
      <c r="FS73" s="504">
        <v>0</v>
      </c>
      <c r="FT73" s="504">
        <v>0</v>
      </c>
      <c r="FU73" s="504">
        <v>0</v>
      </c>
      <c r="FV73" s="504">
        <v>0</v>
      </c>
      <c r="FW73" s="504">
        <v>0</v>
      </c>
      <c r="FX73" s="504">
        <v>0</v>
      </c>
      <c r="FY73" s="504">
        <v>0</v>
      </c>
      <c r="FZ73" s="504">
        <v>0</v>
      </c>
      <c r="GA73" s="504">
        <v>0</v>
      </c>
      <c r="GB73" s="504">
        <v>0</v>
      </c>
      <c r="GC73" s="504">
        <v>0</v>
      </c>
      <c r="GD73" s="504">
        <v>0</v>
      </c>
      <c r="GE73" s="504">
        <v>0</v>
      </c>
      <c r="GF73" s="504">
        <v>0</v>
      </c>
      <c r="GG73" s="504">
        <v>0</v>
      </c>
      <c r="GH73" s="504">
        <v>0</v>
      </c>
      <c r="GI73" s="504">
        <v>0</v>
      </c>
      <c r="GJ73" s="504">
        <v>0</v>
      </c>
      <c r="GK73" s="504">
        <v>0</v>
      </c>
      <c r="GL73" s="504">
        <v>0</v>
      </c>
      <c r="GM73" s="504">
        <v>0</v>
      </c>
      <c r="GN73" s="504">
        <v>0</v>
      </c>
      <c r="GO73" s="504">
        <v>0</v>
      </c>
      <c r="GP73" s="504">
        <v>0</v>
      </c>
      <c r="GQ73" s="504">
        <v>0</v>
      </c>
      <c r="GR73" s="504">
        <v>0</v>
      </c>
      <c r="GS73" s="504">
        <v>0</v>
      </c>
      <c r="GT73" s="504">
        <v>0</v>
      </c>
      <c r="GU73" s="504">
        <v>0</v>
      </c>
      <c r="GV73" s="504">
        <v>0</v>
      </c>
      <c r="GW73" s="504">
        <v>0</v>
      </c>
      <c r="GX73" s="504">
        <v>0</v>
      </c>
      <c r="GY73" s="504">
        <v>0</v>
      </c>
      <c r="GZ73" s="504">
        <v>0</v>
      </c>
      <c r="HA73" s="504">
        <v>0</v>
      </c>
      <c r="HB73" s="504">
        <v>0</v>
      </c>
      <c r="HC73" s="504">
        <v>0</v>
      </c>
      <c r="HD73" s="504">
        <v>0</v>
      </c>
      <c r="HE73" s="504">
        <v>0</v>
      </c>
      <c r="HF73" s="504">
        <v>0</v>
      </c>
      <c r="HG73" s="504">
        <v>0</v>
      </c>
      <c r="HH73" s="504">
        <v>0</v>
      </c>
      <c r="HI73" s="504">
        <v>0</v>
      </c>
      <c r="HJ73" s="504">
        <v>0</v>
      </c>
      <c r="HK73" s="504">
        <v>0</v>
      </c>
      <c r="HL73" s="504">
        <v>0</v>
      </c>
      <c r="HM73" s="504">
        <v>0</v>
      </c>
      <c r="HN73" s="504">
        <v>0</v>
      </c>
      <c r="HO73" s="504">
        <v>0</v>
      </c>
      <c r="HP73" s="504">
        <v>0</v>
      </c>
      <c r="HQ73" s="504">
        <v>0</v>
      </c>
      <c r="HR73" s="504">
        <v>0</v>
      </c>
      <c r="HS73" s="504">
        <v>0</v>
      </c>
      <c r="HT73" s="504">
        <v>0</v>
      </c>
      <c r="HU73" s="504">
        <v>0</v>
      </c>
      <c r="HV73" s="504">
        <v>0</v>
      </c>
      <c r="HW73" s="504">
        <v>0</v>
      </c>
      <c r="HX73" s="504">
        <v>0</v>
      </c>
      <c r="HY73" s="504">
        <v>0</v>
      </c>
      <c r="HZ73" s="504">
        <v>0</v>
      </c>
      <c r="IA73" s="504">
        <v>0</v>
      </c>
      <c r="IB73" s="504">
        <v>0</v>
      </c>
      <c r="IC73" s="504">
        <v>0</v>
      </c>
      <c r="ID73" s="504">
        <v>0</v>
      </c>
      <c r="IE73" s="504">
        <v>0</v>
      </c>
      <c r="IF73" s="504">
        <v>0</v>
      </c>
      <c r="IG73" s="504">
        <v>0</v>
      </c>
      <c r="IH73" s="504">
        <v>0</v>
      </c>
      <c r="II73" s="504">
        <v>0</v>
      </c>
      <c r="IJ73" s="504">
        <v>0</v>
      </c>
      <c r="IK73" s="504">
        <v>0</v>
      </c>
      <c r="IL73" s="504">
        <v>0</v>
      </c>
      <c r="IM73" s="504">
        <v>0</v>
      </c>
      <c r="IN73" s="504">
        <v>0</v>
      </c>
      <c r="IO73" s="504">
        <v>0</v>
      </c>
      <c r="IP73" s="504">
        <v>0</v>
      </c>
      <c r="IQ73" s="504">
        <v>0</v>
      </c>
      <c r="IR73" s="504">
        <v>0</v>
      </c>
      <c r="IS73" s="504">
        <v>0</v>
      </c>
      <c r="IT73" s="504">
        <v>0</v>
      </c>
      <c r="IU73" s="504">
        <v>0</v>
      </c>
      <c r="IV73" s="504">
        <v>0</v>
      </c>
      <c r="IW73" s="504">
        <v>0</v>
      </c>
      <c r="IX73" s="504">
        <v>0</v>
      </c>
      <c r="IY73" s="504">
        <v>0</v>
      </c>
      <c r="IZ73" s="504">
        <v>0</v>
      </c>
      <c r="JA73" s="504">
        <v>0</v>
      </c>
      <c r="JB73" s="504">
        <v>0</v>
      </c>
      <c r="JC73" s="504">
        <v>0</v>
      </c>
      <c r="JD73" s="504">
        <v>0</v>
      </c>
      <c r="JE73" s="504">
        <v>0</v>
      </c>
      <c r="JF73" s="504">
        <v>0</v>
      </c>
      <c r="JG73" s="504">
        <v>0</v>
      </c>
      <c r="JH73" s="504">
        <v>0</v>
      </c>
      <c r="JI73" s="504">
        <v>0</v>
      </c>
      <c r="JJ73" s="504">
        <v>0</v>
      </c>
      <c r="JK73" s="504">
        <v>0</v>
      </c>
      <c r="JL73" s="504">
        <v>0</v>
      </c>
      <c r="JM73" s="504">
        <v>0</v>
      </c>
      <c r="JN73" s="504">
        <v>0</v>
      </c>
      <c r="JO73" s="504">
        <v>0</v>
      </c>
      <c r="JP73" s="504">
        <v>0</v>
      </c>
      <c r="JQ73" s="504">
        <v>0</v>
      </c>
      <c r="JR73" s="504">
        <v>0</v>
      </c>
      <c r="JS73" s="504">
        <v>0</v>
      </c>
      <c r="JT73" s="504">
        <v>0</v>
      </c>
      <c r="JU73" s="504">
        <v>0</v>
      </c>
      <c r="JV73" s="504">
        <v>0</v>
      </c>
      <c r="JW73" s="504">
        <v>0</v>
      </c>
      <c r="JX73" s="504">
        <v>0</v>
      </c>
      <c r="JY73" s="504">
        <v>0</v>
      </c>
      <c r="JZ73" s="504">
        <v>0</v>
      </c>
      <c r="KA73" s="504">
        <v>0</v>
      </c>
      <c r="KB73" s="504">
        <v>0</v>
      </c>
      <c r="KC73" s="504">
        <v>0</v>
      </c>
      <c r="KD73" s="504">
        <v>0</v>
      </c>
      <c r="KE73" s="504">
        <v>0</v>
      </c>
      <c r="KF73" s="504">
        <v>0</v>
      </c>
      <c r="KG73" s="504">
        <v>0</v>
      </c>
      <c r="KH73" s="504">
        <v>0</v>
      </c>
      <c r="KI73" s="504">
        <v>0</v>
      </c>
      <c r="KJ73" s="504">
        <v>0</v>
      </c>
      <c r="KK73" s="504">
        <v>0</v>
      </c>
      <c r="KL73" s="504">
        <v>0</v>
      </c>
      <c r="KM73" s="504">
        <v>0</v>
      </c>
      <c r="KN73" s="504">
        <v>0</v>
      </c>
      <c r="KO73" s="504">
        <v>0</v>
      </c>
      <c r="KP73" s="504">
        <v>0</v>
      </c>
      <c r="KQ73" s="504">
        <v>0</v>
      </c>
      <c r="KR73" s="504">
        <v>0</v>
      </c>
      <c r="KS73" s="504">
        <v>0</v>
      </c>
      <c r="KT73" s="504">
        <v>0</v>
      </c>
      <c r="KU73" s="504">
        <v>0</v>
      </c>
      <c r="KV73" s="504">
        <v>0</v>
      </c>
      <c r="KW73" s="504">
        <v>0</v>
      </c>
      <c r="KX73" s="504">
        <v>0</v>
      </c>
      <c r="KY73" s="504">
        <v>0</v>
      </c>
      <c r="KZ73" s="504">
        <v>0</v>
      </c>
      <c r="LA73" s="504">
        <v>0</v>
      </c>
      <c r="LB73" s="504">
        <v>0</v>
      </c>
      <c r="LC73" s="504">
        <v>0</v>
      </c>
      <c r="LD73" s="504">
        <v>0</v>
      </c>
      <c r="LE73" s="504">
        <v>0</v>
      </c>
      <c r="LF73" s="504">
        <v>0</v>
      </c>
      <c r="LG73" s="504">
        <v>0</v>
      </c>
      <c r="LH73" s="504">
        <v>0</v>
      </c>
      <c r="LI73" s="504">
        <v>0</v>
      </c>
      <c r="LJ73" s="504">
        <v>0</v>
      </c>
      <c r="LK73" s="504">
        <v>0</v>
      </c>
      <c r="LL73" s="504">
        <v>0</v>
      </c>
      <c r="LM73" s="504">
        <v>0</v>
      </c>
      <c r="LN73" s="504">
        <v>0</v>
      </c>
      <c r="LO73" s="504">
        <v>0</v>
      </c>
      <c r="LP73" s="504">
        <v>0</v>
      </c>
      <c r="LQ73" s="504">
        <v>0</v>
      </c>
      <c r="LR73" s="504">
        <v>0</v>
      </c>
      <c r="LS73" s="504">
        <v>0</v>
      </c>
      <c r="LT73" s="504">
        <v>0</v>
      </c>
      <c r="LU73" s="504">
        <v>0</v>
      </c>
      <c r="LV73" s="504">
        <v>0</v>
      </c>
      <c r="LW73" s="504">
        <v>0</v>
      </c>
      <c r="LX73" s="504">
        <v>0</v>
      </c>
      <c r="LY73" s="504">
        <v>0</v>
      </c>
      <c r="LZ73" s="504">
        <v>0</v>
      </c>
      <c r="MA73" s="504">
        <v>0</v>
      </c>
      <c r="MB73" s="504">
        <v>0</v>
      </c>
      <c r="MC73" s="504">
        <v>0</v>
      </c>
      <c r="MD73" s="504">
        <v>0</v>
      </c>
      <c r="ME73" s="504">
        <v>0</v>
      </c>
      <c r="MF73" s="504">
        <v>0</v>
      </c>
      <c r="MG73" s="504">
        <v>0</v>
      </c>
      <c r="MH73" s="504">
        <v>0</v>
      </c>
      <c r="MI73" s="504">
        <v>0</v>
      </c>
      <c r="MJ73" s="504">
        <v>0</v>
      </c>
      <c r="MK73" s="504">
        <v>0</v>
      </c>
      <c r="ML73" s="504">
        <v>0</v>
      </c>
      <c r="MM73" s="504">
        <v>0</v>
      </c>
      <c r="MN73" s="504">
        <v>0</v>
      </c>
      <c r="MO73" s="504">
        <v>0</v>
      </c>
      <c r="MP73" s="504">
        <v>0</v>
      </c>
      <c r="MQ73" s="504">
        <v>0</v>
      </c>
      <c r="MR73" s="504">
        <v>0</v>
      </c>
      <c r="MS73" s="504">
        <v>0</v>
      </c>
      <c r="MT73" s="504">
        <v>0</v>
      </c>
      <c r="MU73" s="504">
        <v>0</v>
      </c>
      <c r="MV73" s="504">
        <v>0</v>
      </c>
      <c r="MW73" s="504">
        <v>0</v>
      </c>
      <c r="MX73" s="504">
        <v>0</v>
      </c>
      <c r="MY73" s="504">
        <v>0</v>
      </c>
      <c r="MZ73" s="504">
        <v>0</v>
      </c>
      <c r="NA73" s="504">
        <v>0</v>
      </c>
      <c r="NB73" s="504">
        <v>0</v>
      </c>
      <c r="NC73" s="504">
        <v>0</v>
      </c>
      <c r="ND73" s="504">
        <v>0</v>
      </c>
      <c r="NE73" s="504">
        <v>0</v>
      </c>
      <c r="NF73" s="504">
        <v>0</v>
      </c>
      <c r="NG73" s="504">
        <v>0</v>
      </c>
      <c r="NH73" s="504">
        <v>0</v>
      </c>
      <c r="NI73" s="504">
        <v>0</v>
      </c>
      <c r="NJ73" s="504">
        <v>0</v>
      </c>
      <c r="NK73" s="504">
        <v>0</v>
      </c>
      <c r="NL73" s="504">
        <v>0</v>
      </c>
      <c r="NM73" s="504">
        <v>0</v>
      </c>
      <c r="NN73" s="504">
        <v>0</v>
      </c>
      <c r="NO73" s="504">
        <v>0</v>
      </c>
      <c r="NP73" s="504">
        <v>0</v>
      </c>
      <c r="NQ73" s="504">
        <v>0</v>
      </c>
      <c r="NR73" s="504">
        <v>0</v>
      </c>
      <c r="NS73" s="504">
        <v>0</v>
      </c>
      <c r="NT73" s="504">
        <v>0</v>
      </c>
      <c r="NU73" s="504">
        <v>0</v>
      </c>
      <c r="NV73" s="504">
        <v>0</v>
      </c>
      <c r="NW73" s="504">
        <v>0</v>
      </c>
      <c r="NX73" s="504">
        <v>0</v>
      </c>
      <c r="NY73" s="504">
        <v>0</v>
      </c>
      <c r="NZ73" s="504">
        <v>0</v>
      </c>
      <c r="OA73" s="504">
        <v>0</v>
      </c>
      <c r="OB73" s="504">
        <v>0</v>
      </c>
      <c r="OC73" s="504">
        <v>0</v>
      </c>
      <c r="OD73" s="504">
        <v>0</v>
      </c>
      <c r="OE73" s="504">
        <v>0</v>
      </c>
      <c r="OF73" s="504">
        <v>0</v>
      </c>
      <c r="OG73" s="504">
        <v>0</v>
      </c>
      <c r="OH73" s="504">
        <v>0</v>
      </c>
      <c r="OI73" s="504">
        <v>0</v>
      </c>
      <c r="OJ73" s="504">
        <v>0</v>
      </c>
      <c r="OK73" s="504">
        <v>0</v>
      </c>
      <c r="OL73" s="504">
        <v>0</v>
      </c>
      <c r="OM73" s="504">
        <v>0</v>
      </c>
      <c r="ON73" s="494"/>
    </row>
    <row r="74" spans="1:404" ht="18.75" customHeight="1" x14ac:dyDescent="0.4">
      <c r="A74" s="355" t="s">
        <v>91</v>
      </c>
      <c r="B74" s="358">
        <v>191</v>
      </c>
      <c r="C74" s="355" t="s">
        <v>60</v>
      </c>
      <c r="D74" s="501">
        <v>47.79</v>
      </c>
      <c r="E74" s="502">
        <v>141141</v>
      </c>
      <c r="F74" s="501">
        <v>47.78</v>
      </c>
      <c r="G74" s="502">
        <v>73370</v>
      </c>
      <c r="H74" s="501">
        <v>47.78</v>
      </c>
      <c r="I74" s="502">
        <v>184207</v>
      </c>
      <c r="J74" s="501">
        <v>47.78</v>
      </c>
      <c r="K74" s="502">
        <v>201195</v>
      </c>
      <c r="V74" s="501"/>
      <c r="W74" s="503"/>
      <c r="X74" s="501"/>
      <c r="Y74" s="503"/>
      <c r="Z74" s="501"/>
      <c r="AA74" s="503"/>
      <c r="AB74" s="495"/>
      <c r="AC74" s="504">
        <v>0</v>
      </c>
      <c r="AD74" s="504">
        <v>0</v>
      </c>
      <c r="AE74" s="504">
        <v>0</v>
      </c>
      <c r="AF74" s="504">
        <v>0</v>
      </c>
      <c r="AG74" s="504">
        <v>0</v>
      </c>
      <c r="AH74" s="504">
        <v>0</v>
      </c>
      <c r="AI74" s="504">
        <v>0</v>
      </c>
      <c r="AJ74" s="504">
        <v>0</v>
      </c>
      <c r="AK74" s="504">
        <v>0</v>
      </c>
      <c r="AL74" s="504">
        <v>0</v>
      </c>
      <c r="AM74" s="504">
        <v>0</v>
      </c>
      <c r="AN74" s="504">
        <v>0</v>
      </c>
      <c r="AO74" s="504">
        <v>0</v>
      </c>
      <c r="AP74" s="504">
        <v>0</v>
      </c>
      <c r="AQ74" s="504">
        <v>0</v>
      </c>
      <c r="AR74" s="504">
        <v>0</v>
      </c>
      <c r="AS74" s="504">
        <v>0</v>
      </c>
      <c r="AT74" s="504">
        <v>0</v>
      </c>
      <c r="AU74" s="504">
        <v>0</v>
      </c>
      <c r="AV74" s="504">
        <v>0</v>
      </c>
      <c r="AW74" s="504">
        <v>0</v>
      </c>
      <c r="AX74" s="504">
        <v>0</v>
      </c>
      <c r="AY74" s="504">
        <v>0</v>
      </c>
      <c r="AZ74" s="504">
        <v>0</v>
      </c>
      <c r="BA74" s="504">
        <v>0</v>
      </c>
      <c r="BB74" s="504">
        <v>0</v>
      </c>
      <c r="BC74" s="504">
        <v>0</v>
      </c>
      <c r="BD74" s="504">
        <v>0</v>
      </c>
      <c r="BE74" s="504">
        <v>0</v>
      </c>
      <c r="BF74" s="504">
        <v>0</v>
      </c>
      <c r="BG74" s="504">
        <v>0</v>
      </c>
      <c r="BH74" s="504">
        <v>0</v>
      </c>
      <c r="BI74" s="504">
        <v>0</v>
      </c>
      <c r="BJ74" s="504">
        <v>0</v>
      </c>
      <c r="BK74" s="504">
        <v>0</v>
      </c>
      <c r="BL74" s="504">
        <v>0</v>
      </c>
      <c r="BM74" s="504">
        <v>0</v>
      </c>
      <c r="BN74" s="504">
        <v>0</v>
      </c>
      <c r="BO74" s="504">
        <v>0</v>
      </c>
      <c r="BP74" s="504">
        <v>0</v>
      </c>
      <c r="BQ74" s="504">
        <v>0</v>
      </c>
      <c r="BR74" s="504">
        <v>0</v>
      </c>
      <c r="BS74" s="504">
        <v>0</v>
      </c>
      <c r="BT74" s="504">
        <v>0</v>
      </c>
      <c r="BU74" s="504">
        <v>0</v>
      </c>
      <c r="BV74" s="504">
        <v>0</v>
      </c>
      <c r="BW74" s="504">
        <v>0</v>
      </c>
      <c r="BX74" s="504">
        <v>0</v>
      </c>
      <c r="BY74" s="504">
        <v>0</v>
      </c>
      <c r="BZ74" s="504">
        <v>0</v>
      </c>
      <c r="CA74" s="504">
        <v>0</v>
      </c>
      <c r="CB74" s="504">
        <v>0</v>
      </c>
      <c r="CC74" s="504">
        <v>0</v>
      </c>
      <c r="CD74" s="504">
        <v>0</v>
      </c>
      <c r="CE74" s="504">
        <v>0</v>
      </c>
      <c r="CF74" s="504">
        <v>0</v>
      </c>
      <c r="CG74" s="504">
        <v>0</v>
      </c>
      <c r="CH74" s="504">
        <v>0</v>
      </c>
      <c r="CI74" s="504">
        <v>0</v>
      </c>
      <c r="CJ74" s="504">
        <v>0</v>
      </c>
      <c r="CK74" s="504">
        <v>0</v>
      </c>
      <c r="CL74" s="504">
        <v>0</v>
      </c>
      <c r="CM74" s="504">
        <v>0</v>
      </c>
      <c r="CN74" s="504">
        <v>0</v>
      </c>
      <c r="CO74" s="504">
        <v>0</v>
      </c>
      <c r="CP74" s="504">
        <v>0</v>
      </c>
      <c r="CQ74" s="504">
        <v>0</v>
      </c>
      <c r="CR74" s="504">
        <v>0</v>
      </c>
      <c r="CS74" s="504">
        <v>0</v>
      </c>
      <c r="CT74" s="504">
        <v>0</v>
      </c>
      <c r="CU74" s="504">
        <v>0</v>
      </c>
      <c r="CV74" s="504">
        <v>0</v>
      </c>
      <c r="CW74" s="504">
        <v>0</v>
      </c>
      <c r="CX74" s="504">
        <v>0</v>
      </c>
      <c r="CY74" s="504">
        <v>0</v>
      </c>
      <c r="CZ74" s="504">
        <v>0</v>
      </c>
      <c r="DA74" s="504">
        <v>0</v>
      </c>
      <c r="DB74" s="504">
        <v>0</v>
      </c>
      <c r="DC74" s="504">
        <v>0</v>
      </c>
      <c r="DD74" s="504">
        <v>0</v>
      </c>
      <c r="DE74" s="504">
        <v>0</v>
      </c>
      <c r="DF74" s="504">
        <v>0</v>
      </c>
      <c r="DG74" s="504">
        <v>0</v>
      </c>
      <c r="DH74" s="504">
        <v>0</v>
      </c>
      <c r="DI74" s="504">
        <v>0</v>
      </c>
      <c r="DJ74" s="504">
        <v>0</v>
      </c>
      <c r="DK74" s="504">
        <v>0</v>
      </c>
      <c r="DL74" s="504">
        <v>0</v>
      </c>
      <c r="DM74" s="504">
        <v>0</v>
      </c>
      <c r="DN74" s="504">
        <v>0</v>
      </c>
      <c r="DO74" s="504">
        <v>0</v>
      </c>
      <c r="DP74" s="504">
        <v>0</v>
      </c>
      <c r="DQ74" s="504">
        <v>0</v>
      </c>
      <c r="DR74" s="504">
        <v>0</v>
      </c>
      <c r="DS74" s="504">
        <v>0</v>
      </c>
      <c r="DT74" s="504">
        <v>0</v>
      </c>
      <c r="DU74" s="504">
        <v>0</v>
      </c>
      <c r="DV74" s="504">
        <v>0</v>
      </c>
      <c r="DW74" s="504">
        <v>0</v>
      </c>
      <c r="DX74" s="504">
        <v>0</v>
      </c>
      <c r="DY74" s="504">
        <v>0</v>
      </c>
      <c r="DZ74" s="504">
        <v>0</v>
      </c>
      <c r="EA74" s="504">
        <v>0</v>
      </c>
      <c r="EB74" s="504">
        <v>0</v>
      </c>
      <c r="EC74" s="504">
        <v>0</v>
      </c>
      <c r="ED74" s="504">
        <v>0</v>
      </c>
      <c r="EE74" s="504">
        <v>0</v>
      </c>
      <c r="EF74" s="504">
        <v>0</v>
      </c>
      <c r="EG74" s="504">
        <v>0</v>
      </c>
      <c r="EH74" s="504">
        <v>0</v>
      </c>
      <c r="EI74" s="504">
        <v>0</v>
      </c>
      <c r="EJ74" s="504">
        <v>0</v>
      </c>
      <c r="EK74" s="504">
        <v>0</v>
      </c>
      <c r="EL74" s="504">
        <v>0</v>
      </c>
      <c r="EM74" s="504">
        <v>0</v>
      </c>
      <c r="EN74" s="504">
        <v>0</v>
      </c>
      <c r="EO74" s="504">
        <v>0</v>
      </c>
      <c r="EP74" s="504">
        <v>0</v>
      </c>
      <c r="EQ74" s="504">
        <v>0</v>
      </c>
      <c r="ER74" s="504">
        <v>0</v>
      </c>
      <c r="ES74" s="504">
        <v>0</v>
      </c>
      <c r="ET74" s="504">
        <v>0</v>
      </c>
      <c r="EU74" s="504">
        <v>0</v>
      </c>
      <c r="EV74" s="504">
        <v>0</v>
      </c>
      <c r="EW74" s="504">
        <v>0</v>
      </c>
      <c r="EX74" s="504">
        <v>0</v>
      </c>
      <c r="EY74" s="504">
        <v>0</v>
      </c>
      <c r="EZ74" s="504">
        <v>0</v>
      </c>
      <c r="FA74" s="504">
        <v>0</v>
      </c>
      <c r="FB74" s="504">
        <v>0</v>
      </c>
      <c r="FC74" s="504">
        <v>0</v>
      </c>
      <c r="FD74" s="504">
        <v>0</v>
      </c>
      <c r="FE74" s="504">
        <v>0</v>
      </c>
      <c r="FF74" s="504">
        <v>0</v>
      </c>
      <c r="FG74" s="504">
        <v>0</v>
      </c>
      <c r="FH74" s="504">
        <v>0</v>
      </c>
      <c r="FI74" s="504">
        <v>0</v>
      </c>
      <c r="FJ74" s="504">
        <v>0</v>
      </c>
      <c r="FK74" s="504">
        <v>0</v>
      </c>
      <c r="FL74" s="504">
        <v>0</v>
      </c>
      <c r="FM74" s="504">
        <v>0</v>
      </c>
      <c r="FN74" s="504">
        <v>0</v>
      </c>
      <c r="FO74" s="504">
        <v>0</v>
      </c>
      <c r="FP74" s="504">
        <v>0</v>
      </c>
      <c r="FQ74" s="504">
        <v>0</v>
      </c>
      <c r="FR74" s="504">
        <v>0</v>
      </c>
      <c r="FS74" s="504">
        <v>0</v>
      </c>
      <c r="FT74" s="504">
        <v>0</v>
      </c>
      <c r="FU74" s="504">
        <v>0</v>
      </c>
      <c r="FV74" s="504">
        <v>0</v>
      </c>
      <c r="FW74" s="504">
        <v>0</v>
      </c>
      <c r="FX74" s="504">
        <v>0</v>
      </c>
      <c r="FY74" s="504">
        <v>0</v>
      </c>
      <c r="FZ74" s="504">
        <v>0</v>
      </c>
      <c r="GA74" s="504">
        <v>0</v>
      </c>
      <c r="GB74" s="504">
        <v>0</v>
      </c>
      <c r="GC74" s="504">
        <v>0</v>
      </c>
      <c r="GD74" s="504">
        <v>0</v>
      </c>
      <c r="GE74" s="504">
        <v>0</v>
      </c>
      <c r="GF74" s="504">
        <v>0</v>
      </c>
      <c r="GG74" s="504">
        <v>0</v>
      </c>
      <c r="GH74" s="504">
        <v>0</v>
      </c>
      <c r="GI74" s="504">
        <v>0</v>
      </c>
      <c r="GJ74" s="504">
        <v>0</v>
      </c>
      <c r="GK74" s="504">
        <v>0</v>
      </c>
      <c r="GL74" s="504">
        <v>0</v>
      </c>
      <c r="GM74" s="504">
        <v>0</v>
      </c>
      <c r="GN74" s="504">
        <v>0</v>
      </c>
      <c r="GO74" s="504">
        <v>0</v>
      </c>
      <c r="GP74" s="504">
        <v>0</v>
      </c>
      <c r="GQ74" s="504">
        <v>0</v>
      </c>
      <c r="GR74" s="504">
        <v>0</v>
      </c>
      <c r="GS74" s="504">
        <v>0</v>
      </c>
      <c r="GT74" s="504">
        <v>0</v>
      </c>
      <c r="GU74" s="504">
        <v>0</v>
      </c>
      <c r="GV74" s="504">
        <v>0</v>
      </c>
      <c r="GW74" s="504">
        <v>0</v>
      </c>
      <c r="GX74" s="504">
        <v>0</v>
      </c>
      <c r="GY74" s="504">
        <v>0</v>
      </c>
      <c r="GZ74" s="504">
        <v>0</v>
      </c>
      <c r="HA74" s="504">
        <v>0</v>
      </c>
      <c r="HB74" s="504">
        <v>0</v>
      </c>
      <c r="HC74" s="504">
        <v>0</v>
      </c>
      <c r="HD74" s="504">
        <v>0</v>
      </c>
      <c r="HE74" s="504">
        <v>0</v>
      </c>
      <c r="HF74" s="504">
        <v>0</v>
      </c>
      <c r="HG74" s="504">
        <v>0</v>
      </c>
      <c r="HH74" s="504">
        <v>0</v>
      </c>
      <c r="HI74" s="504">
        <v>0</v>
      </c>
      <c r="HJ74" s="504">
        <v>0</v>
      </c>
      <c r="HK74" s="504">
        <v>0</v>
      </c>
      <c r="HL74" s="504">
        <v>0</v>
      </c>
      <c r="HM74" s="504">
        <v>0</v>
      </c>
      <c r="HN74" s="504">
        <v>0</v>
      </c>
      <c r="HO74" s="504">
        <v>0</v>
      </c>
      <c r="HP74" s="504">
        <v>0</v>
      </c>
      <c r="HQ74" s="504">
        <v>0</v>
      </c>
      <c r="HR74" s="504">
        <v>0</v>
      </c>
      <c r="HS74" s="504">
        <v>0</v>
      </c>
      <c r="HT74" s="504">
        <v>0</v>
      </c>
      <c r="HU74" s="504">
        <v>0</v>
      </c>
      <c r="HV74" s="504">
        <v>0</v>
      </c>
      <c r="HW74" s="504">
        <v>0</v>
      </c>
      <c r="HX74" s="504">
        <v>0</v>
      </c>
      <c r="HY74" s="504">
        <v>0</v>
      </c>
      <c r="HZ74" s="504">
        <v>0</v>
      </c>
      <c r="IA74" s="504">
        <v>0</v>
      </c>
      <c r="IB74" s="504">
        <v>0</v>
      </c>
      <c r="IC74" s="504">
        <v>0</v>
      </c>
      <c r="ID74" s="504">
        <v>0</v>
      </c>
      <c r="IE74" s="504">
        <v>0</v>
      </c>
      <c r="IF74" s="504">
        <v>0</v>
      </c>
      <c r="IG74" s="504">
        <v>0</v>
      </c>
      <c r="IH74" s="504">
        <v>0</v>
      </c>
      <c r="II74" s="504">
        <v>0</v>
      </c>
      <c r="IJ74" s="504">
        <v>0</v>
      </c>
      <c r="IK74" s="504">
        <v>0</v>
      </c>
      <c r="IL74" s="504">
        <v>0</v>
      </c>
      <c r="IM74" s="504">
        <v>0</v>
      </c>
      <c r="IN74" s="504">
        <v>0</v>
      </c>
      <c r="IO74" s="504">
        <v>0</v>
      </c>
      <c r="IP74" s="504">
        <v>0</v>
      </c>
      <c r="IQ74" s="504">
        <v>0</v>
      </c>
      <c r="IR74" s="504">
        <v>0</v>
      </c>
      <c r="IS74" s="504">
        <v>0</v>
      </c>
      <c r="IT74" s="504">
        <v>0</v>
      </c>
      <c r="IU74" s="504">
        <v>0</v>
      </c>
      <c r="IV74" s="504">
        <v>0</v>
      </c>
      <c r="IW74" s="504">
        <v>0</v>
      </c>
      <c r="IX74" s="504">
        <v>0</v>
      </c>
      <c r="IY74" s="504">
        <v>0</v>
      </c>
      <c r="IZ74" s="504">
        <v>0</v>
      </c>
      <c r="JA74" s="504">
        <v>0</v>
      </c>
      <c r="JB74" s="504">
        <v>0</v>
      </c>
      <c r="JC74" s="504">
        <v>0</v>
      </c>
      <c r="JD74" s="504">
        <v>0</v>
      </c>
      <c r="JE74" s="504">
        <v>0</v>
      </c>
      <c r="JF74" s="504">
        <v>0</v>
      </c>
      <c r="JG74" s="504">
        <v>0</v>
      </c>
      <c r="JH74" s="504">
        <v>0</v>
      </c>
      <c r="JI74" s="504">
        <v>0</v>
      </c>
      <c r="JJ74" s="504">
        <v>0</v>
      </c>
      <c r="JK74" s="504">
        <v>0</v>
      </c>
      <c r="JL74" s="504">
        <v>0</v>
      </c>
      <c r="JM74" s="504">
        <v>0</v>
      </c>
      <c r="JN74" s="504">
        <v>0</v>
      </c>
      <c r="JO74" s="504">
        <v>0</v>
      </c>
      <c r="JP74" s="504">
        <v>0</v>
      </c>
      <c r="JQ74" s="504">
        <v>0</v>
      </c>
      <c r="JR74" s="504">
        <v>0</v>
      </c>
      <c r="JS74" s="504">
        <v>0</v>
      </c>
      <c r="JT74" s="504">
        <v>0</v>
      </c>
      <c r="JU74" s="504">
        <v>0</v>
      </c>
      <c r="JV74" s="504">
        <v>0</v>
      </c>
      <c r="JW74" s="504">
        <v>0</v>
      </c>
      <c r="JX74" s="504">
        <v>0</v>
      </c>
      <c r="JY74" s="504">
        <v>0</v>
      </c>
      <c r="JZ74" s="504">
        <v>0</v>
      </c>
      <c r="KA74" s="504">
        <v>0</v>
      </c>
      <c r="KB74" s="504">
        <v>0</v>
      </c>
      <c r="KC74" s="504">
        <v>0</v>
      </c>
      <c r="KD74" s="504">
        <v>0</v>
      </c>
      <c r="KE74" s="504">
        <v>0</v>
      </c>
      <c r="KF74" s="504">
        <v>0</v>
      </c>
      <c r="KG74" s="504">
        <v>0</v>
      </c>
      <c r="KH74" s="504">
        <v>0</v>
      </c>
      <c r="KI74" s="504">
        <v>0</v>
      </c>
      <c r="KJ74" s="504">
        <v>0</v>
      </c>
      <c r="KK74" s="504">
        <v>0</v>
      </c>
      <c r="KL74" s="504">
        <v>0</v>
      </c>
      <c r="KM74" s="504">
        <v>0</v>
      </c>
      <c r="KN74" s="504">
        <v>0</v>
      </c>
      <c r="KO74" s="504">
        <v>0</v>
      </c>
      <c r="KP74" s="504">
        <v>0</v>
      </c>
      <c r="KQ74" s="504">
        <v>0</v>
      </c>
      <c r="KR74" s="504">
        <v>0</v>
      </c>
      <c r="KS74" s="504">
        <v>0</v>
      </c>
      <c r="KT74" s="504">
        <v>0</v>
      </c>
      <c r="KU74" s="504">
        <v>0</v>
      </c>
      <c r="KV74" s="504">
        <v>0</v>
      </c>
      <c r="KW74" s="504">
        <v>0</v>
      </c>
      <c r="KX74" s="504">
        <v>0</v>
      </c>
      <c r="KY74" s="504">
        <v>0</v>
      </c>
      <c r="KZ74" s="504">
        <v>0</v>
      </c>
      <c r="LA74" s="504">
        <v>0</v>
      </c>
      <c r="LB74" s="504">
        <v>0</v>
      </c>
      <c r="LC74" s="504">
        <v>0</v>
      </c>
      <c r="LD74" s="504">
        <v>0</v>
      </c>
      <c r="LE74" s="504">
        <v>0</v>
      </c>
      <c r="LF74" s="504">
        <v>0</v>
      </c>
      <c r="LG74" s="504">
        <v>0</v>
      </c>
      <c r="LH74" s="504">
        <v>0</v>
      </c>
      <c r="LI74" s="504">
        <v>0</v>
      </c>
      <c r="LJ74" s="504">
        <v>0</v>
      </c>
      <c r="LK74" s="504">
        <v>0</v>
      </c>
      <c r="LL74" s="504">
        <v>0</v>
      </c>
      <c r="LM74" s="504">
        <v>0</v>
      </c>
      <c r="LN74" s="504">
        <v>0</v>
      </c>
      <c r="LO74" s="504">
        <v>0</v>
      </c>
      <c r="LP74" s="504">
        <v>0</v>
      </c>
      <c r="LQ74" s="504">
        <v>0</v>
      </c>
      <c r="LR74" s="504">
        <v>0</v>
      </c>
      <c r="LS74" s="504">
        <v>0</v>
      </c>
      <c r="LT74" s="504">
        <v>0</v>
      </c>
      <c r="LU74" s="504">
        <v>0</v>
      </c>
      <c r="LV74" s="504">
        <v>0</v>
      </c>
      <c r="LW74" s="504">
        <v>0</v>
      </c>
      <c r="LX74" s="504">
        <v>0</v>
      </c>
      <c r="LY74" s="504">
        <v>0</v>
      </c>
      <c r="LZ74" s="504">
        <v>0</v>
      </c>
      <c r="MA74" s="504">
        <v>0</v>
      </c>
      <c r="MB74" s="504">
        <v>0</v>
      </c>
      <c r="MC74" s="504">
        <v>0</v>
      </c>
      <c r="MD74" s="504">
        <v>0</v>
      </c>
      <c r="ME74" s="504">
        <v>0</v>
      </c>
      <c r="MF74" s="504">
        <v>0</v>
      </c>
      <c r="MG74" s="504">
        <v>0</v>
      </c>
      <c r="MH74" s="504">
        <v>0</v>
      </c>
      <c r="MI74" s="504">
        <v>0</v>
      </c>
      <c r="MJ74" s="504">
        <v>0</v>
      </c>
      <c r="MK74" s="504">
        <v>0</v>
      </c>
      <c r="ML74" s="504">
        <v>0</v>
      </c>
      <c r="MM74" s="504">
        <v>0</v>
      </c>
      <c r="MN74" s="504">
        <v>0</v>
      </c>
      <c r="MO74" s="504">
        <v>0</v>
      </c>
      <c r="MP74" s="504">
        <v>0</v>
      </c>
      <c r="MQ74" s="504">
        <v>0</v>
      </c>
      <c r="MR74" s="504">
        <v>0</v>
      </c>
      <c r="MS74" s="504">
        <v>0</v>
      </c>
      <c r="MT74" s="504">
        <v>0</v>
      </c>
      <c r="MU74" s="504">
        <v>0</v>
      </c>
      <c r="MV74" s="504">
        <v>0</v>
      </c>
      <c r="MW74" s="504">
        <v>0</v>
      </c>
      <c r="MX74" s="504">
        <v>0</v>
      </c>
      <c r="MY74" s="504">
        <v>0</v>
      </c>
      <c r="MZ74" s="504">
        <v>0</v>
      </c>
      <c r="NA74" s="504">
        <v>0</v>
      </c>
      <c r="NB74" s="504">
        <v>0</v>
      </c>
      <c r="NC74" s="504">
        <v>0</v>
      </c>
      <c r="ND74" s="504">
        <v>0</v>
      </c>
      <c r="NE74" s="504">
        <v>0</v>
      </c>
      <c r="NF74" s="504">
        <v>0</v>
      </c>
      <c r="NG74" s="504">
        <v>0</v>
      </c>
      <c r="NH74" s="504">
        <v>0</v>
      </c>
      <c r="NI74" s="504">
        <v>0</v>
      </c>
      <c r="NJ74" s="504">
        <v>0</v>
      </c>
      <c r="NK74" s="504">
        <v>0</v>
      </c>
      <c r="NL74" s="504">
        <v>0</v>
      </c>
      <c r="NM74" s="504">
        <v>0</v>
      </c>
      <c r="NN74" s="504">
        <v>0</v>
      </c>
      <c r="NO74" s="504">
        <v>0</v>
      </c>
      <c r="NP74" s="504">
        <v>0</v>
      </c>
      <c r="NQ74" s="504">
        <v>0</v>
      </c>
      <c r="NR74" s="504">
        <v>0</v>
      </c>
      <c r="NS74" s="504">
        <v>0</v>
      </c>
      <c r="NT74" s="504">
        <v>0</v>
      </c>
      <c r="NU74" s="504">
        <v>0</v>
      </c>
      <c r="NV74" s="504">
        <v>0</v>
      </c>
      <c r="NW74" s="504">
        <v>0</v>
      </c>
      <c r="NX74" s="504">
        <v>0</v>
      </c>
      <c r="NY74" s="504">
        <v>0</v>
      </c>
      <c r="NZ74" s="504">
        <v>0</v>
      </c>
      <c r="OA74" s="504">
        <v>0</v>
      </c>
      <c r="OB74" s="504">
        <v>0</v>
      </c>
      <c r="OC74" s="504">
        <v>0</v>
      </c>
      <c r="OD74" s="504">
        <v>0</v>
      </c>
      <c r="OE74" s="504">
        <v>0</v>
      </c>
      <c r="OF74" s="504">
        <v>0</v>
      </c>
      <c r="OG74" s="504">
        <v>0</v>
      </c>
      <c r="OH74" s="504">
        <v>0</v>
      </c>
      <c r="OI74" s="504">
        <v>0</v>
      </c>
      <c r="OJ74" s="504">
        <v>0</v>
      </c>
      <c r="OK74" s="504">
        <v>0</v>
      </c>
      <c r="OL74" s="504">
        <v>0</v>
      </c>
      <c r="OM74" s="504">
        <v>0</v>
      </c>
      <c r="ON74" s="494"/>
    </row>
    <row r="75" spans="1:404" ht="18.75" customHeight="1" x14ac:dyDescent="0.4">
      <c r="A75" s="355" t="s">
        <v>346</v>
      </c>
      <c r="B75" s="358">
        <v>231</v>
      </c>
      <c r="C75" s="355" t="s">
        <v>60</v>
      </c>
      <c r="D75" s="501">
        <v>47.97</v>
      </c>
      <c r="E75" s="502">
        <v>31350</v>
      </c>
      <c r="F75" s="501">
        <v>47.95</v>
      </c>
      <c r="G75" s="502">
        <v>3722</v>
      </c>
      <c r="H75" s="501">
        <v>47.95</v>
      </c>
      <c r="I75" s="502">
        <v>10687</v>
      </c>
      <c r="J75" s="501">
        <v>47.95</v>
      </c>
      <c r="K75" s="502">
        <v>11853</v>
      </c>
      <c r="V75" s="501"/>
      <c r="W75" s="503"/>
      <c r="X75" s="501"/>
      <c r="Y75" s="503"/>
      <c r="Z75" s="501"/>
      <c r="AA75" s="503"/>
      <c r="AB75" s="495"/>
      <c r="AC75" s="504">
        <v>0</v>
      </c>
      <c r="AD75" s="504">
        <v>0</v>
      </c>
      <c r="AE75" s="504">
        <v>0</v>
      </c>
      <c r="AF75" s="504">
        <v>0</v>
      </c>
      <c r="AG75" s="504">
        <v>0</v>
      </c>
      <c r="AH75" s="504">
        <v>0</v>
      </c>
      <c r="AI75" s="504">
        <v>0</v>
      </c>
      <c r="AJ75" s="504">
        <v>0</v>
      </c>
      <c r="AK75" s="504">
        <v>0</v>
      </c>
      <c r="AL75" s="504">
        <v>0</v>
      </c>
      <c r="AM75" s="504">
        <v>0</v>
      </c>
      <c r="AN75" s="504">
        <v>0</v>
      </c>
      <c r="AO75" s="504">
        <v>0</v>
      </c>
      <c r="AP75" s="504">
        <v>0</v>
      </c>
      <c r="AQ75" s="504">
        <v>0</v>
      </c>
      <c r="AR75" s="504">
        <v>0</v>
      </c>
      <c r="AS75" s="504">
        <v>0</v>
      </c>
      <c r="AT75" s="504">
        <v>0</v>
      </c>
      <c r="AU75" s="504">
        <v>0</v>
      </c>
      <c r="AV75" s="504">
        <v>0</v>
      </c>
      <c r="AW75" s="504">
        <v>0</v>
      </c>
      <c r="AX75" s="504">
        <v>0</v>
      </c>
      <c r="AY75" s="504">
        <v>0</v>
      </c>
      <c r="AZ75" s="504">
        <v>0</v>
      </c>
      <c r="BA75" s="504">
        <v>0</v>
      </c>
      <c r="BB75" s="504">
        <v>0</v>
      </c>
      <c r="BC75" s="504">
        <v>0</v>
      </c>
      <c r="BD75" s="504">
        <v>0</v>
      </c>
      <c r="BE75" s="504">
        <v>0</v>
      </c>
      <c r="BF75" s="504">
        <v>0</v>
      </c>
      <c r="BG75" s="504">
        <v>0</v>
      </c>
      <c r="BH75" s="504">
        <v>0</v>
      </c>
      <c r="BI75" s="504">
        <v>0</v>
      </c>
      <c r="BJ75" s="504">
        <v>0</v>
      </c>
      <c r="BK75" s="504">
        <v>0</v>
      </c>
      <c r="BL75" s="504">
        <v>0</v>
      </c>
      <c r="BM75" s="504">
        <v>0</v>
      </c>
      <c r="BN75" s="504">
        <v>0</v>
      </c>
      <c r="BO75" s="504">
        <v>0</v>
      </c>
      <c r="BP75" s="504">
        <v>0</v>
      </c>
      <c r="BQ75" s="504">
        <v>0</v>
      </c>
      <c r="BR75" s="504">
        <v>0</v>
      </c>
      <c r="BS75" s="504">
        <v>0</v>
      </c>
      <c r="BT75" s="504">
        <v>0</v>
      </c>
      <c r="BU75" s="504">
        <v>0</v>
      </c>
      <c r="BV75" s="504">
        <v>0</v>
      </c>
      <c r="BW75" s="504">
        <v>0</v>
      </c>
      <c r="BX75" s="504">
        <v>0</v>
      </c>
      <c r="BY75" s="504">
        <v>0</v>
      </c>
      <c r="BZ75" s="504">
        <v>0</v>
      </c>
      <c r="CA75" s="504">
        <v>0</v>
      </c>
      <c r="CB75" s="504">
        <v>0</v>
      </c>
      <c r="CC75" s="504">
        <v>0</v>
      </c>
      <c r="CD75" s="504">
        <v>0</v>
      </c>
      <c r="CE75" s="504">
        <v>0</v>
      </c>
      <c r="CF75" s="504">
        <v>0</v>
      </c>
      <c r="CG75" s="504">
        <v>0</v>
      </c>
      <c r="CH75" s="504">
        <v>0</v>
      </c>
      <c r="CI75" s="504">
        <v>0</v>
      </c>
      <c r="CJ75" s="504">
        <v>0</v>
      </c>
      <c r="CK75" s="504">
        <v>0</v>
      </c>
      <c r="CL75" s="504">
        <v>0</v>
      </c>
      <c r="CM75" s="504">
        <v>0</v>
      </c>
      <c r="CN75" s="504">
        <v>0</v>
      </c>
      <c r="CO75" s="504">
        <v>0</v>
      </c>
      <c r="CP75" s="504">
        <v>0</v>
      </c>
      <c r="CQ75" s="504">
        <v>0</v>
      </c>
      <c r="CR75" s="504">
        <v>0</v>
      </c>
      <c r="CS75" s="504">
        <v>0</v>
      </c>
      <c r="CT75" s="504">
        <v>0</v>
      </c>
      <c r="CU75" s="504">
        <v>0</v>
      </c>
      <c r="CV75" s="504">
        <v>0</v>
      </c>
      <c r="CW75" s="504">
        <v>0</v>
      </c>
      <c r="CX75" s="504">
        <v>0</v>
      </c>
      <c r="CY75" s="504">
        <v>0</v>
      </c>
      <c r="CZ75" s="504">
        <v>0</v>
      </c>
      <c r="DA75" s="504">
        <v>0</v>
      </c>
      <c r="DB75" s="504">
        <v>0</v>
      </c>
      <c r="DC75" s="504">
        <v>0</v>
      </c>
      <c r="DD75" s="504">
        <v>0</v>
      </c>
      <c r="DE75" s="504">
        <v>0</v>
      </c>
      <c r="DF75" s="504">
        <v>0</v>
      </c>
      <c r="DG75" s="504">
        <v>0</v>
      </c>
      <c r="DH75" s="504">
        <v>0</v>
      </c>
      <c r="DI75" s="504">
        <v>0</v>
      </c>
      <c r="DJ75" s="504">
        <v>0</v>
      </c>
      <c r="DK75" s="504">
        <v>0</v>
      </c>
      <c r="DL75" s="504">
        <v>0</v>
      </c>
      <c r="DM75" s="504">
        <v>0</v>
      </c>
      <c r="DN75" s="504">
        <v>0</v>
      </c>
      <c r="DO75" s="504">
        <v>0</v>
      </c>
      <c r="DP75" s="504">
        <v>0</v>
      </c>
      <c r="DQ75" s="504">
        <v>0</v>
      </c>
      <c r="DR75" s="504">
        <v>0</v>
      </c>
      <c r="DS75" s="504">
        <v>0</v>
      </c>
      <c r="DT75" s="504">
        <v>0</v>
      </c>
      <c r="DU75" s="504">
        <v>0</v>
      </c>
      <c r="DV75" s="504">
        <v>0</v>
      </c>
      <c r="DW75" s="504">
        <v>0</v>
      </c>
      <c r="DX75" s="504">
        <v>0</v>
      </c>
      <c r="DY75" s="504">
        <v>0</v>
      </c>
      <c r="DZ75" s="504">
        <v>0</v>
      </c>
      <c r="EA75" s="504">
        <v>0</v>
      </c>
      <c r="EB75" s="504">
        <v>0</v>
      </c>
      <c r="EC75" s="504">
        <v>0</v>
      </c>
      <c r="ED75" s="504">
        <v>0</v>
      </c>
      <c r="EE75" s="504">
        <v>0</v>
      </c>
      <c r="EF75" s="504">
        <v>0</v>
      </c>
      <c r="EG75" s="504">
        <v>0</v>
      </c>
      <c r="EH75" s="504">
        <v>0</v>
      </c>
      <c r="EI75" s="504">
        <v>0</v>
      </c>
      <c r="EJ75" s="504">
        <v>0</v>
      </c>
      <c r="EK75" s="504">
        <v>0</v>
      </c>
      <c r="EL75" s="504">
        <v>0</v>
      </c>
      <c r="EM75" s="504">
        <v>0</v>
      </c>
      <c r="EN75" s="504">
        <v>0</v>
      </c>
      <c r="EO75" s="504">
        <v>0</v>
      </c>
      <c r="EP75" s="504">
        <v>0</v>
      </c>
      <c r="EQ75" s="504">
        <v>0</v>
      </c>
      <c r="ER75" s="504">
        <v>0</v>
      </c>
      <c r="ES75" s="504">
        <v>0</v>
      </c>
      <c r="ET75" s="504">
        <v>0</v>
      </c>
      <c r="EU75" s="504">
        <v>0</v>
      </c>
      <c r="EV75" s="504">
        <v>0</v>
      </c>
      <c r="EW75" s="504">
        <v>0</v>
      </c>
      <c r="EX75" s="504">
        <v>0</v>
      </c>
      <c r="EY75" s="504">
        <v>0</v>
      </c>
      <c r="EZ75" s="504">
        <v>0</v>
      </c>
      <c r="FA75" s="504">
        <v>0</v>
      </c>
      <c r="FB75" s="504">
        <v>0</v>
      </c>
      <c r="FC75" s="504">
        <v>0</v>
      </c>
      <c r="FD75" s="504">
        <v>0</v>
      </c>
      <c r="FE75" s="504">
        <v>0</v>
      </c>
      <c r="FF75" s="504">
        <v>0</v>
      </c>
      <c r="FG75" s="504">
        <v>0</v>
      </c>
      <c r="FH75" s="504">
        <v>0</v>
      </c>
      <c r="FI75" s="504">
        <v>0</v>
      </c>
      <c r="FJ75" s="504">
        <v>0</v>
      </c>
      <c r="FK75" s="504">
        <v>0</v>
      </c>
      <c r="FL75" s="504">
        <v>0</v>
      </c>
      <c r="FM75" s="504">
        <v>0</v>
      </c>
      <c r="FN75" s="504">
        <v>0</v>
      </c>
      <c r="FO75" s="504">
        <v>0</v>
      </c>
      <c r="FP75" s="504">
        <v>0</v>
      </c>
      <c r="FQ75" s="504">
        <v>0</v>
      </c>
      <c r="FR75" s="504">
        <v>0</v>
      </c>
      <c r="FS75" s="504">
        <v>0</v>
      </c>
      <c r="FT75" s="504">
        <v>0</v>
      </c>
      <c r="FU75" s="504">
        <v>0</v>
      </c>
      <c r="FV75" s="504">
        <v>0</v>
      </c>
      <c r="FW75" s="504">
        <v>0</v>
      </c>
      <c r="FX75" s="504">
        <v>0</v>
      </c>
      <c r="FY75" s="504">
        <v>0</v>
      </c>
      <c r="FZ75" s="504">
        <v>0</v>
      </c>
      <c r="GA75" s="504">
        <v>0</v>
      </c>
      <c r="GB75" s="504">
        <v>0</v>
      </c>
      <c r="GC75" s="504">
        <v>0</v>
      </c>
      <c r="GD75" s="504">
        <v>0</v>
      </c>
      <c r="GE75" s="504">
        <v>0</v>
      </c>
      <c r="GF75" s="504">
        <v>0</v>
      </c>
      <c r="GG75" s="504">
        <v>0</v>
      </c>
      <c r="GH75" s="504">
        <v>0</v>
      </c>
      <c r="GI75" s="504">
        <v>0</v>
      </c>
      <c r="GJ75" s="504">
        <v>0</v>
      </c>
      <c r="GK75" s="504">
        <v>0</v>
      </c>
      <c r="GL75" s="504">
        <v>0</v>
      </c>
      <c r="GM75" s="504">
        <v>0</v>
      </c>
      <c r="GN75" s="504">
        <v>0</v>
      </c>
      <c r="GO75" s="504">
        <v>0</v>
      </c>
      <c r="GP75" s="504">
        <v>0</v>
      </c>
      <c r="GQ75" s="504">
        <v>0</v>
      </c>
      <c r="GR75" s="504">
        <v>0</v>
      </c>
      <c r="GS75" s="504">
        <v>0</v>
      </c>
      <c r="GT75" s="504">
        <v>0</v>
      </c>
      <c r="GU75" s="504">
        <v>0</v>
      </c>
      <c r="GV75" s="504">
        <v>0</v>
      </c>
      <c r="GW75" s="504">
        <v>0</v>
      </c>
      <c r="GX75" s="504">
        <v>0</v>
      </c>
      <c r="GY75" s="504">
        <v>0</v>
      </c>
      <c r="GZ75" s="504">
        <v>0</v>
      </c>
      <c r="HA75" s="504">
        <v>0</v>
      </c>
      <c r="HB75" s="504">
        <v>0</v>
      </c>
      <c r="HC75" s="504">
        <v>0</v>
      </c>
      <c r="HD75" s="504">
        <v>0</v>
      </c>
      <c r="HE75" s="504">
        <v>0</v>
      </c>
      <c r="HF75" s="504">
        <v>0</v>
      </c>
      <c r="HG75" s="504">
        <v>0</v>
      </c>
      <c r="HH75" s="504">
        <v>0</v>
      </c>
      <c r="HI75" s="504">
        <v>0</v>
      </c>
      <c r="HJ75" s="504">
        <v>0</v>
      </c>
      <c r="HK75" s="504">
        <v>0</v>
      </c>
      <c r="HL75" s="504">
        <v>0</v>
      </c>
      <c r="HM75" s="504">
        <v>0</v>
      </c>
      <c r="HN75" s="504">
        <v>0</v>
      </c>
      <c r="HO75" s="504">
        <v>0</v>
      </c>
      <c r="HP75" s="504">
        <v>0</v>
      </c>
      <c r="HQ75" s="504">
        <v>0</v>
      </c>
      <c r="HR75" s="504">
        <v>0</v>
      </c>
      <c r="HS75" s="504">
        <v>0</v>
      </c>
      <c r="HT75" s="504">
        <v>0</v>
      </c>
      <c r="HU75" s="504">
        <v>0</v>
      </c>
      <c r="HV75" s="504">
        <v>0</v>
      </c>
      <c r="HW75" s="504">
        <v>0</v>
      </c>
      <c r="HX75" s="504">
        <v>0</v>
      </c>
      <c r="HY75" s="504">
        <v>0</v>
      </c>
      <c r="HZ75" s="504">
        <v>0</v>
      </c>
      <c r="IA75" s="504">
        <v>0</v>
      </c>
      <c r="IB75" s="504">
        <v>0</v>
      </c>
      <c r="IC75" s="504">
        <v>0</v>
      </c>
      <c r="ID75" s="504">
        <v>0</v>
      </c>
      <c r="IE75" s="504">
        <v>0</v>
      </c>
      <c r="IF75" s="504">
        <v>0</v>
      </c>
      <c r="IG75" s="504">
        <v>0</v>
      </c>
      <c r="IH75" s="504">
        <v>0</v>
      </c>
      <c r="II75" s="504">
        <v>0</v>
      </c>
      <c r="IJ75" s="504">
        <v>0</v>
      </c>
      <c r="IK75" s="504">
        <v>0</v>
      </c>
      <c r="IL75" s="504">
        <v>0</v>
      </c>
      <c r="IM75" s="504">
        <v>0</v>
      </c>
      <c r="IN75" s="504">
        <v>0</v>
      </c>
      <c r="IO75" s="504">
        <v>0</v>
      </c>
      <c r="IP75" s="504">
        <v>0</v>
      </c>
      <c r="IQ75" s="504">
        <v>0</v>
      </c>
      <c r="IR75" s="504">
        <v>0</v>
      </c>
      <c r="IS75" s="504">
        <v>0</v>
      </c>
      <c r="IT75" s="504">
        <v>0</v>
      </c>
      <c r="IU75" s="504">
        <v>0</v>
      </c>
      <c r="IV75" s="504">
        <v>0</v>
      </c>
      <c r="IW75" s="504">
        <v>0</v>
      </c>
      <c r="IX75" s="504">
        <v>0</v>
      </c>
      <c r="IY75" s="504">
        <v>0</v>
      </c>
      <c r="IZ75" s="504">
        <v>0</v>
      </c>
      <c r="JA75" s="504">
        <v>0</v>
      </c>
      <c r="JB75" s="504">
        <v>0</v>
      </c>
      <c r="JC75" s="504">
        <v>0</v>
      </c>
      <c r="JD75" s="504">
        <v>0</v>
      </c>
      <c r="JE75" s="504">
        <v>0</v>
      </c>
      <c r="JF75" s="504">
        <v>0</v>
      </c>
      <c r="JG75" s="504">
        <v>0</v>
      </c>
      <c r="JH75" s="504">
        <v>0</v>
      </c>
      <c r="JI75" s="504">
        <v>0</v>
      </c>
      <c r="JJ75" s="504">
        <v>0</v>
      </c>
      <c r="JK75" s="504">
        <v>0</v>
      </c>
      <c r="JL75" s="504">
        <v>0</v>
      </c>
      <c r="JM75" s="504">
        <v>0</v>
      </c>
      <c r="JN75" s="504">
        <v>0</v>
      </c>
      <c r="JO75" s="504">
        <v>0</v>
      </c>
      <c r="JP75" s="504">
        <v>0</v>
      </c>
      <c r="JQ75" s="504">
        <v>0</v>
      </c>
      <c r="JR75" s="504">
        <v>0</v>
      </c>
      <c r="JS75" s="504">
        <v>0</v>
      </c>
      <c r="JT75" s="504">
        <v>0</v>
      </c>
      <c r="JU75" s="504">
        <v>0</v>
      </c>
      <c r="JV75" s="504">
        <v>0</v>
      </c>
      <c r="JW75" s="504">
        <v>0</v>
      </c>
      <c r="JX75" s="504">
        <v>0</v>
      </c>
      <c r="JY75" s="504">
        <v>0</v>
      </c>
      <c r="JZ75" s="504">
        <v>0</v>
      </c>
      <c r="KA75" s="504">
        <v>0</v>
      </c>
      <c r="KB75" s="504">
        <v>0</v>
      </c>
      <c r="KC75" s="504">
        <v>0</v>
      </c>
      <c r="KD75" s="504">
        <v>0</v>
      </c>
      <c r="KE75" s="504">
        <v>0</v>
      </c>
      <c r="KF75" s="504">
        <v>0</v>
      </c>
      <c r="KG75" s="504">
        <v>0</v>
      </c>
      <c r="KH75" s="504">
        <v>0</v>
      </c>
      <c r="KI75" s="504">
        <v>0</v>
      </c>
      <c r="KJ75" s="504">
        <v>0</v>
      </c>
      <c r="KK75" s="504">
        <v>0</v>
      </c>
      <c r="KL75" s="504">
        <v>0</v>
      </c>
      <c r="KM75" s="504">
        <v>0</v>
      </c>
      <c r="KN75" s="504">
        <v>0</v>
      </c>
      <c r="KO75" s="504">
        <v>0</v>
      </c>
      <c r="KP75" s="504">
        <v>0</v>
      </c>
      <c r="KQ75" s="504">
        <v>0</v>
      </c>
      <c r="KR75" s="504">
        <v>0</v>
      </c>
      <c r="KS75" s="504">
        <v>0</v>
      </c>
      <c r="KT75" s="504">
        <v>0</v>
      </c>
      <c r="KU75" s="504">
        <v>0</v>
      </c>
      <c r="KV75" s="504">
        <v>0</v>
      </c>
      <c r="KW75" s="504">
        <v>0</v>
      </c>
      <c r="KX75" s="504">
        <v>0</v>
      </c>
      <c r="KY75" s="504">
        <v>0</v>
      </c>
      <c r="KZ75" s="504">
        <v>0</v>
      </c>
      <c r="LA75" s="504">
        <v>0</v>
      </c>
      <c r="LB75" s="504">
        <v>0</v>
      </c>
      <c r="LC75" s="504">
        <v>0</v>
      </c>
      <c r="LD75" s="504">
        <v>0</v>
      </c>
      <c r="LE75" s="504">
        <v>0</v>
      </c>
      <c r="LF75" s="504">
        <v>0</v>
      </c>
      <c r="LG75" s="504">
        <v>0</v>
      </c>
      <c r="LH75" s="504">
        <v>0</v>
      </c>
      <c r="LI75" s="504">
        <v>0</v>
      </c>
      <c r="LJ75" s="504">
        <v>0</v>
      </c>
      <c r="LK75" s="504">
        <v>0</v>
      </c>
      <c r="LL75" s="504">
        <v>0</v>
      </c>
      <c r="LM75" s="504">
        <v>0</v>
      </c>
      <c r="LN75" s="504">
        <v>0</v>
      </c>
      <c r="LO75" s="504">
        <v>0</v>
      </c>
      <c r="LP75" s="504">
        <v>0</v>
      </c>
      <c r="LQ75" s="504">
        <v>0</v>
      </c>
      <c r="LR75" s="504">
        <v>0</v>
      </c>
      <c r="LS75" s="504">
        <v>0</v>
      </c>
      <c r="LT75" s="504">
        <v>0</v>
      </c>
      <c r="LU75" s="504">
        <v>0</v>
      </c>
      <c r="LV75" s="504">
        <v>0</v>
      </c>
      <c r="LW75" s="504">
        <v>0</v>
      </c>
      <c r="LX75" s="504">
        <v>0</v>
      </c>
      <c r="LY75" s="504">
        <v>0</v>
      </c>
      <c r="LZ75" s="504">
        <v>0</v>
      </c>
      <c r="MA75" s="504">
        <v>0</v>
      </c>
      <c r="MB75" s="504">
        <v>0</v>
      </c>
      <c r="MC75" s="504">
        <v>0</v>
      </c>
      <c r="MD75" s="504">
        <v>0</v>
      </c>
      <c r="ME75" s="504">
        <v>0</v>
      </c>
      <c r="MF75" s="504">
        <v>0</v>
      </c>
      <c r="MG75" s="504">
        <v>0</v>
      </c>
      <c r="MH75" s="504">
        <v>0</v>
      </c>
      <c r="MI75" s="504">
        <v>0</v>
      </c>
      <c r="MJ75" s="504">
        <v>0</v>
      </c>
      <c r="MK75" s="504">
        <v>0</v>
      </c>
      <c r="ML75" s="504">
        <v>0</v>
      </c>
      <c r="MM75" s="504">
        <v>0</v>
      </c>
      <c r="MN75" s="504">
        <v>0</v>
      </c>
      <c r="MO75" s="504">
        <v>0</v>
      </c>
      <c r="MP75" s="504">
        <v>0</v>
      </c>
      <c r="MQ75" s="504">
        <v>0</v>
      </c>
      <c r="MR75" s="504">
        <v>0</v>
      </c>
      <c r="MS75" s="504">
        <v>0</v>
      </c>
      <c r="MT75" s="504">
        <v>0</v>
      </c>
      <c r="MU75" s="504">
        <v>0</v>
      </c>
      <c r="MV75" s="504">
        <v>0</v>
      </c>
      <c r="MW75" s="504">
        <v>0</v>
      </c>
      <c r="MX75" s="504">
        <v>0</v>
      </c>
      <c r="MY75" s="504">
        <v>0</v>
      </c>
      <c r="MZ75" s="504">
        <v>0</v>
      </c>
      <c r="NA75" s="504">
        <v>0</v>
      </c>
      <c r="NB75" s="504">
        <v>0</v>
      </c>
      <c r="NC75" s="504">
        <v>0</v>
      </c>
      <c r="ND75" s="504">
        <v>0</v>
      </c>
      <c r="NE75" s="504">
        <v>0</v>
      </c>
      <c r="NF75" s="504">
        <v>0</v>
      </c>
      <c r="NG75" s="504">
        <v>0</v>
      </c>
      <c r="NH75" s="504">
        <v>0</v>
      </c>
      <c r="NI75" s="504">
        <v>0</v>
      </c>
      <c r="NJ75" s="504">
        <v>0</v>
      </c>
      <c r="NK75" s="504">
        <v>0</v>
      </c>
      <c r="NL75" s="504">
        <v>0</v>
      </c>
      <c r="NM75" s="504">
        <v>0</v>
      </c>
      <c r="NN75" s="504">
        <v>0</v>
      </c>
      <c r="NO75" s="504">
        <v>0</v>
      </c>
      <c r="NP75" s="504">
        <v>0</v>
      </c>
      <c r="NQ75" s="504">
        <v>0</v>
      </c>
      <c r="NR75" s="504">
        <v>0</v>
      </c>
      <c r="NS75" s="504">
        <v>0</v>
      </c>
      <c r="NT75" s="504">
        <v>0</v>
      </c>
      <c r="NU75" s="504">
        <v>0</v>
      </c>
      <c r="NV75" s="504">
        <v>0</v>
      </c>
      <c r="NW75" s="504">
        <v>0</v>
      </c>
      <c r="NX75" s="504">
        <v>0</v>
      </c>
      <c r="NY75" s="504">
        <v>0</v>
      </c>
      <c r="NZ75" s="504">
        <v>0</v>
      </c>
      <c r="OA75" s="504">
        <v>0</v>
      </c>
      <c r="OB75" s="504">
        <v>0</v>
      </c>
      <c r="OC75" s="504">
        <v>0</v>
      </c>
      <c r="OD75" s="504">
        <v>0</v>
      </c>
      <c r="OE75" s="504">
        <v>0</v>
      </c>
      <c r="OF75" s="504">
        <v>0</v>
      </c>
      <c r="OG75" s="504">
        <v>0</v>
      </c>
      <c r="OH75" s="504">
        <v>0</v>
      </c>
      <c r="OI75" s="504">
        <v>0</v>
      </c>
      <c r="OJ75" s="504">
        <v>0</v>
      </c>
      <c r="OK75" s="504">
        <v>0</v>
      </c>
      <c r="OL75" s="504">
        <v>0</v>
      </c>
      <c r="OM75" s="504">
        <v>0</v>
      </c>
      <c r="ON75" s="494"/>
    </row>
    <row r="76" spans="1:404" ht="18.75" customHeight="1" x14ac:dyDescent="0.4">
      <c r="A76" s="355" t="s">
        <v>92</v>
      </c>
      <c r="B76" s="358">
        <v>191</v>
      </c>
      <c r="C76" s="355" t="s">
        <v>60</v>
      </c>
      <c r="D76" s="501">
        <v>48.94</v>
      </c>
      <c r="E76" s="502">
        <v>59191</v>
      </c>
      <c r="F76" s="501">
        <v>48.93</v>
      </c>
      <c r="G76" s="502">
        <v>22542</v>
      </c>
      <c r="H76" s="501">
        <v>48.93</v>
      </c>
      <c r="I76" s="502">
        <v>56313</v>
      </c>
      <c r="J76" s="501">
        <v>48.93</v>
      </c>
      <c r="K76" s="502">
        <v>62061</v>
      </c>
      <c r="V76" s="501"/>
      <c r="W76" s="503"/>
      <c r="X76" s="501"/>
      <c r="Y76" s="503"/>
      <c r="Z76" s="501"/>
      <c r="AA76" s="503"/>
      <c r="AB76" s="495"/>
      <c r="AC76" s="504">
        <v>0</v>
      </c>
      <c r="AD76" s="504">
        <v>0</v>
      </c>
      <c r="AE76" s="504">
        <v>0</v>
      </c>
      <c r="AF76" s="504">
        <v>0</v>
      </c>
      <c r="AG76" s="504">
        <v>0</v>
      </c>
      <c r="AH76" s="504">
        <v>0</v>
      </c>
      <c r="AI76" s="504">
        <v>0</v>
      </c>
      <c r="AJ76" s="504">
        <v>0</v>
      </c>
      <c r="AK76" s="504">
        <v>0</v>
      </c>
      <c r="AL76" s="504">
        <v>0</v>
      </c>
      <c r="AM76" s="504">
        <v>0</v>
      </c>
      <c r="AN76" s="504">
        <v>0</v>
      </c>
      <c r="AO76" s="504">
        <v>0</v>
      </c>
      <c r="AP76" s="504">
        <v>0</v>
      </c>
      <c r="AQ76" s="504">
        <v>0</v>
      </c>
      <c r="AR76" s="504">
        <v>0</v>
      </c>
      <c r="AS76" s="504">
        <v>0</v>
      </c>
      <c r="AT76" s="504">
        <v>0</v>
      </c>
      <c r="AU76" s="504">
        <v>0</v>
      </c>
      <c r="AV76" s="504">
        <v>0</v>
      </c>
      <c r="AW76" s="504">
        <v>0</v>
      </c>
      <c r="AX76" s="504">
        <v>0</v>
      </c>
      <c r="AY76" s="504">
        <v>0</v>
      </c>
      <c r="AZ76" s="504">
        <v>0</v>
      </c>
      <c r="BA76" s="504">
        <v>0</v>
      </c>
      <c r="BB76" s="504">
        <v>0</v>
      </c>
      <c r="BC76" s="504">
        <v>0</v>
      </c>
      <c r="BD76" s="504">
        <v>0</v>
      </c>
      <c r="BE76" s="504">
        <v>0</v>
      </c>
      <c r="BF76" s="504">
        <v>0</v>
      </c>
      <c r="BG76" s="504">
        <v>0</v>
      </c>
      <c r="BH76" s="504">
        <v>0</v>
      </c>
      <c r="BI76" s="504">
        <v>0</v>
      </c>
      <c r="BJ76" s="504">
        <v>0</v>
      </c>
      <c r="BK76" s="504">
        <v>0</v>
      </c>
      <c r="BL76" s="504">
        <v>0</v>
      </c>
      <c r="BM76" s="504">
        <v>0</v>
      </c>
      <c r="BN76" s="504">
        <v>0</v>
      </c>
      <c r="BO76" s="504">
        <v>0</v>
      </c>
      <c r="BP76" s="504">
        <v>0</v>
      </c>
      <c r="BQ76" s="504">
        <v>0</v>
      </c>
      <c r="BR76" s="504">
        <v>0</v>
      </c>
      <c r="BS76" s="504">
        <v>0</v>
      </c>
      <c r="BT76" s="504">
        <v>0</v>
      </c>
      <c r="BU76" s="504">
        <v>0</v>
      </c>
      <c r="BV76" s="504">
        <v>0</v>
      </c>
      <c r="BW76" s="504">
        <v>0</v>
      </c>
      <c r="BX76" s="504">
        <v>0</v>
      </c>
      <c r="BY76" s="504">
        <v>0</v>
      </c>
      <c r="BZ76" s="504">
        <v>0</v>
      </c>
      <c r="CA76" s="504">
        <v>0</v>
      </c>
      <c r="CB76" s="504">
        <v>0</v>
      </c>
      <c r="CC76" s="504">
        <v>0</v>
      </c>
      <c r="CD76" s="504">
        <v>0</v>
      </c>
      <c r="CE76" s="504">
        <v>0</v>
      </c>
      <c r="CF76" s="504">
        <v>0</v>
      </c>
      <c r="CG76" s="504">
        <v>0</v>
      </c>
      <c r="CH76" s="504">
        <v>0</v>
      </c>
      <c r="CI76" s="504">
        <v>0</v>
      </c>
      <c r="CJ76" s="504">
        <v>0</v>
      </c>
      <c r="CK76" s="504">
        <v>0</v>
      </c>
      <c r="CL76" s="504">
        <v>0</v>
      </c>
      <c r="CM76" s="504">
        <v>0</v>
      </c>
      <c r="CN76" s="504">
        <v>0</v>
      </c>
      <c r="CO76" s="504">
        <v>0</v>
      </c>
      <c r="CP76" s="504">
        <v>0</v>
      </c>
      <c r="CQ76" s="504">
        <v>0</v>
      </c>
      <c r="CR76" s="504">
        <v>0</v>
      </c>
      <c r="CS76" s="504">
        <v>0</v>
      </c>
      <c r="CT76" s="504">
        <v>0</v>
      </c>
      <c r="CU76" s="504">
        <v>0</v>
      </c>
      <c r="CV76" s="504">
        <v>0</v>
      </c>
      <c r="CW76" s="504">
        <v>0</v>
      </c>
      <c r="CX76" s="504">
        <v>0</v>
      </c>
      <c r="CY76" s="504">
        <v>0</v>
      </c>
      <c r="CZ76" s="504">
        <v>0</v>
      </c>
      <c r="DA76" s="504">
        <v>0</v>
      </c>
      <c r="DB76" s="504">
        <v>0</v>
      </c>
      <c r="DC76" s="504">
        <v>0</v>
      </c>
      <c r="DD76" s="504">
        <v>0</v>
      </c>
      <c r="DE76" s="504">
        <v>0</v>
      </c>
      <c r="DF76" s="504">
        <v>0</v>
      </c>
      <c r="DG76" s="504">
        <v>0</v>
      </c>
      <c r="DH76" s="504">
        <v>0</v>
      </c>
      <c r="DI76" s="504">
        <v>0</v>
      </c>
      <c r="DJ76" s="504">
        <v>0</v>
      </c>
      <c r="DK76" s="504">
        <v>0</v>
      </c>
      <c r="DL76" s="504">
        <v>0</v>
      </c>
      <c r="DM76" s="504">
        <v>0</v>
      </c>
      <c r="DN76" s="504">
        <v>0</v>
      </c>
      <c r="DO76" s="504">
        <v>0</v>
      </c>
      <c r="DP76" s="504">
        <v>0</v>
      </c>
      <c r="DQ76" s="504">
        <v>0</v>
      </c>
      <c r="DR76" s="504">
        <v>0</v>
      </c>
      <c r="DS76" s="504">
        <v>0</v>
      </c>
      <c r="DT76" s="504">
        <v>0</v>
      </c>
      <c r="DU76" s="504">
        <v>0</v>
      </c>
      <c r="DV76" s="504">
        <v>0</v>
      </c>
      <c r="DW76" s="504">
        <v>0</v>
      </c>
      <c r="DX76" s="504">
        <v>0</v>
      </c>
      <c r="DY76" s="504">
        <v>0</v>
      </c>
      <c r="DZ76" s="504">
        <v>0</v>
      </c>
      <c r="EA76" s="504">
        <v>0</v>
      </c>
      <c r="EB76" s="504">
        <v>0</v>
      </c>
      <c r="EC76" s="504">
        <v>0</v>
      </c>
      <c r="ED76" s="504">
        <v>0</v>
      </c>
      <c r="EE76" s="504">
        <v>0</v>
      </c>
      <c r="EF76" s="504">
        <v>0</v>
      </c>
      <c r="EG76" s="504">
        <v>0</v>
      </c>
      <c r="EH76" s="504">
        <v>0</v>
      </c>
      <c r="EI76" s="504">
        <v>0</v>
      </c>
      <c r="EJ76" s="504">
        <v>0</v>
      </c>
      <c r="EK76" s="504">
        <v>0</v>
      </c>
      <c r="EL76" s="504">
        <v>0</v>
      </c>
      <c r="EM76" s="504">
        <v>0</v>
      </c>
      <c r="EN76" s="504">
        <v>0</v>
      </c>
      <c r="EO76" s="504">
        <v>0</v>
      </c>
      <c r="EP76" s="504">
        <v>0</v>
      </c>
      <c r="EQ76" s="504">
        <v>0</v>
      </c>
      <c r="ER76" s="504">
        <v>0</v>
      </c>
      <c r="ES76" s="504">
        <v>0</v>
      </c>
      <c r="ET76" s="504">
        <v>0</v>
      </c>
      <c r="EU76" s="504">
        <v>0</v>
      </c>
      <c r="EV76" s="504">
        <v>0</v>
      </c>
      <c r="EW76" s="504">
        <v>0</v>
      </c>
      <c r="EX76" s="504">
        <v>0</v>
      </c>
      <c r="EY76" s="504">
        <v>0</v>
      </c>
      <c r="EZ76" s="504">
        <v>0</v>
      </c>
      <c r="FA76" s="504">
        <v>0</v>
      </c>
      <c r="FB76" s="504">
        <v>0</v>
      </c>
      <c r="FC76" s="504">
        <v>0</v>
      </c>
      <c r="FD76" s="504">
        <v>0</v>
      </c>
      <c r="FE76" s="504">
        <v>0</v>
      </c>
      <c r="FF76" s="504">
        <v>0</v>
      </c>
      <c r="FG76" s="504">
        <v>0</v>
      </c>
      <c r="FH76" s="504">
        <v>0</v>
      </c>
      <c r="FI76" s="504">
        <v>0</v>
      </c>
      <c r="FJ76" s="504">
        <v>0</v>
      </c>
      <c r="FK76" s="504">
        <v>0</v>
      </c>
      <c r="FL76" s="504">
        <v>0</v>
      </c>
      <c r="FM76" s="504">
        <v>0</v>
      </c>
      <c r="FN76" s="504">
        <v>0</v>
      </c>
      <c r="FO76" s="504">
        <v>0</v>
      </c>
      <c r="FP76" s="504">
        <v>0</v>
      </c>
      <c r="FQ76" s="504">
        <v>0</v>
      </c>
      <c r="FR76" s="504">
        <v>0</v>
      </c>
      <c r="FS76" s="504">
        <v>0</v>
      </c>
      <c r="FT76" s="504">
        <v>0</v>
      </c>
      <c r="FU76" s="504">
        <v>0</v>
      </c>
      <c r="FV76" s="504">
        <v>0</v>
      </c>
      <c r="FW76" s="504">
        <v>0</v>
      </c>
      <c r="FX76" s="504">
        <v>0</v>
      </c>
      <c r="FY76" s="504">
        <v>0</v>
      </c>
      <c r="FZ76" s="504">
        <v>0</v>
      </c>
      <c r="GA76" s="504">
        <v>0</v>
      </c>
      <c r="GB76" s="504">
        <v>0</v>
      </c>
      <c r="GC76" s="504">
        <v>0</v>
      </c>
      <c r="GD76" s="504">
        <v>0</v>
      </c>
      <c r="GE76" s="504">
        <v>0</v>
      </c>
      <c r="GF76" s="504">
        <v>0</v>
      </c>
      <c r="GG76" s="504">
        <v>0</v>
      </c>
      <c r="GH76" s="504">
        <v>0</v>
      </c>
      <c r="GI76" s="504">
        <v>0</v>
      </c>
      <c r="GJ76" s="504">
        <v>0</v>
      </c>
      <c r="GK76" s="504">
        <v>0</v>
      </c>
      <c r="GL76" s="504">
        <v>0</v>
      </c>
      <c r="GM76" s="504">
        <v>0</v>
      </c>
      <c r="GN76" s="504">
        <v>0</v>
      </c>
      <c r="GO76" s="504">
        <v>0</v>
      </c>
      <c r="GP76" s="504">
        <v>0</v>
      </c>
      <c r="GQ76" s="504">
        <v>0</v>
      </c>
      <c r="GR76" s="504">
        <v>0</v>
      </c>
      <c r="GS76" s="504">
        <v>0</v>
      </c>
      <c r="GT76" s="504">
        <v>0</v>
      </c>
      <c r="GU76" s="504">
        <v>0</v>
      </c>
      <c r="GV76" s="504">
        <v>0</v>
      </c>
      <c r="GW76" s="504">
        <v>0</v>
      </c>
      <c r="GX76" s="504">
        <v>0</v>
      </c>
      <c r="GY76" s="504">
        <v>0</v>
      </c>
      <c r="GZ76" s="504">
        <v>0</v>
      </c>
      <c r="HA76" s="504">
        <v>0</v>
      </c>
      <c r="HB76" s="504">
        <v>0</v>
      </c>
      <c r="HC76" s="504">
        <v>0</v>
      </c>
      <c r="HD76" s="504">
        <v>0</v>
      </c>
      <c r="HE76" s="504">
        <v>0</v>
      </c>
      <c r="HF76" s="504">
        <v>0</v>
      </c>
      <c r="HG76" s="504">
        <v>0</v>
      </c>
      <c r="HH76" s="504">
        <v>0</v>
      </c>
      <c r="HI76" s="504">
        <v>0</v>
      </c>
      <c r="HJ76" s="504">
        <v>0</v>
      </c>
      <c r="HK76" s="504">
        <v>0</v>
      </c>
      <c r="HL76" s="504">
        <v>0</v>
      </c>
      <c r="HM76" s="504">
        <v>0</v>
      </c>
      <c r="HN76" s="504">
        <v>0</v>
      </c>
      <c r="HO76" s="504">
        <v>0</v>
      </c>
      <c r="HP76" s="504">
        <v>0</v>
      </c>
      <c r="HQ76" s="504">
        <v>0</v>
      </c>
      <c r="HR76" s="504">
        <v>0</v>
      </c>
      <c r="HS76" s="504">
        <v>0</v>
      </c>
      <c r="HT76" s="504">
        <v>0</v>
      </c>
      <c r="HU76" s="504">
        <v>0</v>
      </c>
      <c r="HV76" s="504">
        <v>0</v>
      </c>
      <c r="HW76" s="504">
        <v>0</v>
      </c>
      <c r="HX76" s="504">
        <v>0</v>
      </c>
      <c r="HY76" s="504">
        <v>0</v>
      </c>
      <c r="HZ76" s="504">
        <v>0</v>
      </c>
      <c r="IA76" s="504">
        <v>0</v>
      </c>
      <c r="IB76" s="504">
        <v>0</v>
      </c>
      <c r="IC76" s="504">
        <v>0</v>
      </c>
      <c r="ID76" s="504">
        <v>0</v>
      </c>
      <c r="IE76" s="504">
        <v>0</v>
      </c>
      <c r="IF76" s="504">
        <v>0</v>
      </c>
      <c r="IG76" s="504">
        <v>0</v>
      </c>
      <c r="IH76" s="504">
        <v>0</v>
      </c>
      <c r="II76" s="504">
        <v>0</v>
      </c>
      <c r="IJ76" s="504">
        <v>0</v>
      </c>
      <c r="IK76" s="504">
        <v>0</v>
      </c>
      <c r="IL76" s="504">
        <v>0</v>
      </c>
      <c r="IM76" s="504">
        <v>0</v>
      </c>
      <c r="IN76" s="504">
        <v>0</v>
      </c>
      <c r="IO76" s="504">
        <v>0</v>
      </c>
      <c r="IP76" s="504">
        <v>0</v>
      </c>
      <c r="IQ76" s="504">
        <v>0</v>
      </c>
      <c r="IR76" s="504">
        <v>0</v>
      </c>
      <c r="IS76" s="504">
        <v>0</v>
      </c>
      <c r="IT76" s="504">
        <v>0</v>
      </c>
      <c r="IU76" s="504">
        <v>0</v>
      </c>
      <c r="IV76" s="504">
        <v>0</v>
      </c>
      <c r="IW76" s="504">
        <v>0</v>
      </c>
      <c r="IX76" s="504">
        <v>0</v>
      </c>
      <c r="IY76" s="504">
        <v>0</v>
      </c>
      <c r="IZ76" s="504">
        <v>0</v>
      </c>
      <c r="JA76" s="504">
        <v>0</v>
      </c>
      <c r="JB76" s="504">
        <v>0</v>
      </c>
      <c r="JC76" s="504">
        <v>0</v>
      </c>
      <c r="JD76" s="504">
        <v>0</v>
      </c>
      <c r="JE76" s="504">
        <v>0</v>
      </c>
      <c r="JF76" s="504">
        <v>0</v>
      </c>
      <c r="JG76" s="504">
        <v>0</v>
      </c>
      <c r="JH76" s="504">
        <v>0</v>
      </c>
      <c r="JI76" s="504">
        <v>0</v>
      </c>
      <c r="JJ76" s="504">
        <v>0</v>
      </c>
      <c r="JK76" s="504">
        <v>0</v>
      </c>
      <c r="JL76" s="504">
        <v>0</v>
      </c>
      <c r="JM76" s="504">
        <v>0</v>
      </c>
      <c r="JN76" s="504">
        <v>0</v>
      </c>
      <c r="JO76" s="504">
        <v>0</v>
      </c>
      <c r="JP76" s="504">
        <v>0</v>
      </c>
      <c r="JQ76" s="504">
        <v>0</v>
      </c>
      <c r="JR76" s="504">
        <v>0</v>
      </c>
      <c r="JS76" s="504">
        <v>0</v>
      </c>
      <c r="JT76" s="504">
        <v>0</v>
      </c>
      <c r="JU76" s="504">
        <v>0</v>
      </c>
      <c r="JV76" s="504">
        <v>0</v>
      </c>
      <c r="JW76" s="504">
        <v>0</v>
      </c>
      <c r="JX76" s="504">
        <v>0</v>
      </c>
      <c r="JY76" s="504">
        <v>0</v>
      </c>
      <c r="JZ76" s="504">
        <v>0</v>
      </c>
      <c r="KA76" s="504">
        <v>0</v>
      </c>
      <c r="KB76" s="504">
        <v>0</v>
      </c>
      <c r="KC76" s="504">
        <v>0</v>
      </c>
      <c r="KD76" s="504">
        <v>0</v>
      </c>
      <c r="KE76" s="504">
        <v>0</v>
      </c>
      <c r="KF76" s="504">
        <v>0</v>
      </c>
      <c r="KG76" s="504">
        <v>0</v>
      </c>
      <c r="KH76" s="504">
        <v>0</v>
      </c>
      <c r="KI76" s="504">
        <v>0</v>
      </c>
      <c r="KJ76" s="504">
        <v>0</v>
      </c>
      <c r="KK76" s="504">
        <v>0</v>
      </c>
      <c r="KL76" s="504">
        <v>0</v>
      </c>
      <c r="KM76" s="504">
        <v>0</v>
      </c>
      <c r="KN76" s="504">
        <v>0</v>
      </c>
      <c r="KO76" s="504">
        <v>0</v>
      </c>
      <c r="KP76" s="504">
        <v>0</v>
      </c>
      <c r="KQ76" s="504">
        <v>0</v>
      </c>
      <c r="KR76" s="504">
        <v>0</v>
      </c>
      <c r="KS76" s="504">
        <v>0</v>
      </c>
      <c r="KT76" s="504">
        <v>0</v>
      </c>
      <c r="KU76" s="504">
        <v>0</v>
      </c>
      <c r="KV76" s="504">
        <v>0</v>
      </c>
      <c r="KW76" s="504">
        <v>0</v>
      </c>
      <c r="KX76" s="504">
        <v>0</v>
      </c>
      <c r="KY76" s="504">
        <v>0</v>
      </c>
      <c r="KZ76" s="504">
        <v>0</v>
      </c>
      <c r="LA76" s="504">
        <v>0</v>
      </c>
      <c r="LB76" s="504">
        <v>0</v>
      </c>
      <c r="LC76" s="504">
        <v>0</v>
      </c>
      <c r="LD76" s="504">
        <v>0</v>
      </c>
      <c r="LE76" s="504">
        <v>0</v>
      </c>
      <c r="LF76" s="504">
        <v>0</v>
      </c>
      <c r="LG76" s="504">
        <v>0</v>
      </c>
      <c r="LH76" s="504">
        <v>0</v>
      </c>
      <c r="LI76" s="504">
        <v>0</v>
      </c>
      <c r="LJ76" s="504">
        <v>0</v>
      </c>
      <c r="LK76" s="504">
        <v>0</v>
      </c>
      <c r="LL76" s="504">
        <v>0</v>
      </c>
      <c r="LM76" s="504">
        <v>0</v>
      </c>
      <c r="LN76" s="504">
        <v>0</v>
      </c>
      <c r="LO76" s="504">
        <v>0</v>
      </c>
      <c r="LP76" s="504">
        <v>0</v>
      </c>
      <c r="LQ76" s="504">
        <v>0</v>
      </c>
      <c r="LR76" s="504">
        <v>0</v>
      </c>
      <c r="LS76" s="504">
        <v>0</v>
      </c>
      <c r="LT76" s="504">
        <v>0</v>
      </c>
      <c r="LU76" s="504">
        <v>0</v>
      </c>
      <c r="LV76" s="504">
        <v>0</v>
      </c>
      <c r="LW76" s="504">
        <v>0</v>
      </c>
      <c r="LX76" s="504">
        <v>0</v>
      </c>
      <c r="LY76" s="504">
        <v>0</v>
      </c>
      <c r="LZ76" s="504">
        <v>0</v>
      </c>
      <c r="MA76" s="504">
        <v>0</v>
      </c>
      <c r="MB76" s="504">
        <v>0</v>
      </c>
      <c r="MC76" s="504">
        <v>0</v>
      </c>
      <c r="MD76" s="504">
        <v>0</v>
      </c>
      <c r="ME76" s="504">
        <v>0</v>
      </c>
      <c r="MF76" s="504">
        <v>0</v>
      </c>
      <c r="MG76" s="504">
        <v>0</v>
      </c>
      <c r="MH76" s="504">
        <v>0</v>
      </c>
      <c r="MI76" s="504">
        <v>0</v>
      </c>
      <c r="MJ76" s="504">
        <v>0</v>
      </c>
      <c r="MK76" s="504">
        <v>0</v>
      </c>
      <c r="ML76" s="504">
        <v>0</v>
      </c>
      <c r="MM76" s="504">
        <v>0</v>
      </c>
      <c r="MN76" s="504">
        <v>0</v>
      </c>
      <c r="MO76" s="504">
        <v>0</v>
      </c>
      <c r="MP76" s="504">
        <v>0</v>
      </c>
      <c r="MQ76" s="504">
        <v>0</v>
      </c>
      <c r="MR76" s="504">
        <v>0</v>
      </c>
      <c r="MS76" s="504">
        <v>0</v>
      </c>
      <c r="MT76" s="504">
        <v>0</v>
      </c>
      <c r="MU76" s="504">
        <v>0</v>
      </c>
      <c r="MV76" s="504">
        <v>0</v>
      </c>
      <c r="MW76" s="504">
        <v>0</v>
      </c>
      <c r="MX76" s="504">
        <v>0</v>
      </c>
      <c r="MY76" s="504">
        <v>0</v>
      </c>
      <c r="MZ76" s="504">
        <v>0</v>
      </c>
      <c r="NA76" s="504">
        <v>0</v>
      </c>
      <c r="NB76" s="504">
        <v>0</v>
      </c>
      <c r="NC76" s="504">
        <v>0</v>
      </c>
      <c r="ND76" s="504">
        <v>0</v>
      </c>
      <c r="NE76" s="504">
        <v>0</v>
      </c>
      <c r="NF76" s="504">
        <v>0</v>
      </c>
      <c r="NG76" s="504">
        <v>0</v>
      </c>
      <c r="NH76" s="504">
        <v>0</v>
      </c>
      <c r="NI76" s="504">
        <v>0</v>
      </c>
      <c r="NJ76" s="504">
        <v>0</v>
      </c>
      <c r="NK76" s="504">
        <v>0</v>
      </c>
      <c r="NL76" s="504">
        <v>0</v>
      </c>
      <c r="NM76" s="504">
        <v>0</v>
      </c>
      <c r="NN76" s="504">
        <v>0</v>
      </c>
      <c r="NO76" s="504">
        <v>0</v>
      </c>
      <c r="NP76" s="504">
        <v>0</v>
      </c>
      <c r="NQ76" s="504">
        <v>0</v>
      </c>
      <c r="NR76" s="504">
        <v>0</v>
      </c>
      <c r="NS76" s="504">
        <v>0</v>
      </c>
      <c r="NT76" s="504">
        <v>0</v>
      </c>
      <c r="NU76" s="504">
        <v>0</v>
      </c>
      <c r="NV76" s="504">
        <v>0</v>
      </c>
      <c r="NW76" s="504">
        <v>0</v>
      </c>
      <c r="NX76" s="504">
        <v>0</v>
      </c>
      <c r="NY76" s="504">
        <v>0</v>
      </c>
      <c r="NZ76" s="504">
        <v>0</v>
      </c>
      <c r="OA76" s="504">
        <v>0</v>
      </c>
      <c r="OB76" s="504">
        <v>0</v>
      </c>
      <c r="OC76" s="504">
        <v>0</v>
      </c>
      <c r="OD76" s="504">
        <v>0</v>
      </c>
      <c r="OE76" s="504">
        <v>0</v>
      </c>
      <c r="OF76" s="504">
        <v>0</v>
      </c>
      <c r="OG76" s="504">
        <v>0</v>
      </c>
      <c r="OH76" s="504">
        <v>0</v>
      </c>
      <c r="OI76" s="504">
        <v>0</v>
      </c>
      <c r="OJ76" s="504">
        <v>0</v>
      </c>
      <c r="OK76" s="504">
        <v>0</v>
      </c>
      <c r="OL76" s="504">
        <v>0</v>
      </c>
      <c r="OM76" s="504">
        <v>0</v>
      </c>
      <c r="ON76" s="494"/>
    </row>
    <row r="77" spans="1:404" ht="18.75" customHeight="1" x14ac:dyDescent="0.4">
      <c r="A77" s="506" t="s">
        <v>347</v>
      </c>
      <c r="B77" s="373">
        <v>191</v>
      </c>
      <c r="C77" s="506" t="s">
        <v>60</v>
      </c>
      <c r="D77" s="501">
        <v>49.24</v>
      </c>
      <c r="E77" s="502">
        <v>32337</v>
      </c>
      <c r="F77" s="501">
        <v>49.24</v>
      </c>
      <c r="G77" s="502">
        <v>9498</v>
      </c>
      <c r="H77" s="501">
        <v>49.24</v>
      </c>
      <c r="I77" s="502">
        <v>28514</v>
      </c>
      <c r="J77" s="501">
        <v>49.24</v>
      </c>
      <c r="K77" s="502">
        <v>32034</v>
      </c>
      <c r="V77" s="507"/>
      <c r="W77" s="508"/>
      <c r="X77" s="507"/>
      <c r="Y77" s="508"/>
      <c r="Z77" s="507"/>
      <c r="AA77" s="508"/>
      <c r="AB77" s="500"/>
      <c r="AC77" s="509">
        <v>0</v>
      </c>
      <c r="AD77" s="509">
        <v>0</v>
      </c>
      <c r="AE77" s="509">
        <v>0</v>
      </c>
      <c r="AF77" s="509">
        <v>0</v>
      </c>
      <c r="AG77" s="509">
        <v>0</v>
      </c>
      <c r="AH77" s="509">
        <v>0</v>
      </c>
      <c r="AI77" s="509">
        <v>0</v>
      </c>
      <c r="AJ77" s="509">
        <v>0</v>
      </c>
      <c r="AK77" s="509">
        <v>0</v>
      </c>
      <c r="AL77" s="509">
        <v>0</v>
      </c>
      <c r="AM77" s="509">
        <v>0</v>
      </c>
      <c r="AN77" s="509">
        <v>0</v>
      </c>
      <c r="AO77" s="509">
        <v>0</v>
      </c>
      <c r="AP77" s="509">
        <v>0</v>
      </c>
      <c r="AQ77" s="509">
        <v>0</v>
      </c>
      <c r="AR77" s="509">
        <v>0</v>
      </c>
      <c r="AS77" s="509">
        <v>0</v>
      </c>
      <c r="AT77" s="509">
        <v>0</v>
      </c>
      <c r="AU77" s="509">
        <v>0</v>
      </c>
      <c r="AV77" s="509">
        <v>0</v>
      </c>
      <c r="AW77" s="509">
        <v>0</v>
      </c>
      <c r="AX77" s="509">
        <v>0</v>
      </c>
      <c r="AY77" s="509">
        <v>0</v>
      </c>
      <c r="AZ77" s="509">
        <v>0</v>
      </c>
      <c r="BA77" s="509">
        <v>0</v>
      </c>
      <c r="BB77" s="509">
        <v>0</v>
      </c>
      <c r="BC77" s="509">
        <v>0</v>
      </c>
      <c r="BD77" s="509">
        <v>0</v>
      </c>
      <c r="BE77" s="509">
        <v>0</v>
      </c>
      <c r="BF77" s="509">
        <v>0</v>
      </c>
      <c r="BG77" s="509">
        <v>0</v>
      </c>
      <c r="BH77" s="509">
        <v>0</v>
      </c>
      <c r="BI77" s="509">
        <v>0</v>
      </c>
      <c r="BJ77" s="509">
        <v>0</v>
      </c>
      <c r="BK77" s="509">
        <v>0</v>
      </c>
      <c r="BL77" s="509">
        <v>0</v>
      </c>
      <c r="BM77" s="509">
        <v>0</v>
      </c>
      <c r="BN77" s="509">
        <v>0</v>
      </c>
      <c r="BO77" s="509">
        <v>0</v>
      </c>
      <c r="BP77" s="509">
        <v>0</v>
      </c>
      <c r="BQ77" s="509">
        <v>0</v>
      </c>
      <c r="BR77" s="509">
        <v>0</v>
      </c>
      <c r="BS77" s="509">
        <v>0</v>
      </c>
      <c r="BT77" s="509">
        <v>0</v>
      </c>
      <c r="BU77" s="509">
        <v>0</v>
      </c>
      <c r="BV77" s="509">
        <v>0</v>
      </c>
      <c r="BW77" s="509">
        <v>0</v>
      </c>
      <c r="BX77" s="509">
        <v>0</v>
      </c>
      <c r="BY77" s="509">
        <v>0</v>
      </c>
      <c r="BZ77" s="509">
        <v>0</v>
      </c>
      <c r="CA77" s="509">
        <v>0</v>
      </c>
      <c r="CB77" s="509">
        <v>0</v>
      </c>
      <c r="CC77" s="509">
        <v>0</v>
      </c>
      <c r="CD77" s="509">
        <v>0</v>
      </c>
      <c r="CE77" s="509">
        <v>0</v>
      </c>
      <c r="CF77" s="509">
        <v>0</v>
      </c>
      <c r="CG77" s="509">
        <v>0</v>
      </c>
      <c r="CH77" s="509">
        <v>0</v>
      </c>
      <c r="CI77" s="509">
        <v>0</v>
      </c>
      <c r="CJ77" s="509">
        <v>0</v>
      </c>
      <c r="CK77" s="509">
        <v>0</v>
      </c>
      <c r="CL77" s="509">
        <v>0</v>
      </c>
      <c r="CM77" s="509">
        <v>0</v>
      </c>
      <c r="CN77" s="509">
        <v>0</v>
      </c>
      <c r="CO77" s="509">
        <v>0</v>
      </c>
      <c r="CP77" s="509">
        <v>0</v>
      </c>
      <c r="CQ77" s="509">
        <v>0</v>
      </c>
      <c r="CR77" s="509">
        <v>0</v>
      </c>
      <c r="CS77" s="509">
        <v>0</v>
      </c>
      <c r="CT77" s="509">
        <v>0</v>
      </c>
      <c r="CU77" s="509">
        <v>0</v>
      </c>
      <c r="CV77" s="509">
        <v>0</v>
      </c>
      <c r="CW77" s="509">
        <v>0</v>
      </c>
      <c r="CX77" s="509">
        <v>0</v>
      </c>
      <c r="CY77" s="509">
        <v>0</v>
      </c>
      <c r="CZ77" s="509">
        <v>0</v>
      </c>
      <c r="DA77" s="509">
        <v>0</v>
      </c>
      <c r="DB77" s="509">
        <v>0</v>
      </c>
      <c r="DC77" s="509">
        <v>0</v>
      </c>
      <c r="DD77" s="509">
        <v>0</v>
      </c>
      <c r="DE77" s="509">
        <v>0</v>
      </c>
      <c r="DF77" s="509">
        <v>0</v>
      </c>
      <c r="DG77" s="509">
        <v>0</v>
      </c>
      <c r="DH77" s="509">
        <v>0</v>
      </c>
      <c r="DI77" s="509">
        <v>0</v>
      </c>
      <c r="DJ77" s="509">
        <v>0</v>
      </c>
      <c r="DK77" s="509">
        <v>0</v>
      </c>
      <c r="DL77" s="509">
        <v>0</v>
      </c>
      <c r="DM77" s="509">
        <v>0</v>
      </c>
      <c r="DN77" s="509">
        <v>0</v>
      </c>
      <c r="DO77" s="509">
        <v>0</v>
      </c>
      <c r="DP77" s="509">
        <v>0</v>
      </c>
      <c r="DQ77" s="509">
        <v>0</v>
      </c>
      <c r="DR77" s="509">
        <v>0</v>
      </c>
      <c r="DS77" s="509">
        <v>0</v>
      </c>
      <c r="DT77" s="509">
        <v>0</v>
      </c>
      <c r="DU77" s="509">
        <v>0</v>
      </c>
      <c r="DV77" s="509">
        <v>0</v>
      </c>
      <c r="DW77" s="509">
        <v>0</v>
      </c>
      <c r="DX77" s="509">
        <v>0</v>
      </c>
      <c r="DY77" s="509">
        <v>0</v>
      </c>
      <c r="DZ77" s="509">
        <v>0</v>
      </c>
      <c r="EA77" s="509">
        <v>0</v>
      </c>
      <c r="EB77" s="509">
        <v>0</v>
      </c>
      <c r="EC77" s="509">
        <v>0</v>
      </c>
      <c r="ED77" s="509">
        <v>0</v>
      </c>
      <c r="EE77" s="509">
        <v>0</v>
      </c>
      <c r="EF77" s="509">
        <v>0</v>
      </c>
      <c r="EG77" s="509">
        <v>0</v>
      </c>
      <c r="EH77" s="509">
        <v>0</v>
      </c>
      <c r="EI77" s="509">
        <v>0</v>
      </c>
      <c r="EJ77" s="509">
        <v>0</v>
      </c>
      <c r="EK77" s="509">
        <v>0</v>
      </c>
      <c r="EL77" s="509">
        <v>0</v>
      </c>
      <c r="EM77" s="509">
        <v>0</v>
      </c>
      <c r="EN77" s="509">
        <v>0</v>
      </c>
      <c r="EO77" s="509">
        <v>0</v>
      </c>
      <c r="EP77" s="509">
        <v>0</v>
      </c>
      <c r="EQ77" s="509">
        <v>0</v>
      </c>
      <c r="ER77" s="509">
        <v>0</v>
      </c>
      <c r="ES77" s="509">
        <v>0</v>
      </c>
      <c r="ET77" s="509">
        <v>0</v>
      </c>
      <c r="EU77" s="509">
        <v>0</v>
      </c>
      <c r="EV77" s="509">
        <v>0</v>
      </c>
      <c r="EW77" s="509">
        <v>0</v>
      </c>
      <c r="EX77" s="509">
        <v>0</v>
      </c>
      <c r="EY77" s="509">
        <v>0</v>
      </c>
      <c r="EZ77" s="509">
        <v>0</v>
      </c>
      <c r="FA77" s="509">
        <v>0</v>
      </c>
      <c r="FB77" s="509">
        <v>0</v>
      </c>
      <c r="FC77" s="509">
        <v>0</v>
      </c>
      <c r="FD77" s="509">
        <v>0</v>
      </c>
      <c r="FE77" s="509">
        <v>0</v>
      </c>
      <c r="FF77" s="509">
        <v>0</v>
      </c>
      <c r="FG77" s="509">
        <v>0</v>
      </c>
      <c r="FH77" s="509">
        <v>0</v>
      </c>
      <c r="FI77" s="509">
        <v>0</v>
      </c>
      <c r="FJ77" s="509">
        <v>0</v>
      </c>
      <c r="FK77" s="509">
        <v>0</v>
      </c>
      <c r="FL77" s="509">
        <v>0</v>
      </c>
      <c r="FM77" s="509">
        <v>0</v>
      </c>
      <c r="FN77" s="509">
        <v>0</v>
      </c>
      <c r="FO77" s="509">
        <v>0</v>
      </c>
      <c r="FP77" s="509">
        <v>0</v>
      </c>
      <c r="FQ77" s="509">
        <v>0</v>
      </c>
      <c r="FR77" s="509">
        <v>0</v>
      </c>
      <c r="FS77" s="509">
        <v>0</v>
      </c>
      <c r="FT77" s="509">
        <v>0</v>
      </c>
      <c r="FU77" s="509">
        <v>0</v>
      </c>
      <c r="FV77" s="509">
        <v>0</v>
      </c>
      <c r="FW77" s="509">
        <v>0</v>
      </c>
      <c r="FX77" s="509">
        <v>0</v>
      </c>
      <c r="FY77" s="509">
        <v>0</v>
      </c>
      <c r="FZ77" s="509">
        <v>0</v>
      </c>
      <c r="GA77" s="509">
        <v>0</v>
      </c>
      <c r="GB77" s="509">
        <v>0</v>
      </c>
      <c r="GC77" s="509">
        <v>0</v>
      </c>
      <c r="GD77" s="509">
        <v>0</v>
      </c>
      <c r="GE77" s="509">
        <v>0</v>
      </c>
      <c r="GF77" s="509">
        <v>0</v>
      </c>
      <c r="GG77" s="509">
        <v>0</v>
      </c>
      <c r="GH77" s="509">
        <v>0</v>
      </c>
      <c r="GI77" s="509">
        <v>0</v>
      </c>
      <c r="GJ77" s="509">
        <v>0</v>
      </c>
      <c r="GK77" s="509">
        <v>0</v>
      </c>
      <c r="GL77" s="509">
        <v>0</v>
      </c>
      <c r="GM77" s="509">
        <v>0</v>
      </c>
      <c r="GN77" s="509">
        <v>0</v>
      </c>
      <c r="GO77" s="509">
        <v>0</v>
      </c>
      <c r="GP77" s="509">
        <v>0</v>
      </c>
      <c r="GQ77" s="509">
        <v>0</v>
      </c>
      <c r="GR77" s="509">
        <v>0</v>
      </c>
      <c r="GS77" s="509">
        <v>0</v>
      </c>
      <c r="GT77" s="509">
        <v>0</v>
      </c>
      <c r="GU77" s="509">
        <v>0</v>
      </c>
      <c r="GV77" s="509">
        <v>0</v>
      </c>
      <c r="GW77" s="509">
        <v>0</v>
      </c>
      <c r="GX77" s="509">
        <v>0</v>
      </c>
      <c r="GY77" s="509">
        <v>0</v>
      </c>
      <c r="GZ77" s="509">
        <v>0</v>
      </c>
      <c r="HA77" s="509">
        <v>0</v>
      </c>
      <c r="HB77" s="509">
        <v>0</v>
      </c>
      <c r="HC77" s="509">
        <v>0</v>
      </c>
      <c r="HD77" s="509">
        <v>0</v>
      </c>
      <c r="HE77" s="509">
        <v>0</v>
      </c>
      <c r="HF77" s="509">
        <v>0</v>
      </c>
      <c r="HG77" s="509">
        <v>0</v>
      </c>
      <c r="HH77" s="509">
        <v>0</v>
      </c>
      <c r="HI77" s="509">
        <v>0</v>
      </c>
      <c r="HJ77" s="509">
        <v>0</v>
      </c>
      <c r="HK77" s="509">
        <v>0</v>
      </c>
      <c r="HL77" s="509">
        <v>0</v>
      </c>
      <c r="HM77" s="509">
        <v>0</v>
      </c>
      <c r="HN77" s="509">
        <v>0</v>
      </c>
      <c r="HO77" s="509">
        <v>0</v>
      </c>
      <c r="HP77" s="509">
        <v>0</v>
      </c>
      <c r="HQ77" s="509">
        <v>0</v>
      </c>
      <c r="HR77" s="509">
        <v>0</v>
      </c>
      <c r="HS77" s="509">
        <v>0</v>
      </c>
      <c r="HT77" s="509">
        <v>0</v>
      </c>
      <c r="HU77" s="509">
        <v>0</v>
      </c>
      <c r="HV77" s="509">
        <v>0</v>
      </c>
      <c r="HW77" s="509">
        <v>0</v>
      </c>
      <c r="HX77" s="509">
        <v>0</v>
      </c>
      <c r="HY77" s="509">
        <v>0</v>
      </c>
      <c r="HZ77" s="509">
        <v>0</v>
      </c>
      <c r="IA77" s="509">
        <v>0</v>
      </c>
      <c r="IB77" s="509">
        <v>0</v>
      </c>
      <c r="IC77" s="509">
        <v>0</v>
      </c>
      <c r="ID77" s="509">
        <v>0</v>
      </c>
      <c r="IE77" s="509">
        <v>0</v>
      </c>
      <c r="IF77" s="509">
        <v>0</v>
      </c>
      <c r="IG77" s="509">
        <v>0</v>
      </c>
      <c r="IH77" s="509">
        <v>0</v>
      </c>
      <c r="II77" s="509">
        <v>0</v>
      </c>
      <c r="IJ77" s="509">
        <v>0</v>
      </c>
      <c r="IK77" s="509">
        <v>0</v>
      </c>
      <c r="IL77" s="509">
        <v>0</v>
      </c>
      <c r="IM77" s="509">
        <v>0</v>
      </c>
      <c r="IN77" s="509">
        <v>0</v>
      </c>
      <c r="IO77" s="509">
        <v>0</v>
      </c>
      <c r="IP77" s="509">
        <v>0</v>
      </c>
      <c r="IQ77" s="509">
        <v>0</v>
      </c>
      <c r="IR77" s="509">
        <v>0</v>
      </c>
      <c r="IS77" s="509">
        <v>0</v>
      </c>
      <c r="IT77" s="509">
        <v>0</v>
      </c>
      <c r="IU77" s="509">
        <v>0</v>
      </c>
      <c r="IV77" s="509">
        <v>0</v>
      </c>
      <c r="IW77" s="509">
        <v>0</v>
      </c>
      <c r="IX77" s="509">
        <v>0</v>
      </c>
      <c r="IY77" s="509">
        <v>0</v>
      </c>
      <c r="IZ77" s="509">
        <v>0</v>
      </c>
      <c r="JA77" s="509">
        <v>0</v>
      </c>
      <c r="JB77" s="509">
        <v>0</v>
      </c>
      <c r="JC77" s="509">
        <v>0</v>
      </c>
      <c r="JD77" s="509">
        <v>0</v>
      </c>
      <c r="JE77" s="509">
        <v>0</v>
      </c>
      <c r="JF77" s="509">
        <v>0</v>
      </c>
      <c r="JG77" s="509">
        <v>0</v>
      </c>
      <c r="JH77" s="509">
        <v>0</v>
      </c>
      <c r="JI77" s="509">
        <v>0</v>
      </c>
      <c r="JJ77" s="509">
        <v>0</v>
      </c>
      <c r="JK77" s="509">
        <v>0</v>
      </c>
      <c r="JL77" s="509">
        <v>0</v>
      </c>
      <c r="JM77" s="509">
        <v>0</v>
      </c>
      <c r="JN77" s="509">
        <v>0</v>
      </c>
      <c r="JO77" s="509">
        <v>0</v>
      </c>
      <c r="JP77" s="509">
        <v>0</v>
      </c>
      <c r="JQ77" s="509">
        <v>0</v>
      </c>
      <c r="JR77" s="509">
        <v>0</v>
      </c>
      <c r="JS77" s="509">
        <v>0</v>
      </c>
      <c r="JT77" s="509">
        <v>0</v>
      </c>
      <c r="JU77" s="509">
        <v>0</v>
      </c>
      <c r="JV77" s="509">
        <v>0</v>
      </c>
      <c r="JW77" s="509">
        <v>0</v>
      </c>
      <c r="JX77" s="509">
        <v>0</v>
      </c>
      <c r="JY77" s="509">
        <v>0</v>
      </c>
      <c r="JZ77" s="509">
        <v>0</v>
      </c>
      <c r="KA77" s="509">
        <v>0</v>
      </c>
      <c r="KB77" s="509">
        <v>0</v>
      </c>
      <c r="KC77" s="509">
        <v>0</v>
      </c>
      <c r="KD77" s="509">
        <v>0</v>
      </c>
      <c r="KE77" s="509">
        <v>0</v>
      </c>
      <c r="KF77" s="509">
        <v>0</v>
      </c>
      <c r="KG77" s="509">
        <v>0</v>
      </c>
      <c r="KH77" s="509">
        <v>0</v>
      </c>
      <c r="KI77" s="509">
        <v>0</v>
      </c>
      <c r="KJ77" s="509">
        <v>0</v>
      </c>
      <c r="KK77" s="509">
        <v>0</v>
      </c>
      <c r="KL77" s="509">
        <v>0</v>
      </c>
      <c r="KM77" s="509">
        <v>0</v>
      </c>
      <c r="KN77" s="509">
        <v>0</v>
      </c>
      <c r="KO77" s="509">
        <v>0</v>
      </c>
      <c r="KP77" s="509">
        <v>0</v>
      </c>
      <c r="KQ77" s="509">
        <v>0</v>
      </c>
      <c r="KR77" s="509">
        <v>0</v>
      </c>
      <c r="KS77" s="509">
        <v>0</v>
      </c>
      <c r="KT77" s="509">
        <v>0</v>
      </c>
      <c r="KU77" s="509">
        <v>0</v>
      </c>
      <c r="KV77" s="509">
        <v>0</v>
      </c>
      <c r="KW77" s="509">
        <v>0</v>
      </c>
      <c r="KX77" s="509">
        <v>0</v>
      </c>
      <c r="KY77" s="509">
        <v>0</v>
      </c>
      <c r="KZ77" s="509">
        <v>0</v>
      </c>
      <c r="LA77" s="509">
        <v>0</v>
      </c>
      <c r="LB77" s="509">
        <v>0</v>
      </c>
      <c r="LC77" s="509">
        <v>0</v>
      </c>
      <c r="LD77" s="509">
        <v>0</v>
      </c>
      <c r="LE77" s="509">
        <v>0</v>
      </c>
      <c r="LF77" s="509">
        <v>0</v>
      </c>
      <c r="LG77" s="509">
        <v>0</v>
      </c>
      <c r="LH77" s="509">
        <v>0</v>
      </c>
      <c r="LI77" s="509">
        <v>0</v>
      </c>
      <c r="LJ77" s="509">
        <v>0</v>
      </c>
      <c r="LK77" s="509">
        <v>0</v>
      </c>
      <c r="LL77" s="509">
        <v>0</v>
      </c>
      <c r="LM77" s="509">
        <v>0</v>
      </c>
      <c r="LN77" s="509">
        <v>0</v>
      </c>
      <c r="LO77" s="509">
        <v>0</v>
      </c>
      <c r="LP77" s="509">
        <v>0</v>
      </c>
      <c r="LQ77" s="509">
        <v>0</v>
      </c>
      <c r="LR77" s="509">
        <v>0</v>
      </c>
      <c r="LS77" s="509">
        <v>0</v>
      </c>
      <c r="LT77" s="509">
        <v>0</v>
      </c>
      <c r="LU77" s="509">
        <v>0</v>
      </c>
      <c r="LV77" s="509">
        <v>0</v>
      </c>
      <c r="LW77" s="509">
        <v>0</v>
      </c>
      <c r="LX77" s="509">
        <v>0</v>
      </c>
      <c r="LY77" s="509">
        <v>0</v>
      </c>
      <c r="LZ77" s="509">
        <v>0</v>
      </c>
      <c r="MA77" s="509">
        <v>0</v>
      </c>
      <c r="MB77" s="509">
        <v>0</v>
      </c>
      <c r="MC77" s="509">
        <v>0</v>
      </c>
      <c r="MD77" s="509">
        <v>0</v>
      </c>
      <c r="ME77" s="509">
        <v>0</v>
      </c>
      <c r="MF77" s="509">
        <v>0</v>
      </c>
      <c r="MG77" s="509">
        <v>0</v>
      </c>
      <c r="MH77" s="509">
        <v>0</v>
      </c>
      <c r="MI77" s="509">
        <v>0</v>
      </c>
      <c r="MJ77" s="509">
        <v>0</v>
      </c>
      <c r="MK77" s="509">
        <v>0</v>
      </c>
      <c r="ML77" s="509">
        <v>0</v>
      </c>
      <c r="MM77" s="509">
        <v>0</v>
      </c>
      <c r="MN77" s="509">
        <v>0</v>
      </c>
      <c r="MO77" s="509">
        <v>0</v>
      </c>
      <c r="MP77" s="509">
        <v>0</v>
      </c>
      <c r="MQ77" s="509">
        <v>0</v>
      </c>
      <c r="MR77" s="509">
        <v>0</v>
      </c>
      <c r="MS77" s="509">
        <v>0</v>
      </c>
      <c r="MT77" s="509">
        <v>0</v>
      </c>
      <c r="MU77" s="509">
        <v>0</v>
      </c>
      <c r="MV77" s="509">
        <v>0</v>
      </c>
      <c r="MW77" s="509">
        <v>0</v>
      </c>
      <c r="MX77" s="509">
        <v>0</v>
      </c>
      <c r="MY77" s="509">
        <v>0</v>
      </c>
      <c r="MZ77" s="509">
        <v>0</v>
      </c>
      <c r="NA77" s="509">
        <v>0</v>
      </c>
      <c r="NB77" s="509">
        <v>0</v>
      </c>
      <c r="NC77" s="509">
        <v>0</v>
      </c>
      <c r="ND77" s="509">
        <v>0</v>
      </c>
      <c r="NE77" s="509">
        <v>0</v>
      </c>
      <c r="NF77" s="509">
        <v>0</v>
      </c>
      <c r="NG77" s="509">
        <v>0</v>
      </c>
      <c r="NH77" s="509">
        <v>0</v>
      </c>
      <c r="NI77" s="509">
        <v>0</v>
      </c>
      <c r="NJ77" s="509">
        <v>0</v>
      </c>
      <c r="NK77" s="509">
        <v>0</v>
      </c>
      <c r="NL77" s="509">
        <v>0</v>
      </c>
      <c r="NM77" s="509">
        <v>0</v>
      </c>
      <c r="NN77" s="509">
        <v>0</v>
      </c>
      <c r="NO77" s="509">
        <v>0</v>
      </c>
      <c r="NP77" s="509">
        <v>0</v>
      </c>
      <c r="NQ77" s="509">
        <v>0</v>
      </c>
      <c r="NR77" s="509">
        <v>0</v>
      </c>
      <c r="NS77" s="509">
        <v>0</v>
      </c>
      <c r="NT77" s="509">
        <v>0</v>
      </c>
      <c r="NU77" s="509">
        <v>0</v>
      </c>
      <c r="NV77" s="509">
        <v>0</v>
      </c>
      <c r="NW77" s="509">
        <v>0</v>
      </c>
      <c r="NX77" s="509">
        <v>0</v>
      </c>
      <c r="NY77" s="509">
        <v>0</v>
      </c>
      <c r="NZ77" s="509">
        <v>0</v>
      </c>
      <c r="OA77" s="509">
        <v>0</v>
      </c>
      <c r="OB77" s="509">
        <v>0</v>
      </c>
      <c r="OC77" s="509">
        <v>0</v>
      </c>
      <c r="OD77" s="509">
        <v>0</v>
      </c>
      <c r="OE77" s="509">
        <v>0</v>
      </c>
      <c r="OF77" s="509">
        <v>0</v>
      </c>
      <c r="OG77" s="509">
        <v>0</v>
      </c>
      <c r="OH77" s="509">
        <v>0</v>
      </c>
      <c r="OI77" s="509">
        <v>0</v>
      </c>
      <c r="OJ77" s="509">
        <v>0</v>
      </c>
      <c r="OK77" s="509">
        <v>0</v>
      </c>
      <c r="OL77" s="509">
        <v>0</v>
      </c>
      <c r="OM77" s="510">
        <v>0</v>
      </c>
      <c r="ON77" s="494"/>
    </row>
    <row r="78" spans="1:404" ht="18.75" customHeight="1" x14ac:dyDescent="0.4">
      <c r="A78" s="511" t="s">
        <v>348</v>
      </c>
      <c r="B78" s="512">
        <v>138</v>
      </c>
      <c r="C78" s="511" t="s">
        <v>60</v>
      </c>
      <c r="D78" s="501">
        <v>10.89</v>
      </c>
      <c r="E78" s="502">
        <v>87488</v>
      </c>
      <c r="F78" s="501">
        <v>10.89</v>
      </c>
      <c r="G78" s="502">
        <v>3111</v>
      </c>
      <c r="H78" s="501">
        <v>10.89</v>
      </c>
      <c r="I78" s="502">
        <v>17040</v>
      </c>
      <c r="J78" s="501">
        <v>10.89</v>
      </c>
      <c r="K78" s="502">
        <v>31846</v>
      </c>
      <c r="V78" s="501"/>
      <c r="W78" s="503"/>
      <c r="X78" s="501"/>
      <c r="Y78" s="503"/>
      <c r="Z78" s="501"/>
      <c r="AA78" s="503"/>
      <c r="AB78" s="495"/>
      <c r="AC78" s="504">
        <v>0</v>
      </c>
      <c r="AD78" s="504">
        <v>0</v>
      </c>
      <c r="AE78" s="504">
        <v>0</v>
      </c>
      <c r="AF78" s="504">
        <v>0</v>
      </c>
      <c r="AG78" s="504">
        <v>0</v>
      </c>
      <c r="AH78" s="504">
        <v>0</v>
      </c>
      <c r="AI78" s="504">
        <v>0</v>
      </c>
      <c r="AJ78" s="504">
        <v>0</v>
      </c>
      <c r="AK78" s="504">
        <v>0</v>
      </c>
      <c r="AL78" s="504">
        <v>0</v>
      </c>
      <c r="AM78" s="504">
        <v>0</v>
      </c>
      <c r="AN78" s="504">
        <v>0</v>
      </c>
      <c r="AO78" s="504">
        <v>0</v>
      </c>
      <c r="AP78" s="504">
        <v>0</v>
      </c>
      <c r="AQ78" s="504">
        <v>0</v>
      </c>
      <c r="AR78" s="504">
        <v>0</v>
      </c>
      <c r="AS78" s="504">
        <v>0</v>
      </c>
      <c r="AT78" s="504">
        <v>0</v>
      </c>
      <c r="AU78" s="504">
        <v>0</v>
      </c>
      <c r="AV78" s="504">
        <v>0</v>
      </c>
      <c r="AW78" s="504">
        <v>0</v>
      </c>
      <c r="AX78" s="504">
        <v>0</v>
      </c>
      <c r="AY78" s="504">
        <v>0</v>
      </c>
      <c r="AZ78" s="504">
        <v>0</v>
      </c>
      <c r="BA78" s="504">
        <v>0</v>
      </c>
      <c r="BB78" s="504">
        <v>0</v>
      </c>
      <c r="BC78" s="504">
        <v>0</v>
      </c>
      <c r="BD78" s="504">
        <v>0</v>
      </c>
      <c r="BE78" s="504">
        <v>0</v>
      </c>
      <c r="BF78" s="504">
        <v>0</v>
      </c>
      <c r="BG78" s="504">
        <v>0</v>
      </c>
      <c r="BH78" s="504">
        <v>0</v>
      </c>
      <c r="BI78" s="504">
        <v>0</v>
      </c>
      <c r="BJ78" s="504">
        <v>0</v>
      </c>
      <c r="BK78" s="504">
        <v>0</v>
      </c>
      <c r="BL78" s="504">
        <v>0</v>
      </c>
      <c r="BM78" s="504">
        <v>0</v>
      </c>
      <c r="BN78" s="504">
        <v>0</v>
      </c>
      <c r="BO78" s="504">
        <v>0</v>
      </c>
      <c r="BP78" s="504">
        <v>0</v>
      </c>
      <c r="BQ78" s="504">
        <v>0</v>
      </c>
      <c r="BR78" s="504">
        <v>0</v>
      </c>
      <c r="BS78" s="504">
        <v>0</v>
      </c>
      <c r="BT78" s="504">
        <v>0</v>
      </c>
      <c r="BU78" s="504">
        <v>0</v>
      </c>
      <c r="BV78" s="504">
        <v>0</v>
      </c>
      <c r="BW78" s="504">
        <v>0</v>
      </c>
      <c r="BX78" s="504">
        <v>0</v>
      </c>
      <c r="BY78" s="504">
        <v>0</v>
      </c>
      <c r="BZ78" s="504">
        <v>0</v>
      </c>
      <c r="CA78" s="504">
        <v>0</v>
      </c>
      <c r="CB78" s="504">
        <v>0</v>
      </c>
      <c r="CC78" s="504">
        <v>0</v>
      </c>
      <c r="CD78" s="504">
        <v>0</v>
      </c>
      <c r="CE78" s="504">
        <v>0</v>
      </c>
      <c r="CF78" s="504">
        <v>0</v>
      </c>
      <c r="CG78" s="504">
        <v>0</v>
      </c>
      <c r="CH78" s="504">
        <v>0</v>
      </c>
      <c r="CI78" s="504">
        <v>0</v>
      </c>
      <c r="CJ78" s="504">
        <v>0</v>
      </c>
      <c r="CK78" s="504">
        <v>0</v>
      </c>
      <c r="CL78" s="504">
        <v>0</v>
      </c>
      <c r="CM78" s="504">
        <v>0</v>
      </c>
      <c r="CN78" s="504">
        <v>0</v>
      </c>
      <c r="CO78" s="504">
        <v>0</v>
      </c>
      <c r="CP78" s="504">
        <v>0</v>
      </c>
      <c r="CQ78" s="504">
        <v>0</v>
      </c>
      <c r="CR78" s="504">
        <v>0</v>
      </c>
      <c r="CS78" s="504">
        <v>0</v>
      </c>
      <c r="CT78" s="504">
        <v>0</v>
      </c>
      <c r="CU78" s="504">
        <v>0</v>
      </c>
      <c r="CV78" s="504">
        <v>0</v>
      </c>
      <c r="CW78" s="504">
        <v>0</v>
      </c>
      <c r="CX78" s="504">
        <v>0</v>
      </c>
      <c r="CY78" s="504">
        <v>0</v>
      </c>
      <c r="CZ78" s="504">
        <v>0</v>
      </c>
      <c r="DA78" s="504">
        <v>0</v>
      </c>
      <c r="DB78" s="504">
        <v>0</v>
      </c>
      <c r="DC78" s="504">
        <v>0</v>
      </c>
      <c r="DD78" s="504">
        <v>0</v>
      </c>
      <c r="DE78" s="504">
        <v>0</v>
      </c>
      <c r="DF78" s="504">
        <v>0</v>
      </c>
      <c r="DG78" s="504">
        <v>0</v>
      </c>
      <c r="DH78" s="504">
        <v>0</v>
      </c>
      <c r="DI78" s="504">
        <v>0</v>
      </c>
      <c r="DJ78" s="504">
        <v>0</v>
      </c>
      <c r="DK78" s="504">
        <v>0</v>
      </c>
      <c r="DL78" s="504">
        <v>0</v>
      </c>
      <c r="DM78" s="504">
        <v>0</v>
      </c>
      <c r="DN78" s="504">
        <v>0</v>
      </c>
      <c r="DO78" s="504">
        <v>0</v>
      </c>
      <c r="DP78" s="504">
        <v>0</v>
      </c>
      <c r="DQ78" s="504">
        <v>0</v>
      </c>
      <c r="DR78" s="504">
        <v>0</v>
      </c>
      <c r="DS78" s="504">
        <v>0</v>
      </c>
      <c r="DT78" s="504">
        <v>0</v>
      </c>
      <c r="DU78" s="504">
        <v>0</v>
      </c>
      <c r="DV78" s="504">
        <v>0</v>
      </c>
      <c r="DW78" s="504">
        <v>0</v>
      </c>
      <c r="DX78" s="504">
        <v>0</v>
      </c>
      <c r="DY78" s="504">
        <v>0</v>
      </c>
      <c r="DZ78" s="504">
        <v>0</v>
      </c>
      <c r="EA78" s="504">
        <v>0</v>
      </c>
      <c r="EB78" s="504">
        <v>0</v>
      </c>
      <c r="EC78" s="504">
        <v>0</v>
      </c>
      <c r="ED78" s="504">
        <v>0</v>
      </c>
      <c r="EE78" s="504">
        <v>0</v>
      </c>
      <c r="EF78" s="504">
        <v>0</v>
      </c>
      <c r="EG78" s="504">
        <v>0</v>
      </c>
      <c r="EH78" s="504">
        <v>0</v>
      </c>
      <c r="EI78" s="504">
        <v>0</v>
      </c>
      <c r="EJ78" s="504">
        <v>0</v>
      </c>
      <c r="EK78" s="504">
        <v>0</v>
      </c>
      <c r="EL78" s="504">
        <v>0</v>
      </c>
      <c r="EM78" s="504">
        <v>0</v>
      </c>
      <c r="EN78" s="504">
        <v>0</v>
      </c>
      <c r="EO78" s="504">
        <v>0</v>
      </c>
      <c r="EP78" s="504">
        <v>0</v>
      </c>
      <c r="EQ78" s="504">
        <v>0</v>
      </c>
      <c r="ER78" s="504">
        <v>0</v>
      </c>
      <c r="ES78" s="504">
        <v>0</v>
      </c>
      <c r="ET78" s="504">
        <v>0</v>
      </c>
      <c r="EU78" s="504">
        <v>0</v>
      </c>
      <c r="EV78" s="504">
        <v>0</v>
      </c>
      <c r="EW78" s="504">
        <v>0</v>
      </c>
      <c r="EX78" s="504">
        <v>0</v>
      </c>
      <c r="EY78" s="504">
        <v>0</v>
      </c>
      <c r="EZ78" s="504">
        <v>0</v>
      </c>
      <c r="FA78" s="504">
        <v>0</v>
      </c>
      <c r="FB78" s="504">
        <v>0</v>
      </c>
      <c r="FC78" s="504">
        <v>0</v>
      </c>
      <c r="FD78" s="504">
        <v>0</v>
      </c>
      <c r="FE78" s="504">
        <v>0</v>
      </c>
      <c r="FF78" s="504">
        <v>0</v>
      </c>
      <c r="FG78" s="504">
        <v>0</v>
      </c>
      <c r="FH78" s="504">
        <v>0</v>
      </c>
      <c r="FI78" s="504">
        <v>0</v>
      </c>
      <c r="FJ78" s="504">
        <v>0</v>
      </c>
      <c r="FK78" s="504">
        <v>0</v>
      </c>
      <c r="FL78" s="504">
        <v>0</v>
      </c>
      <c r="FM78" s="504">
        <v>0</v>
      </c>
      <c r="FN78" s="504">
        <v>0</v>
      </c>
      <c r="FO78" s="504">
        <v>0</v>
      </c>
      <c r="FP78" s="504">
        <v>0</v>
      </c>
      <c r="FQ78" s="504">
        <v>0</v>
      </c>
      <c r="FR78" s="504">
        <v>0</v>
      </c>
      <c r="FS78" s="504">
        <v>0</v>
      </c>
      <c r="FT78" s="504">
        <v>0</v>
      </c>
      <c r="FU78" s="504">
        <v>0</v>
      </c>
      <c r="FV78" s="504">
        <v>0</v>
      </c>
      <c r="FW78" s="504">
        <v>0</v>
      </c>
      <c r="FX78" s="504">
        <v>0</v>
      </c>
      <c r="FY78" s="504">
        <v>0</v>
      </c>
      <c r="FZ78" s="504">
        <v>0</v>
      </c>
      <c r="GA78" s="504">
        <v>0</v>
      </c>
      <c r="GB78" s="504">
        <v>0</v>
      </c>
      <c r="GC78" s="504">
        <v>0</v>
      </c>
      <c r="GD78" s="504">
        <v>0</v>
      </c>
      <c r="GE78" s="504">
        <v>0</v>
      </c>
      <c r="GF78" s="504">
        <v>0</v>
      </c>
      <c r="GG78" s="504">
        <v>0</v>
      </c>
      <c r="GH78" s="504">
        <v>0</v>
      </c>
      <c r="GI78" s="504">
        <v>0</v>
      </c>
      <c r="GJ78" s="504">
        <v>0</v>
      </c>
      <c r="GK78" s="504">
        <v>0</v>
      </c>
      <c r="GL78" s="504">
        <v>0</v>
      </c>
      <c r="GM78" s="504">
        <v>0</v>
      </c>
      <c r="GN78" s="504">
        <v>0</v>
      </c>
      <c r="GO78" s="504">
        <v>0</v>
      </c>
      <c r="GP78" s="504">
        <v>0</v>
      </c>
      <c r="GQ78" s="504">
        <v>0</v>
      </c>
      <c r="GR78" s="504">
        <v>0</v>
      </c>
      <c r="GS78" s="504">
        <v>0</v>
      </c>
      <c r="GT78" s="504">
        <v>0</v>
      </c>
      <c r="GU78" s="504">
        <v>0</v>
      </c>
      <c r="GV78" s="504">
        <v>0</v>
      </c>
      <c r="GW78" s="504">
        <v>0</v>
      </c>
      <c r="GX78" s="504">
        <v>0</v>
      </c>
      <c r="GY78" s="504">
        <v>0</v>
      </c>
      <c r="GZ78" s="504">
        <v>0</v>
      </c>
      <c r="HA78" s="504">
        <v>0</v>
      </c>
      <c r="HB78" s="504">
        <v>0</v>
      </c>
      <c r="HC78" s="504">
        <v>0</v>
      </c>
      <c r="HD78" s="504">
        <v>0</v>
      </c>
      <c r="HE78" s="504">
        <v>0</v>
      </c>
      <c r="HF78" s="504">
        <v>0</v>
      </c>
      <c r="HG78" s="504">
        <v>0</v>
      </c>
      <c r="HH78" s="504">
        <v>0</v>
      </c>
      <c r="HI78" s="504">
        <v>0</v>
      </c>
      <c r="HJ78" s="504">
        <v>0</v>
      </c>
      <c r="HK78" s="504">
        <v>0</v>
      </c>
      <c r="HL78" s="504">
        <v>0</v>
      </c>
      <c r="HM78" s="504">
        <v>0</v>
      </c>
      <c r="HN78" s="504">
        <v>0</v>
      </c>
      <c r="HO78" s="504">
        <v>0</v>
      </c>
      <c r="HP78" s="504">
        <v>0</v>
      </c>
      <c r="HQ78" s="504">
        <v>0</v>
      </c>
      <c r="HR78" s="504">
        <v>0</v>
      </c>
      <c r="HS78" s="504">
        <v>0</v>
      </c>
      <c r="HT78" s="504">
        <v>0</v>
      </c>
      <c r="HU78" s="504">
        <v>0</v>
      </c>
      <c r="HV78" s="504">
        <v>0</v>
      </c>
      <c r="HW78" s="504">
        <v>0</v>
      </c>
      <c r="HX78" s="504">
        <v>0</v>
      </c>
      <c r="HY78" s="504">
        <v>0</v>
      </c>
      <c r="HZ78" s="504">
        <v>0</v>
      </c>
      <c r="IA78" s="504">
        <v>0</v>
      </c>
      <c r="IB78" s="504">
        <v>0</v>
      </c>
      <c r="IC78" s="504">
        <v>0</v>
      </c>
      <c r="ID78" s="504">
        <v>0</v>
      </c>
      <c r="IE78" s="504">
        <v>0</v>
      </c>
      <c r="IF78" s="504">
        <v>0</v>
      </c>
      <c r="IG78" s="504">
        <v>0</v>
      </c>
      <c r="IH78" s="504">
        <v>0</v>
      </c>
      <c r="II78" s="504">
        <v>0</v>
      </c>
      <c r="IJ78" s="504">
        <v>0</v>
      </c>
      <c r="IK78" s="504">
        <v>0</v>
      </c>
      <c r="IL78" s="504">
        <v>0</v>
      </c>
      <c r="IM78" s="504">
        <v>0</v>
      </c>
      <c r="IN78" s="504">
        <v>0</v>
      </c>
      <c r="IO78" s="504">
        <v>0</v>
      </c>
      <c r="IP78" s="504">
        <v>0</v>
      </c>
      <c r="IQ78" s="504">
        <v>0</v>
      </c>
      <c r="IR78" s="504">
        <v>0</v>
      </c>
      <c r="IS78" s="504">
        <v>0</v>
      </c>
      <c r="IT78" s="504">
        <v>0</v>
      </c>
      <c r="IU78" s="504">
        <v>0</v>
      </c>
      <c r="IV78" s="504">
        <v>0</v>
      </c>
      <c r="IW78" s="504">
        <v>0</v>
      </c>
      <c r="IX78" s="504">
        <v>0</v>
      </c>
      <c r="IY78" s="504">
        <v>0</v>
      </c>
      <c r="IZ78" s="504">
        <v>0</v>
      </c>
      <c r="JA78" s="504">
        <v>0</v>
      </c>
      <c r="JB78" s="504">
        <v>0</v>
      </c>
      <c r="JC78" s="504">
        <v>0</v>
      </c>
      <c r="JD78" s="504">
        <v>0</v>
      </c>
      <c r="JE78" s="504">
        <v>0</v>
      </c>
      <c r="JF78" s="504">
        <v>0</v>
      </c>
      <c r="JG78" s="504">
        <v>0</v>
      </c>
      <c r="JH78" s="504">
        <v>0</v>
      </c>
      <c r="JI78" s="504">
        <v>0</v>
      </c>
      <c r="JJ78" s="504">
        <v>0</v>
      </c>
      <c r="JK78" s="504">
        <v>0</v>
      </c>
      <c r="JL78" s="504">
        <v>0</v>
      </c>
      <c r="JM78" s="504">
        <v>0</v>
      </c>
      <c r="JN78" s="504">
        <v>0</v>
      </c>
      <c r="JO78" s="504">
        <v>0</v>
      </c>
      <c r="JP78" s="504">
        <v>0</v>
      </c>
      <c r="JQ78" s="504">
        <v>0</v>
      </c>
      <c r="JR78" s="504">
        <v>0</v>
      </c>
      <c r="JS78" s="504">
        <v>0</v>
      </c>
      <c r="JT78" s="504">
        <v>0</v>
      </c>
      <c r="JU78" s="504">
        <v>0</v>
      </c>
      <c r="JV78" s="504">
        <v>0</v>
      </c>
      <c r="JW78" s="504">
        <v>0</v>
      </c>
      <c r="JX78" s="504">
        <v>0</v>
      </c>
      <c r="JY78" s="504">
        <v>0</v>
      </c>
      <c r="JZ78" s="504">
        <v>0</v>
      </c>
      <c r="KA78" s="504">
        <v>0</v>
      </c>
      <c r="KB78" s="504">
        <v>0</v>
      </c>
      <c r="KC78" s="504">
        <v>0</v>
      </c>
      <c r="KD78" s="504">
        <v>0</v>
      </c>
      <c r="KE78" s="504">
        <v>0</v>
      </c>
      <c r="KF78" s="504">
        <v>0</v>
      </c>
      <c r="KG78" s="504">
        <v>0</v>
      </c>
      <c r="KH78" s="504">
        <v>0</v>
      </c>
      <c r="KI78" s="504">
        <v>0</v>
      </c>
      <c r="KJ78" s="504">
        <v>0</v>
      </c>
      <c r="KK78" s="504">
        <v>0</v>
      </c>
      <c r="KL78" s="504">
        <v>0</v>
      </c>
      <c r="KM78" s="504">
        <v>0</v>
      </c>
      <c r="KN78" s="504">
        <v>0</v>
      </c>
      <c r="KO78" s="504">
        <v>0</v>
      </c>
      <c r="KP78" s="504">
        <v>0</v>
      </c>
      <c r="KQ78" s="504">
        <v>0</v>
      </c>
      <c r="KR78" s="504">
        <v>0</v>
      </c>
      <c r="KS78" s="504">
        <v>0</v>
      </c>
      <c r="KT78" s="504">
        <v>0</v>
      </c>
      <c r="KU78" s="504">
        <v>0</v>
      </c>
      <c r="KV78" s="504">
        <v>0</v>
      </c>
      <c r="KW78" s="504">
        <v>0</v>
      </c>
      <c r="KX78" s="504">
        <v>0</v>
      </c>
      <c r="KY78" s="504">
        <v>0</v>
      </c>
      <c r="KZ78" s="504">
        <v>0</v>
      </c>
      <c r="LA78" s="504">
        <v>0</v>
      </c>
      <c r="LB78" s="504">
        <v>0</v>
      </c>
      <c r="LC78" s="504">
        <v>0</v>
      </c>
      <c r="LD78" s="504">
        <v>0</v>
      </c>
      <c r="LE78" s="504">
        <v>0</v>
      </c>
      <c r="LF78" s="504">
        <v>0</v>
      </c>
      <c r="LG78" s="504">
        <v>0</v>
      </c>
      <c r="LH78" s="504">
        <v>0</v>
      </c>
      <c r="LI78" s="504">
        <v>0</v>
      </c>
      <c r="LJ78" s="504">
        <v>0</v>
      </c>
      <c r="LK78" s="504">
        <v>0</v>
      </c>
      <c r="LL78" s="504">
        <v>0</v>
      </c>
      <c r="LM78" s="504">
        <v>0</v>
      </c>
      <c r="LN78" s="504">
        <v>0</v>
      </c>
      <c r="LO78" s="504">
        <v>0</v>
      </c>
      <c r="LP78" s="504">
        <v>0</v>
      </c>
      <c r="LQ78" s="504">
        <v>0</v>
      </c>
      <c r="LR78" s="504">
        <v>0</v>
      </c>
      <c r="LS78" s="504">
        <v>0</v>
      </c>
      <c r="LT78" s="504">
        <v>0</v>
      </c>
      <c r="LU78" s="504">
        <v>0</v>
      </c>
      <c r="LV78" s="504">
        <v>0</v>
      </c>
      <c r="LW78" s="504">
        <v>0</v>
      </c>
      <c r="LX78" s="504">
        <v>0</v>
      </c>
      <c r="LY78" s="504">
        <v>0</v>
      </c>
      <c r="LZ78" s="504">
        <v>0</v>
      </c>
      <c r="MA78" s="504">
        <v>0</v>
      </c>
      <c r="MB78" s="504">
        <v>0</v>
      </c>
      <c r="MC78" s="504">
        <v>0</v>
      </c>
      <c r="MD78" s="504">
        <v>0</v>
      </c>
      <c r="ME78" s="504">
        <v>0</v>
      </c>
      <c r="MF78" s="504">
        <v>0</v>
      </c>
      <c r="MG78" s="504">
        <v>0</v>
      </c>
      <c r="MH78" s="504">
        <v>0</v>
      </c>
      <c r="MI78" s="504">
        <v>0</v>
      </c>
      <c r="MJ78" s="504">
        <v>0</v>
      </c>
      <c r="MK78" s="504">
        <v>0</v>
      </c>
      <c r="ML78" s="504">
        <v>0</v>
      </c>
      <c r="MM78" s="504">
        <v>0</v>
      </c>
      <c r="MN78" s="504">
        <v>0</v>
      </c>
      <c r="MO78" s="504">
        <v>0</v>
      </c>
      <c r="MP78" s="504">
        <v>0</v>
      </c>
      <c r="MQ78" s="504">
        <v>0</v>
      </c>
      <c r="MR78" s="504">
        <v>0</v>
      </c>
      <c r="MS78" s="504">
        <v>0</v>
      </c>
      <c r="MT78" s="504">
        <v>0</v>
      </c>
      <c r="MU78" s="504">
        <v>0</v>
      </c>
      <c r="MV78" s="504">
        <v>0</v>
      </c>
      <c r="MW78" s="504">
        <v>0</v>
      </c>
      <c r="MX78" s="504">
        <v>0</v>
      </c>
      <c r="MY78" s="504">
        <v>0</v>
      </c>
      <c r="MZ78" s="504">
        <v>0</v>
      </c>
      <c r="NA78" s="504">
        <v>0</v>
      </c>
      <c r="NB78" s="504">
        <v>0</v>
      </c>
      <c r="NC78" s="504">
        <v>0</v>
      </c>
      <c r="ND78" s="504">
        <v>0</v>
      </c>
      <c r="NE78" s="504">
        <v>0</v>
      </c>
      <c r="NF78" s="504">
        <v>0</v>
      </c>
      <c r="NG78" s="504">
        <v>0</v>
      </c>
      <c r="NH78" s="504">
        <v>0</v>
      </c>
      <c r="NI78" s="504">
        <v>0</v>
      </c>
      <c r="NJ78" s="504">
        <v>0</v>
      </c>
      <c r="NK78" s="504">
        <v>0</v>
      </c>
      <c r="NL78" s="504">
        <v>0</v>
      </c>
      <c r="NM78" s="504">
        <v>0</v>
      </c>
      <c r="NN78" s="504">
        <v>0</v>
      </c>
      <c r="NO78" s="504">
        <v>0</v>
      </c>
      <c r="NP78" s="504">
        <v>0</v>
      </c>
      <c r="NQ78" s="504">
        <v>0</v>
      </c>
      <c r="NR78" s="504">
        <v>0</v>
      </c>
      <c r="NS78" s="504">
        <v>0</v>
      </c>
      <c r="NT78" s="504">
        <v>0</v>
      </c>
      <c r="NU78" s="504">
        <v>0</v>
      </c>
      <c r="NV78" s="504">
        <v>0</v>
      </c>
      <c r="NW78" s="504">
        <v>0</v>
      </c>
      <c r="NX78" s="504">
        <v>0</v>
      </c>
      <c r="NY78" s="504">
        <v>0</v>
      </c>
      <c r="NZ78" s="504">
        <v>0</v>
      </c>
      <c r="OA78" s="504">
        <v>0</v>
      </c>
      <c r="OB78" s="504">
        <v>0</v>
      </c>
      <c r="OC78" s="504">
        <v>0</v>
      </c>
      <c r="OD78" s="504">
        <v>0</v>
      </c>
      <c r="OE78" s="504">
        <v>0</v>
      </c>
      <c r="OF78" s="504">
        <v>0</v>
      </c>
      <c r="OG78" s="504">
        <v>0</v>
      </c>
      <c r="OH78" s="504">
        <v>0</v>
      </c>
      <c r="OI78" s="504">
        <v>0</v>
      </c>
      <c r="OJ78" s="504">
        <v>0</v>
      </c>
      <c r="OK78" s="504">
        <v>0</v>
      </c>
      <c r="OL78" s="504">
        <v>0</v>
      </c>
      <c r="OM78" s="513">
        <v>0</v>
      </c>
      <c r="ON78" s="494"/>
    </row>
    <row r="79" spans="1:404" ht="18.75" customHeight="1" x14ac:dyDescent="0.4">
      <c r="A79" s="511" t="s">
        <v>349</v>
      </c>
      <c r="B79" s="512">
        <v>163</v>
      </c>
      <c r="C79" s="511" t="s">
        <v>60</v>
      </c>
      <c r="D79" s="501">
        <v>12.96</v>
      </c>
      <c r="E79" s="502">
        <v>6258</v>
      </c>
      <c r="F79" s="501">
        <v>12.96</v>
      </c>
      <c r="G79" s="502">
        <v>1196</v>
      </c>
      <c r="H79" s="501">
        <v>12.96</v>
      </c>
      <c r="I79" s="502">
        <v>4995</v>
      </c>
      <c r="J79" s="501">
        <v>12.96</v>
      </c>
      <c r="K79" s="502">
        <v>7132</v>
      </c>
      <c r="V79" s="501"/>
      <c r="W79" s="503"/>
      <c r="X79" s="501"/>
      <c r="Y79" s="503"/>
      <c r="Z79" s="501"/>
      <c r="AA79" s="503"/>
      <c r="AB79" s="495"/>
      <c r="AC79" s="504">
        <v>0</v>
      </c>
      <c r="AD79" s="504">
        <v>0</v>
      </c>
      <c r="AE79" s="504">
        <v>0</v>
      </c>
      <c r="AF79" s="504">
        <v>0</v>
      </c>
      <c r="AG79" s="504">
        <v>0</v>
      </c>
      <c r="AH79" s="504">
        <v>0</v>
      </c>
      <c r="AI79" s="504">
        <v>0</v>
      </c>
      <c r="AJ79" s="504">
        <v>0</v>
      </c>
      <c r="AK79" s="504">
        <v>0</v>
      </c>
      <c r="AL79" s="504">
        <v>0</v>
      </c>
      <c r="AM79" s="504">
        <v>0</v>
      </c>
      <c r="AN79" s="504">
        <v>0</v>
      </c>
      <c r="AO79" s="504">
        <v>0</v>
      </c>
      <c r="AP79" s="504">
        <v>0</v>
      </c>
      <c r="AQ79" s="504">
        <v>0</v>
      </c>
      <c r="AR79" s="504">
        <v>0</v>
      </c>
      <c r="AS79" s="504">
        <v>0</v>
      </c>
      <c r="AT79" s="504">
        <v>0</v>
      </c>
      <c r="AU79" s="504">
        <v>0</v>
      </c>
      <c r="AV79" s="504">
        <v>0</v>
      </c>
      <c r="AW79" s="504">
        <v>0</v>
      </c>
      <c r="AX79" s="504">
        <v>0</v>
      </c>
      <c r="AY79" s="504">
        <v>0</v>
      </c>
      <c r="AZ79" s="504">
        <v>0</v>
      </c>
      <c r="BA79" s="504">
        <v>0</v>
      </c>
      <c r="BB79" s="504">
        <v>0</v>
      </c>
      <c r="BC79" s="504">
        <v>0</v>
      </c>
      <c r="BD79" s="504">
        <v>0</v>
      </c>
      <c r="BE79" s="504">
        <v>0</v>
      </c>
      <c r="BF79" s="504">
        <v>0</v>
      </c>
      <c r="BG79" s="504">
        <v>0</v>
      </c>
      <c r="BH79" s="504">
        <v>0</v>
      </c>
      <c r="BI79" s="504">
        <v>0</v>
      </c>
      <c r="BJ79" s="504">
        <v>0</v>
      </c>
      <c r="BK79" s="504">
        <v>0</v>
      </c>
      <c r="BL79" s="504">
        <v>0</v>
      </c>
      <c r="BM79" s="504">
        <v>0</v>
      </c>
      <c r="BN79" s="504">
        <v>0</v>
      </c>
      <c r="BO79" s="504">
        <v>0</v>
      </c>
      <c r="BP79" s="504">
        <v>0</v>
      </c>
      <c r="BQ79" s="504">
        <v>0</v>
      </c>
      <c r="BR79" s="504">
        <v>0</v>
      </c>
      <c r="BS79" s="504">
        <v>0</v>
      </c>
      <c r="BT79" s="504">
        <v>0</v>
      </c>
      <c r="BU79" s="504">
        <v>0</v>
      </c>
      <c r="BV79" s="504">
        <v>0</v>
      </c>
      <c r="BW79" s="504">
        <v>0</v>
      </c>
      <c r="BX79" s="504">
        <v>0</v>
      </c>
      <c r="BY79" s="504">
        <v>0</v>
      </c>
      <c r="BZ79" s="504">
        <v>0</v>
      </c>
      <c r="CA79" s="504">
        <v>0</v>
      </c>
      <c r="CB79" s="504">
        <v>0</v>
      </c>
      <c r="CC79" s="504">
        <v>0</v>
      </c>
      <c r="CD79" s="504">
        <v>0</v>
      </c>
      <c r="CE79" s="504">
        <v>0</v>
      </c>
      <c r="CF79" s="504">
        <v>0</v>
      </c>
      <c r="CG79" s="504">
        <v>0</v>
      </c>
      <c r="CH79" s="504">
        <v>0</v>
      </c>
      <c r="CI79" s="504">
        <v>0</v>
      </c>
      <c r="CJ79" s="504">
        <v>0</v>
      </c>
      <c r="CK79" s="504">
        <v>0</v>
      </c>
      <c r="CL79" s="504">
        <v>0</v>
      </c>
      <c r="CM79" s="504">
        <v>0</v>
      </c>
      <c r="CN79" s="504">
        <v>0</v>
      </c>
      <c r="CO79" s="504">
        <v>0</v>
      </c>
      <c r="CP79" s="504">
        <v>0</v>
      </c>
      <c r="CQ79" s="504">
        <v>0</v>
      </c>
      <c r="CR79" s="504">
        <v>0</v>
      </c>
      <c r="CS79" s="504">
        <v>0</v>
      </c>
      <c r="CT79" s="504">
        <v>0</v>
      </c>
      <c r="CU79" s="504">
        <v>0</v>
      </c>
      <c r="CV79" s="504">
        <v>0</v>
      </c>
      <c r="CW79" s="504">
        <v>0</v>
      </c>
      <c r="CX79" s="504">
        <v>0</v>
      </c>
      <c r="CY79" s="504">
        <v>0</v>
      </c>
      <c r="CZ79" s="504">
        <v>0</v>
      </c>
      <c r="DA79" s="504">
        <v>0</v>
      </c>
      <c r="DB79" s="504">
        <v>0</v>
      </c>
      <c r="DC79" s="504">
        <v>0</v>
      </c>
      <c r="DD79" s="504">
        <v>0</v>
      </c>
      <c r="DE79" s="504">
        <v>0</v>
      </c>
      <c r="DF79" s="504">
        <v>0</v>
      </c>
      <c r="DG79" s="504">
        <v>0</v>
      </c>
      <c r="DH79" s="504">
        <v>0</v>
      </c>
      <c r="DI79" s="504">
        <v>0</v>
      </c>
      <c r="DJ79" s="504">
        <v>0</v>
      </c>
      <c r="DK79" s="504">
        <v>0</v>
      </c>
      <c r="DL79" s="504">
        <v>0</v>
      </c>
      <c r="DM79" s="504">
        <v>0</v>
      </c>
      <c r="DN79" s="504">
        <v>0</v>
      </c>
      <c r="DO79" s="504">
        <v>0</v>
      </c>
      <c r="DP79" s="504">
        <v>0</v>
      </c>
      <c r="DQ79" s="504">
        <v>0</v>
      </c>
      <c r="DR79" s="504">
        <v>0</v>
      </c>
      <c r="DS79" s="504">
        <v>0</v>
      </c>
      <c r="DT79" s="504">
        <v>0</v>
      </c>
      <c r="DU79" s="504">
        <v>0</v>
      </c>
      <c r="DV79" s="504">
        <v>0</v>
      </c>
      <c r="DW79" s="504">
        <v>0</v>
      </c>
      <c r="DX79" s="504">
        <v>0</v>
      </c>
      <c r="DY79" s="504">
        <v>0</v>
      </c>
      <c r="DZ79" s="504">
        <v>0</v>
      </c>
      <c r="EA79" s="504">
        <v>0</v>
      </c>
      <c r="EB79" s="504">
        <v>0</v>
      </c>
      <c r="EC79" s="504">
        <v>0</v>
      </c>
      <c r="ED79" s="504">
        <v>0</v>
      </c>
      <c r="EE79" s="504">
        <v>0</v>
      </c>
      <c r="EF79" s="504">
        <v>0</v>
      </c>
      <c r="EG79" s="504">
        <v>0</v>
      </c>
      <c r="EH79" s="504">
        <v>0</v>
      </c>
      <c r="EI79" s="504">
        <v>0</v>
      </c>
      <c r="EJ79" s="504">
        <v>0</v>
      </c>
      <c r="EK79" s="504">
        <v>0</v>
      </c>
      <c r="EL79" s="504">
        <v>0</v>
      </c>
      <c r="EM79" s="504">
        <v>0</v>
      </c>
      <c r="EN79" s="504">
        <v>0</v>
      </c>
      <c r="EO79" s="504">
        <v>0</v>
      </c>
      <c r="EP79" s="504">
        <v>0</v>
      </c>
      <c r="EQ79" s="504">
        <v>0</v>
      </c>
      <c r="ER79" s="504">
        <v>0</v>
      </c>
      <c r="ES79" s="504">
        <v>0</v>
      </c>
      <c r="ET79" s="504">
        <v>0</v>
      </c>
      <c r="EU79" s="504">
        <v>0</v>
      </c>
      <c r="EV79" s="504">
        <v>0</v>
      </c>
      <c r="EW79" s="504">
        <v>0</v>
      </c>
      <c r="EX79" s="504">
        <v>0</v>
      </c>
      <c r="EY79" s="504">
        <v>0</v>
      </c>
      <c r="EZ79" s="504">
        <v>0</v>
      </c>
      <c r="FA79" s="504">
        <v>0</v>
      </c>
      <c r="FB79" s="504">
        <v>0</v>
      </c>
      <c r="FC79" s="504">
        <v>0</v>
      </c>
      <c r="FD79" s="504">
        <v>0</v>
      </c>
      <c r="FE79" s="504">
        <v>0</v>
      </c>
      <c r="FF79" s="504">
        <v>0</v>
      </c>
      <c r="FG79" s="504">
        <v>0</v>
      </c>
      <c r="FH79" s="504">
        <v>0</v>
      </c>
      <c r="FI79" s="504">
        <v>0</v>
      </c>
      <c r="FJ79" s="504">
        <v>0</v>
      </c>
      <c r="FK79" s="504">
        <v>0</v>
      </c>
      <c r="FL79" s="504">
        <v>0</v>
      </c>
      <c r="FM79" s="504">
        <v>0</v>
      </c>
      <c r="FN79" s="504">
        <v>0</v>
      </c>
      <c r="FO79" s="504">
        <v>0</v>
      </c>
      <c r="FP79" s="504">
        <v>0</v>
      </c>
      <c r="FQ79" s="504">
        <v>0</v>
      </c>
      <c r="FR79" s="504">
        <v>0</v>
      </c>
      <c r="FS79" s="504">
        <v>0</v>
      </c>
      <c r="FT79" s="504">
        <v>0</v>
      </c>
      <c r="FU79" s="504">
        <v>0</v>
      </c>
      <c r="FV79" s="504">
        <v>0</v>
      </c>
      <c r="FW79" s="504">
        <v>0</v>
      </c>
      <c r="FX79" s="504">
        <v>0</v>
      </c>
      <c r="FY79" s="504">
        <v>0</v>
      </c>
      <c r="FZ79" s="504">
        <v>0</v>
      </c>
      <c r="GA79" s="504">
        <v>0</v>
      </c>
      <c r="GB79" s="504">
        <v>0</v>
      </c>
      <c r="GC79" s="504">
        <v>0</v>
      </c>
      <c r="GD79" s="504">
        <v>0</v>
      </c>
      <c r="GE79" s="504">
        <v>0</v>
      </c>
      <c r="GF79" s="504">
        <v>0</v>
      </c>
      <c r="GG79" s="504">
        <v>0</v>
      </c>
      <c r="GH79" s="504">
        <v>0</v>
      </c>
      <c r="GI79" s="504">
        <v>0</v>
      </c>
      <c r="GJ79" s="504">
        <v>0</v>
      </c>
      <c r="GK79" s="504">
        <v>0</v>
      </c>
      <c r="GL79" s="504">
        <v>0</v>
      </c>
      <c r="GM79" s="504">
        <v>0</v>
      </c>
      <c r="GN79" s="504">
        <v>0</v>
      </c>
      <c r="GO79" s="504">
        <v>0</v>
      </c>
      <c r="GP79" s="504">
        <v>0</v>
      </c>
      <c r="GQ79" s="504">
        <v>0</v>
      </c>
      <c r="GR79" s="504">
        <v>0</v>
      </c>
      <c r="GS79" s="504">
        <v>0</v>
      </c>
      <c r="GT79" s="504">
        <v>0</v>
      </c>
      <c r="GU79" s="504">
        <v>0</v>
      </c>
      <c r="GV79" s="504">
        <v>0</v>
      </c>
      <c r="GW79" s="504">
        <v>0</v>
      </c>
      <c r="GX79" s="504">
        <v>0</v>
      </c>
      <c r="GY79" s="504">
        <v>0</v>
      </c>
      <c r="GZ79" s="504">
        <v>0</v>
      </c>
      <c r="HA79" s="504">
        <v>0</v>
      </c>
      <c r="HB79" s="504">
        <v>0</v>
      </c>
      <c r="HC79" s="504">
        <v>0</v>
      </c>
      <c r="HD79" s="504">
        <v>0</v>
      </c>
      <c r="HE79" s="504">
        <v>0</v>
      </c>
      <c r="HF79" s="504">
        <v>0</v>
      </c>
      <c r="HG79" s="504">
        <v>0</v>
      </c>
      <c r="HH79" s="504">
        <v>0</v>
      </c>
      <c r="HI79" s="504">
        <v>0</v>
      </c>
      <c r="HJ79" s="504">
        <v>0</v>
      </c>
      <c r="HK79" s="504">
        <v>0</v>
      </c>
      <c r="HL79" s="504">
        <v>0</v>
      </c>
      <c r="HM79" s="504">
        <v>0</v>
      </c>
      <c r="HN79" s="504">
        <v>0</v>
      </c>
      <c r="HO79" s="504">
        <v>0</v>
      </c>
      <c r="HP79" s="504">
        <v>0</v>
      </c>
      <c r="HQ79" s="504">
        <v>0</v>
      </c>
      <c r="HR79" s="504">
        <v>0</v>
      </c>
      <c r="HS79" s="504">
        <v>0</v>
      </c>
      <c r="HT79" s="504">
        <v>0</v>
      </c>
      <c r="HU79" s="504">
        <v>0</v>
      </c>
      <c r="HV79" s="504">
        <v>0</v>
      </c>
      <c r="HW79" s="504">
        <v>0</v>
      </c>
      <c r="HX79" s="504">
        <v>0</v>
      </c>
      <c r="HY79" s="504">
        <v>0</v>
      </c>
      <c r="HZ79" s="504">
        <v>0</v>
      </c>
      <c r="IA79" s="504">
        <v>0</v>
      </c>
      <c r="IB79" s="504">
        <v>0</v>
      </c>
      <c r="IC79" s="504">
        <v>0</v>
      </c>
      <c r="ID79" s="504">
        <v>0</v>
      </c>
      <c r="IE79" s="504">
        <v>0</v>
      </c>
      <c r="IF79" s="504">
        <v>0</v>
      </c>
      <c r="IG79" s="504">
        <v>0</v>
      </c>
      <c r="IH79" s="504">
        <v>0</v>
      </c>
      <c r="II79" s="504">
        <v>0</v>
      </c>
      <c r="IJ79" s="504">
        <v>0</v>
      </c>
      <c r="IK79" s="504">
        <v>0</v>
      </c>
      <c r="IL79" s="504">
        <v>0</v>
      </c>
      <c r="IM79" s="504">
        <v>0</v>
      </c>
      <c r="IN79" s="504">
        <v>0</v>
      </c>
      <c r="IO79" s="504">
        <v>0</v>
      </c>
      <c r="IP79" s="504">
        <v>0</v>
      </c>
      <c r="IQ79" s="504">
        <v>0</v>
      </c>
      <c r="IR79" s="504">
        <v>0</v>
      </c>
      <c r="IS79" s="504">
        <v>0</v>
      </c>
      <c r="IT79" s="504">
        <v>0</v>
      </c>
      <c r="IU79" s="504">
        <v>0</v>
      </c>
      <c r="IV79" s="504">
        <v>0</v>
      </c>
      <c r="IW79" s="504">
        <v>0</v>
      </c>
      <c r="IX79" s="504">
        <v>0</v>
      </c>
      <c r="IY79" s="504">
        <v>0</v>
      </c>
      <c r="IZ79" s="504">
        <v>0</v>
      </c>
      <c r="JA79" s="504">
        <v>0</v>
      </c>
      <c r="JB79" s="504">
        <v>0</v>
      </c>
      <c r="JC79" s="504">
        <v>0</v>
      </c>
      <c r="JD79" s="504">
        <v>0</v>
      </c>
      <c r="JE79" s="504">
        <v>0</v>
      </c>
      <c r="JF79" s="504">
        <v>0</v>
      </c>
      <c r="JG79" s="504">
        <v>0</v>
      </c>
      <c r="JH79" s="504">
        <v>0</v>
      </c>
      <c r="JI79" s="504">
        <v>0</v>
      </c>
      <c r="JJ79" s="504">
        <v>0</v>
      </c>
      <c r="JK79" s="504">
        <v>0</v>
      </c>
      <c r="JL79" s="504">
        <v>0</v>
      </c>
      <c r="JM79" s="504">
        <v>0</v>
      </c>
      <c r="JN79" s="504">
        <v>0</v>
      </c>
      <c r="JO79" s="504">
        <v>0</v>
      </c>
      <c r="JP79" s="504">
        <v>0</v>
      </c>
      <c r="JQ79" s="504">
        <v>0</v>
      </c>
      <c r="JR79" s="504">
        <v>0</v>
      </c>
      <c r="JS79" s="504">
        <v>0</v>
      </c>
      <c r="JT79" s="504">
        <v>0</v>
      </c>
      <c r="JU79" s="504">
        <v>0</v>
      </c>
      <c r="JV79" s="504">
        <v>0</v>
      </c>
      <c r="JW79" s="504">
        <v>0</v>
      </c>
      <c r="JX79" s="504">
        <v>0</v>
      </c>
      <c r="JY79" s="504">
        <v>0</v>
      </c>
      <c r="JZ79" s="504">
        <v>0</v>
      </c>
      <c r="KA79" s="504">
        <v>0</v>
      </c>
      <c r="KB79" s="504">
        <v>0</v>
      </c>
      <c r="KC79" s="504">
        <v>0</v>
      </c>
      <c r="KD79" s="504">
        <v>0</v>
      </c>
      <c r="KE79" s="504">
        <v>0</v>
      </c>
      <c r="KF79" s="504">
        <v>0</v>
      </c>
      <c r="KG79" s="504">
        <v>0</v>
      </c>
      <c r="KH79" s="504">
        <v>0</v>
      </c>
      <c r="KI79" s="504">
        <v>0</v>
      </c>
      <c r="KJ79" s="504">
        <v>0</v>
      </c>
      <c r="KK79" s="504">
        <v>0</v>
      </c>
      <c r="KL79" s="504">
        <v>0</v>
      </c>
      <c r="KM79" s="504">
        <v>0</v>
      </c>
      <c r="KN79" s="504">
        <v>0</v>
      </c>
      <c r="KO79" s="504">
        <v>0</v>
      </c>
      <c r="KP79" s="504">
        <v>0</v>
      </c>
      <c r="KQ79" s="504">
        <v>0</v>
      </c>
      <c r="KR79" s="504">
        <v>0</v>
      </c>
      <c r="KS79" s="504">
        <v>0</v>
      </c>
      <c r="KT79" s="504">
        <v>0</v>
      </c>
      <c r="KU79" s="504">
        <v>0</v>
      </c>
      <c r="KV79" s="504">
        <v>0</v>
      </c>
      <c r="KW79" s="504">
        <v>0</v>
      </c>
      <c r="KX79" s="504">
        <v>0</v>
      </c>
      <c r="KY79" s="504">
        <v>0</v>
      </c>
      <c r="KZ79" s="504">
        <v>0</v>
      </c>
      <c r="LA79" s="504">
        <v>0</v>
      </c>
      <c r="LB79" s="504">
        <v>0</v>
      </c>
      <c r="LC79" s="504">
        <v>0</v>
      </c>
      <c r="LD79" s="504">
        <v>0</v>
      </c>
      <c r="LE79" s="504">
        <v>0</v>
      </c>
      <c r="LF79" s="504">
        <v>0</v>
      </c>
      <c r="LG79" s="504">
        <v>0</v>
      </c>
      <c r="LH79" s="504">
        <v>0</v>
      </c>
      <c r="LI79" s="504">
        <v>0</v>
      </c>
      <c r="LJ79" s="504">
        <v>0</v>
      </c>
      <c r="LK79" s="504">
        <v>0</v>
      </c>
      <c r="LL79" s="504">
        <v>0</v>
      </c>
      <c r="LM79" s="504">
        <v>0</v>
      </c>
      <c r="LN79" s="504">
        <v>0</v>
      </c>
      <c r="LO79" s="504">
        <v>0</v>
      </c>
      <c r="LP79" s="504">
        <v>0</v>
      </c>
      <c r="LQ79" s="504">
        <v>0</v>
      </c>
      <c r="LR79" s="504">
        <v>0</v>
      </c>
      <c r="LS79" s="504">
        <v>0</v>
      </c>
      <c r="LT79" s="504">
        <v>0</v>
      </c>
      <c r="LU79" s="504">
        <v>0</v>
      </c>
      <c r="LV79" s="504">
        <v>0</v>
      </c>
      <c r="LW79" s="504">
        <v>0</v>
      </c>
      <c r="LX79" s="504">
        <v>0</v>
      </c>
      <c r="LY79" s="504">
        <v>0</v>
      </c>
      <c r="LZ79" s="504">
        <v>0</v>
      </c>
      <c r="MA79" s="504">
        <v>0</v>
      </c>
      <c r="MB79" s="504">
        <v>0</v>
      </c>
      <c r="MC79" s="504">
        <v>0</v>
      </c>
      <c r="MD79" s="504">
        <v>0</v>
      </c>
      <c r="ME79" s="504">
        <v>0</v>
      </c>
      <c r="MF79" s="504">
        <v>0</v>
      </c>
      <c r="MG79" s="504">
        <v>0</v>
      </c>
      <c r="MH79" s="504">
        <v>0</v>
      </c>
      <c r="MI79" s="504">
        <v>0</v>
      </c>
      <c r="MJ79" s="504">
        <v>0</v>
      </c>
      <c r="MK79" s="504">
        <v>0</v>
      </c>
      <c r="ML79" s="504">
        <v>0</v>
      </c>
      <c r="MM79" s="504">
        <v>0</v>
      </c>
      <c r="MN79" s="504">
        <v>0</v>
      </c>
      <c r="MO79" s="504">
        <v>0</v>
      </c>
      <c r="MP79" s="504">
        <v>0</v>
      </c>
      <c r="MQ79" s="504">
        <v>0</v>
      </c>
      <c r="MR79" s="504">
        <v>0</v>
      </c>
      <c r="MS79" s="504">
        <v>0</v>
      </c>
      <c r="MT79" s="504">
        <v>0</v>
      </c>
      <c r="MU79" s="504">
        <v>0</v>
      </c>
      <c r="MV79" s="504">
        <v>0</v>
      </c>
      <c r="MW79" s="504">
        <v>0</v>
      </c>
      <c r="MX79" s="504">
        <v>0</v>
      </c>
      <c r="MY79" s="504">
        <v>0</v>
      </c>
      <c r="MZ79" s="504">
        <v>0</v>
      </c>
      <c r="NA79" s="504">
        <v>0</v>
      </c>
      <c r="NB79" s="504">
        <v>0</v>
      </c>
      <c r="NC79" s="504">
        <v>0</v>
      </c>
      <c r="ND79" s="504">
        <v>0</v>
      </c>
      <c r="NE79" s="504">
        <v>0</v>
      </c>
      <c r="NF79" s="504">
        <v>0</v>
      </c>
      <c r="NG79" s="504">
        <v>0</v>
      </c>
      <c r="NH79" s="504">
        <v>0</v>
      </c>
      <c r="NI79" s="504">
        <v>0</v>
      </c>
      <c r="NJ79" s="504">
        <v>0</v>
      </c>
      <c r="NK79" s="504">
        <v>0</v>
      </c>
      <c r="NL79" s="504">
        <v>0</v>
      </c>
      <c r="NM79" s="504">
        <v>0</v>
      </c>
      <c r="NN79" s="504">
        <v>0</v>
      </c>
      <c r="NO79" s="504">
        <v>0</v>
      </c>
      <c r="NP79" s="504">
        <v>0</v>
      </c>
      <c r="NQ79" s="504">
        <v>0</v>
      </c>
      <c r="NR79" s="504">
        <v>0</v>
      </c>
      <c r="NS79" s="504">
        <v>0</v>
      </c>
      <c r="NT79" s="504">
        <v>0</v>
      </c>
      <c r="NU79" s="504">
        <v>0</v>
      </c>
      <c r="NV79" s="504">
        <v>0</v>
      </c>
      <c r="NW79" s="504">
        <v>0</v>
      </c>
      <c r="NX79" s="504">
        <v>0</v>
      </c>
      <c r="NY79" s="504">
        <v>0</v>
      </c>
      <c r="NZ79" s="504">
        <v>0</v>
      </c>
      <c r="OA79" s="504">
        <v>0</v>
      </c>
      <c r="OB79" s="504">
        <v>0</v>
      </c>
      <c r="OC79" s="504">
        <v>0</v>
      </c>
      <c r="OD79" s="504">
        <v>0</v>
      </c>
      <c r="OE79" s="504">
        <v>0</v>
      </c>
      <c r="OF79" s="504">
        <v>0</v>
      </c>
      <c r="OG79" s="504">
        <v>0</v>
      </c>
      <c r="OH79" s="504">
        <v>0</v>
      </c>
      <c r="OI79" s="504">
        <v>0</v>
      </c>
      <c r="OJ79" s="504">
        <v>0</v>
      </c>
      <c r="OK79" s="504">
        <v>0</v>
      </c>
      <c r="OL79" s="504">
        <v>0</v>
      </c>
      <c r="OM79" s="513">
        <v>0</v>
      </c>
      <c r="ON79" s="494"/>
    </row>
    <row r="80" spans="1:404" ht="18.75" customHeight="1" x14ac:dyDescent="0.4">
      <c r="A80" s="511" t="s">
        <v>350</v>
      </c>
      <c r="B80" s="512">
        <v>152</v>
      </c>
      <c r="C80" s="511" t="s">
        <v>94</v>
      </c>
      <c r="D80" s="501">
        <v>13.01</v>
      </c>
      <c r="E80" s="502">
        <v>478308</v>
      </c>
      <c r="F80" s="501">
        <v>12.55</v>
      </c>
      <c r="G80" s="502">
        <v>34896</v>
      </c>
      <c r="H80" s="501">
        <v>12.55</v>
      </c>
      <c r="I80" s="502">
        <v>154033</v>
      </c>
      <c r="J80" s="501">
        <v>12.55</v>
      </c>
      <c r="K80" s="502">
        <v>232498</v>
      </c>
      <c r="V80" s="501"/>
      <c r="W80" s="503"/>
      <c r="X80" s="501"/>
      <c r="Y80" s="503"/>
      <c r="Z80" s="501"/>
      <c r="AA80" s="503"/>
      <c r="AB80" s="495"/>
      <c r="AC80" s="504">
        <v>0</v>
      </c>
      <c r="AD80" s="504">
        <v>0</v>
      </c>
      <c r="AE80" s="504">
        <v>0</v>
      </c>
      <c r="AF80" s="504">
        <v>0</v>
      </c>
      <c r="AG80" s="504">
        <v>0</v>
      </c>
      <c r="AH80" s="504">
        <v>0</v>
      </c>
      <c r="AI80" s="504">
        <v>0</v>
      </c>
      <c r="AJ80" s="504">
        <v>0</v>
      </c>
      <c r="AK80" s="504">
        <v>0</v>
      </c>
      <c r="AL80" s="504">
        <v>0</v>
      </c>
      <c r="AM80" s="504">
        <v>0</v>
      </c>
      <c r="AN80" s="504">
        <v>0</v>
      </c>
      <c r="AO80" s="504">
        <v>0</v>
      </c>
      <c r="AP80" s="504">
        <v>0</v>
      </c>
      <c r="AQ80" s="504">
        <v>0</v>
      </c>
      <c r="AR80" s="504">
        <v>0</v>
      </c>
      <c r="AS80" s="504">
        <v>0</v>
      </c>
      <c r="AT80" s="504">
        <v>0</v>
      </c>
      <c r="AU80" s="504">
        <v>0</v>
      </c>
      <c r="AV80" s="504">
        <v>0</v>
      </c>
      <c r="AW80" s="504">
        <v>0</v>
      </c>
      <c r="AX80" s="504">
        <v>0</v>
      </c>
      <c r="AY80" s="504">
        <v>0</v>
      </c>
      <c r="AZ80" s="504">
        <v>0</v>
      </c>
      <c r="BA80" s="504">
        <v>0</v>
      </c>
      <c r="BB80" s="504">
        <v>0</v>
      </c>
      <c r="BC80" s="504">
        <v>0</v>
      </c>
      <c r="BD80" s="504">
        <v>0</v>
      </c>
      <c r="BE80" s="504">
        <v>0</v>
      </c>
      <c r="BF80" s="504">
        <v>0</v>
      </c>
      <c r="BG80" s="504">
        <v>0</v>
      </c>
      <c r="BH80" s="504">
        <v>0</v>
      </c>
      <c r="BI80" s="504">
        <v>0</v>
      </c>
      <c r="BJ80" s="504">
        <v>0</v>
      </c>
      <c r="BK80" s="504">
        <v>0</v>
      </c>
      <c r="BL80" s="504">
        <v>0</v>
      </c>
      <c r="BM80" s="504">
        <v>0</v>
      </c>
      <c r="BN80" s="504">
        <v>0</v>
      </c>
      <c r="BO80" s="504">
        <v>0</v>
      </c>
      <c r="BP80" s="504">
        <v>0</v>
      </c>
      <c r="BQ80" s="504">
        <v>0</v>
      </c>
      <c r="BR80" s="504">
        <v>0</v>
      </c>
      <c r="BS80" s="504">
        <v>0</v>
      </c>
      <c r="BT80" s="504">
        <v>0</v>
      </c>
      <c r="BU80" s="504">
        <v>0</v>
      </c>
      <c r="BV80" s="504">
        <v>0</v>
      </c>
      <c r="BW80" s="504">
        <v>0</v>
      </c>
      <c r="BX80" s="504">
        <v>0</v>
      </c>
      <c r="BY80" s="504">
        <v>0</v>
      </c>
      <c r="BZ80" s="504">
        <v>0</v>
      </c>
      <c r="CA80" s="504">
        <v>0</v>
      </c>
      <c r="CB80" s="504">
        <v>0</v>
      </c>
      <c r="CC80" s="504">
        <v>0</v>
      </c>
      <c r="CD80" s="504">
        <v>0</v>
      </c>
      <c r="CE80" s="504">
        <v>0</v>
      </c>
      <c r="CF80" s="504">
        <v>0</v>
      </c>
      <c r="CG80" s="504">
        <v>0</v>
      </c>
      <c r="CH80" s="504">
        <v>0</v>
      </c>
      <c r="CI80" s="504">
        <v>0</v>
      </c>
      <c r="CJ80" s="504">
        <v>0</v>
      </c>
      <c r="CK80" s="504">
        <v>0</v>
      </c>
      <c r="CL80" s="504">
        <v>0</v>
      </c>
      <c r="CM80" s="504">
        <v>0</v>
      </c>
      <c r="CN80" s="504">
        <v>0</v>
      </c>
      <c r="CO80" s="504">
        <v>0</v>
      </c>
      <c r="CP80" s="504">
        <v>0</v>
      </c>
      <c r="CQ80" s="504">
        <v>0</v>
      </c>
      <c r="CR80" s="504">
        <v>0</v>
      </c>
      <c r="CS80" s="504">
        <v>0</v>
      </c>
      <c r="CT80" s="504">
        <v>0</v>
      </c>
      <c r="CU80" s="504">
        <v>0</v>
      </c>
      <c r="CV80" s="504">
        <v>0</v>
      </c>
      <c r="CW80" s="504">
        <v>0</v>
      </c>
      <c r="CX80" s="504">
        <v>0</v>
      </c>
      <c r="CY80" s="504">
        <v>0</v>
      </c>
      <c r="CZ80" s="504">
        <v>0</v>
      </c>
      <c r="DA80" s="504">
        <v>0</v>
      </c>
      <c r="DB80" s="504">
        <v>0</v>
      </c>
      <c r="DC80" s="504">
        <v>0</v>
      </c>
      <c r="DD80" s="504">
        <v>0</v>
      </c>
      <c r="DE80" s="504">
        <v>0</v>
      </c>
      <c r="DF80" s="504">
        <v>0</v>
      </c>
      <c r="DG80" s="504">
        <v>0</v>
      </c>
      <c r="DH80" s="504">
        <v>0</v>
      </c>
      <c r="DI80" s="504">
        <v>0</v>
      </c>
      <c r="DJ80" s="504">
        <v>0</v>
      </c>
      <c r="DK80" s="504">
        <v>0</v>
      </c>
      <c r="DL80" s="504">
        <v>0</v>
      </c>
      <c r="DM80" s="504">
        <v>0</v>
      </c>
      <c r="DN80" s="504">
        <v>0</v>
      </c>
      <c r="DO80" s="504">
        <v>0</v>
      </c>
      <c r="DP80" s="504">
        <v>0</v>
      </c>
      <c r="DQ80" s="504">
        <v>0</v>
      </c>
      <c r="DR80" s="504">
        <v>0</v>
      </c>
      <c r="DS80" s="504">
        <v>0</v>
      </c>
      <c r="DT80" s="504">
        <v>0</v>
      </c>
      <c r="DU80" s="504">
        <v>0</v>
      </c>
      <c r="DV80" s="504">
        <v>0</v>
      </c>
      <c r="DW80" s="504">
        <v>0</v>
      </c>
      <c r="DX80" s="504">
        <v>0</v>
      </c>
      <c r="DY80" s="504">
        <v>0</v>
      </c>
      <c r="DZ80" s="504">
        <v>0</v>
      </c>
      <c r="EA80" s="504">
        <v>0</v>
      </c>
      <c r="EB80" s="504">
        <v>0</v>
      </c>
      <c r="EC80" s="504">
        <v>0</v>
      </c>
      <c r="ED80" s="504">
        <v>0</v>
      </c>
      <c r="EE80" s="504">
        <v>0</v>
      </c>
      <c r="EF80" s="504">
        <v>0</v>
      </c>
      <c r="EG80" s="504">
        <v>0</v>
      </c>
      <c r="EH80" s="504">
        <v>0</v>
      </c>
      <c r="EI80" s="504">
        <v>0</v>
      </c>
      <c r="EJ80" s="504">
        <v>0</v>
      </c>
      <c r="EK80" s="504">
        <v>0</v>
      </c>
      <c r="EL80" s="504">
        <v>0</v>
      </c>
      <c r="EM80" s="504">
        <v>0</v>
      </c>
      <c r="EN80" s="504">
        <v>0</v>
      </c>
      <c r="EO80" s="504">
        <v>0</v>
      </c>
      <c r="EP80" s="504">
        <v>0</v>
      </c>
      <c r="EQ80" s="504">
        <v>0</v>
      </c>
      <c r="ER80" s="504">
        <v>0</v>
      </c>
      <c r="ES80" s="504">
        <v>0</v>
      </c>
      <c r="ET80" s="504">
        <v>0</v>
      </c>
      <c r="EU80" s="504">
        <v>0</v>
      </c>
      <c r="EV80" s="504">
        <v>0</v>
      </c>
      <c r="EW80" s="504">
        <v>0</v>
      </c>
      <c r="EX80" s="504">
        <v>0</v>
      </c>
      <c r="EY80" s="504">
        <v>0</v>
      </c>
      <c r="EZ80" s="504">
        <v>0</v>
      </c>
      <c r="FA80" s="504">
        <v>0</v>
      </c>
      <c r="FB80" s="504">
        <v>0</v>
      </c>
      <c r="FC80" s="504">
        <v>0</v>
      </c>
      <c r="FD80" s="504">
        <v>0</v>
      </c>
      <c r="FE80" s="504">
        <v>0</v>
      </c>
      <c r="FF80" s="504">
        <v>0</v>
      </c>
      <c r="FG80" s="504">
        <v>0</v>
      </c>
      <c r="FH80" s="504">
        <v>0</v>
      </c>
      <c r="FI80" s="504">
        <v>0</v>
      </c>
      <c r="FJ80" s="504">
        <v>0</v>
      </c>
      <c r="FK80" s="504">
        <v>0</v>
      </c>
      <c r="FL80" s="504">
        <v>0</v>
      </c>
      <c r="FM80" s="504">
        <v>0</v>
      </c>
      <c r="FN80" s="504">
        <v>0</v>
      </c>
      <c r="FO80" s="504">
        <v>0</v>
      </c>
      <c r="FP80" s="504">
        <v>0</v>
      </c>
      <c r="FQ80" s="504">
        <v>0</v>
      </c>
      <c r="FR80" s="504">
        <v>0</v>
      </c>
      <c r="FS80" s="504">
        <v>0</v>
      </c>
      <c r="FT80" s="504">
        <v>0</v>
      </c>
      <c r="FU80" s="504">
        <v>0</v>
      </c>
      <c r="FV80" s="504">
        <v>0</v>
      </c>
      <c r="FW80" s="504">
        <v>0</v>
      </c>
      <c r="FX80" s="504">
        <v>0</v>
      </c>
      <c r="FY80" s="504">
        <v>0</v>
      </c>
      <c r="FZ80" s="504">
        <v>0</v>
      </c>
      <c r="GA80" s="504">
        <v>0</v>
      </c>
      <c r="GB80" s="504">
        <v>0</v>
      </c>
      <c r="GC80" s="504">
        <v>0</v>
      </c>
      <c r="GD80" s="504">
        <v>0</v>
      </c>
      <c r="GE80" s="504">
        <v>0</v>
      </c>
      <c r="GF80" s="504">
        <v>0</v>
      </c>
      <c r="GG80" s="504">
        <v>0</v>
      </c>
      <c r="GH80" s="504">
        <v>0</v>
      </c>
      <c r="GI80" s="504">
        <v>0</v>
      </c>
      <c r="GJ80" s="504">
        <v>0</v>
      </c>
      <c r="GK80" s="504">
        <v>0</v>
      </c>
      <c r="GL80" s="504">
        <v>0</v>
      </c>
      <c r="GM80" s="504">
        <v>0</v>
      </c>
      <c r="GN80" s="504">
        <v>0</v>
      </c>
      <c r="GO80" s="504">
        <v>0</v>
      </c>
      <c r="GP80" s="504">
        <v>0</v>
      </c>
      <c r="GQ80" s="504">
        <v>0</v>
      </c>
      <c r="GR80" s="504">
        <v>0</v>
      </c>
      <c r="GS80" s="504">
        <v>0</v>
      </c>
      <c r="GT80" s="504">
        <v>0</v>
      </c>
      <c r="GU80" s="504">
        <v>0</v>
      </c>
      <c r="GV80" s="504">
        <v>0</v>
      </c>
      <c r="GW80" s="504">
        <v>0</v>
      </c>
      <c r="GX80" s="504">
        <v>0</v>
      </c>
      <c r="GY80" s="504">
        <v>0</v>
      </c>
      <c r="GZ80" s="504">
        <v>0</v>
      </c>
      <c r="HA80" s="504">
        <v>0</v>
      </c>
      <c r="HB80" s="504">
        <v>0</v>
      </c>
      <c r="HC80" s="504">
        <v>0</v>
      </c>
      <c r="HD80" s="504">
        <v>0</v>
      </c>
      <c r="HE80" s="504">
        <v>0</v>
      </c>
      <c r="HF80" s="504">
        <v>0</v>
      </c>
      <c r="HG80" s="504">
        <v>0</v>
      </c>
      <c r="HH80" s="504">
        <v>0</v>
      </c>
      <c r="HI80" s="504">
        <v>0</v>
      </c>
      <c r="HJ80" s="504">
        <v>0</v>
      </c>
      <c r="HK80" s="504">
        <v>0</v>
      </c>
      <c r="HL80" s="504">
        <v>0</v>
      </c>
      <c r="HM80" s="504">
        <v>0</v>
      </c>
      <c r="HN80" s="504">
        <v>0</v>
      </c>
      <c r="HO80" s="504">
        <v>0</v>
      </c>
      <c r="HP80" s="504">
        <v>0</v>
      </c>
      <c r="HQ80" s="504">
        <v>0</v>
      </c>
      <c r="HR80" s="504">
        <v>0</v>
      </c>
      <c r="HS80" s="504">
        <v>0</v>
      </c>
      <c r="HT80" s="504">
        <v>0</v>
      </c>
      <c r="HU80" s="504">
        <v>0</v>
      </c>
      <c r="HV80" s="504">
        <v>0</v>
      </c>
      <c r="HW80" s="504">
        <v>0</v>
      </c>
      <c r="HX80" s="504">
        <v>0</v>
      </c>
      <c r="HY80" s="504">
        <v>0</v>
      </c>
      <c r="HZ80" s="504">
        <v>0</v>
      </c>
      <c r="IA80" s="504">
        <v>0</v>
      </c>
      <c r="IB80" s="504">
        <v>0</v>
      </c>
      <c r="IC80" s="504">
        <v>0</v>
      </c>
      <c r="ID80" s="504">
        <v>0</v>
      </c>
      <c r="IE80" s="504">
        <v>0</v>
      </c>
      <c r="IF80" s="504">
        <v>0</v>
      </c>
      <c r="IG80" s="504">
        <v>0</v>
      </c>
      <c r="IH80" s="504">
        <v>0</v>
      </c>
      <c r="II80" s="504">
        <v>0</v>
      </c>
      <c r="IJ80" s="504">
        <v>0</v>
      </c>
      <c r="IK80" s="504">
        <v>0</v>
      </c>
      <c r="IL80" s="504">
        <v>0</v>
      </c>
      <c r="IM80" s="504">
        <v>0</v>
      </c>
      <c r="IN80" s="504">
        <v>0</v>
      </c>
      <c r="IO80" s="504">
        <v>0</v>
      </c>
      <c r="IP80" s="504">
        <v>0</v>
      </c>
      <c r="IQ80" s="504">
        <v>0</v>
      </c>
      <c r="IR80" s="504">
        <v>0</v>
      </c>
      <c r="IS80" s="504">
        <v>0</v>
      </c>
      <c r="IT80" s="504">
        <v>0</v>
      </c>
      <c r="IU80" s="504">
        <v>0</v>
      </c>
      <c r="IV80" s="504">
        <v>0</v>
      </c>
      <c r="IW80" s="504">
        <v>0</v>
      </c>
      <c r="IX80" s="504">
        <v>0</v>
      </c>
      <c r="IY80" s="504">
        <v>0</v>
      </c>
      <c r="IZ80" s="504">
        <v>0</v>
      </c>
      <c r="JA80" s="504">
        <v>0</v>
      </c>
      <c r="JB80" s="504">
        <v>0</v>
      </c>
      <c r="JC80" s="504">
        <v>0</v>
      </c>
      <c r="JD80" s="504">
        <v>0</v>
      </c>
      <c r="JE80" s="504">
        <v>0</v>
      </c>
      <c r="JF80" s="504">
        <v>0</v>
      </c>
      <c r="JG80" s="504">
        <v>0</v>
      </c>
      <c r="JH80" s="504">
        <v>0</v>
      </c>
      <c r="JI80" s="504">
        <v>0</v>
      </c>
      <c r="JJ80" s="504">
        <v>0</v>
      </c>
      <c r="JK80" s="504">
        <v>0</v>
      </c>
      <c r="JL80" s="504">
        <v>0</v>
      </c>
      <c r="JM80" s="504">
        <v>0</v>
      </c>
      <c r="JN80" s="504">
        <v>0</v>
      </c>
      <c r="JO80" s="504">
        <v>0</v>
      </c>
      <c r="JP80" s="504">
        <v>0</v>
      </c>
      <c r="JQ80" s="504">
        <v>0</v>
      </c>
      <c r="JR80" s="504">
        <v>0</v>
      </c>
      <c r="JS80" s="504">
        <v>0</v>
      </c>
      <c r="JT80" s="504">
        <v>0</v>
      </c>
      <c r="JU80" s="504">
        <v>0</v>
      </c>
      <c r="JV80" s="504">
        <v>0</v>
      </c>
      <c r="JW80" s="504">
        <v>0</v>
      </c>
      <c r="JX80" s="504">
        <v>0</v>
      </c>
      <c r="JY80" s="504">
        <v>0</v>
      </c>
      <c r="JZ80" s="504">
        <v>0</v>
      </c>
      <c r="KA80" s="504">
        <v>0</v>
      </c>
      <c r="KB80" s="504">
        <v>0</v>
      </c>
      <c r="KC80" s="504">
        <v>0</v>
      </c>
      <c r="KD80" s="504">
        <v>0</v>
      </c>
      <c r="KE80" s="504">
        <v>0</v>
      </c>
      <c r="KF80" s="504">
        <v>0</v>
      </c>
      <c r="KG80" s="504">
        <v>0</v>
      </c>
      <c r="KH80" s="504">
        <v>0</v>
      </c>
      <c r="KI80" s="504">
        <v>0</v>
      </c>
      <c r="KJ80" s="504">
        <v>0</v>
      </c>
      <c r="KK80" s="504">
        <v>0</v>
      </c>
      <c r="KL80" s="504">
        <v>0</v>
      </c>
      <c r="KM80" s="504">
        <v>0</v>
      </c>
      <c r="KN80" s="504">
        <v>0</v>
      </c>
      <c r="KO80" s="504">
        <v>0</v>
      </c>
      <c r="KP80" s="504">
        <v>0</v>
      </c>
      <c r="KQ80" s="504">
        <v>0</v>
      </c>
      <c r="KR80" s="504">
        <v>0</v>
      </c>
      <c r="KS80" s="504">
        <v>0</v>
      </c>
      <c r="KT80" s="504">
        <v>0</v>
      </c>
      <c r="KU80" s="504">
        <v>0</v>
      </c>
      <c r="KV80" s="504">
        <v>0</v>
      </c>
      <c r="KW80" s="504">
        <v>0</v>
      </c>
      <c r="KX80" s="504">
        <v>0</v>
      </c>
      <c r="KY80" s="504">
        <v>0</v>
      </c>
      <c r="KZ80" s="504">
        <v>0</v>
      </c>
      <c r="LA80" s="504">
        <v>0</v>
      </c>
      <c r="LB80" s="504">
        <v>0</v>
      </c>
      <c r="LC80" s="504">
        <v>0</v>
      </c>
      <c r="LD80" s="504">
        <v>0</v>
      </c>
      <c r="LE80" s="504">
        <v>0</v>
      </c>
      <c r="LF80" s="504">
        <v>0</v>
      </c>
      <c r="LG80" s="504">
        <v>0</v>
      </c>
      <c r="LH80" s="504">
        <v>0</v>
      </c>
      <c r="LI80" s="504">
        <v>0</v>
      </c>
      <c r="LJ80" s="504">
        <v>0</v>
      </c>
      <c r="LK80" s="504">
        <v>0</v>
      </c>
      <c r="LL80" s="504">
        <v>0</v>
      </c>
      <c r="LM80" s="504">
        <v>0</v>
      </c>
      <c r="LN80" s="504">
        <v>0</v>
      </c>
      <c r="LO80" s="504">
        <v>0</v>
      </c>
      <c r="LP80" s="504">
        <v>0</v>
      </c>
      <c r="LQ80" s="504">
        <v>0</v>
      </c>
      <c r="LR80" s="504">
        <v>0</v>
      </c>
      <c r="LS80" s="504">
        <v>0</v>
      </c>
      <c r="LT80" s="504">
        <v>0</v>
      </c>
      <c r="LU80" s="504">
        <v>0</v>
      </c>
      <c r="LV80" s="504">
        <v>0</v>
      </c>
      <c r="LW80" s="504">
        <v>0</v>
      </c>
      <c r="LX80" s="504">
        <v>0</v>
      </c>
      <c r="LY80" s="504">
        <v>0</v>
      </c>
      <c r="LZ80" s="504">
        <v>0</v>
      </c>
      <c r="MA80" s="504">
        <v>0</v>
      </c>
      <c r="MB80" s="504">
        <v>0</v>
      </c>
      <c r="MC80" s="504">
        <v>0</v>
      </c>
      <c r="MD80" s="504">
        <v>0</v>
      </c>
      <c r="ME80" s="504">
        <v>0</v>
      </c>
      <c r="MF80" s="504">
        <v>0</v>
      </c>
      <c r="MG80" s="504">
        <v>0</v>
      </c>
      <c r="MH80" s="504">
        <v>0</v>
      </c>
      <c r="MI80" s="504">
        <v>0</v>
      </c>
      <c r="MJ80" s="504">
        <v>0</v>
      </c>
      <c r="MK80" s="504">
        <v>0</v>
      </c>
      <c r="ML80" s="504">
        <v>0</v>
      </c>
      <c r="MM80" s="504">
        <v>0</v>
      </c>
      <c r="MN80" s="504">
        <v>0</v>
      </c>
      <c r="MO80" s="504">
        <v>0</v>
      </c>
      <c r="MP80" s="504">
        <v>0</v>
      </c>
      <c r="MQ80" s="504">
        <v>0</v>
      </c>
      <c r="MR80" s="504">
        <v>0</v>
      </c>
      <c r="MS80" s="504">
        <v>0</v>
      </c>
      <c r="MT80" s="504">
        <v>0</v>
      </c>
      <c r="MU80" s="504">
        <v>0</v>
      </c>
      <c r="MV80" s="504">
        <v>0</v>
      </c>
      <c r="MW80" s="504">
        <v>0</v>
      </c>
      <c r="MX80" s="504">
        <v>0</v>
      </c>
      <c r="MY80" s="504">
        <v>0</v>
      </c>
      <c r="MZ80" s="504">
        <v>0</v>
      </c>
      <c r="NA80" s="504">
        <v>0</v>
      </c>
      <c r="NB80" s="504">
        <v>0</v>
      </c>
      <c r="NC80" s="504">
        <v>0</v>
      </c>
      <c r="ND80" s="504">
        <v>0</v>
      </c>
      <c r="NE80" s="504">
        <v>0</v>
      </c>
      <c r="NF80" s="504">
        <v>0</v>
      </c>
      <c r="NG80" s="504">
        <v>0</v>
      </c>
      <c r="NH80" s="504">
        <v>0</v>
      </c>
      <c r="NI80" s="504">
        <v>0</v>
      </c>
      <c r="NJ80" s="504">
        <v>0</v>
      </c>
      <c r="NK80" s="504">
        <v>0</v>
      </c>
      <c r="NL80" s="504">
        <v>0</v>
      </c>
      <c r="NM80" s="504">
        <v>0</v>
      </c>
      <c r="NN80" s="504">
        <v>0</v>
      </c>
      <c r="NO80" s="504">
        <v>0</v>
      </c>
      <c r="NP80" s="504">
        <v>0</v>
      </c>
      <c r="NQ80" s="504">
        <v>0</v>
      </c>
      <c r="NR80" s="504">
        <v>0</v>
      </c>
      <c r="NS80" s="504">
        <v>0</v>
      </c>
      <c r="NT80" s="504">
        <v>0</v>
      </c>
      <c r="NU80" s="504">
        <v>0</v>
      </c>
      <c r="NV80" s="504">
        <v>0</v>
      </c>
      <c r="NW80" s="504">
        <v>0</v>
      </c>
      <c r="NX80" s="504">
        <v>0</v>
      </c>
      <c r="NY80" s="504">
        <v>0</v>
      </c>
      <c r="NZ80" s="504">
        <v>0</v>
      </c>
      <c r="OA80" s="504">
        <v>0</v>
      </c>
      <c r="OB80" s="504">
        <v>0</v>
      </c>
      <c r="OC80" s="504">
        <v>0</v>
      </c>
      <c r="OD80" s="504">
        <v>0</v>
      </c>
      <c r="OE80" s="504">
        <v>0</v>
      </c>
      <c r="OF80" s="504">
        <v>0</v>
      </c>
      <c r="OG80" s="504">
        <v>0</v>
      </c>
      <c r="OH80" s="504">
        <v>0</v>
      </c>
      <c r="OI80" s="504">
        <v>0</v>
      </c>
      <c r="OJ80" s="504">
        <v>0</v>
      </c>
      <c r="OK80" s="504">
        <v>0</v>
      </c>
      <c r="OL80" s="504">
        <v>0</v>
      </c>
      <c r="OM80" s="513">
        <v>0</v>
      </c>
      <c r="ON80" s="494"/>
    </row>
    <row r="81" spans="1:404" ht="18.75" customHeight="1" x14ac:dyDescent="0.4">
      <c r="A81" s="511" t="s">
        <v>351</v>
      </c>
      <c r="B81" s="512">
        <v>135</v>
      </c>
      <c r="C81" s="511" t="s">
        <v>60</v>
      </c>
      <c r="D81" s="501">
        <v>14.05</v>
      </c>
      <c r="E81" s="502">
        <v>18098</v>
      </c>
      <c r="F81" s="501">
        <v>14.05</v>
      </c>
      <c r="G81" s="502">
        <v>1888</v>
      </c>
      <c r="H81" s="501">
        <v>14.05</v>
      </c>
      <c r="I81" s="502">
        <v>7613</v>
      </c>
      <c r="J81" s="501">
        <v>14.05</v>
      </c>
      <c r="K81" s="502">
        <v>11042</v>
      </c>
      <c r="V81" s="501"/>
      <c r="W81" s="503"/>
      <c r="X81" s="501"/>
      <c r="Y81" s="503"/>
      <c r="Z81" s="501"/>
      <c r="AA81" s="503"/>
      <c r="AB81" s="495"/>
      <c r="AC81" s="504">
        <v>0</v>
      </c>
      <c r="AD81" s="504">
        <v>0</v>
      </c>
      <c r="AE81" s="504">
        <v>0</v>
      </c>
      <c r="AF81" s="504">
        <v>0</v>
      </c>
      <c r="AG81" s="504">
        <v>0</v>
      </c>
      <c r="AH81" s="504">
        <v>0</v>
      </c>
      <c r="AI81" s="504">
        <v>0</v>
      </c>
      <c r="AJ81" s="504">
        <v>0</v>
      </c>
      <c r="AK81" s="504">
        <v>0</v>
      </c>
      <c r="AL81" s="504">
        <v>0</v>
      </c>
      <c r="AM81" s="504">
        <v>0</v>
      </c>
      <c r="AN81" s="504">
        <v>0</v>
      </c>
      <c r="AO81" s="504">
        <v>0</v>
      </c>
      <c r="AP81" s="504">
        <v>0</v>
      </c>
      <c r="AQ81" s="504">
        <v>0</v>
      </c>
      <c r="AR81" s="504">
        <v>0</v>
      </c>
      <c r="AS81" s="504">
        <v>0</v>
      </c>
      <c r="AT81" s="504">
        <v>0</v>
      </c>
      <c r="AU81" s="504">
        <v>0</v>
      </c>
      <c r="AV81" s="504">
        <v>0</v>
      </c>
      <c r="AW81" s="504">
        <v>0</v>
      </c>
      <c r="AX81" s="504">
        <v>0</v>
      </c>
      <c r="AY81" s="504">
        <v>0</v>
      </c>
      <c r="AZ81" s="504">
        <v>0</v>
      </c>
      <c r="BA81" s="504">
        <v>0</v>
      </c>
      <c r="BB81" s="504">
        <v>0</v>
      </c>
      <c r="BC81" s="504">
        <v>0</v>
      </c>
      <c r="BD81" s="504">
        <v>0</v>
      </c>
      <c r="BE81" s="504">
        <v>0</v>
      </c>
      <c r="BF81" s="504">
        <v>0</v>
      </c>
      <c r="BG81" s="504">
        <v>0</v>
      </c>
      <c r="BH81" s="504">
        <v>0</v>
      </c>
      <c r="BI81" s="504">
        <v>0</v>
      </c>
      <c r="BJ81" s="504">
        <v>0</v>
      </c>
      <c r="BK81" s="504">
        <v>0</v>
      </c>
      <c r="BL81" s="504">
        <v>0</v>
      </c>
      <c r="BM81" s="504">
        <v>0</v>
      </c>
      <c r="BN81" s="504">
        <v>0</v>
      </c>
      <c r="BO81" s="504">
        <v>0</v>
      </c>
      <c r="BP81" s="504">
        <v>0</v>
      </c>
      <c r="BQ81" s="504">
        <v>0</v>
      </c>
      <c r="BR81" s="504">
        <v>0</v>
      </c>
      <c r="BS81" s="504">
        <v>0</v>
      </c>
      <c r="BT81" s="504">
        <v>0</v>
      </c>
      <c r="BU81" s="504">
        <v>0</v>
      </c>
      <c r="BV81" s="504">
        <v>0</v>
      </c>
      <c r="BW81" s="504">
        <v>0</v>
      </c>
      <c r="BX81" s="504">
        <v>0</v>
      </c>
      <c r="BY81" s="504">
        <v>0</v>
      </c>
      <c r="BZ81" s="504">
        <v>0</v>
      </c>
      <c r="CA81" s="504">
        <v>0</v>
      </c>
      <c r="CB81" s="504">
        <v>0</v>
      </c>
      <c r="CC81" s="504">
        <v>0</v>
      </c>
      <c r="CD81" s="504">
        <v>0</v>
      </c>
      <c r="CE81" s="504">
        <v>0</v>
      </c>
      <c r="CF81" s="504">
        <v>0</v>
      </c>
      <c r="CG81" s="504">
        <v>0</v>
      </c>
      <c r="CH81" s="504">
        <v>0</v>
      </c>
      <c r="CI81" s="504">
        <v>0</v>
      </c>
      <c r="CJ81" s="504">
        <v>0</v>
      </c>
      <c r="CK81" s="504">
        <v>0</v>
      </c>
      <c r="CL81" s="504">
        <v>0</v>
      </c>
      <c r="CM81" s="504">
        <v>0</v>
      </c>
      <c r="CN81" s="504">
        <v>0</v>
      </c>
      <c r="CO81" s="504">
        <v>0</v>
      </c>
      <c r="CP81" s="504">
        <v>0</v>
      </c>
      <c r="CQ81" s="504">
        <v>0</v>
      </c>
      <c r="CR81" s="504">
        <v>0</v>
      </c>
      <c r="CS81" s="504">
        <v>0</v>
      </c>
      <c r="CT81" s="504">
        <v>0</v>
      </c>
      <c r="CU81" s="504">
        <v>0</v>
      </c>
      <c r="CV81" s="504">
        <v>0</v>
      </c>
      <c r="CW81" s="504">
        <v>0</v>
      </c>
      <c r="CX81" s="504">
        <v>0</v>
      </c>
      <c r="CY81" s="504">
        <v>0</v>
      </c>
      <c r="CZ81" s="504">
        <v>0</v>
      </c>
      <c r="DA81" s="504">
        <v>0</v>
      </c>
      <c r="DB81" s="504">
        <v>0</v>
      </c>
      <c r="DC81" s="504">
        <v>0</v>
      </c>
      <c r="DD81" s="504">
        <v>0</v>
      </c>
      <c r="DE81" s="504">
        <v>0</v>
      </c>
      <c r="DF81" s="504">
        <v>0</v>
      </c>
      <c r="DG81" s="504">
        <v>0</v>
      </c>
      <c r="DH81" s="504">
        <v>0</v>
      </c>
      <c r="DI81" s="504">
        <v>0</v>
      </c>
      <c r="DJ81" s="504">
        <v>0</v>
      </c>
      <c r="DK81" s="504">
        <v>0</v>
      </c>
      <c r="DL81" s="504">
        <v>0</v>
      </c>
      <c r="DM81" s="504">
        <v>0</v>
      </c>
      <c r="DN81" s="504">
        <v>0</v>
      </c>
      <c r="DO81" s="504">
        <v>0</v>
      </c>
      <c r="DP81" s="504">
        <v>0</v>
      </c>
      <c r="DQ81" s="504">
        <v>0</v>
      </c>
      <c r="DR81" s="504">
        <v>0</v>
      </c>
      <c r="DS81" s="504">
        <v>0</v>
      </c>
      <c r="DT81" s="504">
        <v>0</v>
      </c>
      <c r="DU81" s="504">
        <v>0</v>
      </c>
      <c r="DV81" s="504">
        <v>0</v>
      </c>
      <c r="DW81" s="504">
        <v>0</v>
      </c>
      <c r="DX81" s="504">
        <v>0</v>
      </c>
      <c r="DY81" s="504">
        <v>0</v>
      </c>
      <c r="DZ81" s="504">
        <v>0</v>
      </c>
      <c r="EA81" s="504">
        <v>0</v>
      </c>
      <c r="EB81" s="504">
        <v>0</v>
      </c>
      <c r="EC81" s="504">
        <v>0</v>
      </c>
      <c r="ED81" s="504">
        <v>0</v>
      </c>
      <c r="EE81" s="504">
        <v>0</v>
      </c>
      <c r="EF81" s="504">
        <v>0</v>
      </c>
      <c r="EG81" s="504">
        <v>0</v>
      </c>
      <c r="EH81" s="504">
        <v>0</v>
      </c>
      <c r="EI81" s="504">
        <v>0</v>
      </c>
      <c r="EJ81" s="504">
        <v>0</v>
      </c>
      <c r="EK81" s="504">
        <v>0</v>
      </c>
      <c r="EL81" s="504">
        <v>0</v>
      </c>
      <c r="EM81" s="504">
        <v>0</v>
      </c>
      <c r="EN81" s="504">
        <v>0</v>
      </c>
      <c r="EO81" s="504">
        <v>0</v>
      </c>
      <c r="EP81" s="504">
        <v>0</v>
      </c>
      <c r="EQ81" s="504">
        <v>0</v>
      </c>
      <c r="ER81" s="504">
        <v>0</v>
      </c>
      <c r="ES81" s="504">
        <v>0</v>
      </c>
      <c r="ET81" s="504">
        <v>0</v>
      </c>
      <c r="EU81" s="504">
        <v>0</v>
      </c>
      <c r="EV81" s="504">
        <v>0</v>
      </c>
      <c r="EW81" s="504">
        <v>0</v>
      </c>
      <c r="EX81" s="504">
        <v>0</v>
      </c>
      <c r="EY81" s="504">
        <v>0</v>
      </c>
      <c r="EZ81" s="504">
        <v>0</v>
      </c>
      <c r="FA81" s="504">
        <v>0</v>
      </c>
      <c r="FB81" s="504">
        <v>0</v>
      </c>
      <c r="FC81" s="504">
        <v>0</v>
      </c>
      <c r="FD81" s="504">
        <v>0</v>
      </c>
      <c r="FE81" s="504">
        <v>0</v>
      </c>
      <c r="FF81" s="504">
        <v>0</v>
      </c>
      <c r="FG81" s="504">
        <v>0</v>
      </c>
      <c r="FH81" s="504">
        <v>0</v>
      </c>
      <c r="FI81" s="504">
        <v>0</v>
      </c>
      <c r="FJ81" s="504">
        <v>0</v>
      </c>
      <c r="FK81" s="504">
        <v>0</v>
      </c>
      <c r="FL81" s="504">
        <v>0</v>
      </c>
      <c r="FM81" s="504">
        <v>0</v>
      </c>
      <c r="FN81" s="504">
        <v>0</v>
      </c>
      <c r="FO81" s="504">
        <v>0</v>
      </c>
      <c r="FP81" s="504">
        <v>0</v>
      </c>
      <c r="FQ81" s="504">
        <v>0</v>
      </c>
      <c r="FR81" s="504">
        <v>0</v>
      </c>
      <c r="FS81" s="504">
        <v>0</v>
      </c>
      <c r="FT81" s="504">
        <v>0</v>
      </c>
      <c r="FU81" s="504">
        <v>0</v>
      </c>
      <c r="FV81" s="504">
        <v>0</v>
      </c>
      <c r="FW81" s="504">
        <v>0</v>
      </c>
      <c r="FX81" s="504">
        <v>0</v>
      </c>
      <c r="FY81" s="504">
        <v>0</v>
      </c>
      <c r="FZ81" s="504">
        <v>0</v>
      </c>
      <c r="GA81" s="504">
        <v>0</v>
      </c>
      <c r="GB81" s="504">
        <v>0</v>
      </c>
      <c r="GC81" s="504">
        <v>0</v>
      </c>
      <c r="GD81" s="504">
        <v>0</v>
      </c>
      <c r="GE81" s="504">
        <v>0</v>
      </c>
      <c r="GF81" s="504">
        <v>0</v>
      </c>
      <c r="GG81" s="504">
        <v>0</v>
      </c>
      <c r="GH81" s="504">
        <v>0</v>
      </c>
      <c r="GI81" s="504">
        <v>0</v>
      </c>
      <c r="GJ81" s="504">
        <v>0</v>
      </c>
      <c r="GK81" s="504">
        <v>0</v>
      </c>
      <c r="GL81" s="504">
        <v>0</v>
      </c>
      <c r="GM81" s="504">
        <v>0</v>
      </c>
      <c r="GN81" s="504">
        <v>0</v>
      </c>
      <c r="GO81" s="504">
        <v>0</v>
      </c>
      <c r="GP81" s="504">
        <v>0</v>
      </c>
      <c r="GQ81" s="504">
        <v>0</v>
      </c>
      <c r="GR81" s="504">
        <v>0</v>
      </c>
      <c r="GS81" s="504">
        <v>0</v>
      </c>
      <c r="GT81" s="504">
        <v>0</v>
      </c>
      <c r="GU81" s="504">
        <v>0</v>
      </c>
      <c r="GV81" s="504">
        <v>0</v>
      </c>
      <c r="GW81" s="504">
        <v>0</v>
      </c>
      <c r="GX81" s="504">
        <v>0</v>
      </c>
      <c r="GY81" s="504">
        <v>0</v>
      </c>
      <c r="GZ81" s="504">
        <v>0</v>
      </c>
      <c r="HA81" s="504">
        <v>0</v>
      </c>
      <c r="HB81" s="504">
        <v>0</v>
      </c>
      <c r="HC81" s="504">
        <v>0</v>
      </c>
      <c r="HD81" s="504">
        <v>0</v>
      </c>
      <c r="HE81" s="504">
        <v>0</v>
      </c>
      <c r="HF81" s="504">
        <v>0</v>
      </c>
      <c r="HG81" s="504">
        <v>0</v>
      </c>
      <c r="HH81" s="504">
        <v>0</v>
      </c>
      <c r="HI81" s="504">
        <v>0</v>
      </c>
      <c r="HJ81" s="504">
        <v>0</v>
      </c>
      <c r="HK81" s="504">
        <v>0</v>
      </c>
      <c r="HL81" s="504">
        <v>0</v>
      </c>
      <c r="HM81" s="504">
        <v>0</v>
      </c>
      <c r="HN81" s="504">
        <v>0</v>
      </c>
      <c r="HO81" s="504">
        <v>0</v>
      </c>
      <c r="HP81" s="504">
        <v>0</v>
      </c>
      <c r="HQ81" s="504">
        <v>0</v>
      </c>
      <c r="HR81" s="504">
        <v>0</v>
      </c>
      <c r="HS81" s="504">
        <v>0</v>
      </c>
      <c r="HT81" s="504">
        <v>0</v>
      </c>
      <c r="HU81" s="504">
        <v>0</v>
      </c>
      <c r="HV81" s="504">
        <v>0</v>
      </c>
      <c r="HW81" s="504">
        <v>0</v>
      </c>
      <c r="HX81" s="504">
        <v>0</v>
      </c>
      <c r="HY81" s="504">
        <v>0</v>
      </c>
      <c r="HZ81" s="504">
        <v>0</v>
      </c>
      <c r="IA81" s="504">
        <v>0</v>
      </c>
      <c r="IB81" s="504">
        <v>0</v>
      </c>
      <c r="IC81" s="504">
        <v>0</v>
      </c>
      <c r="ID81" s="504">
        <v>0</v>
      </c>
      <c r="IE81" s="504">
        <v>0</v>
      </c>
      <c r="IF81" s="504">
        <v>0</v>
      </c>
      <c r="IG81" s="504">
        <v>0</v>
      </c>
      <c r="IH81" s="504">
        <v>0</v>
      </c>
      <c r="II81" s="504">
        <v>0</v>
      </c>
      <c r="IJ81" s="504">
        <v>0</v>
      </c>
      <c r="IK81" s="504">
        <v>0</v>
      </c>
      <c r="IL81" s="504">
        <v>0</v>
      </c>
      <c r="IM81" s="504">
        <v>0</v>
      </c>
      <c r="IN81" s="504">
        <v>0</v>
      </c>
      <c r="IO81" s="504">
        <v>0</v>
      </c>
      <c r="IP81" s="504">
        <v>0</v>
      </c>
      <c r="IQ81" s="504">
        <v>0</v>
      </c>
      <c r="IR81" s="504">
        <v>0</v>
      </c>
      <c r="IS81" s="504">
        <v>0</v>
      </c>
      <c r="IT81" s="504">
        <v>0</v>
      </c>
      <c r="IU81" s="504">
        <v>0</v>
      </c>
      <c r="IV81" s="504">
        <v>0</v>
      </c>
      <c r="IW81" s="504">
        <v>0</v>
      </c>
      <c r="IX81" s="504">
        <v>0</v>
      </c>
      <c r="IY81" s="504">
        <v>0</v>
      </c>
      <c r="IZ81" s="504">
        <v>0</v>
      </c>
      <c r="JA81" s="504">
        <v>0</v>
      </c>
      <c r="JB81" s="504">
        <v>0</v>
      </c>
      <c r="JC81" s="504">
        <v>0</v>
      </c>
      <c r="JD81" s="504">
        <v>0</v>
      </c>
      <c r="JE81" s="504">
        <v>0</v>
      </c>
      <c r="JF81" s="504">
        <v>0</v>
      </c>
      <c r="JG81" s="504">
        <v>0</v>
      </c>
      <c r="JH81" s="504">
        <v>0</v>
      </c>
      <c r="JI81" s="504">
        <v>0</v>
      </c>
      <c r="JJ81" s="504">
        <v>0</v>
      </c>
      <c r="JK81" s="504">
        <v>0</v>
      </c>
      <c r="JL81" s="504">
        <v>0</v>
      </c>
      <c r="JM81" s="504">
        <v>0</v>
      </c>
      <c r="JN81" s="504">
        <v>0</v>
      </c>
      <c r="JO81" s="504">
        <v>0</v>
      </c>
      <c r="JP81" s="504">
        <v>0</v>
      </c>
      <c r="JQ81" s="504">
        <v>0</v>
      </c>
      <c r="JR81" s="504">
        <v>0</v>
      </c>
      <c r="JS81" s="504">
        <v>0</v>
      </c>
      <c r="JT81" s="504">
        <v>0</v>
      </c>
      <c r="JU81" s="504">
        <v>0</v>
      </c>
      <c r="JV81" s="504">
        <v>0</v>
      </c>
      <c r="JW81" s="504">
        <v>0</v>
      </c>
      <c r="JX81" s="504">
        <v>0</v>
      </c>
      <c r="JY81" s="504">
        <v>0</v>
      </c>
      <c r="JZ81" s="504">
        <v>0</v>
      </c>
      <c r="KA81" s="504">
        <v>0</v>
      </c>
      <c r="KB81" s="504">
        <v>0</v>
      </c>
      <c r="KC81" s="504">
        <v>0</v>
      </c>
      <c r="KD81" s="504">
        <v>0</v>
      </c>
      <c r="KE81" s="504">
        <v>0</v>
      </c>
      <c r="KF81" s="504">
        <v>0</v>
      </c>
      <c r="KG81" s="504">
        <v>0</v>
      </c>
      <c r="KH81" s="504">
        <v>0</v>
      </c>
      <c r="KI81" s="504">
        <v>0</v>
      </c>
      <c r="KJ81" s="504">
        <v>0</v>
      </c>
      <c r="KK81" s="504">
        <v>0</v>
      </c>
      <c r="KL81" s="504">
        <v>0</v>
      </c>
      <c r="KM81" s="504">
        <v>0</v>
      </c>
      <c r="KN81" s="504">
        <v>0</v>
      </c>
      <c r="KO81" s="504">
        <v>0</v>
      </c>
      <c r="KP81" s="504">
        <v>0</v>
      </c>
      <c r="KQ81" s="504">
        <v>0</v>
      </c>
      <c r="KR81" s="504">
        <v>0</v>
      </c>
      <c r="KS81" s="504">
        <v>0</v>
      </c>
      <c r="KT81" s="504">
        <v>0</v>
      </c>
      <c r="KU81" s="504">
        <v>0</v>
      </c>
      <c r="KV81" s="504">
        <v>0</v>
      </c>
      <c r="KW81" s="504">
        <v>0</v>
      </c>
      <c r="KX81" s="504">
        <v>0</v>
      </c>
      <c r="KY81" s="504">
        <v>0</v>
      </c>
      <c r="KZ81" s="504">
        <v>0</v>
      </c>
      <c r="LA81" s="504">
        <v>0</v>
      </c>
      <c r="LB81" s="504">
        <v>0</v>
      </c>
      <c r="LC81" s="504">
        <v>0</v>
      </c>
      <c r="LD81" s="504">
        <v>0</v>
      </c>
      <c r="LE81" s="504">
        <v>0</v>
      </c>
      <c r="LF81" s="504">
        <v>0</v>
      </c>
      <c r="LG81" s="504">
        <v>0</v>
      </c>
      <c r="LH81" s="504">
        <v>0</v>
      </c>
      <c r="LI81" s="504">
        <v>0</v>
      </c>
      <c r="LJ81" s="504">
        <v>0</v>
      </c>
      <c r="LK81" s="504">
        <v>0</v>
      </c>
      <c r="LL81" s="504">
        <v>0</v>
      </c>
      <c r="LM81" s="504">
        <v>0</v>
      </c>
      <c r="LN81" s="504">
        <v>0</v>
      </c>
      <c r="LO81" s="504">
        <v>0</v>
      </c>
      <c r="LP81" s="504">
        <v>0</v>
      </c>
      <c r="LQ81" s="504">
        <v>0</v>
      </c>
      <c r="LR81" s="504">
        <v>0</v>
      </c>
      <c r="LS81" s="504">
        <v>0</v>
      </c>
      <c r="LT81" s="504">
        <v>0</v>
      </c>
      <c r="LU81" s="504">
        <v>0</v>
      </c>
      <c r="LV81" s="504">
        <v>0</v>
      </c>
      <c r="LW81" s="504">
        <v>0</v>
      </c>
      <c r="LX81" s="504">
        <v>0</v>
      </c>
      <c r="LY81" s="504">
        <v>0</v>
      </c>
      <c r="LZ81" s="504">
        <v>0</v>
      </c>
      <c r="MA81" s="504">
        <v>0</v>
      </c>
      <c r="MB81" s="504">
        <v>0</v>
      </c>
      <c r="MC81" s="504">
        <v>0</v>
      </c>
      <c r="MD81" s="504">
        <v>0</v>
      </c>
      <c r="ME81" s="504">
        <v>0</v>
      </c>
      <c r="MF81" s="504">
        <v>0</v>
      </c>
      <c r="MG81" s="504">
        <v>0</v>
      </c>
      <c r="MH81" s="504">
        <v>0</v>
      </c>
      <c r="MI81" s="504">
        <v>0</v>
      </c>
      <c r="MJ81" s="504">
        <v>0</v>
      </c>
      <c r="MK81" s="504">
        <v>0</v>
      </c>
      <c r="ML81" s="504">
        <v>0</v>
      </c>
      <c r="MM81" s="504">
        <v>0</v>
      </c>
      <c r="MN81" s="504">
        <v>0</v>
      </c>
      <c r="MO81" s="504">
        <v>0</v>
      </c>
      <c r="MP81" s="504">
        <v>0</v>
      </c>
      <c r="MQ81" s="504">
        <v>0</v>
      </c>
      <c r="MR81" s="504">
        <v>0</v>
      </c>
      <c r="MS81" s="504">
        <v>0</v>
      </c>
      <c r="MT81" s="504">
        <v>0</v>
      </c>
      <c r="MU81" s="504">
        <v>0</v>
      </c>
      <c r="MV81" s="504">
        <v>0</v>
      </c>
      <c r="MW81" s="504">
        <v>0</v>
      </c>
      <c r="MX81" s="504">
        <v>0</v>
      </c>
      <c r="MY81" s="504">
        <v>0</v>
      </c>
      <c r="MZ81" s="504">
        <v>0</v>
      </c>
      <c r="NA81" s="504">
        <v>0</v>
      </c>
      <c r="NB81" s="504">
        <v>0</v>
      </c>
      <c r="NC81" s="504">
        <v>0</v>
      </c>
      <c r="ND81" s="504">
        <v>0</v>
      </c>
      <c r="NE81" s="504">
        <v>0</v>
      </c>
      <c r="NF81" s="504">
        <v>0</v>
      </c>
      <c r="NG81" s="504">
        <v>0</v>
      </c>
      <c r="NH81" s="504">
        <v>0</v>
      </c>
      <c r="NI81" s="504">
        <v>0</v>
      </c>
      <c r="NJ81" s="504">
        <v>0</v>
      </c>
      <c r="NK81" s="504">
        <v>0</v>
      </c>
      <c r="NL81" s="504">
        <v>0</v>
      </c>
      <c r="NM81" s="504">
        <v>0</v>
      </c>
      <c r="NN81" s="504">
        <v>0</v>
      </c>
      <c r="NO81" s="504">
        <v>0</v>
      </c>
      <c r="NP81" s="504">
        <v>0</v>
      </c>
      <c r="NQ81" s="504">
        <v>0</v>
      </c>
      <c r="NR81" s="504">
        <v>0</v>
      </c>
      <c r="NS81" s="504">
        <v>0</v>
      </c>
      <c r="NT81" s="504">
        <v>0</v>
      </c>
      <c r="NU81" s="504">
        <v>0</v>
      </c>
      <c r="NV81" s="504">
        <v>0</v>
      </c>
      <c r="NW81" s="504">
        <v>0</v>
      </c>
      <c r="NX81" s="504">
        <v>0</v>
      </c>
      <c r="NY81" s="504">
        <v>0</v>
      </c>
      <c r="NZ81" s="504">
        <v>0</v>
      </c>
      <c r="OA81" s="504">
        <v>0</v>
      </c>
      <c r="OB81" s="504">
        <v>0</v>
      </c>
      <c r="OC81" s="504">
        <v>0</v>
      </c>
      <c r="OD81" s="504">
        <v>0</v>
      </c>
      <c r="OE81" s="504">
        <v>0</v>
      </c>
      <c r="OF81" s="504">
        <v>0</v>
      </c>
      <c r="OG81" s="504">
        <v>0</v>
      </c>
      <c r="OH81" s="504">
        <v>0</v>
      </c>
      <c r="OI81" s="504">
        <v>0</v>
      </c>
      <c r="OJ81" s="504">
        <v>0</v>
      </c>
      <c r="OK81" s="504">
        <v>0</v>
      </c>
      <c r="OL81" s="504">
        <v>0</v>
      </c>
      <c r="OM81" s="513">
        <v>0</v>
      </c>
      <c r="ON81" s="494"/>
    </row>
    <row r="82" spans="1:404" ht="18.75" customHeight="1" x14ac:dyDescent="0.4">
      <c r="A82" s="511" t="s">
        <v>352</v>
      </c>
      <c r="B82" s="512">
        <v>104</v>
      </c>
      <c r="C82" s="511" t="s">
        <v>60</v>
      </c>
      <c r="D82" s="501">
        <v>13.99</v>
      </c>
      <c r="E82" s="502">
        <v>67339</v>
      </c>
      <c r="F82" s="501">
        <v>13.99</v>
      </c>
      <c r="G82" s="502">
        <v>5877</v>
      </c>
      <c r="H82" s="501">
        <v>13.99</v>
      </c>
      <c r="I82" s="502">
        <v>33534</v>
      </c>
      <c r="J82" s="501">
        <v>13.99</v>
      </c>
      <c r="K82" s="502">
        <v>47213</v>
      </c>
      <c r="V82" s="501"/>
      <c r="W82" s="503"/>
      <c r="X82" s="501"/>
      <c r="Y82" s="503"/>
      <c r="Z82" s="501"/>
      <c r="AA82" s="503"/>
      <c r="AB82" s="495"/>
      <c r="AC82" s="504">
        <v>0</v>
      </c>
      <c r="AD82" s="504">
        <v>0</v>
      </c>
      <c r="AE82" s="504">
        <v>0</v>
      </c>
      <c r="AF82" s="504">
        <v>0</v>
      </c>
      <c r="AG82" s="504">
        <v>0</v>
      </c>
      <c r="AH82" s="504">
        <v>0</v>
      </c>
      <c r="AI82" s="504">
        <v>0</v>
      </c>
      <c r="AJ82" s="504">
        <v>0</v>
      </c>
      <c r="AK82" s="504">
        <v>0</v>
      </c>
      <c r="AL82" s="504">
        <v>0</v>
      </c>
      <c r="AM82" s="504">
        <v>0</v>
      </c>
      <c r="AN82" s="504">
        <v>0</v>
      </c>
      <c r="AO82" s="504">
        <v>0</v>
      </c>
      <c r="AP82" s="504">
        <v>0</v>
      </c>
      <c r="AQ82" s="504">
        <v>0</v>
      </c>
      <c r="AR82" s="504">
        <v>0</v>
      </c>
      <c r="AS82" s="504">
        <v>0</v>
      </c>
      <c r="AT82" s="504">
        <v>0</v>
      </c>
      <c r="AU82" s="504">
        <v>0</v>
      </c>
      <c r="AV82" s="504">
        <v>0</v>
      </c>
      <c r="AW82" s="504">
        <v>0</v>
      </c>
      <c r="AX82" s="504">
        <v>0</v>
      </c>
      <c r="AY82" s="504">
        <v>0</v>
      </c>
      <c r="AZ82" s="504">
        <v>0</v>
      </c>
      <c r="BA82" s="504">
        <v>0</v>
      </c>
      <c r="BB82" s="504">
        <v>0</v>
      </c>
      <c r="BC82" s="504">
        <v>0</v>
      </c>
      <c r="BD82" s="504">
        <v>0</v>
      </c>
      <c r="BE82" s="504">
        <v>0</v>
      </c>
      <c r="BF82" s="504">
        <v>0</v>
      </c>
      <c r="BG82" s="504">
        <v>0</v>
      </c>
      <c r="BH82" s="504">
        <v>0</v>
      </c>
      <c r="BI82" s="504">
        <v>0</v>
      </c>
      <c r="BJ82" s="504">
        <v>0</v>
      </c>
      <c r="BK82" s="504">
        <v>0</v>
      </c>
      <c r="BL82" s="504">
        <v>0</v>
      </c>
      <c r="BM82" s="504">
        <v>0</v>
      </c>
      <c r="BN82" s="504">
        <v>0</v>
      </c>
      <c r="BO82" s="504">
        <v>0</v>
      </c>
      <c r="BP82" s="504">
        <v>0</v>
      </c>
      <c r="BQ82" s="504">
        <v>0</v>
      </c>
      <c r="BR82" s="504">
        <v>0</v>
      </c>
      <c r="BS82" s="504">
        <v>0</v>
      </c>
      <c r="BT82" s="504">
        <v>0</v>
      </c>
      <c r="BU82" s="504">
        <v>0</v>
      </c>
      <c r="BV82" s="504">
        <v>0</v>
      </c>
      <c r="BW82" s="504">
        <v>0</v>
      </c>
      <c r="BX82" s="504">
        <v>0</v>
      </c>
      <c r="BY82" s="504">
        <v>0</v>
      </c>
      <c r="BZ82" s="504">
        <v>0</v>
      </c>
      <c r="CA82" s="504">
        <v>0</v>
      </c>
      <c r="CB82" s="504">
        <v>0</v>
      </c>
      <c r="CC82" s="504">
        <v>0</v>
      </c>
      <c r="CD82" s="504">
        <v>0</v>
      </c>
      <c r="CE82" s="504">
        <v>0</v>
      </c>
      <c r="CF82" s="504">
        <v>0</v>
      </c>
      <c r="CG82" s="504">
        <v>0</v>
      </c>
      <c r="CH82" s="504">
        <v>0</v>
      </c>
      <c r="CI82" s="504">
        <v>0</v>
      </c>
      <c r="CJ82" s="504">
        <v>0</v>
      </c>
      <c r="CK82" s="504">
        <v>0</v>
      </c>
      <c r="CL82" s="504">
        <v>0</v>
      </c>
      <c r="CM82" s="504">
        <v>0</v>
      </c>
      <c r="CN82" s="504">
        <v>0</v>
      </c>
      <c r="CO82" s="504">
        <v>0</v>
      </c>
      <c r="CP82" s="504">
        <v>0</v>
      </c>
      <c r="CQ82" s="504">
        <v>0</v>
      </c>
      <c r="CR82" s="504">
        <v>0</v>
      </c>
      <c r="CS82" s="504">
        <v>0</v>
      </c>
      <c r="CT82" s="504">
        <v>0</v>
      </c>
      <c r="CU82" s="504">
        <v>0</v>
      </c>
      <c r="CV82" s="504">
        <v>0</v>
      </c>
      <c r="CW82" s="504">
        <v>0</v>
      </c>
      <c r="CX82" s="504">
        <v>0</v>
      </c>
      <c r="CY82" s="504">
        <v>0</v>
      </c>
      <c r="CZ82" s="504">
        <v>0</v>
      </c>
      <c r="DA82" s="504">
        <v>0</v>
      </c>
      <c r="DB82" s="504">
        <v>0</v>
      </c>
      <c r="DC82" s="504">
        <v>0</v>
      </c>
      <c r="DD82" s="504">
        <v>0</v>
      </c>
      <c r="DE82" s="504">
        <v>0</v>
      </c>
      <c r="DF82" s="504">
        <v>0</v>
      </c>
      <c r="DG82" s="504">
        <v>0</v>
      </c>
      <c r="DH82" s="504">
        <v>0</v>
      </c>
      <c r="DI82" s="504">
        <v>0</v>
      </c>
      <c r="DJ82" s="504">
        <v>0</v>
      </c>
      <c r="DK82" s="504">
        <v>0</v>
      </c>
      <c r="DL82" s="504">
        <v>0</v>
      </c>
      <c r="DM82" s="504">
        <v>0</v>
      </c>
      <c r="DN82" s="504">
        <v>0</v>
      </c>
      <c r="DO82" s="504">
        <v>0</v>
      </c>
      <c r="DP82" s="504">
        <v>0</v>
      </c>
      <c r="DQ82" s="504">
        <v>0</v>
      </c>
      <c r="DR82" s="504">
        <v>0</v>
      </c>
      <c r="DS82" s="504">
        <v>0</v>
      </c>
      <c r="DT82" s="504">
        <v>0</v>
      </c>
      <c r="DU82" s="504">
        <v>0</v>
      </c>
      <c r="DV82" s="504">
        <v>0</v>
      </c>
      <c r="DW82" s="504">
        <v>0</v>
      </c>
      <c r="DX82" s="504">
        <v>0</v>
      </c>
      <c r="DY82" s="504">
        <v>0</v>
      </c>
      <c r="DZ82" s="504">
        <v>0</v>
      </c>
      <c r="EA82" s="504">
        <v>0</v>
      </c>
      <c r="EB82" s="504">
        <v>0</v>
      </c>
      <c r="EC82" s="504">
        <v>0</v>
      </c>
      <c r="ED82" s="504">
        <v>0</v>
      </c>
      <c r="EE82" s="504">
        <v>0</v>
      </c>
      <c r="EF82" s="504">
        <v>0</v>
      </c>
      <c r="EG82" s="504">
        <v>0</v>
      </c>
      <c r="EH82" s="504">
        <v>0</v>
      </c>
      <c r="EI82" s="504">
        <v>0</v>
      </c>
      <c r="EJ82" s="504">
        <v>0</v>
      </c>
      <c r="EK82" s="504">
        <v>0</v>
      </c>
      <c r="EL82" s="504">
        <v>0</v>
      </c>
      <c r="EM82" s="504">
        <v>0</v>
      </c>
      <c r="EN82" s="504">
        <v>0</v>
      </c>
      <c r="EO82" s="504">
        <v>0</v>
      </c>
      <c r="EP82" s="504">
        <v>0</v>
      </c>
      <c r="EQ82" s="504">
        <v>0</v>
      </c>
      <c r="ER82" s="504">
        <v>0</v>
      </c>
      <c r="ES82" s="504">
        <v>0</v>
      </c>
      <c r="ET82" s="504">
        <v>0</v>
      </c>
      <c r="EU82" s="504">
        <v>0</v>
      </c>
      <c r="EV82" s="504">
        <v>0</v>
      </c>
      <c r="EW82" s="504">
        <v>0</v>
      </c>
      <c r="EX82" s="504">
        <v>0</v>
      </c>
      <c r="EY82" s="504">
        <v>0</v>
      </c>
      <c r="EZ82" s="504">
        <v>0</v>
      </c>
      <c r="FA82" s="504">
        <v>0</v>
      </c>
      <c r="FB82" s="504">
        <v>0</v>
      </c>
      <c r="FC82" s="504">
        <v>0</v>
      </c>
      <c r="FD82" s="504">
        <v>0</v>
      </c>
      <c r="FE82" s="504">
        <v>0</v>
      </c>
      <c r="FF82" s="504">
        <v>0</v>
      </c>
      <c r="FG82" s="504">
        <v>0</v>
      </c>
      <c r="FH82" s="504">
        <v>0</v>
      </c>
      <c r="FI82" s="504">
        <v>0</v>
      </c>
      <c r="FJ82" s="504">
        <v>0</v>
      </c>
      <c r="FK82" s="504">
        <v>0</v>
      </c>
      <c r="FL82" s="504">
        <v>0</v>
      </c>
      <c r="FM82" s="504">
        <v>0</v>
      </c>
      <c r="FN82" s="504">
        <v>0</v>
      </c>
      <c r="FO82" s="504">
        <v>0</v>
      </c>
      <c r="FP82" s="504">
        <v>0</v>
      </c>
      <c r="FQ82" s="504">
        <v>0</v>
      </c>
      <c r="FR82" s="504">
        <v>0</v>
      </c>
      <c r="FS82" s="504">
        <v>0</v>
      </c>
      <c r="FT82" s="504">
        <v>0</v>
      </c>
      <c r="FU82" s="504">
        <v>0</v>
      </c>
      <c r="FV82" s="504">
        <v>0</v>
      </c>
      <c r="FW82" s="504">
        <v>0</v>
      </c>
      <c r="FX82" s="504">
        <v>0</v>
      </c>
      <c r="FY82" s="504">
        <v>0</v>
      </c>
      <c r="FZ82" s="504">
        <v>0</v>
      </c>
      <c r="GA82" s="504">
        <v>0</v>
      </c>
      <c r="GB82" s="504">
        <v>0</v>
      </c>
      <c r="GC82" s="504">
        <v>0</v>
      </c>
      <c r="GD82" s="504">
        <v>0</v>
      </c>
      <c r="GE82" s="504">
        <v>0</v>
      </c>
      <c r="GF82" s="504">
        <v>0</v>
      </c>
      <c r="GG82" s="504">
        <v>0</v>
      </c>
      <c r="GH82" s="504">
        <v>0</v>
      </c>
      <c r="GI82" s="504">
        <v>0</v>
      </c>
      <c r="GJ82" s="504">
        <v>0</v>
      </c>
      <c r="GK82" s="504">
        <v>0</v>
      </c>
      <c r="GL82" s="504">
        <v>0</v>
      </c>
      <c r="GM82" s="504">
        <v>0</v>
      </c>
      <c r="GN82" s="504">
        <v>0</v>
      </c>
      <c r="GO82" s="504">
        <v>0</v>
      </c>
      <c r="GP82" s="504">
        <v>0</v>
      </c>
      <c r="GQ82" s="504">
        <v>0</v>
      </c>
      <c r="GR82" s="504">
        <v>0</v>
      </c>
      <c r="GS82" s="504">
        <v>0</v>
      </c>
      <c r="GT82" s="504">
        <v>0</v>
      </c>
      <c r="GU82" s="504">
        <v>0</v>
      </c>
      <c r="GV82" s="504">
        <v>0</v>
      </c>
      <c r="GW82" s="504">
        <v>0</v>
      </c>
      <c r="GX82" s="504">
        <v>0</v>
      </c>
      <c r="GY82" s="504">
        <v>0</v>
      </c>
      <c r="GZ82" s="504">
        <v>0</v>
      </c>
      <c r="HA82" s="504">
        <v>0</v>
      </c>
      <c r="HB82" s="504">
        <v>0</v>
      </c>
      <c r="HC82" s="504">
        <v>0</v>
      </c>
      <c r="HD82" s="504">
        <v>0</v>
      </c>
      <c r="HE82" s="504">
        <v>0</v>
      </c>
      <c r="HF82" s="504">
        <v>0</v>
      </c>
      <c r="HG82" s="504">
        <v>0</v>
      </c>
      <c r="HH82" s="504">
        <v>0</v>
      </c>
      <c r="HI82" s="504">
        <v>0</v>
      </c>
      <c r="HJ82" s="504">
        <v>0</v>
      </c>
      <c r="HK82" s="504">
        <v>0</v>
      </c>
      <c r="HL82" s="504">
        <v>0</v>
      </c>
      <c r="HM82" s="504">
        <v>0</v>
      </c>
      <c r="HN82" s="504">
        <v>0</v>
      </c>
      <c r="HO82" s="504">
        <v>0</v>
      </c>
      <c r="HP82" s="504">
        <v>0</v>
      </c>
      <c r="HQ82" s="504">
        <v>0</v>
      </c>
      <c r="HR82" s="504">
        <v>0</v>
      </c>
      <c r="HS82" s="504">
        <v>0</v>
      </c>
      <c r="HT82" s="504">
        <v>0</v>
      </c>
      <c r="HU82" s="504">
        <v>0</v>
      </c>
      <c r="HV82" s="504">
        <v>0</v>
      </c>
      <c r="HW82" s="504">
        <v>0</v>
      </c>
      <c r="HX82" s="504">
        <v>0</v>
      </c>
      <c r="HY82" s="504">
        <v>0</v>
      </c>
      <c r="HZ82" s="504">
        <v>0</v>
      </c>
      <c r="IA82" s="504">
        <v>0</v>
      </c>
      <c r="IB82" s="504">
        <v>0</v>
      </c>
      <c r="IC82" s="504">
        <v>0</v>
      </c>
      <c r="ID82" s="504">
        <v>0</v>
      </c>
      <c r="IE82" s="504">
        <v>0</v>
      </c>
      <c r="IF82" s="504">
        <v>0</v>
      </c>
      <c r="IG82" s="504">
        <v>0</v>
      </c>
      <c r="IH82" s="504">
        <v>0</v>
      </c>
      <c r="II82" s="504">
        <v>0</v>
      </c>
      <c r="IJ82" s="504">
        <v>0</v>
      </c>
      <c r="IK82" s="504">
        <v>0</v>
      </c>
      <c r="IL82" s="504">
        <v>0</v>
      </c>
      <c r="IM82" s="504">
        <v>0</v>
      </c>
      <c r="IN82" s="504">
        <v>0</v>
      </c>
      <c r="IO82" s="504">
        <v>0</v>
      </c>
      <c r="IP82" s="504">
        <v>0</v>
      </c>
      <c r="IQ82" s="504">
        <v>0</v>
      </c>
      <c r="IR82" s="504">
        <v>0</v>
      </c>
      <c r="IS82" s="504">
        <v>0</v>
      </c>
      <c r="IT82" s="504">
        <v>0</v>
      </c>
      <c r="IU82" s="504">
        <v>0</v>
      </c>
      <c r="IV82" s="504">
        <v>0</v>
      </c>
      <c r="IW82" s="504">
        <v>0</v>
      </c>
      <c r="IX82" s="504">
        <v>0</v>
      </c>
      <c r="IY82" s="504">
        <v>0</v>
      </c>
      <c r="IZ82" s="504">
        <v>0</v>
      </c>
      <c r="JA82" s="504">
        <v>0</v>
      </c>
      <c r="JB82" s="504">
        <v>0</v>
      </c>
      <c r="JC82" s="504">
        <v>0</v>
      </c>
      <c r="JD82" s="504">
        <v>0</v>
      </c>
      <c r="JE82" s="504">
        <v>0</v>
      </c>
      <c r="JF82" s="504">
        <v>0</v>
      </c>
      <c r="JG82" s="504">
        <v>0</v>
      </c>
      <c r="JH82" s="504">
        <v>0</v>
      </c>
      <c r="JI82" s="504">
        <v>0</v>
      </c>
      <c r="JJ82" s="504">
        <v>0</v>
      </c>
      <c r="JK82" s="504">
        <v>0</v>
      </c>
      <c r="JL82" s="504">
        <v>0</v>
      </c>
      <c r="JM82" s="504">
        <v>0</v>
      </c>
      <c r="JN82" s="504">
        <v>0</v>
      </c>
      <c r="JO82" s="504">
        <v>0</v>
      </c>
      <c r="JP82" s="504">
        <v>0</v>
      </c>
      <c r="JQ82" s="504">
        <v>0</v>
      </c>
      <c r="JR82" s="504">
        <v>0</v>
      </c>
      <c r="JS82" s="504">
        <v>0</v>
      </c>
      <c r="JT82" s="504">
        <v>0</v>
      </c>
      <c r="JU82" s="504">
        <v>0</v>
      </c>
      <c r="JV82" s="504">
        <v>0</v>
      </c>
      <c r="JW82" s="504">
        <v>0</v>
      </c>
      <c r="JX82" s="504">
        <v>0</v>
      </c>
      <c r="JY82" s="504">
        <v>0</v>
      </c>
      <c r="JZ82" s="504">
        <v>0</v>
      </c>
      <c r="KA82" s="504">
        <v>0</v>
      </c>
      <c r="KB82" s="504">
        <v>0</v>
      </c>
      <c r="KC82" s="504">
        <v>0</v>
      </c>
      <c r="KD82" s="504">
        <v>0</v>
      </c>
      <c r="KE82" s="504">
        <v>0</v>
      </c>
      <c r="KF82" s="504">
        <v>0</v>
      </c>
      <c r="KG82" s="504">
        <v>0</v>
      </c>
      <c r="KH82" s="504">
        <v>0</v>
      </c>
      <c r="KI82" s="504">
        <v>0</v>
      </c>
      <c r="KJ82" s="504">
        <v>0</v>
      </c>
      <c r="KK82" s="504">
        <v>0</v>
      </c>
      <c r="KL82" s="504">
        <v>0</v>
      </c>
      <c r="KM82" s="504">
        <v>0</v>
      </c>
      <c r="KN82" s="504">
        <v>0</v>
      </c>
      <c r="KO82" s="504">
        <v>0</v>
      </c>
      <c r="KP82" s="504">
        <v>0</v>
      </c>
      <c r="KQ82" s="504">
        <v>0</v>
      </c>
      <c r="KR82" s="504">
        <v>0</v>
      </c>
      <c r="KS82" s="504">
        <v>0</v>
      </c>
      <c r="KT82" s="504">
        <v>0</v>
      </c>
      <c r="KU82" s="504">
        <v>0</v>
      </c>
      <c r="KV82" s="504">
        <v>0</v>
      </c>
      <c r="KW82" s="504">
        <v>0</v>
      </c>
      <c r="KX82" s="504">
        <v>0</v>
      </c>
      <c r="KY82" s="504">
        <v>0</v>
      </c>
      <c r="KZ82" s="504">
        <v>0</v>
      </c>
      <c r="LA82" s="504">
        <v>0</v>
      </c>
      <c r="LB82" s="504">
        <v>0</v>
      </c>
      <c r="LC82" s="504">
        <v>0</v>
      </c>
      <c r="LD82" s="504">
        <v>0</v>
      </c>
      <c r="LE82" s="504">
        <v>0</v>
      </c>
      <c r="LF82" s="504">
        <v>0</v>
      </c>
      <c r="LG82" s="504">
        <v>0</v>
      </c>
      <c r="LH82" s="504">
        <v>0</v>
      </c>
      <c r="LI82" s="504">
        <v>0</v>
      </c>
      <c r="LJ82" s="504">
        <v>0</v>
      </c>
      <c r="LK82" s="504">
        <v>0</v>
      </c>
      <c r="LL82" s="504">
        <v>0</v>
      </c>
      <c r="LM82" s="504">
        <v>0</v>
      </c>
      <c r="LN82" s="504">
        <v>0</v>
      </c>
      <c r="LO82" s="504">
        <v>0</v>
      </c>
      <c r="LP82" s="504">
        <v>0</v>
      </c>
      <c r="LQ82" s="504">
        <v>0</v>
      </c>
      <c r="LR82" s="504">
        <v>0</v>
      </c>
      <c r="LS82" s="504">
        <v>0</v>
      </c>
      <c r="LT82" s="504">
        <v>0</v>
      </c>
      <c r="LU82" s="504">
        <v>0</v>
      </c>
      <c r="LV82" s="504">
        <v>0</v>
      </c>
      <c r="LW82" s="504">
        <v>0</v>
      </c>
      <c r="LX82" s="504">
        <v>0</v>
      </c>
      <c r="LY82" s="504">
        <v>0</v>
      </c>
      <c r="LZ82" s="504">
        <v>0</v>
      </c>
      <c r="MA82" s="504">
        <v>0</v>
      </c>
      <c r="MB82" s="504">
        <v>0</v>
      </c>
      <c r="MC82" s="504">
        <v>0</v>
      </c>
      <c r="MD82" s="504">
        <v>0</v>
      </c>
      <c r="ME82" s="504">
        <v>0</v>
      </c>
      <c r="MF82" s="504">
        <v>0</v>
      </c>
      <c r="MG82" s="504">
        <v>0</v>
      </c>
      <c r="MH82" s="504">
        <v>0</v>
      </c>
      <c r="MI82" s="504">
        <v>0</v>
      </c>
      <c r="MJ82" s="504">
        <v>0</v>
      </c>
      <c r="MK82" s="504">
        <v>0</v>
      </c>
      <c r="ML82" s="504">
        <v>0</v>
      </c>
      <c r="MM82" s="504">
        <v>0</v>
      </c>
      <c r="MN82" s="504">
        <v>0</v>
      </c>
      <c r="MO82" s="504">
        <v>0</v>
      </c>
      <c r="MP82" s="504">
        <v>0</v>
      </c>
      <c r="MQ82" s="504">
        <v>0</v>
      </c>
      <c r="MR82" s="504">
        <v>0</v>
      </c>
      <c r="MS82" s="504">
        <v>0</v>
      </c>
      <c r="MT82" s="504">
        <v>0</v>
      </c>
      <c r="MU82" s="504">
        <v>0</v>
      </c>
      <c r="MV82" s="504">
        <v>0</v>
      </c>
      <c r="MW82" s="504">
        <v>0</v>
      </c>
      <c r="MX82" s="504">
        <v>0</v>
      </c>
      <c r="MY82" s="504">
        <v>0</v>
      </c>
      <c r="MZ82" s="504">
        <v>0</v>
      </c>
      <c r="NA82" s="504">
        <v>0</v>
      </c>
      <c r="NB82" s="504">
        <v>0</v>
      </c>
      <c r="NC82" s="504">
        <v>0</v>
      </c>
      <c r="ND82" s="504">
        <v>0</v>
      </c>
      <c r="NE82" s="504">
        <v>0</v>
      </c>
      <c r="NF82" s="504">
        <v>0</v>
      </c>
      <c r="NG82" s="504">
        <v>0</v>
      </c>
      <c r="NH82" s="504">
        <v>0</v>
      </c>
      <c r="NI82" s="504">
        <v>0</v>
      </c>
      <c r="NJ82" s="504">
        <v>0</v>
      </c>
      <c r="NK82" s="504">
        <v>0</v>
      </c>
      <c r="NL82" s="504">
        <v>0</v>
      </c>
      <c r="NM82" s="504">
        <v>0</v>
      </c>
      <c r="NN82" s="504">
        <v>0</v>
      </c>
      <c r="NO82" s="504">
        <v>0</v>
      </c>
      <c r="NP82" s="504">
        <v>0</v>
      </c>
      <c r="NQ82" s="504">
        <v>0</v>
      </c>
      <c r="NR82" s="504">
        <v>0</v>
      </c>
      <c r="NS82" s="504">
        <v>0</v>
      </c>
      <c r="NT82" s="504">
        <v>0</v>
      </c>
      <c r="NU82" s="504">
        <v>0</v>
      </c>
      <c r="NV82" s="504">
        <v>0</v>
      </c>
      <c r="NW82" s="504">
        <v>0</v>
      </c>
      <c r="NX82" s="504">
        <v>0</v>
      </c>
      <c r="NY82" s="504">
        <v>0</v>
      </c>
      <c r="NZ82" s="504">
        <v>0</v>
      </c>
      <c r="OA82" s="504">
        <v>0</v>
      </c>
      <c r="OB82" s="504">
        <v>0</v>
      </c>
      <c r="OC82" s="504">
        <v>0</v>
      </c>
      <c r="OD82" s="504">
        <v>0</v>
      </c>
      <c r="OE82" s="504">
        <v>0</v>
      </c>
      <c r="OF82" s="504">
        <v>0</v>
      </c>
      <c r="OG82" s="504">
        <v>0</v>
      </c>
      <c r="OH82" s="504">
        <v>0</v>
      </c>
      <c r="OI82" s="504">
        <v>0</v>
      </c>
      <c r="OJ82" s="504">
        <v>0</v>
      </c>
      <c r="OK82" s="504">
        <v>0</v>
      </c>
      <c r="OL82" s="504">
        <v>0</v>
      </c>
      <c r="OM82" s="513">
        <v>0</v>
      </c>
      <c r="ON82" s="494"/>
    </row>
    <row r="83" spans="1:404" ht="18.75" customHeight="1" x14ac:dyDescent="0.4">
      <c r="A83" s="511" t="s">
        <v>353</v>
      </c>
      <c r="B83" s="512">
        <v>149</v>
      </c>
      <c r="C83" s="511" t="s">
        <v>60</v>
      </c>
      <c r="D83" s="501">
        <v>14.34</v>
      </c>
      <c r="E83" s="502">
        <v>16872</v>
      </c>
      <c r="F83" s="501">
        <v>14.34</v>
      </c>
      <c r="G83" s="502">
        <v>2376</v>
      </c>
      <c r="H83" s="501">
        <v>14.34</v>
      </c>
      <c r="I83" s="502">
        <v>9151</v>
      </c>
      <c r="J83" s="501">
        <v>14.34</v>
      </c>
      <c r="K83" s="502">
        <v>12749</v>
      </c>
      <c r="V83" s="501"/>
      <c r="W83" s="503"/>
      <c r="X83" s="501"/>
      <c r="Y83" s="503"/>
      <c r="Z83" s="501"/>
      <c r="AA83" s="503"/>
      <c r="AB83" s="495"/>
      <c r="AC83" s="504">
        <v>0</v>
      </c>
      <c r="AD83" s="504">
        <v>0</v>
      </c>
      <c r="AE83" s="504">
        <v>0</v>
      </c>
      <c r="AF83" s="504">
        <v>0</v>
      </c>
      <c r="AG83" s="504">
        <v>0</v>
      </c>
      <c r="AH83" s="504">
        <v>0</v>
      </c>
      <c r="AI83" s="504">
        <v>0</v>
      </c>
      <c r="AJ83" s="504">
        <v>0</v>
      </c>
      <c r="AK83" s="504">
        <v>0</v>
      </c>
      <c r="AL83" s="504">
        <v>0</v>
      </c>
      <c r="AM83" s="504">
        <v>0</v>
      </c>
      <c r="AN83" s="504">
        <v>0</v>
      </c>
      <c r="AO83" s="504">
        <v>0</v>
      </c>
      <c r="AP83" s="504">
        <v>0</v>
      </c>
      <c r="AQ83" s="504">
        <v>0</v>
      </c>
      <c r="AR83" s="504">
        <v>0</v>
      </c>
      <c r="AS83" s="504">
        <v>0</v>
      </c>
      <c r="AT83" s="504">
        <v>0</v>
      </c>
      <c r="AU83" s="504">
        <v>0</v>
      </c>
      <c r="AV83" s="504">
        <v>0</v>
      </c>
      <c r="AW83" s="504">
        <v>0</v>
      </c>
      <c r="AX83" s="504">
        <v>0</v>
      </c>
      <c r="AY83" s="504">
        <v>0</v>
      </c>
      <c r="AZ83" s="504">
        <v>0</v>
      </c>
      <c r="BA83" s="504">
        <v>0</v>
      </c>
      <c r="BB83" s="504">
        <v>0</v>
      </c>
      <c r="BC83" s="504">
        <v>0</v>
      </c>
      <c r="BD83" s="504">
        <v>0</v>
      </c>
      <c r="BE83" s="504">
        <v>0</v>
      </c>
      <c r="BF83" s="504">
        <v>0</v>
      </c>
      <c r="BG83" s="504">
        <v>0</v>
      </c>
      <c r="BH83" s="504">
        <v>0</v>
      </c>
      <c r="BI83" s="504">
        <v>0</v>
      </c>
      <c r="BJ83" s="504">
        <v>0</v>
      </c>
      <c r="BK83" s="504">
        <v>0</v>
      </c>
      <c r="BL83" s="504">
        <v>0</v>
      </c>
      <c r="BM83" s="504">
        <v>0</v>
      </c>
      <c r="BN83" s="504">
        <v>0</v>
      </c>
      <c r="BO83" s="504">
        <v>0</v>
      </c>
      <c r="BP83" s="504">
        <v>0</v>
      </c>
      <c r="BQ83" s="504">
        <v>0</v>
      </c>
      <c r="BR83" s="504">
        <v>0</v>
      </c>
      <c r="BS83" s="504">
        <v>0</v>
      </c>
      <c r="BT83" s="504">
        <v>0</v>
      </c>
      <c r="BU83" s="504">
        <v>0</v>
      </c>
      <c r="BV83" s="504">
        <v>0</v>
      </c>
      <c r="BW83" s="504">
        <v>0</v>
      </c>
      <c r="BX83" s="504">
        <v>0</v>
      </c>
      <c r="BY83" s="504">
        <v>0</v>
      </c>
      <c r="BZ83" s="504">
        <v>0</v>
      </c>
      <c r="CA83" s="504">
        <v>0</v>
      </c>
      <c r="CB83" s="504">
        <v>0</v>
      </c>
      <c r="CC83" s="504">
        <v>0</v>
      </c>
      <c r="CD83" s="504">
        <v>0</v>
      </c>
      <c r="CE83" s="504">
        <v>0</v>
      </c>
      <c r="CF83" s="504">
        <v>0</v>
      </c>
      <c r="CG83" s="504">
        <v>0</v>
      </c>
      <c r="CH83" s="504">
        <v>0</v>
      </c>
      <c r="CI83" s="504">
        <v>0</v>
      </c>
      <c r="CJ83" s="504">
        <v>0</v>
      </c>
      <c r="CK83" s="504">
        <v>0</v>
      </c>
      <c r="CL83" s="504">
        <v>0</v>
      </c>
      <c r="CM83" s="504">
        <v>0</v>
      </c>
      <c r="CN83" s="504">
        <v>0</v>
      </c>
      <c r="CO83" s="504">
        <v>0</v>
      </c>
      <c r="CP83" s="504">
        <v>0</v>
      </c>
      <c r="CQ83" s="504">
        <v>0</v>
      </c>
      <c r="CR83" s="504">
        <v>0</v>
      </c>
      <c r="CS83" s="504">
        <v>0</v>
      </c>
      <c r="CT83" s="504">
        <v>0</v>
      </c>
      <c r="CU83" s="504">
        <v>0</v>
      </c>
      <c r="CV83" s="504">
        <v>0</v>
      </c>
      <c r="CW83" s="504">
        <v>0</v>
      </c>
      <c r="CX83" s="504">
        <v>0</v>
      </c>
      <c r="CY83" s="504">
        <v>0</v>
      </c>
      <c r="CZ83" s="504">
        <v>0</v>
      </c>
      <c r="DA83" s="504">
        <v>0</v>
      </c>
      <c r="DB83" s="504">
        <v>0</v>
      </c>
      <c r="DC83" s="504">
        <v>0</v>
      </c>
      <c r="DD83" s="504">
        <v>0</v>
      </c>
      <c r="DE83" s="504">
        <v>0</v>
      </c>
      <c r="DF83" s="504">
        <v>0</v>
      </c>
      <c r="DG83" s="504">
        <v>0</v>
      </c>
      <c r="DH83" s="504">
        <v>0</v>
      </c>
      <c r="DI83" s="504">
        <v>0</v>
      </c>
      <c r="DJ83" s="504">
        <v>0</v>
      </c>
      <c r="DK83" s="504">
        <v>0</v>
      </c>
      <c r="DL83" s="504">
        <v>0</v>
      </c>
      <c r="DM83" s="504">
        <v>0</v>
      </c>
      <c r="DN83" s="504">
        <v>0</v>
      </c>
      <c r="DO83" s="504">
        <v>0</v>
      </c>
      <c r="DP83" s="504">
        <v>0</v>
      </c>
      <c r="DQ83" s="504">
        <v>0</v>
      </c>
      <c r="DR83" s="504">
        <v>0</v>
      </c>
      <c r="DS83" s="504">
        <v>0</v>
      </c>
      <c r="DT83" s="504">
        <v>0</v>
      </c>
      <c r="DU83" s="504">
        <v>0</v>
      </c>
      <c r="DV83" s="504">
        <v>0</v>
      </c>
      <c r="DW83" s="504">
        <v>0</v>
      </c>
      <c r="DX83" s="504">
        <v>0</v>
      </c>
      <c r="DY83" s="504">
        <v>0</v>
      </c>
      <c r="DZ83" s="504">
        <v>0</v>
      </c>
      <c r="EA83" s="504">
        <v>0</v>
      </c>
      <c r="EB83" s="504">
        <v>0</v>
      </c>
      <c r="EC83" s="504">
        <v>0</v>
      </c>
      <c r="ED83" s="504">
        <v>0</v>
      </c>
      <c r="EE83" s="504">
        <v>0</v>
      </c>
      <c r="EF83" s="504">
        <v>0</v>
      </c>
      <c r="EG83" s="504">
        <v>0</v>
      </c>
      <c r="EH83" s="504">
        <v>0</v>
      </c>
      <c r="EI83" s="504">
        <v>0</v>
      </c>
      <c r="EJ83" s="504">
        <v>0</v>
      </c>
      <c r="EK83" s="504">
        <v>0</v>
      </c>
      <c r="EL83" s="504">
        <v>0</v>
      </c>
      <c r="EM83" s="504">
        <v>0</v>
      </c>
      <c r="EN83" s="504">
        <v>0</v>
      </c>
      <c r="EO83" s="504">
        <v>0</v>
      </c>
      <c r="EP83" s="504">
        <v>0</v>
      </c>
      <c r="EQ83" s="504">
        <v>0</v>
      </c>
      <c r="ER83" s="504">
        <v>0</v>
      </c>
      <c r="ES83" s="504">
        <v>0</v>
      </c>
      <c r="ET83" s="504">
        <v>0</v>
      </c>
      <c r="EU83" s="504">
        <v>0</v>
      </c>
      <c r="EV83" s="504">
        <v>0</v>
      </c>
      <c r="EW83" s="504">
        <v>0</v>
      </c>
      <c r="EX83" s="504">
        <v>0</v>
      </c>
      <c r="EY83" s="504">
        <v>0</v>
      </c>
      <c r="EZ83" s="504">
        <v>0</v>
      </c>
      <c r="FA83" s="504">
        <v>0</v>
      </c>
      <c r="FB83" s="504">
        <v>0</v>
      </c>
      <c r="FC83" s="504">
        <v>0</v>
      </c>
      <c r="FD83" s="504">
        <v>0</v>
      </c>
      <c r="FE83" s="504">
        <v>0</v>
      </c>
      <c r="FF83" s="504">
        <v>0</v>
      </c>
      <c r="FG83" s="504">
        <v>0</v>
      </c>
      <c r="FH83" s="504">
        <v>0</v>
      </c>
      <c r="FI83" s="504">
        <v>0</v>
      </c>
      <c r="FJ83" s="504">
        <v>0</v>
      </c>
      <c r="FK83" s="504">
        <v>0</v>
      </c>
      <c r="FL83" s="504">
        <v>0</v>
      </c>
      <c r="FM83" s="504">
        <v>0</v>
      </c>
      <c r="FN83" s="504">
        <v>0</v>
      </c>
      <c r="FO83" s="504">
        <v>0</v>
      </c>
      <c r="FP83" s="504">
        <v>0</v>
      </c>
      <c r="FQ83" s="504">
        <v>0</v>
      </c>
      <c r="FR83" s="504">
        <v>0</v>
      </c>
      <c r="FS83" s="504">
        <v>0</v>
      </c>
      <c r="FT83" s="504">
        <v>0</v>
      </c>
      <c r="FU83" s="504">
        <v>0</v>
      </c>
      <c r="FV83" s="504">
        <v>0</v>
      </c>
      <c r="FW83" s="504">
        <v>0</v>
      </c>
      <c r="FX83" s="504">
        <v>0</v>
      </c>
      <c r="FY83" s="504">
        <v>0</v>
      </c>
      <c r="FZ83" s="504">
        <v>0</v>
      </c>
      <c r="GA83" s="504">
        <v>0</v>
      </c>
      <c r="GB83" s="504">
        <v>0</v>
      </c>
      <c r="GC83" s="504">
        <v>0</v>
      </c>
      <c r="GD83" s="504">
        <v>0</v>
      </c>
      <c r="GE83" s="504">
        <v>0</v>
      </c>
      <c r="GF83" s="504">
        <v>0</v>
      </c>
      <c r="GG83" s="504">
        <v>0</v>
      </c>
      <c r="GH83" s="504">
        <v>0</v>
      </c>
      <c r="GI83" s="504">
        <v>0</v>
      </c>
      <c r="GJ83" s="504">
        <v>0</v>
      </c>
      <c r="GK83" s="504">
        <v>0</v>
      </c>
      <c r="GL83" s="504">
        <v>0</v>
      </c>
      <c r="GM83" s="504">
        <v>0</v>
      </c>
      <c r="GN83" s="504">
        <v>0</v>
      </c>
      <c r="GO83" s="504">
        <v>0</v>
      </c>
      <c r="GP83" s="504">
        <v>0</v>
      </c>
      <c r="GQ83" s="504">
        <v>0</v>
      </c>
      <c r="GR83" s="504">
        <v>0</v>
      </c>
      <c r="GS83" s="504">
        <v>0</v>
      </c>
      <c r="GT83" s="504">
        <v>0</v>
      </c>
      <c r="GU83" s="504">
        <v>0</v>
      </c>
      <c r="GV83" s="504">
        <v>0</v>
      </c>
      <c r="GW83" s="504">
        <v>0</v>
      </c>
      <c r="GX83" s="504">
        <v>0</v>
      </c>
      <c r="GY83" s="504">
        <v>0</v>
      </c>
      <c r="GZ83" s="504">
        <v>0</v>
      </c>
      <c r="HA83" s="504">
        <v>0</v>
      </c>
      <c r="HB83" s="504">
        <v>0</v>
      </c>
      <c r="HC83" s="504">
        <v>0</v>
      </c>
      <c r="HD83" s="504">
        <v>0</v>
      </c>
      <c r="HE83" s="504">
        <v>0</v>
      </c>
      <c r="HF83" s="504">
        <v>0</v>
      </c>
      <c r="HG83" s="504">
        <v>0</v>
      </c>
      <c r="HH83" s="504">
        <v>0</v>
      </c>
      <c r="HI83" s="504">
        <v>0</v>
      </c>
      <c r="HJ83" s="504">
        <v>0</v>
      </c>
      <c r="HK83" s="504">
        <v>0</v>
      </c>
      <c r="HL83" s="504">
        <v>0</v>
      </c>
      <c r="HM83" s="504">
        <v>0</v>
      </c>
      <c r="HN83" s="504">
        <v>0</v>
      </c>
      <c r="HO83" s="504">
        <v>0</v>
      </c>
      <c r="HP83" s="504">
        <v>0</v>
      </c>
      <c r="HQ83" s="504">
        <v>0</v>
      </c>
      <c r="HR83" s="504">
        <v>0</v>
      </c>
      <c r="HS83" s="504">
        <v>0</v>
      </c>
      <c r="HT83" s="504">
        <v>0</v>
      </c>
      <c r="HU83" s="504">
        <v>0</v>
      </c>
      <c r="HV83" s="504">
        <v>0</v>
      </c>
      <c r="HW83" s="504">
        <v>0</v>
      </c>
      <c r="HX83" s="504">
        <v>0</v>
      </c>
      <c r="HY83" s="504">
        <v>0</v>
      </c>
      <c r="HZ83" s="504">
        <v>0</v>
      </c>
      <c r="IA83" s="504">
        <v>0</v>
      </c>
      <c r="IB83" s="504">
        <v>0</v>
      </c>
      <c r="IC83" s="504">
        <v>0</v>
      </c>
      <c r="ID83" s="504">
        <v>0</v>
      </c>
      <c r="IE83" s="504">
        <v>0</v>
      </c>
      <c r="IF83" s="504">
        <v>0</v>
      </c>
      <c r="IG83" s="504">
        <v>0</v>
      </c>
      <c r="IH83" s="504">
        <v>0</v>
      </c>
      <c r="II83" s="504">
        <v>0</v>
      </c>
      <c r="IJ83" s="504">
        <v>0</v>
      </c>
      <c r="IK83" s="504">
        <v>0</v>
      </c>
      <c r="IL83" s="504">
        <v>0</v>
      </c>
      <c r="IM83" s="504">
        <v>0</v>
      </c>
      <c r="IN83" s="504">
        <v>0</v>
      </c>
      <c r="IO83" s="504">
        <v>0</v>
      </c>
      <c r="IP83" s="504">
        <v>0</v>
      </c>
      <c r="IQ83" s="504">
        <v>0</v>
      </c>
      <c r="IR83" s="504">
        <v>0</v>
      </c>
      <c r="IS83" s="504">
        <v>0</v>
      </c>
      <c r="IT83" s="504">
        <v>0</v>
      </c>
      <c r="IU83" s="504">
        <v>0</v>
      </c>
      <c r="IV83" s="504">
        <v>0</v>
      </c>
      <c r="IW83" s="504">
        <v>0</v>
      </c>
      <c r="IX83" s="504">
        <v>0</v>
      </c>
      <c r="IY83" s="504">
        <v>0</v>
      </c>
      <c r="IZ83" s="504">
        <v>0</v>
      </c>
      <c r="JA83" s="504">
        <v>0</v>
      </c>
      <c r="JB83" s="504">
        <v>0</v>
      </c>
      <c r="JC83" s="504">
        <v>0</v>
      </c>
      <c r="JD83" s="504">
        <v>0</v>
      </c>
      <c r="JE83" s="504">
        <v>0</v>
      </c>
      <c r="JF83" s="504">
        <v>0</v>
      </c>
      <c r="JG83" s="504">
        <v>0</v>
      </c>
      <c r="JH83" s="504">
        <v>0</v>
      </c>
      <c r="JI83" s="504">
        <v>0</v>
      </c>
      <c r="JJ83" s="504">
        <v>0</v>
      </c>
      <c r="JK83" s="504">
        <v>0</v>
      </c>
      <c r="JL83" s="504">
        <v>0</v>
      </c>
      <c r="JM83" s="504">
        <v>0</v>
      </c>
      <c r="JN83" s="504">
        <v>0</v>
      </c>
      <c r="JO83" s="504">
        <v>0</v>
      </c>
      <c r="JP83" s="504">
        <v>0</v>
      </c>
      <c r="JQ83" s="504">
        <v>0</v>
      </c>
      <c r="JR83" s="504">
        <v>0</v>
      </c>
      <c r="JS83" s="504">
        <v>0</v>
      </c>
      <c r="JT83" s="504">
        <v>0</v>
      </c>
      <c r="JU83" s="504">
        <v>0</v>
      </c>
      <c r="JV83" s="504">
        <v>0</v>
      </c>
      <c r="JW83" s="504">
        <v>0</v>
      </c>
      <c r="JX83" s="504">
        <v>0</v>
      </c>
      <c r="JY83" s="504">
        <v>0</v>
      </c>
      <c r="JZ83" s="504">
        <v>0</v>
      </c>
      <c r="KA83" s="504">
        <v>0</v>
      </c>
      <c r="KB83" s="504">
        <v>0</v>
      </c>
      <c r="KC83" s="504">
        <v>0</v>
      </c>
      <c r="KD83" s="504">
        <v>0</v>
      </c>
      <c r="KE83" s="504">
        <v>0</v>
      </c>
      <c r="KF83" s="504">
        <v>0</v>
      </c>
      <c r="KG83" s="504">
        <v>0</v>
      </c>
      <c r="KH83" s="504">
        <v>0</v>
      </c>
      <c r="KI83" s="504">
        <v>0</v>
      </c>
      <c r="KJ83" s="504">
        <v>0</v>
      </c>
      <c r="KK83" s="504">
        <v>0</v>
      </c>
      <c r="KL83" s="504">
        <v>0</v>
      </c>
      <c r="KM83" s="504">
        <v>0</v>
      </c>
      <c r="KN83" s="504">
        <v>0</v>
      </c>
      <c r="KO83" s="504">
        <v>0</v>
      </c>
      <c r="KP83" s="504">
        <v>0</v>
      </c>
      <c r="KQ83" s="504">
        <v>0</v>
      </c>
      <c r="KR83" s="504">
        <v>0</v>
      </c>
      <c r="KS83" s="504">
        <v>0</v>
      </c>
      <c r="KT83" s="504">
        <v>0</v>
      </c>
      <c r="KU83" s="504">
        <v>0</v>
      </c>
      <c r="KV83" s="504">
        <v>0</v>
      </c>
      <c r="KW83" s="504">
        <v>0</v>
      </c>
      <c r="KX83" s="504">
        <v>0</v>
      </c>
      <c r="KY83" s="504">
        <v>0</v>
      </c>
      <c r="KZ83" s="504">
        <v>0</v>
      </c>
      <c r="LA83" s="504">
        <v>0</v>
      </c>
      <c r="LB83" s="504">
        <v>0</v>
      </c>
      <c r="LC83" s="504">
        <v>0</v>
      </c>
      <c r="LD83" s="504">
        <v>0</v>
      </c>
      <c r="LE83" s="504">
        <v>0</v>
      </c>
      <c r="LF83" s="504">
        <v>0</v>
      </c>
      <c r="LG83" s="504">
        <v>0</v>
      </c>
      <c r="LH83" s="504">
        <v>0</v>
      </c>
      <c r="LI83" s="504">
        <v>0</v>
      </c>
      <c r="LJ83" s="504">
        <v>0</v>
      </c>
      <c r="LK83" s="504">
        <v>0</v>
      </c>
      <c r="LL83" s="504">
        <v>0</v>
      </c>
      <c r="LM83" s="504">
        <v>0</v>
      </c>
      <c r="LN83" s="504">
        <v>0</v>
      </c>
      <c r="LO83" s="504">
        <v>0</v>
      </c>
      <c r="LP83" s="504">
        <v>0</v>
      </c>
      <c r="LQ83" s="504">
        <v>0</v>
      </c>
      <c r="LR83" s="504">
        <v>0</v>
      </c>
      <c r="LS83" s="504">
        <v>0</v>
      </c>
      <c r="LT83" s="504">
        <v>0</v>
      </c>
      <c r="LU83" s="504">
        <v>0</v>
      </c>
      <c r="LV83" s="504">
        <v>0</v>
      </c>
      <c r="LW83" s="504">
        <v>0</v>
      </c>
      <c r="LX83" s="504">
        <v>0</v>
      </c>
      <c r="LY83" s="504">
        <v>0</v>
      </c>
      <c r="LZ83" s="504">
        <v>0</v>
      </c>
      <c r="MA83" s="504">
        <v>0</v>
      </c>
      <c r="MB83" s="504">
        <v>0</v>
      </c>
      <c r="MC83" s="504">
        <v>0</v>
      </c>
      <c r="MD83" s="504">
        <v>0</v>
      </c>
      <c r="ME83" s="504">
        <v>0</v>
      </c>
      <c r="MF83" s="504">
        <v>0</v>
      </c>
      <c r="MG83" s="504">
        <v>0</v>
      </c>
      <c r="MH83" s="504">
        <v>0</v>
      </c>
      <c r="MI83" s="504">
        <v>0</v>
      </c>
      <c r="MJ83" s="504">
        <v>0</v>
      </c>
      <c r="MK83" s="504">
        <v>0</v>
      </c>
      <c r="ML83" s="504">
        <v>0</v>
      </c>
      <c r="MM83" s="504">
        <v>0</v>
      </c>
      <c r="MN83" s="504">
        <v>0</v>
      </c>
      <c r="MO83" s="504">
        <v>0</v>
      </c>
      <c r="MP83" s="504">
        <v>0</v>
      </c>
      <c r="MQ83" s="504">
        <v>0</v>
      </c>
      <c r="MR83" s="504">
        <v>0</v>
      </c>
      <c r="MS83" s="504">
        <v>0</v>
      </c>
      <c r="MT83" s="504">
        <v>0</v>
      </c>
      <c r="MU83" s="504">
        <v>0</v>
      </c>
      <c r="MV83" s="504">
        <v>0</v>
      </c>
      <c r="MW83" s="504">
        <v>0</v>
      </c>
      <c r="MX83" s="504">
        <v>0</v>
      </c>
      <c r="MY83" s="504">
        <v>0</v>
      </c>
      <c r="MZ83" s="504">
        <v>0</v>
      </c>
      <c r="NA83" s="504">
        <v>0</v>
      </c>
      <c r="NB83" s="504">
        <v>0</v>
      </c>
      <c r="NC83" s="504">
        <v>0</v>
      </c>
      <c r="ND83" s="504">
        <v>0</v>
      </c>
      <c r="NE83" s="504">
        <v>0</v>
      </c>
      <c r="NF83" s="504">
        <v>0</v>
      </c>
      <c r="NG83" s="504">
        <v>0</v>
      </c>
      <c r="NH83" s="504">
        <v>0</v>
      </c>
      <c r="NI83" s="504">
        <v>0</v>
      </c>
      <c r="NJ83" s="504">
        <v>0</v>
      </c>
      <c r="NK83" s="504">
        <v>0</v>
      </c>
      <c r="NL83" s="504">
        <v>0</v>
      </c>
      <c r="NM83" s="504">
        <v>0</v>
      </c>
      <c r="NN83" s="504">
        <v>0</v>
      </c>
      <c r="NO83" s="504">
        <v>0</v>
      </c>
      <c r="NP83" s="504">
        <v>0</v>
      </c>
      <c r="NQ83" s="504">
        <v>0</v>
      </c>
      <c r="NR83" s="504">
        <v>0</v>
      </c>
      <c r="NS83" s="504">
        <v>0</v>
      </c>
      <c r="NT83" s="504">
        <v>0</v>
      </c>
      <c r="NU83" s="504">
        <v>0</v>
      </c>
      <c r="NV83" s="504">
        <v>0</v>
      </c>
      <c r="NW83" s="504">
        <v>0</v>
      </c>
      <c r="NX83" s="504">
        <v>0</v>
      </c>
      <c r="NY83" s="504">
        <v>0</v>
      </c>
      <c r="NZ83" s="504">
        <v>0</v>
      </c>
      <c r="OA83" s="504">
        <v>0</v>
      </c>
      <c r="OB83" s="504">
        <v>0</v>
      </c>
      <c r="OC83" s="504">
        <v>0</v>
      </c>
      <c r="OD83" s="504">
        <v>0</v>
      </c>
      <c r="OE83" s="504">
        <v>0</v>
      </c>
      <c r="OF83" s="504">
        <v>0</v>
      </c>
      <c r="OG83" s="504">
        <v>0</v>
      </c>
      <c r="OH83" s="504">
        <v>0</v>
      </c>
      <c r="OI83" s="504">
        <v>0</v>
      </c>
      <c r="OJ83" s="504">
        <v>0</v>
      </c>
      <c r="OK83" s="504">
        <v>0</v>
      </c>
      <c r="OL83" s="504">
        <v>0</v>
      </c>
      <c r="OM83" s="504">
        <v>0</v>
      </c>
      <c r="ON83" s="494"/>
    </row>
    <row r="84" spans="1:404" ht="18.75" customHeight="1" x14ac:dyDescent="0.4">
      <c r="A84" s="511" t="s">
        <v>354</v>
      </c>
      <c r="B84" s="512">
        <v>128</v>
      </c>
      <c r="C84" s="511" t="s">
        <v>60</v>
      </c>
      <c r="D84" s="501">
        <v>14.57</v>
      </c>
      <c r="E84" s="502">
        <v>1536594</v>
      </c>
      <c r="F84" s="501">
        <v>14.56</v>
      </c>
      <c r="G84" s="502">
        <v>11772</v>
      </c>
      <c r="H84" s="501">
        <v>14.56</v>
      </c>
      <c r="I84" s="502">
        <v>278264</v>
      </c>
      <c r="J84" s="501">
        <v>14.56</v>
      </c>
      <c r="K84" s="502">
        <v>377219</v>
      </c>
      <c r="V84" s="501"/>
      <c r="W84" s="503"/>
      <c r="X84" s="501"/>
      <c r="Y84" s="503"/>
      <c r="Z84" s="501"/>
      <c r="AA84" s="503"/>
      <c r="AB84" s="495"/>
      <c r="AC84" s="504">
        <v>0</v>
      </c>
      <c r="AD84" s="504">
        <v>0</v>
      </c>
      <c r="AE84" s="504">
        <v>0</v>
      </c>
      <c r="AF84" s="504">
        <v>0</v>
      </c>
      <c r="AG84" s="504">
        <v>0</v>
      </c>
      <c r="AH84" s="504">
        <v>0</v>
      </c>
      <c r="AI84" s="504">
        <v>0</v>
      </c>
      <c r="AJ84" s="504">
        <v>0</v>
      </c>
      <c r="AK84" s="504">
        <v>0</v>
      </c>
      <c r="AL84" s="504">
        <v>0</v>
      </c>
      <c r="AM84" s="504">
        <v>0</v>
      </c>
      <c r="AN84" s="504">
        <v>0</v>
      </c>
      <c r="AO84" s="504">
        <v>0</v>
      </c>
      <c r="AP84" s="504">
        <v>0</v>
      </c>
      <c r="AQ84" s="504">
        <v>0</v>
      </c>
      <c r="AR84" s="504">
        <v>0</v>
      </c>
      <c r="AS84" s="504">
        <v>0</v>
      </c>
      <c r="AT84" s="504">
        <v>0</v>
      </c>
      <c r="AU84" s="504">
        <v>0</v>
      </c>
      <c r="AV84" s="504">
        <v>0</v>
      </c>
      <c r="AW84" s="504">
        <v>0</v>
      </c>
      <c r="AX84" s="504">
        <v>0</v>
      </c>
      <c r="AY84" s="504">
        <v>0</v>
      </c>
      <c r="AZ84" s="504">
        <v>0</v>
      </c>
      <c r="BA84" s="504">
        <v>0</v>
      </c>
      <c r="BB84" s="504">
        <v>0</v>
      </c>
      <c r="BC84" s="504">
        <v>0</v>
      </c>
      <c r="BD84" s="504">
        <v>0</v>
      </c>
      <c r="BE84" s="504">
        <v>0</v>
      </c>
      <c r="BF84" s="504">
        <v>0</v>
      </c>
      <c r="BG84" s="504">
        <v>0</v>
      </c>
      <c r="BH84" s="504">
        <v>0</v>
      </c>
      <c r="BI84" s="504">
        <v>0</v>
      </c>
      <c r="BJ84" s="504">
        <v>0</v>
      </c>
      <c r="BK84" s="504">
        <v>0</v>
      </c>
      <c r="BL84" s="504">
        <v>0</v>
      </c>
      <c r="BM84" s="504">
        <v>0</v>
      </c>
      <c r="BN84" s="504">
        <v>0</v>
      </c>
      <c r="BO84" s="504">
        <v>0</v>
      </c>
      <c r="BP84" s="504">
        <v>0</v>
      </c>
      <c r="BQ84" s="504">
        <v>0</v>
      </c>
      <c r="BR84" s="504">
        <v>0</v>
      </c>
      <c r="BS84" s="504">
        <v>0</v>
      </c>
      <c r="BT84" s="504">
        <v>0</v>
      </c>
      <c r="BU84" s="504">
        <v>0</v>
      </c>
      <c r="BV84" s="504">
        <v>0</v>
      </c>
      <c r="BW84" s="504">
        <v>0</v>
      </c>
      <c r="BX84" s="504">
        <v>0</v>
      </c>
      <c r="BY84" s="504">
        <v>0</v>
      </c>
      <c r="BZ84" s="504">
        <v>0</v>
      </c>
      <c r="CA84" s="504">
        <v>0</v>
      </c>
      <c r="CB84" s="504">
        <v>0</v>
      </c>
      <c r="CC84" s="504">
        <v>0</v>
      </c>
      <c r="CD84" s="504">
        <v>0</v>
      </c>
      <c r="CE84" s="504">
        <v>0</v>
      </c>
      <c r="CF84" s="504">
        <v>0</v>
      </c>
      <c r="CG84" s="504">
        <v>0</v>
      </c>
      <c r="CH84" s="504">
        <v>0</v>
      </c>
      <c r="CI84" s="504">
        <v>0</v>
      </c>
      <c r="CJ84" s="504">
        <v>0</v>
      </c>
      <c r="CK84" s="504">
        <v>0</v>
      </c>
      <c r="CL84" s="504">
        <v>0</v>
      </c>
      <c r="CM84" s="504">
        <v>0</v>
      </c>
      <c r="CN84" s="504">
        <v>0</v>
      </c>
      <c r="CO84" s="504">
        <v>0</v>
      </c>
      <c r="CP84" s="504">
        <v>0</v>
      </c>
      <c r="CQ84" s="504">
        <v>0</v>
      </c>
      <c r="CR84" s="504">
        <v>0</v>
      </c>
      <c r="CS84" s="504">
        <v>0</v>
      </c>
      <c r="CT84" s="504">
        <v>0</v>
      </c>
      <c r="CU84" s="504">
        <v>0</v>
      </c>
      <c r="CV84" s="504">
        <v>0</v>
      </c>
      <c r="CW84" s="504">
        <v>0</v>
      </c>
      <c r="CX84" s="504">
        <v>0</v>
      </c>
      <c r="CY84" s="504">
        <v>0</v>
      </c>
      <c r="CZ84" s="504">
        <v>0</v>
      </c>
      <c r="DA84" s="504">
        <v>0</v>
      </c>
      <c r="DB84" s="504">
        <v>0</v>
      </c>
      <c r="DC84" s="504">
        <v>0</v>
      </c>
      <c r="DD84" s="504">
        <v>0</v>
      </c>
      <c r="DE84" s="504">
        <v>0</v>
      </c>
      <c r="DF84" s="504">
        <v>0</v>
      </c>
      <c r="DG84" s="504">
        <v>0</v>
      </c>
      <c r="DH84" s="504">
        <v>0</v>
      </c>
      <c r="DI84" s="504">
        <v>0</v>
      </c>
      <c r="DJ84" s="504">
        <v>0</v>
      </c>
      <c r="DK84" s="504">
        <v>0</v>
      </c>
      <c r="DL84" s="504">
        <v>0</v>
      </c>
      <c r="DM84" s="504">
        <v>0</v>
      </c>
      <c r="DN84" s="504">
        <v>0</v>
      </c>
      <c r="DO84" s="504">
        <v>0</v>
      </c>
      <c r="DP84" s="504">
        <v>0</v>
      </c>
      <c r="DQ84" s="504">
        <v>0</v>
      </c>
      <c r="DR84" s="504">
        <v>0</v>
      </c>
      <c r="DS84" s="504">
        <v>0</v>
      </c>
      <c r="DT84" s="504">
        <v>0</v>
      </c>
      <c r="DU84" s="504">
        <v>0</v>
      </c>
      <c r="DV84" s="504">
        <v>0</v>
      </c>
      <c r="DW84" s="504">
        <v>0</v>
      </c>
      <c r="DX84" s="504">
        <v>0</v>
      </c>
      <c r="DY84" s="504">
        <v>0</v>
      </c>
      <c r="DZ84" s="504">
        <v>0</v>
      </c>
      <c r="EA84" s="504">
        <v>0</v>
      </c>
      <c r="EB84" s="504">
        <v>0</v>
      </c>
      <c r="EC84" s="504">
        <v>0</v>
      </c>
      <c r="ED84" s="504">
        <v>0</v>
      </c>
      <c r="EE84" s="504">
        <v>0</v>
      </c>
      <c r="EF84" s="504">
        <v>0</v>
      </c>
      <c r="EG84" s="504">
        <v>0</v>
      </c>
      <c r="EH84" s="504">
        <v>0</v>
      </c>
      <c r="EI84" s="504">
        <v>0</v>
      </c>
      <c r="EJ84" s="504">
        <v>0</v>
      </c>
      <c r="EK84" s="504">
        <v>0</v>
      </c>
      <c r="EL84" s="504">
        <v>0</v>
      </c>
      <c r="EM84" s="504">
        <v>0</v>
      </c>
      <c r="EN84" s="504">
        <v>0</v>
      </c>
      <c r="EO84" s="504">
        <v>0</v>
      </c>
      <c r="EP84" s="504">
        <v>0</v>
      </c>
      <c r="EQ84" s="504">
        <v>0</v>
      </c>
      <c r="ER84" s="504">
        <v>0</v>
      </c>
      <c r="ES84" s="504">
        <v>0</v>
      </c>
      <c r="ET84" s="504">
        <v>0</v>
      </c>
      <c r="EU84" s="504">
        <v>0</v>
      </c>
      <c r="EV84" s="504">
        <v>0</v>
      </c>
      <c r="EW84" s="504">
        <v>0</v>
      </c>
      <c r="EX84" s="504">
        <v>0</v>
      </c>
      <c r="EY84" s="504">
        <v>0</v>
      </c>
      <c r="EZ84" s="504">
        <v>0</v>
      </c>
      <c r="FA84" s="504">
        <v>0</v>
      </c>
      <c r="FB84" s="504">
        <v>0</v>
      </c>
      <c r="FC84" s="504">
        <v>0</v>
      </c>
      <c r="FD84" s="504">
        <v>0</v>
      </c>
      <c r="FE84" s="504">
        <v>0</v>
      </c>
      <c r="FF84" s="504">
        <v>0</v>
      </c>
      <c r="FG84" s="504">
        <v>0</v>
      </c>
      <c r="FH84" s="504">
        <v>0</v>
      </c>
      <c r="FI84" s="504">
        <v>0</v>
      </c>
      <c r="FJ84" s="504">
        <v>0</v>
      </c>
      <c r="FK84" s="504">
        <v>0</v>
      </c>
      <c r="FL84" s="504">
        <v>0</v>
      </c>
      <c r="FM84" s="504">
        <v>0</v>
      </c>
      <c r="FN84" s="504">
        <v>0</v>
      </c>
      <c r="FO84" s="504">
        <v>0</v>
      </c>
      <c r="FP84" s="504">
        <v>0</v>
      </c>
      <c r="FQ84" s="504">
        <v>0</v>
      </c>
      <c r="FR84" s="504">
        <v>0</v>
      </c>
      <c r="FS84" s="504">
        <v>0</v>
      </c>
      <c r="FT84" s="504">
        <v>0</v>
      </c>
      <c r="FU84" s="504">
        <v>0</v>
      </c>
      <c r="FV84" s="504">
        <v>0</v>
      </c>
      <c r="FW84" s="504">
        <v>0</v>
      </c>
      <c r="FX84" s="504">
        <v>0</v>
      </c>
      <c r="FY84" s="504">
        <v>0</v>
      </c>
      <c r="FZ84" s="504">
        <v>0</v>
      </c>
      <c r="GA84" s="504">
        <v>0</v>
      </c>
      <c r="GB84" s="504">
        <v>0</v>
      </c>
      <c r="GC84" s="504">
        <v>0</v>
      </c>
      <c r="GD84" s="504">
        <v>0</v>
      </c>
      <c r="GE84" s="504">
        <v>0</v>
      </c>
      <c r="GF84" s="504">
        <v>0</v>
      </c>
      <c r="GG84" s="504">
        <v>0</v>
      </c>
      <c r="GH84" s="504">
        <v>0</v>
      </c>
      <c r="GI84" s="504">
        <v>0</v>
      </c>
      <c r="GJ84" s="504">
        <v>0</v>
      </c>
      <c r="GK84" s="504">
        <v>0</v>
      </c>
      <c r="GL84" s="504">
        <v>0</v>
      </c>
      <c r="GM84" s="504">
        <v>0</v>
      </c>
      <c r="GN84" s="504">
        <v>0</v>
      </c>
      <c r="GO84" s="504">
        <v>0</v>
      </c>
      <c r="GP84" s="504">
        <v>0</v>
      </c>
      <c r="GQ84" s="504">
        <v>0</v>
      </c>
      <c r="GR84" s="504">
        <v>0</v>
      </c>
      <c r="GS84" s="504">
        <v>0</v>
      </c>
      <c r="GT84" s="504">
        <v>0</v>
      </c>
      <c r="GU84" s="504">
        <v>0</v>
      </c>
      <c r="GV84" s="504">
        <v>0</v>
      </c>
      <c r="GW84" s="504">
        <v>0</v>
      </c>
      <c r="GX84" s="504">
        <v>0</v>
      </c>
      <c r="GY84" s="504">
        <v>0</v>
      </c>
      <c r="GZ84" s="504">
        <v>0</v>
      </c>
      <c r="HA84" s="504">
        <v>0</v>
      </c>
      <c r="HB84" s="504">
        <v>0</v>
      </c>
      <c r="HC84" s="504">
        <v>0</v>
      </c>
      <c r="HD84" s="504">
        <v>0</v>
      </c>
      <c r="HE84" s="504">
        <v>0</v>
      </c>
      <c r="HF84" s="504">
        <v>0</v>
      </c>
      <c r="HG84" s="504">
        <v>0</v>
      </c>
      <c r="HH84" s="504">
        <v>0</v>
      </c>
      <c r="HI84" s="504">
        <v>0</v>
      </c>
      <c r="HJ84" s="504">
        <v>0</v>
      </c>
      <c r="HK84" s="504">
        <v>0</v>
      </c>
      <c r="HL84" s="504">
        <v>0</v>
      </c>
      <c r="HM84" s="504">
        <v>0</v>
      </c>
      <c r="HN84" s="504">
        <v>0</v>
      </c>
      <c r="HO84" s="504">
        <v>0</v>
      </c>
      <c r="HP84" s="504">
        <v>0</v>
      </c>
      <c r="HQ84" s="504">
        <v>0</v>
      </c>
      <c r="HR84" s="504">
        <v>0</v>
      </c>
      <c r="HS84" s="504">
        <v>0</v>
      </c>
      <c r="HT84" s="504">
        <v>0</v>
      </c>
      <c r="HU84" s="504">
        <v>0</v>
      </c>
      <c r="HV84" s="504">
        <v>0</v>
      </c>
      <c r="HW84" s="504">
        <v>0</v>
      </c>
      <c r="HX84" s="504">
        <v>0</v>
      </c>
      <c r="HY84" s="504">
        <v>0</v>
      </c>
      <c r="HZ84" s="504">
        <v>0</v>
      </c>
      <c r="IA84" s="504">
        <v>0</v>
      </c>
      <c r="IB84" s="504">
        <v>0</v>
      </c>
      <c r="IC84" s="504">
        <v>0</v>
      </c>
      <c r="ID84" s="504">
        <v>0</v>
      </c>
      <c r="IE84" s="504">
        <v>0</v>
      </c>
      <c r="IF84" s="504">
        <v>0</v>
      </c>
      <c r="IG84" s="504">
        <v>0</v>
      </c>
      <c r="IH84" s="504">
        <v>0</v>
      </c>
      <c r="II84" s="504">
        <v>0</v>
      </c>
      <c r="IJ84" s="504">
        <v>0</v>
      </c>
      <c r="IK84" s="504">
        <v>0</v>
      </c>
      <c r="IL84" s="504">
        <v>0</v>
      </c>
      <c r="IM84" s="504">
        <v>0</v>
      </c>
      <c r="IN84" s="504">
        <v>0</v>
      </c>
      <c r="IO84" s="504">
        <v>0</v>
      </c>
      <c r="IP84" s="504">
        <v>0</v>
      </c>
      <c r="IQ84" s="504">
        <v>0</v>
      </c>
      <c r="IR84" s="504">
        <v>0</v>
      </c>
      <c r="IS84" s="504">
        <v>0</v>
      </c>
      <c r="IT84" s="504">
        <v>0</v>
      </c>
      <c r="IU84" s="504">
        <v>0</v>
      </c>
      <c r="IV84" s="504">
        <v>0</v>
      </c>
      <c r="IW84" s="504">
        <v>0</v>
      </c>
      <c r="IX84" s="504">
        <v>0</v>
      </c>
      <c r="IY84" s="504">
        <v>0</v>
      </c>
      <c r="IZ84" s="504">
        <v>0</v>
      </c>
      <c r="JA84" s="504">
        <v>0</v>
      </c>
      <c r="JB84" s="504">
        <v>0</v>
      </c>
      <c r="JC84" s="504">
        <v>0</v>
      </c>
      <c r="JD84" s="504">
        <v>0</v>
      </c>
      <c r="JE84" s="504">
        <v>0</v>
      </c>
      <c r="JF84" s="504">
        <v>0</v>
      </c>
      <c r="JG84" s="504">
        <v>0</v>
      </c>
      <c r="JH84" s="504">
        <v>0</v>
      </c>
      <c r="JI84" s="504">
        <v>0</v>
      </c>
      <c r="JJ84" s="504">
        <v>0</v>
      </c>
      <c r="JK84" s="504">
        <v>0</v>
      </c>
      <c r="JL84" s="504">
        <v>0</v>
      </c>
      <c r="JM84" s="504">
        <v>0</v>
      </c>
      <c r="JN84" s="504">
        <v>0</v>
      </c>
      <c r="JO84" s="504">
        <v>0</v>
      </c>
      <c r="JP84" s="504">
        <v>0</v>
      </c>
      <c r="JQ84" s="504">
        <v>0</v>
      </c>
      <c r="JR84" s="504">
        <v>0</v>
      </c>
      <c r="JS84" s="504">
        <v>0</v>
      </c>
      <c r="JT84" s="504">
        <v>0</v>
      </c>
      <c r="JU84" s="504">
        <v>0</v>
      </c>
      <c r="JV84" s="504">
        <v>0</v>
      </c>
      <c r="JW84" s="504">
        <v>0</v>
      </c>
      <c r="JX84" s="504">
        <v>0</v>
      </c>
      <c r="JY84" s="504">
        <v>0</v>
      </c>
      <c r="JZ84" s="504">
        <v>0</v>
      </c>
      <c r="KA84" s="504">
        <v>0</v>
      </c>
      <c r="KB84" s="504">
        <v>0</v>
      </c>
      <c r="KC84" s="504">
        <v>0</v>
      </c>
      <c r="KD84" s="504">
        <v>0</v>
      </c>
      <c r="KE84" s="504">
        <v>0</v>
      </c>
      <c r="KF84" s="504">
        <v>0</v>
      </c>
      <c r="KG84" s="504">
        <v>0</v>
      </c>
      <c r="KH84" s="504">
        <v>0</v>
      </c>
      <c r="KI84" s="504">
        <v>0</v>
      </c>
      <c r="KJ84" s="504">
        <v>0</v>
      </c>
      <c r="KK84" s="504">
        <v>0</v>
      </c>
      <c r="KL84" s="504">
        <v>0</v>
      </c>
      <c r="KM84" s="504">
        <v>0</v>
      </c>
      <c r="KN84" s="504">
        <v>0</v>
      </c>
      <c r="KO84" s="504">
        <v>0</v>
      </c>
      <c r="KP84" s="504">
        <v>0</v>
      </c>
      <c r="KQ84" s="504">
        <v>0</v>
      </c>
      <c r="KR84" s="504">
        <v>0</v>
      </c>
      <c r="KS84" s="504">
        <v>0</v>
      </c>
      <c r="KT84" s="504">
        <v>0</v>
      </c>
      <c r="KU84" s="504">
        <v>0</v>
      </c>
      <c r="KV84" s="504">
        <v>0</v>
      </c>
      <c r="KW84" s="504">
        <v>0</v>
      </c>
      <c r="KX84" s="504">
        <v>0</v>
      </c>
      <c r="KY84" s="504">
        <v>0</v>
      </c>
      <c r="KZ84" s="504">
        <v>0</v>
      </c>
      <c r="LA84" s="504">
        <v>0</v>
      </c>
      <c r="LB84" s="504">
        <v>0</v>
      </c>
      <c r="LC84" s="504">
        <v>0</v>
      </c>
      <c r="LD84" s="504">
        <v>0</v>
      </c>
      <c r="LE84" s="504">
        <v>0</v>
      </c>
      <c r="LF84" s="504">
        <v>0</v>
      </c>
      <c r="LG84" s="504">
        <v>0</v>
      </c>
      <c r="LH84" s="504">
        <v>0</v>
      </c>
      <c r="LI84" s="504">
        <v>0</v>
      </c>
      <c r="LJ84" s="504">
        <v>0</v>
      </c>
      <c r="LK84" s="504">
        <v>0</v>
      </c>
      <c r="LL84" s="504">
        <v>0</v>
      </c>
      <c r="LM84" s="504">
        <v>0</v>
      </c>
      <c r="LN84" s="504">
        <v>0</v>
      </c>
      <c r="LO84" s="504">
        <v>0</v>
      </c>
      <c r="LP84" s="504">
        <v>0</v>
      </c>
      <c r="LQ84" s="504">
        <v>0</v>
      </c>
      <c r="LR84" s="504">
        <v>0</v>
      </c>
      <c r="LS84" s="504">
        <v>0</v>
      </c>
      <c r="LT84" s="504">
        <v>0</v>
      </c>
      <c r="LU84" s="504">
        <v>0</v>
      </c>
      <c r="LV84" s="504">
        <v>0</v>
      </c>
      <c r="LW84" s="504">
        <v>0</v>
      </c>
      <c r="LX84" s="504">
        <v>0</v>
      </c>
      <c r="LY84" s="504">
        <v>0</v>
      </c>
      <c r="LZ84" s="504">
        <v>0</v>
      </c>
      <c r="MA84" s="504">
        <v>0</v>
      </c>
      <c r="MB84" s="504">
        <v>0</v>
      </c>
      <c r="MC84" s="504">
        <v>0</v>
      </c>
      <c r="MD84" s="504">
        <v>0</v>
      </c>
      <c r="ME84" s="504">
        <v>0</v>
      </c>
      <c r="MF84" s="504">
        <v>0</v>
      </c>
      <c r="MG84" s="504">
        <v>0</v>
      </c>
      <c r="MH84" s="504">
        <v>0</v>
      </c>
      <c r="MI84" s="504">
        <v>0</v>
      </c>
      <c r="MJ84" s="504">
        <v>0</v>
      </c>
      <c r="MK84" s="504">
        <v>0</v>
      </c>
      <c r="ML84" s="504">
        <v>0</v>
      </c>
      <c r="MM84" s="504">
        <v>0</v>
      </c>
      <c r="MN84" s="504">
        <v>0</v>
      </c>
      <c r="MO84" s="504">
        <v>0</v>
      </c>
      <c r="MP84" s="504">
        <v>0</v>
      </c>
      <c r="MQ84" s="504">
        <v>0</v>
      </c>
      <c r="MR84" s="504">
        <v>0</v>
      </c>
      <c r="MS84" s="504">
        <v>0</v>
      </c>
      <c r="MT84" s="504">
        <v>0</v>
      </c>
      <c r="MU84" s="504">
        <v>0</v>
      </c>
      <c r="MV84" s="504">
        <v>0</v>
      </c>
      <c r="MW84" s="504">
        <v>0</v>
      </c>
      <c r="MX84" s="504">
        <v>0</v>
      </c>
      <c r="MY84" s="504">
        <v>0</v>
      </c>
      <c r="MZ84" s="504">
        <v>0</v>
      </c>
      <c r="NA84" s="504">
        <v>0</v>
      </c>
      <c r="NB84" s="504">
        <v>0</v>
      </c>
      <c r="NC84" s="504">
        <v>0</v>
      </c>
      <c r="ND84" s="504">
        <v>0</v>
      </c>
      <c r="NE84" s="504">
        <v>0</v>
      </c>
      <c r="NF84" s="504">
        <v>0</v>
      </c>
      <c r="NG84" s="504">
        <v>0</v>
      </c>
      <c r="NH84" s="504">
        <v>0</v>
      </c>
      <c r="NI84" s="504">
        <v>0</v>
      </c>
      <c r="NJ84" s="504">
        <v>0</v>
      </c>
      <c r="NK84" s="504">
        <v>0</v>
      </c>
      <c r="NL84" s="504">
        <v>0</v>
      </c>
      <c r="NM84" s="504">
        <v>0</v>
      </c>
      <c r="NN84" s="504">
        <v>0</v>
      </c>
      <c r="NO84" s="504">
        <v>0</v>
      </c>
      <c r="NP84" s="504">
        <v>0</v>
      </c>
      <c r="NQ84" s="504">
        <v>0</v>
      </c>
      <c r="NR84" s="504">
        <v>0</v>
      </c>
      <c r="NS84" s="504">
        <v>0</v>
      </c>
      <c r="NT84" s="504">
        <v>0</v>
      </c>
      <c r="NU84" s="504">
        <v>0</v>
      </c>
      <c r="NV84" s="504">
        <v>0</v>
      </c>
      <c r="NW84" s="504">
        <v>0</v>
      </c>
      <c r="NX84" s="504">
        <v>0</v>
      </c>
      <c r="NY84" s="504">
        <v>0</v>
      </c>
      <c r="NZ84" s="504">
        <v>0</v>
      </c>
      <c r="OA84" s="504">
        <v>0</v>
      </c>
      <c r="OB84" s="504">
        <v>0</v>
      </c>
      <c r="OC84" s="504">
        <v>0</v>
      </c>
      <c r="OD84" s="504">
        <v>0</v>
      </c>
      <c r="OE84" s="504">
        <v>0</v>
      </c>
      <c r="OF84" s="504">
        <v>0</v>
      </c>
      <c r="OG84" s="504">
        <v>0</v>
      </c>
      <c r="OH84" s="504">
        <v>0</v>
      </c>
      <c r="OI84" s="504">
        <v>0</v>
      </c>
      <c r="OJ84" s="504">
        <v>0</v>
      </c>
      <c r="OK84" s="504">
        <v>0</v>
      </c>
      <c r="OL84" s="504">
        <v>0</v>
      </c>
      <c r="OM84" s="504">
        <v>0</v>
      </c>
      <c r="ON84" s="494"/>
    </row>
    <row r="85" spans="1:404" ht="18.75" customHeight="1" x14ac:dyDescent="0.4">
      <c r="A85" s="511" t="s">
        <v>355</v>
      </c>
      <c r="B85" s="512">
        <v>149</v>
      </c>
      <c r="C85" s="511" t="s">
        <v>60</v>
      </c>
      <c r="D85" s="501">
        <v>14.49</v>
      </c>
      <c r="E85" s="502">
        <v>15269</v>
      </c>
      <c r="F85" s="501">
        <v>14.48</v>
      </c>
      <c r="G85" s="502">
        <v>2278</v>
      </c>
      <c r="H85" s="501">
        <v>14.48</v>
      </c>
      <c r="I85" s="502">
        <v>8763</v>
      </c>
      <c r="J85" s="501">
        <v>14.48</v>
      </c>
      <c r="K85" s="502">
        <v>12295</v>
      </c>
      <c r="V85" s="501"/>
      <c r="W85" s="503"/>
      <c r="X85" s="501"/>
      <c r="Y85" s="503"/>
      <c r="Z85" s="501"/>
      <c r="AA85" s="503"/>
      <c r="AB85" s="495"/>
      <c r="AC85" s="504">
        <v>0</v>
      </c>
      <c r="AD85" s="504">
        <v>0</v>
      </c>
      <c r="AE85" s="504">
        <v>0</v>
      </c>
      <c r="AF85" s="504">
        <v>0</v>
      </c>
      <c r="AG85" s="504">
        <v>0</v>
      </c>
      <c r="AH85" s="504">
        <v>0</v>
      </c>
      <c r="AI85" s="504">
        <v>0</v>
      </c>
      <c r="AJ85" s="504">
        <v>0</v>
      </c>
      <c r="AK85" s="504">
        <v>0</v>
      </c>
      <c r="AL85" s="504">
        <v>0</v>
      </c>
      <c r="AM85" s="504">
        <v>0</v>
      </c>
      <c r="AN85" s="504">
        <v>0</v>
      </c>
      <c r="AO85" s="504">
        <v>0</v>
      </c>
      <c r="AP85" s="504">
        <v>0</v>
      </c>
      <c r="AQ85" s="504">
        <v>0</v>
      </c>
      <c r="AR85" s="504">
        <v>0</v>
      </c>
      <c r="AS85" s="504">
        <v>0</v>
      </c>
      <c r="AT85" s="504">
        <v>0</v>
      </c>
      <c r="AU85" s="504">
        <v>0</v>
      </c>
      <c r="AV85" s="504">
        <v>0</v>
      </c>
      <c r="AW85" s="504">
        <v>0</v>
      </c>
      <c r="AX85" s="504">
        <v>0</v>
      </c>
      <c r="AY85" s="504">
        <v>0</v>
      </c>
      <c r="AZ85" s="504">
        <v>0</v>
      </c>
      <c r="BA85" s="504">
        <v>0</v>
      </c>
      <c r="BB85" s="504">
        <v>0</v>
      </c>
      <c r="BC85" s="504">
        <v>0</v>
      </c>
      <c r="BD85" s="504">
        <v>0</v>
      </c>
      <c r="BE85" s="504">
        <v>0</v>
      </c>
      <c r="BF85" s="504">
        <v>0</v>
      </c>
      <c r="BG85" s="504">
        <v>0</v>
      </c>
      <c r="BH85" s="504">
        <v>0</v>
      </c>
      <c r="BI85" s="504">
        <v>0</v>
      </c>
      <c r="BJ85" s="504">
        <v>0</v>
      </c>
      <c r="BK85" s="504">
        <v>0</v>
      </c>
      <c r="BL85" s="504">
        <v>0</v>
      </c>
      <c r="BM85" s="504">
        <v>0</v>
      </c>
      <c r="BN85" s="504">
        <v>0</v>
      </c>
      <c r="BO85" s="504">
        <v>0</v>
      </c>
      <c r="BP85" s="504">
        <v>0</v>
      </c>
      <c r="BQ85" s="504">
        <v>0</v>
      </c>
      <c r="BR85" s="504">
        <v>0</v>
      </c>
      <c r="BS85" s="504">
        <v>0</v>
      </c>
      <c r="BT85" s="504">
        <v>0</v>
      </c>
      <c r="BU85" s="504">
        <v>0</v>
      </c>
      <c r="BV85" s="504">
        <v>0</v>
      </c>
      <c r="BW85" s="504">
        <v>0</v>
      </c>
      <c r="BX85" s="504">
        <v>0</v>
      </c>
      <c r="BY85" s="504">
        <v>0</v>
      </c>
      <c r="BZ85" s="504">
        <v>0</v>
      </c>
      <c r="CA85" s="504">
        <v>0</v>
      </c>
      <c r="CB85" s="504">
        <v>0</v>
      </c>
      <c r="CC85" s="504">
        <v>0</v>
      </c>
      <c r="CD85" s="504">
        <v>0</v>
      </c>
      <c r="CE85" s="504">
        <v>0</v>
      </c>
      <c r="CF85" s="504">
        <v>0</v>
      </c>
      <c r="CG85" s="504">
        <v>0</v>
      </c>
      <c r="CH85" s="504">
        <v>0</v>
      </c>
      <c r="CI85" s="504">
        <v>0</v>
      </c>
      <c r="CJ85" s="504">
        <v>0</v>
      </c>
      <c r="CK85" s="504">
        <v>0</v>
      </c>
      <c r="CL85" s="504">
        <v>0</v>
      </c>
      <c r="CM85" s="504">
        <v>0</v>
      </c>
      <c r="CN85" s="504">
        <v>0</v>
      </c>
      <c r="CO85" s="504">
        <v>0</v>
      </c>
      <c r="CP85" s="504">
        <v>0</v>
      </c>
      <c r="CQ85" s="504">
        <v>0</v>
      </c>
      <c r="CR85" s="504">
        <v>0</v>
      </c>
      <c r="CS85" s="504">
        <v>0</v>
      </c>
      <c r="CT85" s="504">
        <v>0</v>
      </c>
      <c r="CU85" s="504">
        <v>0</v>
      </c>
      <c r="CV85" s="504">
        <v>0</v>
      </c>
      <c r="CW85" s="504">
        <v>0</v>
      </c>
      <c r="CX85" s="504">
        <v>0</v>
      </c>
      <c r="CY85" s="504">
        <v>0</v>
      </c>
      <c r="CZ85" s="504">
        <v>0</v>
      </c>
      <c r="DA85" s="504">
        <v>0</v>
      </c>
      <c r="DB85" s="504">
        <v>0</v>
      </c>
      <c r="DC85" s="504">
        <v>0</v>
      </c>
      <c r="DD85" s="504">
        <v>0</v>
      </c>
      <c r="DE85" s="504">
        <v>0</v>
      </c>
      <c r="DF85" s="504">
        <v>0</v>
      </c>
      <c r="DG85" s="504">
        <v>0</v>
      </c>
      <c r="DH85" s="504">
        <v>0</v>
      </c>
      <c r="DI85" s="504">
        <v>0</v>
      </c>
      <c r="DJ85" s="504">
        <v>0</v>
      </c>
      <c r="DK85" s="504">
        <v>0</v>
      </c>
      <c r="DL85" s="504">
        <v>0</v>
      </c>
      <c r="DM85" s="504">
        <v>0</v>
      </c>
      <c r="DN85" s="504">
        <v>0</v>
      </c>
      <c r="DO85" s="504">
        <v>0</v>
      </c>
      <c r="DP85" s="504">
        <v>0</v>
      </c>
      <c r="DQ85" s="504">
        <v>0</v>
      </c>
      <c r="DR85" s="504">
        <v>0</v>
      </c>
      <c r="DS85" s="504">
        <v>0</v>
      </c>
      <c r="DT85" s="504">
        <v>0</v>
      </c>
      <c r="DU85" s="504">
        <v>0</v>
      </c>
      <c r="DV85" s="504">
        <v>0</v>
      </c>
      <c r="DW85" s="504">
        <v>0</v>
      </c>
      <c r="DX85" s="504">
        <v>0</v>
      </c>
      <c r="DY85" s="504">
        <v>0</v>
      </c>
      <c r="DZ85" s="504">
        <v>0</v>
      </c>
      <c r="EA85" s="504">
        <v>0</v>
      </c>
      <c r="EB85" s="504">
        <v>0</v>
      </c>
      <c r="EC85" s="504">
        <v>0</v>
      </c>
      <c r="ED85" s="504">
        <v>0</v>
      </c>
      <c r="EE85" s="504">
        <v>0</v>
      </c>
      <c r="EF85" s="504">
        <v>0</v>
      </c>
      <c r="EG85" s="504">
        <v>0</v>
      </c>
      <c r="EH85" s="504">
        <v>0</v>
      </c>
      <c r="EI85" s="504">
        <v>0</v>
      </c>
      <c r="EJ85" s="504">
        <v>0</v>
      </c>
      <c r="EK85" s="504">
        <v>0</v>
      </c>
      <c r="EL85" s="504">
        <v>0</v>
      </c>
      <c r="EM85" s="504">
        <v>0</v>
      </c>
      <c r="EN85" s="504">
        <v>0</v>
      </c>
      <c r="EO85" s="504">
        <v>0</v>
      </c>
      <c r="EP85" s="504">
        <v>0</v>
      </c>
      <c r="EQ85" s="504">
        <v>0</v>
      </c>
      <c r="ER85" s="504">
        <v>0</v>
      </c>
      <c r="ES85" s="504">
        <v>0</v>
      </c>
      <c r="ET85" s="504">
        <v>0</v>
      </c>
      <c r="EU85" s="504">
        <v>0</v>
      </c>
      <c r="EV85" s="504">
        <v>0</v>
      </c>
      <c r="EW85" s="504">
        <v>0</v>
      </c>
      <c r="EX85" s="504">
        <v>0</v>
      </c>
      <c r="EY85" s="504">
        <v>0</v>
      </c>
      <c r="EZ85" s="504">
        <v>0</v>
      </c>
      <c r="FA85" s="504">
        <v>0</v>
      </c>
      <c r="FB85" s="504">
        <v>0</v>
      </c>
      <c r="FC85" s="504">
        <v>0</v>
      </c>
      <c r="FD85" s="504">
        <v>0</v>
      </c>
      <c r="FE85" s="504">
        <v>0</v>
      </c>
      <c r="FF85" s="504">
        <v>0</v>
      </c>
      <c r="FG85" s="504">
        <v>0</v>
      </c>
      <c r="FH85" s="504">
        <v>0</v>
      </c>
      <c r="FI85" s="504">
        <v>0</v>
      </c>
      <c r="FJ85" s="504">
        <v>0</v>
      </c>
      <c r="FK85" s="504">
        <v>0</v>
      </c>
      <c r="FL85" s="504">
        <v>0</v>
      </c>
      <c r="FM85" s="504">
        <v>0</v>
      </c>
      <c r="FN85" s="504">
        <v>0</v>
      </c>
      <c r="FO85" s="504">
        <v>0</v>
      </c>
      <c r="FP85" s="504">
        <v>0</v>
      </c>
      <c r="FQ85" s="504">
        <v>0</v>
      </c>
      <c r="FR85" s="504">
        <v>0</v>
      </c>
      <c r="FS85" s="504">
        <v>0</v>
      </c>
      <c r="FT85" s="504">
        <v>0</v>
      </c>
      <c r="FU85" s="504">
        <v>0</v>
      </c>
      <c r="FV85" s="504">
        <v>0</v>
      </c>
      <c r="FW85" s="504">
        <v>0</v>
      </c>
      <c r="FX85" s="504">
        <v>0</v>
      </c>
      <c r="FY85" s="504">
        <v>0</v>
      </c>
      <c r="FZ85" s="504">
        <v>0</v>
      </c>
      <c r="GA85" s="504">
        <v>0</v>
      </c>
      <c r="GB85" s="504">
        <v>0</v>
      </c>
      <c r="GC85" s="504">
        <v>0</v>
      </c>
      <c r="GD85" s="504">
        <v>0</v>
      </c>
      <c r="GE85" s="504">
        <v>0</v>
      </c>
      <c r="GF85" s="504">
        <v>0</v>
      </c>
      <c r="GG85" s="504">
        <v>0</v>
      </c>
      <c r="GH85" s="504">
        <v>0</v>
      </c>
      <c r="GI85" s="504">
        <v>0</v>
      </c>
      <c r="GJ85" s="504">
        <v>0</v>
      </c>
      <c r="GK85" s="504">
        <v>0</v>
      </c>
      <c r="GL85" s="504">
        <v>0</v>
      </c>
      <c r="GM85" s="504">
        <v>0</v>
      </c>
      <c r="GN85" s="504">
        <v>0</v>
      </c>
      <c r="GO85" s="504">
        <v>0</v>
      </c>
      <c r="GP85" s="504">
        <v>0</v>
      </c>
      <c r="GQ85" s="504">
        <v>0</v>
      </c>
      <c r="GR85" s="504">
        <v>0</v>
      </c>
      <c r="GS85" s="504">
        <v>0</v>
      </c>
      <c r="GT85" s="504">
        <v>0</v>
      </c>
      <c r="GU85" s="504">
        <v>0</v>
      </c>
      <c r="GV85" s="504">
        <v>0</v>
      </c>
      <c r="GW85" s="504">
        <v>0</v>
      </c>
      <c r="GX85" s="504">
        <v>0</v>
      </c>
      <c r="GY85" s="504">
        <v>0</v>
      </c>
      <c r="GZ85" s="504">
        <v>0</v>
      </c>
      <c r="HA85" s="504">
        <v>0</v>
      </c>
      <c r="HB85" s="504">
        <v>0</v>
      </c>
      <c r="HC85" s="504">
        <v>0</v>
      </c>
      <c r="HD85" s="504">
        <v>0</v>
      </c>
      <c r="HE85" s="504">
        <v>0</v>
      </c>
      <c r="HF85" s="504">
        <v>0</v>
      </c>
      <c r="HG85" s="504">
        <v>0</v>
      </c>
      <c r="HH85" s="504">
        <v>0</v>
      </c>
      <c r="HI85" s="504">
        <v>0</v>
      </c>
      <c r="HJ85" s="504">
        <v>0</v>
      </c>
      <c r="HK85" s="504">
        <v>0</v>
      </c>
      <c r="HL85" s="504">
        <v>0</v>
      </c>
      <c r="HM85" s="504">
        <v>0</v>
      </c>
      <c r="HN85" s="504">
        <v>0</v>
      </c>
      <c r="HO85" s="504">
        <v>0</v>
      </c>
      <c r="HP85" s="504">
        <v>0</v>
      </c>
      <c r="HQ85" s="504">
        <v>0</v>
      </c>
      <c r="HR85" s="504">
        <v>0</v>
      </c>
      <c r="HS85" s="504">
        <v>0</v>
      </c>
      <c r="HT85" s="504">
        <v>0</v>
      </c>
      <c r="HU85" s="504">
        <v>0</v>
      </c>
      <c r="HV85" s="504">
        <v>0</v>
      </c>
      <c r="HW85" s="504">
        <v>0</v>
      </c>
      <c r="HX85" s="504">
        <v>0</v>
      </c>
      <c r="HY85" s="504">
        <v>0</v>
      </c>
      <c r="HZ85" s="504">
        <v>0</v>
      </c>
      <c r="IA85" s="504">
        <v>0</v>
      </c>
      <c r="IB85" s="504">
        <v>0</v>
      </c>
      <c r="IC85" s="504">
        <v>0</v>
      </c>
      <c r="ID85" s="504">
        <v>0</v>
      </c>
      <c r="IE85" s="504">
        <v>0</v>
      </c>
      <c r="IF85" s="504">
        <v>0</v>
      </c>
      <c r="IG85" s="504">
        <v>0</v>
      </c>
      <c r="IH85" s="504">
        <v>0</v>
      </c>
      <c r="II85" s="504">
        <v>0</v>
      </c>
      <c r="IJ85" s="504">
        <v>0</v>
      </c>
      <c r="IK85" s="504">
        <v>0</v>
      </c>
      <c r="IL85" s="504">
        <v>0</v>
      </c>
      <c r="IM85" s="504">
        <v>0</v>
      </c>
      <c r="IN85" s="504">
        <v>0</v>
      </c>
      <c r="IO85" s="504">
        <v>0</v>
      </c>
      <c r="IP85" s="504">
        <v>0</v>
      </c>
      <c r="IQ85" s="504">
        <v>0</v>
      </c>
      <c r="IR85" s="504">
        <v>0</v>
      </c>
      <c r="IS85" s="504">
        <v>0</v>
      </c>
      <c r="IT85" s="504">
        <v>0</v>
      </c>
      <c r="IU85" s="504">
        <v>0</v>
      </c>
      <c r="IV85" s="504">
        <v>0</v>
      </c>
      <c r="IW85" s="504">
        <v>0</v>
      </c>
      <c r="IX85" s="504">
        <v>0</v>
      </c>
      <c r="IY85" s="504">
        <v>0</v>
      </c>
      <c r="IZ85" s="504">
        <v>0</v>
      </c>
      <c r="JA85" s="504">
        <v>0</v>
      </c>
      <c r="JB85" s="504">
        <v>0</v>
      </c>
      <c r="JC85" s="504">
        <v>0</v>
      </c>
      <c r="JD85" s="504">
        <v>0</v>
      </c>
      <c r="JE85" s="504">
        <v>0</v>
      </c>
      <c r="JF85" s="504">
        <v>0</v>
      </c>
      <c r="JG85" s="504">
        <v>0</v>
      </c>
      <c r="JH85" s="504">
        <v>0</v>
      </c>
      <c r="JI85" s="504">
        <v>0</v>
      </c>
      <c r="JJ85" s="504">
        <v>0</v>
      </c>
      <c r="JK85" s="504">
        <v>0</v>
      </c>
      <c r="JL85" s="504">
        <v>0</v>
      </c>
      <c r="JM85" s="504">
        <v>0</v>
      </c>
      <c r="JN85" s="504">
        <v>0</v>
      </c>
      <c r="JO85" s="504">
        <v>0</v>
      </c>
      <c r="JP85" s="504">
        <v>0</v>
      </c>
      <c r="JQ85" s="504">
        <v>0</v>
      </c>
      <c r="JR85" s="504">
        <v>0</v>
      </c>
      <c r="JS85" s="504">
        <v>0</v>
      </c>
      <c r="JT85" s="504">
        <v>0</v>
      </c>
      <c r="JU85" s="504">
        <v>0</v>
      </c>
      <c r="JV85" s="504">
        <v>0</v>
      </c>
      <c r="JW85" s="504">
        <v>0</v>
      </c>
      <c r="JX85" s="504">
        <v>0</v>
      </c>
      <c r="JY85" s="504">
        <v>0</v>
      </c>
      <c r="JZ85" s="504">
        <v>0</v>
      </c>
      <c r="KA85" s="504">
        <v>0</v>
      </c>
      <c r="KB85" s="504">
        <v>0</v>
      </c>
      <c r="KC85" s="504">
        <v>0</v>
      </c>
      <c r="KD85" s="504">
        <v>0</v>
      </c>
      <c r="KE85" s="504">
        <v>0</v>
      </c>
      <c r="KF85" s="504">
        <v>0</v>
      </c>
      <c r="KG85" s="504">
        <v>0</v>
      </c>
      <c r="KH85" s="504">
        <v>0</v>
      </c>
      <c r="KI85" s="504">
        <v>0</v>
      </c>
      <c r="KJ85" s="504">
        <v>0</v>
      </c>
      <c r="KK85" s="504">
        <v>0</v>
      </c>
      <c r="KL85" s="504">
        <v>0</v>
      </c>
      <c r="KM85" s="504">
        <v>0</v>
      </c>
      <c r="KN85" s="504">
        <v>0</v>
      </c>
      <c r="KO85" s="504">
        <v>0</v>
      </c>
      <c r="KP85" s="504">
        <v>0</v>
      </c>
      <c r="KQ85" s="504">
        <v>0</v>
      </c>
      <c r="KR85" s="504">
        <v>0</v>
      </c>
      <c r="KS85" s="504">
        <v>0</v>
      </c>
      <c r="KT85" s="504">
        <v>0</v>
      </c>
      <c r="KU85" s="504">
        <v>0</v>
      </c>
      <c r="KV85" s="504">
        <v>0</v>
      </c>
      <c r="KW85" s="504">
        <v>0</v>
      </c>
      <c r="KX85" s="504">
        <v>0</v>
      </c>
      <c r="KY85" s="504">
        <v>0</v>
      </c>
      <c r="KZ85" s="504">
        <v>0</v>
      </c>
      <c r="LA85" s="504">
        <v>0</v>
      </c>
      <c r="LB85" s="504">
        <v>0</v>
      </c>
      <c r="LC85" s="504">
        <v>0</v>
      </c>
      <c r="LD85" s="504">
        <v>0</v>
      </c>
      <c r="LE85" s="504">
        <v>0</v>
      </c>
      <c r="LF85" s="504">
        <v>0</v>
      </c>
      <c r="LG85" s="504">
        <v>0</v>
      </c>
      <c r="LH85" s="504">
        <v>0</v>
      </c>
      <c r="LI85" s="504">
        <v>0</v>
      </c>
      <c r="LJ85" s="504">
        <v>0</v>
      </c>
      <c r="LK85" s="504">
        <v>0</v>
      </c>
      <c r="LL85" s="504">
        <v>0</v>
      </c>
      <c r="LM85" s="504">
        <v>0</v>
      </c>
      <c r="LN85" s="504">
        <v>0</v>
      </c>
      <c r="LO85" s="504">
        <v>0</v>
      </c>
      <c r="LP85" s="504">
        <v>0</v>
      </c>
      <c r="LQ85" s="504">
        <v>0</v>
      </c>
      <c r="LR85" s="504">
        <v>0</v>
      </c>
      <c r="LS85" s="504">
        <v>0</v>
      </c>
      <c r="LT85" s="504">
        <v>0</v>
      </c>
      <c r="LU85" s="504">
        <v>0</v>
      </c>
      <c r="LV85" s="504">
        <v>0</v>
      </c>
      <c r="LW85" s="504">
        <v>0</v>
      </c>
      <c r="LX85" s="504">
        <v>0</v>
      </c>
      <c r="LY85" s="504">
        <v>0</v>
      </c>
      <c r="LZ85" s="504">
        <v>0</v>
      </c>
      <c r="MA85" s="504">
        <v>0</v>
      </c>
      <c r="MB85" s="504">
        <v>0</v>
      </c>
      <c r="MC85" s="504">
        <v>0</v>
      </c>
      <c r="MD85" s="504">
        <v>0</v>
      </c>
      <c r="ME85" s="504">
        <v>0</v>
      </c>
      <c r="MF85" s="504">
        <v>0</v>
      </c>
      <c r="MG85" s="504">
        <v>0</v>
      </c>
      <c r="MH85" s="504">
        <v>0</v>
      </c>
      <c r="MI85" s="504">
        <v>0</v>
      </c>
      <c r="MJ85" s="504">
        <v>0</v>
      </c>
      <c r="MK85" s="504">
        <v>0</v>
      </c>
      <c r="ML85" s="504">
        <v>0</v>
      </c>
      <c r="MM85" s="504">
        <v>0</v>
      </c>
      <c r="MN85" s="504">
        <v>0</v>
      </c>
      <c r="MO85" s="504">
        <v>0</v>
      </c>
      <c r="MP85" s="504">
        <v>0</v>
      </c>
      <c r="MQ85" s="504">
        <v>0</v>
      </c>
      <c r="MR85" s="504">
        <v>0</v>
      </c>
      <c r="MS85" s="504">
        <v>0</v>
      </c>
      <c r="MT85" s="504">
        <v>0</v>
      </c>
      <c r="MU85" s="504">
        <v>0</v>
      </c>
      <c r="MV85" s="504">
        <v>0</v>
      </c>
      <c r="MW85" s="504">
        <v>0</v>
      </c>
      <c r="MX85" s="504">
        <v>0</v>
      </c>
      <c r="MY85" s="504">
        <v>0</v>
      </c>
      <c r="MZ85" s="504">
        <v>0</v>
      </c>
      <c r="NA85" s="504">
        <v>0</v>
      </c>
      <c r="NB85" s="504">
        <v>0</v>
      </c>
      <c r="NC85" s="504">
        <v>0</v>
      </c>
      <c r="ND85" s="504">
        <v>0</v>
      </c>
      <c r="NE85" s="504">
        <v>0</v>
      </c>
      <c r="NF85" s="504">
        <v>0</v>
      </c>
      <c r="NG85" s="504">
        <v>0</v>
      </c>
      <c r="NH85" s="504">
        <v>0</v>
      </c>
      <c r="NI85" s="504">
        <v>0</v>
      </c>
      <c r="NJ85" s="504">
        <v>0</v>
      </c>
      <c r="NK85" s="504">
        <v>0</v>
      </c>
      <c r="NL85" s="504">
        <v>0</v>
      </c>
      <c r="NM85" s="504">
        <v>0</v>
      </c>
      <c r="NN85" s="504">
        <v>0</v>
      </c>
      <c r="NO85" s="504">
        <v>0</v>
      </c>
      <c r="NP85" s="504">
        <v>0</v>
      </c>
      <c r="NQ85" s="504">
        <v>0</v>
      </c>
      <c r="NR85" s="504">
        <v>0</v>
      </c>
      <c r="NS85" s="504">
        <v>0</v>
      </c>
      <c r="NT85" s="504">
        <v>0</v>
      </c>
      <c r="NU85" s="504">
        <v>0</v>
      </c>
      <c r="NV85" s="504">
        <v>0</v>
      </c>
      <c r="NW85" s="504">
        <v>0</v>
      </c>
      <c r="NX85" s="504">
        <v>0</v>
      </c>
      <c r="NY85" s="504">
        <v>0</v>
      </c>
      <c r="NZ85" s="504">
        <v>0</v>
      </c>
      <c r="OA85" s="504">
        <v>0</v>
      </c>
      <c r="OB85" s="504">
        <v>0</v>
      </c>
      <c r="OC85" s="504">
        <v>0</v>
      </c>
      <c r="OD85" s="504">
        <v>0</v>
      </c>
      <c r="OE85" s="504">
        <v>0</v>
      </c>
      <c r="OF85" s="504">
        <v>0</v>
      </c>
      <c r="OG85" s="504">
        <v>0</v>
      </c>
      <c r="OH85" s="504">
        <v>0</v>
      </c>
      <c r="OI85" s="504">
        <v>0</v>
      </c>
      <c r="OJ85" s="504">
        <v>0</v>
      </c>
      <c r="OK85" s="504">
        <v>0</v>
      </c>
      <c r="OL85" s="504">
        <v>0</v>
      </c>
      <c r="OM85" s="504">
        <v>0</v>
      </c>
      <c r="ON85" s="494"/>
    </row>
    <row r="86" spans="1:404" ht="18.75" customHeight="1" x14ac:dyDescent="0.4">
      <c r="A86" s="511" t="s">
        <v>356</v>
      </c>
      <c r="B86" s="512">
        <v>163</v>
      </c>
      <c r="C86" s="511" t="s">
        <v>60</v>
      </c>
      <c r="D86" s="501">
        <v>14.68</v>
      </c>
      <c r="E86" s="502">
        <v>12173</v>
      </c>
      <c r="F86" s="501">
        <v>14.68</v>
      </c>
      <c r="G86" s="502">
        <v>1791</v>
      </c>
      <c r="H86" s="501">
        <v>14.68</v>
      </c>
      <c r="I86" s="502">
        <v>6719</v>
      </c>
      <c r="J86" s="501">
        <v>14.68</v>
      </c>
      <c r="K86" s="502">
        <v>8736</v>
      </c>
      <c r="V86" s="501"/>
      <c r="W86" s="503"/>
      <c r="X86" s="501"/>
      <c r="Y86" s="503"/>
      <c r="Z86" s="501"/>
      <c r="AA86" s="503"/>
      <c r="AB86" s="495"/>
      <c r="AC86" s="504">
        <v>0</v>
      </c>
      <c r="AD86" s="504">
        <v>0</v>
      </c>
      <c r="AE86" s="504">
        <v>0</v>
      </c>
      <c r="AF86" s="504">
        <v>0</v>
      </c>
      <c r="AG86" s="504">
        <v>0</v>
      </c>
      <c r="AH86" s="504">
        <v>0</v>
      </c>
      <c r="AI86" s="504">
        <v>0</v>
      </c>
      <c r="AJ86" s="504">
        <v>0</v>
      </c>
      <c r="AK86" s="504">
        <v>0</v>
      </c>
      <c r="AL86" s="504">
        <v>0</v>
      </c>
      <c r="AM86" s="504">
        <v>0</v>
      </c>
      <c r="AN86" s="504">
        <v>0</v>
      </c>
      <c r="AO86" s="504">
        <v>0</v>
      </c>
      <c r="AP86" s="504">
        <v>0</v>
      </c>
      <c r="AQ86" s="504">
        <v>0</v>
      </c>
      <c r="AR86" s="504">
        <v>0</v>
      </c>
      <c r="AS86" s="504">
        <v>0</v>
      </c>
      <c r="AT86" s="504">
        <v>0</v>
      </c>
      <c r="AU86" s="504">
        <v>0</v>
      </c>
      <c r="AV86" s="504">
        <v>0</v>
      </c>
      <c r="AW86" s="504">
        <v>0</v>
      </c>
      <c r="AX86" s="504">
        <v>0</v>
      </c>
      <c r="AY86" s="504">
        <v>0</v>
      </c>
      <c r="AZ86" s="504">
        <v>0</v>
      </c>
      <c r="BA86" s="504">
        <v>0</v>
      </c>
      <c r="BB86" s="504">
        <v>0</v>
      </c>
      <c r="BC86" s="504">
        <v>0</v>
      </c>
      <c r="BD86" s="504">
        <v>0</v>
      </c>
      <c r="BE86" s="504">
        <v>0</v>
      </c>
      <c r="BF86" s="504">
        <v>0</v>
      </c>
      <c r="BG86" s="504">
        <v>0</v>
      </c>
      <c r="BH86" s="504">
        <v>0</v>
      </c>
      <c r="BI86" s="504">
        <v>0</v>
      </c>
      <c r="BJ86" s="504">
        <v>0</v>
      </c>
      <c r="BK86" s="504">
        <v>0</v>
      </c>
      <c r="BL86" s="504">
        <v>0</v>
      </c>
      <c r="BM86" s="504">
        <v>0</v>
      </c>
      <c r="BN86" s="504">
        <v>0</v>
      </c>
      <c r="BO86" s="504">
        <v>0</v>
      </c>
      <c r="BP86" s="504">
        <v>0</v>
      </c>
      <c r="BQ86" s="504">
        <v>0</v>
      </c>
      <c r="BR86" s="504">
        <v>0</v>
      </c>
      <c r="BS86" s="504">
        <v>0</v>
      </c>
      <c r="BT86" s="504">
        <v>0</v>
      </c>
      <c r="BU86" s="504">
        <v>0</v>
      </c>
      <c r="BV86" s="504">
        <v>0</v>
      </c>
      <c r="BW86" s="504">
        <v>0</v>
      </c>
      <c r="BX86" s="504">
        <v>0</v>
      </c>
      <c r="BY86" s="504">
        <v>0</v>
      </c>
      <c r="BZ86" s="504">
        <v>0</v>
      </c>
      <c r="CA86" s="504">
        <v>0</v>
      </c>
      <c r="CB86" s="504">
        <v>0</v>
      </c>
      <c r="CC86" s="504">
        <v>0</v>
      </c>
      <c r="CD86" s="504">
        <v>0</v>
      </c>
      <c r="CE86" s="504">
        <v>0</v>
      </c>
      <c r="CF86" s="504">
        <v>0</v>
      </c>
      <c r="CG86" s="504">
        <v>0</v>
      </c>
      <c r="CH86" s="504">
        <v>0</v>
      </c>
      <c r="CI86" s="504">
        <v>0</v>
      </c>
      <c r="CJ86" s="504">
        <v>0</v>
      </c>
      <c r="CK86" s="504">
        <v>0</v>
      </c>
      <c r="CL86" s="504">
        <v>0</v>
      </c>
      <c r="CM86" s="504">
        <v>0</v>
      </c>
      <c r="CN86" s="504">
        <v>0</v>
      </c>
      <c r="CO86" s="504">
        <v>0</v>
      </c>
      <c r="CP86" s="504">
        <v>0</v>
      </c>
      <c r="CQ86" s="504">
        <v>0</v>
      </c>
      <c r="CR86" s="504">
        <v>0</v>
      </c>
      <c r="CS86" s="504">
        <v>0</v>
      </c>
      <c r="CT86" s="504">
        <v>0</v>
      </c>
      <c r="CU86" s="504">
        <v>0</v>
      </c>
      <c r="CV86" s="504">
        <v>0</v>
      </c>
      <c r="CW86" s="504">
        <v>0</v>
      </c>
      <c r="CX86" s="504">
        <v>0</v>
      </c>
      <c r="CY86" s="504">
        <v>0</v>
      </c>
      <c r="CZ86" s="504">
        <v>0</v>
      </c>
      <c r="DA86" s="504">
        <v>0</v>
      </c>
      <c r="DB86" s="504">
        <v>0</v>
      </c>
      <c r="DC86" s="504">
        <v>0</v>
      </c>
      <c r="DD86" s="504">
        <v>0</v>
      </c>
      <c r="DE86" s="504">
        <v>0</v>
      </c>
      <c r="DF86" s="504">
        <v>0</v>
      </c>
      <c r="DG86" s="504">
        <v>0</v>
      </c>
      <c r="DH86" s="504">
        <v>0</v>
      </c>
      <c r="DI86" s="504">
        <v>0</v>
      </c>
      <c r="DJ86" s="504">
        <v>0</v>
      </c>
      <c r="DK86" s="504">
        <v>0</v>
      </c>
      <c r="DL86" s="504">
        <v>0</v>
      </c>
      <c r="DM86" s="504">
        <v>0</v>
      </c>
      <c r="DN86" s="504">
        <v>0</v>
      </c>
      <c r="DO86" s="504">
        <v>0</v>
      </c>
      <c r="DP86" s="504">
        <v>0</v>
      </c>
      <c r="DQ86" s="504">
        <v>0</v>
      </c>
      <c r="DR86" s="504">
        <v>0</v>
      </c>
      <c r="DS86" s="504">
        <v>0</v>
      </c>
      <c r="DT86" s="504">
        <v>0</v>
      </c>
      <c r="DU86" s="504">
        <v>0</v>
      </c>
      <c r="DV86" s="504">
        <v>0</v>
      </c>
      <c r="DW86" s="504">
        <v>0</v>
      </c>
      <c r="DX86" s="504">
        <v>0</v>
      </c>
      <c r="DY86" s="504">
        <v>0</v>
      </c>
      <c r="DZ86" s="504">
        <v>0</v>
      </c>
      <c r="EA86" s="504">
        <v>0</v>
      </c>
      <c r="EB86" s="504">
        <v>0</v>
      </c>
      <c r="EC86" s="504">
        <v>0</v>
      </c>
      <c r="ED86" s="504">
        <v>0</v>
      </c>
      <c r="EE86" s="504">
        <v>0</v>
      </c>
      <c r="EF86" s="504">
        <v>0</v>
      </c>
      <c r="EG86" s="504">
        <v>0</v>
      </c>
      <c r="EH86" s="504">
        <v>0</v>
      </c>
      <c r="EI86" s="504">
        <v>0</v>
      </c>
      <c r="EJ86" s="504">
        <v>0</v>
      </c>
      <c r="EK86" s="504">
        <v>0</v>
      </c>
      <c r="EL86" s="504">
        <v>0</v>
      </c>
      <c r="EM86" s="504">
        <v>0</v>
      </c>
      <c r="EN86" s="504">
        <v>0</v>
      </c>
      <c r="EO86" s="504">
        <v>0</v>
      </c>
      <c r="EP86" s="504">
        <v>0</v>
      </c>
      <c r="EQ86" s="504">
        <v>0</v>
      </c>
      <c r="ER86" s="504">
        <v>0</v>
      </c>
      <c r="ES86" s="504">
        <v>0</v>
      </c>
      <c r="ET86" s="504">
        <v>0</v>
      </c>
      <c r="EU86" s="504">
        <v>0</v>
      </c>
      <c r="EV86" s="504">
        <v>0</v>
      </c>
      <c r="EW86" s="504">
        <v>0</v>
      </c>
      <c r="EX86" s="504">
        <v>0</v>
      </c>
      <c r="EY86" s="504">
        <v>0</v>
      </c>
      <c r="EZ86" s="504">
        <v>0</v>
      </c>
      <c r="FA86" s="504">
        <v>0</v>
      </c>
      <c r="FB86" s="504">
        <v>0</v>
      </c>
      <c r="FC86" s="504">
        <v>0</v>
      </c>
      <c r="FD86" s="504">
        <v>0</v>
      </c>
      <c r="FE86" s="504">
        <v>0</v>
      </c>
      <c r="FF86" s="504">
        <v>0</v>
      </c>
      <c r="FG86" s="504">
        <v>0</v>
      </c>
      <c r="FH86" s="504">
        <v>0</v>
      </c>
      <c r="FI86" s="504">
        <v>0</v>
      </c>
      <c r="FJ86" s="504">
        <v>0</v>
      </c>
      <c r="FK86" s="504">
        <v>0</v>
      </c>
      <c r="FL86" s="504">
        <v>0</v>
      </c>
      <c r="FM86" s="504">
        <v>0</v>
      </c>
      <c r="FN86" s="504">
        <v>0</v>
      </c>
      <c r="FO86" s="504">
        <v>0</v>
      </c>
      <c r="FP86" s="504">
        <v>0</v>
      </c>
      <c r="FQ86" s="504">
        <v>0</v>
      </c>
      <c r="FR86" s="504">
        <v>0</v>
      </c>
      <c r="FS86" s="504">
        <v>0</v>
      </c>
      <c r="FT86" s="504">
        <v>0</v>
      </c>
      <c r="FU86" s="504">
        <v>0</v>
      </c>
      <c r="FV86" s="504">
        <v>0</v>
      </c>
      <c r="FW86" s="504">
        <v>0</v>
      </c>
      <c r="FX86" s="504">
        <v>0</v>
      </c>
      <c r="FY86" s="504">
        <v>0</v>
      </c>
      <c r="FZ86" s="504">
        <v>0</v>
      </c>
      <c r="GA86" s="504">
        <v>0</v>
      </c>
      <c r="GB86" s="504">
        <v>0</v>
      </c>
      <c r="GC86" s="504">
        <v>0</v>
      </c>
      <c r="GD86" s="504">
        <v>0</v>
      </c>
      <c r="GE86" s="504">
        <v>0</v>
      </c>
      <c r="GF86" s="504">
        <v>0</v>
      </c>
      <c r="GG86" s="504">
        <v>0</v>
      </c>
      <c r="GH86" s="504">
        <v>0</v>
      </c>
      <c r="GI86" s="504">
        <v>0</v>
      </c>
      <c r="GJ86" s="504">
        <v>0</v>
      </c>
      <c r="GK86" s="504">
        <v>0</v>
      </c>
      <c r="GL86" s="504">
        <v>0</v>
      </c>
      <c r="GM86" s="504">
        <v>0</v>
      </c>
      <c r="GN86" s="504">
        <v>0</v>
      </c>
      <c r="GO86" s="504">
        <v>0</v>
      </c>
      <c r="GP86" s="504">
        <v>0</v>
      </c>
      <c r="GQ86" s="504">
        <v>0</v>
      </c>
      <c r="GR86" s="504">
        <v>0</v>
      </c>
      <c r="GS86" s="504">
        <v>0</v>
      </c>
      <c r="GT86" s="504">
        <v>0</v>
      </c>
      <c r="GU86" s="504">
        <v>0</v>
      </c>
      <c r="GV86" s="504">
        <v>0</v>
      </c>
      <c r="GW86" s="504">
        <v>0</v>
      </c>
      <c r="GX86" s="504">
        <v>0</v>
      </c>
      <c r="GY86" s="504">
        <v>0</v>
      </c>
      <c r="GZ86" s="504">
        <v>0</v>
      </c>
      <c r="HA86" s="504">
        <v>0</v>
      </c>
      <c r="HB86" s="504">
        <v>0</v>
      </c>
      <c r="HC86" s="504">
        <v>0</v>
      </c>
      <c r="HD86" s="504">
        <v>0</v>
      </c>
      <c r="HE86" s="504">
        <v>0</v>
      </c>
      <c r="HF86" s="504">
        <v>0</v>
      </c>
      <c r="HG86" s="504">
        <v>0</v>
      </c>
      <c r="HH86" s="504">
        <v>0</v>
      </c>
      <c r="HI86" s="504">
        <v>0</v>
      </c>
      <c r="HJ86" s="504">
        <v>0</v>
      </c>
      <c r="HK86" s="504">
        <v>0</v>
      </c>
      <c r="HL86" s="504">
        <v>0</v>
      </c>
      <c r="HM86" s="504">
        <v>0</v>
      </c>
      <c r="HN86" s="504">
        <v>0</v>
      </c>
      <c r="HO86" s="504">
        <v>0</v>
      </c>
      <c r="HP86" s="504">
        <v>0</v>
      </c>
      <c r="HQ86" s="504">
        <v>0</v>
      </c>
      <c r="HR86" s="504">
        <v>0</v>
      </c>
      <c r="HS86" s="504">
        <v>0</v>
      </c>
      <c r="HT86" s="504">
        <v>0</v>
      </c>
      <c r="HU86" s="504">
        <v>0</v>
      </c>
      <c r="HV86" s="504">
        <v>0</v>
      </c>
      <c r="HW86" s="504">
        <v>0</v>
      </c>
      <c r="HX86" s="504">
        <v>0</v>
      </c>
      <c r="HY86" s="504">
        <v>0</v>
      </c>
      <c r="HZ86" s="504">
        <v>0</v>
      </c>
      <c r="IA86" s="504">
        <v>0</v>
      </c>
      <c r="IB86" s="504">
        <v>0</v>
      </c>
      <c r="IC86" s="504">
        <v>0</v>
      </c>
      <c r="ID86" s="504">
        <v>0</v>
      </c>
      <c r="IE86" s="504">
        <v>0</v>
      </c>
      <c r="IF86" s="504">
        <v>0</v>
      </c>
      <c r="IG86" s="504">
        <v>0</v>
      </c>
      <c r="IH86" s="504">
        <v>0</v>
      </c>
      <c r="II86" s="504">
        <v>0</v>
      </c>
      <c r="IJ86" s="504">
        <v>0</v>
      </c>
      <c r="IK86" s="504">
        <v>0</v>
      </c>
      <c r="IL86" s="504">
        <v>0</v>
      </c>
      <c r="IM86" s="504">
        <v>0</v>
      </c>
      <c r="IN86" s="504">
        <v>0</v>
      </c>
      <c r="IO86" s="504">
        <v>0</v>
      </c>
      <c r="IP86" s="504">
        <v>0</v>
      </c>
      <c r="IQ86" s="504">
        <v>0</v>
      </c>
      <c r="IR86" s="504">
        <v>0</v>
      </c>
      <c r="IS86" s="504">
        <v>0</v>
      </c>
      <c r="IT86" s="504">
        <v>0</v>
      </c>
      <c r="IU86" s="504">
        <v>0</v>
      </c>
      <c r="IV86" s="504">
        <v>0</v>
      </c>
      <c r="IW86" s="504">
        <v>0</v>
      </c>
      <c r="IX86" s="504">
        <v>0</v>
      </c>
      <c r="IY86" s="504">
        <v>0</v>
      </c>
      <c r="IZ86" s="504">
        <v>0</v>
      </c>
      <c r="JA86" s="504">
        <v>0</v>
      </c>
      <c r="JB86" s="504">
        <v>0</v>
      </c>
      <c r="JC86" s="504">
        <v>0</v>
      </c>
      <c r="JD86" s="504">
        <v>0</v>
      </c>
      <c r="JE86" s="504">
        <v>0</v>
      </c>
      <c r="JF86" s="504">
        <v>0</v>
      </c>
      <c r="JG86" s="504">
        <v>0</v>
      </c>
      <c r="JH86" s="504">
        <v>0</v>
      </c>
      <c r="JI86" s="504">
        <v>0</v>
      </c>
      <c r="JJ86" s="504">
        <v>0</v>
      </c>
      <c r="JK86" s="504">
        <v>0</v>
      </c>
      <c r="JL86" s="504">
        <v>0</v>
      </c>
      <c r="JM86" s="504">
        <v>0</v>
      </c>
      <c r="JN86" s="504">
        <v>0</v>
      </c>
      <c r="JO86" s="504">
        <v>0</v>
      </c>
      <c r="JP86" s="504">
        <v>0</v>
      </c>
      <c r="JQ86" s="504">
        <v>0</v>
      </c>
      <c r="JR86" s="504">
        <v>0</v>
      </c>
      <c r="JS86" s="504">
        <v>0</v>
      </c>
      <c r="JT86" s="504">
        <v>0</v>
      </c>
      <c r="JU86" s="504">
        <v>0</v>
      </c>
      <c r="JV86" s="504">
        <v>0</v>
      </c>
      <c r="JW86" s="504">
        <v>0</v>
      </c>
      <c r="JX86" s="504">
        <v>0</v>
      </c>
      <c r="JY86" s="504">
        <v>0</v>
      </c>
      <c r="JZ86" s="504">
        <v>0</v>
      </c>
      <c r="KA86" s="504">
        <v>0</v>
      </c>
      <c r="KB86" s="504">
        <v>0</v>
      </c>
      <c r="KC86" s="504">
        <v>0</v>
      </c>
      <c r="KD86" s="504">
        <v>0</v>
      </c>
      <c r="KE86" s="504">
        <v>0</v>
      </c>
      <c r="KF86" s="504">
        <v>0</v>
      </c>
      <c r="KG86" s="504">
        <v>0</v>
      </c>
      <c r="KH86" s="504">
        <v>0</v>
      </c>
      <c r="KI86" s="504">
        <v>0</v>
      </c>
      <c r="KJ86" s="504">
        <v>0</v>
      </c>
      <c r="KK86" s="504">
        <v>0</v>
      </c>
      <c r="KL86" s="504">
        <v>0</v>
      </c>
      <c r="KM86" s="504">
        <v>0</v>
      </c>
      <c r="KN86" s="504">
        <v>0</v>
      </c>
      <c r="KO86" s="504">
        <v>0</v>
      </c>
      <c r="KP86" s="504">
        <v>0</v>
      </c>
      <c r="KQ86" s="504">
        <v>0</v>
      </c>
      <c r="KR86" s="504">
        <v>0</v>
      </c>
      <c r="KS86" s="504">
        <v>0</v>
      </c>
      <c r="KT86" s="504">
        <v>0</v>
      </c>
      <c r="KU86" s="504">
        <v>0</v>
      </c>
      <c r="KV86" s="504">
        <v>0</v>
      </c>
      <c r="KW86" s="504">
        <v>0</v>
      </c>
      <c r="KX86" s="504">
        <v>0</v>
      </c>
      <c r="KY86" s="504">
        <v>0</v>
      </c>
      <c r="KZ86" s="504">
        <v>0</v>
      </c>
      <c r="LA86" s="504">
        <v>0</v>
      </c>
      <c r="LB86" s="504">
        <v>0</v>
      </c>
      <c r="LC86" s="504">
        <v>0</v>
      </c>
      <c r="LD86" s="504">
        <v>0</v>
      </c>
      <c r="LE86" s="504">
        <v>0</v>
      </c>
      <c r="LF86" s="504">
        <v>0</v>
      </c>
      <c r="LG86" s="504">
        <v>0</v>
      </c>
      <c r="LH86" s="504">
        <v>0</v>
      </c>
      <c r="LI86" s="504">
        <v>0</v>
      </c>
      <c r="LJ86" s="504">
        <v>0</v>
      </c>
      <c r="LK86" s="504">
        <v>0</v>
      </c>
      <c r="LL86" s="504">
        <v>0</v>
      </c>
      <c r="LM86" s="504">
        <v>0</v>
      </c>
      <c r="LN86" s="504">
        <v>0</v>
      </c>
      <c r="LO86" s="504">
        <v>0</v>
      </c>
      <c r="LP86" s="504">
        <v>0</v>
      </c>
      <c r="LQ86" s="504">
        <v>0</v>
      </c>
      <c r="LR86" s="504">
        <v>0</v>
      </c>
      <c r="LS86" s="504">
        <v>0</v>
      </c>
      <c r="LT86" s="504">
        <v>0</v>
      </c>
      <c r="LU86" s="504">
        <v>0</v>
      </c>
      <c r="LV86" s="504">
        <v>0</v>
      </c>
      <c r="LW86" s="504">
        <v>0</v>
      </c>
      <c r="LX86" s="504">
        <v>0</v>
      </c>
      <c r="LY86" s="504">
        <v>0</v>
      </c>
      <c r="LZ86" s="504">
        <v>0</v>
      </c>
      <c r="MA86" s="504">
        <v>0</v>
      </c>
      <c r="MB86" s="504">
        <v>0</v>
      </c>
      <c r="MC86" s="504">
        <v>0</v>
      </c>
      <c r="MD86" s="504">
        <v>0</v>
      </c>
      <c r="ME86" s="504">
        <v>0</v>
      </c>
      <c r="MF86" s="504">
        <v>0</v>
      </c>
      <c r="MG86" s="504">
        <v>0</v>
      </c>
      <c r="MH86" s="504">
        <v>0</v>
      </c>
      <c r="MI86" s="504">
        <v>0</v>
      </c>
      <c r="MJ86" s="504">
        <v>0</v>
      </c>
      <c r="MK86" s="504">
        <v>0</v>
      </c>
      <c r="ML86" s="504">
        <v>0</v>
      </c>
      <c r="MM86" s="504">
        <v>0</v>
      </c>
      <c r="MN86" s="504">
        <v>0</v>
      </c>
      <c r="MO86" s="504">
        <v>0</v>
      </c>
      <c r="MP86" s="504">
        <v>0</v>
      </c>
      <c r="MQ86" s="504">
        <v>0</v>
      </c>
      <c r="MR86" s="504">
        <v>0</v>
      </c>
      <c r="MS86" s="504">
        <v>0</v>
      </c>
      <c r="MT86" s="504">
        <v>0</v>
      </c>
      <c r="MU86" s="504">
        <v>0</v>
      </c>
      <c r="MV86" s="504">
        <v>0</v>
      </c>
      <c r="MW86" s="504">
        <v>0</v>
      </c>
      <c r="MX86" s="504">
        <v>0</v>
      </c>
      <c r="MY86" s="504">
        <v>0</v>
      </c>
      <c r="MZ86" s="504">
        <v>0</v>
      </c>
      <c r="NA86" s="504">
        <v>0</v>
      </c>
      <c r="NB86" s="504">
        <v>0</v>
      </c>
      <c r="NC86" s="504">
        <v>0</v>
      </c>
      <c r="ND86" s="504">
        <v>0</v>
      </c>
      <c r="NE86" s="504">
        <v>0</v>
      </c>
      <c r="NF86" s="504">
        <v>0</v>
      </c>
      <c r="NG86" s="504">
        <v>0</v>
      </c>
      <c r="NH86" s="504">
        <v>0</v>
      </c>
      <c r="NI86" s="504">
        <v>0</v>
      </c>
      <c r="NJ86" s="504">
        <v>0</v>
      </c>
      <c r="NK86" s="504">
        <v>0</v>
      </c>
      <c r="NL86" s="504">
        <v>0</v>
      </c>
      <c r="NM86" s="504">
        <v>0</v>
      </c>
      <c r="NN86" s="504">
        <v>0</v>
      </c>
      <c r="NO86" s="504">
        <v>0</v>
      </c>
      <c r="NP86" s="504">
        <v>0</v>
      </c>
      <c r="NQ86" s="504">
        <v>0</v>
      </c>
      <c r="NR86" s="504">
        <v>0</v>
      </c>
      <c r="NS86" s="504">
        <v>0</v>
      </c>
      <c r="NT86" s="504">
        <v>0</v>
      </c>
      <c r="NU86" s="504">
        <v>0</v>
      </c>
      <c r="NV86" s="504">
        <v>0</v>
      </c>
      <c r="NW86" s="504">
        <v>0</v>
      </c>
      <c r="NX86" s="504">
        <v>0</v>
      </c>
      <c r="NY86" s="504">
        <v>0</v>
      </c>
      <c r="NZ86" s="504">
        <v>0</v>
      </c>
      <c r="OA86" s="504">
        <v>0</v>
      </c>
      <c r="OB86" s="504">
        <v>0</v>
      </c>
      <c r="OC86" s="504">
        <v>0</v>
      </c>
      <c r="OD86" s="504">
        <v>0</v>
      </c>
      <c r="OE86" s="504">
        <v>0</v>
      </c>
      <c r="OF86" s="504">
        <v>0</v>
      </c>
      <c r="OG86" s="504">
        <v>0</v>
      </c>
      <c r="OH86" s="504">
        <v>0</v>
      </c>
      <c r="OI86" s="504">
        <v>0</v>
      </c>
      <c r="OJ86" s="504">
        <v>0</v>
      </c>
      <c r="OK86" s="504">
        <v>0</v>
      </c>
      <c r="OL86" s="504">
        <v>0</v>
      </c>
      <c r="OM86" s="504">
        <v>0</v>
      </c>
      <c r="ON86" s="494"/>
    </row>
    <row r="87" spans="1:404" ht="18.75" customHeight="1" x14ac:dyDescent="0.4">
      <c r="A87" s="511" t="s">
        <v>357</v>
      </c>
      <c r="B87" s="512">
        <v>166</v>
      </c>
      <c r="C87" s="511" t="s">
        <v>94</v>
      </c>
      <c r="D87" s="501">
        <v>14.51</v>
      </c>
      <c r="E87" s="502">
        <v>468007</v>
      </c>
      <c r="F87" s="501">
        <v>14.12</v>
      </c>
      <c r="G87" s="502">
        <v>57286</v>
      </c>
      <c r="H87" s="501">
        <v>14.11</v>
      </c>
      <c r="I87" s="502">
        <v>212041</v>
      </c>
      <c r="J87" s="501">
        <v>14.12</v>
      </c>
      <c r="K87" s="502">
        <v>292532</v>
      </c>
      <c r="V87" s="501"/>
      <c r="W87" s="503"/>
      <c r="X87" s="501"/>
      <c r="Y87" s="503"/>
      <c r="Z87" s="501"/>
      <c r="AA87" s="503"/>
      <c r="AB87" s="495"/>
      <c r="AC87" s="504">
        <v>0</v>
      </c>
      <c r="AD87" s="504">
        <v>0</v>
      </c>
      <c r="AE87" s="504">
        <v>0</v>
      </c>
      <c r="AF87" s="504">
        <v>0</v>
      </c>
      <c r="AG87" s="504">
        <v>0</v>
      </c>
      <c r="AH87" s="504">
        <v>0</v>
      </c>
      <c r="AI87" s="504">
        <v>0</v>
      </c>
      <c r="AJ87" s="504">
        <v>0</v>
      </c>
      <c r="AK87" s="504">
        <v>0</v>
      </c>
      <c r="AL87" s="504">
        <v>0</v>
      </c>
      <c r="AM87" s="504">
        <v>0</v>
      </c>
      <c r="AN87" s="504">
        <v>0</v>
      </c>
      <c r="AO87" s="504">
        <v>0</v>
      </c>
      <c r="AP87" s="504">
        <v>0</v>
      </c>
      <c r="AQ87" s="504">
        <v>0</v>
      </c>
      <c r="AR87" s="504">
        <v>0</v>
      </c>
      <c r="AS87" s="504">
        <v>0</v>
      </c>
      <c r="AT87" s="504">
        <v>0</v>
      </c>
      <c r="AU87" s="504">
        <v>0</v>
      </c>
      <c r="AV87" s="504">
        <v>0</v>
      </c>
      <c r="AW87" s="504">
        <v>0</v>
      </c>
      <c r="AX87" s="504">
        <v>0</v>
      </c>
      <c r="AY87" s="504">
        <v>0</v>
      </c>
      <c r="AZ87" s="504">
        <v>0</v>
      </c>
      <c r="BA87" s="504">
        <v>0</v>
      </c>
      <c r="BB87" s="504">
        <v>0</v>
      </c>
      <c r="BC87" s="504">
        <v>0</v>
      </c>
      <c r="BD87" s="504">
        <v>0</v>
      </c>
      <c r="BE87" s="504">
        <v>0</v>
      </c>
      <c r="BF87" s="504">
        <v>0</v>
      </c>
      <c r="BG87" s="504">
        <v>0</v>
      </c>
      <c r="BH87" s="504">
        <v>0</v>
      </c>
      <c r="BI87" s="504">
        <v>0</v>
      </c>
      <c r="BJ87" s="504">
        <v>0</v>
      </c>
      <c r="BK87" s="504">
        <v>0</v>
      </c>
      <c r="BL87" s="504">
        <v>0</v>
      </c>
      <c r="BM87" s="504">
        <v>0</v>
      </c>
      <c r="BN87" s="504">
        <v>0</v>
      </c>
      <c r="BO87" s="504">
        <v>0</v>
      </c>
      <c r="BP87" s="504">
        <v>0</v>
      </c>
      <c r="BQ87" s="504">
        <v>0</v>
      </c>
      <c r="BR87" s="504">
        <v>0</v>
      </c>
      <c r="BS87" s="504">
        <v>0</v>
      </c>
      <c r="BT87" s="504">
        <v>0</v>
      </c>
      <c r="BU87" s="504">
        <v>0</v>
      </c>
      <c r="BV87" s="504">
        <v>0</v>
      </c>
      <c r="BW87" s="504">
        <v>0</v>
      </c>
      <c r="BX87" s="504">
        <v>0</v>
      </c>
      <c r="BY87" s="504">
        <v>0</v>
      </c>
      <c r="BZ87" s="504">
        <v>0</v>
      </c>
      <c r="CA87" s="504">
        <v>0</v>
      </c>
      <c r="CB87" s="504">
        <v>0</v>
      </c>
      <c r="CC87" s="504">
        <v>0</v>
      </c>
      <c r="CD87" s="504">
        <v>0</v>
      </c>
      <c r="CE87" s="504">
        <v>0</v>
      </c>
      <c r="CF87" s="504">
        <v>0</v>
      </c>
      <c r="CG87" s="504">
        <v>0</v>
      </c>
      <c r="CH87" s="504">
        <v>0</v>
      </c>
      <c r="CI87" s="504">
        <v>0</v>
      </c>
      <c r="CJ87" s="504">
        <v>0</v>
      </c>
      <c r="CK87" s="504">
        <v>0</v>
      </c>
      <c r="CL87" s="504">
        <v>0</v>
      </c>
      <c r="CM87" s="504">
        <v>0</v>
      </c>
      <c r="CN87" s="504">
        <v>0</v>
      </c>
      <c r="CO87" s="504">
        <v>0</v>
      </c>
      <c r="CP87" s="504">
        <v>0</v>
      </c>
      <c r="CQ87" s="504">
        <v>0</v>
      </c>
      <c r="CR87" s="504">
        <v>0</v>
      </c>
      <c r="CS87" s="504">
        <v>0</v>
      </c>
      <c r="CT87" s="504">
        <v>0</v>
      </c>
      <c r="CU87" s="504">
        <v>0</v>
      </c>
      <c r="CV87" s="504">
        <v>0</v>
      </c>
      <c r="CW87" s="504">
        <v>0</v>
      </c>
      <c r="CX87" s="504">
        <v>0</v>
      </c>
      <c r="CY87" s="504">
        <v>0</v>
      </c>
      <c r="CZ87" s="504">
        <v>0</v>
      </c>
      <c r="DA87" s="504">
        <v>0</v>
      </c>
      <c r="DB87" s="504">
        <v>0</v>
      </c>
      <c r="DC87" s="504">
        <v>0</v>
      </c>
      <c r="DD87" s="504">
        <v>0</v>
      </c>
      <c r="DE87" s="504">
        <v>0</v>
      </c>
      <c r="DF87" s="504">
        <v>0</v>
      </c>
      <c r="DG87" s="504">
        <v>0</v>
      </c>
      <c r="DH87" s="504">
        <v>0</v>
      </c>
      <c r="DI87" s="504">
        <v>0</v>
      </c>
      <c r="DJ87" s="504">
        <v>0</v>
      </c>
      <c r="DK87" s="504">
        <v>0</v>
      </c>
      <c r="DL87" s="504">
        <v>0</v>
      </c>
      <c r="DM87" s="504">
        <v>0</v>
      </c>
      <c r="DN87" s="504">
        <v>0</v>
      </c>
      <c r="DO87" s="504">
        <v>0</v>
      </c>
      <c r="DP87" s="504">
        <v>0</v>
      </c>
      <c r="DQ87" s="504">
        <v>0</v>
      </c>
      <c r="DR87" s="504">
        <v>0</v>
      </c>
      <c r="DS87" s="504">
        <v>0</v>
      </c>
      <c r="DT87" s="504">
        <v>0</v>
      </c>
      <c r="DU87" s="504">
        <v>0</v>
      </c>
      <c r="DV87" s="504">
        <v>0</v>
      </c>
      <c r="DW87" s="504">
        <v>0</v>
      </c>
      <c r="DX87" s="504">
        <v>0</v>
      </c>
      <c r="DY87" s="504">
        <v>0</v>
      </c>
      <c r="DZ87" s="504">
        <v>0</v>
      </c>
      <c r="EA87" s="504">
        <v>0</v>
      </c>
      <c r="EB87" s="504">
        <v>0</v>
      </c>
      <c r="EC87" s="504">
        <v>0</v>
      </c>
      <c r="ED87" s="504">
        <v>0</v>
      </c>
      <c r="EE87" s="504">
        <v>0</v>
      </c>
      <c r="EF87" s="504">
        <v>0</v>
      </c>
      <c r="EG87" s="504">
        <v>0</v>
      </c>
      <c r="EH87" s="504">
        <v>0</v>
      </c>
      <c r="EI87" s="504">
        <v>0</v>
      </c>
      <c r="EJ87" s="504">
        <v>0</v>
      </c>
      <c r="EK87" s="504">
        <v>0</v>
      </c>
      <c r="EL87" s="504">
        <v>0</v>
      </c>
      <c r="EM87" s="504">
        <v>0</v>
      </c>
      <c r="EN87" s="504">
        <v>0</v>
      </c>
      <c r="EO87" s="504">
        <v>0</v>
      </c>
      <c r="EP87" s="504">
        <v>0</v>
      </c>
      <c r="EQ87" s="504">
        <v>0</v>
      </c>
      <c r="ER87" s="504">
        <v>0</v>
      </c>
      <c r="ES87" s="504">
        <v>0</v>
      </c>
      <c r="ET87" s="504">
        <v>0</v>
      </c>
      <c r="EU87" s="504">
        <v>0</v>
      </c>
      <c r="EV87" s="504">
        <v>0</v>
      </c>
      <c r="EW87" s="504">
        <v>0</v>
      </c>
      <c r="EX87" s="504">
        <v>0</v>
      </c>
      <c r="EY87" s="504">
        <v>0</v>
      </c>
      <c r="EZ87" s="504">
        <v>0</v>
      </c>
      <c r="FA87" s="504">
        <v>0</v>
      </c>
      <c r="FB87" s="504">
        <v>0</v>
      </c>
      <c r="FC87" s="504">
        <v>0</v>
      </c>
      <c r="FD87" s="504">
        <v>0</v>
      </c>
      <c r="FE87" s="504">
        <v>0</v>
      </c>
      <c r="FF87" s="504">
        <v>0</v>
      </c>
      <c r="FG87" s="504">
        <v>0</v>
      </c>
      <c r="FH87" s="504">
        <v>0</v>
      </c>
      <c r="FI87" s="504">
        <v>0</v>
      </c>
      <c r="FJ87" s="504">
        <v>0</v>
      </c>
      <c r="FK87" s="504">
        <v>0</v>
      </c>
      <c r="FL87" s="504">
        <v>0</v>
      </c>
      <c r="FM87" s="504">
        <v>0</v>
      </c>
      <c r="FN87" s="504">
        <v>0</v>
      </c>
      <c r="FO87" s="504">
        <v>0</v>
      </c>
      <c r="FP87" s="504">
        <v>0</v>
      </c>
      <c r="FQ87" s="504">
        <v>0</v>
      </c>
      <c r="FR87" s="504">
        <v>0</v>
      </c>
      <c r="FS87" s="504">
        <v>0</v>
      </c>
      <c r="FT87" s="504">
        <v>0</v>
      </c>
      <c r="FU87" s="504">
        <v>0</v>
      </c>
      <c r="FV87" s="504">
        <v>0</v>
      </c>
      <c r="FW87" s="504">
        <v>0</v>
      </c>
      <c r="FX87" s="504">
        <v>0</v>
      </c>
      <c r="FY87" s="504">
        <v>0</v>
      </c>
      <c r="FZ87" s="504">
        <v>0</v>
      </c>
      <c r="GA87" s="504">
        <v>0</v>
      </c>
      <c r="GB87" s="504">
        <v>0</v>
      </c>
      <c r="GC87" s="504">
        <v>0</v>
      </c>
      <c r="GD87" s="504">
        <v>0</v>
      </c>
      <c r="GE87" s="504">
        <v>0</v>
      </c>
      <c r="GF87" s="504">
        <v>0</v>
      </c>
      <c r="GG87" s="504">
        <v>0</v>
      </c>
      <c r="GH87" s="504">
        <v>0</v>
      </c>
      <c r="GI87" s="504">
        <v>0</v>
      </c>
      <c r="GJ87" s="504">
        <v>0</v>
      </c>
      <c r="GK87" s="504">
        <v>0</v>
      </c>
      <c r="GL87" s="504">
        <v>0</v>
      </c>
      <c r="GM87" s="504">
        <v>0</v>
      </c>
      <c r="GN87" s="504">
        <v>0</v>
      </c>
      <c r="GO87" s="504">
        <v>0</v>
      </c>
      <c r="GP87" s="504">
        <v>0</v>
      </c>
      <c r="GQ87" s="504">
        <v>0</v>
      </c>
      <c r="GR87" s="504">
        <v>0</v>
      </c>
      <c r="GS87" s="504">
        <v>0</v>
      </c>
      <c r="GT87" s="504">
        <v>0</v>
      </c>
      <c r="GU87" s="504">
        <v>0</v>
      </c>
      <c r="GV87" s="504">
        <v>0</v>
      </c>
      <c r="GW87" s="504">
        <v>0</v>
      </c>
      <c r="GX87" s="504">
        <v>0</v>
      </c>
      <c r="GY87" s="504">
        <v>0</v>
      </c>
      <c r="GZ87" s="504">
        <v>0</v>
      </c>
      <c r="HA87" s="504">
        <v>0</v>
      </c>
      <c r="HB87" s="504">
        <v>0</v>
      </c>
      <c r="HC87" s="504">
        <v>0</v>
      </c>
      <c r="HD87" s="504">
        <v>0</v>
      </c>
      <c r="HE87" s="504">
        <v>0</v>
      </c>
      <c r="HF87" s="504">
        <v>0</v>
      </c>
      <c r="HG87" s="504">
        <v>0</v>
      </c>
      <c r="HH87" s="504">
        <v>0</v>
      </c>
      <c r="HI87" s="504">
        <v>0</v>
      </c>
      <c r="HJ87" s="504">
        <v>0</v>
      </c>
      <c r="HK87" s="504">
        <v>0</v>
      </c>
      <c r="HL87" s="504">
        <v>0</v>
      </c>
      <c r="HM87" s="504">
        <v>0</v>
      </c>
      <c r="HN87" s="504">
        <v>0</v>
      </c>
      <c r="HO87" s="504">
        <v>0</v>
      </c>
      <c r="HP87" s="504">
        <v>0</v>
      </c>
      <c r="HQ87" s="504">
        <v>0</v>
      </c>
      <c r="HR87" s="504">
        <v>0</v>
      </c>
      <c r="HS87" s="504">
        <v>0</v>
      </c>
      <c r="HT87" s="504">
        <v>0</v>
      </c>
      <c r="HU87" s="504">
        <v>0</v>
      </c>
      <c r="HV87" s="504">
        <v>0</v>
      </c>
      <c r="HW87" s="504">
        <v>0</v>
      </c>
      <c r="HX87" s="504">
        <v>0</v>
      </c>
      <c r="HY87" s="504">
        <v>0</v>
      </c>
      <c r="HZ87" s="504">
        <v>0</v>
      </c>
      <c r="IA87" s="504">
        <v>0</v>
      </c>
      <c r="IB87" s="504">
        <v>0</v>
      </c>
      <c r="IC87" s="504">
        <v>0</v>
      </c>
      <c r="ID87" s="504">
        <v>0</v>
      </c>
      <c r="IE87" s="504">
        <v>0</v>
      </c>
      <c r="IF87" s="504">
        <v>0</v>
      </c>
      <c r="IG87" s="504">
        <v>0</v>
      </c>
      <c r="IH87" s="504">
        <v>0</v>
      </c>
      <c r="II87" s="504">
        <v>0</v>
      </c>
      <c r="IJ87" s="504">
        <v>0</v>
      </c>
      <c r="IK87" s="504">
        <v>0</v>
      </c>
      <c r="IL87" s="504">
        <v>0</v>
      </c>
      <c r="IM87" s="504">
        <v>0</v>
      </c>
      <c r="IN87" s="504">
        <v>0</v>
      </c>
      <c r="IO87" s="504">
        <v>0</v>
      </c>
      <c r="IP87" s="504">
        <v>0</v>
      </c>
      <c r="IQ87" s="504">
        <v>0</v>
      </c>
      <c r="IR87" s="504">
        <v>0</v>
      </c>
      <c r="IS87" s="504">
        <v>0</v>
      </c>
      <c r="IT87" s="504">
        <v>0</v>
      </c>
      <c r="IU87" s="504">
        <v>0</v>
      </c>
      <c r="IV87" s="504">
        <v>0</v>
      </c>
      <c r="IW87" s="504">
        <v>0</v>
      </c>
      <c r="IX87" s="504">
        <v>0</v>
      </c>
      <c r="IY87" s="504">
        <v>0</v>
      </c>
      <c r="IZ87" s="504">
        <v>0</v>
      </c>
      <c r="JA87" s="504">
        <v>0</v>
      </c>
      <c r="JB87" s="504">
        <v>0</v>
      </c>
      <c r="JC87" s="504">
        <v>0</v>
      </c>
      <c r="JD87" s="504">
        <v>0</v>
      </c>
      <c r="JE87" s="504">
        <v>0</v>
      </c>
      <c r="JF87" s="504">
        <v>0</v>
      </c>
      <c r="JG87" s="504">
        <v>0</v>
      </c>
      <c r="JH87" s="504">
        <v>0</v>
      </c>
      <c r="JI87" s="504">
        <v>0</v>
      </c>
      <c r="JJ87" s="504">
        <v>0</v>
      </c>
      <c r="JK87" s="504">
        <v>0</v>
      </c>
      <c r="JL87" s="504">
        <v>0</v>
      </c>
      <c r="JM87" s="504">
        <v>0</v>
      </c>
      <c r="JN87" s="504">
        <v>0</v>
      </c>
      <c r="JO87" s="504">
        <v>0</v>
      </c>
      <c r="JP87" s="504">
        <v>0</v>
      </c>
      <c r="JQ87" s="504">
        <v>0</v>
      </c>
      <c r="JR87" s="504">
        <v>0</v>
      </c>
      <c r="JS87" s="504">
        <v>0</v>
      </c>
      <c r="JT87" s="504">
        <v>0</v>
      </c>
      <c r="JU87" s="504">
        <v>0</v>
      </c>
      <c r="JV87" s="504">
        <v>0</v>
      </c>
      <c r="JW87" s="504">
        <v>0</v>
      </c>
      <c r="JX87" s="504">
        <v>0</v>
      </c>
      <c r="JY87" s="504">
        <v>0</v>
      </c>
      <c r="JZ87" s="504">
        <v>0</v>
      </c>
      <c r="KA87" s="504">
        <v>0</v>
      </c>
      <c r="KB87" s="504">
        <v>0</v>
      </c>
      <c r="KC87" s="504">
        <v>0</v>
      </c>
      <c r="KD87" s="504">
        <v>0</v>
      </c>
      <c r="KE87" s="504">
        <v>0</v>
      </c>
      <c r="KF87" s="504">
        <v>0</v>
      </c>
      <c r="KG87" s="504">
        <v>0</v>
      </c>
      <c r="KH87" s="504">
        <v>0</v>
      </c>
      <c r="KI87" s="504">
        <v>0</v>
      </c>
      <c r="KJ87" s="504">
        <v>0</v>
      </c>
      <c r="KK87" s="504">
        <v>0</v>
      </c>
      <c r="KL87" s="504">
        <v>0</v>
      </c>
      <c r="KM87" s="504">
        <v>0</v>
      </c>
      <c r="KN87" s="504">
        <v>0</v>
      </c>
      <c r="KO87" s="504">
        <v>0</v>
      </c>
      <c r="KP87" s="504">
        <v>0</v>
      </c>
      <c r="KQ87" s="504">
        <v>0</v>
      </c>
      <c r="KR87" s="504">
        <v>0</v>
      </c>
      <c r="KS87" s="504">
        <v>0</v>
      </c>
      <c r="KT87" s="504">
        <v>0</v>
      </c>
      <c r="KU87" s="504">
        <v>0</v>
      </c>
      <c r="KV87" s="504">
        <v>0</v>
      </c>
      <c r="KW87" s="504">
        <v>0</v>
      </c>
      <c r="KX87" s="504">
        <v>0</v>
      </c>
      <c r="KY87" s="504">
        <v>0</v>
      </c>
      <c r="KZ87" s="504">
        <v>0</v>
      </c>
      <c r="LA87" s="504">
        <v>0</v>
      </c>
      <c r="LB87" s="504">
        <v>0</v>
      </c>
      <c r="LC87" s="504">
        <v>0</v>
      </c>
      <c r="LD87" s="504">
        <v>0</v>
      </c>
      <c r="LE87" s="504">
        <v>0</v>
      </c>
      <c r="LF87" s="504">
        <v>0</v>
      </c>
      <c r="LG87" s="504">
        <v>0</v>
      </c>
      <c r="LH87" s="504">
        <v>0</v>
      </c>
      <c r="LI87" s="504">
        <v>0</v>
      </c>
      <c r="LJ87" s="504">
        <v>0</v>
      </c>
      <c r="LK87" s="504">
        <v>0</v>
      </c>
      <c r="LL87" s="504">
        <v>0</v>
      </c>
      <c r="LM87" s="504">
        <v>0</v>
      </c>
      <c r="LN87" s="504">
        <v>0</v>
      </c>
      <c r="LO87" s="504">
        <v>0</v>
      </c>
      <c r="LP87" s="504">
        <v>0</v>
      </c>
      <c r="LQ87" s="504">
        <v>0</v>
      </c>
      <c r="LR87" s="504">
        <v>0</v>
      </c>
      <c r="LS87" s="504">
        <v>0</v>
      </c>
      <c r="LT87" s="504">
        <v>0</v>
      </c>
      <c r="LU87" s="504">
        <v>0</v>
      </c>
      <c r="LV87" s="504">
        <v>0</v>
      </c>
      <c r="LW87" s="504">
        <v>0</v>
      </c>
      <c r="LX87" s="504">
        <v>0</v>
      </c>
      <c r="LY87" s="504">
        <v>0</v>
      </c>
      <c r="LZ87" s="504">
        <v>0</v>
      </c>
      <c r="MA87" s="504">
        <v>0</v>
      </c>
      <c r="MB87" s="504">
        <v>0</v>
      </c>
      <c r="MC87" s="504">
        <v>0</v>
      </c>
      <c r="MD87" s="504">
        <v>0</v>
      </c>
      <c r="ME87" s="504">
        <v>0</v>
      </c>
      <c r="MF87" s="504">
        <v>0</v>
      </c>
      <c r="MG87" s="504">
        <v>0</v>
      </c>
      <c r="MH87" s="504">
        <v>0</v>
      </c>
      <c r="MI87" s="504">
        <v>0</v>
      </c>
      <c r="MJ87" s="504">
        <v>0</v>
      </c>
      <c r="MK87" s="504">
        <v>0</v>
      </c>
      <c r="ML87" s="504">
        <v>0</v>
      </c>
      <c r="MM87" s="504">
        <v>0</v>
      </c>
      <c r="MN87" s="504">
        <v>0</v>
      </c>
      <c r="MO87" s="504">
        <v>0</v>
      </c>
      <c r="MP87" s="504">
        <v>0</v>
      </c>
      <c r="MQ87" s="504">
        <v>0</v>
      </c>
      <c r="MR87" s="504">
        <v>0</v>
      </c>
      <c r="MS87" s="504">
        <v>0</v>
      </c>
      <c r="MT87" s="504">
        <v>0</v>
      </c>
      <c r="MU87" s="504">
        <v>0</v>
      </c>
      <c r="MV87" s="504">
        <v>0</v>
      </c>
      <c r="MW87" s="504">
        <v>0</v>
      </c>
      <c r="MX87" s="504">
        <v>0</v>
      </c>
      <c r="MY87" s="504">
        <v>0</v>
      </c>
      <c r="MZ87" s="504">
        <v>0</v>
      </c>
      <c r="NA87" s="504">
        <v>0</v>
      </c>
      <c r="NB87" s="504">
        <v>0</v>
      </c>
      <c r="NC87" s="504">
        <v>0</v>
      </c>
      <c r="ND87" s="504">
        <v>0</v>
      </c>
      <c r="NE87" s="504">
        <v>0</v>
      </c>
      <c r="NF87" s="504">
        <v>0</v>
      </c>
      <c r="NG87" s="504">
        <v>0</v>
      </c>
      <c r="NH87" s="504">
        <v>0</v>
      </c>
      <c r="NI87" s="504">
        <v>0</v>
      </c>
      <c r="NJ87" s="504">
        <v>0</v>
      </c>
      <c r="NK87" s="504">
        <v>0</v>
      </c>
      <c r="NL87" s="504">
        <v>0</v>
      </c>
      <c r="NM87" s="504">
        <v>0</v>
      </c>
      <c r="NN87" s="504">
        <v>0</v>
      </c>
      <c r="NO87" s="504">
        <v>0</v>
      </c>
      <c r="NP87" s="504">
        <v>0</v>
      </c>
      <c r="NQ87" s="504">
        <v>0</v>
      </c>
      <c r="NR87" s="504">
        <v>0</v>
      </c>
      <c r="NS87" s="504">
        <v>0</v>
      </c>
      <c r="NT87" s="504">
        <v>0</v>
      </c>
      <c r="NU87" s="504">
        <v>0</v>
      </c>
      <c r="NV87" s="504">
        <v>0</v>
      </c>
      <c r="NW87" s="504">
        <v>0</v>
      </c>
      <c r="NX87" s="504">
        <v>0</v>
      </c>
      <c r="NY87" s="504">
        <v>0</v>
      </c>
      <c r="NZ87" s="504">
        <v>0</v>
      </c>
      <c r="OA87" s="504">
        <v>0</v>
      </c>
      <c r="OB87" s="504">
        <v>0</v>
      </c>
      <c r="OC87" s="504">
        <v>0</v>
      </c>
      <c r="OD87" s="504">
        <v>0</v>
      </c>
      <c r="OE87" s="504">
        <v>0</v>
      </c>
      <c r="OF87" s="504">
        <v>0</v>
      </c>
      <c r="OG87" s="504">
        <v>0</v>
      </c>
      <c r="OH87" s="504">
        <v>0</v>
      </c>
      <c r="OI87" s="504">
        <v>0</v>
      </c>
      <c r="OJ87" s="504">
        <v>0</v>
      </c>
      <c r="OK87" s="504">
        <v>0</v>
      </c>
      <c r="OL87" s="504">
        <v>0</v>
      </c>
      <c r="OM87" s="504">
        <v>0</v>
      </c>
      <c r="ON87" s="494"/>
    </row>
    <row r="88" spans="1:404" ht="18.75" customHeight="1" x14ac:dyDescent="0.4">
      <c r="A88" s="511" t="s">
        <v>358</v>
      </c>
      <c r="B88" s="512">
        <v>163</v>
      </c>
      <c r="C88" s="511" t="s">
        <v>60</v>
      </c>
      <c r="D88" s="501">
        <v>15.5</v>
      </c>
      <c r="E88" s="502">
        <v>10857</v>
      </c>
      <c r="F88" s="501">
        <v>15.49</v>
      </c>
      <c r="G88" s="502">
        <v>2014</v>
      </c>
      <c r="H88" s="501">
        <v>15.49</v>
      </c>
      <c r="I88" s="502">
        <v>7191</v>
      </c>
      <c r="J88" s="501">
        <v>15.49</v>
      </c>
      <c r="K88" s="502">
        <v>9098</v>
      </c>
      <c r="V88" s="501"/>
      <c r="W88" s="503"/>
      <c r="X88" s="501"/>
      <c r="Y88" s="503"/>
      <c r="Z88" s="501"/>
      <c r="AA88" s="503"/>
      <c r="AB88" s="495"/>
      <c r="AC88" s="504">
        <v>0</v>
      </c>
      <c r="AD88" s="504">
        <v>0</v>
      </c>
      <c r="AE88" s="504">
        <v>0</v>
      </c>
      <c r="AF88" s="504">
        <v>0</v>
      </c>
      <c r="AG88" s="504">
        <v>0</v>
      </c>
      <c r="AH88" s="504">
        <v>0</v>
      </c>
      <c r="AI88" s="504">
        <v>0</v>
      </c>
      <c r="AJ88" s="504">
        <v>0</v>
      </c>
      <c r="AK88" s="504">
        <v>0</v>
      </c>
      <c r="AL88" s="504">
        <v>0</v>
      </c>
      <c r="AM88" s="504">
        <v>0</v>
      </c>
      <c r="AN88" s="504">
        <v>0</v>
      </c>
      <c r="AO88" s="504">
        <v>0</v>
      </c>
      <c r="AP88" s="504">
        <v>0</v>
      </c>
      <c r="AQ88" s="504">
        <v>0</v>
      </c>
      <c r="AR88" s="504">
        <v>0</v>
      </c>
      <c r="AS88" s="504">
        <v>0</v>
      </c>
      <c r="AT88" s="504">
        <v>0</v>
      </c>
      <c r="AU88" s="504">
        <v>0</v>
      </c>
      <c r="AV88" s="504">
        <v>0</v>
      </c>
      <c r="AW88" s="504">
        <v>0</v>
      </c>
      <c r="AX88" s="504">
        <v>0</v>
      </c>
      <c r="AY88" s="504">
        <v>0</v>
      </c>
      <c r="AZ88" s="504">
        <v>0</v>
      </c>
      <c r="BA88" s="504">
        <v>0</v>
      </c>
      <c r="BB88" s="504">
        <v>0</v>
      </c>
      <c r="BC88" s="504">
        <v>0</v>
      </c>
      <c r="BD88" s="504">
        <v>0</v>
      </c>
      <c r="BE88" s="504">
        <v>0</v>
      </c>
      <c r="BF88" s="504">
        <v>0</v>
      </c>
      <c r="BG88" s="504">
        <v>0</v>
      </c>
      <c r="BH88" s="504">
        <v>0</v>
      </c>
      <c r="BI88" s="504">
        <v>0</v>
      </c>
      <c r="BJ88" s="504">
        <v>0</v>
      </c>
      <c r="BK88" s="504">
        <v>0</v>
      </c>
      <c r="BL88" s="504">
        <v>0</v>
      </c>
      <c r="BM88" s="504">
        <v>0</v>
      </c>
      <c r="BN88" s="504">
        <v>0</v>
      </c>
      <c r="BO88" s="504">
        <v>0</v>
      </c>
      <c r="BP88" s="504">
        <v>0</v>
      </c>
      <c r="BQ88" s="504">
        <v>0</v>
      </c>
      <c r="BR88" s="504">
        <v>0</v>
      </c>
      <c r="BS88" s="504">
        <v>0</v>
      </c>
      <c r="BT88" s="504">
        <v>0</v>
      </c>
      <c r="BU88" s="504">
        <v>0</v>
      </c>
      <c r="BV88" s="504">
        <v>0</v>
      </c>
      <c r="BW88" s="504">
        <v>0</v>
      </c>
      <c r="BX88" s="504">
        <v>0</v>
      </c>
      <c r="BY88" s="504">
        <v>0</v>
      </c>
      <c r="BZ88" s="504">
        <v>0</v>
      </c>
      <c r="CA88" s="504">
        <v>0</v>
      </c>
      <c r="CB88" s="504">
        <v>0</v>
      </c>
      <c r="CC88" s="504">
        <v>0</v>
      </c>
      <c r="CD88" s="504">
        <v>0</v>
      </c>
      <c r="CE88" s="504">
        <v>0</v>
      </c>
      <c r="CF88" s="504">
        <v>0</v>
      </c>
      <c r="CG88" s="504">
        <v>0</v>
      </c>
      <c r="CH88" s="504">
        <v>0</v>
      </c>
      <c r="CI88" s="504">
        <v>0</v>
      </c>
      <c r="CJ88" s="504">
        <v>0</v>
      </c>
      <c r="CK88" s="504">
        <v>0</v>
      </c>
      <c r="CL88" s="504">
        <v>0</v>
      </c>
      <c r="CM88" s="504">
        <v>0</v>
      </c>
      <c r="CN88" s="504">
        <v>0</v>
      </c>
      <c r="CO88" s="504">
        <v>0</v>
      </c>
      <c r="CP88" s="504">
        <v>0</v>
      </c>
      <c r="CQ88" s="504">
        <v>0</v>
      </c>
      <c r="CR88" s="504">
        <v>0</v>
      </c>
      <c r="CS88" s="504">
        <v>0</v>
      </c>
      <c r="CT88" s="504">
        <v>0</v>
      </c>
      <c r="CU88" s="504">
        <v>0</v>
      </c>
      <c r="CV88" s="504">
        <v>0</v>
      </c>
      <c r="CW88" s="504">
        <v>0</v>
      </c>
      <c r="CX88" s="504">
        <v>0</v>
      </c>
      <c r="CY88" s="504">
        <v>0</v>
      </c>
      <c r="CZ88" s="504">
        <v>0</v>
      </c>
      <c r="DA88" s="504">
        <v>0</v>
      </c>
      <c r="DB88" s="504">
        <v>0</v>
      </c>
      <c r="DC88" s="504">
        <v>0</v>
      </c>
      <c r="DD88" s="504">
        <v>0</v>
      </c>
      <c r="DE88" s="504">
        <v>0</v>
      </c>
      <c r="DF88" s="504">
        <v>0</v>
      </c>
      <c r="DG88" s="504">
        <v>0</v>
      </c>
      <c r="DH88" s="504">
        <v>0</v>
      </c>
      <c r="DI88" s="504">
        <v>0</v>
      </c>
      <c r="DJ88" s="504">
        <v>0</v>
      </c>
      <c r="DK88" s="504">
        <v>0</v>
      </c>
      <c r="DL88" s="504">
        <v>0</v>
      </c>
      <c r="DM88" s="504">
        <v>0</v>
      </c>
      <c r="DN88" s="504">
        <v>0</v>
      </c>
      <c r="DO88" s="504">
        <v>0</v>
      </c>
      <c r="DP88" s="504">
        <v>0</v>
      </c>
      <c r="DQ88" s="504">
        <v>0</v>
      </c>
      <c r="DR88" s="504">
        <v>0</v>
      </c>
      <c r="DS88" s="504">
        <v>0</v>
      </c>
      <c r="DT88" s="504">
        <v>0</v>
      </c>
      <c r="DU88" s="504">
        <v>0</v>
      </c>
      <c r="DV88" s="504">
        <v>0</v>
      </c>
      <c r="DW88" s="504">
        <v>0</v>
      </c>
      <c r="DX88" s="504">
        <v>0</v>
      </c>
      <c r="DY88" s="504">
        <v>0</v>
      </c>
      <c r="DZ88" s="504">
        <v>0</v>
      </c>
      <c r="EA88" s="504">
        <v>0</v>
      </c>
      <c r="EB88" s="504">
        <v>0</v>
      </c>
      <c r="EC88" s="504">
        <v>0</v>
      </c>
      <c r="ED88" s="504">
        <v>0</v>
      </c>
      <c r="EE88" s="504">
        <v>0</v>
      </c>
      <c r="EF88" s="504">
        <v>0</v>
      </c>
      <c r="EG88" s="504">
        <v>0</v>
      </c>
      <c r="EH88" s="504">
        <v>0</v>
      </c>
      <c r="EI88" s="504">
        <v>0</v>
      </c>
      <c r="EJ88" s="504">
        <v>0</v>
      </c>
      <c r="EK88" s="504">
        <v>0</v>
      </c>
      <c r="EL88" s="504">
        <v>0</v>
      </c>
      <c r="EM88" s="504">
        <v>0</v>
      </c>
      <c r="EN88" s="504">
        <v>0</v>
      </c>
      <c r="EO88" s="504">
        <v>0</v>
      </c>
      <c r="EP88" s="504">
        <v>0</v>
      </c>
      <c r="EQ88" s="504">
        <v>0</v>
      </c>
      <c r="ER88" s="504">
        <v>0</v>
      </c>
      <c r="ES88" s="504">
        <v>0</v>
      </c>
      <c r="ET88" s="504">
        <v>0</v>
      </c>
      <c r="EU88" s="504">
        <v>0</v>
      </c>
      <c r="EV88" s="504">
        <v>0</v>
      </c>
      <c r="EW88" s="504">
        <v>0</v>
      </c>
      <c r="EX88" s="504">
        <v>0</v>
      </c>
      <c r="EY88" s="504">
        <v>0</v>
      </c>
      <c r="EZ88" s="504">
        <v>0</v>
      </c>
      <c r="FA88" s="504">
        <v>0</v>
      </c>
      <c r="FB88" s="504">
        <v>0</v>
      </c>
      <c r="FC88" s="504">
        <v>0</v>
      </c>
      <c r="FD88" s="504">
        <v>0</v>
      </c>
      <c r="FE88" s="504">
        <v>0</v>
      </c>
      <c r="FF88" s="504">
        <v>0</v>
      </c>
      <c r="FG88" s="504">
        <v>0</v>
      </c>
      <c r="FH88" s="504">
        <v>0</v>
      </c>
      <c r="FI88" s="504">
        <v>0</v>
      </c>
      <c r="FJ88" s="504">
        <v>0</v>
      </c>
      <c r="FK88" s="504">
        <v>0</v>
      </c>
      <c r="FL88" s="504">
        <v>0</v>
      </c>
      <c r="FM88" s="504">
        <v>0</v>
      </c>
      <c r="FN88" s="504">
        <v>0</v>
      </c>
      <c r="FO88" s="504">
        <v>0</v>
      </c>
      <c r="FP88" s="504">
        <v>0</v>
      </c>
      <c r="FQ88" s="504">
        <v>0</v>
      </c>
      <c r="FR88" s="504">
        <v>0</v>
      </c>
      <c r="FS88" s="504">
        <v>0</v>
      </c>
      <c r="FT88" s="504">
        <v>0</v>
      </c>
      <c r="FU88" s="504">
        <v>0</v>
      </c>
      <c r="FV88" s="504">
        <v>0</v>
      </c>
      <c r="FW88" s="504">
        <v>0</v>
      </c>
      <c r="FX88" s="504">
        <v>0</v>
      </c>
      <c r="FY88" s="504">
        <v>0</v>
      </c>
      <c r="FZ88" s="504">
        <v>0</v>
      </c>
      <c r="GA88" s="504">
        <v>0</v>
      </c>
      <c r="GB88" s="504">
        <v>0</v>
      </c>
      <c r="GC88" s="504">
        <v>0</v>
      </c>
      <c r="GD88" s="504">
        <v>0</v>
      </c>
      <c r="GE88" s="504">
        <v>0</v>
      </c>
      <c r="GF88" s="504">
        <v>0</v>
      </c>
      <c r="GG88" s="504">
        <v>0</v>
      </c>
      <c r="GH88" s="504">
        <v>0</v>
      </c>
      <c r="GI88" s="504">
        <v>0</v>
      </c>
      <c r="GJ88" s="504">
        <v>0</v>
      </c>
      <c r="GK88" s="504">
        <v>0</v>
      </c>
      <c r="GL88" s="504">
        <v>0</v>
      </c>
      <c r="GM88" s="504">
        <v>0</v>
      </c>
      <c r="GN88" s="504">
        <v>0</v>
      </c>
      <c r="GO88" s="504">
        <v>0</v>
      </c>
      <c r="GP88" s="504">
        <v>0</v>
      </c>
      <c r="GQ88" s="504">
        <v>0</v>
      </c>
      <c r="GR88" s="504">
        <v>0</v>
      </c>
      <c r="GS88" s="504">
        <v>0</v>
      </c>
      <c r="GT88" s="504">
        <v>0</v>
      </c>
      <c r="GU88" s="504">
        <v>0</v>
      </c>
      <c r="GV88" s="504">
        <v>0</v>
      </c>
      <c r="GW88" s="504">
        <v>0</v>
      </c>
      <c r="GX88" s="504">
        <v>0</v>
      </c>
      <c r="GY88" s="504">
        <v>0</v>
      </c>
      <c r="GZ88" s="504">
        <v>0</v>
      </c>
      <c r="HA88" s="504">
        <v>0</v>
      </c>
      <c r="HB88" s="504">
        <v>0</v>
      </c>
      <c r="HC88" s="504">
        <v>0</v>
      </c>
      <c r="HD88" s="504">
        <v>0</v>
      </c>
      <c r="HE88" s="504">
        <v>0</v>
      </c>
      <c r="HF88" s="504">
        <v>0</v>
      </c>
      <c r="HG88" s="504">
        <v>0</v>
      </c>
      <c r="HH88" s="504">
        <v>0</v>
      </c>
      <c r="HI88" s="504">
        <v>0</v>
      </c>
      <c r="HJ88" s="504">
        <v>0</v>
      </c>
      <c r="HK88" s="504">
        <v>0</v>
      </c>
      <c r="HL88" s="504">
        <v>0</v>
      </c>
      <c r="HM88" s="504">
        <v>0</v>
      </c>
      <c r="HN88" s="504">
        <v>0</v>
      </c>
      <c r="HO88" s="504">
        <v>0</v>
      </c>
      <c r="HP88" s="504">
        <v>0</v>
      </c>
      <c r="HQ88" s="504">
        <v>0</v>
      </c>
      <c r="HR88" s="504">
        <v>0</v>
      </c>
      <c r="HS88" s="504">
        <v>0</v>
      </c>
      <c r="HT88" s="504">
        <v>0</v>
      </c>
      <c r="HU88" s="504">
        <v>0</v>
      </c>
      <c r="HV88" s="504">
        <v>0</v>
      </c>
      <c r="HW88" s="504">
        <v>0</v>
      </c>
      <c r="HX88" s="504">
        <v>0</v>
      </c>
      <c r="HY88" s="504">
        <v>0</v>
      </c>
      <c r="HZ88" s="504">
        <v>0</v>
      </c>
      <c r="IA88" s="504">
        <v>0</v>
      </c>
      <c r="IB88" s="504">
        <v>0</v>
      </c>
      <c r="IC88" s="504">
        <v>0</v>
      </c>
      <c r="ID88" s="504">
        <v>0</v>
      </c>
      <c r="IE88" s="504">
        <v>0</v>
      </c>
      <c r="IF88" s="504">
        <v>0</v>
      </c>
      <c r="IG88" s="504">
        <v>0</v>
      </c>
      <c r="IH88" s="504">
        <v>0</v>
      </c>
      <c r="II88" s="504">
        <v>0</v>
      </c>
      <c r="IJ88" s="504">
        <v>0</v>
      </c>
      <c r="IK88" s="504">
        <v>0</v>
      </c>
      <c r="IL88" s="504">
        <v>0</v>
      </c>
      <c r="IM88" s="504">
        <v>0</v>
      </c>
      <c r="IN88" s="504">
        <v>0</v>
      </c>
      <c r="IO88" s="504">
        <v>0</v>
      </c>
      <c r="IP88" s="504">
        <v>0</v>
      </c>
      <c r="IQ88" s="504">
        <v>0</v>
      </c>
      <c r="IR88" s="504">
        <v>0</v>
      </c>
      <c r="IS88" s="504">
        <v>0</v>
      </c>
      <c r="IT88" s="504">
        <v>0</v>
      </c>
      <c r="IU88" s="504">
        <v>0</v>
      </c>
      <c r="IV88" s="504">
        <v>0</v>
      </c>
      <c r="IW88" s="504">
        <v>0</v>
      </c>
      <c r="IX88" s="504">
        <v>0</v>
      </c>
      <c r="IY88" s="504">
        <v>0</v>
      </c>
      <c r="IZ88" s="504">
        <v>0</v>
      </c>
      <c r="JA88" s="504">
        <v>0</v>
      </c>
      <c r="JB88" s="504">
        <v>0</v>
      </c>
      <c r="JC88" s="504">
        <v>0</v>
      </c>
      <c r="JD88" s="504">
        <v>0</v>
      </c>
      <c r="JE88" s="504">
        <v>0</v>
      </c>
      <c r="JF88" s="504">
        <v>0</v>
      </c>
      <c r="JG88" s="504">
        <v>0</v>
      </c>
      <c r="JH88" s="504">
        <v>0</v>
      </c>
      <c r="JI88" s="504">
        <v>0</v>
      </c>
      <c r="JJ88" s="504">
        <v>0</v>
      </c>
      <c r="JK88" s="504">
        <v>0</v>
      </c>
      <c r="JL88" s="504">
        <v>0</v>
      </c>
      <c r="JM88" s="504">
        <v>0</v>
      </c>
      <c r="JN88" s="504">
        <v>0</v>
      </c>
      <c r="JO88" s="504">
        <v>0</v>
      </c>
      <c r="JP88" s="504">
        <v>0</v>
      </c>
      <c r="JQ88" s="504">
        <v>0</v>
      </c>
      <c r="JR88" s="504">
        <v>0</v>
      </c>
      <c r="JS88" s="504">
        <v>0</v>
      </c>
      <c r="JT88" s="504">
        <v>0</v>
      </c>
      <c r="JU88" s="504">
        <v>0</v>
      </c>
      <c r="JV88" s="504">
        <v>0</v>
      </c>
      <c r="JW88" s="504">
        <v>0</v>
      </c>
      <c r="JX88" s="504">
        <v>0</v>
      </c>
      <c r="JY88" s="504">
        <v>0</v>
      </c>
      <c r="JZ88" s="504">
        <v>0</v>
      </c>
      <c r="KA88" s="504">
        <v>0</v>
      </c>
      <c r="KB88" s="504">
        <v>0</v>
      </c>
      <c r="KC88" s="504">
        <v>0</v>
      </c>
      <c r="KD88" s="504">
        <v>0</v>
      </c>
      <c r="KE88" s="504">
        <v>0</v>
      </c>
      <c r="KF88" s="504">
        <v>0</v>
      </c>
      <c r="KG88" s="504">
        <v>0</v>
      </c>
      <c r="KH88" s="504">
        <v>0</v>
      </c>
      <c r="KI88" s="504">
        <v>0</v>
      </c>
      <c r="KJ88" s="504">
        <v>0</v>
      </c>
      <c r="KK88" s="504">
        <v>0</v>
      </c>
      <c r="KL88" s="504">
        <v>0</v>
      </c>
      <c r="KM88" s="504">
        <v>0</v>
      </c>
      <c r="KN88" s="504">
        <v>0</v>
      </c>
      <c r="KO88" s="504">
        <v>0</v>
      </c>
      <c r="KP88" s="504">
        <v>0</v>
      </c>
      <c r="KQ88" s="504">
        <v>0</v>
      </c>
      <c r="KR88" s="504">
        <v>0</v>
      </c>
      <c r="KS88" s="504">
        <v>0</v>
      </c>
      <c r="KT88" s="504">
        <v>0</v>
      </c>
      <c r="KU88" s="504">
        <v>0</v>
      </c>
      <c r="KV88" s="504">
        <v>0</v>
      </c>
      <c r="KW88" s="504">
        <v>0</v>
      </c>
      <c r="KX88" s="504">
        <v>0</v>
      </c>
      <c r="KY88" s="504">
        <v>0</v>
      </c>
      <c r="KZ88" s="504">
        <v>0</v>
      </c>
      <c r="LA88" s="504">
        <v>0</v>
      </c>
      <c r="LB88" s="504">
        <v>0</v>
      </c>
      <c r="LC88" s="504">
        <v>0</v>
      </c>
      <c r="LD88" s="504">
        <v>0</v>
      </c>
      <c r="LE88" s="504">
        <v>0</v>
      </c>
      <c r="LF88" s="504">
        <v>0</v>
      </c>
      <c r="LG88" s="504">
        <v>0</v>
      </c>
      <c r="LH88" s="504">
        <v>0</v>
      </c>
      <c r="LI88" s="504">
        <v>0</v>
      </c>
      <c r="LJ88" s="504">
        <v>0</v>
      </c>
      <c r="LK88" s="504">
        <v>0</v>
      </c>
      <c r="LL88" s="504">
        <v>0</v>
      </c>
      <c r="LM88" s="504">
        <v>0</v>
      </c>
      <c r="LN88" s="504">
        <v>0</v>
      </c>
      <c r="LO88" s="504">
        <v>0</v>
      </c>
      <c r="LP88" s="504">
        <v>0</v>
      </c>
      <c r="LQ88" s="504">
        <v>0</v>
      </c>
      <c r="LR88" s="504">
        <v>0</v>
      </c>
      <c r="LS88" s="504">
        <v>0</v>
      </c>
      <c r="LT88" s="504">
        <v>0</v>
      </c>
      <c r="LU88" s="504">
        <v>0</v>
      </c>
      <c r="LV88" s="504">
        <v>0</v>
      </c>
      <c r="LW88" s="504">
        <v>0</v>
      </c>
      <c r="LX88" s="504">
        <v>0</v>
      </c>
      <c r="LY88" s="504">
        <v>0</v>
      </c>
      <c r="LZ88" s="504">
        <v>0</v>
      </c>
      <c r="MA88" s="504">
        <v>0</v>
      </c>
      <c r="MB88" s="504">
        <v>0</v>
      </c>
      <c r="MC88" s="504">
        <v>0</v>
      </c>
      <c r="MD88" s="504">
        <v>0</v>
      </c>
      <c r="ME88" s="504">
        <v>0</v>
      </c>
      <c r="MF88" s="504">
        <v>0</v>
      </c>
      <c r="MG88" s="504">
        <v>0</v>
      </c>
      <c r="MH88" s="504">
        <v>0</v>
      </c>
      <c r="MI88" s="504">
        <v>0</v>
      </c>
      <c r="MJ88" s="504">
        <v>0</v>
      </c>
      <c r="MK88" s="504">
        <v>0</v>
      </c>
      <c r="ML88" s="504">
        <v>0</v>
      </c>
      <c r="MM88" s="504">
        <v>0</v>
      </c>
      <c r="MN88" s="504">
        <v>0</v>
      </c>
      <c r="MO88" s="504">
        <v>0</v>
      </c>
      <c r="MP88" s="504">
        <v>0</v>
      </c>
      <c r="MQ88" s="504">
        <v>0</v>
      </c>
      <c r="MR88" s="504">
        <v>0</v>
      </c>
      <c r="MS88" s="504">
        <v>0</v>
      </c>
      <c r="MT88" s="504">
        <v>0</v>
      </c>
      <c r="MU88" s="504">
        <v>0</v>
      </c>
      <c r="MV88" s="504">
        <v>0</v>
      </c>
      <c r="MW88" s="504">
        <v>0</v>
      </c>
      <c r="MX88" s="504">
        <v>0</v>
      </c>
      <c r="MY88" s="504">
        <v>0</v>
      </c>
      <c r="MZ88" s="504">
        <v>0</v>
      </c>
      <c r="NA88" s="504">
        <v>0</v>
      </c>
      <c r="NB88" s="504">
        <v>0</v>
      </c>
      <c r="NC88" s="504">
        <v>0</v>
      </c>
      <c r="ND88" s="504">
        <v>0</v>
      </c>
      <c r="NE88" s="504">
        <v>0</v>
      </c>
      <c r="NF88" s="504">
        <v>0</v>
      </c>
      <c r="NG88" s="504">
        <v>0</v>
      </c>
      <c r="NH88" s="504">
        <v>0</v>
      </c>
      <c r="NI88" s="504">
        <v>0</v>
      </c>
      <c r="NJ88" s="504">
        <v>0</v>
      </c>
      <c r="NK88" s="504">
        <v>0</v>
      </c>
      <c r="NL88" s="504">
        <v>0</v>
      </c>
      <c r="NM88" s="504">
        <v>0</v>
      </c>
      <c r="NN88" s="504">
        <v>0</v>
      </c>
      <c r="NO88" s="504">
        <v>0</v>
      </c>
      <c r="NP88" s="504">
        <v>0</v>
      </c>
      <c r="NQ88" s="504">
        <v>0</v>
      </c>
      <c r="NR88" s="504">
        <v>0</v>
      </c>
      <c r="NS88" s="504">
        <v>0</v>
      </c>
      <c r="NT88" s="504">
        <v>0</v>
      </c>
      <c r="NU88" s="504">
        <v>0</v>
      </c>
      <c r="NV88" s="504">
        <v>0</v>
      </c>
      <c r="NW88" s="504">
        <v>0</v>
      </c>
      <c r="NX88" s="504">
        <v>0</v>
      </c>
      <c r="NY88" s="504">
        <v>0</v>
      </c>
      <c r="NZ88" s="504">
        <v>0</v>
      </c>
      <c r="OA88" s="504">
        <v>0</v>
      </c>
      <c r="OB88" s="504">
        <v>0</v>
      </c>
      <c r="OC88" s="504">
        <v>0</v>
      </c>
      <c r="OD88" s="504">
        <v>0</v>
      </c>
      <c r="OE88" s="504">
        <v>0</v>
      </c>
      <c r="OF88" s="504">
        <v>0</v>
      </c>
      <c r="OG88" s="504">
        <v>0</v>
      </c>
      <c r="OH88" s="504">
        <v>0</v>
      </c>
      <c r="OI88" s="504">
        <v>0</v>
      </c>
      <c r="OJ88" s="504">
        <v>0</v>
      </c>
      <c r="OK88" s="504">
        <v>0</v>
      </c>
      <c r="OL88" s="504">
        <v>0</v>
      </c>
      <c r="OM88" s="504">
        <v>0</v>
      </c>
      <c r="ON88" s="494"/>
    </row>
    <row r="89" spans="1:404" ht="18.75" customHeight="1" x14ac:dyDescent="0.4">
      <c r="A89" s="511" t="s">
        <v>359</v>
      </c>
      <c r="B89" s="512">
        <v>177</v>
      </c>
      <c r="C89" s="511" t="s">
        <v>60</v>
      </c>
      <c r="D89" s="501">
        <v>15.61</v>
      </c>
      <c r="E89" s="502">
        <v>7139</v>
      </c>
      <c r="F89" s="501">
        <v>15.61</v>
      </c>
      <c r="G89" s="502">
        <v>1387</v>
      </c>
      <c r="H89" s="501">
        <v>15.6</v>
      </c>
      <c r="I89" s="502">
        <v>4784</v>
      </c>
      <c r="J89" s="501">
        <v>15.6</v>
      </c>
      <c r="K89" s="502">
        <v>5889</v>
      </c>
      <c r="V89" s="501"/>
      <c r="W89" s="503"/>
      <c r="X89" s="501"/>
      <c r="Y89" s="503"/>
      <c r="Z89" s="501"/>
      <c r="AA89" s="503"/>
      <c r="AB89" s="495"/>
      <c r="AC89" s="504">
        <v>0</v>
      </c>
      <c r="AD89" s="504">
        <v>0</v>
      </c>
      <c r="AE89" s="504">
        <v>0</v>
      </c>
      <c r="AF89" s="504">
        <v>0</v>
      </c>
      <c r="AG89" s="504">
        <v>0</v>
      </c>
      <c r="AH89" s="504">
        <v>0</v>
      </c>
      <c r="AI89" s="504">
        <v>0</v>
      </c>
      <c r="AJ89" s="504">
        <v>0</v>
      </c>
      <c r="AK89" s="504">
        <v>0</v>
      </c>
      <c r="AL89" s="504">
        <v>0</v>
      </c>
      <c r="AM89" s="504">
        <v>0</v>
      </c>
      <c r="AN89" s="504">
        <v>0</v>
      </c>
      <c r="AO89" s="504">
        <v>0</v>
      </c>
      <c r="AP89" s="504">
        <v>0</v>
      </c>
      <c r="AQ89" s="504">
        <v>0</v>
      </c>
      <c r="AR89" s="504">
        <v>0</v>
      </c>
      <c r="AS89" s="504">
        <v>0</v>
      </c>
      <c r="AT89" s="504">
        <v>0</v>
      </c>
      <c r="AU89" s="504">
        <v>0</v>
      </c>
      <c r="AV89" s="504">
        <v>0</v>
      </c>
      <c r="AW89" s="504">
        <v>0</v>
      </c>
      <c r="AX89" s="504">
        <v>0</v>
      </c>
      <c r="AY89" s="504">
        <v>0</v>
      </c>
      <c r="AZ89" s="504">
        <v>0</v>
      </c>
      <c r="BA89" s="504">
        <v>0</v>
      </c>
      <c r="BB89" s="504">
        <v>0</v>
      </c>
      <c r="BC89" s="504">
        <v>0</v>
      </c>
      <c r="BD89" s="504">
        <v>0</v>
      </c>
      <c r="BE89" s="504">
        <v>0</v>
      </c>
      <c r="BF89" s="504">
        <v>0</v>
      </c>
      <c r="BG89" s="504">
        <v>0</v>
      </c>
      <c r="BH89" s="504">
        <v>0</v>
      </c>
      <c r="BI89" s="504">
        <v>0</v>
      </c>
      <c r="BJ89" s="504">
        <v>0</v>
      </c>
      <c r="BK89" s="504">
        <v>0</v>
      </c>
      <c r="BL89" s="504">
        <v>0</v>
      </c>
      <c r="BM89" s="504">
        <v>0</v>
      </c>
      <c r="BN89" s="504">
        <v>0</v>
      </c>
      <c r="BO89" s="504">
        <v>0</v>
      </c>
      <c r="BP89" s="504">
        <v>0</v>
      </c>
      <c r="BQ89" s="504">
        <v>0</v>
      </c>
      <c r="BR89" s="504">
        <v>0</v>
      </c>
      <c r="BS89" s="504">
        <v>0</v>
      </c>
      <c r="BT89" s="504">
        <v>0</v>
      </c>
      <c r="BU89" s="504">
        <v>0</v>
      </c>
      <c r="BV89" s="504">
        <v>0</v>
      </c>
      <c r="BW89" s="504">
        <v>0</v>
      </c>
      <c r="BX89" s="504">
        <v>0</v>
      </c>
      <c r="BY89" s="504">
        <v>0</v>
      </c>
      <c r="BZ89" s="504">
        <v>0</v>
      </c>
      <c r="CA89" s="504">
        <v>0</v>
      </c>
      <c r="CB89" s="504">
        <v>0</v>
      </c>
      <c r="CC89" s="504">
        <v>0</v>
      </c>
      <c r="CD89" s="504">
        <v>0</v>
      </c>
      <c r="CE89" s="504">
        <v>0</v>
      </c>
      <c r="CF89" s="504">
        <v>0</v>
      </c>
      <c r="CG89" s="504">
        <v>0</v>
      </c>
      <c r="CH89" s="504">
        <v>0</v>
      </c>
      <c r="CI89" s="504">
        <v>0</v>
      </c>
      <c r="CJ89" s="504">
        <v>0</v>
      </c>
      <c r="CK89" s="504">
        <v>0</v>
      </c>
      <c r="CL89" s="504">
        <v>0</v>
      </c>
      <c r="CM89" s="504">
        <v>0</v>
      </c>
      <c r="CN89" s="504">
        <v>0</v>
      </c>
      <c r="CO89" s="504">
        <v>0</v>
      </c>
      <c r="CP89" s="504">
        <v>0</v>
      </c>
      <c r="CQ89" s="504">
        <v>0</v>
      </c>
      <c r="CR89" s="504">
        <v>0</v>
      </c>
      <c r="CS89" s="504">
        <v>0</v>
      </c>
      <c r="CT89" s="504">
        <v>0</v>
      </c>
      <c r="CU89" s="504">
        <v>0</v>
      </c>
      <c r="CV89" s="504">
        <v>0</v>
      </c>
      <c r="CW89" s="504">
        <v>0</v>
      </c>
      <c r="CX89" s="504">
        <v>0</v>
      </c>
      <c r="CY89" s="504">
        <v>0</v>
      </c>
      <c r="CZ89" s="504">
        <v>0</v>
      </c>
      <c r="DA89" s="504">
        <v>0</v>
      </c>
      <c r="DB89" s="504">
        <v>0</v>
      </c>
      <c r="DC89" s="504">
        <v>0</v>
      </c>
      <c r="DD89" s="504">
        <v>0</v>
      </c>
      <c r="DE89" s="504">
        <v>0</v>
      </c>
      <c r="DF89" s="504">
        <v>0</v>
      </c>
      <c r="DG89" s="504">
        <v>0</v>
      </c>
      <c r="DH89" s="504">
        <v>0</v>
      </c>
      <c r="DI89" s="504">
        <v>0</v>
      </c>
      <c r="DJ89" s="504">
        <v>0</v>
      </c>
      <c r="DK89" s="504">
        <v>0</v>
      </c>
      <c r="DL89" s="504">
        <v>0</v>
      </c>
      <c r="DM89" s="504">
        <v>0</v>
      </c>
      <c r="DN89" s="504">
        <v>0</v>
      </c>
      <c r="DO89" s="504">
        <v>0</v>
      </c>
      <c r="DP89" s="504">
        <v>0</v>
      </c>
      <c r="DQ89" s="504">
        <v>0</v>
      </c>
      <c r="DR89" s="504">
        <v>0</v>
      </c>
      <c r="DS89" s="504">
        <v>0</v>
      </c>
      <c r="DT89" s="504">
        <v>0</v>
      </c>
      <c r="DU89" s="504">
        <v>0</v>
      </c>
      <c r="DV89" s="504">
        <v>0</v>
      </c>
      <c r="DW89" s="504">
        <v>0</v>
      </c>
      <c r="DX89" s="504">
        <v>0</v>
      </c>
      <c r="DY89" s="504">
        <v>0</v>
      </c>
      <c r="DZ89" s="504">
        <v>0</v>
      </c>
      <c r="EA89" s="504">
        <v>0</v>
      </c>
      <c r="EB89" s="504">
        <v>0</v>
      </c>
      <c r="EC89" s="504">
        <v>0</v>
      </c>
      <c r="ED89" s="504">
        <v>0</v>
      </c>
      <c r="EE89" s="504">
        <v>0</v>
      </c>
      <c r="EF89" s="504">
        <v>0</v>
      </c>
      <c r="EG89" s="504">
        <v>0</v>
      </c>
      <c r="EH89" s="504">
        <v>0</v>
      </c>
      <c r="EI89" s="504">
        <v>0</v>
      </c>
      <c r="EJ89" s="504">
        <v>0</v>
      </c>
      <c r="EK89" s="504">
        <v>0</v>
      </c>
      <c r="EL89" s="504">
        <v>0</v>
      </c>
      <c r="EM89" s="504">
        <v>0</v>
      </c>
      <c r="EN89" s="504">
        <v>0</v>
      </c>
      <c r="EO89" s="504">
        <v>0</v>
      </c>
      <c r="EP89" s="504">
        <v>0</v>
      </c>
      <c r="EQ89" s="504">
        <v>0</v>
      </c>
      <c r="ER89" s="504">
        <v>0</v>
      </c>
      <c r="ES89" s="504">
        <v>0</v>
      </c>
      <c r="ET89" s="504">
        <v>0</v>
      </c>
      <c r="EU89" s="504">
        <v>0</v>
      </c>
      <c r="EV89" s="504">
        <v>0</v>
      </c>
      <c r="EW89" s="504">
        <v>0</v>
      </c>
      <c r="EX89" s="504">
        <v>0</v>
      </c>
      <c r="EY89" s="504">
        <v>0</v>
      </c>
      <c r="EZ89" s="504">
        <v>0</v>
      </c>
      <c r="FA89" s="504">
        <v>0</v>
      </c>
      <c r="FB89" s="504">
        <v>0</v>
      </c>
      <c r="FC89" s="504">
        <v>0</v>
      </c>
      <c r="FD89" s="504">
        <v>0</v>
      </c>
      <c r="FE89" s="504">
        <v>0</v>
      </c>
      <c r="FF89" s="504">
        <v>0</v>
      </c>
      <c r="FG89" s="504">
        <v>0</v>
      </c>
      <c r="FH89" s="504">
        <v>0</v>
      </c>
      <c r="FI89" s="504">
        <v>0</v>
      </c>
      <c r="FJ89" s="504">
        <v>0</v>
      </c>
      <c r="FK89" s="504">
        <v>0</v>
      </c>
      <c r="FL89" s="504">
        <v>0</v>
      </c>
      <c r="FM89" s="504">
        <v>0</v>
      </c>
      <c r="FN89" s="504">
        <v>0</v>
      </c>
      <c r="FO89" s="504">
        <v>0</v>
      </c>
      <c r="FP89" s="504">
        <v>0</v>
      </c>
      <c r="FQ89" s="504">
        <v>0</v>
      </c>
      <c r="FR89" s="504">
        <v>0</v>
      </c>
      <c r="FS89" s="504">
        <v>0</v>
      </c>
      <c r="FT89" s="504">
        <v>0</v>
      </c>
      <c r="FU89" s="504">
        <v>0</v>
      </c>
      <c r="FV89" s="504">
        <v>0</v>
      </c>
      <c r="FW89" s="504">
        <v>0</v>
      </c>
      <c r="FX89" s="504">
        <v>0</v>
      </c>
      <c r="FY89" s="504">
        <v>0</v>
      </c>
      <c r="FZ89" s="504">
        <v>0</v>
      </c>
      <c r="GA89" s="504">
        <v>0</v>
      </c>
      <c r="GB89" s="504">
        <v>0</v>
      </c>
      <c r="GC89" s="504">
        <v>0</v>
      </c>
      <c r="GD89" s="504">
        <v>0</v>
      </c>
      <c r="GE89" s="504">
        <v>0</v>
      </c>
      <c r="GF89" s="504">
        <v>0</v>
      </c>
      <c r="GG89" s="504">
        <v>0</v>
      </c>
      <c r="GH89" s="504">
        <v>0</v>
      </c>
      <c r="GI89" s="504">
        <v>0</v>
      </c>
      <c r="GJ89" s="504">
        <v>0</v>
      </c>
      <c r="GK89" s="504">
        <v>0</v>
      </c>
      <c r="GL89" s="504">
        <v>0</v>
      </c>
      <c r="GM89" s="504">
        <v>0</v>
      </c>
      <c r="GN89" s="504">
        <v>0</v>
      </c>
      <c r="GO89" s="504">
        <v>0</v>
      </c>
      <c r="GP89" s="504">
        <v>0</v>
      </c>
      <c r="GQ89" s="504">
        <v>0</v>
      </c>
      <c r="GR89" s="504">
        <v>0</v>
      </c>
      <c r="GS89" s="504">
        <v>0</v>
      </c>
      <c r="GT89" s="504">
        <v>0</v>
      </c>
      <c r="GU89" s="504">
        <v>0</v>
      </c>
      <c r="GV89" s="504">
        <v>0</v>
      </c>
      <c r="GW89" s="504">
        <v>0</v>
      </c>
      <c r="GX89" s="504">
        <v>0</v>
      </c>
      <c r="GY89" s="504">
        <v>0</v>
      </c>
      <c r="GZ89" s="504">
        <v>0</v>
      </c>
      <c r="HA89" s="504">
        <v>0</v>
      </c>
      <c r="HB89" s="504">
        <v>0</v>
      </c>
      <c r="HC89" s="504">
        <v>0</v>
      </c>
      <c r="HD89" s="504">
        <v>0</v>
      </c>
      <c r="HE89" s="504">
        <v>0</v>
      </c>
      <c r="HF89" s="504">
        <v>0</v>
      </c>
      <c r="HG89" s="504">
        <v>0</v>
      </c>
      <c r="HH89" s="504">
        <v>0</v>
      </c>
      <c r="HI89" s="504">
        <v>0</v>
      </c>
      <c r="HJ89" s="504">
        <v>0</v>
      </c>
      <c r="HK89" s="504">
        <v>0</v>
      </c>
      <c r="HL89" s="504">
        <v>0</v>
      </c>
      <c r="HM89" s="504">
        <v>0</v>
      </c>
      <c r="HN89" s="504">
        <v>0</v>
      </c>
      <c r="HO89" s="504">
        <v>0</v>
      </c>
      <c r="HP89" s="504">
        <v>0</v>
      </c>
      <c r="HQ89" s="504">
        <v>0</v>
      </c>
      <c r="HR89" s="504">
        <v>0</v>
      </c>
      <c r="HS89" s="504">
        <v>0</v>
      </c>
      <c r="HT89" s="504">
        <v>0</v>
      </c>
      <c r="HU89" s="504">
        <v>0</v>
      </c>
      <c r="HV89" s="504">
        <v>0</v>
      </c>
      <c r="HW89" s="504">
        <v>0</v>
      </c>
      <c r="HX89" s="504">
        <v>0</v>
      </c>
      <c r="HY89" s="504">
        <v>0</v>
      </c>
      <c r="HZ89" s="504">
        <v>0</v>
      </c>
      <c r="IA89" s="504">
        <v>0</v>
      </c>
      <c r="IB89" s="504">
        <v>0</v>
      </c>
      <c r="IC89" s="504">
        <v>0</v>
      </c>
      <c r="ID89" s="504">
        <v>0</v>
      </c>
      <c r="IE89" s="504">
        <v>0</v>
      </c>
      <c r="IF89" s="504">
        <v>0</v>
      </c>
      <c r="IG89" s="504">
        <v>0</v>
      </c>
      <c r="IH89" s="504">
        <v>0</v>
      </c>
      <c r="II89" s="504">
        <v>0</v>
      </c>
      <c r="IJ89" s="504">
        <v>0</v>
      </c>
      <c r="IK89" s="504">
        <v>0</v>
      </c>
      <c r="IL89" s="504">
        <v>0</v>
      </c>
      <c r="IM89" s="504">
        <v>0</v>
      </c>
      <c r="IN89" s="504">
        <v>0</v>
      </c>
      <c r="IO89" s="504">
        <v>0</v>
      </c>
      <c r="IP89" s="504">
        <v>0</v>
      </c>
      <c r="IQ89" s="504">
        <v>0</v>
      </c>
      <c r="IR89" s="504">
        <v>0</v>
      </c>
      <c r="IS89" s="504">
        <v>0</v>
      </c>
      <c r="IT89" s="504">
        <v>0</v>
      </c>
      <c r="IU89" s="504">
        <v>0</v>
      </c>
      <c r="IV89" s="504">
        <v>0</v>
      </c>
      <c r="IW89" s="504">
        <v>0</v>
      </c>
      <c r="IX89" s="504">
        <v>0</v>
      </c>
      <c r="IY89" s="504">
        <v>0</v>
      </c>
      <c r="IZ89" s="504">
        <v>0</v>
      </c>
      <c r="JA89" s="504">
        <v>0</v>
      </c>
      <c r="JB89" s="504">
        <v>0</v>
      </c>
      <c r="JC89" s="504">
        <v>0</v>
      </c>
      <c r="JD89" s="504">
        <v>0</v>
      </c>
      <c r="JE89" s="504">
        <v>0</v>
      </c>
      <c r="JF89" s="504">
        <v>0</v>
      </c>
      <c r="JG89" s="504">
        <v>0</v>
      </c>
      <c r="JH89" s="504">
        <v>0</v>
      </c>
      <c r="JI89" s="504">
        <v>0</v>
      </c>
      <c r="JJ89" s="504">
        <v>0</v>
      </c>
      <c r="JK89" s="504">
        <v>0</v>
      </c>
      <c r="JL89" s="504">
        <v>0</v>
      </c>
      <c r="JM89" s="504">
        <v>0</v>
      </c>
      <c r="JN89" s="504">
        <v>0</v>
      </c>
      <c r="JO89" s="504">
        <v>0</v>
      </c>
      <c r="JP89" s="504">
        <v>0</v>
      </c>
      <c r="JQ89" s="504">
        <v>0</v>
      </c>
      <c r="JR89" s="504">
        <v>0</v>
      </c>
      <c r="JS89" s="504">
        <v>0</v>
      </c>
      <c r="JT89" s="504">
        <v>0</v>
      </c>
      <c r="JU89" s="504">
        <v>0</v>
      </c>
      <c r="JV89" s="504">
        <v>0</v>
      </c>
      <c r="JW89" s="504">
        <v>0</v>
      </c>
      <c r="JX89" s="504">
        <v>0</v>
      </c>
      <c r="JY89" s="504">
        <v>0</v>
      </c>
      <c r="JZ89" s="504">
        <v>0</v>
      </c>
      <c r="KA89" s="504">
        <v>0</v>
      </c>
      <c r="KB89" s="504">
        <v>0</v>
      </c>
      <c r="KC89" s="504">
        <v>0</v>
      </c>
      <c r="KD89" s="504">
        <v>0</v>
      </c>
      <c r="KE89" s="504">
        <v>0</v>
      </c>
      <c r="KF89" s="504">
        <v>0</v>
      </c>
      <c r="KG89" s="504">
        <v>0</v>
      </c>
      <c r="KH89" s="504">
        <v>0</v>
      </c>
      <c r="KI89" s="504">
        <v>0</v>
      </c>
      <c r="KJ89" s="504">
        <v>0</v>
      </c>
      <c r="KK89" s="504">
        <v>0</v>
      </c>
      <c r="KL89" s="504">
        <v>0</v>
      </c>
      <c r="KM89" s="504">
        <v>0</v>
      </c>
      <c r="KN89" s="504">
        <v>0</v>
      </c>
      <c r="KO89" s="504">
        <v>0</v>
      </c>
      <c r="KP89" s="504">
        <v>0</v>
      </c>
      <c r="KQ89" s="504">
        <v>0</v>
      </c>
      <c r="KR89" s="504">
        <v>0</v>
      </c>
      <c r="KS89" s="504">
        <v>0</v>
      </c>
      <c r="KT89" s="504">
        <v>0</v>
      </c>
      <c r="KU89" s="504">
        <v>0</v>
      </c>
      <c r="KV89" s="504">
        <v>0</v>
      </c>
      <c r="KW89" s="504">
        <v>0</v>
      </c>
      <c r="KX89" s="504">
        <v>0</v>
      </c>
      <c r="KY89" s="504">
        <v>0</v>
      </c>
      <c r="KZ89" s="504">
        <v>0</v>
      </c>
      <c r="LA89" s="504">
        <v>0</v>
      </c>
      <c r="LB89" s="504">
        <v>0</v>
      </c>
      <c r="LC89" s="504">
        <v>0</v>
      </c>
      <c r="LD89" s="504">
        <v>0</v>
      </c>
      <c r="LE89" s="504">
        <v>0</v>
      </c>
      <c r="LF89" s="504">
        <v>0</v>
      </c>
      <c r="LG89" s="504">
        <v>0</v>
      </c>
      <c r="LH89" s="504">
        <v>0</v>
      </c>
      <c r="LI89" s="504">
        <v>0</v>
      </c>
      <c r="LJ89" s="504">
        <v>0</v>
      </c>
      <c r="LK89" s="504">
        <v>0</v>
      </c>
      <c r="LL89" s="504">
        <v>0</v>
      </c>
      <c r="LM89" s="504">
        <v>0</v>
      </c>
      <c r="LN89" s="504">
        <v>0</v>
      </c>
      <c r="LO89" s="504">
        <v>0</v>
      </c>
      <c r="LP89" s="504">
        <v>0</v>
      </c>
      <c r="LQ89" s="504">
        <v>0</v>
      </c>
      <c r="LR89" s="504">
        <v>0</v>
      </c>
      <c r="LS89" s="504">
        <v>0</v>
      </c>
      <c r="LT89" s="504">
        <v>0</v>
      </c>
      <c r="LU89" s="504">
        <v>0</v>
      </c>
      <c r="LV89" s="504">
        <v>0</v>
      </c>
      <c r="LW89" s="504">
        <v>0</v>
      </c>
      <c r="LX89" s="504">
        <v>0</v>
      </c>
      <c r="LY89" s="504">
        <v>0</v>
      </c>
      <c r="LZ89" s="504">
        <v>0</v>
      </c>
      <c r="MA89" s="504">
        <v>0</v>
      </c>
      <c r="MB89" s="504">
        <v>0</v>
      </c>
      <c r="MC89" s="504">
        <v>0</v>
      </c>
      <c r="MD89" s="504">
        <v>0</v>
      </c>
      <c r="ME89" s="504">
        <v>0</v>
      </c>
      <c r="MF89" s="504">
        <v>0</v>
      </c>
      <c r="MG89" s="504">
        <v>0</v>
      </c>
      <c r="MH89" s="504">
        <v>0</v>
      </c>
      <c r="MI89" s="504">
        <v>0</v>
      </c>
      <c r="MJ89" s="504">
        <v>0</v>
      </c>
      <c r="MK89" s="504">
        <v>0</v>
      </c>
      <c r="ML89" s="504">
        <v>0</v>
      </c>
      <c r="MM89" s="504">
        <v>0</v>
      </c>
      <c r="MN89" s="504">
        <v>0</v>
      </c>
      <c r="MO89" s="504">
        <v>0</v>
      </c>
      <c r="MP89" s="504">
        <v>0</v>
      </c>
      <c r="MQ89" s="504">
        <v>0</v>
      </c>
      <c r="MR89" s="504">
        <v>0</v>
      </c>
      <c r="MS89" s="504">
        <v>0</v>
      </c>
      <c r="MT89" s="504">
        <v>0</v>
      </c>
      <c r="MU89" s="504">
        <v>0</v>
      </c>
      <c r="MV89" s="504">
        <v>0</v>
      </c>
      <c r="MW89" s="504">
        <v>0</v>
      </c>
      <c r="MX89" s="504">
        <v>0</v>
      </c>
      <c r="MY89" s="504">
        <v>0</v>
      </c>
      <c r="MZ89" s="504">
        <v>0</v>
      </c>
      <c r="NA89" s="504">
        <v>0</v>
      </c>
      <c r="NB89" s="504">
        <v>0</v>
      </c>
      <c r="NC89" s="504">
        <v>0</v>
      </c>
      <c r="ND89" s="504">
        <v>0</v>
      </c>
      <c r="NE89" s="504">
        <v>0</v>
      </c>
      <c r="NF89" s="504">
        <v>0</v>
      </c>
      <c r="NG89" s="504">
        <v>0</v>
      </c>
      <c r="NH89" s="504">
        <v>0</v>
      </c>
      <c r="NI89" s="504">
        <v>0</v>
      </c>
      <c r="NJ89" s="504">
        <v>0</v>
      </c>
      <c r="NK89" s="504">
        <v>0</v>
      </c>
      <c r="NL89" s="504">
        <v>0</v>
      </c>
      <c r="NM89" s="504">
        <v>0</v>
      </c>
      <c r="NN89" s="504">
        <v>0</v>
      </c>
      <c r="NO89" s="504">
        <v>0</v>
      </c>
      <c r="NP89" s="504">
        <v>0</v>
      </c>
      <c r="NQ89" s="504">
        <v>0</v>
      </c>
      <c r="NR89" s="504">
        <v>0</v>
      </c>
      <c r="NS89" s="504">
        <v>0</v>
      </c>
      <c r="NT89" s="504">
        <v>0</v>
      </c>
      <c r="NU89" s="504">
        <v>0</v>
      </c>
      <c r="NV89" s="504">
        <v>0</v>
      </c>
      <c r="NW89" s="504">
        <v>0</v>
      </c>
      <c r="NX89" s="504">
        <v>0</v>
      </c>
      <c r="NY89" s="504">
        <v>0</v>
      </c>
      <c r="NZ89" s="504">
        <v>0</v>
      </c>
      <c r="OA89" s="504">
        <v>0</v>
      </c>
      <c r="OB89" s="504">
        <v>0</v>
      </c>
      <c r="OC89" s="504">
        <v>0</v>
      </c>
      <c r="OD89" s="504">
        <v>0</v>
      </c>
      <c r="OE89" s="504">
        <v>0</v>
      </c>
      <c r="OF89" s="504">
        <v>0</v>
      </c>
      <c r="OG89" s="504">
        <v>0</v>
      </c>
      <c r="OH89" s="504">
        <v>0</v>
      </c>
      <c r="OI89" s="504">
        <v>0</v>
      </c>
      <c r="OJ89" s="504">
        <v>0</v>
      </c>
      <c r="OK89" s="504">
        <v>0</v>
      </c>
      <c r="OL89" s="504">
        <v>0</v>
      </c>
      <c r="OM89" s="504">
        <v>0</v>
      </c>
      <c r="ON89" s="494"/>
    </row>
    <row r="90" spans="1:404" ht="18.75" customHeight="1" x14ac:dyDescent="0.4">
      <c r="A90" s="511" t="s">
        <v>360</v>
      </c>
      <c r="B90" s="512">
        <v>142</v>
      </c>
      <c r="C90" s="511" t="s">
        <v>60</v>
      </c>
      <c r="D90" s="501">
        <v>17.93</v>
      </c>
      <c r="E90" s="502">
        <v>1557503</v>
      </c>
      <c r="F90" s="501">
        <v>17.93</v>
      </c>
      <c r="G90" s="502">
        <v>63106</v>
      </c>
      <c r="H90" s="501">
        <v>17.93</v>
      </c>
      <c r="I90" s="502">
        <v>387203</v>
      </c>
      <c r="J90" s="501">
        <v>17.93</v>
      </c>
      <c r="K90" s="502">
        <v>467769</v>
      </c>
      <c r="V90" s="501"/>
      <c r="W90" s="503"/>
      <c r="X90" s="501"/>
      <c r="Y90" s="503"/>
      <c r="Z90" s="501"/>
      <c r="AA90" s="503"/>
      <c r="AB90" s="495"/>
      <c r="AC90" s="504">
        <v>0</v>
      </c>
      <c r="AD90" s="504">
        <v>0</v>
      </c>
      <c r="AE90" s="504">
        <v>0</v>
      </c>
      <c r="AF90" s="504">
        <v>0</v>
      </c>
      <c r="AG90" s="504">
        <v>0</v>
      </c>
      <c r="AH90" s="504">
        <v>0</v>
      </c>
      <c r="AI90" s="504">
        <v>0</v>
      </c>
      <c r="AJ90" s="504">
        <v>0</v>
      </c>
      <c r="AK90" s="504">
        <v>0</v>
      </c>
      <c r="AL90" s="504">
        <v>0</v>
      </c>
      <c r="AM90" s="504">
        <v>0</v>
      </c>
      <c r="AN90" s="504">
        <v>0</v>
      </c>
      <c r="AO90" s="504">
        <v>0</v>
      </c>
      <c r="AP90" s="504">
        <v>0</v>
      </c>
      <c r="AQ90" s="504">
        <v>0</v>
      </c>
      <c r="AR90" s="504">
        <v>0</v>
      </c>
      <c r="AS90" s="504">
        <v>0</v>
      </c>
      <c r="AT90" s="504">
        <v>0</v>
      </c>
      <c r="AU90" s="504">
        <v>0</v>
      </c>
      <c r="AV90" s="504">
        <v>0</v>
      </c>
      <c r="AW90" s="504">
        <v>0</v>
      </c>
      <c r="AX90" s="504">
        <v>0</v>
      </c>
      <c r="AY90" s="504">
        <v>0</v>
      </c>
      <c r="AZ90" s="504">
        <v>0</v>
      </c>
      <c r="BA90" s="504">
        <v>0</v>
      </c>
      <c r="BB90" s="504">
        <v>0</v>
      </c>
      <c r="BC90" s="504">
        <v>0</v>
      </c>
      <c r="BD90" s="504">
        <v>0</v>
      </c>
      <c r="BE90" s="504">
        <v>0</v>
      </c>
      <c r="BF90" s="504">
        <v>0</v>
      </c>
      <c r="BG90" s="504">
        <v>0</v>
      </c>
      <c r="BH90" s="504">
        <v>0</v>
      </c>
      <c r="BI90" s="504">
        <v>0</v>
      </c>
      <c r="BJ90" s="504">
        <v>0</v>
      </c>
      <c r="BK90" s="504">
        <v>0</v>
      </c>
      <c r="BL90" s="504">
        <v>0</v>
      </c>
      <c r="BM90" s="504">
        <v>0</v>
      </c>
      <c r="BN90" s="504">
        <v>0</v>
      </c>
      <c r="BO90" s="504">
        <v>0</v>
      </c>
      <c r="BP90" s="504">
        <v>0</v>
      </c>
      <c r="BQ90" s="504">
        <v>0</v>
      </c>
      <c r="BR90" s="504">
        <v>0</v>
      </c>
      <c r="BS90" s="504">
        <v>0</v>
      </c>
      <c r="BT90" s="504">
        <v>0</v>
      </c>
      <c r="BU90" s="504">
        <v>0</v>
      </c>
      <c r="BV90" s="504">
        <v>0</v>
      </c>
      <c r="BW90" s="504">
        <v>0</v>
      </c>
      <c r="BX90" s="504">
        <v>0</v>
      </c>
      <c r="BY90" s="504">
        <v>0</v>
      </c>
      <c r="BZ90" s="504">
        <v>0</v>
      </c>
      <c r="CA90" s="504">
        <v>0</v>
      </c>
      <c r="CB90" s="504">
        <v>0</v>
      </c>
      <c r="CC90" s="504">
        <v>0</v>
      </c>
      <c r="CD90" s="504">
        <v>0</v>
      </c>
      <c r="CE90" s="504">
        <v>0</v>
      </c>
      <c r="CF90" s="504">
        <v>0</v>
      </c>
      <c r="CG90" s="504">
        <v>0</v>
      </c>
      <c r="CH90" s="504">
        <v>0</v>
      </c>
      <c r="CI90" s="504">
        <v>0</v>
      </c>
      <c r="CJ90" s="504">
        <v>0</v>
      </c>
      <c r="CK90" s="504">
        <v>0</v>
      </c>
      <c r="CL90" s="504">
        <v>0</v>
      </c>
      <c r="CM90" s="504">
        <v>0</v>
      </c>
      <c r="CN90" s="504">
        <v>0</v>
      </c>
      <c r="CO90" s="504">
        <v>0</v>
      </c>
      <c r="CP90" s="504">
        <v>0</v>
      </c>
      <c r="CQ90" s="504">
        <v>0</v>
      </c>
      <c r="CR90" s="504">
        <v>0</v>
      </c>
      <c r="CS90" s="504">
        <v>0</v>
      </c>
      <c r="CT90" s="504">
        <v>0</v>
      </c>
      <c r="CU90" s="504">
        <v>0</v>
      </c>
      <c r="CV90" s="504">
        <v>0</v>
      </c>
      <c r="CW90" s="504">
        <v>0</v>
      </c>
      <c r="CX90" s="504">
        <v>0</v>
      </c>
      <c r="CY90" s="504">
        <v>0</v>
      </c>
      <c r="CZ90" s="504">
        <v>0</v>
      </c>
      <c r="DA90" s="504">
        <v>0</v>
      </c>
      <c r="DB90" s="504">
        <v>0</v>
      </c>
      <c r="DC90" s="504">
        <v>0</v>
      </c>
      <c r="DD90" s="504">
        <v>0</v>
      </c>
      <c r="DE90" s="504">
        <v>0</v>
      </c>
      <c r="DF90" s="504">
        <v>0</v>
      </c>
      <c r="DG90" s="504">
        <v>0</v>
      </c>
      <c r="DH90" s="504">
        <v>0</v>
      </c>
      <c r="DI90" s="504">
        <v>0</v>
      </c>
      <c r="DJ90" s="504">
        <v>0</v>
      </c>
      <c r="DK90" s="504">
        <v>0</v>
      </c>
      <c r="DL90" s="504">
        <v>0</v>
      </c>
      <c r="DM90" s="504">
        <v>0</v>
      </c>
      <c r="DN90" s="504">
        <v>0</v>
      </c>
      <c r="DO90" s="504">
        <v>0</v>
      </c>
      <c r="DP90" s="504">
        <v>0</v>
      </c>
      <c r="DQ90" s="504">
        <v>0</v>
      </c>
      <c r="DR90" s="504">
        <v>0</v>
      </c>
      <c r="DS90" s="504">
        <v>0</v>
      </c>
      <c r="DT90" s="504">
        <v>0</v>
      </c>
      <c r="DU90" s="504">
        <v>0</v>
      </c>
      <c r="DV90" s="504">
        <v>0</v>
      </c>
      <c r="DW90" s="504">
        <v>0</v>
      </c>
      <c r="DX90" s="504">
        <v>0</v>
      </c>
      <c r="DY90" s="504">
        <v>0</v>
      </c>
      <c r="DZ90" s="504">
        <v>0</v>
      </c>
      <c r="EA90" s="504">
        <v>0</v>
      </c>
      <c r="EB90" s="504">
        <v>0</v>
      </c>
      <c r="EC90" s="504">
        <v>0</v>
      </c>
      <c r="ED90" s="504">
        <v>0</v>
      </c>
      <c r="EE90" s="504">
        <v>0</v>
      </c>
      <c r="EF90" s="504">
        <v>0</v>
      </c>
      <c r="EG90" s="504">
        <v>0</v>
      </c>
      <c r="EH90" s="504">
        <v>0</v>
      </c>
      <c r="EI90" s="504">
        <v>0</v>
      </c>
      <c r="EJ90" s="504">
        <v>0</v>
      </c>
      <c r="EK90" s="504">
        <v>0</v>
      </c>
      <c r="EL90" s="504">
        <v>0</v>
      </c>
      <c r="EM90" s="504">
        <v>0</v>
      </c>
      <c r="EN90" s="504">
        <v>0</v>
      </c>
      <c r="EO90" s="504">
        <v>0</v>
      </c>
      <c r="EP90" s="504">
        <v>0</v>
      </c>
      <c r="EQ90" s="504">
        <v>0</v>
      </c>
      <c r="ER90" s="504">
        <v>0</v>
      </c>
      <c r="ES90" s="504">
        <v>0</v>
      </c>
      <c r="ET90" s="504">
        <v>0</v>
      </c>
      <c r="EU90" s="504">
        <v>0</v>
      </c>
      <c r="EV90" s="504">
        <v>0</v>
      </c>
      <c r="EW90" s="504">
        <v>0</v>
      </c>
      <c r="EX90" s="504">
        <v>0</v>
      </c>
      <c r="EY90" s="504">
        <v>0</v>
      </c>
      <c r="EZ90" s="504">
        <v>0</v>
      </c>
      <c r="FA90" s="504">
        <v>0</v>
      </c>
      <c r="FB90" s="504">
        <v>0</v>
      </c>
      <c r="FC90" s="504">
        <v>0</v>
      </c>
      <c r="FD90" s="504">
        <v>0</v>
      </c>
      <c r="FE90" s="504">
        <v>0</v>
      </c>
      <c r="FF90" s="504">
        <v>0</v>
      </c>
      <c r="FG90" s="504">
        <v>0</v>
      </c>
      <c r="FH90" s="504">
        <v>0</v>
      </c>
      <c r="FI90" s="504">
        <v>0</v>
      </c>
      <c r="FJ90" s="504">
        <v>0</v>
      </c>
      <c r="FK90" s="504">
        <v>0</v>
      </c>
      <c r="FL90" s="504">
        <v>0</v>
      </c>
      <c r="FM90" s="504">
        <v>0</v>
      </c>
      <c r="FN90" s="504">
        <v>0</v>
      </c>
      <c r="FO90" s="504">
        <v>0</v>
      </c>
      <c r="FP90" s="504">
        <v>0</v>
      </c>
      <c r="FQ90" s="504">
        <v>0</v>
      </c>
      <c r="FR90" s="504">
        <v>0</v>
      </c>
      <c r="FS90" s="504">
        <v>0</v>
      </c>
      <c r="FT90" s="504">
        <v>0</v>
      </c>
      <c r="FU90" s="504">
        <v>0</v>
      </c>
      <c r="FV90" s="504">
        <v>0</v>
      </c>
      <c r="FW90" s="504">
        <v>0</v>
      </c>
      <c r="FX90" s="504">
        <v>0</v>
      </c>
      <c r="FY90" s="504">
        <v>0</v>
      </c>
      <c r="FZ90" s="504">
        <v>0</v>
      </c>
      <c r="GA90" s="504">
        <v>0</v>
      </c>
      <c r="GB90" s="504">
        <v>0</v>
      </c>
      <c r="GC90" s="504">
        <v>0</v>
      </c>
      <c r="GD90" s="504">
        <v>0</v>
      </c>
      <c r="GE90" s="504">
        <v>0</v>
      </c>
      <c r="GF90" s="504">
        <v>0</v>
      </c>
      <c r="GG90" s="504">
        <v>0</v>
      </c>
      <c r="GH90" s="504">
        <v>0</v>
      </c>
      <c r="GI90" s="504">
        <v>0</v>
      </c>
      <c r="GJ90" s="504">
        <v>0</v>
      </c>
      <c r="GK90" s="504">
        <v>0</v>
      </c>
      <c r="GL90" s="504">
        <v>0</v>
      </c>
      <c r="GM90" s="504">
        <v>0</v>
      </c>
      <c r="GN90" s="504">
        <v>0</v>
      </c>
      <c r="GO90" s="504">
        <v>0</v>
      </c>
      <c r="GP90" s="504">
        <v>0</v>
      </c>
      <c r="GQ90" s="504">
        <v>0</v>
      </c>
      <c r="GR90" s="504">
        <v>0</v>
      </c>
      <c r="GS90" s="504">
        <v>0</v>
      </c>
      <c r="GT90" s="504">
        <v>0</v>
      </c>
      <c r="GU90" s="504">
        <v>0</v>
      </c>
      <c r="GV90" s="504">
        <v>0</v>
      </c>
      <c r="GW90" s="504">
        <v>0</v>
      </c>
      <c r="GX90" s="504">
        <v>0</v>
      </c>
      <c r="GY90" s="504">
        <v>0</v>
      </c>
      <c r="GZ90" s="504">
        <v>0</v>
      </c>
      <c r="HA90" s="504">
        <v>0</v>
      </c>
      <c r="HB90" s="504">
        <v>0</v>
      </c>
      <c r="HC90" s="504">
        <v>0</v>
      </c>
      <c r="HD90" s="504">
        <v>0</v>
      </c>
      <c r="HE90" s="504">
        <v>0</v>
      </c>
      <c r="HF90" s="504">
        <v>0</v>
      </c>
      <c r="HG90" s="504">
        <v>0</v>
      </c>
      <c r="HH90" s="504">
        <v>0</v>
      </c>
      <c r="HI90" s="504">
        <v>0</v>
      </c>
      <c r="HJ90" s="504">
        <v>0</v>
      </c>
      <c r="HK90" s="504">
        <v>0</v>
      </c>
      <c r="HL90" s="504">
        <v>0</v>
      </c>
      <c r="HM90" s="504">
        <v>0</v>
      </c>
      <c r="HN90" s="504">
        <v>0</v>
      </c>
      <c r="HO90" s="504">
        <v>0</v>
      </c>
      <c r="HP90" s="504">
        <v>0</v>
      </c>
      <c r="HQ90" s="504">
        <v>0</v>
      </c>
      <c r="HR90" s="504">
        <v>0</v>
      </c>
      <c r="HS90" s="504">
        <v>0</v>
      </c>
      <c r="HT90" s="504">
        <v>0</v>
      </c>
      <c r="HU90" s="504">
        <v>0</v>
      </c>
      <c r="HV90" s="504">
        <v>0</v>
      </c>
      <c r="HW90" s="504">
        <v>0</v>
      </c>
      <c r="HX90" s="504">
        <v>0</v>
      </c>
      <c r="HY90" s="504">
        <v>0</v>
      </c>
      <c r="HZ90" s="504">
        <v>0</v>
      </c>
      <c r="IA90" s="504">
        <v>0</v>
      </c>
      <c r="IB90" s="504">
        <v>0</v>
      </c>
      <c r="IC90" s="504">
        <v>0</v>
      </c>
      <c r="ID90" s="504">
        <v>0</v>
      </c>
      <c r="IE90" s="504">
        <v>0</v>
      </c>
      <c r="IF90" s="504">
        <v>0</v>
      </c>
      <c r="IG90" s="504">
        <v>0</v>
      </c>
      <c r="IH90" s="504">
        <v>0</v>
      </c>
      <c r="II90" s="504">
        <v>0</v>
      </c>
      <c r="IJ90" s="504">
        <v>0</v>
      </c>
      <c r="IK90" s="504">
        <v>0</v>
      </c>
      <c r="IL90" s="504">
        <v>0</v>
      </c>
      <c r="IM90" s="504">
        <v>0</v>
      </c>
      <c r="IN90" s="504">
        <v>0</v>
      </c>
      <c r="IO90" s="504">
        <v>0</v>
      </c>
      <c r="IP90" s="504">
        <v>0</v>
      </c>
      <c r="IQ90" s="504">
        <v>0</v>
      </c>
      <c r="IR90" s="504">
        <v>0</v>
      </c>
      <c r="IS90" s="504">
        <v>0</v>
      </c>
      <c r="IT90" s="504">
        <v>0</v>
      </c>
      <c r="IU90" s="504">
        <v>0</v>
      </c>
      <c r="IV90" s="504">
        <v>0</v>
      </c>
      <c r="IW90" s="504">
        <v>0</v>
      </c>
      <c r="IX90" s="504">
        <v>0</v>
      </c>
      <c r="IY90" s="504">
        <v>0</v>
      </c>
      <c r="IZ90" s="504">
        <v>0</v>
      </c>
      <c r="JA90" s="504">
        <v>0</v>
      </c>
      <c r="JB90" s="504">
        <v>0</v>
      </c>
      <c r="JC90" s="504">
        <v>0</v>
      </c>
      <c r="JD90" s="504">
        <v>0</v>
      </c>
      <c r="JE90" s="504">
        <v>0</v>
      </c>
      <c r="JF90" s="504">
        <v>0</v>
      </c>
      <c r="JG90" s="504">
        <v>0</v>
      </c>
      <c r="JH90" s="504">
        <v>0</v>
      </c>
      <c r="JI90" s="504">
        <v>0</v>
      </c>
      <c r="JJ90" s="504">
        <v>0</v>
      </c>
      <c r="JK90" s="504">
        <v>0</v>
      </c>
      <c r="JL90" s="504">
        <v>0</v>
      </c>
      <c r="JM90" s="504">
        <v>0</v>
      </c>
      <c r="JN90" s="504">
        <v>0</v>
      </c>
      <c r="JO90" s="504">
        <v>0</v>
      </c>
      <c r="JP90" s="504">
        <v>0</v>
      </c>
      <c r="JQ90" s="504">
        <v>0</v>
      </c>
      <c r="JR90" s="504">
        <v>0</v>
      </c>
      <c r="JS90" s="504">
        <v>0</v>
      </c>
      <c r="JT90" s="504">
        <v>0</v>
      </c>
      <c r="JU90" s="504">
        <v>0</v>
      </c>
      <c r="JV90" s="504">
        <v>0</v>
      </c>
      <c r="JW90" s="504">
        <v>0</v>
      </c>
      <c r="JX90" s="504">
        <v>0</v>
      </c>
      <c r="JY90" s="504">
        <v>0</v>
      </c>
      <c r="JZ90" s="504">
        <v>0</v>
      </c>
      <c r="KA90" s="504">
        <v>0</v>
      </c>
      <c r="KB90" s="504">
        <v>0</v>
      </c>
      <c r="KC90" s="504">
        <v>0</v>
      </c>
      <c r="KD90" s="504">
        <v>0</v>
      </c>
      <c r="KE90" s="504">
        <v>0</v>
      </c>
      <c r="KF90" s="504">
        <v>0</v>
      </c>
      <c r="KG90" s="504">
        <v>0</v>
      </c>
      <c r="KH90" s="504">
        <v>0</v>
      </c>
      <c r="KI90" s="504">
        <v>0</v>
      </c>
      <c r="KJ90" s="504">
        <v>0</v>
      </c>
      <c r="KK90" s="504">
        <v>0</v>
      </c>
      <c r="KL90" s="504">
        <v>0</v>
      </c>
      <c r="KM90" s="504">
        <v>0</v>
      </c>
      <c r="KN90" s="504">
        <v>0</v>
      </c>
      <c r="KO90" s="504">
        <v>0</v>
      </c>
      <c r="KP90" s="504">
        <v>0</v>
      </c>
      <c r="KQ90" s="504">
        <v>0</v>
      </c>
      <c r="KR90" s="504">
        <v>0</v>
      </c>
      <c r="KS90" s="504">
        <v>0</v>
      </c>
      <c r="KT90" s="504">
        <v>0</v>
      </c>
      <c r="KU90" s="504">
        <v>0</v>
      </c>
      <c r="KV90" s="504">
        <v>0</v>
      </c>
      <c r="KW90" s="504">
        <v>0</v>
      </c>
      <c r="KX90" s="504">
        <v>0</v>
      </c>
      <c r="KY90" s="504">
        <v>0</v>
      </c>
      <c r="KZ90" s="504">
        <v>0</v>
      </c>
      <c r="LA90" s="504">
        <v>0</v>
      </c>
      <c r="LB90" s="504">
        <v>0</v>
      </c>
      <c r="LC90" s="504">
        <v>0</v>
      </c>
      <c r="LD90" s="504">
        <v>0</v>
      </c>
      <c r="LE90" s="504">
        <v>0</v>
      </c>
      <c r="LF90" s="504">
        <v>0</v>
      </c>
      <c r="LG90" s="504">
        <v>0</v>
      </c>
      <c r="LH90" s="504">
        <v>0</v>
      </c>
      <c r="LI90" s="504">
        <v>0</v>
      </c>
      <c r="LJ90" s="504">
        <v>0</v>
      </c>
      <c r="LK90" s="504">
        <v>0</v>
      </c>
      <c r="LL90" s="504">
        <v>0</v>
      </c>
      <c r="LM90" s="504">
        <v>0</v>
      </c>
      <c r="LN90" s="504">
        <v>0</v>
      </c>
      <c r="LO90" s="504">
        <v>0</v>
      </c>
      <c r="LP90" s="504">
        <v>0</v>
      </c>
      <c r="LQ90" s="504">
        <v>0</v>
      </c>
      <c r="LR90" s="504">
        <v>0</v>
      </c>
      <c r="LS90" s="504">
        <v>0</v>
      </c>
      <c r="LT90" s="504">
        <v>0</v>
      </c>
      <c r="LU90" s="504">
        <v>0</v>
      </c>
      <c r="LV90" s="504">
        <v>0</v>
      </c>
      <c r="LW90" s="504">
        <v>0</v>
      </c>
      <c r="LX90" s="504">
        <v>0</v>
      </c>
      <c r="LY90" s="504">
        <v>0</v>
      </c>
      <c r="LZ90" s="504">
        <v>0</v>
      </c>
      <c r="MA90" s="504">
        <v>0</v>
      </c>
      <c r="MB90" s="504">
        <v>0</v>
      </c>
      <c r="MC90" s="504">
        <v>0</v>
      </c>
      <c r="MD90" s="504">
        <v>0</v>
      </c>
      <c r="ME90" s="504">
        <v>0</v>
      </c>
      <c r="MF90" s="504">
        <v>0</v>
      </c>
      <c r="MG90" s="504">
        <v>0</v>
      </c>
      <c r="MH90" s="504">
        <v>0</v>
      </c>
      <c r="MI90" s="504">
        <v>0</v>
      </c>
      <c r="MJ90" s="504">
        <v>0</v>
      </c>
      <c r="MK90" s="504">
        <v>0</v>
      </c>
      <c r="ML90" s="504">
        <v>0</v>
      </c>
      <c r="MM90" s="504">
        <v>0</v>
      </c>
      <c r="MN90" s="504">
        <v>0</v>
      </c>
      <c r="MO90" s="504">
        <v>0</v>
      </c>
      <c r="MP90" s="504">
        <v>0</v>
      </c>
      <c r="MQ90" s="504">
        <v>0</v>
      </c>
      <c r="MR90" s="504">
        <v>0</v>
      </c>
      <c r="MS90" s="504">
        <v>0</v>
      </c>
      <c r="MT90" s="504">
        <v>0</v>
      </c>
      <c r="MU90" s="504">
        <v>0</v>
      </c>
      <c r="MV90" s="504">
        <v>0</v>
      </c>
      <c r="MW90" s="504">
        <v>0</v>
      </c>
      <c r="MX90" s="504">
        <v>0</v>
      </c>
      <c r="MY90" s="504">
        <v>0</v>
      </c>
      <c r="MZ90" s="504">
        <v>0</v>
      </c>
      <c r="NA90" s="504">
        <v>0</v>
      </c>
      <c r="NB90" s="504">
        <v>0</v>
      </c>
      <c r="NC90" s="504">
        <v>0</v>
      </c>
      <c r="ND90" s="504">
        <v>0</v>
      </c>
      <c r="NE90" s="504">
        <v>0</v>
      </c>
      <c r="NF90" s="504">
        <v>0</v>
      </c>
      <c r="NG90" s="504">
        <v>0</v>
      </c>
      <c r="NH90" s="504">
        <v>0</v>
      </c>
      <c r="NI90" s="504">
        <v>0</v>
      </c>
      <c r="NJ90" s="504">
        <v>0</v>
      </c>
      <c r="NK90" s="504">
        <v>0</v>
      </c>
      <c r="NL90" s="504">
        <v>0</v>
      </c>
      <c r="NM90" s="504">
        <v>0</v>
      </c>
      <c r="NN90" s="504">
        <v>0</v>
      </c>
      <c r="NO90" s="504">
        <v>0</v>
      </c>
      <c r="NP90" s="504">
        <v>0</v>
      </c>
      <c r="NQ90" s="504">
        <v>0</v>
      </c>
      <c r="NR90" s="504">
        <v>0</v>
      </c>
      <c r="NS90" s="504">
        <v>0</v>
      </c>
      <c r="NT90" s="504">
        <v>0</v>
      </c>
      <c r="NU90" s="504">
        <v>0</v>
      </c>
      <c r="NV90" s="504">
        <v>0</v>
      </c>
      <c r="NW90" s="504">
        <v>0</v>
      </c>
      <c r="NX90" s="504">
        <v>0</v>
      </c>
      <c r="NY90" s="504">
        <v>0</v>
      </c>
      <c r="NZ90" s="504">
        <v>0</v>
      </c>
      <c r="OA90" s="504">
        <v>0</v>
      </c>
      <c r="OB90" s="504">
        <v>0</v>
      </c>
      <c r="OC90" s="504">
        <v>0</v>
      </c>
      <c r="OD90" s="504">
        <v>0</v>
      </c>
      <c r="OE90" s="504">
        <v>0</v>
      </c>
      <c r="OF90" s="504">
        <v>0</v>
      </c>
      <c r="OG90" s="504">
        <v>0</v>
      </c>
      <c r="OH90" s="504">
        <v>0</v>
      </c>
      <c r="OI90" s="504">
        <v>0</v>
      </c>
      <c r="OJ90" s="504">
        <v>0</v>
      </c>
      <c r="OK90" s="504">
        <v>0</v>
      </c>
      <c r="OL90" s="504">
        <v>0</v>
      </c>
      <c r="OM90" s="504">
        <v>0</v>
      </c>
      <c r="ON90" s="494"/>
    </row>
    <row r="91" spans="1:404" ht="18.75" customHeight="1" x14ac:dyDescent="0.4">
      <c r="A91" s="511" t="s">
        <v>361</v>
      </c>
      <c r="B91" s="512">
        <v>106</v>
      </c>
      <c r="C91" s="511" t="s">
        <v>60</v>
      </c>
      <c r="D91" s="501">
        <v>18.989999999999998</v>
      </c>
      <c r="E91" s="502">
        <v>25636</v>
      </c>
      <c r="F91" s="501">
        <v>18.989999999999998</v>
      </c>
      <c r="G91" s="502">
        <v>4763</v>
      </c>
      <c r="H91" s="501">
        <v>18.98</v>
      </c>
      <c r="I91" s="502">
        <v>16487</v>
      </c>
      <c r="J91" s="501">
        <v>18.98</v>
      </c>
      <c r="K91" s="502">
        <v>18744</v>
      </c>
      <c r="V91" s="501"/>
      <c r="W91" s="503"/>
      <c r="X91" s="501"/>
      <c r="Y91" s="503"/>
      <c r="Z91" s="501"/>
      <c r="AA91" s="503"/>
      <c r="AB91" s="495"/>
      <c r="AC91" s="504">
        <v>0</v>
      </c>
      <c r="AD91" s="504">
        <v>0</v>
      </c>
      <c r="AE91" s="504">
        <v>0</v>
      </c>
      <c r="AF91" s="504">
        <v>0</v>
      </c>
      <c r="AG91" s="504">
        <v>0</v>
      </c>
      <c r="AH91" s="504">
        <v>0</v>
      </c>
      <c r="AI91" s="504">
        <v>0</v>
      </c>
      <c r="AJ91" s="504">
        <v>0</v>
      </c>
      <c r="AK91" s="504">
        <v>0</v>
      </c>
      <c r="AL91" s="504">
        <v>0</v>
      </c>
      <c r="AM91" s="504">
        <v>0</v>
      </c>
      <c r="AN91" s="504">
        <v>0</v>
      </c>
      <c r="AO91" s="504">
        <v>0</v>
      </c>
      <c r="AP91" s="504">
        <v>0</v>
      </c>
      <c r="AQ91" s="504">
        <v>0</v>
      </c>
      <c r="AR91" s="504">
        <v>0</v>
      </c>
      <c r="AS91" s="504">
        <v>0</v>
      </c>
      <c r="AT91" s="504">
        <v>0</v>
      </c>
      <c r="AU91" s="504">
        <v>0</v>
      </c>
      <c r="AV91" s="504">
        <v>0</v>
      </c>
      <c r="AW91" s="504">
        <v>0</v>
      </c>
      <c r="AX91" s="504">
        <v>0</v>
      </c>
      <c r="AY91" s="504">
        <v>0</v>
      </c>
      <c r="AZ91" s="504">
        <v>0</v>
      </c>
      <c r="BA91" s="504">
        <v>0</v>
      </c>
      <c r="BB91" s="504">
        <v>0</v>
      </c>
      <c r="BC91" s="504">
        <v>0</v>
      </c>
      <c r="BD91" s="504">
        <v>0</v>
      </c>
      <c r="BE91" s="504">
        <v>0</v>
      </c>
      <c r="BF91" s="504">
        <v>0</v>
      </c>
      <c r="BG91" s="504">
        <v>0</v>
      </c>
      <c r="BH91" s="504">
        <v>0</v>
      </c>
      <c r="BI91" s="504">
        <v>0</v>
      </c>
      <c r="BJ91" s="504">
        <v>0</v>
      </c>
      <c r="BK91" s="504">
        <v>0</v>
      </c>
      <c r="BL91" s="504">
        <v>0</v>
      </c>
      <c r="BM91" s="504">
        <v>0</v>
      </c>
      <c r="BN91" s="504">
        <v>0</v>
      </c>
      <c r="BO91" s="504">
        <v>0</v>
      </c>
      <c r="BP91" s="504">
        <v>0</v>
      </c>
      <c r="BQ91" s="504">
        <v>0</v>
      </c>
      <c r="BR91" s="504">
        <v>0</v>
      </c>
      <c r="BS91" s="504">
        <v>0</v>
      </c>
      <c r="BT91" s="504">
        <v>0</v>
      </c>
      <c r="BU91" s="504">
        <v>0</v>
      </c>
      <c r="BV91" s="504">
        <v>0</v>
      </c>
      <c r="BW91" s="504">
        <v>0</v>
      </c>
      <c r="BX91" s="504">
        <v>0</v>
      </c>
      <c r="BY91" s="504">
        <v>0</v>
      </c>
      <c r="BZ91" s="504">
        <v>0</v>
      </c>
      <c r="CA91" s="504">
        <v>0</v>
      </c>
      <c r="CB91" s="504">
        <v>0</v>
      </c>
      <c r="CC91" s="504">
        <v>0</v>
      </c>
      <c r="CD91" s="504">
        <v>0</v>
      </c>
      <c r="CE91" s="504">
        <v>0</v>
      </c>
      <c r="CF91" s="504">
        <v>0</v>
      </c>
      <c r="CG91" s="504">
        <v>0</v>
      </c>
      <c r="CH91" s="504">
        <v>0</v>
      </c>
      <c r="CI91" s="504">
        <v>0</v>
      </c>
      <c r="CJ91" s="504">
        <v>0</v>
      </c>
      <c r="CK91" s="504">
        <v>0</v>
      </c>
      <c r="CL91" s="504">
        <v>0</v>
      </c>
      <c r="CM91" s="504">
        <v>0</v>
      </c>
      <c r="CN91" s="504">
        <v>0</v>
      </c>
      <c r="CO91" s="504">
        <v>0</v>
      </c>
      <c r="CP91" s="504">
        <v>0</v>
      </c>
      <c r="CQ91" s="504">
        <v>0</v>
      </c>
      <c r="CR91" s="504">
        <v>0</v>
      </c>
      <c r="CS91" s="504">
        <v>0</v>
      </c>
      <c r="CT91" s="504">
        <v>0</v>
      </c>
      <c r="CU91" s="504">
        <v>0</v>
      </c>
      <c r="CV91" s="504">
        <v>0</v>
      </c>
      <c r="CW91" s="504">
        <v>0</v>
      </c>
      <c r="CX91" s="504">
        <v>0</v>
      </c>
      <c r="CY91" s="504">
        <v>0</v>
      </c>
      <c r="CZ91" s="504">
        <v>0</v>
      </c>
      <c r="DA91" s="504">
        <v>0</v>
      </c>
      <c r="DB91" s="504">
        <v>0</v>
      </c>
      <c r="DC91" s="504">
        <v>0</v>
      </c>
      <c r="DD91" s="504">
        <v>0</v>
      </c>
      <c r="DE91" s="504">
        <v>0</v>
      </c>
      <c r="DF91" s="504">
        <v>0</v>
      </c>
      <c r="DG91" s="504">
        <v>0</v>
      </c>
      <c r="DH91" s="504">
        <v>0</v>
      </c>
      <c r="DI91" s="504">
        <v>0</v>
      </c>
      <c r="DJ91" s="504">
        <v>0</v>
      </c>
      <c r="DK91" s="504">
        <v>0</v>
      </c>
      <c r="DL91" s="504">
        <v>0</v>
      </c>
      <c r="DM91" s="504">
        <v>0</v>
      </c>
      <c r="DN91" s="504">
        <v>0</v>
      </c>
      <c r="DO91" s="504">
        <v>0</v>
      </c>
      <c r="DP91" s="504">
        <v>0</v>
      </c>
      <c r="DQ91" s="504">
        <v>0</v>
      </c>
      <c r="DR91" s="504">
        <v>0</v>
      </c>
      <c r="DS91" s="504">
        <v>0</v>
      </c>
      <c r="DT91" s="504">
        <v>0</v>
      </c>
      <c r="DU91" s="504">
        <v>0</v>
      </c>
      <c r="DV91" s="504">
        <v>0</v>
      </c>
      <c r="DW91" s="504">
        <v>0</v>
      </c>
      <c r="DX91" s="504">
        <v>0</v>
      </c>
      <c r="DY91" s="504">
        <v>0</v>
      </c>
      <c r="DZ91" s="504">
        <v>0</v>
      </c>
      <c r="EA91" s="504">
        <v>0</v>
      </c>
      <c r="EB91" s="504">
        <v>0</v>
      </c>
      <c r="EC91" s="504">
        <v>0</v>
      </c>
      <c r="ED91" s="504">
        <v>0</v>
      </c>
      <c r="EE91" s="504">
        <v>0</v>
      </c>
      <c r="EF91" s="504">
        <v>0</v>
      </c>
      <c r="EG91" s="504">
        <v>0</v>
      </c>
      <c r="EH91" s="504">
        <v>0</v>
      </c>
      <c r="EI91" s="504">
        <v>0</v>
      </c>
      <c r="EJ91" s="504">
        <v>0</v>
      </c>
      <c r="EK91" s="504">
        <v>0</v>
      </c>
      <c r="EL91" s="504">
        <v>0</v>
      </c>
      <c r="EM91" s="504">
        <v>0</v>
      </c>
      <c r="EN91" s="504">
        <v>0</v>
      </c>
      <c r="EO91" s="504">
        <v>0</v>
      </c>
      <c r="EP91" s="504">
        <v>0</v>
      </c>
      <c r="EQ91" s="504">
        <v>0</v>
      </c>
      <c r="ER91" s="504">
        <v>0</v>
      </c>
      <c r="ES91" s="504">
        <v>0</v>
      </c>
      <c r="ET91" s="504">
        <v>0</v>
      </c>
      <c r="EU91" s="504">
        <v>0</v>
      </c>
      <c r="EV91" s="504">
        <v>0</v>
      </c>
      <c r="EW91" s="504">
        <v>0</v>
      </c>
      <c r="EX91" s="504">
        <v>0</v>
      </c>
      <c r="EY91" s="504">
        <v>0</v>
      </c>
      <c r="EZ91" s="504">
        <v>0</v>
      </c>
      <c r="FA91" s="504">
        <v>0</v>
      </c>
      <c r="FB91" s="504">
        <v>0</v>
      </c>
      <c r="FC91" s="504">
        <v>0</v>
      </c>
      <c r="FD91" s="504">
        <v>0</v>
      </c>
      <c r="FE91" s="504">
        <v>0</v>
      </c>
      <c r="FF91" s="504">
        <v>0</v>
      </c>
      <c r="FG91" s="504">
        <v>0</v>
      </c>
      <c r="FH91" s="504">
        <v>0</v>
      </c>
      <c r="FI91" s="504">
        <v>0</v>
      </c>
      <c r="FJ91" s="504">
        <v>0</v>
      </c>
      <c r="FK91" s="504">
        <v>0</v>
      </c>
      <c r="FL91" s="504">
        <v>0</v>
      </c>
      <c r="FM91" s="504">
        <v>0</v>
      </c>
      <c r="FN91" s="504">
        <v>0</v>
      </c>
      <c r="FO91" s="504">
        <v>0</v>
      </c>
      <c r="FP91" s="504">
        <v>0</v>
      </c>
      <c r="FQ91" s="504">
        <v>0</v>
      </c>
      <c r="FR91" s="504">
        <v>0</v>
      </c>
      <c r="FS91" s="504">
        <v>0</v>
      </c>
      <c r="FT91" s="504">
        <v>0</v>
      </c>
      <c r="FU91" s="504">
        <v>0</v>
      </c>
      <c r="FV91" s="504">
        <v>0</v>
      </c>
      <c r="FW91" s="504">
        <v>0</v>
      </c>
      <c r="FX91" s="504">
        <v>0</v>
      </c>
      <c r="FY91" s="504">
        <v>0</v>
      </c>
      <c r="FZ91" s="504">
        <v>0</v>
      </c>
      <c r="GA91" s="504">
        <v>0</v>
      </c>
      <c r="GB91" s="504">
        <v>0</v>
      </c>
      <c r="GC91" s="504">
        <v>0</v>
      </c>
      <c r="GD91" s="504">
        <v>0</v>
      </c>
      <c r="GE91" s="504">
        <v>0</v>
      </c>
      <c r="GF91" s="504">
        <v>0</v>
      </c>
      <c r="GG91" s="504">
        <v>0</v>
      </c>
      <c r="GH91" s="504">
        <v>0</v>
      </c>
      <c r="GI91" s="504">
        <v>0</v>
      </c>
      <c r="GJ91" s="504">
        <v>0</v>
      </c>
      <c r="GK91" s="504">
        <v>0</v>
      </c>
      <c r="GL91" s="504">
        <v>0</v>
      </c>
      <c r="GM91" s="504">
        <v>0</v>
      </c>
      <c r="GN91" s="504">
        <v>0</v>
      </c>
      <c r="GO91" s="504">
        <v>0</v>
      </c>
      <c r="GP91" s="504">
        <v>0</v>
      </c>
      <c r="GQ91" s="504">
        <v>0</v>
      </c>
      <c r="GR91" s="504">
        <v>0</v>
      </c>
      <c r="GS91" s="504">
        <v>0</v>
      </c>
      <c r="GT91" s="504">
        <v>0</v>
      </c>
      <c r="GU91" s="504">
        <v>0</v>
      </c>
      <c r="GV91" s="504">
        <v>0</v>
      </c>
      <c r="GW91" s="504">
        <v>0</v>
      </c>
      <c r="GX91" s="504">
        <v>0</v>
      </c>
      <c r="GY91" s="504">
        <v>0</v>
      </c>
      <c r="GZ91" s="504">
        <v>0</v>
      </c>
      <c r="HA91" s="504">
        <v>0</v>
      </c>
      <c r="HB91" s="504">
        <v>0</v>
      </c>
      <c r="HC91" s="504">
        <v>0</v>
      </c>
      <c r="HD91" s="504">
        <v>0</v>
      </c>
      <c r="HE91" s="504">
        <v>0</v>
      </c>
      <c r="HF91" s="504">
        <v>0</v>
      </c>
      <c r="HG91" s="504">
        <v>0</v>
      </c>
      <c r="HH91" s="504">
        <v>0</v>
      </c>
      <c r="HI91" s="504">
        <v>0</v>
      </c>
      <c r="HJ91" s="504">
        <v>0</v>
      </c>
      <c r="HK91" s="504">
        <v>0</v>
      </c>
      <c r="HL91" s="504">
        <v>0</v>
      </c>
      <c r="HM91" s="504">
        <v>0</v>
      </c>
      <c r="HN91" s="504">
        <v>0</v>
      </c>
      <c r="HO91" s="504">
        <v>0</v>
      </c>
      <c r="HP91" s="504">
        <v>0</v>
      </c>
      <c r="HQ91" s="504">
        <v>0</v>
      </c>
      <c r="HR91" s="504">
        <v>0</v>
      </c>
      <c r="HS91" s="504">
        <v>0</v>
      </c>
      <c r="HT91" s="504">
        <v>0</v>
      </c>
      <c r="HU91" s="504">
        <v>0</v>
      </c>
      <c r="HV91" s="504">
        <v>0</v>
      </c>
      <c r="HW91" s="504">
        <v>0</v>
      </c>
      <c r="HX91" s="504">
        <v>0</v>
      </c>
      <c r="HY91" s="504">
        <v>0</v>
      </c>
      <c r="HZ91" s="504">
        <v>0</v>
      </c>
      <c r="IA91" s="504">
        <v>0</v>
      </c>
      <c r="IB91" s="504">
        <v>0</v>
      </c>
      <c r="IC91" s="504">
        <v>0</v>
      </c>
      <c r="ID91" s="504">
        <v>0</v>
      </c>
      <c r="IE91" s="504">
        <v>0</v>
      </c>
      <c r="IF91" s="504">
        <v>0</v>
      </c>
      <c r="IG91" s="504">
        <v>0</v>
      </c>
      <c r="IH91" s="504">
        <v>0</v>
      </c>
      <c r="II91" s="504">
        <v>0</v>
      </c>
      <c r="IJ91" s="504">
        <v>0</v>
      </c>
      <c r="IK91" s="504">
        <v>0</v>
      </c>
      <c r="IL91" s="504">
        <v>0</v>
      </c>
      <c r="IM91" s="504">
        <v>0</v>
      </c>
      <c r="IN91" s="504">
        <v>0</v>
      </c>
      <c r="IO91" s="504">
        <v>0</v>
      </c>
      <c r="IP91" s="504">
        <v>0</v>
      </c>
      <c r="IQ91" s="504">
        <v>0</v>
      </c>
      <c r="IR91" s="504">
        <v>0</v>
      </c>
      <c r="IS91" s="504">
        <v>0</v>
      </c>
      <c r="IT91" s="504">
        <v>0</v>
      </c>
      <c r="IU91" s="504">
        <v>0</v>
      </c>
      <c r="IV91" s="504">
        <v>0</v>
      </c>
      <c r="IW91" s="504">
        <v>0</v>
      </c>
      <c r="IX91" s="504">
        <v>0</v>
      </c>
      <c r="IY91" s="504">
        <v>0</v>
      </c>
      <c r="IZ91" s="504">
        <v>0</v>
      </c>
      <c r="JA91" s="504">
        <v>0</v>
      </c>
      <c r="JB91" s="504">
        <v>0</v>
      </c>
      <c r="JC91" s="504">
        <v>0</v>
      </c>
      <c r="JD91" s="504">
        <v>0</v>
      </c>
      <c r="JE91" s="504">
        <v>0</v>
      </c>
      <c r="JF91" s="504">
        <v>0</v>
      </c>
      <c r="JG91" s="504">
        <v>0</v>
      </c>
      <c r="JH91" s="504">
        <v>0</v>
      </c>
      <c r="JI91" s="504">
        <v>0</v>
      </c>
      <c r="JJ91" s="504">
        <v>0</v>
      </c>
      <c r="JK91" s="504">
        <v>0</v>
      </c>
      <c r="JL91" s="504">
        <v>0</v>
      </c>
      <c r="JM91" s="504">
        <v>0</v>
      </c>
      <c r="JN91" s="504">
        <v>0</v>
      </c>
      <c r="JO91" s="504">
        <v>0</v>
      </c>
      <c r="JP91" s="504">
        <v>0</v>
      </c>
      <c r="JQ91" s="504">
        <v>0</v>
      </c>
      <c r="JR91" s="504">
        <v>0</v>
      </c>
      <c r="JS91" s="504">
        <v>0</v>
      </c>
      <c r="JT91" s="504">
        <v>0</v>
      </c>
      <c r="JU91" s="504">
        <v>0</v>
      </c>
      <c r="JV91" s="504">
        <v>0</v>
      </c>
      <c r="JW91" s="504">
        <v>0</v>
      </c>
      <c r="JX91" s="504">
        <v>0</v>
      </c>
      <c r="JY91" s="504">
        <v>0</v>
      </c>
      <c r="JZ91" s="504">
        <v>0</v>
      </c>
      <c r="KA91" s="504">
        <v>0</v>
      </c>
      <c r="KB91" s="504">
        <v>0</v>
      </c>
      <c r="KC91" s="504">
        <v>0</v>
      </c>
      <c r="KD91" s="504">
        <v>0</v>
      </c>
      <c r="KE91" s="504">
        <v>0</v>
      </c>
      <c r="KF91" s="504">
        <v>0</v>
      </c>
      <c r="KG91" s="504">
        <v>0</v>
      </c>
      <c r="KH91" s="504">
        <v>0</v>
      </c>
      <c r="KI91" s="504">
        <v>0</v>
      </c>
      <c r="KJ91" s="504">
        <v>0</v>
      </c>
      <c r="KK91" s="504">
        <v>0</v>
      </c>
      <c r="KL91" s="504">
        <v>0</v>
      </c>
      <c r="KM91" s="504">
        <v>0</v>
      </c>
      <c r="KN91" s="504">
        <v>0</v>
      </c>
      <c r="KO91" s="504">
        <v>0</v>
      </c>
      <c r="KP91" s="504">
        <v>0</v>
      </c>
      <c r="KQ91" s="504">
        <v>0</v>
      </c>
      <c r="KR91" s="504">
        <v>0</v>
      </c>
      <c r="KS91" s="504">
        <v>0</v>
      </c>
      <c r="KT91" s="504">
        <v>0</v>
      </c>
      <c r="KU91" s="504">
        <v>0</v>
      </c>
      <c r="KV91" s="504">
        <v>0</v>
      </c>
      <c r="KW91" s="504">
        <v>0</v>
      </c>
      <c r="KX91" s="504">
        <v>0</v>
      </c>
      <c r="KY91" s="504">
        <v>0</v>
      </c>
      <c r="KZ91" s="504">
        <v>0</v>
      </c>
      <c r="LA91" s="504">
        <v>0</v>
      </c>
      <c r="LB91" s="504">
        <v>0</v>
      </c>
      <c r="LC91" s="504">
        <v>0</v>
      </c>
      <c r="LD91" s="504">
        <v>0</v>
      </c>
      <c r="LE91" s="504">
        <v>0</v>
      </c>
      <c r="LF91" s="504">
        <v>0</v>
      </c>
      <c r="LG91" s="504">
        <v>0</v>
      </c>
      <c r="LH91" s="504">
        <v>0</v>
      </c>
      <c r="LI91" s="504">
        <v>0</v>
      </c>
      <c r="LJ91" s="504">
        <v>0</v>
      </c>
      <c r="LK91" s="504">
        <v>0</v>
      </c>
      <c r="LL91" s="504">
        <v>0</v>
      </c>
      <c r="LM91" s="504">
        <v>0</v>
      </c>
      <c r="LN91" s="504">
        <v>0</v>
      </c>
      <c r="LO91" s="504">
        <v>0</v>
      </c>
      <c r="LP91" s="504">
        <v>0</v>
      </c>
      <c r="LQ91" s="504">
        <v>0</v>
      </c>
      <c r="LR91" s="504">
        <v>0</v>
      </c>
      <c r="LS91" s="504">
        <v>0</v>
      </c>
      <c r="LT91" s="504">
        <v>0</v>
      </c>
      <c r="LU91" s="504">
        <v>0</v>
      </c>
      <c r="LV91" s="504">
        <v>0</v>
      </c>
      <c r="LW91" s="504">
        <v>0</v>
      </c>
      <c r="LX91" s="504">
        <v>0</v>
      </c>
      <c r="LY91" s="504">
        <v>0</v>
      </c>
      <c r="LZ91" s="504">
        <v>0</v>
      </c>
      <c r="MA91" s="504">
        <v>0</v>
      </c>
      <c r="MB91" s="504">
        <v>0</v>
      </c>
      <c r="MC91" s="504">
        <v>0</v>
      </c>
      <c r="MD91" s="504">
        <v>0</v>
      </c>
      <c r="ME91" s="504">
        <v>0</v>
      </c>
      <c r="MF91" s="504">
        <v>0</v>
      </c>
      <c r="MG91" s="504">
        <v>0</v>
      </c>
      <c r="MH91" s="504">
        <v>0</v>
      </c>
      <c r="MI91" s="504">
        <v>0</v>
      </c>
      <c r="MJ91" s="504">
        <v>0</v>
      </c>
      <c r="MK91" s="504">
        <v>0</v>
      </c>
      <c r="ML91" s="504">
        <v>0</v>
      </c>
      <c r="MM91" s="504">
        <v>0</v>
      </c>
      <c r="MN91" s="504">
        <v>0</v>
      </c>
      <c r="MO91" s="504">
        <v>0</v>
      </c>
      <c r="MP91" s="504">
        <v>0</v>
      </c>
      <c r="MQ91" s="504">
        <v>0</v>
      </c>
      <c r="MR91" s="504">
        <v>0</v>
      </c>
      <c r="MS91" s="504">
        <v>0</v>
      </c>
      <c r="MT91" s="504">
        <v>0</v>
      </c>
      <c r="MU91" s="504">
        <v>0</v>
      </c>
      <c r="MV91" s="504">
        <v>0</v>
      </c>
      <c r="MW91" s="504">
        <v>0</v>
      </c>
      <c r="MX91" s="504">
        <v>0</v>
      </c>
      <c r="MY91" s="504">
        <v>0</v>
      </c>
      <c r="MZ91" s="504">
        <v>0</v>
      </c>
      <c r="NA91" s="504">
        <v>0</v>
      </c>
      <c r="NB91" s="504">
        <v>0</v>
      </c>
      <c r="NC91" s="504">
        <v>0</v>
      </c>
      <c r="ND91" s="504">
        <v>0</v>
      </c>
      <c r="NE91" s="504">
        <v>0</v>
      </c>
      <c r="NF91" s="504">
        <v>0</v>
      </c>
      <c r="NG91" s="504">
        <v>0</v>
      </c>
      <c r="NH91" s="504">
        <v>0</v>
      </c>
      <c r="NI91" s="504">
        <v>0</v>
      </c>
      <c r="NJ91" s="504">
        <v>0</v>
      </c>
      <c r="NK91" s="504">
        <v>0</v>
      </c>
      <c r="NL91" s="504">
        <v>0</v>
      </c>
      <c r="NM91" s="504">
        <v>0</v>
      </c>
      <c r="NN91" s="504">
        <v>0</v>
      </c>
      <c r="NO91" s="504">
        <v>0</v>
      </c>
      <c r="NP91" s="504">
        <v>0</v>
      </c>
      <c r="NQ91" s="504">
        <v>0</v>
      </c>
      <c r="NR91" s="504">
        <v>0</v>
      </c>
      <c r="NS91" s="504">
        <v>0</v>
      </c>
      <c r="NT91" s="504">
        <v>0</v>
      </c>
      <c r="NU91" s="504">
        <v>0</v>
      </c>
      <c r="NV91" s="504">
        <v>0</v>
      </c>
      <c r="NW91" s="504">
        <v>0</v>
      </c>
      <c r="NX91" s="504">
        <v>0</v>
      </c>
      <c r="NY91" s="504">
        <v>0</v>
      </c>
      <c r="NZ91" s="504">
        <v>0</v>
      </c>
      <c r="OA91" s="504">
        <v>0</v>
      </c>
      <c r="OB91" s="504">
        <v>0</v>
      </c>
      <c r="OC91" s="504">
        <v>0</v>
      </c>
      <c r="OD91" s="504">
        <v>0</v>
      </c>
      <c r="OE91" s="504">
        <v>0</v>
      </c>
      <c r="OF91" s="504">
        <v>0</v>
      </c>
      <c r="OG91" s="504">
        <v>0</v>
      </c>
      <c r="OH91" s="504">
        <v>0</v>
      </c>
      <c r="OI91" s="504">
        <v>0</v>
      </c>
      <c r="OJ91" s="504">
        <v>0</v>
      </c>
      <c r="OK91" s="504">
        <v>0</v>
      </c>
      <c r="OL91" s="504">
        <v>0</v>
      </c>
      <c r="OM91" s="504">
        <v>0</v>
      </c>
      <c r="ON91" s="494"/>
    </row>
    <row r="92" spans="1:404" ht="18.75" customHeight="1" x14ac:dyDescent="0.4">
      <c r="A92" s="511" t="s">
        <v>362</v>
      </c>
      <c r="B92" s="512">
        <v>169</v>
      </c>
      <c r="C92" s="511" t="s">
        <v>60</v>
      </c>
      <c r="D92" s="501">
        <v>19.46</v>
      </c>
      <c r="E92" s="502">
        <v>16833</v>
      </c>
      <c r="F92" s="501">
        <v>19.45</v>
      </c>
      <c r="G92" s="502">
        <v>2097</v>
      </c>
      <c r="H92" s="501">
        <v>19.45</v>
      </c>
      <c r="I92" s="502">
        <v>7522</v>
      </c>
      <c r="J92" s="501">
        <v>19.45</v>
      </c>
      <c r="K92" s="502">
        <v>8938</v>
      </c>
      <c r="V92" s="501"/>
      <c r="W92" s="503"/>
      <c r="X92" s="501"/>
      <c r="Y92" s="503"/>
      <c r="Z92" s="501"/>
      <c r="AA92" s="503"/>
      <c r="AB92" s="495"/>
      <c r="AC92" s="504">
        <v>0</v>
      </c>
      <c r="AD92" s="504">
        <v>0</v>
      </c>
      <c r="AE92" s="504">
        <v>0</v>
      </c>
      <c r="AF92" s="504">
        <v>0</v>
      </c>
      <c r="AG92" s="504">
        <v>0</v>
      </c>
      <c r="AH92" s="504">
        <v>0</v>
      </c>
      <c r="AI92" s="504">
        <v>0</v>
      </c>
      <c r="AJ92" s="504">
        <v>0</v>
      </c>
      <c r="AK92" s="504">
        <v>0</v>
      </c>
      <c r="AL92" s="504">
        <v>0</v>
      </c>
      <c r="AM92" s="504">
        <v>0</v>
      </c>
      <c r="AN92" s="504">
        <v>0</v>
      </c>
      <c r="AO92" s="504">
        <v>0</v>
      </c>
      <c r="AP92" s="504">
        <v>0</v>
      </c>
      <c r="AQ92" s="504">
        <v>0</v>
      </c>
      <c r="AR92" s="504">
        <v>0</v>
      </c>
      <c r="AS92" s="504">
        <v>0</v>
      </c>
      <c r="AT92" s="504">
        <v>0</v>
      </c>
      <c r="AU92" s="504">
        <v>0</v>
      </c>
      <c r="AV92" s="504">
        <v>0</v>
      </c>
      <c r="AW92" s="504">
        <v>0</v>
      </c>
      <c r="AX92" s="504">
        <v>0</v>
      </c>
      <c r="AY92" s="504">
        <v>0</v>
      </c>
      <c r="AZ92" s="504">
        <v>0</v>
      </c>
      <c r="BA92" s="504">
        <v>0</v>
      </c>
      <c r="BB92" s="504">
        <v>0</v>
      </c>
      <c r="BC92" s="504">
        <v>0</v>
      </c>
      <c r="BD92" s="504">
        <v>0</v>
      </c>
      <c r="BE92" s="504">
        <v>0</v>
      </c>
      <c r="BF92" s="504">
        <v>0</v>
      </c>
      <c r="BG92" s="504">
        <v>0</v>
      </c>
      <c r="BH92" s="504">
        <v>0</v>
      </c>
      <c r="BI92" s="504">
        <v>0</v>
      </c>
      <c r="BJ92" s="504">
        <v>0</v>
      </c>
      <c r="BK92" s="504">
        <v>0</v>
      </c>
      <c r="BL92" s="504">
        <v>0</v>
      </c>
      <c r="BM92" s="504">
        <v>0</v>
      </c>
      <c r="BN92" s="504">
        <v>0</v>
      </c>
      <c r="BO92" s="504">
        <v>0</v>
      </c>
      <c r="BP92" s="504">
        <v>0</v>
      </c>
      <c r="BQ92" s="504">
        <v>0</v>
      </c>
      <c r="BR92" s="504">
        <v>0</v>
      </c>
      <c r="BS92" s="504">
        <v>0</v>
      </c>
      <c r="BT92" s="504">
        <v>0</v>
      </c>
      <c r="BU92" s="504">
        <v>0</v>
      </c>
      <c r="BV92" s="504">
        <v>0</v>
      </c>
      <c r="BW92" s="504">
        <v>0</v>
      </c>
      <c r="BX92" s="504">
        <v>0</v>
      </c>
      <c r="BY92" s="504">
        <v>0</v>
      </c>
      <c r="BZ92" s="504">
        <v>0</v>
      </c>
      <c r="CA92" s="504">
        <v>0</v>
      </c>
      <c r="CB92" s="504">
        <v>0</v>
      </c>
      <c r="CC92" s="504">
        <v>0</v>
      </c>
      <c r="CD92" s="504">
        <v>0</v>
      </c>
      <c r="CE92" s="504">
        <v>0</v>
      </c>
      <c r="CF92" s="504">
        <v>0</v>
      </c>
      <c r="CG92" s="504">
        <v>0</v>
      </c>
      <c r="CH92" s="504">
        <v>0</v>
      </c>
      <c r="CI92" s="504">
        <v>0</v>
      </c>
      <c r="CJ92" s="504">
        <v>0</v>
      </c>
      <c r="CK92" s="504">
        <v>0</v>
      </c>
      <c r="CL92" s="504">
        <v>0</v>
      </c>
      <c r="CM92" s="504">
        <v>0</v>
      </c>
      <c r="CN92" s="504">
        <v>0</v>
      </c>
      <c r="CO92" s="504">
        <v>0</v>
      </c>
      <c r="CP92" s="504">
        <v>0</v>
      </c>
      <c r="CQ92" s="504">
        <v>0</v>
      </c>
      <c r="CR92" s="504">
        <v>0</v>
      </c>
      <c r="CS92" s="504">
        <v>0</v>
      </c>
      <c r="CT92" s="504">
        <v>0</v>
      </c>
      <c r="CU92" s="504">
        <v>0</v>
      </c>
      <c r="CV92" s="504">
        <v>0</v>
      </c>
      <c r="CW92" s="504">
        <v>0</v>
      </c>
      <c r="CX92" s="504">
        <v>0</v>
      </c>
      <c r="CY92" s="504">
        <v>0</v>
      </c>
      <c r="CZ92" s="504">
        <v>0</v>
      </c>
      <c r="DA92" s="504">
        <v>0</v>
      </c>
      <c r="DB92" s="504">
        <v>0</v>
      </c>
      <c r="DC92" s="504">
        <v>0</v>
      </c>
      <c r="DD92" s="504">
        <v>0</v>
      </c>
      <c r="DE92" s="504">
        <v>0</v>
      </c>
      <c r="DF92" s="504">
        <v>0</v>
      </c>
      <c r="DG92" s="504">
        <v>0</v>
      </c>
      <c r="DH92" s="504">
        <v>0</v>
      </c>
      <c r="DI92" s="504">
        <v>0</v>
      </c>
      <c r="DJ92" s="504">
        <v>0</v>
      </c>
      <c r="DK92" s="504">
        <v>0</v>
      </c>
      <c r="DL92" s="504">
        <v>0</v>
      </c>
      <c r="DM92" s="504">
        <v>0</v>
      </c>
      <c r="DN92" s="504">
        <v>0</v>
      </c>
      <c r="DO92" s="504">
        <v>0</v>
      </c>
      <c r="DP92" s="504">
        <v>0</v>
      </c>
      <c r="DQ92" s="504">
        <v>0</v>
      </c>
      <c r="DR92" s="504">
        <v>0</v>
      </c>
      <c r="DS92" s="504">
        <v>0</v>
      </c>
      <c r="DT92" s="504">
        <v>0</v>
      </c>
      <c r="DU92" s="504">
        <v>0</v>
      </c>
      <c r="DV92" s="504">
        <v>0</v>
      </c>
      <c r="DW92" s="504">
        <v>0</v>
      </c>
      <c r="DX92" s="504">
        <v>0</v>
      </c>
      <c r="DY92" s="504">
        <v>0</v>
      </c>
      <c r="DZ92" s="504">
        <v>0</v>
      </c>
      <c r="EA92" s="504">
        <v>0</v>
      </c>
      <c r="EB92" s="504">
        <v>0</v>
      </c>
      <c r="EC92" s="504">
        <v>0</v>
      </c>
      <c r="ED92" s="504">
        <v>0</v>
      </c>
      <c r="EE92" s="504">
        <v>0</v>
      </c>
      <c r="EF92" s="504">
        <v>0</v>
      </c>
      <c r="EG92" s="504">
        <v>0</v>
      </c>
      <c r="EH92" s="504">
        <v>0</v>
      </c>
      <c r="EI92" s="504">
        <v>0</v>
      </c>
      <c r="EJ92" s="504">
        <v>0</v>
      </c>
      <c r="EK92" s="504">
        <v>0</v>
      </c>
      <c r="EL92" s="504">
        <v>0</v>
      </c>
      <c r="EM92" s="504">
        <v>0</v>
      </c>
      <c r="EN92" s="504">
        <v>0</v>
      </c>
      <c r="EO92" s="504">
        <v>0</v>
      </c>
      <c r="EP92" s="504">
        <v>0</v>
      </c>
      <c r="EQ92" s="504">
        <v>0</v>
      </c>
      <c r="ER92" s="504">
        <v>0</v>
      </c>
      <c r="ES92" s="504">
        <v>0</v>
      </c>
      <c r="ET92" s="504">
        <v>0</v>
      </c>
      <c r="EU92" s="504">
        <v>0</v>
      </c>
      <c r="EV92" s="504">
        <v>0</v>
      </c>
      <c r="EW92" s="504">
        <v>0</v>
      </c>
      <c r="EX92" s="504">
        <v>0</v>
      </c>
      <c r="EY92" s="504">
        <v>0</v>
      </c>
      <c r="EZ92" s="504">
        <v>0</v>
      </c>
      <c r="FA92" s="504">
        <v>0</v>
      </c>
      <c r="FB92" s="504">
        <v>0</v>
      </c>
      <c r="FC92" s="504">
        <v>0</v>
      </c>
      <c r="FD92" s="504">
        <v>0</v>
      </c>
      <c r="FE92" s="504">
        <v>0</v>
      </c>
      <c r="FF92" s="504">
        <v>0</v>
      </c>
      <c r="FG92" s="504">
        <v>0</v>
      </c>
      <c r="FH92" s="504">
        <v>0</v>
      </c>
      <c r="FI92" s="504">
        <v>0</v>
      </c>
      <c r="FJ92" s="504">
        <v>0</v>
      </c>
      <c r="FK92" s="504">
        <v>0</v>
      </c>
      <c r="FL92" s="504">
        <v>0</v>
      </c>
      <c r="FM92" s="504">
        <v>0</v>
      </c>
      <c r="FN92" s="504">
        <v>0</v>
      </c>
      <c r="FO92" s="504">
        <v>0</v>
      </c>
      <c r="FP92" s="504">
        <v>0</v>
      </c>
      <c r="FQ92" s="504">
        <v>0</v>
      </c>
      <c r="FR92" s="504">
        <v>0</v>
      </c>
      <c r="FS92" s="504">
        <v>0</v>
      </c>
      <c r="FT92" s="504">
        <v>0</v>
      </c>
      <c r="FU92" s="504">
        <v>0</v>
      </c>
      <c r="FV92" s="504">
        <v>0</v>
      </c>
      <c r="FW92" s="504">
        <v>0</v>
      </c>
      <c r="FX92" s="504">
        <v>0</v>
      </c>
      <c r="FY92" s="504">
        <v>0</v>
      </c>
      <c r="FZ92" s="504">
        <v>0</v>
      </c>
      <c r="GA92" s="504">
        <v>0</v>
      </c>
      <c r="GB92" s="504">
        <v>0</v>
      </c>
      <c r="GC92" s="504">
        <v>0</v>
      </c>
      <c r="GD92" s="504">
        <v>0</v>
      </c>
      <c r="GE92" s="504">
        <v>0</v>
      </c>
      <c r="GF92" s="504">
        <v>0</v>
      </c>
      <c r="GG92" s="504">
        <v>0</v>
      </c>
      <c r="GH92" s="504">
        <v>0</v>
      </c>
      <c r="GI92" s="504">
        <v>0</v>
      </c>
      <c r="GJ92" s="504">
        <v>0</v>
      </c>
      <c r="GK92" s="504">
        <v>0</v>
      </c>
      <c r="GL92" s="504">
        <v>0</v>
      </c>
      <c r="GM92" s="504">
        <v>0</v>
      </c>
      <c r="GN92" s="504">
        <v>0</v>
      </c>
      <c r="GO92" s="504">
        <v>0</v>
      </c>
      <c r="GP92" s="504">
        <v>0</v>
      </c>
      <c r="GQ92" s="504">
        <v>0</v>
      </c>
      <c r="GR92" s="504">
        <v>0</v>
      </c>
      <c r="GS92" s="504">
        <v>0</v>
      </c>
      <c r="GT92" s="504">
        <v>0</v>
      </c>
      <c r="GU92" s="504">
        <v>0</v>
      </c>
      <c r="GV92" s="504">
        <v>0</v>
      </c>
      <c r="GW92" s="504">
        <v>0</v>
      </c>
      <c r="GX92" s="504">
        <v>0</v>
      </c>
      <c r="GY92" s="504">
        <v>0</v>
      </c>
      <c r="GZ92" s="504">
        <v>0</v>
      </c>
      <c r="HA92" s="504">
        <v>0</v>
      </c>
      <c r="HB92" s="504">
        <v>0</v>
      </c>
      <c r="HC92" s="504">
        <v>0</v>
      </c>
      <c r="HD92" s="504">
        <v>0</v>
      </c>
      <c r="HE92" s="504">
        <v>0</v>
      </c>
      <c r="HF92" s="504">
        <v>0</v>
      </c>
      <c r="HG92" s="504">
        <v>0</v>
      </c>
      <c r="HH92" s="504">
        <v>0</v>
      </c>
      <c r="HI92" s="504">
        <v>0</v>
      </c>
      <c r="HJ92" s="504">
        <v>0</v>
      </c>
      <c r="HK92" s="504">
        <v>0</v>
      </c>
      <c r="HL92" s="504">
        <v>0</v>
      </c>
      <c r="HM92" s="504">
        <v>0</v>
      </c>
      <c r="HN92" s="504">
        <v>0</v>
      </c>
      <c r="HO92" s="504">
        <v>0</v>
      </c>
      <c r="HP92" s="504">
        <v>0</v>
      </c>
      <c r="HQ92" s="504">
        <v>0</v>
      </c>
      <c r="HR92" s="504">
        <v>0</v>
      </c>
      <c r="HS92" s="504">
        <v>0</v>
      </c>
      <c r="HT92" s="504">
        <v>0</v>
      </c>
      <c r="HU92" s="504">
        <v>0</v>
      </c>
      <c r="HV92" s="504">
        <v>0</v>
      </c>
      <c r="HW92" s="504">
        <v>0</v>
      </c>
      <c r="HX92" s="504">
        <v>0</v>
      </c>
      <c r="HY92" s="504">
        <v>0</v>
      </c>
      <c r="HZ92" s="504">
        <v>0</v>
      </c>
      <c r="IA92" s="504">
        <v>0</v>
      </c>
      <c r="IB92" s="504">
        <v>0</v>
      </c>
      <c r="IC92" s="504">
        <v>0</v>
      </c>
      <c r="ID92" s="504">
        <v>0</v>
      </c>
      <c r="IE92" s="504">
        <v>0</v>
      </c>
      <c r="IF92" s="504">
        <v>0</v>
      </c>
      <c r="IG92" s="504">
        <v>0</v>
      </c>
      <c r="IH92" s="504">
        <v>0</v>
      </c>
      <c r="II92" s="504">
        <v>0</v>
      </c>
      <c r="IJ92" s="504">
        <v>0</v>
      </c>
      <c r="IK92" s="504">
        <v>0</v>
      </c>
      <c r="IL92" s="504">
        <v>0</v>
      </c>
      <c r="IM92" s="504">
        <v>0</v>
      </c>
      <c r="IN92" s="504">
        <v>0</v>
      </c>
      <c r="IO92" s="504">
        <v>0</v>
      </c>
      <c r="IP92" s="504">
        <v>0</v>
      </c>
      <c r="IQ92" s="504">
        <v>0</v>
      </c>
      <c r="IR92" s="504">
        <v>0</v>
      </c>
      <c r="IS92" s="504">
        <v>0</v>
      </c>
      <c r="IT92" s="504">
        <v>0</v>
      </c>
      <c r="IU92" s="504">
        <v>0</v>
      </c>
      <c r="IV92" s="504">
        <v>0</v>
      </c>
      <c r="IW92" s="504">
        <v>0</v>
      </c>
      <c r="IX92" s="504">
        <v>0</v>
      </c>
      <c r="IY92" s="504">
        <v>0</v>
      </c>
      <c r="IZ92" s="504">
        <v>0</v>
      </c>
      <c r="JA92" s="504">
        <v>0</v>
      </c>
      <c r="JB92" s="504">
        <v>0</v>
      </c>
      <c r="JC92" s="504">
        <v>0</v>
      </c>
      <c r="JD92" s="504">
        <v>0</v>
      </c>
      <c r="JE92" s="504">
        <v>0</v>
      </c>
      <c r="JF92" s="504">
        <v>0</v>
      </c>
      <c r="JG92" s="504">
        <v>0</v>
      </c>
      <c r="JH92" s="504">
        <v>0</v>
      </c>
      <c r="JI92" s="504">
        <v>0</v>
      </c>
      <c r="JJ92" s="504">
        <v>0</v>
      </c>
      <c r="JK92" s="504">
        <v>0</v>
      </c>
      <c r="JL92" s="504">
        <v>0</v>
      </c>
      <c r="JM92" s="504">
        <v>0</v>
      </c>
      <c r="JN92" s="504">
        <v>0</v>
      </c>
      <c r="JO92" s="504">
        <v>0</v>
      </c>
      <c r="JP92" s="504">
        <v>0</v>
      </c>
      <c r="JQ92" s="504">
        <v>0</v>
      </c>
      <c r="JR92" s="504">
        <v>0</v>
      </c>
      <c r="JS92" s="504">
        <v>0</v>
      </c>
      <c r="JT92" s="504">
        <v>0</v>
      </c>
      <c r="JU92" s="504">
        <v>0</v>
      </c>
      <c r="JV92" s="504">
        <v>0</v>
      </c>
      <c r="JW92" s="504">
        <v>0</v>
      </c>
      <c r="JX92" s="504">
        <v>0</v>
      </c>
      <c r="JY92" s="504">
        <v>0</v>
      </c>
      <c r="JZ92" s="504">
        <v>0</v>
      </c>
      <c r="KA92" s="504">
        <v>0</v>
      </c>
      <c r="KB92" s="504">
        <v>0</v>
      </c>
      <c r="KC92" s="504">
        <v>0</v>
      </c>
      <c r="KD92" s="504">
        <v>0</v>
      </c>
      <c r="KE92" s="504">
        <v>0</v>
      </c>
      <c r="KF92" s="504">
        <v>0</v>
      </c>
      <c r="KG92" s="504">
        <v>0</v>
      </c>
      <c r="KH92" s="504">
        <v>0</v>
      </c>
      <c r="KI92" s="504">
        <v>0</v>
      </c>
      <c r="KJ92" s="504">
        <v>0</v>
      </c>
      <c r="KK92" s="504">
        <v>0</v>
      </c>
      <c r="KL92" s="504">
        <v>0</v>
      </c>
      <c r="KM92" s="504">
        <v>0</v>
      </c>
      <c r="KN92" s="504">
        <v>0</v>
      </c>
      <c r="KO92" s="504">
        <v>0</v>
      </c>
      <c r="KP92" s="504">
        <v>0</v>
      </c>
      <c r="KQ92" s="504">
        <v>0</v>
      </c>
      <c r="KR92" s="504">
        <v>0</v>
      </c>
      <c r="KS92" s="504">
        <v>0</v>
      </c>
      <c r="KT92" s="504">
        <v>0</v>
      </c>
      <c r="KU92" s="504">
        <v>0</v>
      </c>
      <c r="KV92" s="504">
        <v>0</v>
      </c>
      <c r="KW92" s="504">
        <v>0</v>
      </c>
      <c r="KX92" s="504">
        <v>0</v>
      </c>
      <c r="KY92" s="504">
        <v>0</v>
      </c>
      <c r="KZ92" s="504">
        <v>0</v>
      </c>
      <c r="LA92" s="504">
        <v>0</v>
      </c>
      <c r="LB92" s="504">
        <v>0</v>
      </c>
      <c r="LC92" s="504">
        <v>0</v>
      </c>
      <c r="LD92" s="504">
        <v>0</v>
      </c>
      <c r="LE92" s="504">
        <v>0</v>
      </c>
      <c r="LF92" s="504">
        <v>0</v>
      </c>
      <c r="LG92" s="504">
        <v>0</v>
      </c>
      <c r="LH92" s="504">
        <v>0</v>
      </c>
      <c r="LI92" s="504">
        <v>0</v>
      </c>
      <c r="LJ92" s="504">
        <v>0</v>
      </c>
      <c r="LK92" s="504">
        <v>0</v>
      </c>
      <c r="LL92" s="504">
        <v>0</v>
      </c>
      <c r="LM92" s="504">
        <v>0</v>
      </c>
      <c r="LN92" s="504">
        <v>0</v>
      </c>
      <c r="LO92" s="504">
        <v>0</v>
      </c>
      <c r="LP92" s="504">
        <v>0</v>
      </c>
      <c r="LQ92" s="504">
        <v>0</v>
      </c>
      <c r="LR92" s="504">
        <v>0</v>
      </c>
      <c r="LS92" s="504">
        <v>0</v>
      </c>
      <c r="LT92" s="504">
        <v>0</v>
      </c>
      <c r="LU92" s="504">
        <v>0</v>
      </c>
      <c r="LV92" s="504">
        <v>0</v>
      </c>
      <c r="LW92" s="504">
        <v>0</v>
      </c>
      <c r="LX92" s="504">
        <v>0</v>
      </c>
      <c r="LY92" s="504">
        <v>0</v>
      </c>
      <c r="LZ92" s="504">
        <v>0</v>
      </c>
      <c r="MA92" s="504">
        <v>0</v>
      </c>
      <c r="MB92" s="504">
        <v>0</v>
      </c>
      <c r="MC92" s="504">
        <v>0</v>
      </c>
      <c r="MD92" s="504">
        <v>0</v>
      </c>
      <c r="ME92" s="504">
        <v>0</v>
      </c>
      <c r="MF92" s="504">
        <v>0</v>
      </c>
      <c r="MG92" s="504">
        <v>0</v>
      </c>
      <c r="MH92" s="504">
        <v>0</v>
      </c>
      <c r="MI92" s="504">
        <v>0</v>
      </c>
      <c r="MJ92" s="504">
        <v>0</v>
      </c>
      <c r="MK92" s="504">
        <v>0</v>
      </c>
      <c r="ML92" s="504">
        <v>0</v>
      </c>
      <c r="MM92" s="504">
        <v>0</v>
      </c>
      <c r="MN92" s="504">
        <v>0</v>
      </c>
      <c r="MO92" s="504">
        <v>0</v>
      </c>
      <c r="MP92" s="504">
        <v>0</v>
      </c>
      <c r="MQ92" s="504">
        <v>0</v>
      </c>
      <c r="MR92" s="504">
        <v>0</v>
      </c>
      <c r="MS92" s="504">
        <v>0</v>
      </c>
      <c r="MT92" s="504">
        <v>0</v>
      </c>
      <c r="MU92" s="504">
        <v>0</v>
      </c>
      <c r="MV92" s="504">
        <v>0</v>
      </c>
      <c r="MW92" s="504">
        <v>0</v>
      </c>
      <c r="MX92" s="504">
        <v>0</v>
      </c>
      <c r="MY92" s="504">
        <v>0</v>
      </c>
      <c r="MZ92" s="504">
        <v>0</v>
      </c>
      <c r="NA92" s="504">
        <v>0</v>
      </c>
      <c r="NB92" s="504">
        <v>0</v>
      </c>
      <c r="NC92" s="504">
        <v>0</v>
      </c>
      <c r="ND92" s="504">
        <v>0</v>
      </c>
      <c r="NE92" s="504">
        <v>0</v>
      </c>
      <c r="NF92" s="504">
        <v>0</v>
      </c>
      <c r="NG92" s="504">
        <v>0</v>
      </c>
      <c r="NH92" s="504">
        <v>0</v>
      </c>
      <c r="NI92" s="504">
        <v>0</v>
      </c>
      <c r="NJ92" s="504">
        <v>0</v>
      </c>
      <c r="NK92" s="504">
        <v>0</v>
      </c>
      <c r="NL92" s="504">
        <v>0</v>
      </c>
      <c r="NM92" s="504">
        <v>0</v>
      </c>
      <c r="NN92" s="504">
        <v>0</v>
      </c>
      <c r="NO92" s="504">
        <v>0</v>
      </c>
      <c r="NP92" s="504">
        <v>0</v>
      </c>
      <c r="NQ92" s="504">
        <v>0</v>
      </c>
      <c r="NR92" s="504">
        <v>0</v>
      </c>
      <c r="NS92" s="504">
        <v>0</v>
      </c>
      <c r="NT92" s="504">
        <v>0</v>
      </c>
      <c r="NU92" s="504">
        <v>0</v>
      </c>
      <c r="NV92" s="504">
        <v>0</v>
      </c>
      <c r="NW92" s="504">
        <v>0</v>
      </c>
      <c r="NX92" s="504">
        <v>0</v>
      </c>
      <c r="NY92" s="504">
        <v>0</v>
      </c>
      <c r="NZ92" s="504">
        <v>0</v>
      </c>
      <c r="OA92" s="504">
        <v>0</v>
      </c>
      <c r="OB92" s="504">
        <v>0</v>
      </c>
      <c r="OC92" s="504">
        <v>0</v>
      </c>
      <c r="OD92" s="504">
        <v>0</v>
      </c>
      <c r="OE92" s="504">
        <v>0</v>
      </c>
      <c r="OF92" s="504">
        <v>0</v>
      </c>
      <c r="OG92" s="504">
        <v>0</v>
      </c>
      <c r="OH92" s="504">
        <v>0</v>
      </c>
      <c r="OI92" s="504">
        <v>0</v>
      </c>
      <c r="OJ92" s="504">
        <v>0</v>
      </c>
      <c r="OK92" s="504">
        <v>0</v>
      </c>
      <c r="OL92" s="504">
        <v>0</v>
      </c>
      <c r="OM92" s="504">
        <v>0</v>
      </c>
      <c r="ON92" s="494"/>
    </row>
    <row r="93" spans="1:404" ht="18.75" customHeight="1" x14ac:dyDescent="0.4">
      <c r="A93" s="511" t="s">
        <v>363</v>
      </c>
      <c r="B93" s="512">
        <v>106</v>
      </c>
      <c r="C93" s="511" t="s">
        <v>60</v>
      </c>
      <c r="D93" s="501">
        <v>19.36</v>
      </c>
      <c r="E93" s="502">
        <v>14820</v>
      </c>
      <c r="F93" s="501">
        <v>19.36</v>
      </c>
      <c r="G93" s="502">
        <v>1725</v>
      </c>
      <c r="H93" s="501">
        <v>19.36</v>
      </c>
      <c r="I93" s="502">
        <v>4977</v>
      </c>
      <c r="J93" s="501">
        <v>19.36</v>
      </c>
      <c r="K93" s="502">
        <v>5859</v>
      </c>
      <c r="V93" s="501"/>
      <c r="W93" s="503"/>
      <c r="X93" s="501"/>
      <c r="Y93" s="503"/>
      <c r="Z93" s="501"/>
      <c r="AA93" s="503"/>
      <c r="AB93" s="495"/>
      <c r="AC93" s="504">
        <v>0</v>
      </c>
      <c r="AD93" s="504">
        <v>0</v>
      </c>
      <c r="AE93" s="504">
        <v>0</v>
      </c>
      <c r="AF93" s="504">
        <v>0</v>
      </c>
      <c r="AG93" s="504">
        <v>0</v>
      </c>
      <c r="AH93" s="504">
        <v>0</v>
      </c>
      <c r="AI93" s="504">
        <v>0</v>
      </c>
      <c r="AJ93" s="504">
        <v>0</v>
      </c>
      <c r="AK93" s="504">
        <v>0</v>
      </c>
      <c r="AL93" s="504">
        <v>0</v>
      </c>
      <c r="AM93" s="504">
        <v>0</v>
      </c>
      <c r="AN93" s="504">
        <v>0</v>
      </c>
      <c r="AO93" s="504">
        <v>0</v>
      </c>
      <c r="AP93" s="504">
        <v>0</v>
      </c>
      <c r="AQ93" s="504">
        <v>0</v>
      </c>
      <c r="AR93" s="504">
        <v>0</v>
      </c>
      <c r="AS93" s="504">
        <v>0</v>
      </c>
      <c r="AT93" s="504">
        <v>0</v>
      </c>
      <c r="AU93" s="504">
        <v>0</v>
      </c>
      <c r="AV93" s="504">
        <v>0</v>
      </c>
      <c r="AW93" s="504">
        <v>0</v>
      </c>
      <c r="AX93" s="504">
        <v>0</v>
      </c>
      <c r="AY93" s="504">
        <v>0</v>
      </c>
      <c r="AZ93" s="504">
        <v>0</v>
      </c>
      <c r="BA93" s="504">
        <v>0</v>
      </c>
      <c r="BB93" s="504">
        <v>0</v>
      </c>
      <c r="BC93" s="504">
        <v>0</v>
      </c>
      <c r="BD93" s="504">
        <v>0</v>
      </c>
      <c r="BE93" s="504">
        <v>0</v>
      </c>
      <c r="BF93" s="504">
        <v>0</v>
      </c>
      <c r="BG93" s="504">
        <v>0</v>
      </c>
      <c r="BH93" s="504">
        <v>0</v>
      </c>
      <c r="BI93" s="504">
        <v>0</v>
      </c>
      <c r="BJ93" s="504">
        <v>0</v>
      </c>
      <c r="BK93" s="504">
        <v>0</v>
      </c>
      <c r="BL93" s="504">
        <v>0</v>
      </c>
      <c r="BM93" s="504">
        <v>0</v>
      </c>
      <c r="BN93" s="504">
        <v>0</v>
      </c>
      <c r="BO93" s="504">
        <v>0</v>
      </c>
      <c r="BP93" s="504">
        <v>0</v>
      </c>
      <c r="BQ93" s="504">
        <v>0</v>
      </c>
      <c r="BR93" s="504">
        <v>0</v>
      </c>
      <c r="BS93" s="504">
        <v>0</v>
      </c>
      <c r="BT93" s="504">
        <v>0</v>
      </c>
      <c r="BU93" s="504">
        <v>0</v>
      </c>
      <c r="BV93" s="504">
        <v>0</v>
      </c>
      <c r="BW93" s="504">
        <v>0</v>
      </c>
      <c r="BX93" s="504">
        <v>0</v>
      </c>
      <c r="BY93" s="504">
        <v>0</v>
      </c>
      <c r="BZ93" s="504">
        <v>0</v>
      </c>
      <c r="CA93" s="504">
        <v>0</v>
      </c>
      <c r="CB93" s="504">
        <v>0</v>
      </c>
      <c r="CC93" s="504">
        <v>0</v>
      </c>
      <c r="CD93" s="504">
        <v>0</v>
      </c>
      <c r="CE93" s="504">
        <v>0</v>
      </c>
      <c r="CF93" s="504">
        <v>0</v>
      </c>
      <c r="CG93" s="504">
        <v>0</v>
      </c>
      <c r="CH93" s="504">
        <v>0</v>
      </c>
      <c r="CI93" s="504">
        <v>0</v>
      </c>
      <c r="CJ93" s="504">
        <v>0</v>
      </c>
      <c r="CK93" s="504">
        <v>0</v>
      </c>
      <c r="CL93" s="504">
        <v>0</v>
      </c>
      <c r="CM93" s="504">
        <v>0</v>
      </c>
      <c r="CN93" s="504">
        <v>0</v>
      </c>
      <c r="CO93" s="504">
        <v>0</v>
      </c>
      <c r="CP93" s="504">
        <v>0</v>
      </c>
      <c r="CQ93" s="504">
        <v>0</v>
      </c>
      <c r="CR93" s="504">
        <v>0</v>
      </c>
      <c r="CS93" s="504">
        <v>0</v>
      </c>
      <c r="CT93" s="504">
        <v>0</v>
      </c>
      <c r="CU93" s="504">
        <v>0</v>
      </c>
      <c r="CV93" s="504">
        <v>0</v>
      </c>
      <c r="CW93" s="504">
        <v>0</v>
      </c>
      <c r="CX93" s="504">
        <v>0</v>
      </c>
      <c r="CY93" s="504">
        <v>0</v>
      </c>
      <c r="CZ93" s="504">
        <v>0</v>
      </c>
      <c r="DA93" s="504">
        <v>0</v>
      </c>
      <c r="DB93" s="504">
        <v>0</v>
      </c>
      <c r="DC93" s="504">
        <v>0</v>
      </c>
      <c r="DD93" s="504">
        <v>0</v>
      </c>
      <c r="DE93" s="504">
        <v>0</v>
      </c>
      <c r="DF93" s="504">
        <v>0</v>
      </c>
      <c r="DG93" s="504">
        <v>0</v>
      </c>
      <c r="DH93" s="504">
        <v>0</v>
      </c>
      <c r="DI93" s="504">
        <v>0</v>
      </c>
      <c r="DJ93" s="504">
        <v>0</v>
      </c>
      <c r="DK93" s="504">
        <v>0</v>
      </c>
      <c r="DL93" s="504">
        <v>0</v>
      </c>
      <c r="DM93" s="504">
        <v>0</v>
      </c>
      <c r="DN93" s="504">
        <v>0</v>
      </c>
      <c r="DO93" s="504">
        <v>0</v>
      </c>
      <c r="DP93" s="504">
        <v>0</v>
      </c>
      <c r="DQ93" s="504">
        <v>0</v>
      </c>
      <c r="DR93" s="504">
        <v>0</v>
      </c>
      <c r="DS93" s="504">
        <v>0</v>
      </c>
      <c r="DT93" s="504">
        <v>0</v>
      </c>
      <c r="DU93" s="504">
        <v>0</v>
      </c>
      <c r="DV93" s="504">
        <v>0</v>
      </c>
      <c r="DW93" s="504">
        <v>0</v>
      </c>
      <c r="DX93" s="504">
        <v>0</v>
      </c>
      <c r="DY93" s="504">
        <v>0</v>
      </c>
      <c r="DZ93" s="504">
        <v>0</v>
      </c>
      <c r="EA93" s="504">
        <v>0</v>
      </c>
      <c r="EB93" s="504">
        <v>0</v>
      </c>
      <c r="EC93" s="504">
        <v>0</v>
      </c>
      <c r="ED93" s="504">
        <v>0</v>
      </c>
      <c r="EE93" s="504">
        <v>0</v>
      </c>
      <c r="EF93" s="504">
        <v>0</v>
      </c>
      <c r="EG93" s="504">
        <v>0</v>
      </c>
      <c r="EH93" s="504">
        <v>0</v>
      </c>
      <c r="EI93" s="504">
        <v>0</v>
      </c>
      <c r="EJ93" s="504">
        <v>0</v>
      </c>
      <c r="EK93" s="504">
        <v>0</v>
      </c>
      <c r="EL93" s="504">
        <v>0</v>
      </c>
      <c r="EM93" s="504">
        <v>0</v>
      </c>
      <c r="EN93" s="504">
        <v>0</v>
      </c>
      <c r="EO93" s="504">
        <v>0</v>
      </c>
      <c r="EP93" s="504">
        <v>0</v>
      </c>
      <c r="EQ93" s="504">
        <v>0</v>
      </c>
      <c r="ER93" s="504">
        <v>0</v>
      </c>
      <c r="ES93" s="504">
        <v>0</v>
      </c>
      <c r="ET93" s="504">
        <v>0</v>
      </c>
      <c r="EU93" s="504">
        <v>0</v>
      </c>
      <c r="EV93" s="504">
        <v>0</v>
      </c>
      <c r="EW93" s="504">
        <v>0</v>
      </c>
      <c r="EX93" s="504">
        <v>0</v>
      </c>
      <c r="EY93" s="504">
        <v>0</v>
      </c>
      <c r="EZ93" s="504">
        <v>0</v>
      </c>
      <c r="FA93" s="504">
        <v>0</v>
      </c>
      <c r="FB93" s="504">
        <v>0</v>
      </c>
      <c r="FC93" s="504">
        <v>0</v>
      </c>
      <c r="FD93" s="504">
        <v>0</v>
      </c>
      <c r="FE93" s="504">
        <v>0</v>
      </c>
      <c r="FF93" s="504">
        <v>0</v>
      </c>
      <c r="FG93" s="504">
        <v>0</v>
      </c>
      <c r="FH93" s="504">
        <v>0</v>
      </c>
      <c r="FI93" s="504">
        <v>0</v>
      </c>
      <c r="FJ93" s="504">
        <v>0</v>
      </c>
      <c r="FK93" s="504">
        <v>0</v>
      </c>
      <c r="FL93" s="504">
        <v>0</v>
      </c>
      <c r="FM93" s="504">
        <v>0</v>
      </c>
      <c r="FN93" s="504">
        <v>0</v>
      </c>
      <c r="FO93" s="504">
        <v>0</v>
      </c>
      <c r="FP93" s="504">
        <v>0</v>
      </c>
      <c r="FQ93" s="504">
        <v>0</v>
      </c>
      <c r="FR93" s="504">
        <v>0</v>
      </c>
      <c r="FS93" s="504">
        <v>0</v>
      </c>
      <c r="FT93" s="504">
        <v>0</v>
      </c>
      <c r="FU93" s="504">
        <v>0</v>
      </c>
      <c r="FV93" s="504">
        <v>0</v>
      </c>
      <c r="FW93" s="504">
        <v>0</v>
      </c>
      <c r="FX93" s="504">
        <v>0</v>
      </c>
      <c r="FY93" s="504">
        <v>0</v>
      </c>
      <c r="FZ93" s="504">
        <v>0</v>
      </c>
      <c r="GA93" s="504">
        <v>0</v>
      </c>
      <c r="GB93" s="504">
        <v>0</v>
      </c>
      <c r="GC93" s="504">
        <v>0</v>
      </c>
      <c r="GD93" s="504">
        <v>0</v>
      </c>
      <c r="GE93" s="504">
        <v>0</v>
      </c>
      <c r="GF93" s="504">
        <v>0</v>
      </c>
      <c r="GG93" s="504">
        <v>0</v>
      </c>
      <c r="GH93" s="504">
        <v>0</v>
      </c>
      <c r="GI93" s="504">
        <v>0</v>
      </c>
      <c r="GJ93" s="504">
        <v>0</v>
      </c>
      <c r="GK93" s="504">
        <v>0</v>
      </c>
      <c r="GL93" s="504">
        <v>0</v>
      </c>
      <c r="GM93" s="504">
        <v>0</v>
      </c>
      <c r="GN93" s="504">
        <v>0</v>
      </c>
      <c r="GO93" s="504">
        <v>0</v>
      </c>
      <c r="GP93" s="504">
        <v>0</v>
      </c>
      <c r="GQ93" s="504">
        <v>0</v>
      </c>
      <c r="GR93" s="504">
        <v>0</v>
      </c>
      <c r="GS93" s="504">
        <v>0</v>
      </c>
      <c r="GT93" s="504">
        <v>0</v>
      </c>
      <c r="GU93" s="504">
        <v>0</v>
      </c>
      <c r="GV93" s="504">
        <v>0</v>
      </c>
      <c r="GW93" s="504">
        <v>0</v>
      </c>
      <c r="GX93" s="504">
        <v>0</v>
      </c>
      <c r="GY93" s="504">
        <v>0</v>
      </c>
      <c r="GZ93" s="504">
        <v>0</v>
      </c>
      <c r="HA93" s="504">
        <v>0</v>
      </c>
      <c r="HB93" s="504">
        <v>0</v>
      </c>
      <c r="HC93" s="504">
        <v>0</v>
      </c>
      <c r="HD93" s="504">
        <v>0</v>
      </c>
      <c r="HE93" s="504">
        <v>0</v>
      </c>
      <c r="HF93" s="504">
        <v>0</v>
      </c>
      <c r="HG93" s="504">
        <v>0</v>
      </c>
      <c r="HH93" s="504">
        <v>0</v>
      </c>
      <c r="HI93" s="504">
        <v>0</v>
      </c>
      <c r="HJ93" s="504">
        <v>0</v>
      </c>
      <c r="HK93" s="504">
        <v>0</v>
      </c>
      <c r="HL93" s="504">
        <v>0</v>
      </c>
      <c r="HM93" s="504">
        <v>0</v>
      </c>
      <c r="HN93" s="504">
        <v>0</v>
      </c>
      <c r="HO93" s="504">
        <v>0</v>
      </c>
      <c r="HP93" s="504">
        <v>0</v>
      </c>
      <c r="HQ93" s="504">
        <v>0</v>
      </c>
      <c r="HR93" s="504">
        <v>0</v>
      </c>
      <c r="HS93" s="504">
        <v>0</v>
      </c>
      <c r="HT93" s="504">
        <v>0</v>
      </c>
      <c r="HU93" s="504">
        <v>0</v>
      </c>
      <c r="HV93" s="504">
        <v>0</v>
      </c>
      <c r="HW93" s="504">
        <v>0</v>
      </c>
      <c r="HX93" s="504">
        <v>0</v>
      </c>
      <c r="HY93" s="504">
        <v>0</v>
      </c>
      <c r="HZ93" s="504">
        <v>0</v>
      </c>
      <c r="IA93" s="504">
        <v>0</v>
      </c>
      <c r="IB93" s="504">
        <v>0</v>
      </c>
      <c r="IC93" s="504">
        <v>0</v>
      </c>
      <c r="ID93" s="504">
        <v>0</v>
      </c>
      <c r="IE93" s="504">
        <v>0</v>
      </c>
      <c r="IF93" s="504">
        <v>0</v>
      </c>
      <c r="IG93" s="504">
        <v>0</v>
      </c>
      <c r="IH93" s="504">
        <v>0</v>
      </c>
      <c r="II93" s="504">
        <v>0</v>
      </c>
      <c r="IJ93" s="504">
        <v>0</v>
      </c>
      <c r="IK93" s="504">
        <v>0</v>
      </c>
      <c r="IL93" s="504">
        <v>0</v>
      </c>
      <c r="IM93" s="504">
        <v>0</v>
      </c>
      <c r="IN93" s="504">
        <v>0</v>
      </c>
      <c r="IO93" s="504">
        <v>0</v>
      </c>
      <c r="IP93" s="504">
        <v>0</v>
      </c>
      <c r="IQ93" s="504">
        <v>0</v>
      </c>
      <c r="IR93" s="504">
        <v>0</v>
      </c>
      <c r="IS93" s="504">
        <v>0</v>
      </c>
      <c r="IT93" s="504">
        <v>0</v>
      </c>
      <c r="IU93" s="504">
        <v>0</v>
      </c>
      <c r="IV93" s="504">
        <v>0</v>
      </c>
      <c r="IW93" s="504">
        <v>0</v>
      </c>
      <c r="IX93" s="504">
        <v>0</v>
      </c>
      <c r="IY93" s="504">
        <v>0</v>
      </c>
      <c r="IZ93" s="504">
        <v>0</v>
      </c>
      <c r="JA93" s="504">
        <v>0</v>
      </c>
      <c r="JB93" s="504">
        <v>0</v>
      </c>
      <c r="JC93" s="504">
        <v>0</v>
      </c>
      <c r="JD93" s="504">
        <v>0</v>
      </c>
      <c r="JE93" s="504">
        <v>0</v>
      </c>
      <c r="JF93" s="504">
        <v>0</v>
      </c>
      <c r="JG93" s="504">
        <v>0</v>
      </c>
      <c r="JH93" s="504">
        <v>0</v>
      </c>
      <c r="JI93" s="504">
        <v>0</v>
      </c>
      <c r="JJ93" s="504">
        <v>0</v>
      </c>
      <c r="JK93" s="504">
        <v>0</v>
      </c>
      <c r="JL93" s="504">
        <v>0</v>
      </c>
      <c r="JM93" s="504">
        <v>0</v>
      </c>
      <c r="JN93" s="504">
        <v>0</v>
      </c>
      <c r="JO93" s="504">
        <v>0</v>
      </c>
      <c r="JP93" s="504">
        <v>0</v>
      </c>
      <c r="JQ93" s="504">
        <v>0</v>
      </c>
      <c r="JR93" s="504">
        <v>0</v>
      </c>
      <c r="JS93" s="504">
        <v>0</v>
      </c>
      <c r="JT93" s="504">
        <v>0</v>
      </c>
      <c r="JU93" s="504">
        <v>0</v>
      </c>
      <c r="JV93" s="504">
        <v>0</v>
      </c>
      <c r="JW93" s="504">
        <v>0</v>
      </c>
      <c r="JX93" s="504">
        <v>0</v>
      </c>
      <c r="JY93" s="504">
        <v>0</v>
      </c>
      <c r="JZ93" s="504">
        <v>0</v>
      </c>
      <c r="KA93" s="504">
        <v>0</v>
      </c>
      <c r="KB93" s="504">
        <v>0</v>
      </c>
      <c r="KC93" s="504">
        <v>0</v>
      </c>
      <c r="KD93" s="504">
        <v>0</v>
      </c>
      <c r="KE93" s="504">
        <v>0</v>
      </c>
      <c r="KF93" s="504">
        <v>0</v>
      </c>
      <c r="KG93" s="504">
        <v>0</v>
      </c>
      <c r="KH93" s="504">
        <v>0</v>
      </c>
      <c r="KI93" s="504">
        <v>0</v>
      </c>
      <c r="KJ93" s="504">
        <v>0</v>
      </c>
      <c r="KK93" s="504">
        <v>0</v>
      </c>
      <c r="KL93" s="504">
        <v>0</v>
      </c>
      <c r="KM93" s="504">
        <v>0</v>
      </c>
      <c r="KN93" s="504">
        <v>0</v>
      </c>
      <c r="KO93" s="504">
        <v>0</v>
      </c>
      <c r="KP93" s="504">
        <v>0</v>
      </c>
      <c r="KQ93" s="504">
        <v>0</v>
      </c>
      <c r="KR93" s="504">
        <v>0</v>
      </c>
      <c r="KS93" s="504">
        <v>0</v>
      </c>
      <c r="KT93" s="504">
        <v>0</v>
      </c>
      <c r="KU93" s="504">
        <v>0</v>
      </c>
      <c r="KV93" s="504">
        <v>0</v>
      </c>
      <c r="KW93" s="504">
        <v>0</v>
      </c>
      <c r="KX93" s="504">
        <v>0</v>
      </c>
      <c r="KY93" s="504">
        <v>0</v>
      </c>
      <c r="KZ93" s="504">
        <v>0</v>
      </c>
      <c r="LA93" s="504">
        <v>0</v>
      </c>
      <c r="LB93" s="504">
        <v>0</v>
      </c>
      <c r="LC93" s="504">
        <v>0</v>
      </c>
      <c r="LD93" s="504">
        <v>0</v>
      </c>
      <c r="LE93" s="504">
        <v>0</v>
      </c>
      <c r="LF93" s="504">
        <v>0</v>
      </c>
      <c r="LG93" s="504">
        <v>0</v>
      </c>
      <c r="LH93" s="504">
        <v>0</v>
      </c>
      <c r="LI93" s="504">
        <v>0</v>
      </c>
      <c r="LJ93" s="504">
        <v>0</v>
      </c>
      <c r="LK93" s="504">
        <v>0</v>
      </c>
      <c r="LL93" s="504">
        <v>0</v>
      </c>
      <c r="LM93" s="504">
        <v>0</v>
      </c>
      <c r="LN93" s="504">
        <v>0</v>
      </c>
      <c r="LO93" s="504">
        <v>0</v>
      </c>
      <c r="LP93" s="504">
        <v>0</v>
      </c>
      <c r="LQ93" s="504">
        <v>0</v>
      </c>
      <c r="LR93" s="504">
        <v>0</v>
      </c>
      <c r="LS93" s="504">
        <v>0</v>
      </c>
      <c r="LT93" s="504">
        <v>0</v>
      </c>
      <c r="LU93" s="504">
        <v>0</v>
      </c>
      <c r="LV93" s="504">
        <v>0</v>
      </c>
      <c r="LW93" s="504">
        <v>0</v>
      </c>
      <c r="LX93" s="504">
        <v>0</v>
      </c>
      <c r="LY93" s="504">
        <v>0</v>
      </c>
      <c r="LZ93" s="504">
        <v>0</v>
      </c>
      <c r="MA93" s="504">
        <v>0</v>
      </c>
      <c r="MB93" s="504">
        <v>0</v>
      </c>
      <c r="MC93" s="504">
        <v>0</v>
      </c>
      <c r="MD93" s="504">
        <v>0</v>
      </c>
      <c r="ME93" s="504">
        <v>0</v>
      </c>
      <c r="MF93" s="504">
        <v>0</v>
      </c>
      <c r="MG93" s="504">
        <v>0</v>
      </c>
      <c r="MH93" s="504">
        <v>0</v>
      </c>
      <c r="MI93" s="504">
        <v>0</v>
      </c>
      <c r="MJ93" s="504">
        <v>0</v>
      </c>
      <c r="MK93" s="504">
        <v>0</v>
      </c>
      <c r="ML93" s="504">
        <v>0</v>
      </c>
      <c r="MM93" s="504">
        <v>0</v>
      </c>
      <c r="MN93" s="504">
        <v>0</v>
      </c>
      <c r="MO93" s="504">
        <v>0</v>
      </c>
      <c r="MP93" s="504">
        <v>0</v>
      </c>
      <c r="MQ93" s="504">
        <v>0</v>
      </c>
      <c r="MR93" s="504">
        <v>0</v>
      </c>
      <c r="MS93" s="504">
        <v>0</v>
      </c>
      <c r="MT93" s="504">
        <v>0</v>
      </c>
      <c r="MU93" s="504">
        <v>0</v>
      </c>
      <c r="MV93" s="504">
        <v>0</v>
      </c>
      <c r="MW93" s="504">
        <v>0</v>
      </c>
      <c r="MX93" s="504">
        <v>0</v>
      </c>
      <c r="MY93" s="504">
        <v>0</v>
      </c>
      <c r="MZ93" s="504">
        <v>0</v>
      </c>
      <c r="NA93" s="504">
        <v>0</v>
      </c>
      <c r="NB93" s="504">
        <v>0</v>
      </c>
      <c r="NC93" s="504">
        <v>0</v>
      </c>
      <c r="ND93" s="504">
        <v>0</v>
      </c>
      <c r="NE93" s="504">
        <v>0</v>
      </c>
      <c r="NF93" s="504">
        <v>0</v>
      </c>
      <c r="NG93" s="504">
        <v>0</v>
      </c>
      <c r="NH93" s="504">
        <v>0</v>
      </c>
      <c r="NI93" s="504">
        <v>0</v>
      </c>
      <c r="NJ93" s="504">
        <v>0</v>
      </c>
      <c r="NK93" s="504">
        <v>0</v>
      </c>
      <c r="NL93" s="504">
        <v>0</v>
      </c>
      <c r="NM93" s="504">
        <v>0</v>
      </c>
      <c r="NN93" s="504">
        <v>0</v>
      </c>
      <c r="NO93" s="504">
        <v>0</v>
      </c>
      <c r="NP93" s="504">
        <v>0</v>
      </c>
      <c r="NQ93" s="504">
        <v>0</v>
      </c>
      <c r="NR93" s="504">
        <v>0</v>
      </c>
      <c r="NS93" s="504">
        <v>0</v>
      </c>
      <c r="NT93" s="504">
        <v>0</v>
      </c>
      <c r="NU93" s="504">
        <v>0</v>
      </c>
      <c r="NV93" s="504">
        <v>0</v>
      </c>
      <c r="NW93" s="504">
        <v>0</v>
      </c>
      <c r="NX93" s="504">
        <v>0</v>
      </c>
      <c r="NY93" s="504">
        <v>0</v>
      </c>
      <c r="NZ93" s="504">
        <v>0</v>
      </c>
      <c r="OA93" s="504">
        <v>0</v>
      </c>
      <c r="OB93" s="504">
        <v>0</v>
      </c>
      <c r="OC93" s="504">
        <v>0</v>
      </c>
      <c r="OD93" s="504">
        <v>0</v>
      </c>
      <c r="OE93" s="504">
        <v>0</v>
      </c>
      <c r="OF93" s="504">
        <v>0</v>
      </c>
      <c r="OG93" s="504">
        <v>0</v>
      </c>
      <c r="OH93" s="504">
        <v>0</v>
      </c>
      <c r="OI93" s="504">
        <v>0</v>
      </c>
      <c r="OJ93" s="504">
        <v>0</v>
      </c>
      <c r="OK93" s="504">
        <v>0</v>
      </c>
      <c r="OL93" s="504">
        <v>0</v>
      </c>
      <c r="OM93" s="504">
        <v>0</v>
      </c>
      <c r="ON93" s="494"/>
    </row>
    <row r="94" spans="1:404" ht="18.75" customHeight="1" x14ac:dyDescent="0.4">
      <c r="A94" s="511" t="s">
        <v>364</v>
      </c>
      <c r="B94" s="512">
        <v>113</v>
      </c>
      <c r="C94" s="511" t="s">
        <v>60</v>
      </c>
      <c r="D94" s="501">
        <v>19.61</v>
      </c>
      <c r="E94" s="502">
        <v>46095</v>
      </c>
      <c r="F94" s="501">
        <v>19.600000000000001</v>
      </c>
      <c r="G94" s="502">
        <v>6187</v>
      </c>
      <c r="H94" s="501">
        <v>19.600000000000001</v>
      </c>
      <c r="I94" s="502">
        <v>17862</v>
      </c>
      <c r="J94" s="501">
        <v>19.600000000000001</v>
      </c>
      <c r="K94" s="502">
        <v>20521</v>
      </c>
      <c r="V94" s="501"/>
      <c r="W94" s="503"/>
      <c r="X94" s="501"/>
      <c r="Y94" s="503"/>
      <c r="Z94" s="501"/>
      <c r="AA94" s="503"/>
      <c r="AB94" s="495"/>
      <c r="AC94" s="504">
        <v>0</v>
      </c>
      <c r="AD94" s="504">
        <v>0</v>
      </c>
      <c r="AE94" s="504">
        <v>0</v>
      </c>
      <c r="AF94" s="504">
        <v>0</v>
      </c>
      <c r="AG94" s="504">
        <v>0</v>
      </c>
      <c r="AH94" s="504">
        <v>0</v>
      </c>
      <c r="AI94" s="504">
        <v>0</v>
      </c>
      <c r="AJ94" s="504">
        <v>0</v>
      </c>
      <c r="AK94" s="504">
        <v>0</v>
      </c>
      <c r="AL94" s="504">
        <v>0</v>
      </c>
      <c r="AM94" s="504">
        <v>0</v>
      </c>
      <c r="AN94" s="504">
        <v>0</v>
      </c>
      <c r="AO94" s="504">
        <v>0</v>
      </c>
      <c r="AP94" s="504">
        <v>0</v>
      </c>
      <c r="AQ94" s="504">
        <v>0</v>
      </c>
      <c r="AR94" s="504">
        <v>0</v>
      </c>
      <c r="AS94" s="504">
        <v>0</v>
      </c>
      <c r="AT94" s="504">
        <v>0</v>
      </c>
      <c r="AU94" s="504">
        <v>0</v>
      </c>
      <c r="AV94" s="504">
        <v>0</v>
      </c>
      <c r="AW94" s="504">
        <v>0</v>
      </c>
      <c r="AX94" s="504">
        <v>0</v>
      </c>
      <c r="AY94" s="504">
        <v>0</v>
      </c>
      <c r="AZ94" s="504">
        <v>0</v>
      </c>
      <c r="BA94" s="504">
        <v>0</v>
      </c>
      <c r="BB94" s="504">
        <v>0</v>
      </c>
      <c r="BC94" s="504">
        <v>0</v>
      </c>
      <c r="BD94" s="504">
        <v>0</v>
      </c>
      <c r="BE94" s="504">
        <v>0</v>
      </c>
      <c r="BF94" s="504">
        <v>0</v>
      </c>
      <c r="BG94" s="504">
        <v>0</v>
      </c>
      <c r="BH94" s="504">
        <v>0</v>
      </c>
      <c r="BI94" s="504">
        <v>0</v>
      </c>
      <c r="BJ94" s="504">
        <v>0</v>
      </c>
      <c r="BK94" s="504">
        <v>0</v>
      </c>
      <c r="BL94" s="504">
        <v>0</v>
      </c>
      <c r="BM94" s="504">
        <v>0</v>
      </c>
      <c r="BN94" s="504">
        <v>0</v>
      </c>
      <c r="BO94" s="504">
        <v>0</v>
      </c>
      <c r="BP94" s="504">
        <v>0</v>
      </c>
      <c r="BQ94" s="504">
        <v>0</v>
      </c>
      <c r="BR94" s="504">
        <v>0</v>
      </c>
      <c r="BS94" s="504">
        <v>0</v>
      </c>
      <c r="BT94" s="504">
        <v>0</v>
      </c>
      <c r="BU94" s="504">
        <v>0</v>
      </c>
      <c r="BV94" s="504">
        <v>0</v>
      </c>
      <c r="BW94" s="504">
        <v>0</v>
      </c>
      <c r="BX94" s="504">
        <v>0</v>
      </c>
      <c r="BY94" s="504">
        <v>0</v>
      </c>
      <c r="BZ94" s="504">
        <v>0</v>
      </c>
      <c r="CA94" s="504">
        <v>0</v>
      </c>
      <c r="CB94" s="504">
        <v>0</v>
      </c>
      <c r="CC94" s="504">
        <v>0</v>
      </c>
      <c r="CD94" s="504">
        <v>0</v>
      </c>
      <c r="CE94" s="504">
        <v>0</v>
      </c>
      <c r="CF94" s="504">
        <v>0</v>
      </c>
      <c r="CG94" s="504">
        <v>0</v>
      </c>
      <c r="CH94" s="504">
        <v>0</v>
      </c>
      <c r="CI94" s="504">
        <v>0</v>
      </c>
      <c r="CJ94" s="504">
        <v>0</v>
      </c>
      <c r="CK94" s="504">
        <v>0</v>
      </c>
      <c r="CL94" s="504">
        <v>0</v>
      </c>
      <c r="CM94" s="504">
        <v>0</v>
      </c>
      <c r="CN94" s="504">
        <v>0</v>
      </c>
      <c r="CO94" s="504">
        <v>0</v>
      </c>
      <c r="CP94" s="504">
        <v>0</v>
      </c>
      <c r="CQ94" s="504">
        <v>0</v>
      </c>
      <c r="CR94" s="504">
        <v>0</v>
      </c>
      <c r="CS94" s="504">
        <v>0</v>
      </c>
      <c r="CT94" s="504">
        <v>0</v>
      </c>
      <c r="CU94" s="504">
        <v>0</v>
      </c>
      <c r="CV94" s="504">
        <v>0</v>
      </c>
      <c r="CW94" s="504">
        <v>0</v>
      </c>
      <c r="CX94" s="504">
        <v>0</v>
      </c>
      <c r="CY94" s="504">
        <v>0</v>
      </c>
      <c r="CZ94" s="504">
        <v>0</v>
      </c>
      <c r="DA94" s="504">
        <v>0</v>
      </c>
      <c r="DB94" s="504">
        <v>0</v>
      </c>
      <c r="DC94" s="504">
        <v>0</v>
      </c>
      <c r="DD94" s="504">
        <v>0</v>
      </c>
      <c r="DE94" s="504">
        <v>0</v>
      </c>
      <c r="DF94" s="504">
        <v>0</v>
      </c>
      <c r="DG94" s="504">
        <v>0</v>
      </c>
      <c r="DH94" s="504">
        <v>0</v>
      </c>
      <c r="DI94" s="504">
        <v>0</v>
      </c>
      <c r="DJ94" s="504">
        <v>0</v>
      </c>
      <c r="DK94" s="504">
        <v>0</v>
      </c>
      <c r="DL94" s="504">
        <v>0</v>
      </c>
      <c r="DM94" s="504">
        <v>0</v>
      </c>
      <c r="DN94" s="504">
        <v>0</v>
      </c>
      <c r="DO94" s="504">
        <v>0</v>
      </c>
      <c r="DP94" s="504">
        <v>0</v>
      </c>
      <c r="DQ94" s="504">
        <v>0</v>
      </c>
      <c r="DR94" s="504">
        <v>0</v>
      </c>
      <c r="DS94" s="504">
        <v>0</v>
      </c>
      <c r="DT94" s="504">
        <v>0</v>
      </c>
      <c r="DU94" s="504">
        <v>0</v>
      </c>
      <c r="DV94" s="504">
        <v>0</v>
      </c>
      <c r="DW94" s="504">
        <v>0</v>
      </c>
      <c r="DX94" s="504">
        <v>0</v>
      </c>
      <c r="DY94" s="504">
        <v>0</v>
      </c>
      <c r="DZ94" s="504">
        <v>0</v>
      </c>
      <c r="EA94" s="504">
        <v>0</v>
      </c>
      <c r="EB94" s="504">
        <v>0</v>
      </c>
      <c r="EC94" s="504">
        <v>0</v>
      </c>
      <c r="ED94" s="504">
        <v>0</v>
      </c>
      <c r="EE94" s="504">
        <v>0</v>
      </c>
      <c r="EF94" s="504">
        <v>0</v>
      </c>
      <c r="EG94" s="504">
        <v>0</v>
      </c>
      <c r="EH94" s="504">
        <v>0</v>
      </c>
      <c r="EI94" s="504">
        <v>0</v>
      </c>
      <c r="EJ94" s="504">
        <v>0</v>
      </c>
      <c r="EK94" s="504">
        <v>0</v>
      </c>
      <c r="EL94" s="504">
        <v>0</v>
      </c>
      <c r="EM94" s="504">
        <v>0</v>
      </c>
      <c r="EN94" s="504">
        <v>0</v>
      </c>
      <c r="EO94" s="504">
        <v>0</v>
      </c>
      <c r="EP94" s="504">
        <v>0</v>
      </c>
      <c r="EQ94" s="504">
        <v>0</v>
      </c>
      <c r="ER94" s="504">
        <v>0</v>
      </c>
      <c r="ES94" s="504">
        <v>0</v>
      </c>
      <c r="ET94" s="504">
        <v>0</v>
      </c>
      <c r="EU94" s="504">
        <v>0</v>
      </c>
      <c r="EV94" s="504">
        <v>0</v>
      </c>
      <c r="EW94" s="504">
        <v>0</v>
      </c>
      <c r="EX94" s="504">
        <v>0</v>
      </c>
      <c r="EY94" s="504">
        <v>0</v>
      </c>
      <c r="EZ94" s="504">
        <v>0</v>
      </c>
      <c r="FA94" s="504">
        <v>0</v>
      </c>
      <c r="FB94" s="504">
        <v>0</v>
      </c>
      <c r="FC94" s="504">
        <v>0</v>
      </c>
      <c r="FD94" s="504">
        <v>0</v>
      </c>
      <c r="FE94" s="504">
        <v>0</v>
      </c>
      <c r="FF94" s="504">
        <v>0</v>
      </c>
      <c r="FG94" s="504">
        <v>0</v>
      </c>
      <c r="FH94" s="504">
        <v>0</v>
      </c>
      <c r="FI94" s="504">
        <v>0</v>
      </c>
      <c r="FJ94" s="504">
        <v>0</v>
      </c>
      <c r="FK94" s="504">
        <v>0</v>
      </c>
      <c r="FL94" s="504">
        <v>0</v>
      </c>
      <c r="FM94" s="504">
        <v>0</v>
      </c>
      <c r="FN94" s="504">
        <v>0</v>
      </c>
      <c r="FO94" s="504">
        <v>0</v>
      </c>
      <c r="FP94" s="504">
        <v>0</v>
      </c>
      <c r="FQ94" s="504">
        <v>0</v>
      </c>
      <c r="FR94" s="504">
        <v>0</v>
      </c>
      <c r="FS94" s="504">
        <v>0</v>
      </c>
      <c r="FT94" s="504">
        <v>0</v>
      </c>
      <c r="FU94" s="504">
        <v>0</v>
      </c>
      <c r="FV94" s="504">
        <v>0</v>
      </c>
      <c r="FW94" s="504">
        <v>0</v>
      </c>
      <c r="FX94" s="504">
        <v>0</v>
      </c>
      <c r="FY94" s="504">
        <v>0</v>
      </c>
      <c r="FZ94" s="504">
        <v>0</v>
      </c>
      <c r="GA94" s="504">
        <v>0</v>
      </c>
      <c r="GB94" s="504">
        <v>0</v>
      </c>
      <c r="GC94" s="504">
        <v>0</v>
      </c>
      <c r="GD94" s="504">
        <v>0</v>
      </c>
      <c r="GE94" s="504">
        <v>0</v>
      </c>
      <c r="GF94" s="504">
        <v>0</v>
      </c>
      <c r="GG94" s="504">
        <v>0</v>
      </c>
      <c r="GH94" s="504">
        <v>0</v>
      </c>
      <c r="GI94" s="504">
        <v>0</v>
      </c>
      <c r="GJ94" s="504">
        <v>0</v>
      </c>
      <c r="GK94" s="504">
        <v>0</v>
      </c>
      <c r="GL94" s="504">
        <v>0</v>
      </c>
      <c r="GM94" s="504">
        <v>0</v>
      </c>
      <c r="GN94" s="504">
        <v>0</v>
      </c>
      <c r="GO94" s="504">
        <v>0</v>
      </c>
      <c r="GP94" s="504">
        <v>0</v>
      </c>
      <c r="GQ94" s="504">
        <v>0</v>
      </c>
      <c r="GR94" s="504">
        <v>0</v>
      </c>
      <c r="GS94" s="504">
        <v>0</v>
      </c>
      <c r="GT94" s="504">
        <v>0</v>
      </c>
      <c r="GU94" s="504">
        <v>0</v>
      </c>
      <c r="GV94" s="504">
        <v>0</v>
      </c>
      <c r="GW94" s="504">
        <v>0</v>
      </c>
      <c r="GX94" s="504">
        <v>0</v>
      </c>
      <c r="GY94" s="504">
        <v>0</v>
      </c>
      <c r="GZ94" s="504">
        <v>0</v>
      </c>
      <c r="HA94" s="504">
        <v>0</v>
      </c>
      <c r="HB94" s="504">
        <v>0</v>
      </c>
      <c r="HC94" s="504">
        <v>0</v>
      </c>
      <c r="HD94" s="504">
        <v>0</v>
      </c>
      <c r="HE94" s="504">
        <v>0</v>
      </c>
      <c r="HF94" s="504">
        <v>0</v>
      </c>
      <c r="HG94" s="504">
        <v>0</v>
      </c>
      <c r="HH94" s="504">
        <v>0</v>
      </c>
      <c r="HI94" s="504">
        <v>0</v>
      </c>
      <c r="HJ94" s="504">
        <v>0</v>
      </c>
      <c r="HK94" s="504">
        <v>0</v>
      </c>
      <c r="HL94" s="504">
        <v>0</v>
      </c>
      <c r="HM94" s="504">
        <v>0</v>
      </c>
      <c r="HN94" s="504">
        <v>0</v>
      </c>
      <c r="HO94" s="504">
        <v>0</v>
      </c>
      <c r="HP94" s="504">
        <v>0</v>
      </c>
      <c r="HQ94" s="504">
        <v>0</v>
      </c>
      <c r="HR94" s="504">
        <v>0</v>
      </c>
      <c r="HS94" s="504">
        <v>0</v>
      </c>
      <c r="HT94" s="504">
        <v>0</v>
      </c>
      <c r="HU94" s="504">
        <v>0</v>
      </c>
      <c r="HV94" s="504">
        <v>0</v>
      </c>
      <c r="HW94" s="504">
        <v>0</v>
      </c>
      <c r="HX94" s="504">
        <v>0</v>
      </c>
      <c r="HY94" s="504">
        <v>0</v>
      </c>
      <c r="HZ94" s="504">
        <v>0</v>
      </c>
      <c r="IA94" s="504">
        <v>0</v>
      </c>
      <c r="IB94" s="504">
        <v>0</v>
      </c>
      <c r="IC94" s="504">
        <v>0</v>
      </c>
      <c r="ID94" s="504">
        <v>0</v>
      </c>
      <c r="IE94" s="504">
        <v>0</v>
      </c>
      <c r="IF94" s="504">
        <v>0</v>
      </c>
      <c r="IG94" s="504">
        <v>0</v>
      </c>
      <c r="IH94" s="504">
        <v>0</v>
      </c>
      <c r="II94" s="504">
        <v>0</v>
      </c>
      <c r="IJ94" s="504">
        <v>0</v>
      </c>
      <c r="IK94" s="504">
        <v>0</v>
      </c>
      <c r="IL94" s="504">
        <v>0</v>
      </c>
      <c r="IM94" s="504">
        <v>0</v>
      </c>
      <c r="IN94" s="504">
        <v>0</v>
      </c>
      <c r="IO94" s="504">
        <v>0</v>
      </c>
      <c r="IP94" s="504">
        <v>0</v>
      </c>
      <c r="IQ94" s="504">
        <v>0</v>
      </c>
      <c r="IR94" s="504">
        <v>0</v>
      </c>
      <c r="IS94" s="504">
        <v>0</v>
      </c>
      <c r="IT94" s="504">
        <v>0</v>
      </c>
      <c r="IU94" s="504">
        <v>0</v>
      </c>
      <c r="IV94" s="504">
        <v>0</v>
      </c>
      <c r="IW94" s="504">
        <v>0</v>
      </c>
      <c r="IX94" s="504">
        <v>0</v>
      </c>
      <c r="IY94" s="504">
        <v>0</v>
      </c>
      <c r="IZ94" s="504">
        <v>0</v>
      </c>
      <c r="JA94" s="504">
        <v>0</v>
      </c>
      <c r="JB94" s="504">
        <v>0</v>
      </c>
      <c r="JC94" s="504">
        <v>0</v>
      </c>
      <c r="JD94" s="504">
        <v>0</v>
      </c>
      <c r="JE94" s="504">
        <v>0</v>
      </c>
      <c r="JF94" s="504">
        <v>0</v>
      </c>
      <c r="JG94" s="504">
        <v>0</v>
      </c>
      <c r="JH94" s="504">
        <v>0</v>
      </c>
      <c r="JI94" s="504">
        <v>0</v>
      </c>
      <c r="JJ94" s="504">
        <v>0</v>
      </c>
      <c r="JK94" s="504">
        <v>0</v>
      </c>
      <c r="JL94" s="504">
        <v>0</v>
      </c>
      <c r="JM94" s="504">
        <v>0</v>
      </c>
      <c r="JN94" s="504">
        <v>0</v>
      </c>
      <c r="JO94" s="504">
        <v>0</v>
      </c>
      <c r="JP94" s="504">
        <v>0</v>
      </c>
      <c r="JQ94" s="504">
        <v>0</v>
      </c>
      <c r="JR94" s="504">
        <v>0</v>
      </c>
      <c r="JS94" s="504">
        <v>0</v>
      </c>
      <c r="JT94" s="504">
        <v>0</v>
      </c>
      <c r="JU94" s="504">
        <v>0</v>
      </c>
      <c r="JV94" s="504">
        <v>0</v>
      </c>
      <c r="JW94" s="504">
        <v>0</v>
      </c>
      <c r="JX94" s="504">
        <v>0</v>
      </c>
      <c r="JY94" s="504">
        <v>0</v>
      </c>
      <c r="JZ94" s="504">
        <v>0</v>
      </c>
      <c r="KA94" s="504">
        <v>0</v>
      </c>
      <c r="KB94" s="504">
        <v>0</v>
      </c>
      <c r="KC94" s="504">
        <v>0</v>
      </c>
      <c r="KD94" s="504">
        <v>0</v>
      </c>
      <c r="KE94" s="504">
        <v>0</v>
      </c>
      <c r="KF94" s="504">
        <v>0</v>
      </c>
      <c r="KG94" s="504">
        <v>0</v>
      </c>
      <c r="KH94" s="504">
        <v>0</v>
      </c>
      <c r="KI94" s="504">
        <v>0</v>
      </c>
      <c r="KJ94" s="504">
        <v>0</v>
      </c>
      <c r="KK94" s="504">
        <v>0</v>
      </c>
      <c r="KL94" s="504">
        <v>0</v>
      </c>
      <c r="KM94" s="504">
        <v>0</v>
      </c>
      <c r="KN94" s="504">
        <v>0</v>
      </c>
      <c r="KO94" s="504">
        <v>0</v>
      </c>
      <c r="KP94" s="504">
        <v>0</v>
      </c>
      <c r="KQ94" s="504">
        <v>0</v>
      </c>
      <c r="KR94" s="504">
        <v>0</v>
      </c>
      <c r="KS94" s="504">
        <v>0</v>
      </c>
      <c r="KT94" s="504">
        <v>0</v>
      </c>
      <c r="KU94" s="504">
        <v>0</v>
      </c>
      <c r="KV94" s="504">
        <v>0</v>
      </c>
      <c r="KW94" s="504">
        <v>0</v>
      </c>
      <c r="KX94" s="504">
        <v>0</v>
      </c>
      <c r="KY94" s="504">
        <v>0</v>
      </c>
      <c r="KZ94" s="504">
        <v>0</v>
      </c>
      <c r="LA94" s="504">
        <v>0</v>
      </c>
      <c r="LB94" s="504">
        <v>0</v>
      </c>
      <c r="LC94" s="504">
        <v>0</v>
      </c>
      <c r="LD94" s="504">
        <v>0</v>
      </c>
      <c r="LE94" s="504">
        <v>0</v>
      </c>
      <c r="LF94" s="504">
        <v>0</v>
      </c>
      <c r="LG94" s="504">
        <v>0</v>
      </c>
      <c r="LH94" s="504">
        <v>0</v>
      </c>
      <c r="LI94" s="504">
        <v>0</v>
      </c>
      <c r="LJ94" s="504">
        <v>0</v>
      </c>
      <c r="LK94" s="504">
        <v>0</v>
      </c>
      <c r="LL94" s="504">
        <v>0</v>
      </c>
      <c r="LM94" s="504">
        <v>0</v>
      </c>
      <c r="LN94" s="504">
        <v>0</v>
      </c>
      <c r="LO94" s="504">
        <v>0</v>
      </c>
      <c r="LP94" s="504">
        <v>0</v>
      </c>
      <c r="LQ94" s="504">
        <v>0</v>
      </c>
      <c r="LR94" s="504">
        <v>0</v>
      </c>
      <c r="LS94" s="504">
        <v>0</v>
      </c>
      <c r="LT94" s="504">
        <v>0</v>
      </c>
      <c r="LU94" s="504">
        <v>0</v>
      </c>
      <c r="LV94" s="504">
        <v>0</v>
      </c>
      <c r="LW94" s="504">
        <v>0</v>
      </c>
      <c r="LX94" s="504">
        <v>0</v>
      </c>
      <c r="LY94" s="504">
        <v>0</v>
      </c>
      <c r="LZ94" s="504">
        <v>0</v>
      </c>
      <c r="MA94" s="504">
        <v>0</v>
      </c>
      <c r="MB94" s="504">
        <v>0</v>
      </c>
      <c r="MC94" s="504">
        <v>0</v>
      </c>
      <c r="MD94" s="504">
        <v>0</v>
      </c>
      <c r="ME94" s="504">
        <v>0</v>
      </c>
      <c r="MF94" s="504">
        <v>0</v>
      </c>
      <c r="MG94" s="504">
        <v>0</v>
      </c>
      <c r="MH94" s="504">
        <v>0</v>
      </c>
      <c r="MI94" s="504">
        <v>0</v>
      </c>
      <c r="MJ94" s="504">
        <v>0</v>
      </c>
      <c r="MK94" s="504">
        <v>0</v>
      </c>
      <c r="ML94" s="504">
        <v>0</v>
      </c>
      <c r="MM94" s="504">
        <v>0</v>
      </c>
      <c r="MN94" s="504">
        <v>0</v>
      </c>
      <c r="MO94" s="504">
        <v>0</v>
      </c>
      <c r="MP94" s="504">
        <v>0</v>
      </c>
      <c r="MQ94" s="504">
        <v>0</v>
      </c>
      <c r="MR94" s="504">
        <v>0</v>
      </c>
      <c r="MS94" s="504">
        <v>0</v>
      </c>
      <c r="MT94" s="504">
        <v>0</v>
      </c>
      <c r="MU94" s="504">
        <v>0</v>
      </c>
      <c r="MV94" s="504">
        <v>0</v>
      </c>
      <c r="MW94" s="504">
        <v>0</v>
      </c>
      <c r="MX94" s="504">
        <v>0</v>
      </c>
      <c r="MY94" s="504">
        <v>0</v>
      </c>
      <c r="MZ94" s="504">
        <v>0</v>
      </c>
      <c r="NA94" s="504">
        <v>0</v>
      </c>
      <c r="NB94" s="504">
        <v>0</v>
      </c>
      <c r="NC94" s="504">
        <v>0</v>
      </c>
      <c r="ND94" s="504">
        <v>0</v>
      </c>
      <c r="NE94" s="504">
        <v>0</v>
      </c>
      <c r="NF94" s="504">
        <v>0</v>
      </c>
      <c r="NG94" s="504">
        <v>0</v>
      </c>
      <c r="NH94" s="504">
        <v>0</v>
      </c>
      <c r="NI94" s="504">
        <v>0</v>
      </c>
      <c r="NJ94" s="504">
        <v>0</v>
      </c>
      <c r="NK94" s="504">
        <v>0</v>
      </c>
      <c r="NL94" s="504">
        <v>0</v>
      </c>
      <c r="NM94" s="504">
        <v>0</v>
      </c>
      <c r="NN94" s="504">
        <v>0</v>
      </c>
      <c r="NO94" s="504">
        <v>0</v>
      </c>
      <c r="NP94" s="504">
        <v>0</v>
      </c>
      <c r="NQ94" s="504">
        <v>0</v>
      </c>
      <c r="NR94" s="504">
        <v>0</v>
      </c>
      <c r="NS94" s="504">
        <v>0</v>
      </c>
      <c r="NT94" s="504">
        <v>0</v>
      </c>
      <c r="NU94" s="504">
        <v>0</v>
      </c>
      <c r="NV94" s="504">
        <v>0</v>
      </c>
      <c r="NW94" s="504">
        <v>0</v>
      </c>
      <c r="NX94" s="504">
        <v>0</v>
      </c>
      <c r="NY94" s="504">
        <v>0</v>
      </c>
      <c r="NZ94" s="504">
        <v>0</v>
      </c>
      <c r="OA94" s="504">
        <v>0</v>
      </c>
      <c r="OB94" s="504">
        <v>0</v>
      </c>
      <c r="OC94" s="504">
        <v>0</v>
      </c>
      <c r="OD94" s="504">
        <v>0</v>
      </c>
      <c r="OE94" s="504">
        <v>0</v>
      </c>
      <c r="OF94" s="504">
        <v>0</v>
      </c>
      <c r="OG94" s="504">
        <v>0</v>
      </c>
      <c r="OH94" s="504">
        <v>0</v>
      </c>
      <c r="OI94" s="504">
        <v>0</v>
      </c>
      <c r="OJ94" s="504">
        <v>0</v>
      </c>
      <c r="OK94" s="504">
        <v>0</v>
      </c>
      <c r="OL94" s="504">
        <v>0</v>
      </c>
      <c r="OM94" s="504">
        <v>0</v>
      </c>
      <c r="ON94" s="494"/>
    </row>
    <row r="95" spans="1:404" ht="18.75" customHeight="1" x14ac:dyDescent="0.4">
      <c r="A95" s="511" t="s">
        <v>365</v>
      </c>
      <c r="B95" s="512">
        <v>156</v>
      </c>
      <c r="C95" s="511" t="s">
        <v>60</v>
      </c>
      <c r="D95" s="501">
        <v>20.47</v>
      </c>
      <c r="E95" s="502">
        <v>797793</v>
      </c>
      <c r="F95" s="501">
        <v>20.46</v>
      </c>
      <c r="G95" s="502">
        <v>84588</v>
      </c>
      <c r="H95" s="501">
        <v>20.47</v>
      </c>
      <c r="I95" s="502">
        <v>242398</v>
      </c>
      <c r="J95" s="501">
        <v>20.47</v>
      </c>
      <c r="K95" s="502">
        <v>279046</v>
      </c>
      <c r="V95" s="501"/>
      <c r="W95" s="503"/>
      <c r="X95" s="501"/>
      <c r="Y95" s="503"/>
      <c r="Z95" s="501"/>
      <c r="AA95" s="503"/>
      <c r="AB95" s="495"/>
      <c r="AC95" s="504">
        <v>0</v>
      </c>
      <c r="AD95" s="504">
        <v>0</v>
      </c>
      <c r="AE95" s="504">
        <v>0</v>
      </c>
      <c r="AF95" s="504">
        <v>0</v>
      </c>
      <c r="AG95" s="504">
        <v>0</v>
      </c>
      <c r="AH95" s="504">
        <v>0</v>
      </c>
      <c r="AI95" s="504">
        <v>0</v>
      </c>
      <c r="AJ95" s="504">
        <v>0</v>
      </c>
      <c r="AK95" s="504">
        <v>0</v>
      </c>
      <c r="AL95" s="504">
        <v>0</v>
      </c>
      <c r="AM95" s="504">
        <v>0</v>
      </c>
      <c r="AN95" s="504">
        <v>0</v>
      </c>
      <c r="AO95" s="504">
        <v>0</v>
      </c>
      <c r="AP95" s="504">
        <v>0</v>
      </c>
      <c r="AQ95" s="504">
        <v>0</v>
      </c>
      <c r="AR95" s="504">
        <v>0</v>
      </c>
      <c r="AS95" s="504">
        <v>0</v>
      </c>
      <c r="AT95" s="504">
        <v>0</v>
      </c>
      <c r="AU95" s="504">
        <v>0</v>
      </c>
      <c r="AV95" s="504">
        <v>0</v>
      </c>
      <c r="AW95" s="504">
        <v>0</v>
      </c>
      <c r="AX95" s="504">
        <v>0</v>
      </c>
      <c r="AY95" s="504">
        <v>0</v>
      </c>
      <c r="AZ95" s="504">
        <v>0</v>
      </c>
      <c r="BA95" s="504">
        <v>0</v>
      </c>
      <c r="BB95" s="504">
        <v>0</v>
      </c>
      <c r="BC95" s="504">
        <v>0</v>
      </c>
      <c r="BD95" s="504">
        <v>0</v>
      </c>
      <c r="BE95" s="504">
        <v>0</v>
      </c>
      <c r="BF95" s="504">
        <v>0</v>
      </c>
      <c r="BG95" s="504">
        <v>0</v>
      </c>
      <c r="BH95" s="504">
        <v>0</v>
      </c>
      <c r="BI95" s="504">
        <v>0</v>
      </c>
      <c r="BJ95" s="504">
        <v>0</v>
      </c>
      <c r="BK95" s="504">
        <v>0</v>
      </c>
      <c r="BL95" s="504">
        <v>0</v>
      </c>
      <c r="BM95" s="504">
        <v>0</v>
      </c>
      <c r="BN95" s="504">
        <v>0</v>
      </c>
      <c r="BO95" s="504">
        <v>0</v>
      </c>
      <c r="BP95" s="504">
        <v>0</v>
      </c>
      <c r="BQ95" s="504">
        <v>0</v>
      </c>
      <c r="BR95" s="504">
        <v>0</v>
      </c>
      <c r="BS95" s="504">
        <v>0</v>
      </c>
      <c r="BT95" s="504">
        <v>0</v>
      </c>
      <c r="BU95" s="504">
        <v>0</v>
      </c>
      <c r="BV95" s="504">
        <v>0</v>
      </c>
      <c r="BW95" s="504">
        <v>0</v>
      </c>
      <c r="BX95" s="504">
        <v>0</v>
      </c>
      <c r="BY95" s="504">
        <v>0</v>
      </c>
      <c r="BZ95" s="504">
        <v>0</v>
      </c>
      <c r="CA95" s="504">
        <v>0</v>
      </c>
      <c r="CB95" s="504">
        <v>0</v>
      </c>
      <c r="CC95" s="504">
        <v>0</v>
      </c>
      <c r="CD95" s="504">
        <v>0</v>
      </c>
      <c r="CE95" s="504">
        <v>0</v>
      </c>
      <c r="CF95" s="504">
        <v>0</v>
      </c>
      <c r="CG95" s="504">
        <v>0</v>
      </c>
      <c r="CH95" s="504">
        <v>0</v>
      </c>
      <c r="CI95" s="504">
        <v>0</v>
      </c>
      <c r="CJ95" s="504">
        <v>0</v>
      </c>
      <c r="CK95" s="504">
        <v>0</v>
      </c>
      <c r="CL95" s="504">
        <v>0</v>
      </c>
      <c r="CM95" s="504">
        <v>0</v>
      </c>
      <c r="CN95" s="504">
        <v>0</v>
      </c>
      <c r="CO95" s="504">
        <v>0</v>
      </c>
      <c r="CP95" s="504">
        <v>0</v>
      </c>
      <c r="CQ95" s="504">
        <v>0</v>
      </c>
      <c r="CR95" s="504">
        <v>0</v>
      </c>
      <c r="CS95" s="504">
        <v>0</v>
      </c>
      <c r="CT95" s="504">
        <v>0</v>
      </c>
      <c r="CU95" s="504">
        <v>0</v>
      </c>
      <c r="CV95" s="504">
        <v>0</v>
      </c>
      <c r="CW95" s="504">
        <v>0</v>
      </c>
      <c r="CX95" s="504">
        <v>0</v>
      </c>
      <c r="CY95" s="504">
        <v>0</v>
      </c>
      <c r="CZ95" s="504">
        <v>0</v>
      </c>
      <c r="DA95" s="504">
        <v>0</v>
      </c>
      <c r="DB95" s="504">
        <v>0</v>
      </c>
      <c r="DC95" s="504">
        <v>0</v>
      </c>
      <c r="DD95" s="504">
        <v>0</v>
      </c>
      <c r="DE95" s="504">
        <v>0</v>
      </c>
      <c r="DF95" s="504">
        <v>0</v>
      </c>
      <c r="DG95" s="504">
        <v>0</v>
      </c>
      <c r="DH95" s="504">
        <v>0</v>
      </c>
      <c r="DI95" s="504">
        <v>0</v>
      </c>
      <c r="DJ95" s="504">
        <v>0</v>
      </c>
      <c r="DK95" s="504">
        <v>0</v>
      </c>
      <c r="DL95" s="504">
        <v>0</v>
      </c>
      <c r="DM95" s="504">
        <v>0</v>
      </c>
      <c r="DN95" s="504">
        <v>0</v>
      </c>
      <c r="DO95" s="504">
        <v>0</v>
      </c>
      <c r="DP95" s="504">
        <v>0</v>
      </c>
      <c r="DQ95" s="504">
        <v>0</v>
      </c>
      <c r="DR95" s="504">
        <v>0</v>
      </c>
      <c r="DS95" s="504">
        <v>0</v>
      </c>
      <c r="DT95" s="504">
        <v>0</v>
      </c>
      <c r="DU95" s="504">
        <v>0</v>
      </c>
      <c r="DV95" s="504">
        <v>0</v>
      </c>
      <c r="DW95" s="504">
        <v>0</v>
      </c>
      <c r="DX95" s="504">
        <v>0</v>
      </c>
      <c r="DY95" s="504">
        <v>0</v>
      </c>
      <c r="DZ95" s="504">
        <v>0</v>
      </c>
      <c r="EA95" s="504">
        <v>0</v>
      </c>
      <c r="EB95" s="504">
        <v>0</v>
      </c>
      <c r="EC95" s="504">
        <v>0</v>
      </c>
      <c r="ED95" s="504">
        <v>0</v>
      </c>
      <c r="EE95" s="504">
        <v>0</v>
      </c>
      <c r="EF95" s="504">
        <v>0</v>
      </c>
      <c r="EG95" s="504">
        <v>0</v>
      </c>
      <c r="EH95" s="504">
        <v>0</v>
      </c>
      <c r="EI95" s="504">
        <v>0</v>
      </c>
      <c r="EJ95" s="504">
        <v>0</v>
      </c>
      <c r="EK95" s="504">
        <v>0</v>
      </c>
      <c r="EL95" s="504">
        <v>0</v>
      </c>
      <c r="EM95" s="504">
        <v>0</v>
      </c>
      <c r="EN95" s="504">
        <v>0</v>
      </c>
      <c r="EO95" s="504">
        <v>0</v>
      </c>
      <c r="EP95" s="504">
        <v>0</v>
      </c>
      <c r="EQ95" s="504">
        <v>0</v>
      </c>
      <c r="ER95" s="504">
        <v>0</v>
      </c>
      <c r="ES95" s="504">
        <v>0</v>
      </c>
      <c r="ET95" s="504">
        <v>0</v>
      </c>
      <c r="EU95" s="504">
        <v>0</v>
      </c>
      <c r="EV95" s="504">
        <v>0</v>
      </c>
      <c r="EW95" s="504">
        <v>0</v>
      </c>
      <c r="EX95" s="504">
        <v>0</v>
      </c>
      <c r="EY95" s="504">
        <v>0</v>
      </c>
      <c r="EZ95" s="504">
        <v>0</v>
      </c>
      <c r="FA95" s="504">
        <v>0</v>
      </c>
      <c r="FB95" s="504">
        <v>0</v>
      </c>
      <c r="FC95" s="504">
        <v>0</v>
      </c>
      <c r="FD95" s="504">
        <v>0</v>
      </c>
      <c r="FE95" s="504">
        <v>0</v>
      </c>
      <c r="FF95" s="504">
        <v>0</v>
      </c>
      <c r="FG95" s="504">
        <v>0</v>
      </c>
      <c r="FH95" s="504">
        <v>0</v>
      </c>
      <c r="FI95" s="504">
        <v>0</v>
      </c>
      <c r="FJ95" s="504">
        <v>0</v>
      </c>
      <c r="FK95" s="504">
        <v>0</v>
      </c>
      <c r="FL95" s="504">
        <v>0</v>
      </c>
      <c r="FM95" s="504">
        <v>0</v>
      </c>
      <c r="FN95" s="504">
        <v>0</v>
      </c>
      <c r="FO95" s="504">
        <v>0</v>
      </c>
      <c r="FP95" s="504">
        <v>0</v>
      </c>
      <c r="FQ95" s="504">
        <v>0</v>
      </c>
      <c r="FR95" s="504">
        <v>0</v>
      </c>
      <c r="FS95" s="504">
        <v>0</v>
      </c>
      <c r="FT95" s="504">
        <v>0</v>
      </c>
      <c r="FU95" s="504">
        <v>0</v>
      </c>
      <c r="FV95" s="504">
        <v>0</v>
      </c>
      <c r="FW95" s="504">
        <v>0</v>
      </c>
      <c r="FX95" s="504">
        <v>0</v>
      </c>
      <c r="FY95" s="504">
        <v>0</v>
      </c>
      <c r="FZ95" s="504">
        <v>0</v>
      </c>
      <c r="GA95" s="504">
        <v>0</v>
      </c>
      <c r="GB95" s="504">
        <v>0</v>
      </c>
      <c r="GC95" s="504">
        <v>0</v>
      </c>
      <c r="GD95" s="504">
        <v>0</v>
      </c>
      <c r="GE95" s="504">
        <v>0</v>
      </c>
      <c r="GF95" s="504">
        <v>0</v>
      </c>
      <c r="GG95" s="504">
        <v>0</v>
      </c>
      <c r="GH95" s="504">
        <v>0</v>
      </c>
      <c r="GI95" s="504">
        <v>0</v>
      </c>
      <c r="GJ95" s="504">
        <v>0</v>
      </c>
      <c r="GK95" s="504">
        <v>0</v>
      </c>
      <c r="GL95" s="504">
        <v>0</v>
      </c>
      <c r="GM95" s="504">
        <v>0</v>
      </c>
      <c r="GN95" s="504">
        <v>0</v>
      </c>
      <c r="GO95" s="504">
        <v>0</v>
      </c>
      <c r="GP95" s="504">
        <v>0</v>
      </c>
      <c r="GQ95" s="504">
        <v>0</v>
      </c>
      <c r="GR95" s="504">
        <v>0</v>
      </c>
      <c r="GS95" s="504">
        <v>0</v>
      </c>
      <c r="GT95" s="504">
        <v>0</v>
      </c>
      <c r="GU95" s="504">
        <v>0</v>
      </c>
      <c r="GV95" s="504">
        <v>0</v>
      </c>
      <c r="GW95" s="504">
        <v>0</v>
      </c>
      <c r="GX95" s="504">
        <v>0</v>
      </c>
      <c r="GY95" s="504">
        <v>0</v>
      </c>
      <c r="GZ95" s="504">
        <v>0</v>
      </c>
      <c r="HA95" s="504">
        <v>0</v>
      </c>
      <c r="HB95" s="504">
        <v>0</v>
      </c>
      <c r="HC95" s="504">
        <v>0</v>
      </c>
      <c r="HD95" s="504">
        <v>0</v>
      </c>
      <c r="HE95" s="504">
        <v>0</v>
      </c>
      <c r="HF95" s="504">
        <v>0</v>
      </c>
      <c r="HG95" s="504">
        <v>0</v>
      </c>
      <c r="HH95" s="504">
        <v>0</v>
      </c>
      <c r="HI95" s="504">
        <v>0</v>
      </c>
      <c r="HJ95" s="504">
        <v>0</v>
      </c>
      <c r="HK95" s="504">
        <v>0</v>
      </c>
      <c r="HL95" s="504">
        <v>0</v>
      </c>
      <c r="HM95" s="504">
        <v>0</v>
      </c>
      <c r="HN95" s="504">
        <v>0</v>
      </c>
      <c r="HO95" s="504">
        <v>0</v>
      </c>
      <c r="HP95" s="504">
        <v>0</v>
      </c>
      <c r="HQ95" s="504">
        <v>0</v>
      </c>
      <c r="HR95" s="504">
        <v>0</v>
      </c>
      <c r="HS95" s="504">
        <v>0</v>
      </c>
      <c r="HT95" s="504">
        <v>0</v>
      </c>
      <c r="HU95" s="504">
        <v>0</v>
      </c>
      <c r="HV95" s="504">
        <v>0</v>
      </c>
      <c r="HW95" s="504">
        <v>0</v>
      </c>
      <c r="HX95" s="504">
        <v>0</v>
      </c>
      <c r="HY95" s="504">
        <v>0</v>
      </c>
      <c r="HZ95" s="504">
        <v>0</v>
      </c>
      <c r="IA95" s="504">
        <v>0</v>
      </c>
      <c r="IB95" s="504">
        <v>0</v>
      </c>
      <c r="IC95" s="504">
        <v>0</v>
      </c>
      <c r="ID95" s="504">
        <v>0</v>
      </c>
      <c r="IE95" s="504">
        <v>0</v>
      </c>
      <c r="IF95" s="504">
        <v>0</v>
      </c>
      <c r="IG95" s="504">
        <v>0</v>
      </c>
      <c r="IH95" s="504">
        <v>0</v>
      </c>
      <c r="II95" s="504">
        <v>0</v>
      </c>
      <c r="IJ95" s="504">
        <v>0</v>
      </c>
      <c r="IK95" s="504">
        <v>0</v>
      </c>
      <c r="IL95" s="504">
        <v>0</v>
      </c>
      <c r="IM95" s="504">
        <v>0</v>
      </c>
      <c r="IN95" s="504">
        <v>0</v>
      </c>
      <c r="IO95" s="504">
        <v>0</v>
      </c>
      <c r="IP95" s="504">
        <v>0</v>
      </c>
      <c r="IQ95" s="504">
        <v>0</v>
      </c>
      <c r="IR95" s="504">
        <v>0</v>
      </c>
      <c r="IS95" s="504">
        <v>0</v>
      </c>
      <c r="IT95" s="504">
        <v>0</v>
      </c>
      <c r="IU95" s="504">
        <v>0</v>
      </c>
      <c r="IV95" s="504">
        <v>0</v>
      </c>
      <c r="IW95" s="504">
        <v>0</v>
      </c>
      <c r="IX95" s="504">
        <v>0</v>
      </c>
      <c r="IY95" s="504">
        <v>0</v>
      </c>
      <c r="IZ95" s="504">
        <v>0</v>
      </c>
      <c r="JA95" s="504">
        <v>0</v>
      </c>
      <c r="JB95" s="504">
        <v>0</v>
      </c>
      <c r="JC95" s="504">
        <v>0</v>
      </c>
      <c r="JD95" s="504">
        <v>0</v>
      </c>
      <c r="JE95" s="504">
        <v>0</v>
      </c>
      <c r="JF95" s="504">
        <v>0</v>
      </c>
      <c r="JG95" s="504">
        <v>0</v>
      </c>
      <c r="JH95" s="504">
        <v>0</v>
      </c>
      <c r="JI95" s="504">
        <v>0</v>
      </c>
      <c r="JJ95" s="504">
        <v>0</v>
      </c>
      <c r="JK95" s="504">
        <v>0</v>
      </c>
      <c r="JL95" s="504">
        <v>0</v>
      </c>
      <c r="JM95" s="504">
        <v>0</v>
      </c>
      <c r="JN95" s="504">
        <v>0</v>
      </c>
      <c r="JO95" s="504">
        <v>0</v>
      </c>
      <c r="JP95" s="504">
        <v>0</v>
      </c>
      <c r="JQ95" s="504">
        <v>0</v>
      </c>
      <c r="JR95" s="504">
        <v>0</v>
      </c>
      <c r="JS95" s="504">
        <v>0</v>
      </c>
      <c r="JT95" s="504">
        <v>0</v>
      </c>
      <c r="JU95" s="504">
        <v>0</v>
      </c>
      <c r="JV95" s="504">
        <v>0</v>
      </c>
      <c r="JW95" s="504">
        <v>0</v>
      </c>
      <c r="JX95" s="504">
        <v>0</v>
      </c>
      <c r="JY95" s="504">
        <v>0</v>
      </c>
      <c r="JZ95" s="504">
        <v>0</v>
      </c>
      <c r="KA95" s="504">
        <v>0</v>
      </c>
      <c r="KB95" s="504">
        <v>0</v>
      </c>
      <c r="KC95" s="504">
        <v>0</v>
      </c>
      <c r="KD95" s="504">
        <v>0</v>
      </c>
      <c r="KE95" s="504">
        <v>0</v>
      </c>
      <c r="KF95" s="504">
        <v>0</v>
      </c>
      <c r="KG95" s="504">
        <v>0</v>
      </c>
      <c r="KH95" s="504">
        <v>0</v>
      </c>
      <c r="KI95" s="504">
        <v>0</v>
      </c>
      <c r="KJ95" s="504">
        <v>0</v>
      </c>
      <c r="KK95" s="504">
        <v>0</v>
      </c>
      <c r="KL95" s="504">
        <v>0</v>
      </c>
      <c r="KM95" s="504">
        <v>0</v>
      </c>
      <c r="KN95" s="504">
        <v>0</v>
      </c>
      <c r="KO95" s="504">
        <v>0</v>
      </c>
      <c r="KP95" s="504">
        <v>0</v>
      </c>
      <c r="KQ95" s="504">
        <v>0</v>
      </c>
      <c r="KR95" s="504">
        <v>0</v>
      </c>
      <c r="KS95" s="504">
        <v>0</v>
      </c>
      <c r="KT95" s="504">
        <v>0</v>
      </c>
      <c r="KU95" s="504">
        <v>0</v>
      </c>
      <c r="KV95" s="504">
        <v>0</v>
      </c>
      <c r="KW95" s="504">
        <v>0</v>
      </c>
      <c r="KX95" s="504">
        <v>0</v>
      </c>
      <c r="KY95" s="504">
        <v>0</v>
      </c>
      <c r="KZ95" s="504">
        <v>0</v>
      </c>
      <c r="LA95" s="504">
        <v>0</v>
      </c>
      <c r="LB95" s="504">
        <v>0</v>
      </c>
      <c r="LC95" s="504">
        <v>0</v>
      </c>
      <c r="LD95" s="504">
        <v>0</v>
      </c>
      <c r="LE95" s="504">
        <v>0</v>
      </c>
      <c r="LF95" s="504">
        <v>0</v>
      </c>
      <c r="LG95" s="504">
        <v>0</v>
      </c>
      <c r="LH95" s="504">
        <v>0</v>
      </c>
      <c r="LI95" s="504">
        <v>0</v>
      </c>
      <c r="LJ95" s="504">
        <v>0</v>
      </c>
      <c r="LK95" s="504">
        <v>0</v>
      </c>
      <c r="LL95" s="504">
        <v>0</v>
      </c>
      <c r="LM95" s="504">
        <v>0</v>
      </c>
      <c r="LN95" s="504">
        <v>0</v>
      </c>
      <c r="LO95" s="504">
        <v>0</v>
      </c>
      <c r="LP95" s="504">
        <v>0</v>
      </c>
      <c r="LQ95" s="504">
        <v>0</v>
      </c>
      <c r="LR95" s="504">
        <v>0</v>
      </c>
      <c r="LS95" s="504">
        <v>0</v>
      </c>
      <c r="LT95" s="504">
        <v>0</v>
      </c>
      <c r="LU95" s="504">
        <v>0</v>
      </c>
      <c r="LV95" s="504">
        <v>0</v>
      </c>
      <c r="LW95" s="504">
        <v>0</v>
      </c>
      <c r="LX95" s="504">
        <v>0</v>
      </c>
      <c r="LY95" s="504">
        <v>0</v>
      </c>
      <c r="LZ95" s="504">
        <v>0</v>
      </c>
      <c r="MA95" s="504">
        <v>0</v>
      </c>
      <c r="MB95" s="504">
        <v>0</v>
      </c>
      <c r="MC95" s="504">
        <v>0</v>
      </c>
      <c r="MD95" s="504">
        <v>0</v>
      </c>
      <c r="ME95" s="504">
        <v>0</v>
      </c>
      <c r="MF95" s="504">
        <v>0</v>
      </c>
      <c r="MG95" s="504">
        <v>0</v>
      </c>
      <c r="MH95" s="504">
        <v>0</v>
      </c>
      <c r="MI95" s="504">
        <v>0</v>
      </c>
      <c r="MJ95" s="504">
        <v>0</v>
      </c>
      <c r="MK95" s="504">
        <v>0</v>
      </c>
      <c r="ML95" s="504">
        <v>0</v>
      </c>
      <c r="MM95" s="504">
        <v>0</v>
      </c>
      <c r="MN95" s="504">
        <v>0</v>
      </c>
      <c r="MO95" s="504">
        <v>0</v>
      </c>
      <c r="MP95" s="504">
        <v>0</v>
      </c>
      <c r="MQ95" s="504">
        <v>0</v>
      </c>
      <c r="MR95" s="504">
        <v>0</v>
      </c>
      <c r="MS95" s="504">
        <v>0</v>
      </c>
      <c r="MT95" s="504">
        <v>0</v>
      </c>
      <c r="MU95" s="504">
        <v>0</v>
      </c>
      <c r="MV95" s="504">
        <v>0</v>
      </c>
      <c r="MW95" s="504">
        <v>0</v>
      </c>
      <c r="MX95" s="504">
        <v>0</v>
      </c>
      <c r="MY95" s="504">
        <v>0</v>
      </c>
      <c r="MZ95" s="504">
        <v>0</v>
      </c>
      <c r="NA95" s="504">
        <v>0</v>
      </c>
      <c r="NB95" s="504">
        <v>0</v>
      </c>
      <c r="NC95" s="504">
        <v>0</v>
      </c>
      <c r="ND95" s="504">
        <v>0</v>
      </c>
      <c r="NE95" s="504">
        <v>0</v>
      </c>
      <c r="NF95" s="504">
        <v>0</v>
      </c>
      <c r="NG95" s="504">
        <v>0</v>
      </c>
      <c r="NH95" s="504">
        <v>0</v>
      </c>
      <c r="NI95" s="504">
        <v>0</v>
      </c>
      <c r="NJ95" s="504">
        <v>0</v>
      </c>
      <c r="NK95" s="504">
        <v>0</v>
      </c>
      <c r="NL95" s="504">
        <v>0</v>
      </c>
      <c r="NM95" s="504">
        <v>0</v>
      </c>
      <c r="NN95" s="504">
        <v>0</v>
      </c>
      <c r="NO95" s="504">
        <v>0</v>
      </c>
      <c r="NP95" s="504">
        <v>0</v>
      </c>
      <c r="NQ95" s="504">
        <v>0</v>
      </c>
      <c r="NR95" s="504">
        <v>0</v>
      </c>
      <c r="NS95" s="504">
        <v>0</v>
      </c>
      <c r="NT95" s="504">
        <v>0</v>
      </c>
      <c r="NU95" s="504">
        <v>0</v>
      </c>
      <c r="NV95" s="504">
        <v>0</v>
      </c>
      <c r="NW95" s="504">
        <v>0</v>
      </c>
      <c r="NX95" s="504">
        <v>0</v>
      </c>
      <c r="NY95" s="504">
        <v>0</v>
      </c>
      <c r="NZ95" s="504">
        <v>0</v>
      </c>
      <c r="OA95" s="504">
        <v>0</v>
      </c>
      <c r="OB95" s="504">
        <v>0</v>
      </c>
      <c r="OC95" s="504">
        <v>0</v>
      </c>
      <c r="OD95" s="504">
        <v>0</v>
      </c>
      <c r="OE95" s="504">
        <v>0</v>
      </c>
      <c r="OF95" s="504">
        <v>0</v>
      </c>
      <c r="OG95" s="504">
        <v>0</v>
      </c>
      <c r="OH95" s="504">
        <v>0</v>
      </c>
      <c r="OI95" s="504">
        <v>0</v>
      </c>
      <c r="OJ95" s="504">
        <v>0</v>
      </c>
      <c r="OK95" s="504">
        <v>0</v>
      </c>
      <c r="OL95" s="504">
        <v>0</v>
      </c>
      <c r="OM95" s="504">
        <v>0</v>
      </c>
      <c r="ON95" s="494"/>
    </row>
    <row r="96" spans="1:404" ht="18.75" customHeight="1" x14ac:dyDescent="0.4">
      <c r="A96" s="511" t="s">
        <v>366</v>
      </c>
      <c r="B96" s="512">
        <v>156</v>
      </c>
      <c r="C96" s="511" t="s">
        <v>60</v>
      </c>
      <c r="D96" s="501">
        <v>20.55</v>
      </c>
      <c r="E96" s="502">
        <v>473414</v>
      </c>
      <c r="F96" s="501">
        <v>20.54</v>
      </c>
      <c r="G96" s="502">
        <v>70587</v>
      </c>
      <c r="H96" s="501">
        <v>20.54</v>
      </c>
      <c r="I96" s="502">
        <v>208515</v>
      </c>
      <c r="J96" s="501">
        <v>20.54</v>
      </c>
      <c r="K96" s="502">
        <v>234904</v>
      </c>
      <c r="V96" s="501"/>
      <c r="W96" s="503"/>
      <c r="X96" s="501"/>
      <c r="Y96" s="503"/>
      <c r="Z96" s="501"/>
      <c r="AA96" s="503"/>
      <c r="AB96" s="495"/>
      <c r="AC96" s="504">
        <v>0</v>
      </c>
      <c r="AD96" s="504">
        <v>0</v>
      </c>
      <c r="AE96" s="504">
        <v>0</v>
      </c>
      <c r="AF96" s="504">
        <v>0</v>
      </c>
      <c r="AG96" s="504">
        <v>0</v>
      </c>
      <c r="AH96" s="504">
        <v>0</v>
      </c>
      <c r="AI96" s="504">
        <v>0</v>
      </c>
      <c r="AJ96" s="504">
        <v>0</v>
      </c>
      <c r="AK96" s="504">
        <v>0</v>
      </c>
      <c r="AL96" s="504">
        <v>0</v>
      </c>
      <c r="AM96" s="504">
        <v>0</v>
      </c>
      <c r="AN96" s="504">
        <v>0</v>
      </c>
      <c r="AO96" s="504">
        <v>0</v>
      </c>
      <c r="AP96" s="504">
        <v>0</v>
      </c>
      <c r="AQ96" s="504">
        <v>0</v>
      </c>
      <c r="AR96" s="504">
        <v>0</v>
      </c>
      <c r="AS96" s="504">
        <v>0</v>
      </c>
      <c r="AT96" s="504">
        <v>0</v>
      </c>
      <c r="AU96" s="504">
        <v>0</v>
      </c>
      <c r="AV96" s="504">
        <v>0</v>
      </c>
      <c r="AW96" s="504">
        <v>0</v>
      </c>
      <c r="AX96" s="504">
        <v>0</v>
      </c>
      <c r="AY96" s="504">
        <v>0</v>
      </c>
      <c r="AZ96" s="504">
        <v>0</v>
      </c>
      <c r="BA96" s="504">
        <v>0</v>
      </c>
      <c r="BB96" s="504">
        <v>0</v>
      </c>
      <c r="BC96" s="504">
        <v>0</v>
      </c>
      <c r="BD96" s="504">
        <v>0</v>
      </c>
      <c r="BE96" s="504">
        <v>0</v>
      </c>
      <c r="BF96" s="504">
        <v>0</v>
      </c>
      <c r="BG96" s="504">
        <v>0</v>
      </c>
      <c r="BH96" s="504">
        <v>0</v>
      </c>
      <c r="BI96" s="504">
        <v>0</v>
      </c>
      <c r="BJ96" s="504">
        <v>0</v>
      </c>
      <c r="BK96" s="504">
        <v>0</v>
      </c>
      <c r="BL96" s="504">
        <v>0</v>
      </c>
      <c r="BM96" s="504">
        <v>0</v>
      </c>
      <c r="BN96" s="504">
        <v>0</v>
      </c>
      <c r="BO96" s="504">
        <v>0</v>
      </c>
      <c r="BP96" s="504">
        <v>0</v>
      </c>
      <c r="BQ96" s="504">
        <v>0</v>
      </c>
      <c r="BR96" s="504">
        <v>0</v>
      </c>
      <c r="BS96" s="504">
        <v>0</v>
      </c>
      <c r="BT96" s="504">
        <v>0</v>
      </c>
      <c r="BU96" s="504">
        <v>0</v>
      </c>
      <c r="BV96" s="504">
        <v>0</v>
      </c>
      <c r="BW96" s="504">
        <v>0</v>
      </c>
      <c r="BX96" s="504">
        <v>0</v>
      </c>
      <c r="BY96" s="504">
        <v>0</v>
      </c>
      <c r="BZ96" s="504">
        <v>0</v>
      </c>
      <c r="CA96" s="504">
        <v>0</v>
      </c>
      <c r="CB96" s="504">
        <v>0</v>
      </c>
      <c r="CC96" s="504">
        <v>0</v>
      </c>
      <c r="CD96" s="504">
        <v>0</v>
      </c>
      <c r="CE96" s="504">
        <v>0</v>
      </c>
      <c r="CF96" s="504">
        <v>0</v>
      </c>
      <c r="CG96" s="504">
        <v>0</v>
      </c>
      <c r="CH96" s="504">
        <v>0</v>
      </c>
      <c r="CI96" s="504">
        <v>0</v>
      </c>
      <c r="CJ96" s="504">
        <v>0</v>
      </c>
      <c r="CK96" s="504">
        <v>0</v>
      </c>
      <c r="CL96" s="504">
        <v>0</v>
      </c>
      <c r="CM96" s="504">
        <v>0</v>
      </c>
      <c r="CN96" s="504">
        <v>0</v>
      </c>
      <c r="CO96" s="504">
        <v>0</v>
      </c>
      <c r="CP96" s="504">
        <v>0</v>
      </c>
      <c r="CQ96" s="504">
        <v>0</v>
      </c>
      <c r="CR96" s="504">
        <v>0</v>
      </c>
      <c r="CS96" s="504">
        <v>0</v>
      </c>
      <c r="CT96" s="504">
        <v>0</v>
      </c>
      <c r="CU96" s="504">
        <v>0</v>
      </c>
      <c r="CV96" s="504">
        <v>0</v>
      </c>
      <c r="CW96" s="504">
        <v>0</v>
      </c>
      <c r="CX96" s="504">
        <v>0</v>
      </c>
      <c r="CY96" s="504">
        <v>0</v>
      </c>
      <c r="CZ96" s="504">
        <v>0</v>
      </c>
      <c r="DA96" s="504">
        <v>0</v>
      </c>
      <c r="DB96" s="504">
        <v>0</v>
      </c>
      <c r="DC96" s="504">
        <v>0</v>
      </c>
      <c r="DD96" s="504">
        <v>0</v>
      </c>
      <c r="DE96" s="504">
        <v>0</v>
      </c>
      <c r="DF96" s="504">
        <v>0</v>
      </c>
      <c r="DG96" s="504">
        <v>0</v>
      </c>
      <c r="DH96" s="504">
        <v>0</v>
      </c>
      <c r="DI96" s="504">
        <v>0</v>
      </c>
      <c r="DJ96" s="504">
        <v>0</v>
      </c>
      <c r="DK96" s="504">
        <v>0</v>
      </c>
      <c r="DL96" s="504">
        <v>0</v>
      </c>
      <c r="DM96" s="504">
        <v>0</v>
      </c>
      <c r="DN96" s="504">
        <v>0</v>
      </c>
      <c r="DO96" s="504">
        <v>0</v>
      </c>
      <c r="DP96" s="504">
        <v>0</v>
      </c>
      <c r="DQ96" s="504">
        <v>0</v>
      </c>
      <c r="DR96" s="504">
        <v>0</v>
      </c>
      <c r="DS96" s="504">
        <v>0</v>
      </c>
      <c r="DT96" s="504">
        <v>0</v>
      </c>
      <c r="DU96" s="504">
        <v>0</v>
      </c>
      <c r="DV96" s="504">
        <v>0</v>
      </c>
      <c r="DW96" s="504">
        <v>0</v>
      </c>
      <c r="DX96" s="504">
        <v>0</v>
      </c>
      <c r="DY96" s="504">
        <v>0</v>
      </c>
      <c r="DZ96" s="504">
        <v>0</v>
      </c>
      <c r="EA96" s="504">
        <v>0</v>
      </c>
      <c r="EB96" s="504">
        <v>0</v>
      </c>
      <c r="EC96" s="504">
        <v>0</v>
      </c>
      <c r="ED96" s="504">
        <v>0</v>
      </c>
      <c r="EE96" s="504">
        <v>0</v>
      </c>
      <c r="EF96" s="504">
        <v>0</v>
      </c>
      <c r="EG96" s="504">
        <v>0</v>
      </c>
      <c r="EH96" s="504">
        <v>0</v>
      </c>
      <c r="EI96" s="504">
        <v>0</v>
      </c>
      <c r="EJ96" s="504">
        <v>0</v>
      </c>
      <c r="EK96" s="504">
        <v>0</v>
      </c>
      <c r="EL96" s="504">
        <v>0</v>
      </c>
      <c r="EM96" s="504">
        <v>0</v>
      </c>
      <c r="EN96" s="504">
        <v>0</v>
      </c>
      <c r="EO96" s="504">
        <v>0</v>
      </c>
      <c r="EP96" s="504">
        <v>0</v>
      </c>
      <c r="EQ96" s="504">
        <v>0</v>
      </c>
      <c r="ER96" s="504">
        <v>0</v>
      </c>
      <c r="ES96" s="504">
        <v>0</v>
      </c>
      <c r="ET96" s="504">
        <v>0</v>
      </c>
      <c r="EU96" s="504">
        <v>0</v>
      </c>
      <c r="EV96" s="504">
        <v>0</v>
      </c>
      <c r="EW96" s="504">
        <v>0</v>
      </c>
      <c r="EX96" s="504">
        <v>0</v>
      </c>
      <c r="EY96" s="504">
        <v>0</v>
      </c>
      <c r="EZ96" s="504">
        <v>0</v>
      </c>
      <c r="FA96" s="504">
        <v>0</v>
      </c>
      <c r="FB96" s="504">
        <v>0</v>
      </c>
      <c r="FC96" s="504">
        <v>0</v>
      </c>
      <c r="FD96" s="504">
        <v>0</v>
      </c>
      <c r="FE96" s="504">
        <v>0</v>
      </c>
      <c r="FF96" s="504">
        <v>0</v>
      </c>
      <c r="FG96" s="504">
        <v>0</v>
      </c>
      <c r="FH96" s="504">
        <v>0</v>
      </c>
      <c r="FI96" s="504">
        <v>0</v>
      </c>
      <c r="FJ96" s="504">
        <v>0</v>
      </c>
      <c r="FK96" s="504">
        <v>0</v>
      </c>
      <c r="FL96" s="504">
        <v>0</v>
      </c>
      <c r="FM96" s="504">
        <v>0</v>
      </c>
      <c r="FN96" s="504">
        <v>0</v>
      </c>
      <c r="FO96" s="504">
        <v>0</v>
      </c>
      <c r="FP96" s="504">
        <v>0</v>
      </c>
      <c r="FQ96" s="504">
        <v>0</v>
      </c>
      <c r="FR96" s="504">
        <v>0</v>
      </c>
      <c r="FS96" s="504">
        <v>0</v>
      </c>
      <c r="FT96" s="504">
        <v>0</v>
      </c>
      <c r="FU96" s="504">
        <v>0</v>
      </c>
      <c r="FV96" s="504">
        <v>0</v>
      </c>
      <c r="FW96" s="504">
        <v>0</v>
      </c>
      <c r="FX96" s="504">
        <v>0</v>
      </c>
      <c r="FY96" s="504">
        <v>0</v>
      </c>
      <c r="FZ96" s="504">
        <v>0</v>
      </c>
      <c r="GA96" s="504">
        <v>0</v>
      </c>
      <c r="GB96" s="504">
        <v>0</v>
      </c>
      <c r="GC96" s="504">
        <v>0</v>
      </c>
      <c r="GD96" s="504">
        <v>0</v>
      </c>
      <c r="GE96" s="504">
        <v>0</v>
      </c>
      <c r="GF96" s="504">
        <v>0</v>
      </c>
      <c r="GG96" s="504">
        <v>0</v>
      </c>
      <c r="GH96" s="504">
        <v>0</v>
      </c>
      <c r="GI96" s="504">
        <v>0</v>
      </c>
      <c r="GJ96" s="504">
        <v>0</v>
      </c>
      <c r="GK96" s="504">
        <v>0</v>
      </c>
      <c r="GL96" s="504">
        <v>0</v>
      </c>
      <c r="GM96" s="504">
        <v>0</v>
      </c>
      <c r="GN96" s="504">
        <v>0</v>
      </c>
      <c r="GO96" s="504">
        <v>0</v>
      </c>
      <c r="GP96" s="504">
        <v>0</v>
      </c>
      <c r="GQ96" s="504">
        <v>0</v>
      </c>
      <c r="GR96" s="504">
        <v>0</v>
      </c>
      <c r="GS96" s="504">
        <v>0</v>
      </c>
      <c r="GT96" s="504">
        <v>0</v>
      </c>
      <c r="GU96" s="504">
        <v>0</v>
      </c>
      <c r="GV96" s="504">
        <v>0</v>
      </c>
      <c r="GW96" s="504">
        <v>0</v>
      </c>
      <c r="GX96" s="504">
        <v>0</v>
      </c>
      <c r="GY96" s="504">
        <v>0</v>
      </c>
      <c r="GZ96" s="504">
        <v>0</v>
      </c>
      <c r="HA96" s="504">
        <v>0</v>
      </c>
      <c r="HB96" s="504">
        <v>0</v>
      </c>
      <c r="HC96" s="504">
        <v>0</v>
      </c>
      <c r="HD96" s="504">
        <v>0</v>
      </c>
      <c r="HE96" s="504">
        <v>0</v>
      </c>
      <c r="HF96" s="504">
        <v>0</v>
      </c>
      <c r="HG96" s="504">
        <v>0</v>
      </c>
      <c r="HH96" s="504">
        <v>0</v>
      </c>
      <c r="HI96" s="504">
        <v>0</v>
      </c>
      <c r="HJ96" s="504">
        <v>0</v>
      </c>
      <c r="HK96" s="504">
        <v>0</v>
      </c>
      <c r="HL96" s="504">
        <v>0</v>
      </c>
      <c r="HM96" s="504">
        <v>0</v>
      </c>
      <c r="HN96" s="504">
        <v>0</v>
      </c>
      <c r="HO96" s="504">
        <v>0</v>
      </c>
      <c r="HP96" s="504">
        <v>0</v>
      </c>
      <c r="HQ96" s="504">
        <v>0</v>
      </c>
      <c r="HR96" s="504">
        <v>0</v>
      </c>
      <c r="HS96" s="504">
        <v>0</v>
      </c>
      <c r="HT96" s="504">
        <v>0</v>
      </c>
      <c r="HU96" s="504">
        <v>0</v>
      </c>
      <c r="HV96" s="504">
        <v>0</v>
      </c>
      <c r="HW96" s="504">
        <v>0</v>
      </c>
      <c r="HX96" s="504">
        <v>0</v>
      </c>
      <c r="HY96" s="504">
        <v>0</v>
      </c>
      <c r="HZ96" s="504">
        <v>0</v>
      </c>
      <c r="IA96" s="504">
        <v>0</v>
      </c>
      <c r="IB96" s="504">
        <v>0</v>
      </c>
      <c r="IC96" s="504">
        <v>0</v>
      </c>
      <c r="ID96" s="504">
        <v>0</v>
      </c>
      <c r="IE96" s="504">
        <v>0</v>
      </c>
      <c r="IF96" s="504">
        <v>0</v>
      </c>
      <c r="IG96" s="504">
        <v>0</v>
      </c>
      <c r="IH96" s="504">
        <v>0</v>
      </c>
      <c r="II96" s="504">
        <v>0</v>
      </c>
      <c r="IJ96" s="504">
        <v>0</v>
      </c>
      <c r="IK96" s="504">
        <v>0</v>
      </c>
      <c r="IL96" s="504">
        <v>0</v>
      </c>
      <c r="IM96" s="504">
        <v>0</v>
      </c>
      <c r="IN96" s="504">
        <v>0</v>
      </c>
      <c r="IO96" s="504">
        <v>0</v>
      </c>
      <c r="IP96" s="504">
        <v>0</v>
      </c>
      <c r="IQ96" s="504">
        <v>0</v>
      </c>
      <c r="IR96" s="504">
        <v>0</v>
      </c>
      <c r="IS96" s="504">
        <v>0</v>
      </c>
      <c r="IT96" s="504">
        <v>0</v>
      </c>
      <c r="IU96" s="504">
        <v>0</v>
      </c>
      <c r="IV96" s="504">
        <v>0</v>
      </c>
      <c r="IW96" s="504">
        <v>0</v>
      </c>
      <c r="IX96" s="504">
        <v>0</v>
      </c>
      <c r="IY96" s="504">
        <v>0</v>
      </c>
      <c r="IZ96" s="504">
        <v>0</v>
      </c>
      <c r="JA96" s="504">
        <v>0</v>
      </c>
      <c r="JB96" s="504">
        <v>0</v>
      </c>
      <c r="JC96" s="504">
        <v>0</v>
      </c>
      <c r="JD96" s="504">
        <v>0</v>
      </c>
      <c r="JE96" s="504">
        <v>0</v>
      </c>
      <c r="JF96" s="504">
        <v>0</v>
      </c>
      <c r="JG96" s="504">
        <v>0</v>
      </c>
      <c r="JH96" s="504">
        <v>0</v>
      </c>
      <c r="JI96" s="504">
        <v>0</v>
      </c>
      <c r="JJ96" s="504">
        <v>0</v>
      </c>
      <c r="JK96" s="504">
        <v>0</v>
      </c>
      <c r="JL96" s="504">
        <v>0</v>
      </c>
      <c r="JM96" s="504">
        <v>0</v>
      </c>
      <c r="JN96" s="504">
        <v>0</v>
      </c>
      <c r="JO96" s="504">
        <v>0</v>
      </c>
      <c r="JP96" s="504">
        <v>0</v>
      </c>
      <c r="JQ96" s="504">
        <v>0</v>
      </c>
      <c r="JR96" s="504">
        <v>0</v>
      </c>
      <c r="JS96" s="504">
        <v>0</v>
      </c>
      <c r="JT96" s="504">
        <v>0</v>
      </c>
      <c r="JU96" s="504">
        <v>0</v>
      </c>
      <c r="JV96" s="504">
        <v>0</v>
      </c>
      <c r="JW96" s="504">
        <v>0</v>
      </c>
      <c r="JX96" s="504">
        <v>0</v>
      </c>
      <c r="JY96" s="504">
        <v>0</v>
      </c>
      <c r="JZ96" s="504">
        <v>0</v>
      </c>
      <c r="KA96" s="504">
        <v>0</v>
      </c>
      <c r="KB96" s="504">
        <v>0</v>
      </c>
      <c r="KC96" s="504">
        <v>0</v>
      </c>
      <c r="KD96" s="504">
        <v>0</v>
      </c>
      <c r="KE96" s="504">
        <v>0</v>
      </c>
      <c r="KF96" s="504">
        <v>0</v>
      </c>
      <c r="KG96" s="504">
        <v>0</v>
      </c>
      <c r="KH96" s="504">
        <v>0</v>
      </c>
      <c r="KI96" s="504">
        <v>0</v>
      </c>
      <c r="KJ96" s="504">
        <v>0</v>
      </c>
      <c r="KK96" s="504">
        <v>0</v>
      </c>
      <c r="KL96" s="504">
        <v>0</v>
      </c>
      <c r="KM96" s="504">
        <v>0</v>
      </c>
      <c r="KN96" s="504">
        <v>0</v>
      </c>
      <c r="KO96" s="504">
        <v>0</v>
      </c>
      <c r="KP96" s="504">
        <v>0</v>
      </c>
      <c r="KQ96" s="504">
        <v>0</v>
      </c>
      <c r="KR96" s="504">
        <v>0</v>
      </c>
      <c r="KS96" s="504">
        <v>0</v>
      </c>
      <c r="KT96" s="504">
        <v>0</v>
      </c>
      <c r="KU96" s="504">
        <v>0</v>
      </c>
      <c r="KV96" s="504">
        <v>0</v>
      </c>
      <c r="KW96" s="504">
        <v>0</v>
      </c>
      <c r="KX96" s="504">
        <v>0</v>
      </c>
      <c r="KY96" s="504">
        <v>0</v>
      </c>
      <c r="KZ96" s="504">
        <v>0</v>
      </c>
      <c r="LA96" s="504">
        <v>0</v>
      </c>
      <c r="LB96" s="504">
        <v>0</v>
      </c>
      <c r="LC96" s="504">
        <v>0</v>
      </c>
      <c r="LD96" s="504">
        <v>0</v>
      </c>
      <c r="LE96" s="504">
        <v>0</v>
      </c>
      <c r="LF96" s="504">
        <v>0</v>
      </c>
      <c r="LG96" s="504">
        <v>0</v>
      </c>
      <c r="LH96" s="504">
        <v>0</v>
      </c>
      <c r="LI96" s="504">
        <v>0</v>
      </c>
      <c r="LJ96" s="504">
        <v>0</v>
      </c>
      <c r="LK96" s="504">
        <v>0</v>
      </c>
      <c r="LL96" s="504">
        <v>0</v>
      </c>
      <c r="LM96" s="504">
        <v>0</v>
      </c>
      <c r="LN96" s="504">
        <v>0</v>
      </c>
      <c r="LO96" s="504">
        <v>0</v>
      </c>
      <c r="LP96" s="504">
        <v>0</v>
      </c>
      <c r="LQ96" s="504">
        <v>0</v>
      </c>
      <c r="LR96" s="504">
        <v>0</v>
      </c>
      <c r="LS96" s="504">
        <v>0</v>
      </c>
      <c r="LT96" s="504">
        <v>0</v>
      </c>
      <c r="LU96" s="504">
        <v>0</v>
      </c>
      <c r="LV96" s="504">
        <v>0</v>
      </c>
      <c r="LW96" s="504">
        <v>0</v>
      </c>
      <c r="LX96" s="504">
        <v>0</v>
      </c>
      <c r="LY96" s="504">
        <v>0</v>
      </c>
      <c r="LZ96" s="504">
        <v>0</v>
      </c>
      <c r="MA96" s="504">
        <v>0</v>
      </c>
      <c r="MB96" s="504">
        <v>0</v>
      </c>
      <c r="MC96" s="504">
        <v>0</v>
      </c>
      <c r="MD96" s="504">
        <v>0</v>
      </c>
      <c r="ME96" s="504">
        <v>0</v>
      </c>
      <c r="MF96" s="504">
        <v>0</v>
      </c>
      <c r="MG96" s="504">
        <v>0</v>
      </c>
      <c r="MH96" s="504">
        <v>0</v>
      </c>
      <c r="MI96" s="504">
        <v>0</v>
      </c>
      <c r="MJ96" s="504">
        <v>0</v>
      </c>
      <c r="MK96" s="504">
        <v>0</v>
      </c>
      <c r="ML96" s="504">
        <v>0</v>
      </c>
      <c r="MM96" s="504">
        <v>0</v>
      </c>
      <c r="MN96" s="504">
        <v>0</v>
      </c>
      <c r="MO96" s="504">
        <v>0</v>
      </c>
      <c r="MP96" s="504">
        <v>0</v>
      </c>
      <c r="MQ96" s="504">
        <v>0</v>
      </c>
      <c r="MR96" s="504">
        <v>0</v>
      </c>
      <c r="MS96" s="504">
        <v>0</v>
      </c>
      <c r="MT96" s="504">
        <v>0</v>
      </c>
      <c r="MU96" s="504">
        <v>0</v>
      </c>
      <c r="MV96" s="504">
        <v>0</v>
      </c>
      <c r="MW96" s="504">
        <v>0</v>
      </c>
      <c r="MX96" s="504">
        <v>0</v>
      </c>
      <c r="MY96" s="504">
        <v>0</v>
      </c>
      <c r="MZ96" s="504">
        <v>0</v>
      </c>
      <c r="NA96" s="504">
        <v>0</v>
      </c>
      <c r="NB96" s="504">
        <v>0</v>
      </c>
      <c r="NC96" s="504">
        <v>0</v>
      </c>
      <c r="ND96" s="504">
        <v>0</v>
      </c>
      <c r="NE96" s="504">
        <v>0</v>
      </c>
      <c r="NF96" s="504">
        <v>0</v>
      </c>
      <c r="NG96" s="504">
        <v>0</v>
      </c>
      <c r="NH96" s="504">
        <v>0</v>
      </c>
      <c r="NI96" s="504">
        <v>0</v>
      </c>
      <c r="NJ96" s="504">
        <v>0</v>
      </c>
      <c r="NK96" s="504">
        <v>0</v>
      </c>
      <c r="NL96" s="504">
        <v>0</v>
      </c>
      <c r="NM96" s="504">
        <v>0</v>
      </c>
      <c r="NN96" s="504">
        <v>0</v>
      </c>
      <c r="NO96" s="504">
        <v>0</v>
      </c>
      <c r="NP96" s="504">
        <v>0</v>
      </c>
      <c r="NQ96" s="504">
        <v>0</v>
      </c>
      <c r="NR96" s="504">
        <v>0</v>
      </c>
      <c r="NS96" s="504">
        <v>0</v>
      </c>
      <c r="NT96" s="504">
        <v>0</v>
      </c>
      <c r="NU96" s="504">
        <v>0</v>
      </c>
      <c r="NV96" s="504">
        <v>0</v>
      </c>
      <c r="NW96" s="504">
        <v>0</v>
      </c>
      <c r="NX96" s="504">
        <v>0</v>
      </c>
      <c r="NY96" s="504">
        <v>0</v>
      </c>
      <c r="NZ96" s="504">
        <v>0</v>
      </c>
      <c r="OA96" s="504">
        <v>0</v>
      </c>
      <c r="OB96" s="504">
        <v>0</v>
      </c>
      <c r="OC96" s="504">
        <v>0</v>
      </c>
      <c r="OD96" s="504">
        <v>0</v>
      </c>
      <c r="OE96" s="504">
        <v>0</v>
      </c>
      <c r="OF96" s="504">
        <v>0</v>
      </c>
      <c r="OG96" s="504">
        <v>0</v>
      </c>
      <c r="OH96" s="504">
        <v>0</v>
      </c>
      <c r="OI96" s="504">
        <v>0</v>
      </c>
      <c r="OJ96" s="504">
        <v>0</v>
      </c>
      <c r="OK96" s="504">
        <v>0</v>
      </c>
      <c r="OL96" s="504">
        <v>0</v>
      </c>
      <c r="OM96" s="504">
        <v>0</v>
      </c>
      <c r="ON96" s="494"/>
    </row>
    <row r="97" spans="1:404" ht="18.75" customHeight="1" x14ac:dyDescent="0.4">
      <c r="A97" s="511" t="s">
        <v>367</v>
      </c>
      <c r="B97" s="512">
        <v>123</v>
      </c>
      <c r="C97" s="511" t="s">
        <v>60</v>
      </c>
      <c r="D97" s="501">
        <v>20.61</v>
      </c>
      <c r="E97" s="502">
        <v>38370</v>
      </c>
      <c r="F97" s="501">
        <v>20.6</v>
      </c>
      <c r="G97" s="502">
        <v>11885</v>
      </c>
      <c r="H97" s="501">
        <v>20.6</v>
      </c>
      <c r="I97" s="502">
        <v>31752</v>
      </c>
      <c r="J97" s="501">
        <v>20.6</v>
      </c>
      <c r="K97" s="502">
        <v>38489</v>
      </c>
      <c r="V97" s="501"/>
      <c r="W97" s="503"/>
      <c r="X97" s="501"/>
      <c r="Y97" s="503"/>
      <c r="Z97" s="501"/>
      <c r="AA97" s="503"/>
      <c r="AB97" s="495"/>
      <c r="AC97" s="504">
        <v>0</v>
      </c>
      <c r="AD97" s="504">
        <v>0</v>
      </c>
      <c r="AE97" s="504">
        <v>0</v>
      </c>
      <c r="AF97" s="504">
        <v>0</v>
      </c>
      <c r="AG97" s="504">
        <v>0</v>
      </c>
      <c r="AH97" s="504">
        <v>0</v>
      </c>
      <c r="AI97" s="504">
        <v>0</v>
      </c>
      <c r="AJ97" s="504">
        <v>0</v>
      </c>
      <c r="AK97" s="504">
        <v>0</v>
      </c>
      <c r="AL97" s="504">
        <v>0</v>
      </c>
      <c r="AM97" s="504">
        <v>0</v>
      </c>
      <c r="AN97" s="504">
        <v>0</v>
      </c>
      <c r="AO97" s="504">
        <v>0</v>
      </c>
      <c r="AP97" s="504">
        <v>0</v>
      </c>
      <c r="AQ97" s="504">
        <v>0</v>
      </c>
      <c r="AR97" s="504">
        <v>0</v>
      </c>
      <c r="AS97" s="504">
        <v>0</v>
      </c>
      <c r="AT97" s="504">
        <v>0</v>
      </c>
      <c r="AU97" s="504">
        <v>0</v>
      </c>
      <c r="AV97" s="504">
        <v>0</v>
      </c>
      <c r="AW97" s="504">
        <v>0</v>
      </c>
      <c r="AX97" s="504">
        <v>0</v>
      </c>
      <c r="AY97" s="504">
        <v>0</v>
      </c>
      <c r="AZ97" s="504">
        <v>0</v>
      </c>
      <c r="BA97" s="504">
        <v>0</v>
      </c>
      <c r="BB97" s="504">
        <v>0</v>
      </c>
      <c r="BC97" s="504">
        <v>0</v>
      </c>
      <c r="BD97" s="504">
        <v>0</v>
      </c>
      <c r="BE97" s="504">
        <v>0</v>
      </c>
      <c r="BF97" s="504">
        <v>0</v>
      </c>
      <c r="BG97" s="504">
        <v>0</v>
      </c>
      <c r="BH97" s="504">
        <v>0</v>
      </c>
      <c r="BI97" s="504">
        <v>0</v>
      </c>
      <c r="BJ97" s="504">
        <v>0</v>
      </c>
      <c r="BK97" s="504">
        <v>0</v>
      </c>
      <c r="BL97" s="504">
        <v>0</v>
      </c>
      <c r="BM97" s="504">
        <v>0</v>
      </c>
      <c r="BN97" s="504">
        <v>0</v>
      </c>
      <c r="BO97" s="504">
        <v>0</v>
      </c>
      <c r="BP97" s="504">
        <v>0</v>
      </c>
      <c r="BQ97" s="504">
        <v>0</v>
      </c>
      <c r="BR97" s="504">
        <v>0</v>
      </c>
      <c r="BS97" s="504">
        <v>0</v>
      </c>
      <c r="BT97" s="504">
        <v>0</v>
      </c>
      <c r="BU97" s="504">
        <v>0</v>
      </c>
      <c r="BV97" s="504">
        <v>0</v>
      </c>
      <c r="BW97" s="504">
        <v>0</v>
      </c>
      <c r="BX97" s="504">
        <v>0</v>
      </c>
      <c r="BY97" s="504">
        <v>0</v>
      </c>
      <c r="BZ97" s="504">
        <v>0</v>
      </c>
      <c r="CA97" s="504">
        <v>0</v>
      </c>
      <c r="CB97" s="504">
        <v>0</v>
      </c>
      <c r="CC97" s="504">
        <v>0</v>
      </c>
      <c r="CD97" s="504">
        <v>0</v>
      </c>
      <c r="CE97" s="504">
        <v>0</v>
      </c>
      <c r="CF97" s="504">
        <v>0</v>
      </c>
      <c r="CG97" s="504">
        <v>0</v>
      </c>
      <c r="CH97" s="504">
        <v>0</v>
      </c>
      <c r="CI97" s="504">
        <v>0</v>
      </c>
      <c r="CJ97" s="504">
        <v>0</v>
      </c>
      <c r="CK97" s="504">
        <v>0</v>
      </c>
      <c r="CL97" s="504">
        <v>0</v>
      </c>
      <c r="CM97" s="504">
        <v>0</v>
      </c>
      <c r="CN97" s="504">
        <v>0</v>
      </c>
      <c r="CO97" s="504">
        <v>0</v>
      </c>
      <c r="CP97" s="504">
        <v>0</v>
      </c>
      <c r="CQ97" s="504">
        <v>0</v>
      </c>
      <c r="CR97" s="504">
        <v>0</v>
      </c>
      <c r="CS97" s="504">
        <v>0</v>
      </c>
      <c r="CT97" s="504">
        <v>0</v>
      </c>
      <c r="CU97" s="504">
        <v>0</v>
      </c>
      <c r="CV97" s="504">
        <v>0</v>
      </c>
      <c r="CW97" s="504">
        <v>0</v>
      </c>
      <c r="CX97" s="504">
        <v>0</v>
      </c>
      <c r="CY97" s="504">
        <v>0</v>
      </c>
      <c r="CZ97" s="504">
        <v>0</v>
      </c>
      <c r="DA97" s="504">
        <v>0</v>
      </c>
      <c r="DB97" s="504">
        <v>0</v>
      </c>
      <c r="DC97" s="504">
        <v>0</v>
      </c>
      <c r="DD97" s="504">
        <v>0</v>
      </c>
      <c r="DE97" s="504">
        <v>0</v>
      </c>
      <c r="DF97" s="504">
        <v>0</v>
      </c>
      <c r="DG97" s="504">
        <v>0</v>
      </c>
      <c r="DH97" s="504">
        <v>0</v>
      </c>
      <c r="DI97" s="504">
        <v>0</v>
      </c>
      <c r="DJ97" s="504">
        <v>0</v>
      </c>
      <c r="DK97" s="504">
        <v>0</v>
      </c>
      <c r="DL97" s="504">
        <v>0</v>
      </c>
      <c r="DM97" s="504">
        <v>0</v>
      </c>
      <c r="DN97" s="504">
        <v>0</v>
      </c>
      <c r="DO97" s="504">
        <v>0</v>
      </c>
      <c r="DP97" s="504">
        <v>0</v>
      </c>
      <c r="DQ97" s="504">
        <v>0</v>
      </c>
      <c r="DR97" s="504">
        <v>0</v>
      </c>
      <c r="DS97" s="504">
        <v>0</v>
      </c>
      <c r="DT97" s="504">
        <v>0</v>
      </c>
      <c r="DU97" s="504">
        <v>0</v>
      </c>
      <c r="DV97" s="504">
        <v>0</v>
      </c>
      <c r="DW97" s="504">
        <v>0</v>
      </c>
      <c r="DX97" s="504">
        <v>0</v>
      </c>
      <c r="DY97" s="504">
        <v>0</v>
      </c>
      <c r="DZ97" s="504">
        <v>0</v>
      </c>
      <c r="EA97" s="504">
        <v>0</v>
      </c>
      <c r="EB97" s="504">
        <v>0</v>
      </c>
      <c r="EC97" s="504">
        <v>0</v>
      </c>
      <c r="ED97" s="504">
        <v>0</v>
      </c>
      <c r="EE97" s="504">
        <v>0</v>
      </c>
      <c r="EF97" s="504">
        <v>0</v>
      </c>
      <c r="EG97" s="504">
        <v>0</v>
      </c>
      <c r="EH97" s="504">
        <v>0</v>
      </c>
      <c r="EI97" s="504">
        <v>0</v>
      </c>
      <c r="EJ97" s="504">
        <v>0</v>
      </c>
      <c r="EK97" s="504">
        <v>0</v>
      </c>
      <c r="EL97" s="504">
        <v>0</v>
      </c>
      <c r="EM97" s="504">
        <v>0</v>
      </c>
      <c r="EN97" s="504">
        <v>0</v>
      </c>
      <c r="EO97" s="504">
        <v>0</v>
      </c>
      <c r="EP97" s="504">
        <v>0</v>
      </c>
      <c r="EQ97" s="504">
        <v>0</v>
      </c>
      <c r="ER97" s="504">
        <v>0</v>
      </c>
      <c r="ES97" s="504">
        <v>0</v>
      </c>
      <c r="ET97" s="504">
        <v>0</v>
      </c>
      <c r="EU97" s="504">
        <v>0</v>
      </c>
      <c r="EV97" s="504">
        <v>0</v>
      </c>
      <c r="EW97" s="504">
        <v>0</v>
      </c>
      <c r="EX97" s="504">
        <v>0</v>
      </c>
      <c r="EY97" s="504">
        <v>0</v>
      </c>
      <c r="EZ97" s="504">
        <v>0</v>
      </c>
      <c r="FA97" s="504">
        <v>0</v>
      </c>
      <c r="FB97" s="504">
        <v>0</v>
      </c>
      <c r="FC97" s="504">
        <v>0</v>
      </c>
      <c r="FD97" s="504">
        <v>0</v>
      </c>
      <c r="FE97" s="504">
        <v>0</v>
      </c>
      <c r="FF97" s="504">
        <v>0</v>
      </c>
      <c r="FG97" s="504">
        <v>0</v>
      </c>
      <c r="FH97" s="504">
        <v>0</v>
      </c>
      <c r="FI97" s="504">
        <v>0</v>
      </c>
      <c r="FJ97" s="504">
        <v>0</v>
      </c>
      <c r="FK97" s="504">
        <v>0</v>
      </c>
      <c r="FL97" s="504">
        <v>0</v>
      </c>
      <c r="FM97" s="504">
        <v>0</v>
      </c>
      <c r="FN97" s="504">
        <v>0</v>
      </c>
      <c r="FO97" s="504">
        <v>0</v>
      </c>
      <c r="FP97" s="504">
        <v>0</v>
      </c>
      <c r="FQ97" s="504">
        <v>0</v>
      </c>
      <c r="FR97" s="504">
        <v>0</v>
      </c>
      <c r="FS97" s="504">
        <v>0</v>
      </c>
      <c r="FT97" s="504">
        <v>0</v>
      </c>
      <c r="FU97" s="504">
        <v>0</v>
      </c>
      <c r="FV97" s="504">
        <v>0</v>
      </c>
      <c r="FW97" s="504">
        <v>0</v>
      </c>
      <c r="FX97" s="504">
        <v>0</v>
      </c>
      <c r="FY97" s="504">
        <v>0</v>
      </c>
      <c r="FZ97" s="504">
        <v>0</v>
      </c>
      <c r="GA97" s="504">
        <v>0</v>
      </c>
      <c r="GB97" s="504">
        <v>0</v>
      </c>
      <c r="GC97" s="504">
        <v>0</v>
      </c>
      <c r="GD97" s="504">
        <v>0</v>
      </c>
      <c r="GE97" s="504">
        <v>0</v>
      </c>
      <c r="GF97" s="504">
        <v>0</v>
      </c>
      <c r="GG97" s="504">
        <v>0</v>
      </c>
      <c r="GH97" s="504">
        <v>0</v>
      </c>
      <c r="GI97" s="504">
        <v>0</v>
      </c>
      <c r="GJ97" s="504">
        <v>0</v>
      </c>
      <c r="GK97" s="504">
        <v>0</v>
      </c>
      <c r="GL97" s="504">
        <v>0</v>
      </c>
      <c r="GM97" s="504">
        <v>0</v>
      </c>
      <c r="GN97" s="504">
        <v>0</v>
      </c>
      <c r="GO97" s="504">
        <v>0</v>
      </c>
      <c r="GP97" s="504">
        <v>0</v>
      </c>
      <c r="GQ97" s="504">
        <v>0</v>
      </c>
      <c r="GR97" s="504">
        <v>0</v>
      </c>
      <c r="GS97" s="504">
        <v>0</v>
      </c>
      <c r="GT97" s="504">
        <v>0</v>
      </c>
      <c r="GU97" s="504">
        <v>0</v>
      </c>
      <c r="GV97" s="504">
        <v>0</v>
      </c>
      <c r="GW97" s="504">
        <v>0</v>
      </c>
      <c r="GX97" s="504">
        <v>0</v>
      </c>
      <c r="GY97" s="504">
        <v>0</v>
      </c>
      <c r="GZ97" s="504">
        <v>0</v>
      </c>
      <c r="HA97" s="504">
        <v>0</v>
      </c>
      <c r="HB97" s="504">
        <v>0</v>
      </c>
      <c r="HC97" s="504">
        <v>0</v>
      </c>
      <c r="HD97" s="504">
        <v>0</v>
      </c>
      <c r="HE97" s="504">
        <v>0</v>
      </c>
      <c r="HF97" s="504">
        <v>0</v>
      </c>
      <c r="HG97" s="504">
        <v>0</v>
      </c>
      <c r="HH97" s="504">
        <v>0</v>
      </c>
      <c r="HI97" s="504">
        <v>0</v>
      </c>
      <c r="HJ97" s="504">
        <v>0</v>
      </c>
      <c r="HK97" s="504">
        <v>0</v>
      </c>
      <c r="HL97" s="504">
        <v>0</v>
      </c>
      <c r="HM97" s="504">
        <v>0</v>
      </c>
      <c r="HN97" s="504">
        <v>0</v>
      </c>
      <c r="HO97" s="504">
        <v>0</v>
      </c>
      <c r="HP97" s="504">
        <v>0</v>
      </c>
      <c r="HQ97" s="504">
        <v>0</v>
      </c>
      <c r="HR97" s="504">
        <v>0</v>
      </c>
      <c r="HS97" s="504">
        <v>0</v>
      </c>
      <c r="HT97" s="504">
        <v>0</v>
      </c>
      <c r="HU97" s="504">
        <v>0</v>
      </c>
      <c r="HV97" s="504">
        <v>0</v>
      </c>
      <c r="HW97" s="504">
        <v>0</v>
      </c>
      <c r="HX97" s="504">
        <v>0</v>
      </c>
      <c r="HY97" s="504">
        <v>0</v>
      </c>
      <c r="HZ97" s="504">
        <v>0</v>
      </c>
      <c r="IA97" s="504">
        <v>0</v>
      </c>
      <c r="IB97" s="504">
        <v>0</v>
      </c>
      <c r="IC97" s="504">
        <v>0</v>
      </c>
      <c r="ID97" s="504">
        <v>0</v>
      </c>
      <c r="IE97" s="504">
        <v>0</v>
      </c>
      <c r="IF97" s="504">
        <v>0</v>
      </c>
      <c r="IG97" s="504">
        <v>0</v>
      </c>
      <c r="IH97" s="504">
        <v>0</v>
      </c>
      <c r="II97" s="504">
        <v>0</v>
      </c>
      <c r="IJ97" s="504">
        <v>0</v>
      </c>
      <c r="IK97" s="504">
        <v>0</v>
      </c>
      <c r="IL97" s="504">
        <v>0</v>
      </c>
      <c r="IM97" s="504">
        <v>0</v>
      </c>
      <c r="IN97" s="504">
        <v>0</v>
      </c>
      <c r="IO97" s="504">
        <v>0</v>
      </c>
      <c r="IP97" s="504">
        <v>0</v>
      </c>
      <c r="IQ97" s="504">
        <v>0</v>
      </c>
      <c r="IR97" s="504">
        <v>0</v>
      </c>
      <c r="IS97" s="504">
        <v>0</v>
      </c>
      <c r="IT97" s="504">
        <v>0</v>
      </c>
      <c r="IU97" s="504">
        <v>0</v>
      </c>
      <c r="IV97" s="504">
        <v>0</v>
      </c>
      <c r="IW97" s="504">
        <v>0</v>
      </c>
      <c r="IX97" s="504">
        <v>0</v>
      </c>
      <c r="IY97" s="504">
        <v>0</v>
      </c>
      <c r="IZ97" s="504">
        <v>0</v>
      </c>
      <c r="JA97" s="504">
        <v>0</v>
      </c>
      <c r="JB97" s="504">
        <v>0</v>
      </c>
      <c r="JC97" s="504">
        <v>0</v>
      </c>
      <c r="JD97" s="504">
        <v>0</v>
      </c>
      <c r="JE97" s="504">
        <v>0</v>
      </c>
      <c r="JF97" s="504">
        <v>0</v>
      </c>
      <c r="JG97" s="504">
        <v>0</v>
      </c>
      <c r="JH97" s="504">
        <v>0</v>
      </c>
      <c r="JI97" s="504">
        <v>0</v>
      </c>
      <c r="JJ97" s="504">
        <v>0</v>
      </c>
      <c r="JK97" s="504">
        <v>0</v>
      </c>
      <c r="JL97" s="504">
        <v>0</v>
      </c>
      <c r="JM97" s="504">
        <v>0</v>
      </c>
      <c r="JN97" s="504">
        <v>0</v>
      </c>
      <c r="JO97" s="504">
        <v>0</v>
      </c>
      <c r="JP97" s="504">
        <v>0</v>
      </c>
      <c r="JQ97" s="504">
        <v>0</v>
      </c>
      <c r="JR97" s="504">
        <v>0</v>
      </c>
      <c r="JS97" s="504">
        <v>0</v>
      </c>
      <c r="JT97" s="504">
        <v>0</v>
      </c>
      <c r="JU97" s="504">
        <v>0</v>
      </c>
      <c r="JV97" s="504">
        <v>0</v>
      </c>
      <c r="JW97" s="504">
        <v>0</v>
      </c>
      <c r="JX97" s="504">
        <v>0</v>
      </c>
      <c r="JY97" s="504">
        <v>0</v>
      </c>
      <c r="JZ97" s="504">
        <v>0</v>
      </c>
      <c r="KA97" s="504">
        <v>0</v>
      </c>
      <c r="KB97" s="504">
        <v>0</v>
      </c>
      <c r="KC97" s="504">
        <v>0</v>
      </c>
      <c r="KD97" s="504">
        <v>0</v>
      </c>
      <c r="KE97" s="504">
        <v>0</v>
      </c>
      <c r="KF97" s="504">
        <v>0</v>
      </c>
      <c r="KG97" s="504">
        <v>0</v>
      </c>
      <c r="KH97" s="504">
        <v>0</v>
      </c>
      <c r="KI97" s="504">
        <v>0</v>
      </c>
      <c r="KJ97" s="504">
        <v>0</v>
      </c>
      <c r="KK97" s="504">
        <v>0</v>
      </c>
      <c r="KL97" s="504">
        <v>0</v>
      </c>
      <c r="KM97" s="504">
        <v>0</v>
      </c>
      <c r="KN97" s="504">
        <v>0</v>
      </c>
      <c r="KO97" s="504">
        <v>0</v>
      </c>
      <c r="KP97" s="504">
        <v>0</v>
      </c>
      <c r="KQ97" s="504">
        <v>0</v>
      </c>
      <c r="KR97" s="504">
        <v>0</v>
      </c>
      <c r="KS97" s="504">
        <v>0</v>
      </c>
      <c r="KT97" s="504">
        <v>0</v>
      </c>
      <c r="KU97" s="504">
        <v>0</v>
      </c>
      <c r="KV97" s="504">
        <v>0</v>
      </c>
      <c r="KW97" s="504">
        <v>0</v>
      </c>
      <c r="KX97" s="504">
        <v>0</v>
      </c>
      <c r="KY97" s="504">
        <v>0</v>
      </c>
      <c r="KZ97" s="504">
        <v>0</v>
      </c>
      <c r="LA97" s="504">
        <v>0</v>
      </c>
      <c r="LB97" s="504">
        <v>0</v>
      </c>
      <c r="LC97" s="504">
        <v>0</v>
      </c>
      <c r="LD97" s="504">
        <v>0</v>
      </c>
      <c r="LE97" s="504">
        <v>0</v>
      </c>
      <c r="LF97" s="504">
        <v>0</v>
      </c>
      <c r="LG97" s="504">
        <v>0</v>
      </c>
      <c r="LH97" s="504">
        <v>0</v>
      </c>
      <c r="LI97" s="504">
        <v>0</v>
      </c>
      <c r="LJ97" s="504">
        <v>0</v>
      </c>
      <c r="LK97" s="504">
        <v>0</v>
      </c>
      <c r="LL97" s="504">
        <v>0</v>
      </c>
      <c r="LM97" s="504">
        <v>0</v>
      </c>
      <c r="LN97" s="504">
        <v>0</v>
      </c>
      <c r="LO97" s="504">
        <v>0</v>
      </c>
      <c r="LP97" s="504">
        <v>0</v>
      </c>
      <c r="LQ97" s="504">
        <v>0</v>
      </c>
      <c r="LR97" s="504">
        <v>0</v>
      </c>
      <c r="LS97" s="504">
        <v>0</v>
      </c>
      <c r="LT97" s="504">
        <v>0</v>
      </c>
      <c r="LU97" s="504">
        <v>0</v>
      </c>
      <c r="LV97" s="504">
        <v>0</v>
      </c>
      <c r="LW97" s="504">
        <v>0</v>
      </c>
      <c r="LX97" s="504">
        <v>0</v>
      </c>
      <c r="LY97" s="504">
        <v>0</v>
      </c>
      <c r="LZ97" s="504">
        <v>0</v>
      </c>
      <c r="MA97" s="504">
        <v>0</v>
      </c>
      <c r="MB97" s="504">
        <v>0</v>
      </c>
      <c r="MC97" s="504">
        <v>0</v>
      </c>
      <c r="MD97" s="504">
        <v>0</v>
      </c>
      <c r="ME97" s="504">
        <v>0</v>
      </c>
      <c r="MF97" s="504">
        <v>0</v>
      </c>
      <c r="MG97" s="504">
        <v>0</v>
      </c>
      <c r="MH97" s="504">
        <v>0</v>
      </c>
      <c r="MI97" s="504">
        <v>0</v>
      </c>
      <c r="MJ97" s="504">
        <v>0</v>
      </c>
      <c r="MK97" s="504">
        <v>0</v>
      </c>
      <c r="ML97" s="504">
        <v>0</v>
      </c>
      <c r="MM97" s="504">
        <v>0</v>
      </c>
      <c r="MN97" s="504">
        <v>0</v>
      </c>
      <c r="MO97" s="504">
        <v>0</v>
      </c>
      <c r="MP97" s="504">
        <v>0</v>
      </c>
      <c r="MQ97" s="504">
        <v>0</v>
      </c>
      <c r="MR97" s="504">
        <v>0</v>
      </c>
      <c r="MS97" s="504">
        <v>0</v>
      </c>
      <c r="MT97" s="504">
        <v>0</v>
      </c>
      <c r="MU97" s="504">
        <v>0</v>
      </c>
      <c r="MV97" s="504">
        <v>0</v>
      </c>
      <c r="MW97" s="504">
        <v>0</v>
      </c>
      <c r="MX97" s="504">
        <v>0</v>
      </c>
      <c r="MY97" s="504">
        <v>0</v>
      </c>
      <c r="MZ97" s="504">
        <v>0</v>
      </c>
      <c r="NA97" s="504">
        <v>0</v>
      </c>
      <c r="NB97" s="504">
        <v>0</v>
      </c>
      <c r="NC97" s="504">
        <v>0</v>
      </c>
      <c r="ND97" s="504">
        <v>0</v>
      </c>
      <c r="NE97" s="504">
        <v>0</v>
      </c>
      <c r="NF97" s="504">
        <v>0</v>
      </c>
      <c r="NG97" s="504">
        <v>0</v>
      </c>
      <c r="NH97" s="504">
        <v>0</v>
      </c>
      <c r="NI97" s="504">
        <v>0</v>
      </c>
      <c r="NJ97" s="504">
        <v>0</v>
      </c>
      <c r="NK97" s="504">
        <v>0</v>
      </c>
      <c r="NL97" s="504">
        <v>0</v>
      </c>
      <c r="NM97" s="504">
        <v>0</v>
      </c>
      <c r="NN97" s="504">
        <v>0</v>
      </c>
      <c r="NO97" s="504">
        <v>0</v>
      </c>
      <c r="NP97" s="504">
        <v>0</v>
      </c>
      <c r="NQ97" s="504">
        <v>0</v>
      </c>
      <c r="NR97" s="504">
        <v>0</v>
      </c>
      <c r="NS97" s="504">
        <v>0</v>
      </c>
      <c r="NT97" s="504">
        <v>0</v>
      </c>
      <c r="NU97" s="504">
        <v>0</v>
      </c>
      <c r="NV97" s="504">
        <v>0</v>
      </c>
      <c r="NW97" s="504">
        <v>0</v>
      </c>
      <c r="NX97" s="504">
        <v>0</v>
      </c>
      <c r="NY97" s="504">
        <v>0</v>
      </c>
      <c r="NZ97" s="504">
        <v>0</v>
      </c>
      <c r="OA97" s="504">
        <v>0</v>
      </c>
      <c r="OB97" s="504">
        <v>0</v>
      </c>
      <c r="OC97" s="504">
        <v>0</v>
      </c>
      <c r="OD97" s="504">
        <v>0</v>
      </c>
      <c r="OE97" s="504">
        <v>0</v>
      </c>
      <c r="OF97" s="504">
        <v>0</v>
      </c>
      <c r="OG97" s="504">
        <v>0</v>
      </c>
      <c r="OH97" s="504">
        <v>0</v>
      </c>
      <c r="OI97" s="504">
        <v>0</v>
      </c>
      <c r="OJ97" s="504">
        <v>0</v>
      </c>
      <c r="OK97" s="504">
        <v>0</v>
      </c>
      <c r="OL97" s="504">
        <v>0</v>
      </c>
      <c r="OM97" s="504">
        <v>0</v>
      </c>
      <c r="ON97" s="494"/>
    </row>
    <row r="98" spans="1:404" ht="18.75" customHeight="1" x14ac:dyDescent="0.4">
      <c r="A98" s="511" t="s">
        <v>368</v>
      </c>
      <c r="B98" s="512">
        <v>162</v>
      </c>
      <c r="C98" s="511" t="s">
        <v>94</v>
      </c>
      <c r="D98" s="501">
        <v>20.14</v>
      </c>
      <c r="E98" s="502">
        <v>203716</v>
      </c>
      <c r="F98" s="501">
        <v>20.13</v>
      </c>
      <c r="G98" s="502">
        <v>28256</v>
      </c>
      <c r="H98" s="501">
        <v>20.13</v>
      </c>
      <c r="I98" s="502">
        <v>84859</v>
      </c>
      <c r="J98" s="501">
        <v>20.13</v>
      </c>
      <c r="K98" s="502">
        <v>102967</v>
      </c>
      <c r="V98" s="501"/>
      <c r="W98" s="503"/>
      <c r="X98" s="501"/>
      <c r="Y98" s="503"/>
      <c r="Z98" s="501"/>
      <c r="AA98" s="503"/>
      <c r="AB98" s="495"/>
      <c r="AC98" s="504">
        <v>0</v>
      </c>
      <c r="AD98" s="504">
        <v>0</v>
      </c>
      <c r="AE98" s="504">
        <v>0</v>
      </c>
      <c r="AF98" s="504">
        <v>0</v>
      </c>
      <c r="AG98" s="504">
        <v>0</v>
      </c>
      <c r="AH98" s="504">
        <v>0</v>
      </c>
      <c r="AI98" s="504">
        <v>0</v>
      </c>
      <c r="AJ98" s="504">
        <v>0</v>
      </c>
      <c r="AK98" s="504">
        <v>0</v>
      </c>
      <c r="AL98" s="504">
        <v>0</v>
      </c>
      <c r="AM98" s="504">
        <v>0</v>
      </c>
      <c r="AN98" s="504">
        <v>0</v>
      </c>
      <c r="AO98" s="504">
        <v>0</v>
      </c>
      <c r="AP98" s="504">
        <v>0</v>
      </c>
      <c r="AQ98" s="504">
        <v>0</v>
      </c>
      <c r="AR98" s="504">
        <v>0</v>
      </c>
      <c r="AS98" s="504">
        <v>0</v>
      </c>
      <c r="AT98" s="504">
        <v>0</v>
      </c>
      <c r="AU98" s="504">
        <v>0</v>
      </c>
      <c r="AV98" s="504">
        <v>0</v>
      </c>
      <c r="AW98" s="504">
        <v>0</v>
      </c>
      <c r="AX98" s="504">
        <v>0</v>
      </c>
      <c r="AY98" s="504">
        <v>0</v>
      </c>
      <c r="AZ98" s="504">
        <v>0</v>
      </c>
      <c r="BA98" s="504">
        <v>0</v>
      </c>
      <c r="BB98" s="504">
        <v>0</v>
      </c>
      <c r="BC98" s="504">
        <v>0</v>
      </c>
      <c r="BD98" s="504">
        <v>0</v>
      </c>
      <c r="BE98" s="504">
        <v>0</v>
      </c>
      <c r="BF98" s="504">
        <v>0</v>
      </c>
      <c r="BG98" s="504">
        <v>0</v>
      </c>
      <c r="BH98" s="504">
        <v>0</v>
      </c>
      <c r="BI98" s="504">
        <v>0</v>
      </c>
      <c r="BJ98" s="504">
        <v>0</v>
      </c>
      <c r="BK98" s="504">
        <v>0</v>
      </c>
      <c r="BL98" s="504">
        <v>0</v>
      </c>
      <c r="BM98" s="504">
        <v>0</v>
      </c>
      <c r="BN98" s="504">
        <v>0</v>
      </c>
      <c r="BO98" s="504">
        <v>0</v>
      </c>
      <c r="BP98" s="504">
        <v>0</v>
      </c>
      <c r="BQ98" s="504">
        <v>0</v>
      </c>
      <c r="BR98" s="504">
        <v>0</v>
      </c>
      <c r="BS98" s="504">
        <v>0</v>
      </c>
      <c r="BT98" s="504">
        <v>0</v>
      </c>
      <c r="BU98" s="504">
        <v>0</v>
      </c>
      <c r="BV98" s="504">
        <v>0</v>
      </c>
      <c r="BW98" s="504">
        <v>0</v>
      </c>
      <c r="BX98" s="504">
        <v>0</v>
      </c>
      <c r="BY98" s="504">
        <v>0</v>
      </c>
      <c r="BZ98" s="504">
        <v>0</v>
      </c>
      <c r="CA98" s="504">
        <v>0</v>
      </c>
      <c r="CB98" s="504">
        <v>0</v>
      </c>
      <c r="CC98" s="504">
        <v>0</v>
      </c>
      <c r="CD98" s="504">
        <v>0</v>
      </c>
      <c r="CE98" s="504">
        <v>0</v>
      </c>
      <c r="CF98" s="504">
        <v>0</v>
      </c>
      <c r="CG98" s="504">
        <v>0</v>
      </c>
      <c r="CH98" s="504">
        <v>0</v>
      </c>
      <c r="CI98" s="504">
        <v>0</v>
      </c>
      <c r="CJ98" s="504">
        <v>0</v>
      </c>
      <c r="CK98" s="504">
        <v>0</v>
      </c>
      <c r="CL98" s="504">
        <v>0</v>
      </c>
      <c r="CM98" s="504">
        <v>0</v>
      </c>
      <c r="CN98" s="504">
        <v>0</v>
      </c>
      <c r="CO98" s="504">
        <v>0</v>
      </c>
      <c r="CP98" s="504">
        <v>0</v>
      </c>
      <c r="CQ98" s="504">
        <v>0</v>
      </c>
      <c r="CR98" s="504">
        <v>0</v>
      </c>
      <c r="CS98" s="504">
        <v>0</v>
      </c>
      <c r="CT98" s="504">
        <v>0</v>
      </c>
      <c r="CU98" s="504">
        <v>0</v>
      </c>
      <c r="CV98" s="504">
        <v>0</v>
      </c>
      <c r="CW98" s="504">
        <v>0</v>
      </c>
      <c r="CX98" s="504">
        <v>0</v>
      </c>
      <c r="CY98" s="504">
        <v>0</v>
      </c>
      <c r="CZ98" s="504">
        <v>0</v>
      </c>
      <c r="DA98" s="504">
        <v>0</v>
      </c>
      <c r="DB98" s="504">
        <v>0</v>
      </c>
      <c r="DC98" s="504">
        <v>0</v>
      </c>
      <c r="DD98" s="504">
        <v>0</v>
      </c>
      <c r="DE98" s="504">
        <v>0</v>
      </c>
      <c r="DF98" s="504">
        <v>0</v>
      </c>
      <c r="DG98" s="504">
        <v>0</v>
      </c>
      <c r="DH98" s="504">
        <v>0</v>
      </c>
      <c r="DI98" s="504">
        <v>0</v>
      </c>
      <c r="DJ98" s="504">
        <v>0</v>
      </c>
      <c r="DK98" s="504">
        <v>0</v>
      </c>
      <c r="DL98" s="504">
        <v>0</v>
      </c>
      <c r="DM98" s="504">
        <v>0</v>
      </c>
      <c r="DN98" s="504">
        <v>0</v>
      </c>
      <c r="DO98" s="504">
        <v>0</v>
      </c>
      <c r="DP98" s="504">
        <v>0</v>
      </c>
      <c r="DQ98" s="504">
        <v>0</v>
      </c>
      <c r="DR98" s="504">
        <v>0</v>
      </c>
      <c r="DS98" s="504">
        <v>0</v>
      </c>
      <c r="DT98" s="504">
        <v>0</v>
      </c>
      <c r="DU98" s="504">
        <v>0</v>
      </c>
      <c r="DV98" s="504">
        <v>0</v>
      </c>
      <c r="DW98" s="504">
        <v>0</v>
      </c>
      <c r="DX98" s="504">
        <v>0</v>
      </c>
      <c r="DY98" s="504">
        <v>0</v>
      </c>
      <c r="DZ98" s="504">
        <v>0</v>
      </c>
      <c r="EA98" s="504">
        <v>0</v>
      </c>
      <c r="EB98" s="504">
        <v>0</v>
      </c>
      <c r="EC98" s="504">
        <v>0</v>
      </c>
      <c r="ED98" s="504">
        <v>0</v>
      </c>
      <c r="EE98" s="504">
        <v>0</v>
      </c>
      <c r="EF98" s="504">
        <v>0</v>
      </c>
      <c r="EG98" s="504">
        <v>0</v>
      </c>
      <c r="EH98" s="504">
        <v>0</v>
      </c>
      <c r="EI98" s="504">
        <v>0</v>
      </c>
      <c r="EJ98" s="504">
        <v>0</v>
      </c>
      <c r="EK98" s="504">
        <v>0</v>
      </c>
      <c r="EL98" s="504">
        <v>0</v>
      </c>
      <c r="EM98" s="504">
        <v>0</v>
      </c>
      <c r="EN98" s="504">
        <v>0</v>
      </c>
      <c r="EO98" s="504">
        <v>0</v>
      </c>
      <c r="EP98" s="504">
        <v>0</v>
      </c>
      <c r="EQ98" s="504">
        <v>0</v>
      </c>
      <c r="ER98" s="504">
        <v>0</v>
      </c>
      <c r="ES98" s="504">
        <v>0</v>
      </c>
      <c r="ET98" s="504">
        <v>0</v>
      </c>
      <c r="EU98" s="504">
        <v>0</v>
      </c>
      <c r="EV98" s="504">
        <v>0</v>
      </c>
      <c r="EW98" s="504">
        <v>0</v>
      </c>
      <c r="EX98" s="504">
        <v>0</v>
      </c>
      <c r="EY98" s="504">
        <v>0</v>
      </c>
      <c r="EZ98" s="504">
        <v>0</v>
      </c>
      <c r="FA98" s="504">
        <v>0</v>
      </c>
      <c r="FB98" s="504">
        <v>0</v>
      </c>
      <c r="FC98" s="504">
        <v>0</v>
      </c>
      <c r="FD98" s="504">
        <v>0</v>
      </c>
      <c r="FE98" s="504">
        <v>0</v>
      </c>
      <c r="FF98" s="504">
        <v>0</v>
      </c>
      <c r="FG98" s="504">
        <v>0</v>
      </c>
      <c r="FH98" s="504">
        <v>0</v>
      </c>
      <c r="FI98" s="504">
        <v>0</v>
      </c>
      <c r="FJ98" s="504">
        <v>0</v>
      </c>
      <c r="FK98" s="504">
        <v>0</v>
      </c>
      <c r="FL98" s="504">
        <v>0</v>
      </c>
      <c r="FM98" s="504">
        <v>0</v>
      </c>
      <c r="FN98" s="504">
        <v>0</v>
      </c>
      <c r="FO98" s="504">
        <v>0</v>
      </c>
      <c r="FP98" s="504">
        <v>0</v>
      </c>
      <c r="FQ98" s="504">
        <v>0</v>
      </c>
      <c r="FR98" s="504">
        <v>0</v>
      </c>
      <c r="FS98" s="504">
        <v>0</v>
      </c>
      <c r="FT98" s="504">
        <v>0</v>
      </c>
      <c r="FU98" s="504">
        <v>0</v>
      </c>
      <c r="FV98" s="504">
        <v>0</v>
      </c>
      <c r="FW98" s="504">
        <v>0</v>
      </c>
      <c r="FX98" s="504">
        <v>0</v>
      </c>
      <c r="FY98" s="504">
        <v>0</v>
      </c>
      <c r="FZ98" s="504">
        <v>0</v>
      </c>
      <c r="GA98" s="504">
        <v>0</v>
      </c>
      <c r="GB98" s="504">
        <v>0</v>
      </c>
      <c r="GC98" s="504">
        <v>0</v>
      </c>
      <c r="GD98" s="504">
        <v>0</v>
      </c>
      <c r="GE98" s="504">
        <v>0</v>
      </c>
      <c r="GF98" s="504">
        <v>0</v>
      </c>
      <c r="GG98" s="504">
        <v>0</v>
      </c>
      <c r="GH98" s="504">
        <v>0</v>
      </c>
      <c r="GI98" s="504">
        <v>0</v>
      </c>
      <c r="GJ98" s="504">
        <v>0</v>
      </c>
      <c r="GK98" s="504">
        <v>0</v>
      </c>
      <c r="GL98" s="504">
        <v>0</v>
      </c>
      <c r="GM98" s="504">
        <v>0</v>
      </c>
      <c r="GN98" s="504">
        <v>0</v>
      </c>
      <c r="GO98" s="504">
        <v>0</v>
      </c>
      <c r="GP98" s="504">
        <v>0</v>
      </c>
      <c r="GQ98" s="504">
        <v>0</v>
      </c>
      <c r="GR98" s="504">
        <v>0</v>
      </c>
      <c r="GS98" s="504">
        <v>0</v>
      </c>
      <c r="GT98" s="504">
        <v>0</v>
      </c>
      <c r="GU98" s="504">
        <v>0</v>
      </c>
      <c r="GV98" s="504">
        <v>0</v>
      </c>
      <c r="GW98" s="504">
        <v>0</v>
      </c>
      <c r="GX98" s="504">
        <v>0</v>
      </c>
      <c r="GY98" s="504">
        <v>0</v>
      </c>
      <c r="GZ98" s="504">
        <v>0</v>
      </c>
      <c r="HA98" s="504">
        <v>0</v>
      </c>
      <c r="HB98" s="504">
        <v>0</v>
      </c>
      <c r="HC98" s="504">
        <v>0</v>
      </c>
      <c r="HD98" s="504">
        <v>0</v>
      </c>
      <c r="HE98" s="504">
        <v>0</v>
      </c>
      <c r="HF98" s="504">
        <v>0</v>
      </c>
      <c r="HG98" s="504">
        <v>0</v>
      </c>
      <c r="HH98" s="504">
        <v>0</v>
      </c>
      <c r="HI98" s="504">
        <v>0</v>
      </c>
      <c r="HJ98" s="504">
        <v>0</v>
      </c>
      <c r="HK98" s="504">
        <v>0</v>
      </c>
      <c r="HL98" s="504">
        <v>0</v>
      </c>
      <c r="HM98" s="504">
        <v>0</v>
      </c>
      <c r="HN98" s="504">
        <v>0</v>
      </c>
      <c r="HO98" s="504">
        <v>0</v>
      </c>
      <c r="HP98" s="504">
        <v>0</v>
      </c>
      <c r="HQ98" s="504">
        <v>0</v>
      </c>
      <c r="HR98" s="504">
        <v>0</v>
      </c>
      <c r="HS98" s="504">
        <v>0</v>
      </c>
      <c r="HT98" s="504">
        <v>0</v>
      </c>
      <c r="HU98" s="504">
        <v>0</v>
      </c>
      <c r="HV98" s="504">
        <v>0</v>
      </c>
      <c r="HW98" s="504">
        <v>0</v>
      </c>
      <c r="HX98" s="504">
        <v>0</v>
      </c>
      <c r="HY98" s="504">
        <v>0</v>
      </c>
      <c r="HZ98" s="504">
        <v>0</v>
      </c>
      <c r="IA98" s="504">
        <v>0</v>
      </c>
      <c r="IB98" s="504">
        <v>0</v>
      </c>
      <c r="IC98" s="504">
        <v>0</v>
      </c>
      <c r="ID98" s="504">
        <v>0</v>
      </c>
      <c r="IE98" s="504">
        <v>0</v>
      </c>
      <c r="IF98" s="504">
        <v>0</v>
      </c>
      <c r="IG98" s="504">
        <v>0</v>
      </c>
      <c r="IH98" s="504">
        <v>0</v>
      </c>
      <c r="II98" s="504">
        <v>0</v>
      </c>
      <c r="IJ98" s="504">
        <v>0</v>
      </c>
      <c r="IK98" s="504">
        <v>0</v>
      </c>
      <c r="IL98" s="504">
        <v>0</v>
      </c>
      <c r="IM98" s="504">
        <v>0</v>
      </c>
      <c r="IN98" s="504">
        <v>0</v>
      </c>
      <c r="IO98" s="504">
        <v>0</v>
      </c>
      <c r="IP98" s="504">
        <v>0</v>
      </c>
      <c r="IQ98" s="504">
        <v>0</v>
      </c>
      <c r="IR98" s="504">
        <v>0</v>
      </c>
      <c r="IS98" s="504">
        <v>0</v>
      </c>
      <c r="IT98" s="504">
        <v>0</v>
      </c>
      <c r="IU98" s="504">
        <v>0</v>
      </c>
      <c r="IV98" s="504">
        <v>0</v>
      </c>
      <c r="IW98" s="504">
        <v>0</v>
      </c>
      <c r="IX98" s="504">
        <v>0</v>
      </c>
      <c r="IY98" s="504">
        <v>0</v>
      </c>
      <c r="IZ98" s="504">
        <v>0</v>
      </c>
      <c r="JA98" s="504">
        <v>0</v>
      </c>
      <c r="JB98" s="504">
        <v>0</v>
      </c>
      <c r="JC98" s="504">
        <v>0</v>
      </c>
      <c r="JD98" s="504">
        <v>0</v>
      </c>
      <c r="JE98" s="504">
        <v>0</v>
      </c>
      <c r="JF98" s="504">
        <v>0</v>
      </c>
      <c r="JG98" s="504">
        <v>0</v>
      </c>
      <c r="JH98" s="504">
        <v>0</v>
      </c>
      <c r="JI98" s="504">
        <v>0</v>
      </c>
      <c r="JJ98" s="504">
        <v>0</v>
      </c>
      <c r="JK98" s="504">
        <v>0</v>
      </c>
      <c r="JL98" s="504">
        <v>0</v>
      </c>
      <c r="JM98" s="504">
        <v>0</v>
      </c>
      <c r="JN98" s="504">
        <v>0</v>
      </c>
      <c r="JO98" s="504">
        <v>0</v>
      </c>
      <c r="JP98" s="504">
        <v>0</v>
      </c>
      <c r="JQ98" s="504">
        <v>0</v>
      </c>
      <c r="JR98" s="504">
        <v>0</v>
      </c>
      <c r="JS98" s="504">
        <v>0</v>
      </c>
      <c r="JT98" s="504">
        <v>0</v>
      </c>
      <c r="JU98" s="504">
        <v>0</v>
      </c>
      <c r="JV98" s="504">
        <v>0</v>
      </c>
      <c r="JW98" s="504">
        <v>0</v>
      </c>
      <c r="JX98" s="504">
        <v>0</v>
      </c>
      <c r="JY98" s="504">
        <v>0</v>
      </c>
      <c r="JZ98" s="504">
        <v>0</v>
      </c>
      <c r="KA98" s="504">
        <v>0</v>
      </c>
      <c r="KB98" s="504">
        <v>0</v>
      </c>
      <c r="KC98" s="504">
        <v>0</v>
      </c>
      <c r="KD98" s="504">
        <v>0</v>
      </c>
      <c r="KE98" s="504">
        <v>0</v>
      </c>
      <c r="KF98" s="504">
        <v>0</v>
      </c>
      <c r="KG98" s="504">
        <v>0</v>
      </c>
      <c r="KH98" s="504">
        <v>0</v>
      </c>
      <c r="KI98" s="504">
        <v>0</v>
      </c>
      <c r="KJ98" s="504">
        <v>0</v>
      </c>
      <c r="KK98" s="504">
        <v>0</v>
      </c>
      <c r="KL98" s="504">
        <v>0</v>
      </c>
      <c r="KM98" s="504">
        <v>0</v>
      </c>
      <c r="KN98" s="504">
        <v>0</v>
      </c>
      <c r="KO98" s="504">
        <v>0</v>
      </c>
      <c r="KP98" s="504">
        <v>0</v>
      </c>
      <c r="KQ98" s="504">
        <v>0</v>
      </c>
      <c r="KR98" s="504">
        <v>0</v>
      </c>
      <c r="KS98" s="504">
        <v>0</v>
      </c>
      <c r="KT98" s="504">
        <v>0</v>
      </c>
      <c r="KU98" s="504">
        <v>0</v>
      </c>
      <c r="KV98" s="504">
        <v>0</v>
      </c>
      <c r="KW98" s="504">
        <v>0</v>
      </c>
      <c r="KX98" s="504">
        <v>0</v>
      </c>
      <c r="KY98" s="504">
        <v>0</v>
      </c>
      <c r="KZ98" s="504">
        <v>0</v>
      </c>
      <c r="LA98" s="504">
        <v>0</v>
      </c>
      <c r="LB98" s="504">
        <v>0</v>
      </c>
      <c r="LC98" s="504">
        <v>0</v>
      </c>
      <c r="LD98" s="504">
        <v>0</v>
      </c>
      <c r="LE98" s="504">
        <v>0</v>
      </c>
      <c r="LF98" s="504">
        <v>0</v>
      </c>
      <c r="LG98" s="504">
        <v>0</v>
      </c>
      <c r="LH98" s="504">
        <v>0</v>
      </c>
      <c r="LI98" s="504">
        <v>0</v>
      </c>
      <c r="LJ98" s="504">
        <v>0</v>
      </c>
      <c r="LK98" s="504">
        <v>0</v>
      </c>
      <c r="LL98" s="504">
        <v>0</v>
      </c>
      <c r="LM98" s="504">
        <v>0</v>
      </c>
      <c r="LN98" s="504">
        <v>0</v>
      </c>
      <c r="LO98" s="504">
        <v>0</v>
      </c>
      <c r="LP98" s="504">
        <v>0</v>
      </c>
      <c r="LQ98" s="504">
        <v>0</v>
      </c>
      <c r="LR98" s="504">
        <v>0</v>
      </c>
      <c r="LS98" s="504">
        <v>0</v>
      </c>
      <c r="LT98" s="504">
        <v>0</v>
      </c>
      <c r="LU98" s="504">
        <v>0</v>
      </c>
      <c r="LV98" s="504">
        <v>0</v>
      </c>
      <c r="LW98" s="504">
        <v>0</v>
      </c>
      <c r="LX98" s="504">
        <v>0</v>
      </c>
      <c r="LY98" s="504">
        <v>0</v>
      </c>
      <c r="LZ98" s="504">
        <v>0</v>
      </c>
      <c r="MA98" s="504">
        <v>0</v>
      </c>
      <c r="MB98" s="504">
        <v>0</v>
      </c>
      <c r="MC98" s="504">
        <v>0</v>
      </c>
      <c r="MD98" s="504">
        <v>0</v>
      </c>
      <c r="ME98" s="504">
        <v>0</v>
      </c>
      <c r="MF98" s="504">
        <v>0</v>
      </c>
      <c r="MG98" s="504">
        <v>0</v>
      </c>
      <c r="MH98" s="504">
        <v>0</v>
      </c>
      <c r="MI98" s="504">
        <v>0</v>
      </c>
      <c r="MJ98" s="504">
        <v>0</v>
      </c>
      <c r="MK98" s="504">
        <v>0</v>
      </c>
      <c r="ML98" s="504">
        <v>0</v>
      </c>
      <c r="MM98" s="504">
        <v>0</v>
      </c>
      <c r="MN98" s="504">
        <v>0</v>
      </c>
      <c r="MO98" s="504">
        <v>0</v>
      </c>
      <c r="MP98" s="504">
        <v>0</v>
      </c>
      <c r="MQ98" s="504">
        <v>0</v>
      </c>
      <c r="MR98" s="504">
        <v>0</v>
      </c>
      <c r="MS98" s="504">
        <v>0</v>
      </c>
      <c r="MT98" s="504">
        <v>0</v>
      </c>
      <c r="MU98" s="504">
        <v>0</v>
      </c>
      <c r="MV98" s="504">
        <v>0</v>
      </c>
      <c r="MW98" s="504">
        <v>0</v>
      </c>
      <c r="MX98" s="504">
        <v>0</v>
      </c>
      <c r="MY98" s="504">
        <v>0</v>
      </c>
      <c r="MZ98" s="504">
        <v>0</v>
      </c>
      <c r="NA98" s="504">
        <v>0</v>
      </c>
      <c r="NB98" s="504">
        <v>0</v>
      </c>
      <c r="NC98" s="504">
        <v>0</v>
      </c>
      <c r="ND98" s="504">
        <v>0</v>
      </c>
      <c r="NE98" s="504">
        <v>0</v>
      </c>
      <c r="NF98" s="504">
        <v>0</v>
      </c>
      <c r="NG98" s="504">
        <v>0</v>
      </c>
      <c r="NH98" s="504">
        <v>0</v>
      </c>
      <c r="NI98" s="504">
        <v>0</v>
      </c>
      <c r="NJ98" s="504">
        <v>0</v>
      </c>
      <c r="NK98" s="504">
        <v>0</v>
      </c>
      <c r="NL98" s="504">
        <v>0</v>
      </c>
      <c r="NM98" s="504">
        <v>0</v>
      </c>
      <c r="NN98" s="504">
        <v>0</v>
      </c>
      <c r="NO98" s="504">
        <v>0</v>
      </c>
      <c r="NP98" s="504">
        <v>0</v>
      </c>
      <c r="NQ98" s="504">
        <v>0</v>
      </c>
      <c r="NR98" s="504">
        <v>0</v>
      </c>
      <c r="NS98" s="504">
        <v>0</v>
      </c>
      <c r="NT98" s="504">
        <v>0</v>
      </c>
      <c r="NU98" s="504">
        <v>0</v>
      </c>
      <c r="NV98" s="504">
        <v>0</v>
      </c>
      <c r="NW98" s="504">
        <v>0</v>
      </c>
      <c r="NX98" s="504">
        <v>0</v>
      </c>
      <c r="NY98" s="504">
        <v>0</v>
      </c>
      <c r="NZ98" s="504">
        <v>0</v>
      </c>
      <c r="OA98" s="504">
        <v>0</v>
      </c>
      <c r="OB98" s="504">
        <v>0</v>
      </c>
      <c r="OC98" s="504">
        <v>0</v>
      </c>
      <c r="OD98" s="504">
        <v>0</v>
      </c>
      <c r="OE98" s="504">
        <v>0</v>
      </c>
      <c r="OF98" s="504">
        <v>0</v>
      </c>
      <c r="OG98" s="504">
        <v>0</v>
      </c>
      <c r="OH98" s="504">
        <v>0</v>
      </c>
      <c r="OI98" s="504">
        <v>0</v>
      </c>
      <c r="OJ98" s="504">
        <v>0</v>
      </c>
      <c r="OK98" s="504">
        <v>0</v>
      </c>
      <c r="OL98" s="504">
        <v>0</v>
      </c>
      <c r="OM98" s="504">
        <v>0</v>
      </c>
      <c r="ON98" s="494"/>
    </row>
    <row r="99" spans="1:404" ht="18.75" customHeight="1" x14ac:dyDescent="0.4">
      <c r="A99" s="511" t="s">
        <v>369</v>
      </c>
      <c r="B99" s="512">
        <v>152</v>
      </c>
      <c r="C99" s="511" t="s">
        <v>60</v>
      </c>
      <c r="D99" s="501">
        <v>21.12</v>
      </c>
      <c r="F99" s="501">
        <v>21.1</v>
      </c>
      <c r="H99" s="501">
        <v>21.1</v>
      </c>
      <c r="J99" s="501">
        <v>21.1</v>
      </c>
      <c r="V99" s="501"/>
      <c r="W99" s="503"/>
      <c r="X99" s="501"/>
      <c r="Y99" s="503"/>
      <c r="Z99" s="501"/>
      <c r="AA99" s="503"/>
      <c r="AB99" s="495"/>
      <c r="AC99" s="504">
        <v>0</v>
      </c>
      <c r="AD99" s="504">
        <v>0</v>
      </c>
      <c r="AE99" s="504">
        <v>0</v>
      </c>
      <c r="AF99" s="504">
        <v>0</v>
      </c>
      <c r="AG99" s="504">
        <v>0</v>
      </c>
      <c r="AH99" s="504">
        <v>0</v>
      </c>
      <c r="AI99" s="504">
        <v>0</v>
      </c>
      <c r="AJ99" s="504">
        <v>0</v>
      </c>
      <c r="AK99" s="504">
        <v>0</v>
      </c>
      <c r="AL99" s="504">
        <v>0</v>
      </c>
      <c r="AM99" s="504">
        <v>0</v>
      </c>
      <c r="AN99" s="504">
        <v>0</v>
      </c>
      <c r="AO99" s="504">
        <v>0</v>
      </c>
      <c r="AP99" s="504">
        <v>0</v>
      </c>
      <c r="AQ99" s="504">
        <v>0</v>
      </c>
      <c r="AR99" s="504">
        <v>0</v>
      </c>
      <c r="AS99" s="504">
        <v>0</v>
      </c>
      <c r="AT99" s="504">
        <v>0</v>
      </c>
      <c r="AU99" s="504">
        <v>0</v>
      </c>
      <c r="AV99" s="504">
        <v>0</v>
      </c>
      <c r="AW99" s="504">
        <v>0</v>
      </c>
      <c r="AX99" s="504">
        <v>0</v>
      </c>
      <c r="AY99" s="504">
        <v>0</v>
      </c>
      <c r="AZ99" s="504">
        <v>0</v>
      </c>
      <c r="BA99" s="504">
        <v>0</v>
      </c>
      <c r="BB99" s="504">
        <v>0</v>
      </c>
      <c r="BC99" s="504">
        <v>0</v>
      </c>
      <c r="BD99" s="504">
        <v>0</v>
      </c>
      <c r="BE99" s="504">
        <v>0</v>
      </c>
      <c r="BF99" s="504">
        <v>0</v>
      </c>
      <c r="BG99" s="504">
        <v>0</v>
      </c>
      <c r="BH99" s="504">
        <v>0</v>
      </c>
      <c r="BI99" s="504">
        <v>0</v>
      </c>
      <c r="BJ99" s="504">
        <v>0</v>
      </c>
      <c r="BK99" s="504">
        <v>0</v>
      </c>
      <c r="BL99" s="504">
        <v>0</v>
      </c>
      <c r="BM99" s="504">
        <v>0</v>
      </c>
      <c r="BN99" s="504">
        <v>0</v>
      </c>
      <c r="BO99" s="504">
        <v>0</v>
      </c>
      <c r="BP99" s="504">
        <v>0</v>
      </c>
      <c r="BQ99" s="504">
        <v>0</v>
      </c>
      <c r="BR99" s="504">
        <v>0</v>
      </c>
      <c r="BS99" s="504">
        <v>0</v>
      </c>
      <c r="BT99" s="504">
        <v>0</v>
      </c>
      <c r="BU99" s="504">
        <v>0</v>
      </c>
      <c r="BV99" s="504">
        <v>0</v>
      </c>
      <c r="BW99" s="504">
        <v>0</v>
      </c>
      <c r="BX99" s="504">
        <v>0</v>
      </c>
      <c r="BY99" s="504">
        <v>0</v>
      </c>
      <c r="BZ99" s="504">
        <v>0</v>
      </c>
      <c r="CA99" s="504">
        <v>0</v>
      </c>
      <c r="CB99" s="504">
        <v>0</v>
      </c>
      <c r="CC99" s="504">
        <v>0</v>
      </c>
      <c r="CD99" s="504">
        <v>0</v>
      </c>
      <c r="CE99" s="504">
        <v>0</v>
      </c>
      <c r="CF99" s="504">
        <v>0</v>
      </c>
      <c r="CG99" s="504">
        <v>0</v>
      </c>
      <c r="CH99" s="504">
        <v>0</v>
      </c>
      <c r="CI99" s="504">
        <v>0</v>
      </c>
      <c r="CJ99" s="504">
        <v>0</v>
      </c>
      <c r="CK99" s="504">
        <v>0</v>
      </c>
      <c r="CL99" s="504">
        <v>0</v>
      </c>
      <c r="CM99" s="504">
        <v>0</v>
      </c>
      <c r="CN99" s="504">
        <v>0</v>
      </c>
      <c r="CO99" s="504">
        <v>0</v>
      </c>
      <c r="CP99" s="504">
        <v>0</v>
      </c>
      <c r="CQ99" s="504">
        <v>0</v>
      </c>
      <c r="CR99" s="504">
        <v>0</v>
      </c>
      <c r="CS99" s="504">
        <v>0</v>
      </c>
      <c r="CT99" s="504">
        <v>0</v>
      </c>
      <c r="CU99" s="504">
        <v>0</v>
      </c>
      <c r="CV99" s="504">
        <v>0</v>
      </c>
      <c r="CW99" s="504">
        <v>0</v>
      </c>
      <c r="CX99" s="504">
        <v>0</v>
      </c>
      <c r="CY99" s="504">
        <v>0</v>
      </c>
      <c r="CZ99" s="504">
        <v>0</v>
      </c>
      <c r="DA99" s="504">
        <v>0</v>
      </c>
      <c r="DB99" s="504">
        <v>0</v>
      </c>
      <c r="DC99" s="504">
        <v>0</v>
      </c>
      <c r="DD99" s="504">
        <v>0</v>
      </c>
      <c r="DE99" s="504">
        <v>0</v>
      </c>
      <c r="DF99" s="504">
        <v>0</v>
      </c>
      <c r="DG99" s="504">
        <v>0</v>
      </c>
      <c r="DH99" s="504">
        <v>0</v>
      </c>
      <c r="DI99" s="504">
        <v>0</v>
      </c>
      <c r="DJ99" s="504">
        <v>0</v>
      </c>
      <c r="DK99" s="504">
        <v>0</v>
      </c>
      <c r="DL99" s="504">
        <v>0</v>
      </c>
      <c r="DM99" s="504">
        <v>0</v>
      </c>
      <c r="DN99" s="504">
        <v>0</v>
      </c>
      <c r="DO99" s="504">
        <v>0</v>
      </c>
      <c r="DP99" s="504">
        <v>0</v>
      </c>
      <c r="DQ99" s="504">
        <v>0</v>
      </c>
      <c r="DR99" s="504">
        <v>0</v>
      </c>
      <c r="DS99" s="504">
        <v>0</v>
      </c>
      <c r="DT99" s="504">
        <v>0</v>
      </c>
      <c r="DU99" s="504">
        <v>0</v>
      </c>
      <c r="DV99" s="504">
        <v>0</v>
      </c>
      <c r="DW99" s="504">
        <v>0</v>
      </c>
      <c r="DX99" s="504">
        <v>0</v>
      </c>
      <c r="DY99" s="504">
        <v>0</v>
      </c>
      <c r="DZ99" s="504">
        <v>0</v>
      </c>
      <c r="EA99" s="504">
        <v>0</v>
      </c>
      <c r="EB99" s="504">
        <v>0</v>
      </c>
      <c r="EC99" s="504">
        <v>0</v>
      </c>
      <c r="ED99" s="504">
        <v>0</v>
      </c>
      <c r="EE99" s="504">
        <v>0</v>
      </c>
      <c r="EF99" s="504">
        <v>0</v>
      </c>
      <c r="EG99" s="504">
        <v>0</v>
      </c>
      <c r="EH99" s="504">
        <v>0</v>
      </c>
      <c r="EI99" s="504">
        <v>0</v>
      </c>
      <c r="EJ99" s="504">
        <v>0</v>
      </c>
      <c r="EK99" s="504">
        <v>0</v>
      </c>
      <c r="EL99" s="504">
        <v>0</v>
      </c>
      <c r="EM99" s="504">
        <v>0</v>
      </c>
      <c r="EN99" s="504">
        <v>0</v>
      </c>
      <c r="EO99" s="504">
        <v>0</v>
      </c>
      <c r="EP99" s="504">
        <v>0</v>
      </c>
      <c r="EQ99" s="504">
        <v>0</v>
      </c>
      <c r="ER99" s="504">
        <v>0</v>
      </c>
      <c r="ES99" s="504">
        <v>0</v>
      </c>
      <c r="ET99" s="504">
        <v>0</v>
      </c>
      <c r="EU99" s="504">
        <v>0</v>
      </c>
      <c r="EV99" s="504">
        <v>0</v>
      </c>
      <c r="EW99" s="504">
        <v>0</v>
      </c>
      <c r="EX99" s="504">
        <v>0</v>
      </c>
      <c r="EY99" s="504">
        <v>0</v>
      </c>
      <c r="EZ99" s="504">
        <v>0</v>
      </c>
      <c r="FA99" s="504">
        <v>0</v>
      </c>
      <c r="FB99" s="504">
        <v>0</v>
      </c>
      <c r="FC99" s="504">
        <v>0</v>
      </c>
      <c r="FD99" s="504">
        <v>0</v>
      </c>
      <c r="FE99" s="504">
        <v>0</v>
      </c>
      <c r="FF99" s="504">
        <v>0</v>
      </c>
      <c r="FG99" s="504">
        <v>0</v>
      </c>
      <c r="FH99" s="504">
        <v>0</v>
      </c>
      <c r="FI99" s="504">
        <v>0</v>
      </c>
      <c r="FJ99" s="504">
        <v>0</v>
      </c>
      <c r="FK99" s="504">
        <v>0</v>
      </c>
      <c r="FL99" s="504">
        <v>0</v>
      </c>
      <c r="FM99" s="504">
        <v>0</v>
      </c>
      <c r="FN99" s="504">
        <v>0</v>
      </c>
      <c r="FO99" s="504">
        <v>0</v>
      </c>
      <c r="FP99" s="504">
        <v>0</v>
      </c>
      <c r="FQ99" s="504">
        <v>0</v>
      </c>
      <c r="FR99" s="504">
        <v>0</v>
      </c>
      <c r="FS99" s="504">
        <v>0</v>
      </c>
      <c r="FT99" s="504">
        <v>0</v>
      </c>
      <c r="FU99" s="504">
        <v>0</v>
      </c>
      <c r="FV99" s="504">
        <v>0</v>
      </c>
      <c r="FW99" s="504">
        <v>0</v>
      </c>
      <c r="FX99" s="504">
        <v>0</v>
      </c>
      <c r="FY99" s="504">
        <v>0</v>
      </c>
      <c r="FZ99" s="504">
        <v>0</v>
      </c>
      <c r="GA99" s="504">
        <v>0</v>
      </c>
      <c r="GB99" s="504">
        <v>0</v>
      </c>
      <c r="GC99" s="504">
        <v>0</v>
      </c>
      <c r="GD99" s="504">
        <v>0</v>
      </c>
      <c r="GE99" s="504">
        <v>0</v>
      </c>
      <c r="GF99" s="504">
        <v>0</v>
      </c>
      <c r="GG99" s="504">
        <v>0</v>
      </c>
      <c r="GH99" s="504">
        <v>0</v>
      </c>
      <c r="GI99" s="504">
        <v>0</v>
      </c>
      <c r="GJ99" s="504">
        <v>0</v>
      </c>
      <c r="GK99" s="504">
        <v>0</v>
      </c>
      <c r="GL99" s="504">
        <v>0</v>
      </c>
      <c r="GM99" s="504">
        <v>0</v>
      </c>
      <c r="GN99" s="504">
        <v>0</v>
      </c>
      <c r="GO99" s="504">
        <v>0</v>
      </c>
      <c r="GP99" s="504">
        <v>0</v>
      </c>
      <c r="GQ99" s="504">
        <v>0</v>
      </c>
      <c r="GR99" s="504">
        <v>0</v>
      </c>
      <c r="GS99" s="504">
        <v>0</v>
      </c>
      <c r="GT99" s="504">
        <v>0</v>
      </c>
      <c r="GU99" s="504">
        <v>0</v>
      </c>
      <c r="GV99" s="504">
        <v>0</v>
      </c>
      <c r="GW99" s="504">
        <v>0</v>
      </c>
      <c r="GX99" s="504">
        <v>0</v>
      </c>
      <c r="GY99" s="504">
        <v>0</v>
      </c>
      <c r="GZ99" s="504">
        <v>0</v>
      </c>
      <c r="HA99" s="504">
        <v>0</v>
      </c>
      <c r="HB99" s="504">
        <v>0</v>
      </c>
      <c r="HC99" s="504">
        <v>0</v>
      </c>
      <c r="HD99" s="504">
        <v>0</v>
      </c>
      <c r="HE99" s="504">
        <v>0</v>
      </c>
      <c r="HF99" s="504">
        <v>0</v>
      </c>
      <c r="HG99" s="504">
        <v>0</v>
      </c>
      <c r="HH99" s="504">
        <v>0</v>
      </c>
      <c r="HI99" s="504">
        <v>0</v>
      </c>
      <c r="HJ99" s="504">
        <v>0</v>
      </c>
      <c r="HK99" s="504">
        <v>0</v>
      </c>
      <c r="HL99" s="504">
        <v>0</v>
      </c>
      <c r="HM99" s="504">
        <v>0</v>
      </c>
      <c r="HN99" s="504">
        <v>0</v>
      </c>
      <c r="HO99" s="504">
        <v>0</v>
      </c>
      <c r="HP99" s="504">
        <v>0</v>
      </c>
      <c r="HQ99" s="504">
        <v>0</v>
      </c>
      <c r="HR99" s="504">
        <v>0</v>
      </c>
      <c r="HS99" s="504">
        <v>0</v>
      </c>
      <c r="HT99" s="504">
        <v>0</v>
      </c>
      <c r="HU99" s="504">
        <v>0</v>
      </c>
      <c r="HV99" s="504">
        <v>0</v>
      </c>
      <c r="HW99" s="504">
        <v>0</v>
      </c>
      <c r="HX99" s="504">
        <v>0</v>
      </c>
      <c r="HY99" s="504">
        <v>0</v>
      </c>
      <c r="HZ99" s="504">
        <v>0</v>
      </c>
      <c r="IA99" s="504">
        <v>0</v>
      </c>
      <c r="IB99" s="504">
        <v>0</v>
      </c>
      <c r="IC99" s="504">
        <v>0</v>
      </c>
      <c r="ID99" s="504">
        <v>0</v>
      </c>
      <c r="IE99" s="504">
        <v>0</v>
      </c>
      <c r="IF99" s="504">
        <v>0</v>
      </c>
      <c r="IG99" s="504">
        <v>0</v>
      </c>
      <c r="IH99" s="504">
        <v>0</v>
      </c>
      <c r="II99" s="504">
        <v>0</v>
      </c>
      <c r="IJ99" s="504">
        <v>0</v>
      </c>
      <c r="IK99" s="504">
        <v>0</v>
      </c>
      <c r="IL99" s="504">
        <v>0</v>
      </c>
      <c r="IM99" s="504">
        <v>0</v>
      </c>
      <c r="IN99" s="504">
        <v>0</v>
      </c>
      <c r="IO99" s="504">
        <v>0</v>
      </c>
      <c r="IP99" s="504">
        <v>0</v>
      </c>
      <c r="IQ99" s="504">
        <v>0</v>
      </c>
      <c r="IR99" s="504">
        <v>0</v>
      </c>
      <c r="IS99" s="504">
        <v>0</v>
      </c>
      <c r="IT99" s="504">
        <v>0</v>
      </c>
      <c r="IU99" s="504">
        <v>0</v>
      </c>
      <c r="IV99" s="504">
        <v>0</v>
      </c>
      <c r="IW99" s="504">
        <v>0</v>
      </c>
      <c r="IX99" s="504">
        <v>0</v>
      </c>
      <c r="IY99" s="504">
        <v>0</v>
      </c>
      <c r="IZ99" s="504">
        <v>0</v>
      </c>
      <c r="JA99" s="504">
        <v>0</v>
      </c>
      <c r="JB99" s="504">
        <v>0</v>
      </c>
      <c r="JC99" s="504">
        <v>0</v>
      </c>
      <c r="JD99" s="504">
        <v>0</v>
      </c>
      <c r="JE99" s="504">
        <v>0</v>
      </c>
      <c r="JF99" s="504">
        <v>0</v>
      </c>
      <c r="JG99" s="504">
        <v>0</v>
      </c>
      <c r="JH99" s="504">
        <v>0</v>
      </c>
      <c r="JI99" s="504">
        <v>0</v>
      </c>
      <c r="JJ99" s="504">
        <v>0</v>
      </c>
      <c r="JK99" s="504">
        <v>0</v>
      </c>
      <c r="JL99" s="504">
        <v>0</v>
      </c>
      <c r="JM99" s="504">
        <v>0</v>
      </c>
      <c r="JN99" s="504">
        <v>0</v>
      </c>
      <c r="JO99" s="504">
        <v>0</v>
      </c>
      <c r="JP99" s="504">
        <v>0</v>
      </c>
      <c r="JQ99" s="504">
        <v>0</v>
      </c>
      <c r="JR99" s="504">
        <v>0</v>
      </c>
      <c r="JS99" s="504">
        <v>0</v>
      </c>
      <c r="JT99" s="504">
        <v>0</v>
      </c>
      <c r="JU99" s="504">
        <v>0</v>
      </c>
      <c r="JV99" s="504">
        <v>0</v>
      </c>
      <c r="JW99" s="504">
        <v>0</v>
      </c>
      <c r="JX99" s="504">
        <v>0</v>
      </c>
      <c r="JY99" s="504">
        <v>0</v>
      </c>
      <c r="JZ99" s="504">
        <v>0</v>
      </c>
      <c r="KA99" s="504">
        <v>0</v>
      </c>
      <c r="KB99" s="504">
        <v>0</v>
      </c>
      <c r="KC99" s="504">
        <v>0</v>
      </c>
      <c r="KD99" s="504">
        <v>0</v>
      </c>
      <c r="KE99" s="504">
        <v>0</v>
      </c>
      <c r="KF99" s="504">
        <v>0</v>
      </c>
      <c r="KG99" s="504">
        <v>0</v>
      </c>
      <c r="KH99" s="504">
        <v>0</v>
      </c>
      <c r="KI99" s="504">
        <v>0</v>
      </c>
      <c r="KJ99" s="504">
        <v>0</v>
      </c>
      <c r="KK99" s="504">
        <v>0</v>
      </c>
      <c r="KL99" s="504">
        <v>0</v>
      </c>
      <c r="KM99" s="504">
        <v>0</v>
      </c>
      <c r="KN99" s="504">
        <v>0</v>
      </c>
      <c r="KO99" s="504">
        <v>0</v>
      </c>
      <c r="KP99" s="504">
        <v>0</v>
      </c>
      <c r="KQ99" s="504">
        <v>0</v>
      </c>
      <c r="KR99" s="504">
        <v>0</v>
      </c>
      <c r="KS99" s="504">
        <v>0</v>
      </c>
      <c r="KT99" s="504">
        <v>0</v>
      </c>
      <c r="KU99" s="504">
        <v>0</v>
      </c>
      <c r="KV99" s="504">
        <v>0</v>
      </c>
      <c r="KW99" s="504">
        <v>0</v>
      </c>
      <c r="KX99" s="504">
        <v>0</v>
      </c>
      <c r="KY99" s="504">
        <v>0</v>
      </c>
      <c r="KZ99" s="504">
        <v>0</v>
      </c>
      <c r="LA99" s="504">
        <v>0</v>
      </c>
      <c r="LB99" s="504">
        <v>0</v>
      </c>
      <c r="LC99" s="504">
        <v>0</v>
      </c>
      <c r="LD99" s="504">
        <v>0</v>
      </c>
      <c r="LE99" s="504">
        <v>0</v>
      </c>
      <c r="LF99" s="504">
        <v>0</v>
      </c>
      <c r="LG99" s="504">
        <v>0</v>
      </c>
      <c r="LH99" s="504">
        <v>0</v>
      </c>
      <c r="LI99" s="504">
        <v>0</v>
      </c>
      <c r="LJ99" s="504">
        <v>0</v>
      </c>
      <c r="LK99" s="504">
        <v>0</v>
      </c>
      <c r="LL99" s="504">
        <v>0</v>
      </c>
      <c r="LM99" s="504">
        <v>0</v>
      </c>
      <c r="LN99" s="504">
        <v>0</v>
      </c>
      <c r="LO99" s="504">
        <v>0</v>
      </c>
      <c r="LP99" s="504">
        <v>0</v>
      </c>
      <c r="LQ99" s="504">
        <v>0</v>
      </c>
      <c r="LR99" s="504">
        <v>0</v>
      </c>
      <c r="LS99" s="504">
        <v>0</v>
      </c>
      <c r="LT99" s="504">
        <v>0</v>
      </c>
      <c r="LU99" s="504">
        <v>0</v>
      </c>
      <c r="LV99" s="504">
        <v>0</v>
      </c>
      <c r="LW99" s="504">
        <v>0</v>
      </c>
      <c r="LX99" s="504">
        <v>0</v>
      </c>
      <c r="LY99" s="504">
        <v>0</v>
      </c>
      <c r="LZ99" s="504">
        <v>0</v>
      </c>
      <c r="MA99" s="504">
        <v>0</v>
      </c>
      <c r="MB99" s="504">
        <v>0</v>
      </c>
      <c r="MC99" s="504">
        <v>0</v>
      </c>
      <c r="MD99" s="504">
        <v>0</v>
      </c>
      <c r="ME99" s="504">
        <v>0</v>
      </c>
      <c r="MF99" s="504">
        <v>0</v>
      </c>
      <c r="MG99" s="504">
        <v>0</v>
      </c>
      <c r="MH99" s="504">
        <v>0</v>
      </c>
      <c r="MI99" s="504">
        <v>0</v>
      </c>
      <c r="MJ99" s="504">
        <v>0</v>
      </c>
      <c r="MK99" s="504">
        <v>0</v>
      </c>
      <c r="ML99" s="504">
        <v>0</v>
      </c>
      <c r="MM99" s="504">
        <v>0</v>
      </c>
      <c r="MN99" s="504">
        <v>0</v>
      </c>
      <c r="MO99" s="504">
        <v>0</v>
      </c>
      <c r="MP99" s="504">
        <v>0</v>
      </c>
      <c r="MQ99" s="504">
        <v>0</v>
      </c>
      <c r="MR99" s="504">
        <v>0</v>
      </c>
      <c r="MS99" s="504">
        <v>0</v>
      </c>
      <c r="MT99" s="504">
        <v>0</v>
      </c>
      <c r="MU99" s="504">
        <v>0</v>
      </c>
      <c r="MV99" s="504">
        <v>0</v>
      </c>
      <c r="MW99" s="504">
        <v>0</v>
      </c>
      <c r="MX99" s="504">
        <v>0</v>
      </c>
      <c r="MY99" s="504">
        <v>0</v>
      </c>
      <c r="MZ99" s="504">
        <v>0</v>
      </c>
      <c r="NA99" s="504">
        <v>0</v>
      </c>
      <c r="NB99" s="504">
        <v>0</v>
      </c>
      <c r="NC99" s="504">
        <v>0</v>
      </c>
      <c r="ND99" s="504">
        <v>0</v>
      </c>
      <c r="NE99" s="504">
        <v>0</v>
      </c>
      <c r="NF99" s="504">
        <v>0</v>
      </c>
      <c r="NG99" s="504">
        <v>0</v>
      </c>
      <c r="NH99" s="504">
        <v>0</v>
      </c>
      <c r="NI99" s="504">
        <v>0</v>
      </c>
      <c r="NJ99" s="504">
        <v>0</v>
      </c>
      <c r="NK99" s="504">
        <v>0</v>
      </c>
      <c r="NL99" s="504">
        <v>0</v>
      </c>
      <c r="NM99" s="504">
        <v>0</v>
      </c>
      <c r="NN99" s="504">
        <v>0</v>
      </c>
      <c r="NO99" s="504">
        <v>0</v>
      </c>
      <c r="NP99" s="504">
        <v>0</v>
      </c>
      <c r="NQ99" s="504">
        <v>0</v>
      </c>
      <c r="NR99" s="504">
        <v>0</v>
      </c>
      <c r="NS99" s="504">
        <v>0</v>
      </c>
      <c r="NT99" s="504">
        <v>0</v>
      </c>
      <c r="NU99" s="504">
        <v>0</v>
      </c>
      <c r="NV99" s="504">
        <v>0</v>
      </c>
      <c r="NW99" s="504">
        <v>0</v>
      </c>
      <c r="NX99" s="504">
        <v>0</v>
      </c>
      <c r="NY99" s="504">
        <v>0</v>
      </c>
      <c r="NZ99" s="504">
        <v>0</v>
      </c>
      <c r="OA99" s="504">
        <v>0</v>
      </c>
      <c r="OB99" s="504">
        <v>0</v>
      </c>
      <c r="OC99" s="504">
        <v>0</v>
      </c>
      <c r="OD99" s="504">
        <v>0</v>
      </c>
      <c r="OE99" s="504">
        <v>0</v>
      </c>
      <c r="OF99" s="504">
        <v>0</v>
      </c>
      <c r="OG99" s="504">
        <v>0</v>
      </c>
      <c r="OH99" s="504">
        <v>0</v>
      </c>
      <c r="OI99" s="504">
        <v>0</v>
      </c>
      <c r="OJ99" s="504">
        <v>0</v>
      </c>
      <c r="OK99" s="504">
        <v>0</v>
      </c>
      <c r="OL99" s="504">
        <v>0</v>
      </c>
      <c r="OM99" s="504">
        <v>0</v>
      </c>
      <c r="ON99" s="494"/>
    </row>
    <row r="100" spans="1:404" ht="18.75" customHeight="1" x14ac:dyDescent="0.4">
      <c r="A100" s="511" t="s">
        <v>370</v>
      </c>
      <c r="B100" s="512">
        <v>106</v>
      </c>
      <c r="C100" s="511" t="s">
        <v>60</v>
      </c>
      <c r="D100" s="501">
        <v>21.37</v>
      </c>
      <c r="E100" s="502">
        <v>23988</v>
      </c>
      <c r="F100" s="501">
        <v>21.36</v>
      </c>
      <c r="G100" s="502">
        <v>4866</v>
      </c>
      <c r="H100" s="501">
        <v>21.36</v>
      </c>
      <c r="I100" s="502">
        <v>14940</v>
      </c>
      <c r="J100" s="501">
        <v>21.37</v>
      </c>
      <c r="K100" s="502">
        <v>17179</v>
      </c>
      <c r="V100" s="501"/>
      <c r="W100" s="503"/>
      <c r="X100" s="501"/>
      <c r="Y100" s="503"/>
      <c r="Z100" s="501"/>
      <c r="AA100" s="503"/>
      <c r="AB100" s="495"/>
      <c r="AC100" s="504">
        <v>0</v>
      </c>
      <c r="AD100" s="504">
        <v>0</v>
      </c>
      <c r="AE100" s="504">
        <v>0</v>
      </c>
      <c r="AF100" s="504">
        <v>0</v>
      </c>
      <c r="AG100" s="504">
        <v>0</v>
      </c>
      <c r="AH100" s="504">
        <v>0</v>
      </c>
      <c r="AI100" s="504">
        <v>0</v>
      </c>
      <c r="AJ100" s="504">
        <v>0</v>
      </c>
      <c r="AK100" s="504">
        <v>0</v>
      </c>
      <c r="AL100" s="504">
        <v>0</v>
      </c>
      <c r="AM100" s="504">
        <v>0</v>
      </c>
      <c r="AN100" s="504">
        <v>0</v>
      </c>
      <c r="AO100" s="504">
        <v>0</v>
      </c>
      <c r="AP100" s="504">
        <v>0</v>
      </c>
      <c r="AQ100" s="504">
        <v>0</v>
      </c>
      <c r="AR100" s="504">
        <v>0</v>
      </c>
      <c r="AS100" s="504">
        <v>0</v>
      </c>
      <c r="AT100" s="504">
        <v>0</v>
      </c>
      <c r="AU100" s="504">
        <v>0</v>
      </c>
      <c r="AV100" s="504">
        <v>0</v>
      </c>
      <c r="AW100" s="504">
        <v>0</v>
      </c>
      <c r="AX100" s="504">
        <v>0</v>
      </c>
      <c r="AY100" s="504">
        <v>0</v>
      </c>
      <c r="AZ100" s="504">
        <v>0</v>
      </c>
      <c r="BA100" s="504">
        <v>0</v>
      </c>
      <c r="BB100" s="504">
        <v>0</v>
      </c>
      <c r="BC100" s="504">
        <v>0</v>
      </c>
      <c r="BD100" s="504">
        <v>0</v>
      </c>
      <c r="BE100" s="504">
        <v>0</v>
      </c>
      <c r="BF100" s="504">
        <v>0</v>
      </c>
      <c r="BG100" s="504">
        <v>0</v>
      </c>
      <c r="BH100" s="504">
        <v>0</v>
      </c>
      <c r="BI100" s="504">
        <v>0</v>
      </c>
      <c r="BJ100" s="504">
        <v>0</v>
      </c>
      <c r="BK100" s="504">
        <v>0</v>
      </c>
      <c r="BL100" s="504">
        <v>0</v>
      </c>
      <c r="BM100" s="504">
        <v>0</v>
      </c>
      <c r="BN100" s="504">
        <v>0</v>
      </c>
      <c r="BO100" s="504">
        <v>0</v>
      </c>
      <c r="BP100" s="504">
        <v>0</v>
      </c>
      <c r="BQ100" s="504">
        <v>0</v>
      </c>
      <c r="BR100" s="504">
        <v>0</v>
      </c>
      <c r="BS100" s="504">
        <v>0</v>
      </c>
      <c r="BT100" s="504">
        <v>0</v>
      </c>
      <c r="BU100" s="504">
        <v>0</v>
      </c>
      <c r="BV100" s="504">
        <v>0</v>
      </c>
      <c r="BW100" s="504">
        <v>0</v>
      </c>
      <c r="BX100" s="504">
        <v>0</v>
      </c>
      <c r="BY100" s="504">
        <v>0</v>
      </c>
      <c r="BZ100" s="504">
        <v>0</v>
      </c>
      <c r="CA100" s="504">
        <v>0</v>
      </c>
      <c r="CB100" s="504">
        <v>0</v>
      </c>
      <c r="CC100" s="504">
        <v>0</v>
      </c>
      <c r="CD100" s="504">
        <v>0</v>
      </c>
      <c r="CE100" s="504">
        <v>0</v>
      </c>
      <c r="CF100" s="504">
        <v>0</v>
      </c>
      <c r="CG100" s="504">
        <v>0</v>
      </c>
      <c r="CH100" s="504">
        <v>0</v>
      </c>
      <c r="CI100" s="504">
        <v>0</v>
      </c>
      <c r="CJ100" s="504">
        <v>0</v>
      </c>
      <c r="CK100" s="504">
        <v>0</v>
      </c>
      <c r="CL100" s="504">
        <v>0</v>
      </c>
      <c r="CM100" s="504">
        <v>0</v>
      </c>
      <c r="CN100" s="504">
        <v>0</v>
      </c>
      <c r="CO100" s="504">
        <v>0</v>
      </c>
      <c r="CP100" s="504">
        <v>0</v>
      </c>
      <c r="CQ100" s="504">
        <v>0</v>
      </c>
      <c r="CR100" s="504">
        <v>0</v>
      </c>
      <c r="CS100" s="504">
        <v>0</v>
      </c>
      <c r="CT100" s="504">
        <v>0</v>
      </c>
      <c r="CU100" s="504">
        <v>0</v>
      </c>
      <c r="CV100" s="504">
        <v>0</v>
      </c>
      <c r="CW100" s="504">
        <v>0</v>
      </c>
      <c r="CX100" s="504">
        <v>0</v>
      </c>
      <c r="CY100" s="504">
        <v>0</v>
      </c>
      <c r="CZ100" s="504">
        <v>0</v>
      </c>
      <c r="DA100" s="504">
        <v>0</v>
      </c>
      <c r="DB100" s="504">
        <v>0</v>
      </c>
      <c r="DC100" s="504">
        <v>0</v>
      </c>
      <c r="DD100" s="504">
        <v>0</v>
      </c>
      <c r="DE100" s="504">
        <v>0</v>
      </c>
      <c r="DF100" s="504">
        <v>0</v>
      </c>
      <c r="DG100" s="504">
        <v>0</v>
      </c>
      <c r="DH100" s="504">
        <v>0</v>
      </c>
      <c r="DI100" s="504">
        <v>0</v>
      </c>
      <c r="DJ100" s="504">
        <v>0</v>
      </c>
      <c r="DK100" s="504">
        <v>0</v>
      </c>
      <c r="DL100" s="504">
        <v>0</v>
      </c>
      <c r="DM100" s="504">
        <v>0</v>
      </c>
      <c r="DN100" s="504">
        <v>0</v>
      </c>
      <c r="DO100" s="504">
        <v>0</v>
      </c>
      <c r="DP100" s="504">
        <v>0</v>
      </c>
      <c r="DQ100" s="504">
        <v>0</v>
      </c>
      <c r="DR100" s="504">
        <v>0</v>
      </c>
      <c r="DS100" s="504">
        <v>0</v>
      </c>
      <c r="DT100" s="504">
        <v>0</v>
      </c>
      <c r="DU100" s="504">
        <v>0</v>
      </c>
      <c r="DV100" s="504">
        <v>0</v>
      </c>
      <c r="DW100" s="504">
        <v>0</v>
      </c>
      <c r="DX100" s="504">
        <v>0</v>
      </c>
      <c r="DY100" s="504">
        <v>0</v>
      </c>
      <c r="DZ100" s="504">
        <v>0</v>
      </c>
      <c r="EA100" s="504">
        <v>0</v>
      </c>
      <c r="EB100" s="504">
        <v>0</v>
      </c>
      <c r="EC100" s="504">
        <v>0</v>
      </c>
      <c r="ED100" s="504">
        <v>0</v>
      </c>
      <c r="EE100" s="504">
        <v>0</v>
      </c>
      <c r="EF100" s="504">
        <v>0</v>
      </c>
      <c r="EG100" s="504">
        <v>0</v>
      </c>
      <c r="EH100" s="504">
        <v>0</v>
      </c>
      <c r="EI100" s="504">
        <v>0</v>
      </c>
      <c r="EJ100" s="504">
        <v>0</v>
      </c>
      <c r="EK100" s="504">
        <v>0</v>
      </c>
      <c r="EL100" s="504">
        <v>0</v>
      </c>
      <c r="EM100" s="504">
        <v>0</v>
      </c>
      <c r="EN100" s="504">
        <v>0</v>
      </c>
      <c r="EO100" s="504">
        <v>0</v>
      </c>
      <c r="EP100" s="504">
        <v>0</v>
      </c>
      <c r="EQ100" s="504">
        <v>0</v>
      </c>
      <c r="ER100" s="504">
        <v>0</v>
      </c>
      <c r="ES100" s="504">
        <v>0</v>
      </c>
      <c r="ET100" s="504">
        <v>0</v>
      </c>
      <c r="EU100" s="504">
        <v>0</v>
      </c>
      <c r="EV100" s="504">
        <v>0</v>
      </c>
      <c r="EW100" s="504">
        <v>0</v>
      </c>
      <c r="EX100" s="504">
        <v>0</v>
      </c>
      <c r="EY100" s="504">
        <v>0</v>
      </c>
      <c r="EZ100" s="504">
        <v>0</v>
      </c>
      <c r="FA100" s="504">
        <v>0</v>
      </c>
      <c r="FB100" s="504">
        <v>0</v>
      </c>
      <c r="FC100" s="504">
        <v>0</v>
      </c>
      <c r="FD100" s="504">
        <v>0</v>
      </c>
      <c r="FE100" s="504">
        <v>0</v>
      </c>
      <c r="FF100" s="504">
        <v>0</v>
      </c>
      <c r="FG100" s="504">
        <v>0</v>
      </c>
      <c r="FH100" s="504">
        <v>0</v>
      </c>
      <c r="FI100" s="504">
        <v>0</v>
      </c>
      <c r="FJ100" s="504">
        <v>0</v>
      </c>
      <c r="FK100" s="504">
        <v>0</v>
      </c>
      <c r="FL100" s="504">
        <v>0</v>
      </c>
      <c r="FM100" s="504">
        <v>0</v>
      </c>
      <c r="FN100" s="504">
        <v>0</v>
      </c>
      <c r="FO100" s="504">
        <v>0</v>
      </c>
      <c r="FP100" s="504">
        <v>0</v>
      </c>
      <c r="FQ100" s="504">
        <v>0</v>
      </c>
      <c r="FR100" s="504">
        <v>0</v>
      </c>
      <c r="FS100" s="504">
        <v>0</v>
      </c>
      <c r="FT100" s="504">
        <v>0</v>
      </c>
      <c r="FU100" s="504">
        <v>0</v>
      </c>
      <c r="FV100" s="504">
        <v>0</v>
      </c>
      <c r="FW100" s="504">
        <v>0</v>
      </c>
      <c r="FX100" s="504">
        <v>0</v>
      </c>
      <c r="FY100" s="504">
        <v>0</v>
      </c>
      <c r="FZ100" s="504">
        <v>0</v>
      </c>
      <c r="GA100" s="504">
        <v>0</v>
      </c>
      <c r="GB100" s="504">
        <v>0</v>
      </c>
      <c r="GC100" s="504">
        <v>0</v>
      </c>
      <c r="GD100" s="504">
        <v>0</v>
      </c>
      <c r="GE100" s="504">
        <v>0</v>
      </c>
      <c r="GF100" s="504">
        <v>0</v>
      </c>
      <c r="GG100" s="504">
        <v>0</v>
      </c>
      <c r="GH100" s="504">
        <v>0</v>
      </c>
      <c r="GI100" s="504">
        <v>0</v>
      </c>
      <c r="GJ100" s="504">
        <v>0</v>
      </c>
      <c r="GK100" s="504">
        <v>0</v>
      </c>
      <c r="GL100" s="504">
        <v>0</v>
      </c>
      <c r="GM100" s="504">
        <v>0</v>
      </c>
      <c r="GN100" s="504">
        <v>0</v>
      </c>
      <c r="GO100" s="504">
        <v>0</v>
      </c>
      <c r="GP100" s="504">
        <v>0</v>
      </c>
      <c r="GQ100" s="504">
        <v>0</v>
      </c>
      <c r="GR100" s="504">
        <v>0</v>
      </c>
      <c r="GS100" s="504">
        <v>0</v>
      </c>
      <c r="GT100" s="504">
        <v>0</v>
      </c>
      <c r="GU100" s="504">
        <v>0</v>
      </c>
      <c r="GV100" s="504">
        <v>0</v>
      </c>
      <c r="GW100" s="504">
        <v>0</v>
      </c>
      <c r="GX100" s="504">
        <v>0</v>
      </c>
      <c r="GY100" s="504">
        <v>0</v>
      </c>
      <c r="GZ100" s="504">
        <v>0</v>
      </c>
      <c r="HA100" s="504">
        <v>0</v>
      </c>
      <c r="HB100" s="504">
        <v>0</v>
      </c>
      <c r="HC100" s="504">
        <v>0</v>
      </c>
      <c r="HD100" s="504">
        <v>0</v>
      </c>
      <c r="HE100" s="504">
        <v>0</v>
      </c>
      <c r="HF100" s="504">
        <v>0</v>
      </c>
      <c r="HG100" s="504">
        <v>0</v>
      </c>
      <c r="HH100" s="504">
        <v>0</v>
      </c>
      <c r="HI100" s="504">
        <v>0</v>
      </c>
      <c r="HJ100" s="504">
        <v>0</v>
      </c>
      <c r="HK100" s="504">
        <v>0</v>
      </c>
      <c r="HL100" s="504">
        <v>0</v>
      </c>
      <c r="HM100" s="504">
        <v>0</v>
      </c>
      <c r="HN100" s="504">
        <v>0</v>
      </c>
      <c r="HO100" s="504">
        <v>0</v>
      </c>
      <c r="HP100" s="504">
        <v>0</v>
      </c>
      <c r="HQ100" s="504">
        <v>0</v>
      </c>
      <c r="HR100" s="504">
        <v>0</v>
      </c>
      <c r="HS100" s="504">
        <v>0</v>
      </c>
      <c r="HT100" s="504">
        <v>0</v>
      </c>
      <c r="HU100" s="504">
        <v>0</v>
      </c>
      <c r="HV100" s="504">
        <v>0</v>
      </c>
      <c r="HW100" s="504">
        <v>0</v>
      </c>
      <c r="HX100" s="504">
        <v>0</v>
      </c>
      <c r="HY100" s="504">
        <v>0</v>
      </c>
      <c r="HZ100" s="504">
        <v>0</v>
      </c>
      <c r="IA100" s="504">
        <v>0</v>
      </c>
      <c r="IB100" s="504">
        <v>0</v>
      </c>
      <c r="IC100" s="504">
        <v>0</v>
      </c>
      <c r="ID100" s="504">
        <v>0</v>
      </c>
      <c r="IE100" s="504">
        <v>0</v>
      </c>
      <c r="IF100" s="504">
        <v>0</v>
      </c>
      <c r="IG100" s="504">
        <v>0</v>
      </c>
      <c r="IH100" s="504">
        <v>0</v>
      </c>
      <c r="II100" s="504">
        <v>0</v>
      </c>
      <c r="IJ100" s="504">
        <v>0</v>
      </c>
      <c r="IK100" s="504">
        <v>0</v>
      </c>
      <c r="IL100" s="504">
        <v>0</v>
      </c>
      <c r="IM100" s="504">
        <v>0</v>
      </c>
      <c r="IN100" s="504">
        <v>0</v>
      </c>
      <c r="IO100" s="504">
        <v>0</v>
      </c>
      <c r="IP100" s="504">
        <v>0</v>
      </c>
      <c r="IQ100" s="504">
        <v>0</v>
      </c>
      <c r="IR100" s="504">
        <v>0</v>
      </c>
      <c r="IS100" s="504">
        <v>0</v>
      </c>
      <c r="IT100" s="504">
        <v>0</v>
      </c>
      <c r="IU100" s="504">
        <v>0</v>
      </c>
      <c r="IV100" s="504">
        <v>0</v>
      </c>
      <c r="IW100" s="504">
        <v>0</v>
      </c>
      <c r="IX100" s="504">
        <v>0</v>
      </c>
      <c r="IY100" s="504">
        <v>0</v>
      </c>
      <c r="IZ100" s="504">
        <v>0</v>
      </c>
      <c r="JA100" s="504">
        <v>0</v>
      </c>
      <c r="JB100" s="504">
        <v>0</v>
      </c>
      <c r="JC100" s="504">
        <v>0</v>
      </c>
      <c r="JD100" s="504">
        <v>0</v>
      </c>
      <c r="JE100" s="504">
        <v>0</v>
      </c>
      <c r="JF100" s="504">
        <v>0</v>
      </c>
      <c r="JG100" s="504">
        <v>0</v>
      </c>
      <c r="JH100" s="504">
        <v>0</v>
      </c>
      <c r="JI100" s="504">
        <v>0</v>
      </c>
      <c r="JJ100" s="504">
        <v>0</v>
      </c>
      <c r="JK100" s="504">
        <v>0</v>
      </c>
      <c r="JL100" s="504">
        <v>0</v>
      </c>
      <c r="JM100" s="504">
        <v>0</v>
      </c>
      <c r="JN100" s="504">
        <v>0</v>
      </c>
      <c r="JO100" s="504">
        <v>0</v>
      </c>
      <c r="JP100" s="504">
        <v>0</v>
      </c>
      <c r="JQ100" s="504">
        <v>0</v>
      </c>
      <c r="JR100" s="504">
        <v>0</v>
      </c>
      <c r="JS100" s="504">
        <v>0</v>
      </c>
      <c r="JT100" s="504">
        <v>0</v>
      </c>
      <c r="JU100" s="504">
        <v>0</v>
      </c>
      <c r="JV100" s="504">
        <v>0</v>
      </c>
      <c r="JW100" s="504">
        <v>0</v>
      </c>
      <c r="JX100" s="504">
        <v>0</v>
      </c>
      <c r="JY100" s="504">
        <v>0</v>
      </c>
      <c r="JZ100" s="504">
        <v>0</v>
      </c>
      <c r="KA100" s="504">
        <v>0</v>
      </c>
      <c r="KB100" s="504">
        <v>0</v>
      </c>
      <c r="KC100" s="504">
        <v>0</v>
      </c>
      <c r="KD100" s="504">
        <v>0</v>
      </c>
      <c r="KE100" s="504">
        <v>0</v>
      </c>
      <c r="KF100" s="504">
        <v>0</v>
      </c>
      <c r="KG100" s="504">
        <v>0</v>
      </c>
      <c r="KH100" s="504">
        <v>0</v>
      </c>
      <c r="KI100" s="504">
        <v>0</v>
      </c>
      <c r="KJ100" s="504">
        <v>0</v>
      </c>
      <c r="KK100" s="504">
        <v>0</v>
      </c>
      <c r="KL100" s="504">
        <v>0</v>
      </c>
      <c r="KM100" s="504">
        <v>0</v>
      </c>
      <c r="KN100" s="504">
        <v>0</v>
      </c>
      <c r="KO100" s="504">
        <v>0</v>
      </c>
      <c r="KP100" s="504">
        <v>0</v>
      </c>
      <c r="KQ100" s="504">
        <v>0</v>
      </c>
      <c r="KR100" s="504">
        <v>0</v>
      </c>
      <c r="KS100" s="504">
        <v>0</v>
      </c>
      <c r="KT100" s="504">
        <v>0</v>
      </c>
      <c r="KU100" s="504">
        <v>0</v>
      </c>
      <c r="KV100" s="504">
        <v>0</v>
      </c>
      <c r="KW100" s="504">
        <v>0</v>
      </c>
      <c r="KX100" s="504">
        <v>0</v>
      </c>
      <c r="KY100" s="504">
        <v>0</v>
      </c>
      <c r="KZ100" s="504">
        <v>0</v>
      </c>
      <c r="LA100" s="504">
        <v>0</v>
      </c>
      <c r="LB100" s="504">
        <v>0</v>
      </c>
      <c r="LC100" s="504">
        <v>0</v>
      </c>
      <c r="LD100" s="504">
        <v>0</v>
      </c>
      <c r="LE100" s="504">
        <v>0</v>
      </c>
      <c r="LF100" s="504">
        <v>0</v>
      </c>
      <c r="LG100" s="504">
        <v>0</v>
      </c>
      <c r="LH100" s="504">
        <v>0</v>
      </c>
      <c r="LI100" s="504">
        <v>0</v>
      </c>
      <c r="LJ100" s="504">
        <v>0</v>
      </c>
      <c r="LK100" s="504">
        <v>0</v>
      </c>
      <c r="LL100" s="504">
        <v>0</v>
      </c>
      <c r="LM100" s="504">
        <v>0</v>
      </c>
      <c r="LN100" s="504">
        <v>0</v>
      </c>
      <c r="LO100" s="504">
        <v>0</v>
      </c>
      <c r="LP100" s="504">
        <v>0</v>
      </c>
      <c r="LQ100" s="504">
        <v>0</v>
      </c>
      <c r="LR100" s="504">
        <v>0</v>
      </c>
      <c r="LS100" s="504">
        <v>0</v>
      </c>
      <c r="LT100" s="504">
        <v>0</v>
      </c>
      <c r="LU100" s="504">
        <v>0</v>
      </c>
      <c r="LV100" s="504">
        <v>0</v>
      </c>
      <c r="LW100" s="504">
        <v>0</v>
      </c>
      <c r="LX100" s="504">
        <v>0</v>
      </c>
      <c r="LY100" s="504">
        <v>0</v>
      </c>
      <c r="LZ100" s="504">
        <v>0</v>
      </c>
      <c r="MA100" s="504">
        <v>0</v>
      </c>
      <c r="MB100" s="504">
        <v>0</v>
      </c>
      <c r="MC100" s="504">
        <v>0</v>
      </c>
      <c r="MD100" s="504">
        <v>0</v>
      </c>
      <c r="ME100" s="504">
        <v>0</v>
      </c>
      <c r="MF100" s="504">
        <v>0</v>
      </c>
      <c r="MG100" s="504">
        <v>0</v>
      </c>
      <c r="MH100" s="504">
        <v>0</v>
      </c>
      <c r="MI100" s="504">
        <v>0</v>
      </c>
      <c r="MJ100" s="504">
        <v>0</v>
      </c>
      <c r="MK100" s="504">
        <v>0</v>
      </c>
      <c r="ML100" s="504">
        <v>0</v>
      </c>
      <c r="MM100" s="504">
        <v>0</v>
      </c>
      <c r="MN100" s="504">
        <v>0</v>
      </c>
      <c r="MO100" s="504">
        <v>0</v>
      </c>
      <c r="MP100" s="504">
        <v>0</v>
      </c>
      <c r="MQ100" s="504">
        <v>0</v>
      </c>
      <c r="MR100" s="504">
        <v>0</v>
      </c>
      <c r="MS100" s="504">
        <v>0</v>
      </c>
      <c r="MT100" s="504">
        <v>0</v>
      </c>
      <c r="MU100" s="504">
        <v>0</v>
      </c>
      <c r="MV100" s="504">
        <v>0</v>
      </c>
      <c r="MW100" s="504">
        <v>0</v>
      </c>
      <c r="MX100" s="504">
        <v>0</v>
      </c>
      <c r="MY100" s="504">
        <v>0</v>
      </c>
      <c r="MZ100" s="504">
        <v>0</v>
      </c>
      <c r="NA100" s="504">
        <v>0</v>
      </c>
      <c r="NB100" s="504">
        <v>0</v>
      </c>
      <c r="NC100" s="504">
        <v>0</v>
      </c>
      <c r="ND100" s="504">
        <v>0</v>
      </c>
      <c r="NE100" s="504">
        <v>0</v>
      </c>
      <c r="NF100" s="504">
        <v>0</v>
      </c>
      <c r="NG100" s="504">
        <v>0</v>
      </c>
      <c r="NH100" s="504">
        <v>0</v>
      </c>
      <c r="NI100" s="504">
        <v>0</v>
      </c>
      <c r="NJ100" s="504">
        <v>0</v>
      </c>
      <c r="NK100" s="504">
        <v>0</v>
      </c>
      <c r="NL100" s="504">
        <v>0</v>
      </c>
      <c r="NM100" s="504">
        <v>0</v>
      </c>
      <c r="NN100" s="504">
        <v>0</v>
      </c>
      <c r="NO100" s="504">
        <v>0</v>
      </c>
      <c r="NP100" s="504">
        <v>0</v>
      </c>
      <c r="NQ100" s="504">
        <v>0</v>
      </c>
      <c r="NR100" s="504">
        <v>0</v>
      </c>
      <c r="NS100" s="504">
        <v>0</v>
      </c>
      <c r="NT100" s="504">
        <v>0</v>
      </c>
      <c r="NU100" s="504">
        <v>0</v>
      </c>
      <c r="NV100" s="504">
        <v>0</v>
      </c>
      <c r="NW100" s="504">
        <v>0</v>
      </c>
      <c r="NX100" s="504">
        <v>0</v>
      </c>
      <c r="NY100" s="504">
        <v>0</v>
      </c>
      <c r="NZ100" s="504">
        <v>0</v>
      </c>
      <c r="OA100" s="504">
        <v>0</v>
      </c>
      <c r="OB100" s="504">
        <v>0</v>
      </c>
      <c r="OC100" s="504">
        <v>0</v>
      </c>
      <c r="OD100" s="504">
        <v>0</v>
      </c>
      <c r="OE100" s="504">
        <v>0</v>
      </c>
      <c r="OF100" s="504">
        <v>0</v>
      </c>
      <c r="OG100" s="504">
        <v>0</v>
      </c>
      <c r="OH100" s="504">
        <v>0</v>
      </c>
      <c r="OI100" s="504">
        <v>0</v>
      </c>
      <c r="OJ100" s="504">
        <v>0</v>
      </c>
      <c r="OK100" s="504">
        <v>0</v>
      </c>
      <c r="OL100" s="504">
        <v>0</v>
      </c>
      <c r="OM100" s="504">
        <v>0</v>
      </c>
      <c r="ON100" s="494"/>
    </row>
    <row r="101" spans="1:404" ht="18.75" customHeight="1" x14ac:dyDescent="0.4">
      <c r="A101" s="511" t="s">
        <v>371</v>
      </c>
      <c r="B101" s="512">
        <v>169</v>
      </c>
      <c r="C101" s="511" t="s">
        <v>60</v>
      </c>
      <c r="D101" s="501">
        <v>21.49</v>
      </c>
      <c r="E101" s="502">
        <v>8793</v>
      </c>
      <c r="F101" s="501">
        <v>21.48</v>
      </c>
      <c r="G101" s="502">
        <v>1331</v>
      </c>
      <c r="H101" s="501">
        <v>21.48</v>
      </c>
      <c r="I101" s="502">
        <v>4155</v>
      </c>
      <c r="J101" s="501">
        <v>21.48</v>
      </c>
      <c r="K101" s="502">
        <v>4793</v>
      </c>
      <c r="V101" s="501"/>
      <c r="W101" s="503"/>
      <c r="X101" s="501"/>
      <c r="Y101" s="503"/>
      <c r="Z101" s="501"/>
      <c r="AA101" s="503"/>
      <c r="AB101" s="495"/>
      <c r="AC101" s="504">
        <v>0</v>
      </c>
      <c r="AD101" s="504">
        <v>0</v>
      </c>
      <c r="AE101" s="504">
        <v>0</v>
      </c>
      <c r="AF101" s="504">
        <v>0</v>
      </c>
      <c r="AG101" s="504">
        <v>0</v>
      </c>
      <c r="AH101" s="504">
        <v>0</v>
      </c>
      <c r="AI101" s="504">
        <v>0</v>
      </c>
      <c r="AJ101" s="504">
        <v>0</v>
      </c>
      <c r="AK101" s="504">
        <v>0</v>
      </c>
      <c r="AL101" s="504">
        <v>0</v>
      </c>
      <c r="AM101" s="504">
        <v>0</v>
      </c>
      <c r="AN101" s="504">
        <v>0</v>
      </c>
      <c r="AO101" s="504">
        <v>0</v>
      </c>
      <c r="AP101" s="504">
        <v>0</v>
      </c>
      <c r="AQ101" s="504">
        <v>0</v>
      </c>
      <c r="AR101" s="504">
        <v>0</v>
      </c>
      <c r="AS101" s="504">
        <v>0</v>
      </c>
      <c r="AT101" s="504">
        <v>0</v>
      </c>
      <c r="AU101" s="504">
        <v>0</v>
      </c>
      <c r="AV101" s="504">
        <v>0</v>
      </c>
      <c r="AW101" s="504">
        <v>0</v>
      </c>
      <c r="AX101" s="504">
        <v>0</v>
      </c>
      <c r="AY101" s="504">
        <v>0</v>
      </c>
      <c r="AZ101" s="504">
        <v>0</v>
      </c>
      <c r="BA101" s="504">
        <v>0</v>
      </c>
      <c r="BB101" s="504">
        <v>0</v>
      </c>
      <c r="BC101" s="504">
        <v>0</v>
      </c>
      <c r="BD101" s="504">
        <v>0</v>
      </c>
      <c r="BE101" s="504">
        <v>0</v>
      </c>
      <c r="BF101" s="504">
        <v>0</v>
      </c>
      <c r="BG101" s="504">
        <v>0</v>
      </c>
      <c r="BH101" s="504">
        <v>0</v>
      </c>
      <c r="BI101" s="504">
        <v>0</v>
      </c>
      <c r="BJ101" s="504">
        <v>0</v>
      </c>
      <c r="BK101" s="504">
        <v>0</v>
      </c>
      <c r="BL101" s="504">
        <v>0</v>
      </c>
      <c r="BM101" s="504">
        <v>0</v>
      </c>
      <c r="BN101" s="504">
        <v>0</v>
      </c>
      <c r="BO101" s="504">
        <v>0</v>
      </c>
      <c r="BP101" s="504">
        <v>0</v>
      </c>
      <c r="BQ101" s="504">
        <v>0</v>
      </c>
      <c r="BR101" s="504">
        <v>0</v>
      </c>
      <c r="BS101" s="504">
        <v>0</v>
      </c>
      <c r="BT101" s="504">
        <v>0</v>
      </c>
      <c r="BU101" s="504">
        <v>0</v>
      </c>
      <c r="BV101" s="504">
        <v>0</v>
      </c>
      <c r="BW101" s="504">
        <v>0</v>
      </c>
      <c r="BX101" s="504">
        <v>0</v>
      </c>
      <c r="BY101" s="504">
        <v>0</v>
      </c>
      <c r="BZ101" s="504">
        <v>0</v>
      </c>
      <c r="CA101" s="504">
        <v>0</v>
      </c>
      <c r="CB101" s="504">
        <v>0</v>
      </c>
      <c r="CC101" s="504">
        <v>0</v>
      </c>
      <c r="CD101" s="504">
        <v>0</v>
      </c>
      <c r="CE101" s="504">
        <v>0</v>
      </c>
      <c r="CF101" s="504">
        <v>0</v>
      </c>
      <c r="CG101" s="504">
        <v>0</v>
      </c>
      <c r="CH101" s="504">
        <v>0</v>
      </c>
      <c r="CI101" s="504">
        <v>0</v>
      </c>
      <c r="CJ101" s="504">
        <v>0</v>
      </c>
      <c r="CK101" s="504">
        <v>0</v>
      </c>
      <c r="CL101" s="504">
        <v>0</v>
      </c>
      <c r="CM101" s="504">
        <v>0</v>
      </c>
      <c r="CN101" s="504">
        <v>0</v>
      </c>
      <c r="CO101" s="504">
        <v>0</v>
      </c>
      <c r="CP101" s="504">
        <v>0</v>
      </c>
      <c r="CQ101" s="504">
        <v>0</v>
      </c>
      <c r="CR101" s="504">
        <v>0</v>
      </c>
      <c r="CS101" s="504">
        <v>0</v>
      </c>
      <c r="CT101" s="504">
        <v>0</v>
      </c>
      <c r="CU101" s="504">
        <v>0</v>
      </c>
      <c r="CV101" s="504">
        <v>0</v>
      </c>
      <c r="CW101" s="504">
        <v>0</v>
      </c>
      <c r="CX101" s="504">
        <v>0</v>
      </c>
      <c r="CY101" s="504">
        <v>0</v>
      </c>
      <c r="CZ101" s="504">
        <v>0</v>
      </c>
      <c r="DA101" s="504">
        <v>0</v>
      </c>
      <c r="DB101" s="504">
        <v>0</v>
      </c>
      <c r="DC101" s="504">
        <v>0</v>
      </c>
      <c r="DD101" s="504">
        <v>0</v>
      </c>
      <c r="DE101" s="504">
        <v>0</v>
      </c>
      <c r="DF101" s="504">
        <v>0</v>
      </c>
      <c r="DG101" s="504">
        <v>0</v>
      </c>
      <c r="DH101" s="504">
        <v>0</v>
      </c>
      <c r="DI101" s="504">
        <v>0</v>
      </c>
      <c r="DJ101" s="504">
        <v>0</v>
      </c>
      <c r="DK101" s="504">
        <v>0</v>
      </c>
      <c r="DL101" s="504">
        <v>0</v>
      </c>
      <c r="DM101" s="504">
        <v>0</v>
      </c>
      <c r="DN101" s="504">
        <v>0</v>
      </c>
      <c r="DO101" s="504">
        <v>0</v>
      </c>
      <c r="DP101" s="504">
        <v>0</v>
      </c>
      <c r="DQ101" s="504">
        <v>0</v>
      </c>
      <c r="DR101" s="504">
        <v>0</v>
      </c>
      <c r="DS101" s="504">
        <v>0</v>
      </c>
      <c r="DT101" s="504">
        <v>0</v>
      </c>
      <c r="DU101" s="504">
        <v>0</v>
      </c>
      <c r="DV101" s="504">
        <v>0</v>
      </c>
      <c r="DW101" s="504">
        <v>0</v>
      </c>
      <c r="DX101" s="504">
        <v>0</v>
      </c>
      <c r="DY101" s="504">
        <v>0</v>
      </c>
      <c r="DZ101" s="504">
        <v>0</v>
      </c>
      <c r="EA101" s="504">
        <v>0</v>
      </c>
      <c r="EB101" s="504">
        <v>0</v>
      </c>
      <c r="EC101" s="504">
        <v>0</v>
      </c>
      <c r="ED101" s="504">
        <v>0</v>
      </c>
      <c r="EE101" s="504">
        <v>0</v>
      </c>
      <c r="EF101" s="504">
        <v>0</v>
      </c>
      <c r="EG101" s="504">
        <v>0</v>
      </c>
      <c r="EH101" s="504">
        <v>0</v>
      </c>
      <c r="EI101" s="504">
        <v>0</v>
      </c>
      <c r="EJ101" s="504">
        <v>0</v>
      </c>
      <c r="EK101" s="504">
        <v>0</v>
      </c>
      <c r="EL101" s="504">
        <v>0</v>
      </c>
      <c r="EM101" s="504">
        <v>0</v>
      </c>
      <c r="EN101" s="504">
        <v>0</v>
      </c>
      <c r="EO101" s="504">
        <v>0</v>
      </c>
      <c r="EP101" s="504">
        <v>0</v>
      </c>
      <c r="EQ101" s="504">
        <v>0</v>
      </c>
      <c r="ER101" s="504">
        <v>0</v>
      </c>
      <c r="ES101" s="504">
        <v>0</v>
      </c>
      <c r="ET101" s="504">
        <v>0</v>
      </c>
      <c r="EU101" s="504">
        <v>0</v>
      </c>
      <c r="EV101" s="504">
        <v>0</v>
      </c>
      <c r="EW101" s="504">
        <v>0</v>
      </c>
      <c r="EX101" s="504">
        <v>0</v>
      </c>
      <c r="EY101" s="504">
        <v>0</v>
      </c>
      <c r="EZ101" s="504">
        <v>0</v>
      </c>
      <c r="FA101" s="504">
        <v>0</v>
      </c>
      <c r="FB101" s="504">
        <v>0</v>
      </c>
      <c r="FC101" s="504">
        <v>0</v>
      </c>
      <c r="FD101" s="504">
        <v>0</v>
      </c>
      <c r="FE101" s="504">
        <v>0</v>
      </c>
      <c r="FF101" s="504">
        <v>0</v>
      </c>
      <c r="FG101" s="504">
        <v>0</v>
      </c>
      <c r="FH101" s="504">
        <v>0</v>
      </c>
      <c r="FI101" s="504">
        <v>0</v>
      </c>
      <c r="FJ101" s="504">
        <v>0</v>
      </c>
      <c r="FK101" s="504">
        <v>0</v>
      </c>
      <c r="FL101" s="504">
        <v>0</v>
      </c>
      <c r="FM101" s="504">
        <v>0</v>
      </c>
      <c r="FN101" s="504">
        <v>0</v>
      </c>
      <c r="FO101" s="504">
        <v>0</v>
      </c>
      <c r="FP101" s="504">
        <v>0</v>
      </c>
      <c r="FQ101" s="504">
        <v>0</v>
      </c>
      <c r="FR101" s="504">
        <v>0</v>
      </c>
      <c r="FS101" s="504">
        <v>0</v>
      </c>
      <c r="FT101" s="504">
        <v>0</v>
      </c>
      <c r="FU101" s="504">
        <v>0</v>
      </c>
      <c r="FV101" s="504">
        <v>0</v>
      </c>
      <c r="FW101" s="504">
        <v>0</v>
      </c>
      <c r="FX101" s="504">
        <v>0</v>
      </c>
      <c r="FY101" s="504">
        <v>0</v>
      </c>
      <c r="FZ101" s="504">
        <v>0</v>
      </c>
      <c r="GA101" s="504">
        <v>0</v>
      </c>
      <c r="GB101" s="504">
        <v>0</v>
      </c>
      <c r="GC101" s="504">
        <v>0</v>
      </c>
      <c r="GD101" s="504">
        <v>0</v>
      </c>
      <c r="GE101" s="504">
        <v>0</v>
      </c>
      <c r="GF101" s="504">
        <v>0</v>
      </c>
      <c r="GG101" s="504">
        <v>0</v>
      </c>
      <c r="GH101" s="504">
        <v>0</v>
      </c>
      <c r="GI101" s="504">
        <v>0</v>
      </c>
      <c r="GJ101" s="504">
        <v>0</v>
      </c>
      <c r="GK101" s="504">
        <v>0</v>
      </c>
      <c r="GL101" s="504">
        <v>0</v>
      </c>
      <c r="GM101" s="504">
        <v>0</v>
      </c>
      <c r="GN101" s="504">
        <v>0</v>
      </c>
      <c r="GO101" s="504">
        <v>0</v>
      </c>
      <c r="GP101" s="504">
        <v>0</v>
      </c>
      <c r="GQ101" s="504">
        <v>0</v>
      </c>
      <c r="GR101" s="504">
        <v>0</v>
      </c>
      <c r="GS101" s="504">
        <v>0</v>
      </c>
      <c r="GT101" s="504">
        <v>0</v>
      </c>
      <c r="GU101" s="504">
        <v>0</v>
      </c>
      <c r="GV101" s="504">
        <v>0</v>
      </c>
      <c r="GW101" s="504">
        <v>0</v>
      </c>
      <c r="GX101" s="504">
        <v>0</v>
      </c>
      <c r="GY101" s="504">
        <v>0</v>
      </c>
      <c r="GZ101" s="504">
        <v>0</v>
      </c>
      <c r="HA101" s="504">
        <v>0</v>
      </c>
      <c r="HB101" s="504">
        <v>0</v>
      </c>
      <c r="HC101" s="504">
        <v>0</v>
      </c>
      <c r="HD101" s="504">
        <v>0</v>
      </c>
      <c r="HE101" s="504">
        <v>0</v>
      </c>
      <c r="HF101" s="504">
        <v>0</v>
      </c>
      <c r="HG101" s="504">
        <v>0</v>
      </c>
      <c r="HH101" s="504">
        <v>0</v>
      </c>
      <c r="HI101" s="504">
        <v>0</v>
      </c>
      <c r="HJ101" s="504">
        <v>0</v>
      </c>
      <c r="HK101" s="504">
        <v>0</v>
      </c>
      <c r="HL101" s="504">
        <v>0</v>
      </c>
      <c r="HM101" s="504">
        <v>0</v>
      </c>
      <c r="HN101" s="504">
        <v>0</v>
      </c>
      <c r="HO101" s="504">
        <v>0</v>
      </c>
      <c r="HP101" s="504">
        <v>0</v>
      </c>
      <c r="HQ101" s="504">
        <v>0</v>
      </c>
      <c r="HR101" s="504">
        <v>0</v>
      </c>
      <c r="HS101" s="504">
        <v>0</v>
      </c>
      <c r="HT101" s="504">
        <v>0</v>
      </c>
      <c r="HU101" s="504">
        <v>0</v>
      </c>
      <c r="HV101" s="504">
        <v>0</v>
      </c>
      <c r="HW101" s="504">
        <v>0</v>
      </c>
      <c r="HX101" s="504">
        <v>0</v>
      </c>
      <c r="HY101" s="504">
        <v>0</v>
      </c>
      <c r="HZ101" s="504">
        <v>0</v>
      </c>
      <c r="IA101" s="504">
        <v>0</v>
      </c>
      <c r="IB101" s="504">
        <v>0</v>
      </c>
      <c r="IC101" s="504">
        <v>0</v>
      </c>
      <c r="ID101" s="504">
        <v>0</v>
      </c>
      <c r="IE101" s="504">
        <v>0</v>
      </c>
      <c r="IF101" s="504">
        <v>0</v>
      </c>
      <c r="IG101" s="504">
        <v>0</v>
      </c>
      <c r="IH101" s="504">
        <v>0</v>
      </c>
      <c r="II101" s="504">
        <v>0</v>
      </c>
      <c r="IJ101" s="504">
        <v>0</v>
      </c>
      <c r="IK101" s="504">
        <v>0</v>
      </c>
      <c r="IL101" s="504">
        <v>0</v>
      </c>
      <c r="IM101" s="504">
        <v>0</v>
      </c>
      <c r="IN101" s="504">
        <v>0</v>
      </c>
      <c r="IO101" s="504">
        <v>0</v>
      </c>
      <c r="IP101" s="504">
        <v>0</v>
      </c>
      <c r="IQ101" s="504">
        <v>0</v>
      </c>
      <c r="IR101" s="504">
        <v>0</v>
      </c>
      <c r="IS101" s="504">
        <v>0</v>
      </c>
      <c r="IT101" s="504">
        <v>0</v>
      </c>
      <c r="IU101" s="504">
        <v>0</v>
      </c>
      <c r="IV101" s="504">
        <v>0</v>
      </c>
      <c r="IW101" s="504">
        <v>0</v>
      </c>
      <c r="IX101" s="504">
        <v>0</v>
      </c>
      <c r="IY101" s="504">
        <v>0</v>
      </c>
      <c r="IZ101" s="504">
        <v>0</v>
      </c>
      <c r="JA101" s="504">
        <v>0</v>
      </c>
      <c r="JB101" s="504">
        <v>0</v>
      </c>
      <c r="JC101" s="504">
        <v>0</v>
      </c>
      <c r="JD101" s="504">
        <v>0</v>
      </c>
      <c r="JE101" s="504">
        <v>0</v>
      </c>
      <c r="JF101" s="504">
        <v>0</v>
      </c>
      <c r="JG101" s="504">
        <v>0</v>
      </c>
      <c r="JH101" s="504">
        <v>0</v>
      </c>
      <c r="JI101" s="504">
        <v>0</v>
      </c>
      <c r="JJ101" s="504">
        <v>0</v>
      </c>
      <c r="JK101" s="504">
        <v>0</v>
      </c>
      <c r="JL101" s="504">
        <v>0</v>
      </c>
      <c r="JM101" s="504">
        <v>0</v>
      </c>
      <c r="JN101" s="504">
        <v>0</v>
      </c>
      <c r="JO101" s="504">
        <v>0</v>
      </c>
      <c r="JP101" s="504">
        <v>0</v>
      </c>
      <c r="JQ101" s="504">
        <v>0</v>
      </c>
      <c r="JR101" s="504">
        <v>0</v>
      </c>
      <c r="JS101" s="504">
        <v>0</v>
      </c>
      <c r="JT101" s="504">
        <v>0</v>
      </c>
      <c r="JU101" s="504">
        <v>0</v>
      </c>
      <c r="JV101" s="504">
        <v>0</v>
      </c>
      <c r="JW101" s="504">
        <v>0</v>
      </c>
      <c r="JX101" s="504">
        <v>0</v>
      </c>
      <c r="JY101" s="504">
        <v>0</v>
      </c>
      <c r="JZ101" s="504">
        <v>0</v>
      </c>
      <c r="KA101" s="504">
        <v>0</v>
      </c>
      <c r="KB101" s="504">
        <v>0</v>
      </c>
      <c r="KC101" s="504">
        <v>0</v>
      </c>
      <c r="KD101" s="504">
        <v>0</v>
      </c>
      <c r="KE101" s="504">
        <v>0</v>
      </c>
      <c r="KF101" s="504">
        <v>0</v>
      </c>
      <c r="KG101" s="504">
        <v>0</v>
      </c>
      <c r="KH101" s="504">
        <v>0</v>
      </c>
      <c r="KI101" s="504">
        <v>0</v>
      </c>
      <c r="KJ101" s="504">
        <v>0</v>
      </c>
      <c r="KK101" s="504">
        <v>0</v>
      </c>
      <c r="KL101" s="504">
        <v>0</v>
      </c>
      <c r="KM101" s="504">
        <v>0</v>
      </c>
      <c r="KN101" s="504">
        <v>0</v>
      </c>
      <c r="KO101" s="504">
        <v>0</v>
      </c>
      <c r="KP101" s="504">
        <v>0</v>
      </c>
      <c r="KQ101" s="504">
        <v>0</v>
      </c>
      <c r="KR101" s="504">
        <v>0</v>
      </c>
      <c r="KS101" s="504">
        <v>0</v>
      </c>
      <c r="KT101" s="504">
        <v>0</v>
      </c>
      <c r="KU101" s="504">
        <v>0</v>
      </c>
      <c r="KV101" s="504">
        <v>0</v>
      </c>
      <c r="KW101" s="504">
        <v>0</v>
      </c>
      <c r="KX101" s="504">
        <v>0</v>
      </c>
      <c r="KY101" s="504">
        <v>0</v>
      </c>
      <c r="KZ101" s="504">
        <v>0</v>
      </c>
      <c r="LA101" s="504">
        <v>0</v>
      </c>
      <c r="LB101" s="504">
        <v>0</v>
      </c>
      <c r="LC101" s="504">
        <v>0</v>
      </c>
      <c r="LD101" s="504">
        <v>0</v>
      </c>
      <c r="LE101" s="504">
        <v>0</v>
      </c>
      <c r="LF101" s="504">
        <v>0</v>
      </c>
      <c r="LG101" s="504">
        <v>0</v>
      </c>
      <c r="LH101" s="504">
        <v>0</v>
      </c>
      <c r="LI101" s="504">
        <v>0</v>
      </c>
      <c r="LJ101" s="504">
        <v>0</v>
      </c>
      <c r="LK101" s="504">
        <v>0</v>
      </c>
      <c r="LL101" s="504">
        <v>0</v>
      </c>
      <c r="LM101" s="504">
        <v>0</v>
      </c>
      <c r="LN101" s="504">
        <v>0</v>
      </c>
      <c r="LO101" s="504">
        <v>0</v>
      </c>
      <c r="LP101" s="504">
        <v>0</v>
      </c>
      <c r="LQ101" s="504">
        <v>0</v>
      </c>
      <c r="LR101" s="504">
        <v>0</v>
      </c>
      <c r="LS101" s="504">
        <v>0</v>
      </c>
      <c r="LT101" s="504">
        <v>0</v>
      </c>
      <c r="LU101" s="504">
        <v>0</v>
      </c>
      <c r="LV101" s="504">
        <v>0</v>
      </c>
      <c r="LW101" s="504">
        <v>0</v>
      </c>
      <c r="LX101" s="504">
        <v>0</v>
      </c>
      <c r="LY101" s="504">
        <v>0</v>
      </c>
      <c r="LZ101" s="504">
        <v>0</v>
      </c>
      <c r="MA101" s="504">
        <v>0</v>
      </c>
      <c r="MB101" s="504">
        <v>0</v>
      </c>
      <c r="MC101" s="504">
        <v>0</v>
      </c>
      <c r="MD101" s="504">
        <v>0</v>
      </c>
      <c r="ME101" s="504">
        <v>0</v>
      </c>
      <c r="MF101" s="504">
        <v>0</v>
      </c>
      <c r="MG101" s="504">
        <v>0</v>
      </c>
      <c r="MH101" s="504">
        <v>0</v>
      </c>
      <c r="MI101" s="504">
        <v>0</v>
      </c>
      <c r="MJ101" s="504">
        <v>0</v>
      </c>
      <c r="MK101" s="504">
        <v>0</v>
      </c>
      <c r="ML101" s="504">
        <v>0</v>
      </c>
      <c r="MM101" s="504">
        <v>0</v>
      </c>
      <c r="MN101" s="504">
        <v>0</v>
      </c>
      <c r="MO101" s="504">
        <v>0</v>
      </c>
      <c r="MP101" s="504">
        <v>0</v>
      </c>
      <c r="MQ101" s="504">
        <v>0</v>
      </c>
      <c r="MR101" s="504">
        <v>0</v>
      </c>
      <c r="MS101" s="504">
        <v>0</v>
      </c>
      <c r="MT101" s="504">
        <v>0</v>
      </c>
      <c r="MU101" s="504">
        <v>0</v>
      </c>
      <c r="MV101" s="504">
        <v>0</v>
      </c>
      <c r="MW101" s="504">
        <v>0</v>
      </c>
      <c r="MX101" s="504">
        <v>0</v>
      </c>
      <c r="MY101" s="504">
        <v>0</v>
      </c>
      <c r="MZ101" s="504">
        <v>0</v>
      </c>
      <c r="NA101" s="504">
        <v>0</v>
      </c>
      <c r="NB101" s="504">
        <v>0</v>
      </c>
      <c r="NC101" s="504">
        <v>0</v>
      </c>
      <c r="ND101" s="504">
        <v>0</v>
      </c>
      <c r="NE101" s="504">
        <v>0</v>
      </c>
      <c r="NF101" s="504">
        <v>0</v>
      </c>
      <c r="NG101" s="504">
        <v>0</v>
      </c>
      <c r="NH101" s="504">
        <v>0</v>
      </c>
      <c r="NI101" s="504">
        <v>0</v>
      </c>
      <c r="NJ101" s="504">
        <v>0</v>
      </c>
      <c r="NK101" s="504">
        <v>0</v>
      </c>
      <c r="NL101" s="504">
        <v>0</v>
      </c>
      <c r="NM101" s="504">
        <v>0</v>
      </c>
      <c r="NN101" s="504">
        <v>0</v>
      </c>
      <c r="NO101" s="504">
        <v>0</v>
      </c>
      <c r="NP101" s="504">
        <v>0</v>
      </c>
      <c r="NQ101" s="504">
        <v>0</v>
      </c>
      <c r="NR101" s="504">
        <v>0</v>
      </c>
      <c r="NS101" s="504">
        <v>0</v>
      </c>
      <c r="NT101" s="504">
        <v>0</v>
      </c>
      <c r="NU101" s="504">
        <v>0</v>
      </c>
      <c r="NV101" s="504">
        <v>0</v>
      </c>
      <c r="NW101" s="504">
        <v>0</v>
      </c>
      <c r="NX101" s="504">
        <v>0</v>
      </c>
      <c r="NY101" s="504">
        <v>0</v>
      </c>
      <c r="NZ101" s="504">
        <v>0</v>
      </c>
      <c r="OA101" s="504">
        <v>0</v>
      </c>
      <c r="OB101" s="504">
        <v>0</v>
      </c>
      <c r="OC101" s="504">
        <v>0</v>
      </c>
      <c r="OD101" s="504">
        <v>0</v>
      </c>
      <c r="OE101" s="504">
        <v>0</v>
      </c>
      <c r="OF101" s="504">
        <v>0</v>
      </c>
      <c r="OG101" s="504">
        <v>0</v>
      </c>
      <c r="OH101" s="504">
        <v>0</v>
      </c>
      <c r="OI101" s="504">
        <v>0</v>
      </c>
      <c r="OJ101" s="504">
        <v>0</v>
      </c>
      <c r="OK101" s="504">
        <v>0</v>
      </c>
      <c r="OL101" s="504">
        <v>0</v>
      </c>
      <c r="OM101" s="504">
        <v>0</v>
      </c>
      <c r="ON101" s="494"/>
    </row>
    <row r="102" spans="1:404" ht="18.75" customHeight="1" x14ac:dyDescent="0.4">
      <c r="A102" s="511" t="s">
        <v>372</v>
      </c>
      <c r="B102" s="512">
        <v>156</v>
      </c>
      <c r="C102" s="511" t="s">
        <v>60</v>
      </c>
      <c r="D102" s="501">
        <v>21.26</v>
      </c>
      <c r="E102" s="502">
        <v>149335</v>
      </c>
      <c r="F102" s="501">
        <v>21.26</v>
      </c>
      <c r="G102" s="502">
        <v>15395</v>
      </c>
      <c r="H102" s="501">
        <v>21.26</v>
      </c>
      <c r="I102" s="502">
        <v>46252</v>
      </c>
      <c r="J102" s="501">
        <v>21.26</v>
      </c>
      <c r="K102" s="502">
        <v>51892</v>
      </c>
      <c r="V102" s="501"/>
      <c r="W102" s="503"/>
      <c r="X102" s="501"/>
      <c r="Y102" s="503"/>
      <c r="Z102" s="501"/>
      <c r="AA102" s="503"/>
      <c r="AB102" s="495"/>
      <c r="AC102" s="504">
        <v>0</v>
      </c>
      <c r="AD102" s="504">
        <v>0</v>
      </c>
      <c r="AE102" s="504">
        <v>0</v>
      </c>
      <c r="AF102" s="504">
        <v>0</v>
      </c>
      <c r="AG102" s="504">
        <v>0</v>
      </c>
      <c r="AH102" s="504">
        <v>0</v>
      </c>
      <c r="AI102" s="504">
        <v>0</v>
      </c>
      <c r="AJ102" s="504">
        <v>0</v>
      </c>
      <c r="AK102" s="504">
        <v>0</v>
      </c>
      <c r="AL102" s="504">
        <v>0</v>
      </c>
      <c r="AM102" s="504">
        <v>0</v>
      </c>
      <c r="AN102" s="504">
        <v>0</v>
      </c>
      <c r="AO102" s="504">
        <v>0</v>
      </c>
      <c r="AP102" s="504">
        <v>0</v>
      </c>
      <c r="AQ102" s="504">
        <v>0</v>
      </c>
      <c r="AR102" s="504">
        <v>0</v>
      </c>
      <c r="AS102" s="504">
        <v>0</v>
      </c>
      <c r="AT102" s="504">
        <v>0</v>
      </c>
      <c r="AU102" s="504">
        <v>0</v>
      </c>
      <c r="AV102" s="504">
        <v>0</v>
      </c>
      <c r="AW102" s="504">
        <v>0</v>
      </c>
      <c r="AX102" s="504">
        <v>0</v>
      </c>
      <c r="AY102" s="504">
        <v>0</v>
      </c>
      <c r="AZ102" s="504">
        <v>0</v>
      </c>
      <c r="BA102" s="504">
        <v>0</v>
      </c>
      <c r="BB102" s="504">
        <v>0</v>
      </c>
      <c r="BC102" s="504">
        <v>0</v>
      </c>
      <c r="BD102" s="504">
        <v>0</v>
      </c>
      <c r="BE102" s="504">
        <v>0</v>
      </c>
      <c r="BF102" s="504">
        <v>0</v>
      </c>
      <c r="BG102" s="504">
        <v>0</v>
      </c>
      <c r="BH102" s="504">
        <v>0</v>
      </c>
      <c r="BI102" s="504">
        <v>0</v>
      </c>
      <c r="BJ102" s="504">
        <v>0</v>
      </c>
      <c r="BK102" s="504">
        <v>0</v>
      </c>
      <c r="BL102" s="504">
        <v>0</v>
      </c>
      <c r="BM102" s="504">
        <v>0</v>
      </c>
      <c r="BN102" s="504">
        <v>0</v>
      </c>
      <c r="BO102" s="504">
        <v>0</v>
      </c>
      <c r="BP102" s="504">
        <v>0</v>
      </c>
      <c r="BQ102" s="504">
        <v>0</v>
      </c>
      <c r="BR102" s="504">
        <v>0</v>
      </c>
      <c r="BS102" s="504">
        <v>0</v>
      </c>
      <c r="BT102" s="504">
        <v>0</v>
      </c>
      <c r="BU102" s="504">
        <v>0</v>
      </c>
      <c r="BV102" s="504">
        <v>0</v>
      </c>
      <c r="BW102" s="504">
        <v>0</v>
      </c>
      <c r="BX102" s="504">
        <v>0</v>
      </c>
      <c r="BY102" s="504">
        <v>0</v>
      </c>
      <c r="BZ102" s="504">
        <v>0</v>
      </c>
      <c r="CA102" s="504">
        <v>0</v>
      </c>
      <c r="CB102" s="504">
        <v>0</v>
      </c>
      <c r="CC102" s="504">
        <v>0</v>
      </c>
      <c r="CD102" s="504">
        <v>0</v>
      </c>
      <c r="CE102" s="504">
        <v>0</v>
      </c>
      <c r="CF102" s="504">
        <v>0</v>
      </c>
      <c r="CG102" s="504">
        <v>0</v>
      </c>
      <c r="CH102" s="504">
        <v>0</v>
      </c>
      <c r="CI102" s="504">
        <v>0</v>
      </c>
      <c r="CJ102" s="504">
        <v>0</v>
      </c>
      <c r="CK102" s="504">
        <v>0</v>
      </c>
      <c r="CL102" s="504">
        <v>0</v>
      </c>
      <c r="CM102" s="504">
        <v>0</v>
      </c>
      <c r="CN102" s="504">
        <v>0</v>
      </c>
      <c r="CO102" s="504">
        <v>0</v>
      </c>
      <c r="CP102" s="504">
        <v>0</v>
      </c>
      <c r="CQ102" s="504">
        <v>0</v>
      </c>
      <c r="CR102" s="504">
        <v>0</v>
      </c>
      <c r="CS102" s="504">
        <v>0</v>
      </c>
      <c r="CT102" s="504">
        <v>0</v>
      </c>
      <c r="CU102" s="504">
        <v>0</v>
      </c>
      <c r="CV102" s="504">
        <v>0</v>
      </c>
      <c r="CW102" s="504">
        <v>0</v>
      </c>
      <c r="CX102" s="504">
        <v>0</v>
      </c>
      <c r="CY102" s="504">
        <v>0</v>
      </c>
      <c r="CZ102" s="504">
        <v>0</v>
      </c>
      <c r="DA102" s="504">
        <v>0</v>
      </c>
      <c r="DB102" s="504">
        <v>0</v>
      </c>
      <c r="DC102" s="504">
        <v>0</v>
      </c>
      <c r="DD102" s="504">
        <v>0</v>
      </c>
      <c r="DE102" s="504">
        <v>0</v>
      </c>
      <c r="DF102" s="504">
        <v>0</v>
      </c>
      <c r="DG102" s="504">
        <v>0</v>
      </c>
      <c r="DH102" s="504">
        <v>0</v>
      </c>
      <c r="DI102" s="504">
        <v>0</v>
      </c>
      <c r="DJ102" s="504">
        <v>0</v>
      </c>
      <c r="DK102" s="504">
        <v>0</v>
      </c>
      <c r="DL102" s="504">
        <v>0</v>
      </c>
      <c r="DM102" s="504">
        <v>0</v>
      </c>
      <c r="DN102" s="504">
        <v>0</v>
      </c>
      <c r="DO102" s="504">
        <v>0</v>
      </c>
      <c r="DP102" s="504">
        <v>0</v>
      </c>
      <c r="DQ102" s="504">
        <v>0</v>
      </c>
      <c r="DR102" s="504">
        <v>0</v>
      </c>
      <c r="DS102" s="504">
        <v>0</v>
      </c>
      <c r="DT102" s="504">
        <v>0</v>
      </c>
      <c r="DU102" s="504">
        <v>0</v>
      </c>
      <c r="DV102" s="504">
        <v>0</v>
      </c>
      <c r="DW102" s="504">
        <v>0</v>
      </c>
      <c r="DX102" s="504">
        <v>0</v>
      </c>
      <c r="DY102" s="504">
        <v>0</v>
      </c>
      <c r="DZ102" s="504">
        <v>0</v>
      </c>
      <c r="EA102" s="504">
        <v>0</v>
      </c>
      <c r="EB102" s="504">
        <v>0</v>
      </c>
      <c r="EC102" s="504">
        <v>0</v>
      </c>
      <c r="ED102" s="504">
        <v>0</v>
      </c>
      <c r="EE102" s="504">
        <v>0</v>
      </c>
      <c r="EF102" s="504">
        <v>0</v>
      </c>
      <c r="EG102" s="504">
        <v>0</v>
      </c>
      <c r="EH102" s="504">
        <v>0</v>
      </c>
      <c r="EI102" s="504">
        <v>0</v>
      </c>
      <c r="EJ102" s="504">
        <v>0</v>
      </c>
      <c r="EK102" s="504">
        <v>0</v>
      </c>
      <c r="EL102" s="504">
        <v>0</v>
      </c>
      <c r="EM102" s="504">
        <v>0</v>
      </c>
      <c r="EN102" s="504">
        <v>0</v>
      </c>
      <c r="EO102" s="504">
        <v>0</v>
      </c>
      <c r="EP102" s="504">
        <v>0</v>
      </c>
      <c r="EQ102" s="504">
        <v>0</v>
      </c>
      <c r="ER102" s="504">
        <v>0</v>
      </c>
      <c r="ES102" s="504">
        <v>0</v>
      </c>
      <c r="ET102" s="504">
        <v>0</v>
      </c>
      <c r="EU102" s="504">
        <v>0</v>
      </c>
      <c r="EV102" s="504">
        <v>0</v>
      </c>
      <c r="EW102" s="504">
        <v>0</v>
      </c>
      <c r="EX102" s="504">
        <v>0</v>
      </c>
      <c r="EY102" s="504">
        <v>0</v>
      </c>
      <c r="EZ102" s="504">
        <v>0</v>
      </c>
      <c r="FA102" s="504">
        <v>0</v>
      </c>
      <c r="FB102" s="504">
        <v>0</v>
      </c>
      <c r="FC102" s="504">
        <v>0</v>
      </c>
      <c r="FD102" s="504">
        <v>0</v>
      </c>
      <c r="FE102" s="504">
        <v>0</v>
      </c>
      <c r="FF102" s="504">
        <v>0</v>
      </c>
      <c r="FG102" s="504">
        <v>0</v>
      </c>
      <c r="FH102" s="504">
        <v>0</v>
      </c>
      <c r="FI102" s="504">
        <v>0</v>
      </c>
      <c r="FJ102" s="504">
        <v>0</v>
      </c>
      <c r="FK102" s="504">
        <v>0</v>
      </c>
      <c r="FL102" s="504">
        <v>0</v>
      </c>
      <c r="FM102" s="504">
        <v>0</v>
      </c>
      <c r="FN102" s="504">
        <v>0</v>
      </c>
      <c r="FO102" s="504">
        <v>0</v>
      </c>
      <c r="FP102" s="504">
        <v>0</v>
      </c>
      <c r="FQ102" s="504">
        <v>0</v>
      </c>
      <c r="FR102" s="504">
        <v>0</v>
      </c>
      <c r="FS102" s="504">
        <v>0</v>
      </c>
      <c r="FT102" s="504">
        <v>0</v>
      </c>
      <c r="FU102" s="504">
        <v>0</v>
      </c>
      <c r="FV102" s="504">
        <v>0</v>
      </c>
      <c r="FW102" s="504">
        <v>0</v>
      </c>
      <c r="FX102" s="504">
        <v>0</v>
      </c>
      <c r="FY102" s="504">
        <v>0</v>
      </c>
      <c r="FZ102" s="504">
        <v>0</v>
      </c>
      <c r="GA102" s="504">
        <v>0</v>
      </c>
      <c r="GB102" s="504">
        <v>0</v>
      </c>
      <c r="GC102" s="504">
        <v>0</v>
      </c>
      <c r="GD102" s="504">
        <v>0</v>
      </c>
      <c r="GE102" s="504">
        <v>0</v>
      </c>
      <c r="GF102" s="504">
        <v>0</v>
      </c>
      <c r="GG102" s="504">
        <v>0</v>
      </c>
      <c r="GH102" s="504">
        <v>0</v>
      </c>
      <c r="GI102" s="504">
        <v>0</v>
      </c>
      <c r="GJ102" s="504">
        <v>0</v>
      </c>
      <c r="GK102" s="504">
        <v>0</v>
      </c>
      <c r="GL102" s="504">
        <v>0</v>
      </c>
      <c r="GM102" s="504">
        <v>0</v>
      </c>
      <c r="GN102" s="504">
        <v>0</v>
      </c>
      <c r="GO102" s="504">
        <v>0</v>
      </c>
      <c r="GP102" s="504">
        <v>0</v>
      </c>
      <c r="GQ102" s="504">
        <v>0</v>
      </c>
      <c r="GR102" s="504">
        <v>0</v>
      </c>
      <c r="GS102" s="504">
        <v>0</v>
      </c>
      <c r="GT102" s="504">
        <v>0</v>
      </c>
      <c r="GU102" s="504">
        <v>0</v>
      </c>
      <c r="GV102" s="504">
        <v>0</v>
      </c>
      <c r="GW102" s="504">
        <v>0</v>
      </c>
      <c r="GX102" s="504">
        <v>0</v>
      </c>
      <c r="GY102" s="504">
        <v>0</v>
      </c>
      <c r="GZ102" s="504">
        <v>0</v>
      </c>
      <c r="HA102" s="504">
        <v>0</v>
      </c>
      <c r="HB102" s="504">
        <v>0</v>
      </c>
      <c r="HC102" s="504">
        <v>0</v>
      </c>
      <c r="HD102" s="504">
        <v>0</v>
      </c>
      <c r="HE102" s="504">
        <v>0</v>
      </c>
      <c r="HF102" s="504">
        <v>0</v>
      </c>
      <c r="HG102" s="504">
        <v>0</v>
      </c>
      <c r="HH102" s="504">
        <v>0</v>
      </c>
      <c r="HI102" s="504">
        <v>0</v>
      </c>
      <c r="HJ102" s="504">
        <v>0</v>
      </c>
      <c r="HK102" s="504">
        <v>0</v>
      </c>
      <c r="HL102" s="504">
        <v>0</v>
      </c>
      <c r="HM102" s="504">
        <v>0</v>
      </c>
      <c r="HN102" s="504">
        <v>0</v>
      </c>
      <c r="HO102" s="504">
        <v>0</v>
      </c>
      <c r="HP102" s="504">
        <v>0</v>
      </c>
      <c r="HQ102" s="504">
        <v>0</v>
      </c>
      <c r="HR102" s="504">
        <v>0</v>
      </c>
      <c r="HS102" s="504">
        <v>0</v>
      </c>
      <c r="HT102" s="504">
        <v>0</v>
      </c>
      <c r="HU102" s="504">
        <v>0</v>
      </c>
      <c r="HV102" s="504">
        <v>0</v>
      </c>
      <c r="HW102" s="504">
        <v>0</v>
      </c>
      <c r="HX102" s="504">
        <v>0</v>
      </c>
      <c r="HY102" s="504">
        <v>0</v>
      </c>
      <c r="HZ102" s="504">
        <v>0</v>
      </c>
      <c r="IA102" s="504">
        <v>0</v>
      </c>
      <c r="IB102" s="504">
        <v>0</v>
      </c>
      <c r="IC102" s="504">
        <v>0</v>
      </c>
      <c r="ID102" s="504">
        <v>0</v>
      </c>
      <c r="IE102" s="504">
        <v>0</v>
      </c>
      <c r="IF102" s="504">
        <v>0</v>
      </c>
      <c r="IG102" s="504">
        <v>0</v>
      </c>
      <c r="IH102" s="504">
        <v>0</v>
      </c>
      <c r="II102" s="504">
        <v>0</v>
      </c>
      <c r="IJ102" s="504">
        <v>0</v>
      </c>
      <c r="IK102" s="504">
        <v>0</v>
      </c>
      <c r="IL102" s="504">
        <v>0</v>
      </c>
      <c r="IM102" s="504">
        <v>0</v>
      </c>
      <c r="IN102" s="504">
        <v>0</v>
      </c>
      <c r="IO102" s="504">
        <v>0</v>
      </c>
      <c r="IP102" s="504">
        <v>0</v>
      </c>
      <c r="IQ102" s="504">
        <v>0</v>
      </c>
      <c r="IR102" s="504">
        <v>0</v>
      </c>
      <c r="IS102" s="504">
        <v>0</v>
      </c>
      <c r="IT102" s="504">
        <v>0</v>
      </c>
      <c r="IU102" s="504">
        <v>0</v>
      </c>
      <c r="IV102" s="504">
        <v>0</v>
      </c>
      <c r="IW102" s="504">
        <v>0</v>
      </c>
      <c r="IX102" s="504">
        <v>0</v>
      </c>
      <c r="IY102" s="504">
        <v>0</v>
      </c>
      <c r="IZ102" s="504">
        <v>0</v>
      </c>
      <c r="JA102" s="504">
        <v>0</v>
      </c>
      <c r="JB102" s="504">
        <v>0</v>
      </c>
      <c r="JC102" s="504">
        <v>0</v>
      </c>
      <c r="JD102" s="504">
        <v>0</v>
      </c>
      <c r="JE102" s="504">
        <v>0</v>
      </c>
      <c r="JF102" s="504">
        <v>0</v>
      </c>
      <c r="JG102" s="504">
        <v>0</v>
      </c>
      <c r="JH102" s="504">
        <v>0</v>
      </c>
      <c r="JI102" s="504">
        <v>0</v>
      </c>
      <c r="JJ102" s="504">
        <v>0</v>
      </c>
      <c r="JK102" s="504">
        <v>0</v>
      </c>
      <c r="JL102" s="504">
        <v>0</v>
      </c>
      <c r="JM102" s="504">
        <v>0</v>
      </c>
      <c r="JN102" s="504">
        <v>0</v>
      </c>
      <c r="JO102" s="504">
        <v>0</v>
      </c>
      <c r="JP102" s="504">
        <v>0</v>
      </c>
      <c r="JQ102" s="504">
        <v>0</v>
      </c>
      <c r="JR102" s="504">
        <v>0</v>
      </c>
      <c r="JS102" s="504">
        <v>0</v>
      </c>
      <c r="JT102" s="504">
        <v>0</v>
      </c>
      <c r="JU102" s="504">
        <v>0</v>
      </c>
      <c r="JV102" s="504">
        <v>0</v>
      </c>
      <c r="JW102" s="504">
        <v>0</v>
      </c>
      <c r="JX102" s="504">
        <v>0</v>
      </c>
      <c r="JY102" s="504">
        <v>0</v>
      </c>
      <c r="JZ102" s="504">
        <v>0</v>
      </c>
      <c r="KA102" s="504">
        <v>0</v>
      </c>
      <c r="KB102" s="504">
        <v>0</v>
      </c>
      <c r="KC102" s="504">
        <v>0</v>
      </c>
      <c r="KD102" s="504">
        <v>0</v>
      </c>
      <c r="KE102" s="504">
        <v>0</v>
      </c>
      <c r="KF102" s="504">
        <v>0</v>
      </c>
      <c r="KG102" s="504">
        <v>0</v>
      </c>
      <c r="KH102" s="504">
        <v>0</v>
      </c>
      <c r="KI102" s="504">
        <v>0</v>
      </c>
      <c r="KJ102" s="504">
        <v>0</v>
      </c>
      <c r="KK102" s="504">
        <v>0</v>
      </c>
      <c r="KL102" s="504">
        <v>0</v>
      </c>
      <c r="KM102" s="504">
        <v>0</v>
      </c>
      <c r="KN102" s="504">
        <v>0</v>
      </c>
      <c r="KO102" s="504">
        <v>0</v>
      </c>
      <c r="KP102" s="504">
        <v>0</v>
      </c>
      <c r="KQ102" s="504">
        <v>0</v>
      </c>
      <c r="KR102" s="504">
        <v>0</v>
      </c>
      <c r="KS102" s="504">
        <v>0</v>
      </c>
      <c r="KT102" s="504">
        <v>0</v>
      </c>
      <c r="KU102" s="504">
        <v>0</v>
      </c>
      <c r="KV102" s="504">
        <v>0</v>
      </c>
      <c r="KW102" s="504">
        <v>0</v>
      </c>
      <c r="KX102" s="504">
        <v>0</v>
      </c>
      <c r="KY102" s="504">
        <v>0</v>
      </c>
      <c r="KZ102" s="504">
        <v>0</v>
      </c>
      <c r="LA102" s="504">
        <v>0</v>
      </c>
      <c r="LB102" s="504">
        <v>0</v>
      </c>
      <c r="LC102" s="504">
        <v>0</v>
      </c>
      <c r="LD102" s="504">
        <v>0</v>
      </c>
      <c r="LE102" s="504">
        <v>0</v>
      </c>
      <c r="LF102" s="504">
        <v>0</v>
      </c>
      <c r="LG102" s="504">
        <v>0</v>
      </c>
      <c r="LH102" s="504">
        <v>0</v>
      </c>
      <c r="LI102" s="504">
        <v>0</v>
      </c>
      <c r="LJ102" s="504">
        <v>0</v>
      </c>
      <c r="LK102" s="504">
        <v>0</v>
      </c>
      <c r="LL102" s="504">
        <v>0</v>
      </c>
      <c r="LM102" s="504">
        <v>0</v>
      </c>
      <c r="LN102" s="504">
        <v>0</v>
      </c>
      <c r="LO102" s="504">
        <v>0</v>
      </c>
      <c r="LP102" s="504">
        <v>0</v>
      </c>
      <c r="LQ102" s="504">
        <v>0</v>
      </c>
      <c r="LR102" s="504">
        <v>0</v>
      </c>
      <c r="LS102" s="504">
        <v>0</v>
      </c>
      <c r="LT102" s="504">
        <v>0</v>
      </c>
      <c r="LU102" s="504">
        <v>0</v>
      </c>
      <c r="LV102" s="504">
        <v>0</v>
      </c>
      <c r="LW102" s="504">
        <v>0</v>
      </c>
      <c r="LX102" s="504">
        <v>0</v>
      </c>
      <c r="LY102" s="504">
        <v>0</v>
      </c>
      <c r="LZ102" s="504">
        <v>0</v>
      </c>
      <c r="MA102" s="504">
        <v>0</v>
      </c>
      <c r="MB102" s="504">
        <v>0</v>
      </c>
      <c r="MC102" s="504">
        <v>0</v>
      </c>
      <c r="MD102" s="504">
        <v>0</v>
      </c>
      <c r="ME102" s="504">
        <v>0</v>
      </c>
      <c r="MF102" s="504">
        <v>0</v>
      </c>
      <c r="MG102" s="504">
        <v>0</v>
      </c>
      <c r="MH102" s="504">
        <v>0</v>
      </c>
      <c r="MI102" s="504">
        <v>0</v>
      </c>
      <c r="MJ102" s="504">
        <v>0</v>
      </c>
      <c r="MK102" s="504">
        <v>0</v>
      </c>
      <c r="ML102" s="504">
        <v>0</v>
      </c>
      <c r="MM102" s="504">
        <v>0</v>
      </c>
      <c r="MN102" s="504">
        <v>0</v>
      </c>
      <c r="MO102" s="504">
        <v>0</v>
      </c>
      <c r="MP102" s="504">
        <v>0</v>
      </c>
      <c r="MQ102" s="504">
        <v>0</v>
      </c>
      <c r="MR102" s="504">
        <v>0</v>
      </c>
      <c r="MS102" s="504">
        <v>0</v>
      </c>
      <c r="MT102" s="504">
        <v>0</v>
      </c>
      <c r="MU102" s="504">
        <v>0</v>
      </c>
      <c r="MV102" s="504">
        <v>0</v>
      </c>
      <c r="MW102" s="504">
        <v>0</v>
      </c>
      <c r="MX102" s="504">
        <v>0</v>
      </c>
      <c r="MY102" s="504">
        <v>0</v>
      </c>
      <c r="MZ102" s="504">
        <v>0</v>
      </c>
      <c r="NA102" s="504">
        <v>0</v>
      </c>
      <c r="NB102" s="504">
        <v>0</v>
      </c>
      <c r="NC102" s="504">
        <v>0</v>
      </c>
      <c r="ND102" s="504">
        <v>0</v>
      </c>
      <c r="NE102" s="504">
        <v>0</v>
      </c>
      <c r="NF102" s="504">
        <v>0</v>
      </c>
      <c r="NG102" s="504">
        <v>0</v>
      </c>
      <c r="NH102" s="504">
        <v>0</v>
      </c>
      <c r="NI102" s="504">
        <v>0</v>
      </c>
      <c r="NJ102" s="504">
        <v>0</v>
      </c>
      <c r="NK102" s="504">
        <v>0</v>
      </c>
      <c r="NL102" s="504">
        <v>0</v>
      </c>
      <c r="NM102" s="504">
        <v>0</v>
      </c>
      <c r="NN102" s="504">
        <v>0</v>
      </c>
      <c r="NO102" s="504">
        <v>0</v>
      </c>
      <c r="NP102" s="504">
        <v>0</v>
      </c>
      <c r="NQ102" s="504">
        <v>0</v>
      </c>
      <c r="NR102" s="504">
        <v>0</v>
      </c>
      <c r="NS102" s="504">
        <v>0</v>
      </c>
      <c r="NT102" s="504">
        <v>0</v>
      </c>
      <c r="NU102" s="504">
        <v>0</v>
      </c>
      <c r="NV102" s="504">
        <v>0</v>
      </c>
      <c r="NW102" s="504">
        <v>0</v>
      </c>
      <c r="NX102" s="504">
        <v>0</v>
      </c>
      <c r="NY102" s="504">
        <v>0</v>
      </c>
      <c r="NZ102" s="504">
        <v>0</v>
      </c>
      <c r="OA102" s="504">
        <v>0</v>
      </c>
      <c r="OB102" s="504">
        <v>0</v>
      </c>
      <c r="OC102" s="504">
        <v>0</v>
      </c>
      <c r="OD102" s="504">
        <v>0</v>
      </c>
      <c r="OE102" s="504">
        <v>0</v>
      </c>
      <c r="OF102" s="504">
        <v>0</v>
      </c>
      <c r="OG102" s="504">
        <v>0</v>
      </c>
      <c r="OH102" s="504">
        <v>0</v>
      </c>
      <c r="OI102" s="504">
        <v>0</v>
      </c>
      <c r="OJ102" s="504">
        <v>0</v>
      </c>
      <c r="OK102" s="504">
        <v>0</v>
      </c>
      <c r="OL102" s="504">
        <v>0</v>
      </c>
      <c r="OM102" s="504">
        <v>0</v>
      </c>
      <c r="ON102" s="494"/>
    </row>
    <row r="103" spans="1:404" ht="18.75" customHeight="1" x14ac:dyDescent="0.4">
      <c r="A103" s="511" t="s">
        <v>373</v>
      </c>
      <c r="B103" s="512">
        <v>113</v>
      </c>
      <c r="C103" s="511" t="s">
        <v>60</v>
      </c>
      <c r="D103" s="501">
        <v>21.58</v>
      </c>
      <c r="E103" s="502">
        <v>60328</v>
      </c>
      <c r="F103" s="501">
        <v>21.57</v>
      </c>
      <c r="G103" s="502">
        <v>11301</v>
      </c>
      <c r="H103" s="501">
        <v>21.57</v>
      </c>
      <c r="I103" s="502">
        <v>30269</v>
      </c>
      <c r="J103" s="501">
        <v>21.57</v>
      </c>
      <c r="K103" s="502">
        <v>34472</v>
      </c>
      <c r="V103" s="501"/>
      <c r="W103" s="503"/>
      <c r="X103" s="501"/>
      <c r="Y103" s="503"/>
      <c r="Z103" s="501"/>
      <c r="AA103" s="503"/>
      <c r="AB103" s="495"/>
      <c r="AC103" s="504">
        <v>0</v>
      </c>
      <c r="AD103" s="504">
        <v>0</v>
      </c>
      <c r="AE103" s="504">
        <v>0</v>
      </c>
      <c r="AF103" s="504">
        <v>0</v>
      </c>
      <c r="AG103" s="504">
        <v>0</v>
      </c>
      <c r="AH103" s="504">
        <v>0</v>
      </c>
      <c r="AI103" s="504">
        <v>0</v>
      </c>
      <c r="AJ103" s="504">
        <v>0</v>
      </c>
      <c r="AK103" s="504">
        <v>0</v>
      </c>
      <c r="AL103" s="504">
        <v>0</v>
      </c>
      <c r="AM103" s="504">
        <v>0</v>
      </c>
      <c r="AN103" s="504">
        <v>0</v>
      </c>
      <c r="AO103" s="504">
        <v>0</v>
      </c>
      <c r="AP103" s="504">
        <v>0</v>
      </c>
      <c r="AQ103" s="504">
        <v>0</v>
      </c>
      <c r="AR103" s="504">
        <v>0</v>
      </c>
      <c r="AS103" s="504">
        <v>0</v>
      </c>
      <c r="AT103" s="504">
        <v>0</v>
      </c>
      <c r="AU103" s="504">
        <v>0</v>
      </c>
      <c r="AV103" s="504">
        <v>0</v>
      </c>
      <c r="AW103" s="504">
        <v>0</v>
      </c>
      <c r="AX103" s="504">
        <v>0</v>
      </c>
      <c r="AY103" s="504">
        <v>0</v>
      </c>
      <c r="AZ103" s="504">
        <v>0</v>
      </c>
      <c r="BA103" s="504">
        <v>0</v>
      </c>
      <c r="BB103" s="504">
        <v>0</v>
      </c>
      <c r="BC103" s="504">
        <v>0</v>
      </c>
      <c r="BD103" s="504">
        <v>0</v>
      </c>
      <c r="BE103" s="504">
        <v>0</v>
      </c>
      <c r="BF103" s="504">
        <v>0</v>
      </c>
      <c r="BG103" s="504">
        <v>0</v>
      </c>
      <c r="BH103" s="504">
        <v>0</v>
      </c>
      <c r="BI103" s="504">
        <v>0</v>
      </c>
      <c r="BJ103" s="504">
        <v>0</v>
      </c>
      <c r="BK103" s="504">
        <v>0</v>
      </c>
      <c r="BL103" s="504">
        <v>0</v>
      </c>
      <c r="BM103" s="504">
        <v>0</v>
      </c>
      <c r="BN103" s="504">
        <v>0</v>
      </c>
      <c r="BO103" s="504">
        <v>0</v>
      </c>
      <c r="BP103" s="504">
        <v>0</v>
      </c>
      <c r="BQ103" s="504">
        <v>0</v>
      </c>
      <c r="BR103" s="504">
        <v>0</v>
      </c>
      <c r="BS103" s="504">
        <v>0</v>
      </c>
      <c r="BT103" s="504">
        <v>0</v>
      </c>
      <c r="BU103" s="504">
        <v>0</v>
      </c>
      <c r="BV103" s="504">
        <v>0</v>
      </c>
      <c r="BW103" s="504">
        <v>0</v>
      </c>
      <c r="BX103" s="504">
        <v>0</v>
      </c>
      <c r="BY103" s="504">
        <v>0</v>
      </c>
      <c r="BZ103" s="504">
        <v>0</v>
      </c>
      <c r="CA103" s="504">
        <v>0</v>
      </c>
      <c r="CB103" s="504">
        <v>0</v>
      </c>
      <c r="CC103" s="504">
        <v>0</v>
      </c>
      <c r="CD103" s="504">
        <v>0</v>
      </c>
      <c r="CE103" s="504">
        <v>0</v>
      </c>
      <c r="CF103" s="504">
        <v>0</v>
      </c>
      <c r="CG103" s="504">
        <v>0</v>
      </c>
      <c r="CH103" s="504">
        <v>0</v>
      </c>
      <c r="CI103" s="504">
        <v>0</v>
      </c>
      <c r="CJ103" s="504">
        <v>0</v>
      </c>
      <c r="CK103" s="504">
        <v>0</v>
      </c>
      <c r="CL103" s="504">
        <v>0</v>
      </c>
      <c r="CM103" s="504">
        <v>0</v>
      </c>
      <c r="CN103" s="504">
        <v>0</v>
      </c>
      <c r="CO103" s="504">
        <v>0</v>
      </c>
      <c r="CP103" s="504">
        <v>0</v>
      </c>
      <c r="CQ103" s="504">
        <v>0</v>
      </c>
      <c r="CR103" s="504">
        <v>0</v>
      </c>
      <c r="CS103" s="504">
        <v>0</v>
      </c>
      <c r="CT103" s="504">
        <v>0</v>
      </c>
      <c r="CU103" s="504">
        <v>0</v>
      </c>
      <c r="CV103" s="504">
        <v>0</v>
      </c>
      <c r="CW103" s="504">
        <v>0</v>
      </c>
      <c r="CX103" s="504">
        <v>0</v>
      </c>
      <c r="CY103" s="504">
        <v>0</v>
      </c>
      <c r="CZ103" s="504">
        <v>0</v>
      </c>
      <c r="DA103" s="504">
        <v>0</v>
      </c>
      <c r="DB103" s="504">
        <v>0</v>
      </c>
      <c r="DC103" s="504">
        <v>0</v>
      </c>
      <c r="DD103" s="504">
        <v>0</v>
      </c>
      <c r="DE103" s="504">
        <v>0</v>
      </c>
      <c r="DF103" s="504">
        <v>0</v>
      </c>
      <c r="DG103" s="504">
        <v>0</v>
      </c>
      <c r="DH103" s="504">
        <v>0</v>
      </c>
      <c r="DI103" s="504">
        <v>0</v>
      </c>
      <c r="DJ103" s="504">
        <v>0</v>
      </c>
      <c r="DK103" s="504">
        <v>0</v>
      </c>
      <c r="DL103" s="504">
        <v>0</v>
      </c>
      <c r="DM103" s="504">
        <v>0</v>
      </c>
      <c r="DN103" s="504">
        <v>0</v>
      </c>
      <c r="DO103" s="504">
        <v>0</v>
      </c>
      <c r="DP103" s="504">
        <v>0</v>
      </c>
      <c r="DQ103" s="504">
        <v>0</v>
      </c>
      <c r="DR103" s="504">
        <v>0</v>
      </c>
      <c r="DS103" s="504">
        <v>0</v>
      </c>
      <c r="DT103" s="504">
        <v>0</v>
      </c>
      <c r="DU103" s="504">
        <v>0</v>
      </c>
      <c r="DV103" s="504">
        <v>0</v>
      </c>
      <c r="DW103" s="504">
        <v>0</v>
      </c>
      <c r="DX103" s="504">
        <v>0</v>
      </c>
      <c r="DY103" s="504">
        <v>0</v>
      </c>
      <c r="DZ103" s="504">
        <v>0</v>
      </c>
      <c r="EA103" s="504">
        <v>0</v>
      </c>
      <c r="EB103" s="504">
        <v>0</v>
      </c>
      <c r="EC103" s="504">
        <v>0</v>
      </c>
      <c r="ED103" s="504">
        <v>0</v>
      </c>
      <c r="EE103" s="504">
        <v>0</v>
      </c>
      <c r="EF103" s="504">
        <v>0</v>
      </c>
      <c r="EG103" s="504">
        <v>0</v>
      </c>
      <c r="EH103" s="504">
        <v>0</v>
      </c>
      <c r="EI103" s="504">
        <v>0</v>
      </c>
      <c r="EJ103" s="504">
        <v>0</v>
      </c>
      <c r="EK103" s="504">
        <v>0</v>
      </c>
      <c r="EL103" s="504">
        <v>0</v>
      </c>
      <c r="EM103" s="504">
        <v>0</v>
      </c>
      <c r="EN103" s="504">
        <v>0</v>
      </c>
      <c r="EO103" s="504">
        <v>0</v>
      </c>
      <c r="EP103" s="504">
        <v>0</v>
      </c>
      <c r="EQ103" s="504">
        <v>0</v>
      </c>
      <c r="ER103" s="504">
        <v>0</v>
      </c>
      <c r="ES103" s="504">
        <v>0</v>
      </c>
      <c r="ET103" s="504">
        <v>0</v>
      </c>
      <c r="EU103" s="504">
        <v>0</v>
      </c>
      <c r="EV103" s="504">
        <v>0</v>
      </c>
      <c r="EW103" s="504">
        <v>0</v>
      </c>
      <c r="EX103" s="504">
        <v>0</v>
      </c>
      <c r="EY103" s="504">
        <v>0</v>
      </c>
      <c r="EZ103" s="504">
        <v>0</v>
      </c>
      <c r="FA103" s="504">
        <v>0</v>
      </c>
      <c r="FB103" s="504">
        <v>0</v>
      </c>
      <c r="FC103" s="504">
        <v>0</v>
      </c>
      <c r="FD103" s="504">
        <v>0</v>
      </c>
      <c r="FE103" s="504">
        <v>0</v>
      </c>
      <c r="FF103" s="504">
        <v>0</v>
      </c>
      <c r="FG103" s="504">
        <v>0</v>
      </c>
      <c r="FH103" s="504">
        <v>0</v>
      </c>
      <c r="FI103" s="504">
        <v>0</v>
      </c>
      <c r="FJ103" s="504">
        <v>0</v>
      </c>
      <c r="FK103" s="504">
        <v>0</v>
      </c>
      <c r="FL103" s="504">
        <v>0</v>
      </c>
      <c r="FM103" s="504">
        <v>0</v>
      </c>
      <c r="FN103" s="504">
        <v>0</v>
      </c>
      <c r="FO103" s="504">
        <v>0</v>
      </c>
      <c r="FP103" s="504">
        <v>0</v>
      </c>
      <c r="FQ103" s="504">
        <v>0</v>
      </c>
      <c r="FR103" s="504">
        <v>0</v>
      </c>
      <c r="FS103" s="504">
        <v>0</v>
      </c>
      <c r="FT103" s="504">
        <v>0</v>
      </c>
      <c r="FU103" s="504">
        <v>0</v>
      </c>
      <c r="FV103" s="504">
        <v>0</v>
      </c>
      <c r="FW103" s="504">
        <v>0</v>
      </c>
      <c r="FX103" s="504">
        <v>0</v>
      </c>
      <c r="FY103" s="504">
        <v>0</v>
      </c>
      <c r="FZ103" s="504">
        <v>0</v>
      </c>
      <c r="GA103" s="504">
        <v>0</v>
      </c>
      <c r="GB103" s="504">
        <v>0</v>
      </c>
      <c r="GC103" s="504">
        <v>0</v>
      </c>
      <c r="GD103" s="504">
        <v>0</v>
      </c>
      <c r="GE103" s="504">
        <v>0</v>
      </c>
      <c r="GF103" s="504">
        <v>0</v>
      </c>
      <c r="GG103" s="504">
        <v>0</v>
      </c>
      <c r="GH103" s="504">
        <v>0</v>
      </c>
      <c r="GI103" s="504">
        <v>0</v>
      </c>
      <c r="GJ103" s="504">
        <v>0</v>
      </c>
      <c r="GK103" s="504">
        <v>0</v>
      </c>
      <c r="GL103" s="504">
        <v>0</v>
      </c>
      <c r="GM103" s="504">
        <v>0</v>
      </c>
      <c r="GN103" s="504">
        <v>0</v>
      </c>
      <c r="GO103" s="504">
        <v>0</v>
      </c>
      <c r="GP103" s="504">
        <v>0</v>
      </c>
      <c r="GQ103" s="504">
        <v>0</v>
      </c>
      <c r="GR103" s="504">
        <v>0</v>
      </c>
      <c r="GS103" s="504">
        <v>0</v>
      </c>
      <c r="GT103" s="504">
        <v>0</v>
      </c>
      <c r="GU103" s="504">
        <v>0</v>
      </c>
      <c r="GV103" s="504">
        <v>0</v>
      </c>
      <c r="GW103" s="504">
        <v>0</v>
      </c>
      <c r="GX103" s="504">
        <v>0</v>
      </c>
      <c r="GY103" s="504">
        <v>0</v>
      </c>
      <c r="GZ103" s="504">
        <v>0</v>
      </c>
      <c r="HA103" s="504">
        <v>0</v>
      </c>
      <c r="HB103" s="504">
        <v>0</v>
      </c>
      <c r="HC103" s="504">
        <v>0</v>
      </c>
      <c r="HD103" s="504">
        <v>0</v>
      </c>
      <c r="HE103" s="504">
        <v>0</v>
      </c>
      <c r="HF103" s="504">
        <v>0</v>
      </c>
      <c r="HG103" s="504">
        <v>0</v>
      </c>
      <c r="HH103" s="504">
        <v>0</v>
      </c>
      <c r="HI103" s="504">
        <v>0</v>
      </c>
      <c r="HJ103" s="504">
        <v>0</v>
      </c>
      <c r="HK103" s="504">
        <v>0</v>
      </c>
      <c r="HL103" s="504">
        <v>0</v>
      </c>
      <c r="HM103" s="504">
        <v>0</v>
      </c>
      <c r="HN103" s="504">
        <v>0</v>
      </c>
      <c r="HO103" s="504">
        <v>0</v>
      </c>
      <c r="HP103" s="504">
        <v>0</v>
      </c>
      <c r="HQ103" s="504">
        <v>0</v>
      </c>
      <c r="HR103" s="504">
        <v>0</v>
      </c>
      <c r="HS103" s="504">
        <v>0</v>
      </c>
      <c r="HT103" s="504">
        <v>0</v>
      </c>
      <c r="HU103" s="504">
        <v>0</v>
      </c>
      <c r="HV103" s="504">
        <v>0</v>
      </c>
      <c r="HW103" s="504">
        <v>0</v>
      </c>
      <c r="HX103" s="504">
        <v>0</v>
      </c>
      <c r="HY103" s="504">
        <v>0</v>
      </c>
      <c r="HZ103" s="504">
        <v>0</v>
      </c>
      <c r="IA103" s="504">
        <v>0</v>
      </c>
      <c r="IB103" s="504">
        <v>0</v>
      </c>
      <c r="IC103" s="504">
        <v>0</v>
      </c>
      <c r="ID103" s="504">
        <v>0</v>
      </c>
      <c r="IE103" s="504">
        <v>0</v>
      </c>
      <c r="IF103" s="504">
        <v>0</v>
      </c>
      <c r="IG103" s="504">
        <v>0</v>
      </c>
      <c r="IH103" s="504">
        <v>0</v>
      </c>
      <c r="II103" s="504">
        <v>0</v>
      </c>
      <c r="IJ103" s="504">
        <v>0</v>
      </c>
      <c r="IK103" s="504">
        <v>0</v>
      </c>
      <c r="IL103" s="504">
        <v>0</v>
      </c>
      <c r="IM103" s="504">
        <v>0</v>
      </c>
      <c r="IN103" s="504">
        <v>0</v>
      </c>
      <c r="IO103" s="504">
        <v>0</v>
      </c>
      <c r="IP103" s="504">
        <v>0</v>
      </c>
      <c r="IQ103" s="504">
        <v>0</v>
      </c>
      <c r="IR103" s="504">
        <v>0</v>
      </c>
      <c r="IS103" s="504">
        <v>0</v>
      </c>
      <c r="IT103" s="504">
        <v>0</v>
      </c>
      <c r="IU103" s="504">
        <v>0</v>
      </c>
      <c r="IV103" s="504">
        <v>0</v>
      </c>
      <c r="IW103" s="504">
        <v>0</v>
      </c>
      <c r="IX103" s="504">
        <v>0</v>
      </c>
      <c r="IY103" s="504">
        <v>0</v>
      </c>
      <c r="IZ103" s="504">
        <v>0</v>
      </c>
      <c r="JA103" s="504">
        <v>0</v>
      </c>
      <c r="JB103" s="504">
        <v>0</v>
      </c>
      <c r="JC103" s="504">
        <v>0</v>
      </c>
      <c r="JD103" s="504">
        <v>0</v>
      </c>
      <c r="JE103" s="504">
        <v>0</v>
      </c>
      <c r="JF103" s="504">
        <v>0</v>
      </c>
      <c r="JG103" s="504">
        <v>0</v>
      </c>
      <c r="JH103" s="504">
        <v>0</v>
      </c>
      <c r="JI103" s="504">
        <v>0</v>
      </c>
      <c r="JJ103" s="504">
        <v>0</v>
      </c>
      <c r="JK103" s="504">
        <v>0</v>
      </c>
      <c r="JL103" s="504">
        <v>0</v>
      </c>
      <c r="JM103" s="504">
        <v>0</v>
      </c>
      <c r="JN103" s="504">
        <v>0</v>
      </c>
      <c r="JO103" s="504">
        <v>0</v>
      </c>
      <c r="JP103" s="504">
        <v>0</v>
      </c>
      <c r="JQ103" s="504">
        <v>0</v>
      </c>
      <c r="JR103" s="504">
        <v>0</v>
      </c>
      <c r="JS103" s="504">
        <v>0</v>
      </c>
      <c r="JT103" s="504">
        <v>0</v>
      </c>
      <c r="JU103" s="504">
        <v>0</v>
      </c>
      <c r="JV103" s="504">
        <v>0</v>
      </c>
      <c r="JW103" s="504">
        <v>0</v>
      </c>
      <c r="JX103" s="504">
        <v>0</v>
      </c>
      <c r="JY103" s="504">
        <v>0</v>
      </c>
      <c r="JZ103" s="504">
        <v>0</v>
      </c>
      <c r="KA103" s="504">
        <v>0</v>
      </c>
      <c r="KB103" s="504">
        <v>0</v>
      </c>
      <c r="KC103" s="504">
        <v>0</v>
      </c>
      <c r="KD103" s="504">
        <v>0</v>
      </c>
      <c r="KE103" s="504">
        <v>0</v>
      </c>
      <c r="KF103" s="504">
        <v>0</v>
      </c>
      <c r="KG103" s="504">
        <v>0</v>
      </c>
      <c r="KH103" s="504">
        <v>0</v>
      </c>
      <c r="KI103" s="504">
        <v>0</v>
      </c>
      <c r="KJ103" s="504">
        <v>0</v>
      </c>
      <c r="KK103" s="504">
        <v>0</v>
      </c>
      <c r="KL103" s="504">
        <v>0</v>
      </c>
      <c r="KM103" s="504">
        <v>0</v>
      </c>
      <c r="KN103" s="504">
        <v>0</v>
      </c>
      <c r="KO103" s="504">
        <v>0</v>
      </c>
      <c r="KP103" s="504">
        <v>0</v>
      </c>
      <c r="KQ103" s="504">
        <v>0</v>
      </c>
      <c r="KR103" s="504">
        <v>0</v>
      </c>
      <c r="KS103" s="504">
        <v>0</v>
      </c>
      <c r="KT103" s="504">
        <v>0</v>
      </c>
      <c r="KU103" s="504">
        <v>0</v>
      </c>
      <c r="KV103" s="504">
        <v>0</v>
      </c>
      <c r="KW103" s="504">
        <v>0</v>
      </c>
      <c r="KX103" s="504">
        <v>0</v>
      </c>
      <c r="KY103" s="504">
        <v>0</v>
      </c>
      <c r="KZ103" s="504">
        <v>0</v>
      </c>
      <c r="LA103" s="504">
        <v>0</v>
      </c>
      <c r="LB103" s="504">
        <v>0</v>
      </c>
      <c r="LC103" s="504">
        <v>0</v>
      </c>
      <c r="LD103" s="504">
        <v>0</v>
      </c>
      <c r="LE103" s="504">
        <v>0</v>
      </c>
      <c r="LF103" s="504">
        <v>0</v>
      </c>
      <c r="LG103" s="504">
        <v>0</v>
      </c>
      <c r="LH103" s="504">
        <v>0</v>
      </c>
      <c r="LI103" s="504">
        <v>0</v>
      </c>
      <c r="LJ103" s="504">
        <v>0</v>
      </c>
      <c r="LK103" s="504">
        <v>0</v>
      </c>
      <c r="LL103" s="504">
        <v>0</v>
      </c>
      <c r="LM103" s="504">
        <v>0</v>
      </c>
      <c r="LN103" s="504">
        <v>0</v>
      </c>
      <c r="LO103" s="504">
        <v>0</v>
      </c>
      <c r="LP103" s="504">
        <v>0</v>
      </c>
      <c r="LQ103" s="504">
        <v>0</v>
      </c>
      <c r="LR103" s="504">
        <v>0</v>
      </c>
      <c r="LS103" s="504">
        <v>0</v>
      </c>
      <c r="LT103" s="504">
        <v>0</v>
      </c>
      <c r="LU103" s="504">
        <v>0</v>
      </c>
      <c r="LV103" s="504">
        <v>0</v>
      </c>
      <c r="LW103" s="504">
        <v>0</v>
      </c>
      <c r="LX103" s="504">
        <v>0</v>
      </c>
      <c r="LY103" s="504">
        <v>0</v>
      </c>
      <c r="LZ103" s="504">
        <v>0</v>
      </c>
      <c r="MA103" s="504">
        <v>0</v>
      </c>
      <c r="MB103" s="504">
        <v>0</v>
      </c>
      <c r="MC103" s="504">
        <v>0</v>
      </c>
      <c r="MD103" s="504">
        <v>0</v>
      </c>
      <c r="ME103" s="504">
        <v>0</v>
      </c>
      <c r="MF103" s="504">
        <v>0</v>
      </c>
      <c r="MG103" s="504">
        <v>0</v>
      </c>
      <c r="MH103" s="504">
        <v>0</v>
      </c>
      <c r="MI103" s="504">
        <v>0</v>
      </c>
      <c r="MJ103" s="504">
        <v>0</v>
      </c>
      <c r="MK103" s="504">
        <v>0</v>
      </c>
      <c r="ML103" s="504">
        <v>0</v>
      </c>
      <c r="MM103" s="504">
        <v>0</v>
      </c>
      <c r="MN103" s="504">
        <v>0</v>
      </c>
      <c r="MO103" s="504">
        <v>0</v>
      </c>
      <c r="MP103" s="504">
        <v>0</v>
      </c>
      <c r="MQ103" s="504">
        <v>0</v>
      </c>
      <c r="MR103" s="504">
        <v>0</v>
      </c>
      <c r="MS103" s="504">
        <v>0</v>
      </c>
      <c r="MT103" s="504">
        <v>0</v>
      </c>
      <c r="MU103" s="504">
        <v>0</v>
      </c>
      <c r="MV103" s="504">
        <v>0</v>
      </c>
      <c r="MW103" s="504">
        <v>0</v>
      </c>
      <c r="MX103" s="504">
        <v>0</v>
      </c>
      <c r="MY103" s="504">
        <v>0</v>
      </c>
      <c r="MZ103" s="504">
        <v>0</v>
      </c>
      <c r="NA103" s="504">
        <v>0</v>
      </c>
      <c r="NB103" s="504">
        <v>0</v>
      </c>
      <c r="NC103" s="504">
        <v>0</v>
      </c>
      <c r="ND103" s="504">
        <v>0</v>
      </c>
      <c r="NE103" s="504">
        <v>0</v>
      </c>
      <c r="NF103" s="504">
        <v>0</v>
      </c>
      <c r="NG103" s="504">
        <v>0</v>
      </c>
      <c r="NH103" s="504">
        <v>0</v>
      </c>
      <c r="NI103" s="504">
        <v>0</v>
      </c>
      <c r="NJ103" s="504">
        <v>0</v>
      </c>
      <c r="NK103" s="504">
        <v>0</v>
      </c>
      <c r="NL103" s="504">
        <v>0</v>
      </c>
      <c r="NM103" s="504">
        <v>0</v>
      </c>
      <c r="NN103" s="504">
        <v>0</v>
      </c>
      <c r="NO103" s="504">
        <v>0</v>
      </c>
      <c r="NP103" s="504">
        <v>0</v>
      </c>
      <c r="NQ103" s="504">
        <v>0</v>
      </c>
      <c r="NR103" s="504">
        <v>0</v>
      </c>
      <c r="NS103" s="504">
        <v>0</v>
      </c>
      <c r="NT103" s="504">
        <v>0</v>
      </c>
      <c r="NU103" s="504">
        <v>0</v>
      </c>
      <c r="NV103" s="504">
        <v>0</v>
      </c>
      <c r="NW103" s="504">
        <v>0</v>
      </c>
      <c r="NX103" s="504">
        <v>0</v>
      </c>
      <c r="NY103" s="504">
        <v>0</v>
      </c>
      <c r="NZ103" s="504">
        <v>0</v>
      </c>
      <c r="OA103" s="504">
        <v>0</v>
      </c>
      <c r="OB103" s="504">
        <v>0</v>
      </c>
      <c r="OC103" s="504">
        <v>0</v>
      </c>
      <c r="OD103" s="504">
        <v>0</v>
      </c>
      <c r="OE103" s="504">
        <v>0</v>
      </c>
      <c r="OF103" s="504">
        <v>0</v>
      </c>
      <c r="OG103" s="504">
        <v>0</v>
      </c>
      <c r="OH103" s="504">
        <v>0</v>
      </c>
      <c r="OI103" s="504">
        <v>0</v>
      </c>
      <c r="OJ103" s="504">
        <v>0</v>
      </c>
      <c r="OK103" s="504">
        <v>0</v>
      </c>
      <c r="OL103" s="504">
        <v>0</v>
      </c>
      <c r="OM103" s="504">
        <v>0</v>
      </c>
      <c r="ON103" s="494"/>
    </row>
    <row r="104" spans="1:404" ht="18.75" customHeight="1" x14ac:dyDescent="0.4">
      <c r="A104" s="511" t="s">
        <v>374</v>
      </c>
      <c r="B104" s="512">
        <v>106</v>
      </c>
      <c r="C104" s="511" t="s">
        <v>60</v>
      </c>
      <c r="D104" s="501">
        <v>21.75</v>
      </c>
      <c r="E104" s="502">
        <v>19172</v>
      </c>
      <c r="F104" s="501">
        <v>21.73</v>
      </c>
      <c r="G104" s="502">
        <v>1887</v>
      </c>
      <c r="H104" s="501">
        <v>21.73</v>
      </c>
      <c r="I104" s="502">
        <v>5392</v>
      </c>
      <c r="J104" s="501">
        <v>21.73</v>
      </c>
      <c r="K104" s="502">
        <v>6021</v>
      </c>
      <c r="V104" s="501"/>
      <c r="W104" s="503"/>
      <c r="X104" s="501"/>
      <c r="Y104" s="503"/>
      <c r="Z104" s="501"/>
      <c r="AA104" s="503"/>
      <c r="AB104" s="495"/>
      <c r="AC104" s="504">
        <v>0</v>
      </c>
      <c r="AD104" s="504">
        <v>0</v>
      </c>
      <c r="AE104" s="504">
        <v>0</v>
      </c>
      <c r="AF104" s="504">
        <v>0</v>
      </c>
      <c r="AG104" s="504">
        <v>0</v>
      </c>
      <c r="AH104" s="504">
        <v>0</v>
      </c>
      <c r="AI104" s="504">
        <v>0</v>
      </c>
      <c r="AJ104" s="504">
        <v>0</v>
      </c>
      <c r="AK104" s="504">
        <v>0</v>
      </c>
      <c r="AL104" s="504">
        <v>0</v>
      </c>
      <c r="AM104" s="504">
        <v>0</v>
      </c>
      <c r="AN104" s="504">
        <v>0</v>
      </c>
      <c r="AO104" s="504">
        <v>0</v>
      </c>
      <c r="AP104" s="504">
        <v>0</v>
      </c>
      <c r="AQ104" s="504">
        <v>0</v>
      </c>
      <c r="AR104" s="504">
        <v>0</v>
      </c>
      <c r="AS104" s="504">
        <v>0</v>
      </c>
      <c r="AT104" s="504">
        <v>0</v>
      </c>
      <c r="AU104" s="504">
        <v>0</v>
      </c>
      <c r="AV104" s="504">
        <v>0</v>
      </c>
      <c r="AW104" s="504">
        <v>0</v>
      </c>
      <c r="AX104" s="504">
        <v>0</v>
      </c>
      <c r="AY104" s="504">
        <v>0</v>
      </c>
      <c r="AZ104" s="504">
        <v>0</v>
      </c>
      <c r="BA104" s="504">
        <v>0</v>
      </c>
      <c r="BB104" s="504">
        <v>0</v>
      </c>
      <c r="BC104" s="504">
        <v>0</v>
      </c>
      <c r="BD104" s="504">
        <v>0</v>
      </c>
      <c r="BE104" s="504">
        <v>0</v>
      </c>
      <c r="BF104" s="504">
        <v>0</v>
      </c>
      <c r="BG104" s="504">
        <v>0</v>
      </c>
      <c r="BH104" s="504">
        <v>0</v>
      </c>
      <c r="BI104" s="504">
        <v>0</v>
      </c>
      <c r="BJ104" s="504">
        <v>0</v>
      </c>
      <c r="BK104" s="504">
        <v>0</v>
      </c>
      <c r="BL104" s="504">
        <v>0</v>
      </c>
      <c r="BM104" s="504">
        <v>0</v>
      </c>
      <c r="BN104" s="504">
        <v>0</v>
      </c>
      <c r="BO104" s="504">
        <v>0</v>
      </c>
      <c r="BP104" s="504">
        <v>0</v>
      </c>
      <c r="BQ104" s="504">
        <v>0</v>
      </c>
      <c r="BR104" s="504">
        <v>0</v>
      </c>
      <c r="BS104" s="504">
        <v>0</v>
      </c>
      <c r="BT104" s="504">
        <v>0</v>
      </c>
      <c r="BU104" s="504">
        <v>0</v>
      </c>
      <c r="BV104" s="504">
        <v>0</v>
      </c>
      <c r="BW104" s="504">
        <v>0</v>
      </c>
      <c r="BX104" s="504">
        <v>0</v>
      </c>
      <c r="BY104" s="504">
        <v>0</v>
      </c>
      <c r="BZ104" s="504">
        <v>0</v>
      </c>
      <c r="CA104" s="504">
        <v>0</v>
      </c>
      <c r="CB104" s="504">
        <v>0</v>
      </c>
      <c r="CC104" s="504">
        <v>0</v>
      </c>
      <c r="CD104" s="504">
        <v>0</v>
      </c>
      <c r="CE104" s="504">
        <v>0</v>
      </c>
      <c r="CF104" s="504">
        <v>0</v>
      </c>
      <c r="CG104" s="504">
        <v>0</v>
      </c>
      <c r="CH104" s="504">
        <v>0</v>
      </c>
      <c r="CI104" s="504">
        <v>0</v>
      </c>
      <c r="CJ104" s="504">
        <v>0</v>
      </c>
      <c r="CK104" s="504">
        <v>0</v>
      </c>
      <c r="CL104" s="504">
        <v>0</v>
      </c>
      <c r="CM104" s="504">
        <v>0</v>
      </c>
      <c r="CN104" s="504">
        <v>0</v>
      </c>
      <c r="CO104" s="504">
        <v>0</v>
      </c>
      <c r="CP104" s="504">
        <v>0</v>
      </c>
      <c r="CQ104" s="504">
        <v>0</v>
      </c>
      <c r="CR104" s="504">
        <v>0</v>
      </c>
      <c r="CS104" s="504">
        <v>0</v>
      </c>
      <c r="CT104" s="504">
        <v>0</v>
      </c>
      <c r="CU104" s="504">
        <v>0</v>
      </c>
      <c r="CV104" s="504">
        <v>0</v>
      </c>
      <c r="CW104" s="504">
        <v>0</v>
      </c>
      <c r="CX104" s="504">
        <v>0</v>
      </c>
      <c r="CY104" s="504">
        <v>0</v>
      </c>
      <c r="CZ104" s="504">
        <v>0</v>
      </c>
      <c r="DA104" s="504">
        <v>0</v>
      </c>
      <c r="DB104" s="504">
        <v>0</v>
      </c>
      <c r="DC104" s="504">
        <v>0</v>
      </c>
      <c r="DD104" s="504">
        <v>0</v>
      </c>
      <c r="DE104" s="504">
        <v>0</v>
      </c>
      <c r="DF104" s="504">
        <v>0</v>
      </c>
      <c r="DG104" s="504">
        <v>0</v>
      </c>
      <c r="DH104" s="504">
        <v>0</v>
      </c>
      <c r="DI104" s="504">
        <v>0</v>
      </c>
      <c r="DJ104" s="504">
        <v>0</v>
      </c>
      <c r="DK104" s="504">
        <v>0</v>
      </c>
      <c r="DL104" s="504">
        <v>0</v>
      </c>
      <c r="DM104" s="504">
        <v>0</v>
      </c>
      <c r="DN104" s="504">
        <v>0</v>
      </c>
      <c r="DO104" s="504">
        <v>0</v>
      </c>
      <c r="DP104" s="504">
        <v>0</v>
      </c>
      <c r="DQ104" s="504">
        <v>0</v>
      </c>
      <c r="DR104" s="504">
        <v>0</v>
      </c>
      <c r="DS104" s="504">
        <v>0</v>
      </c>
      <c r="DT104" s="504">
        <v>0</v>
      </c>
      <c r="DU104" s="504">
        <v>0</v>
      </c>
      <c r="DV104" s="504">
        <v>0</v>
      </c>
      <c r="DW104" s="504">
        <v>0</v>
      </c>
      <c r="DX104" s="504">
        <v>0</v>
      </c>
      <c r="DY104" s="504">
        <v>0</v>
      </c>
      <c r="DZ104" s="504">
        <v>0</v>
      </c>
      <c r="EA104" s="504">
        <v>0</v>
      </c>
      <c r="EB104" s="504">
        <v>0</v>
      </c>
      <c r="EC104" s="504">
        <v>0</v>
      </c>
      <c r="ED104" s="504">
        <v>0</v>
      </c>
      <c r="EE104" s="504">
        <v>0</v>
      </c>
      <c r="EF104" s="504">
        <v>0</v>
      </c>
      <c r="EG104" s="504">
        <v>0</v>
      </c>
      <c r="EH104" s="504">
        <v>0</v>
      </c>
      <c r="EI104" s="504">
        <v>0</v>
      </c>
      <c r="EJ104" s="504">
        <v>0</v>
      </c>
      <c r="EK104" s="504">
        <v>0</v>
      </c>
      <c r="EL104" s="504">
        <v>0</v>
      </c>
      <c r="EM104" s="504">
        <v>0</v>
      </c>
      <c r="EN104" s="504">
        <v>0</v>
      </c>
      <c r="EO104" s="504">
        <v>0</v>
      </c>
      <c r="EP104" s="504">
        <v>0</v>
      </c>
      <c r="EQ104" s="504">
        <v>0</v>
      </c>
      <c r="ER104" s="504">
        <v>0</v>
      </c>
      <c r="ES104" s="504">
        <v>0</v>
      </c>
      <c r="ET104" s="504">
        <v>0</v>
      </c>
      <c r="EU104" s="504">
        <v>0</v>
      </c>
      <c r="EV104" s="504">
        <v>0</v>
      </c>
      <c r="EW104" s="504">
        <v>0</v>
      </c>
      <c r="EX104" s="504">
        <v>0</v>
      </c>
      <c r="EY104" s="504">
        <v>0</v>
      </c>
      <c r="EZ104" s="504">
        <v>0</v>
      </c>
      <c r="FA104" s="504">
        <v>0</v>
      </c>
      <c r="FB104" s="504">
        <v>0</v>
      </c>
      <c r="FC104" s="504">
        <v>0</v>
      </c>
      <c r="FD104" s="504">
        <v>0</v>
      </c>
      <c r="FE104" s="504">
        <v>0</v>
      </c>
      <c r="FF104" s="504">
        <v>0</v>
      </c>
      <c r="FG104" s="504">
        <v>0</v>
      </c>
      <c r="FH104" s="504">
        <v>0</v>
      </c>
      <c r="FI104" s="504">
        <v>0</v>
      </c>
      <c r="FJ104" s="504">
        <v>0</v>
      </c>
      <c r="FK104" s="504">
        <v>0</v>
      </c>
      <c r="FL104" s="504">
        <v>0</v>
      </c>
      <c r="FM104" s="504">
        <v>0</v>
      </c>
      <c r="FN104" s="504">
        <v>0</v>
      </c>
      <c r="FO104" s="504">
        <v>0</v>
      </c>
      <c r="FP104" s="504">
        <v>0</v>
      </c>
      <c r="FQ104" s="504">
        <v>0</v>
      </c>
      <c r="FR104" s="504">
        <v>0</v>
      </c>
      <c r="FS104" s="504">
        <v>0</v>
      </c>
      <c r="FT104" s="504">
        <v>0</v>
      </c>
      <c r="FU104" s="504">
        <v>0</v>
      </c>
      <c r="FV104" s="504">
        <v>0</v>
      </c>
      <c r="FW104" s="504">
        <v>0</v>
      </c>
      <c r="FX104" s="504">
        <v>0</v>
      </c>
      <c r="FY104" s="504">
        <v>0</v>
      </c>
      <c r="FZ104" s="504">
        <v>0</v>
      </c>
      <c r="GA104" s="504">
        <v>0</v>
      </c>
      <c r="GB104" s="504">
        <v>0</v>
      </c>
      <c r="GC104" s="504">
        <v>0</v>
      </c>
      <c r="GD104" s="504">
        <v>0</v>
      </c>
      <c r="GE104" s="504">
        <v>0</v>
      </c>
      <c r="GF104" s="504">
        <v>0</v>
      </c>
      <c r="GG104" s="504">
        <v>0</v>
      </c>
      <c r="GH104" s="504">
        <v>0</v>
      </c>
      <c r="GI104" s="504">
        <v>0</v>
      </c>
      <c r="GJ104" s="504">
        <v>0</v>
      </c>
      <c r="GK104" s="504">
        <v>0</v>
      </c>
      <c r="GL104" s="504">
        <v>0</v>
      </c>
      <c r="GM104" s="504">
        <v>0</v>
      </c>
      <c r="GN104" s="504">
        <v>0</v>
      </c>
      <c r="GO104" s="504">
        <v>0</v>
      </c>
      <c r="GP104" s="504">
        <v>0</v>
      </c>
      <c r="GQ104" s="504">
        <v>0</v>
      </c>
      <c r="GR104" s="504">
        <v>0</v>
      </c>
      <c r="GS104" s="504">
        <v>0</v>
      </c>
      <c r="GT104" s="504">
        <v>0</v>
      </c>
      <c r="GU104" s="504">
        <v>0</v>
      </c>
      <c r="GV104" s="504">
        <v>0</v>
      </c>
      <c r="GW104" s="504">
        <v>0</v>
      </c>
      <c r="GX104" s="504">
        <v>0</v>
      </c>
      <c r="GY104" s="504">
        <v>0</v>
      </c>
      <c r="GZ104" s="504">
        <v>0</v>
      </c>
      <c r="HA104" s="504">
        <v>0</v>
      </c>
      <c r="HB104" s="504">
        <v>0</v>
      </c>
      <c r="HC104" s="504">
        <v>0</v>
      </c>
      <c r="HD104" s="504">
        <v>0</v>
      </c>
      <c r="HE104" s="504">
        <v>0</v>
      </c>
      <c r="HF104" s="504">
        <v>0</v>
      </c>
      <c r="HG104" s="504">
        <v>0</v>
      </c>
      <c r="HH104" s="504">
        <v>0</v>
      </c>
      <c r="HI104" s="504">
        <v>0</v>
      </c>
      <c r="HJ104" s="504">
        <v>0</v>
      </c>
      <c r="HK104" s="504">
        <v>0</v>
      </c>
      <c r="HL104" s="504">
        <v>0</v>
      </c>
      <c r="HM104" s="504">
        <v>0</v>
      </c>
      <c r="HN104" s="504">
        <v>0</v>
      </c>
      <c r="HO104" s="504">
        <v>0</v>
      </c>
      <c r="HP104" s="504">
        <v>0</v>
      </c>
      <c r="HQ104" s="504">
        <v>0</v>
      </c>
      <c r="HR104" s="504">
        <v>0</v>
      </c>
      <c r="HS104" s="504">
        <v>0</v>
      </c>
      <c r="HT104" s="504">
        <v>0</v>
      </c>
      <c r="HU104" s="504">
        <v>0</v>
      </c>
      <c r="HV104" s="504">
        <v>0</v>
      </c>
      <c r="HW104" s="504">
        <v>0</v>
      </c>
      <c r="HX104" s="504">
        <v>0</v>
      </c>
      <c r="HY104" s="504">
        <v>0</v>
      </c>
      <c r="HZ104" s="504">
        <v>0</v>
      </c>
      <c r="IA104" s="504">
        <v>0</v>
      </c>
      <c r="IB104" s="504">
        <v>0</v>
      </c>
      <c r="IC104" s="504">
        <v>0</v>
      </c>
      <c r="ID104" s="504">
        <v>0</v>
      </c>
      <c r="IE104" s="504">
        <v>0</v>
      </c>
      <c r="IF104" s="504">
        <v>0</v>
      </c>
      <c r="IG104" s="504">
        <v>0</v>
      </c>
      <c r="IH104" s="504">
        <v>0</v>
      </c>
      <c r="II104" s="504">
        <v>0</v>
      </c>
      <c r="IJ104" s="504">
        <v>0</v>
      </c>
      <c r="IK104" s="504">
        <v>0</v>
      </c>
      <c r="IL104" s="504">
        <v>0</v>
      </c>
      <c r="IM104" s="504">
        <v>0</v>
      </c>
      <c r="IN104" s="504">
        <v>0</v>
      </c>
      <c r="IO104" s="504">
        <v>0</v>
      </c>
      <c r="IP104" s="504">
        <v>0</v>
      </c>
      <c r="IQ104" s="504">
        <v>0</v>
      </c>
      <c r="IR104" s="504">
        <v>0</v>
      </c>
      <c r="IS104" s="504">
        <v>0</v>
      </c>
      <c r="IT104" s="504">
        <v>0</v>
      </c>
      <c r="IU104" s="504">
        <v>0</v>
      </c>
      <c r="IV104" s="504">
        <v>0</v>
      </c>
      <c r="IW104" s="504">
        <v>0</v>
      </c>
      <c r="IX104" s="504">
        <v>0</v>
      </c>
      <c r="IY104" s="504">
        <v>0</v>
      </c>
      <c r="IZ104" s="504">
        <v>0</v>
      </c>
      <c r="JA104" s="504">
        <v>0</v>
      </c>
      <c r="JB104" s="504">
        <v>0</v>
      </c>
      <c r="JC104" s="504">
        <v>0</v>
      </c>
      <c r="JD104" s="504">
        <v>0</v>
      </c>
      <c r="JE104" s="504">
        <v>0</v>
      </c>
      <c r="JF104" s="504">
        <v>0</v>
      </c>
      <c r="JG104" s="504">
        <v>0</v>
      </c>
      <c r="JH104" s="504">
        <v>0</v>
      </c>
      <c r="JI104" s="504">
        <v>0</v>
      </c>
      <c r="JJ104" s="504">
        <v>0</v>
      </c>
      <c r="JK104" s="504">
        <v>0</v>
      </c>
      <c r="JL104" s="504">
        <v>0</v>
      </c>
      <c r="JM104" s="504">
        <v>0</v>
      </c>
      <c r="JN104" s="504">
        <v>0</v>
      </c>
      <c r="JO104" s="504">
        <v>0</v>
      </c>
      <c r="JP104" s="504">
        <v>0</v>
      </c>
      <c r="JQ104" s="504">
        <v>0</v>
      </c>
      <c r="JR104" s="504">
        <v>0</v>
      </c>
      <c r="JS104" s="504">
        <v>0</v>
      </c>
      <c r="JT104" s="504">
        <v>0</v>
      </c>
      <c r="JU104" s="504">
        <v>0</v>
      </c>
      <c r="JV104" s="504">
        <v>0</v>
      </c>
      <c r="JW104" s="504">
        <v>0</v>
      </c>
      <c r="JX104" s="504">
        <v>0</v>
      </c>
      <c r="JY104" s="504">
        <v>0</v>
      </c>
      <c r="JZ104" s="504">
        <v>0</v>
      </c>
      <c r="KA104" s="504">
        <v>0</v>
      </c>
      <c r="KB104" s="504">
        <v>0</v>
      </c>
      <c r="KC104" s="504">
        <v>0</v>
      </c>
      <c r="KD104" s="504">
        <v>0</v>
      </c>
      <c r="KE104" s="504">
        <v>0</v>
      </c>
      <c r="KF104" s="504">
        <v>0</v>
      </c>
      <c r="KG104" s="504">
        <v>0</v>
      </c>
      <c r="KH104" s="504">
        <v>0</v>
      </c>
      <c r="KI104" s="504">
        <v>0</v>
      </c>
      <c r="KJ104" s="504">
        <v>0</v>
      </c>
      <c r="KK104" s="504">
        <v>0</v>
      </c>
      <c r="KL104" s="504">
        <v>0</v>
      </c>
      <c r="KM104" s="504">
        <v>0</v>
      </c>
      <c r="KN104" s="504">
        <v>0</v>
      </c>
      <c r="KO104" s="504">
        <v>0</v>
      </c>
      <c r="KP104" s="504">
        <v>0</v>
      </c>
      <c r="KQ104" s="504">
        <v>0</v>
      </c>
      <c r="KR104" s="504">
        <v>0</v>
      </c>
      <c r="KS104" s="504">
        <v>0</v>
      </c>
      <c r="KT104" s="504">
        <v>0</v>
      </c>
      <c r="KU104" s="504">
        <v>0</v>
      </c>
      <c r="KV104" s="504">
        <v>0</v>
      </c>
      <c r="KW104" s="504">
        <v>0</v>
      </c>
      <c r="KX104" s="504">
        <v>0</v>
      </c>
      <c r="KY104" s="504">
        <v>0</v>
      </c>
      <c r="KZ104" s="504">
        <v>0</v>
      </c>
      <c r="LA104" s="504">
        <v>0</v>
      </c>
      <c r="LB104" s="504">
        <v>0</v>
      </c>
      <c r="LC104" s="504">
        <v>0</v>
      </c>
      <c r="LD104" s="504">
        <v>0</v>
      </c>
      <c r="LE104" s="504">
        <v>0</v>
      </c>
      <c r="LF104" s="504">
        <v>0</v>
      </c>
      <c r="LG104" s="504">
        <v>0</v>
      </c>
      <c r="LH104" s="504">
        <v>0</v>
      </c>
      <c r="LI104" s="504">
        <v>0</v>
      </c>
      <c r="LJ104" s="504">
        <v>0</v>
      </c>
      <c r="LK104" s="504">
        <v>0</v>
      </c>
      <c r="LL104" s="504">
        <v>0</v>
      </c>
      <c r="LM104" s="504">
        <v>0</v>
      </c>
      <c r="LN104" s="504">
        <v>0</v>
      </c>
      <c r="LO104" s="504">
        <v>0</v>
      </c>
      <c r="LP104" s="504">
        <v>0</v>
      </c>
      <c r="LQ104" s="504">
        <v>0</v>
      </c>
      <c r="LR104" s="504">
        <v>0</v>
      </c>
      <c r="LS104" s="504">
        <v>0</v>
      </c>
      <c r="LT104" s="504">
        <v>0</v>
      </c>
      <c r="LU104" s="504">
        <v>0</v>
      </c>
      <c r="LV104" s="504">
        <v>0</v>
      </c>
      <c r="LW104" s="504">
        <v>0</v>
      </c>
      <c r="LX104" s="504">
        <v>0</v>
      </c>
      <c r="LY104" s="504">
        <v>0</v>
      </c>
      <c r="LZ104" s="504">
        <v>0</v>
      </c>
      <c r="MA104" s="504">
        <v>0</v>
      </c>
      <c r="MB104" s="504">
        <v>0</v>
      </c>
      <c r="MC104" s="504">
        <v>0</v>
      </c>
      <c r="MD104" s="504">
        <v>0</v>
      </c>
      <c r="ME104" s="504">
        <v>0</v>
      </c>
      <c r="MF104" s="504">
        <v>0</v>
      </c>
      <c r="MG104" s="504">
        <v>0</v>
      </c>
      <c r="MH104" s="504">
        <v>0</v>
      </c>
      <c r="MI104" s="504">
        <v>0</v>
      </c>
      <c r="MJ104" s="504">
        <v>0</v>
      </c>
      <c r="MK104" s="504">
        <v>0</v>
      </c>
      <c r="ML104" s="504">
        <v>0</v>
      </c>
      <c r="MM104" s="504">
        <v>0</v>
      </c>
      <c r="MN104" s="504">
        <v>0</v>
      </c>
      <c r="MO104" s="504">
        <v>0</v>
      </c>
      <c r="MP104" s="504">
        <v>0</v>
      </c>
      <c r="MQ104" s="504">
        <v>0</v>
      </c>
      <c r="MR104" s="504">
        <v>0</v>
      </c>
      <c r="MS104" s="504">
        <v>0</v>
      </c>
      <c r="MT104" s="504">
        <v>0</v>
      </c>
      <c r="MU104" s="504">
        <v>0</v>
      </c>
      <c r="MV104" s="504">
        <v>0</v>
      </c>
      <c r="MW104" s="504">
        <v>0</v>
      </c>
      <c r="MX104" s="504">
        <v>0</v>
      </c>
      <c r="MY104" s="504">
        <v>0</v>
      </c>
      <c r="MZ104" s="504">
        <v>0</v>
      </c>
      <c r="NA104" s="504">
        <v>0</v>
      </c>
      <c r="NB104" s="504">
        <v>0</v>
      </c>
      <c r="NC104" s="504">
        <v>0</v>
      </c>
      <c r="ND104" s="504">
        <v>0</v>
      </c>
      <c r="NE104" s="504">
        <v>0</v>
      </c>
      <c r="NF104" s="504">
        <v>0</v>
      </c>
      <c r="NG104" s="504">
        <v>0</v>
      </c>
      <c r="NH104" s="504">
        <v>0</v>
      </c>
      <c r="NI104" s="504">
        <v>0</v>
      </c>
      <c r="NJ104" s="504">
        <v>0</v>
      </c>
      <c r="NK104" s="504">
        <v>0</v>
      </c>
      <c r="NL104" s="504">
        <v>0</v>
      </c>
      <c r="NM104" s="504">
        <v>0</v>
      </c>
      <c r="NN104" s="504">
        <v>0</v>
      </c>
      <c r="NO104" s="504">
        <v>0</v>
      </c>
      <c r="NP104" s="504">
        <v>0</v>
      </c>
      <c r="NQ104" s="504">
        <v>0</v>
      </c>
      <c r="NR104" s="504">
        <v>0</v>
      </c>
      <c r="NS104" s="504">
        <v>0</v>
      </c>
      <c r="NT104" s="504">
        <v>0</v>
      </c>
      <c r="NU104" s="504">
        <v>0</v>
      </c>
      <c r="NV104" s="504">
        <v>0</v>
      </c>
      <c r="NW104" s="504">
        <v>0</v>
      </c>
      <c r="NX104" s="504">
        <v>0</v>
      </c>
      <c r="NY104" s="504">
        <v>0</v>
      </c>
      <c r="NZ104" s="504">
        <v>0</v>
      </c>
      <c r="OA104" s="504">
        <v>0</v>
      </c>
      <c r="OB104" s="504">
        <v>0</v>
      </c>
      <c r="OC104" s="504">
        <v>0</v>
      </c>
      <c r="OD104" s="504">
        <v>0</v>
      </c>
      <c r="OE104" s="504">
        <v>0</v>
      </c>
      <c r="OF104" s="504">
        <v>0</v>
      </c>
      <c r="OG104" s="504">
        <v>0</v>
      </c>
      <c r="OH104" s="504">
        <v>0</v>
      </c>
      <c r="OI104" s="504">
        <v>0</v>
      </c>
      <c r="OJ104" s="504">
        <v>0</v>
      </c>
      <c r="OK104" s="504">
        <v>0</v>
      </c>
      <c r="OL104" s="504">
        <v>0</v>
      </c>
      <c r="OM104" s="504">
        <v>0</v>
      </c>
      <c r="ON104" s="494"/>
    </row>
    <row r="105" spans="1:404" ht="18.75" customHeight="1" x14ac:dyDescent="0.4">
      <c r="A105" s="511" t="s">
        <v>375</v>
      </c>
      <c r="B105" s="512">
        <v>188</v>
      </c>
      <c r="C105" s="511" t="s">
        <v>60</v>
      </c>
      <c r="D105" s="501">
        <v>22.45</v>
      </c>
      <c r="F105" s="501">
        <v>22.51</v>
      </c>
      <c r="H105" s="501">
        <v>22.5</v>
      </c>
      <c r="J105" s="501">
        <v>22.51</v>
      </c>
      <c r="V105" s="501"/>
      <c r="W105" s="503"/>
      <c r="X105" s="501"/>
      <c r="Y105" s="503"/>
      <c r="Z105" s="501"/>
      <c r="AA105" s="503"/>
      <c r="AB105" s="495"/>
      <c r="AC105" s="504">
        <v>0</v>
      </c>
      <c r="AD105" s="504">
        <v>0</v>
      </c>
      <c r="AE105" s="504">
        <v>0</v>
      </c>
      <c r="AF105" s="504">
        <v>0</v>
      </c>
      <c r="AG105" s="504">
        <v>0</v>
      </c>
      <c r="AH105" s="504">
        <v>0</v>
      </c>
      <c r="AI105" s="504">
        <v>0</v>
      </c>
      <c r="AJ105" s="504">
        <v>0</v>
      </c>
      <c r="AK105" s="504">
        <v>0</v>
      </c>
      <c r="AL105" s="504">
        <v>0</v>
      </c>
      <c r="AM105" s="504">
        <v>0</v>
      </c>
      <c r="AN105" s="504">
        <v>0</v>
      </c>
      <c r="AO105" s="504">
        <v>0</v>
      </c>
      <c r="AP105" s="504">
        <v>0</v>
      </c>
      <c r="AQ105" s="504">
        <v>0</v>
      </c>
      <c r="AR105" s="504">
        <v>0</v>
      </c>
      <c r="AS105" s="504">
        <v>0</v>
      </c>
      <c r="AT105" s="504">
        <v>0</v>
      </c>
      <c r="AU105" s="504">
        <v>0</v>
      </c>
      <c r="AV105" s="504">
        <v>0</v>
      </c>
      <c r="AW105" s="504">
        <v>0</v>
      </c>
      <c r="AX105" s="504">
        <v>0</v>
      </c>
      <c r="AY105" s="504">
        <v>0</v>
      </c>
      <c r="AZ105" s="504">
        <v>0</v>
      </c>
      <c r="BA105" s="504">
        <v>0</v>
      </c>
      <c r="BB105" s="504">
        <v>0</v>
      </c>
      <c r="BC105" s="504">
        <v>0</v>
      </c>
      <c r="BD105" s="504">
        <v>0</v>
      </c>
      <c r="BE105" s="504">
        <v>0</v>
      </c>
      <c r="BF105" s="504">
        <v>0</v>
      </c>
      <c r="BG105" s="504">
        <v>0</v>
      </c>
      <c r="BH105" s="504">
        <v>0</v>
      </c>
      <c r="BI105" s="504">
        <v>0</v>
      </c>
      <c r="BJ105" s="504">
        <v>0</v>
      </c>
      <c r="BK105" s="504">
        <v>0</v>
      </c>
      <c r="BL105" s="504">
        <v>0</v>
      </c>
      <c r="BM105" s="504">
        <v>0</v>
      </c>
      <c r="BN105" s="504">
        <v>0</v>
      </c>
      <c r="BO105" s="504">
        <v>0</v>
      </c>
      <c r="BP105" s="504">
        <v>0</v>
      </c>
      <c r="BQ105" s="504">
        <v>0</v>
      </c>
      <c r="BR105" s="504">
        <v>0</v>
      </c>
      <c r="BS105" s="504">
        <v>0</v>
      </c>
      <c r="BT105" s="504">
        <v>0</v>
      </c>
      <c r="BU105" s="504">
        <v>0</v>
      </c>
      <c r="BV105" s="504">
        <v>0</v>
      </c>
      <c r="BW105" s="504">
        <v>0</v>
      </c>
      <c r="BX105" s="504">
        <v>0</v>
      </c>
      <c r="BY105" s="504">
        <v>0</v>
      </c>
      <c r="BZ105" s="504">
        <v>0</v>
      </c>
      <c r="CA105" s="504">
        <v>0</v>
      </c>
      <c r="CB105" s="504">
        <v>0</v>
      </c>
      <c r="CC105" s="504">
        <v>0</v>
      </c>
      <c r="CD105" s="504">
        <v>0</v>
      </c>
      <c r="CE105" s="504">
        <v>0</v>
      </c>
      <c r="CF105" s="504">
        <v>0</v>
      </c>
      <c r="CG105" s="504">
        <v>0</v>
      </c>
      <c r="CH105" s="504">
        <v>0</v>
      </c>
      <c r="CI105" s="504">
        <v>0</v>
      </c>
      <c r="CJ105" s="504">
        <v>0</v>
      </c>
      <c r="CK105" s="504">
        <v>0</v>
      </c>
      <c r="CL105" s="504">
        <v>0</v>
      </c>
      <c r="CM105" s="504">
        <v>0</v>
      </c>
      <c r="CN105" s="504">
        <v>0</v>
      </c>
      <c r="CO105" s="504">
        <v>0</v>
      </c>
      <c r="CP105" s="504">
        <v>0</v>
      </c>
      <c r="CQ105" s="504">
        <v>0</v>
      </c>
      <c r="CR105" s="504">
        <v>0</v>
      </c>
      <c r="CS105" s="504">
        <v>0</v>
      </c>
      <c r="CT105" s="504">
        <v>0</v>
      </c>
      <c r="CU105" s="504">
        <v>0</v>
      </c>
      <c r="CV105" s="504">
        <v>0</v>
      </c>
      <c r="CW105" s="504">
        <v>0</v>
      </c>
      <c r="CX105" s="504">
        <v>0</v>
      </c>
      <c r="CY105" s="504">
        <v>0</v>
      </c>
      <c r="CZ105" s="504">
        <v>0</v>
      </c>
      <c r="DA105" s="504">
        <v>0</v>
      </c>
      <c r="DB105" s="504">
        <v>0</v>
      </c>
      <c r="DC105" s="504">
        <v>0</v>
      </c>
      <c r="DD105" s="504">
        <v>0</v>
      </c>
      <c r="DE105" s="504">
        <v>0</v>
      </c>
      <c r="DF105" s="504">
        <v>0</v>
      </c>
      <c r="DG105" s="504">
        <v>0</v>
      </c>
      <c r="DH105" s="504">
        <v>0</v>
      </c>
      <c r="DI105" s="504">
        <v>0</v>
      </c>
      <c r="DJ105" s="504">
        <v>0</v>
      </c>
      <c r="DK105" s="504">
        <v>0</v>
      </c>
      <c r="DL105" s="504">
        <v>0</v>
      </c>
      <c r="DM105" s="504">
        <v>0</v>
      </c>
      <c r="DN105" s="504">
        <v>0</v>
      </c>
      <c r="DO105" s="504">
        <v>0</v>
      </c>
      <c r="DP105" s="504">
        <v>0</v>
      </c>
      <c r="DQ105" s="504">
        <v>0</v>
      </c>
      <c r="DR105" s="504">
        <v>0</v>
      </c>
      <c r="DS105" s="504">
        <v>0</v>
      </c>
      <c r="DT105" s="504">
        <v>0</v>
      </c>
      <c r="DU105" s="504">
        <v>0</v>
      </c>
      <c r="DV105" s="504">
        <v>0</v>
      </c>
      <c r="DW105" s="504">
        <v>0</v>
      </c>
      <c r="DX105" s="504">
        <v>0</v>
      </c>
      <c r="DY105" s="504">
        <v>0</v>
      </c>
      <c r="DZ105" s="504">
        <v>0</v>
      </c>
      <c r="EA105" s="504">
        <v>0</v>
      </c>
      <c r="EB105" s="504">
        <v>0</v>
      </c>
      <c r="EC105" s="504">
        <v>0</v>
      </c>
      <c r="ED105" s="504">
        <v>0</v>
      </c>
      <c r="EE105" s="504">
        <v>0</v>
      </c>
      <c r="EF105" s="504">
        <v>0</v>
      </c>
      <c r="EG105" s="504">
        <v>0</v>
      </c>
      <c r="EH105" s="504">
        <v>0</v>
      </c>
      <c r="EI105" s="504">
        <v>0</v>
      </c>
      <c r="EJ105" s="504">
        <v>0</v>
      </c>
      <c r="EK105" s="504">
        <v>0</v>
      </c>
      <c r="EL105" s="504">
        <v>0</v>
      </c>
      <c r="EM105" s="504">
        <v>0</v>
      </c>
      <c r="EN105" s="504">
        <v>0</v>
      </c>
      <c r="EO105" s="504">
        <v>0</v>
      </c>
      <c r="EP105" s="504">
        <v>0</v>
      </c>
      <c r="EQ105" s="504">
        <v>0</v>
      </c>
      <c r="ER105" s="504">
        <v>0</v>
      </c>
      <c r="ES105" s="504">
        <v>0</v>
      </c>
      <c r="ET105" s="504">
        <v>0</v>
      </c>
      <c r="EU105" s="504">
        <v>0</v>
      </c>
      <c r="EV105" s="504">
        <v>0</v>
      </c>
      <c r="EW105" s="504">
        <v>0</v>
      </c>
      <c r="EX105" s="504">
        <v>0</v>
      </c>
      <c r="EY105" s="504">
        <v>0</v>
      </c>
      <c r="EZ105" s="504">
        <v>0</v>
      </c>
      <c r="FA105" s="504">
        <v>0</v>
      </c>
      <c r="FB105" s="504">
        <v>0</v>
      </c>
      <c r="FC105" s="504">
        <v>0</v>
      </c>
      <c r="FD105" s="504">
        <v>0</v>
      </c>
      <c r="FE105" s="504">
        <v>0</v>
      </c>
      <c r="FF105" s="504">
        <v>0</v>
      </c>
      <c r="FG105" s="504">
        <v>0</v>
      </c>
      <c r="FH105" s="504">
        <v>0</v>
      </c>
      <c r="FI105" s="504">
        <v>0</v>
      </c>
      <c r="FJ105" s="504">
        <v>0</v>
      </c>
      <c r="FK105" s="504">
        <v>0</v>
      </c>
      <c r="FL105" s="504">
        <v>0</v>
      </c>
      <c r="FM105" s="504">
        <v>0</v>
      </c>
      <c r="FN105" s="504">
        <v>0</v>
      </c>
      <c r="FO105" s="504">
        <v>0</v>
      </c>
      <c r="FP105" s="504">
        <v>0</v>
      </c>
      <c r="FQ105" s="504">
        <v>0</v>
      </c>
      <c r="FR105" s="504">
        <v>0</v>
      </c>
      <c r="FS105" s="504">
        <v>0</v>
      </c>
      <c r="FT105" s="504">
        <v>0</v>
      </c>
      <c r="FU105" s="504">
        <v>0</v>
      </c>
      <c r="FV105" s="504">
        <v>0</v>
      </c>
      <c r="FW105" s="504">
        <v>0</v>
      </c>
      <c r="FX105" s="504">
        <v>0</v>
      </c>
      <c r="FY105" s="504">
        <v>0</v>
      </c>
      <c r="FZ105" s="504">
        <v>0</v>
      </c>
      <c r="GA105" s="504">
        <v>0</v>
      </c>
      <c r="GB105" s="504">
        <v>0</v>
      </c>
      <c r="GC105" s="504">
        <v>0</v>
      </c>
      <c r="GD105" s="504">
        <v>0</v>
      </c>
      <c r="GE105" s="504">
        <v>0</v>
      </c>
      <c r="GF105" s="504">
        <v>0</v>
      </c>
      <c r="GG105" s="504">
        <v>0</v>
      </c>
      <c r="GH105" s="504">
        <v>0</v>
      </c>
      <c r="GI105" s="504">
        <v>0</v>
      </c>
      <c r="GJ105" s="504">
        <v>0</v>
      </c>
      <c r="GK105" s="504">
        <v>0</v>
      </c>
      <c r="GL105" s="504">
        <v>0</v>
      </c>
      <c r="GM105" s="504">
        <v>0</v>
      </c>
      <c r="GN105" s="504">
        <v>0</v>
      </c>
      <c r="GO105" s="504">
        <v>0</v>
      </c>
      <c r="GP105" s="504">
        <v>0</v>
      </c>
      <c r="GQ105" s="504">
        <v>0</v>
      </c>
      <c r="GR105" s="504">
        <v>0</v>
      </c>
      <c r="GS105" s="504">
        <v>0</v>
      </c>
      <c r="GT105" s="504">
        <v>0</v>
      </c>
      <c r="GU105" s="504">
        <v>0</v>
      </c>
      <c r="GV105" s="504">
        <v>0</v>
      </c>
      <c r="GW105" s="504">
        <v>0</v>
      </c>
      <c r="GX105" s="504">
        <v>0</v>
      </c>
      <c r="GY105" s="504">
        <v>0</v>
      </c>
      <c r="GZ105" s="504">
        <v>0</v>
      </c>
      <c r="HA105" s="504">
        <v>0</v>
      </c>
      <c r="HB105" s="504">
        <v>0</v>
      </c>
      <c r="HC105" s="504">
        <v>0</v>
      </c>
      <c r="HD105" s="504">
        <v>0</v>
      </c>
      <c r="HE105" s="504">
        <v>0</v>
      </c>
      <c r="HF105" s="504">
        <v>0</v>
      </c>
      <c r="HG105" s="504">
        <v>0</v>
      </c>
      <c r="HH105" s="504">
        <v>0</v>
      </c>
      <c r="HI105" s="504">
        <v>0</v>
      </c>
      <c r="HJ105" s="504">
        <v>0</v>
      </c>
      <c r="HK105" s="504">
        <v>0</v>
      </c>
      <c r="HL105" s="504">
        <v>0</v>
      </c>
      <c r="HM105" s="504">
        <v>0</v>
      </c>
      <c r="HN105" s="504">
        <v>0</v>
      </c>
      <c r="HO105" s="504">
        <v>0</v>
      </c>
      <c r="HP105" s="504">
        <v>0</v>
      </c>
      <c r="HQ105" s="504">
        <v>0</v>
      </c>
      <c r="HR105" s="504">
        <v>0</v>
      </c>
      <c r="HS105" s="504">
        <v>0</v>
      </c>
      <c r="HT105" s="504">
        <v>0</v>
      </c>
      <c r="HU105" s="504">
        <v>0</v>
      </c>
      <c r="HV105" s="504">
        <v>0</v>
      </c>
      <c r="HW105" s="504">
        <v>0</v>
      </c>
      <c r="HX105" s="504">
        <v>0</v>
      </c>
      <c r="HY105" s="504">
        <v>0</v>
      </c>
      <c r="HZ105" s="504">
        <v>0</v>
      </c>
      <c r="IA105" s="504">
        <v>0</v>
      </c>
      <c r="IB105" s="504">
        <v>0</v>
      </c>
      <c r="IC105" s="504">
        <v>0</v>
      </c>
      <c r="ID105" s="504">
        <v>0</v>
      </c>
      <c r="IE105" s="504">
        <v>0</v>
      </c>
      <c r="IF105" s="504">
        <v>0</v>
      </c>
      <c r="IG105" s="504">
        <v>0</v>
      </c>
      <c r="IH105" s="504">
        <v>0</v>
      </c>
      <c r="II105" s="504">
        <v>0</v>
      </c>
      <c r="IJ105" s="504">
        <v>0</v>
      </c>
      <c r="IK105" s="504">
        <v>0</v>
      </c>
      <c r="IL105" s="504">
        <v>0</v>
      </c>
      <c r="IM105" s="504">
        <v>0</v>
      </c>
      <c r="IN105" s="504">
        <v>0</v>
      </c>
      <c r="IO105" s="504">
        <v>0</v>
      </c>
      <c r="IP105" s="504">
        <v>0</v>
      </c>
      <c r="IQ105" s="504">
        <v>0</v>
      </c>
      <c r="IR105" s="504">
        <v>0</v>
      </c>
      <c r="IS105" s="504">
        <v>0</v>
      </c>
      <c r="IT105" s="504">
        <v>0</v>
      </c>
      <c r="IU105" s="504">
        <v>0</v>
      </c>
      <c r="IV105" s="504">
        <v>0</v>
      </c>
      <c r="IW105" s="504">
        <v>0</v>
      </c>
      <c r="IX105" s="504">
        <v>0</v>
      </c>
      <c r="IY105" s="504">
        <v>0</v>
      </c>
      <c r="IZ105" s="504">
        <v>0</v>
      </c>
      <c r="JA105" s="504">
        <v>0</v>
      </c>
      <c r="JB105" s="504">
        <v>0</v>
      </c>
      <c r="JC105" s="504">
        <v>0</v>
      </c>
      <c r="JD105" s="504">
        <v>0</v>
      </c>
      <c r="JE105" s="504">
        <v>0</v>
      </c>
      <c r="JF105" s="504">
        <v>0</v>
      </c>
      <c r="JG105" s="504">
        <v>0</v>
      </c>
      <c r="JH105" s="504">
        <v>0</v>
      </c>
      <c r="JI105" s="504">
        <v>0</v>
      </c>
      <c r="JJ105" s="504">
        <v>0</v>
      </c>
      <c r="JK105" s="504">
        <v>0</v>
      </c>
      <c r="JL105" s="504">
        <v>0</v>
      </c>
      <c r="JM105" s="504">
        <v>0</v>
      </c>
      <c r="JN105" s="504">
        <v>0</v>
      </c>
      <c r="JO105" s="504">
        <v>0</v>
      </c>
      <c r="JP105" s="504">
        <v>0</v>
      </c>
      <c r="JQ105" s="504">
        <v>0</v>
      </c>
      <c r="JR105" s="504">
        <v>0</v>
      </c>
      <c r="JS105" s="504">
        <v>0</v>
      </c>
      <c r="JT105" s="504">
        <v>0</v>
      </c>
      <c r="JU105" s="504">
        <v>0</v>
      </c>
      <c r="JV105" s="504">
        <v>0</v>
      </c>
      <c r="JW105" s="504">
        <v>0</v>
      </c>
      <c r="JX105" s="504">
        <v>0</v>
      </c>
      <c r="JY105" s="504">
        <v>0</v>
      </c>
      <c r="JZ105" s="504">
        <v>0</v>
      </c>
      <c r="KA105" s="504">
        <v>0</v>
      </c>
      <c r="KB105" s="504">
        <v>0</v>
      </c>
      <c r="KC105" s="504">
        <v>0</v>
      </c>
      <c r="KD105" s="504">
        <v>0</v>
      </c>
      <c r="KE105" s="504">
        <v>0</v>
      </c>
      <c r="KF105" s="504">
        <v>0</v>
      </c>
      <c r="KG105" s="504">
        <v>0</v>
      </c>
      <c r="KH105" s="504">
        <v>0</v>
      </c>
      <c r="KI105" s="504">
        <v>0</v>
      </c>
      <c r="KJ105" s="504">
        <v>0</v>
      </c>
      <c r="KK105" s="504">
        <v>0</v>
      </c>
      <c r="KL105" s="504">
        <v>0</v>
      </c>
      <c r="KM105" s="504">
        <v>0</v>
      </c>
      <c r="KN105" s="504">
        <v>0</v>
      </c>
      <c r="KO105" s="504">
        <v>0</v>
      </c>
      <c r="KP105" s="504">
        <v>0</v>
      </c>
      <c r="KQ105" s="504">
        <v>0</v>
      </c>
      <c r="KR105" s="504">
        <v>0</v>
      </c>
      <c r="KS105" s="504">
        <v>0</v>
      </c>
      <c r="KT105" s="504">
        <v>0</v>
      </c>
      <c r="KU105" s="504">
        <v>0</v>
      </c>
      <c r="KV105" s="504">
        <v>0</v>
      </c>
      <c r="KW105" s="504">
        <v>0</v>
      </c>
      <c r="KX105" s="504">
        <v>0</v>
      </c>
      <c r="KY105" s="504">
        <v>0</v>
      </c>
      <c r="KZ105" s="504">
        <v>0</v>
      </c>
      <c r="LA105" s="504">
        <v>0</v>
      </c>
      <c r="LB105" s="504">
        <v>0</v>
      </c>
      <c r="LC105" s="504">
        <v>0</v>
      </c>
      <c r="LD105" s="504">
        <v>0</v>
      </c>
      <c r="LE105" s="504">
        <v>0</v>
      </c>
      <c r="LF105" s="504">
        <v>0</v>
      </c>
      <c r="LG105" s="504">
        <v>0</v>
      </c>
      <c r="LH105" s="504">
        <v>0</v>
      </c>
      <c r="LI105" s="504">
        <v>0</v>
      </c>
      <c r="LJ105" s="504">
        <v>0</v>
      </c>
      <c r="LK105" s="504">
        <v>0</v>
      </c>
      <c r="LL105" s="504">
        <v>0</v>
      </c>
      <c r="LM105" s="504">
        <v>0</v>
      </c>
      <c r="LN105" s="504">
        <v>0</v>
      </c>
      <c r="LO105" s="504">
        <v>0</v>
      </c>
      <c r="LP105" s="504">
        <v>0</v>
      </c>
      <c r="LQ105" s="504">
        <v>0</v>
      </c>
      <c r="LR105" s="504">
        <v>0</v>
      </c>
      <c r="LS105" s="504">
        <v>0</v>
      </c>
      <c r="LT105" s="504">
        <v>0</v>
      </c>
      <c r="LU105" s="504">
        <v>0</v>
      </c>
      <c r="LV105" s="504">
        <v>0</v>
      </c>
      <c r="LW105" s="504">
        <v>0</v>
      </c>
      <c r="LX105" s="504">
        <v>0</v>
      </c>
      <c r="LY105" s="504">
        <v>0</v>
      </c>
      <c r="LZ105" s="504">
        <v>0</v>
      </c>
      <c r="MA105" s="504">
        <v>0</v>
      </c>
      <c r="MB105" s="504">
        <v>0</v>
      </c>
      <c r="MC105" s="504">
        <v>0</v>
      </c>
      <c r="MD105" s="504">
        <v>0</v>
      </c>
      <c r="ME105" s="504">
        <v>0</v>
      </c>
      <c r="MF105" s="504">
        <v>0</v>
      </c>
      <c r="MG105" s="504">
        <v>0</v>
      </c>
      <c r="MH105" s="504">
        <v>0</v>
      </c>
      <c r="MI105" s="504">
        <v>0</v>
      </c>
      <c r="MJ105" s="504">
        <v>0</v>
      </c>
      <c r="MK105" s="504">
        <v>0</v>
      </c>
      <c r="ML105" s="504">
        <v>0</v>
      </c>
      <c r="MM105" s="504">
        <v>0</v>
      </c>
      <c r="MN105" s="504">
        <v>0</v>
      </c>
      <c r="MO105" s="504">
        <v>0</v>
      </c>
      <c r="MP105" s="504">
        <v>0</v>
      </c>
      <c r="MQ105" s="504">
        <v>0</v>
      </c>
      <c r="MR105" s="504">
        <v>0</v>
      </c>
      <c r="MS105" s="504">
        <v>0</v>
      </c>
      <c r="MT105" s="504">
        <v>0</v>
      </c>
      <c r="MU105" s="504">
        <v>0</v>
      </c>
      <c r="MV105" s="504">
        <v>0</v>
      </c>
      <c r="MW105" s="504">
        <v>0</v>
      </c>
      <c r="MX105" s="504">
        <v>0</v>
      </c>
      <c r="MY105" s="504">
        <v>0</v>
      </c>
      <c r="MZ105" s="504">
        <v>0</v>
      </c>
      <c r="NA105" s="504">
        <v>0</v>
      </c>
      <c r="NB105" s="504">
        <v>0</v>
      </c>
      <c r="NC105" s="504">
        <v>0</v>
      </c>
      <c r="ND105" s="504">
        <v>0</v>
      </c>
      <c r="NE105" s="504">
        <v>0</v>
      </c>
      <c r="NF105" s="504">
        <v>0</v>
      </c>
      <c r="NG105" s="504">
        <v>0</v>
      </c>
      <c r="NH105" s="504">
        <v>0</v>
      </c>
      <c r="NI105" s="504">
        <v>0</v>
      </c>
      <c r="NJ105" s="504">
        <v>0</v>
      </c>
      <c r="NK105" s="504">
        <v>0</v>
      </c>
      <c r="NL105" s="504">
        <v>0</v>
      </c>
      <c r="NM105" s="504">
        <v>0</v>
      </c>
      <c r="NN105" s="504">
        <v>0</v>
      </c>
      <c r="NO105" s="504">
        <v>0</v>
      </c>
      <c r="NP105" s="504">
        <v>0</v>
      </c>
      <c r="NQ105" s="504">
        <v>0</v>
      </c>
      <c r="NR105" s="504">
        <v>0</v>
      </c>
      <c r="NS105" s="504">
        <v>0</v>
      </c>
      <c r="NT105" s="504">
        <v>0</v>
      </c>
      <c r="NU105" s="504">
        <v>0</v>
      </c>
      <c r="NV105" s="504">
        <v>0</v>
      </c>
      <c r="NW105" s="504">
        <v>0</v>
      </c>
      <c r="NX105" s="504">
        <v>0</v>
      </c>
      <c r="NY105" s="504">
        <v>0</v>
      </c>
      <c r="NZ105" s="504">
        <v>0</v>
      </c>
      <c r="OA105" s="504">
        <v>0</v>
      </c>
      <c r="OB105" s="504">
        <v>0</v>
      </c>
      <c r="OC105" s="504">
        <v>0</v>
      </c>
      <c r="OD105" s="504">
        <v>0</v>
      </c>
      <c r="OE105" s="504">
        <v>0</v>
      </c>
      <c r="OF105" s="504">
        <v>0</v>
      </c>
      <c r="OG105" s="504">
        <v>0</v>
      </c>
      <c r="OH105" s="504">
        <v>0</v>
      </c>
      <c r="OI105" s="504">
        <v>0</v>
      </c>
      <c r="OJ105" s="504">
        <v>0</v>
      </c>
      <c r="OK105" s="504">
        <v>0</v>
      </c>
      <c r="OL105" s="504">
        <v>0</v>
      </c>
      <c r="OM105" s="504">
        <v>0</v>
      </c>
      <c r="ON105" s="494"/>
    </row>
    <row r="106" spans="1:404" ht="18.75" customHeight="1" x14ac:dyDescent="0.4">
      <c r="A106" s="511" t="s">
        <v>376</v>
      </c>
      <c r="B106" s="512">
        <v>74</v>
      </c>
      <c r="C106" s="511" t="s">
        <v>60</v>
      </c>
      <c r="D106" s="501">
        <v>22.65</v>
      </c>
      <c r="F106" s="501">
        <v>22.65</v>
      </c>
      <c r="H106" s="501">
        <v>22.64</v>
      </c>
      <c r="J106" s="501">
        <v>22.65</v>
      </c>
      <c r="V106" s="501"/>
      <c r="W106" s="503"/>
      <c r="X106" s="501"/>
      <c r="Y106" s="503"/>
      <c r="Z106" s="501"/>
      <c r="AA106" s="503"/>
      <c r="AB106" s="495"/>
      <c r="AC106" s="504">
        <v>0</v>
      </c>
      <c r="AD106" s="504">
        <v>0</v>
      </c>
      <c r="AE106" s="504">
        <v>0</v>
      </c>
      <c r="AF106" s="504">
        <v>0</v>
      </c>
      <c r="AG106" s="504">
        <v>0</v>
      </c>
      <c r="AH106" s="504">
        <v>0</v>
      </c>
      <c r="AI106" s="504">
        <v>0</v>
      </c>
      <c r="AJ106" s="504">
        <v>0</v>
      </c>
      <c r="AK106" s="504">
        <v>0</v>
      </c>
      <c r="AL106" s="504">
        <v>0</v>
      </c>
      <c r="AM106" s="504">
        <v>0</v>
      </c>
      <c r="AN106" s="504">
        <v>0</v>
      </c>
      <c r="AO106" s="504">
        <v>0</v>
      </c>
      <c r="AP106" s="504">
        <v>0</v>
      </c>
      <c r="AQ106" s="504">
        <v>0</v>
      </c>
      <c r="AR106" s="504">
        <v>0</v>
      </c>
      <c r="AS106" s="504">
        <v>0</v>
      </c>
      <c r="AT106" s="504">
        <v>0</v>
      </c>
      <c r="AU106" s="504">
        <v>0</v>
      </c>
      <c r="AV106" s="504">
        <v>0</v>
      </c>
      <c r="AW106" s="504">
        <v>0</v>
      </c>
      <c r="AX106" s="504">
        <v>0</v>
      </c>
      <c r="AY106" s="504">
        <v>0</v>
      </c>
      <c r="AZ106" s="504">
        <v>0</v>
      </c>
      <c r="BA106" s="504">
        <v>0</v>
      </c>
      <c r="BB106" s="504">
        <v>0</v>
      </c>
      <c r="BC106" s="504">
        <v>0</v>
      </c>
      <c r="BD106" s="504">
        <v>0</v>
      </c>
      <c r="BE106" s="504">
        <v>0</v>
      </c>
      <c r="BF106" s="504">
        <v>0</v>
      </c>
      <c r="BG106" s="504">
        <v>0</v>
      </c>
      <c r="BH106" s="504">
        <v>0</v>
      </c>
      <c r="BI106" s="504">
        <v>0</v>
      </c>
      <c r="BJ106" s="504">
        <v>0</v>
      </c>
      <c r="BK106" s="504">
        <v>0</v>
      </c>
      <c r="BL106" s="504">
        <v>0</v>
      </c>
      <c r="BM106" s="504">
        <v>0</v>
      </c>
      <c r="BN106" s="504">
        <v>0</v>
      </c>
      <c r="BO106" s="504">
        <v>0</v>
      </c>
      <c r="BP106" s="504">
        <v>0</v>
      </c>
      <c r="BQ106" s="504">
        <v>0</v>
      </c>
      <c r="BR106" s="504">
        <v>0</v>
      </c>
      <c r="BS106" s="504">
        <v>0</v>
      </c>
      <c r="BT106" s="504">
        <v>0</v>
      </c>
      <c r="BU106" s="504">
        <v>0</v>
      </c>
      <c r="BV106" s="504">
        <v>0</v>
      </c>
      <c r="BW106" s="504">
        <v>0</v>
      </c>
      <c r="BX106" s="504">
        <v>0</v>
      </c>
      <c r="BY106" s="504">
        <v>0</v>
      </c>
      <c r="BZ106" s="504">
        <v>0</v>
      </c>
      <c r="CA106" s="504">
        <v>0</v>
      </c>
      <c r="CB106" s="504">
        <v>0</v>
      </c>
      <c r="CC106" s="504">
        <v>0</v>
      </c>
      <c r="CD106" s="504">
        <v>0</v>
      </c>
      <c r="CE106" s="504">
        <v>0</v>
      </c>
      <c r="CF106" s="504">
        <v>0</v>
      </c>
      <c r="CG106" s="504">
        <v>0</v>
      </c>
      <c r="CH106" s="504">
        <v>0</v>
      </c>
      <c r="CI106" s="504">
        <v>0</v>
      </c>
      <c r="CJ106" s="504">
        <v>0</v>
      </c>
      <c r="CK106" s="504">
        <v>0</v>
      </c>
      <c r="CL106" s="504">
        <v>0</v>
      </c>
      <c r="CM106" s="504">
        <v>0</v>
      </c>
      <c r="CN106" s="504">
        <v>0</v>
      </c>
      <c r="CO106" s="504">
        <v>0</v>
      </c>
      <c r="CP106" s="504">
        <v>0</v>
      </c>
      <c r="CQ106" s="504">
        <v>0</v>
      </c>
      <c r="CR106" s="504">
        <v>0</v>
      </c>
      <c r="CS106" s="504">
        <v>0</v>
      </c>
      <c r="CT106" s="504">
        <v>0</v>
      </c>
      <c r="CU106" s="504">
        <v>0</v>
      </c>
      <c r="CV106" s="504">
        <v>0</v>
      </c>
      <c r="CW106" s="504">
        <v>0</v>
      </c>
      <c r="CX106" s="504">
        <v>0</v>
      </c>
      <c r="CY106" s="504">
        <v>0</v>
      </c>
      <c r="CZ106" s="504">
        <v>0</v>
      </c>
      <c r="DA106" s="504">
        <v>0</v>
      </c>
      <c r="DB106" s="504">
        <v>0</v>
      </c>
      <c r="DC106" s="504">
        <v>0</v>
      </c>
      <c r="DD106" s="504">
        <v>0</v>
      </c>
      <c r="DE106" s="504">
        <v>0</v>
      </c>
      <c r="DF106" s="504">
        <v>0</v>
      </c>
      <c r="DG106" s="504">
        <v>0</v>
      </c>
      <c r="DH106" s="504">
        <v>0</v>
      </c>
      <c r="DI106" s="504">
        <v>0</v>
      </c>
      <c r="DJ106" s="504">
        <v>0</v>
      </c>
      <c r="DK106" s="504">
        <v>0</v>
      </c>
      <c r="DL106" s="504">
        <v>0</v>
      </c>
      <c r="DM106" s="504">
        <v>0</v>
      </c>
      <c r="DN106" s="504">
        <v>0</v>
      </c>
      <c r="DO106" s="504">
        <v>0</v>
      </c>
      <c r="DP106" s="504">
        <v>0</v>
      </c>
      <c r="DQ106" s="504">
        <v>0</v>
      </c>
      <c r="DR106" s="504">
        <v>0</v>
      </c>
      <c r="DS106" s="504">
        <v>0</v>
      </c>
      <c r="DT106" s="504">
        <v>0</v>
      </c>
      <c r="DU106" s="504">
        <v>0</v>
      </c>
      <c r="DV106" s="504">
        <v>0</v>
      </c>
      <c r="DW106" s="504">
        <v>0</v>
      </c>
      <c r="DX106" s="504">
        <v>0</v>
      </c>
      <c r="DY106" s="504">
        <v>0</v>
      </c>
      <c r="DZ106" s="504">
        <v>0</v>
      </c>
      <c r="EA106" s="504">
        <v>0</v>
      </c>
      <c r="EB106" s="504">
        <v>0</v>
      </c>
      <c r="EC106" s="504">
        <v>0</v>
      </c>
      <c r="ED106" s="504">
        <v>0</v>
      </c>
      <c r="EE106" s="504">
        <v>0</v>
      </c>
      <c r="EF106" s="504">
        <v>0</v>
      </c>
      <c r="EG106" s="504">
        <v>0</v>
      </c>
      <c r="EH106" s="504">
        <v>0</v>
      </c>
      <c r="EI106" s="504">
        <v>0</v>
      </c>
      <c r="EJ106" s="504">
        <v>0</v>
      </c>
      <c r="EK106" s="504">
        <v>0</v>
      </c>
      <c r="EL106" s="504">
        <v>0</v>
      </c>
      <c r="EM106" s="504">
        <v>0</v>
      </c>
      <c r="EN106" s="504">
        <v>0</v>
      </c>
      <c r="EO106" s="504">
        <v>0</v>
      </c>
      <c r="EP106" s="504">
        <v>0</v>
      </c>
      <c r="EQ106" s="504">
        <v>0</v>
      </c>
      <c r="ER106" s="504">
        <v>0</v>
      </c>
      <c r="ES106" s="504">
        <v>0</v>
      </c>
      <c r="ET106" s="504">
        <v>0</v>
      </c>
      <c r="EU106" s="504">
        <v>0</v>
      </c>
      <c r="EV106" s="504">
        <v>0</v>
      </c>
      <c r="EW106" s="504">
        <v>0</v>
      </c>
      <c r="EX106" s="504">
        <v>0</v>
      </c>
      <c r="EY106" s="504">
        <v>0</v>
      </c>
      <c r="EZ106" s="504">
        <v>0</v>
      </c>
      <c r="FA106" s="504">
        <v>0</v>
      </c>
      <c r="FB106" s="504">
        <v>0</v>
      </c>
      <c r="FC106" s="504">
        <v>0</v>
      </c>
      <c r="FD106" s="504">
        <v>0</v>
      </c>
      <c r="FE106" s="504">
        <v>0</v>
      </c>
      <c r="FF106" s="504">
        <v>0</v>
      </c>
      <c r="FG106" s="504">
        <v>0</v>
      </c>
      <c r="FH106" s="504">
        <v>0</v>
      </c>
      <c r="FI106" s="504">
        <v>0</v>
      </c>
      <c r="FJ106" s="504">
        <v>0</v>
      </c>
      <c r="FK106" s="504">
        <v>0</v>
      </c>
      <c r="FL106" s="504">
        <v>0</v>
      </c>
      <c r="FM106" s="504">
        <v>0</v>
      </c>
      <c r="FN106" s="504">
        <v>0</v>
      </c>
      <c r="FO106" s="504">
        <v>0</v>
      </c>
      <c r="FP106" s="504">
        <v>0</v>
      </c>
      <c r="FQ106" s="504">
        <v>0</v>
      </c>
      <c r="FR106" s="504">
        <v>0</v>
      </c>
      <c r="FS106" s="504">
        <v>0</v>
      </c>
      <c r="FT106" s="504">
        <v>0</v>
      </c>
      <c r="FU106" s="504">
        <v>0</v>
      </c>
      <c r="FV106" s="504">
        <v>0</v>
      </c>
      <c r="FW106" s="504">
        <v>0</v>
      </c>
      <c r="FX106" s="504">
        <v>0</v>
      </c>
      <c r="FY106" s="504">
        <v>0</v>
      </c>
      <c r="FZ106" s="504">
        <v>0</v>
      </c>
      <c r="GA106" s="504">
        <v>0</v>
      </c>
      <c r="GB106" s="504">
        <v>0</v>
      </c>
      <c r="GC106" s="504">
        <v>0</v>
      </c>
      <c r="GD106" s="504">
        <v>0</v>
      </c>
      <c r="GE106" s="504">
        <v>0</v>
      </c>
      <c r="GF106" s="504">
        <v>0</v>
      </c>
      <c r="GG106" s="504">
        <v>0</v>
      </c>
      <c r="GH106" s="504">
        <v>0</v>
      </c>
      <c r="GI106" s="504">
        <v>0</v>
      </c>
      <c r="GJ106" s="504">
        <v>0</v>
      </c>
      <c r="GK106" s="504">
        <v>0</v>
      </c>
      <c r="GL106" s="504">
        <v>0</v>
      </c>
      <c r="GM106" s="504">
        <v>0</v>
      </c>
      <c r="GN106" s="504">
        <v>0</v>
      </c>
      <c r="GO106" s="504">
        <v>0</v>
      </c>
      <c r="GP106" s="504">
        <v>0</v>
      </c>
      <c r="GQ106" s="504">
        <v>0</v>
      </c>
      <c r="GR106" s="504">
        <v>0</v>
      </c>
      <c r="GS106" s="504">
        <v>0</v>
      </c>
      <c r="GT106" s="504">
        <v>0</v>
      </c>
      <c r="GU106" s="504">
        <v>0</v>
      </c>
      <c r="GV106" s="504">
        <v>0</v>
      </c>
      <c r="GW106" s="504">
        <v>0</v>
      </c>
      <c r="GX106" s="504">
        <v>0</v>
      </c>
      <c r="GY106" s="504">
        <v>0</v>
      </c>
      <c r="GZ106" s="504">
        <v>0</v>
      </c>
      <c r="HA106" s="504">
        <v>0</v>
      </c>
      <c r="HB106" s="504">
        <v>0</v>
      </c>
      <c r="HC106" s="504">
        <v>0</v>
      </c>
      <c r="HD106" s="504">
        <v>0</v>
      </c>
      <c r="HE106" s="504">
        <v>0</v>
      </c>
      <c r="HF106" s="504">
        <v>0</v>
      </c>
      <c r="HG106" s="504">
        <v>0</v>
      </c>
      <c r="HH106" s="504">
        <v>0</v>
      </c>
      <c r="HI106" s="504">
        <v>0</v>
      </c>
      <c r="HJ106" s="504">
        <v>0</v>
      </c>
      <c r="HK106" s="504">
        <v>0</v>
      </c>
      <c r="HL106" s="504">
        <v>0</v>
      </c>
      <c r="HM106" s="504">
        <v>0</v>
      </c>
      <c r="HN106" s="504">
        <v>0</v>
      </c>
      <c r="HO106" s="504">
        <v>0</v>
      </c>
      <c r="HP106" s="504">
        <v>0</v>
      </c>
      <c r="HQ106" s="504">
        <v>0</v>
      </c>
      <c r="HR106" s="504">
        <v>0</v>
      </c>
      <c r="HS106" s="504">
        <v>0</v>
      </c>
      <c r="HT106" s="504">
        <v>0</v>
      </c>
      <c r="HU106" s="504">
        <v>0</v>
      </c>
      <c r="HV106" s="504">
        <v>0</v>
      </c>
      <c r="HW106" s="504">
        <v>0</v>
      </c>
      <c r="HX106" s="504">
        <v>0</v>
      </c>
      <c r="HY106" s="504">
        <v>0</v>
      </c>
      <c r="HZ106" s="504">
        <v>0</v>
      </c>
      <c r="IA106" s="504">
        <v>0</v>
      </c>
      <c r="IB106" s="504">
        <v>0</v>
      </c>
      <c r="IC106" s="504">
        <v>0</v>
      </c>
      <c r="ID106" s="504">
        <v>0</v>
      </c>
      <c r="IE106" s="504">
        <v>0</v>
      </c>
      <c r="IF106" s="504">
        <v>0</v>
      </c>
      <c r="IG106" s="504">
        <v>0</v>
      </c>
      <c r="IH106" s="504">
        <v>0</v>
      </c>
      <c r="II106" s="504">
        <v>0</v>
      </c>
      <c r="IJ106" s="504">
        <v>0</v>
      </c>
      <c r="IK106" s="504">
        <v>0</v>
      </c>
      <c r="IL106" s="504">
        <v>0</v>
      </c>
      <c r="IM106" s="504">
        <v>0</v>
      </c>
      <c r="IN106" s="504">
        <v>0</v>
      </c>
      <c r="IO106" s="504">
        <v>0</v>
      </c>
      <c r="IP106" s="504">
        <v>0</v>
      </c>
      <c r="IQ106" s="504">
        <v>0</v>
      </c>
      <c r="IR106" s="504">
        <v>0</v>
      </c>
      <c r="IS106" s="504">
        <v>0</v>
      </c>
      <c r="IT106" s="504">
        <v>0</v>
      </c>
      <c r="IU106" s="504">
        <v>0</v>
      </c>
      <c r="IV106" s="504">
        <v>0</v>
      </c>
      <c r="IW106" s="504">
        <v>0</v>
      </c>
      <c r="IX106" s="504">
        <v>0</v>
      </c>
      <c r="IY106" s="504">
        <v>0</v>
      </c>
      <c r="IZ106" s="504">
        <v>0</v>
      </c>
      <c r="JA106" s="504">
        <v>0</v>
      </c>
      <c r="JB106" s="504">
        <v>0</v>
      </c>
      <c r="JC106" s="504">
        <v>0</v>
      </c>
      <c r="JD106" s="504">
        <v>0</v>
      </c>
      <c r="JE106" s="504">
        <v>0</v>
      </c>
      <c r="JF106" s="504">
        <v>0</v>
      </c>
      <c r="JG106" s="504">
        <v>0</v>
      </c>
      <c r="JH106" s="504">
        <v>0</v>
      </c>
      <c r="JI106" s="504">
        <v>0</v>
      </c>
      <c r="JJ106" s="504">
        <v>0</v>
      </c>
      <c r="JK106" s="504">
        <v>0</v>
      </c>
      <c r="JL106" s="504">
        <v>0</v>
      </c>
      <c r="JM106" s="504">
        <v>0</v>
      </c>
      <c r="JN106" s="504">
        <v>0</v>
      </c>
      <c r="JO106" s="504">
        <v>0</v>
      </c>
      <c r="JP106" s="504">
        <v>0</v>
      </c>
      <c r="JQ106" s="504">
        <v>0</v>
      </c>
      <c r="JR106" s="504">
        <v>0</v>
      </c>
      <c r="JS106" s="504">
        <v>0</v>
      </c>
      <c r="JT106" s="504">
        <v>0</v>
      </c>
      <c r="JU106" s="504">
        <v>0</v>
      </c>
      <c r="JV106" s="504">
        <v>0</v>
      </c>
      <c r="JW106" s="504">
        <v>0</v>
      </c>
      <c r="JX106" s="504">
        <v>0</v>
      </c>
      <c r="JY106" s="504">
        <v>0</v>
      </c>
      <c r="JZ106" s="504">
        <v>0</v>
      </c>
      <c r="KA106" s="504">
        <v>0</v>
      </c>
      <c r="KB106" s="504">
        <v>0</v>
      </c>
      <c r="KC106" s="504">
        <v>0</v>
      </c>
      <c r="KD106" s="504">
        <v>0</v>
      </c>
      <c r="KE106" s="504">
        <v>0</v>
      </c>
      <c r="KF106" s="504">
        <v>0</v>
      </c>
      <c r="KG106" s="504">
        <v>0</v>
      </c>
      <c r="KH106" s="504">
        <v>0</v>
      </c>
      <c r="KI106" s="504">
        <v>0</v>
      </c>
      <c r="KJ106" s="504">
        <v>0</v>
      </c>
      <c r="KK106" s="504">
        <v>0</v>
      </c>
      <c r="KL106" s="504">
        <v>0</v>
      </c>
      <c r="KM106" s="504">
        <v>0</v>
      </c>
      <c r="KN106" s="504">
        <v>0</v>
      </c>
      <c r="KO106" s="504">
        <v>0</v>
      </c>
      <c r="KP106" s="504">
        <v>0</v>
      </c>
      <c r="KQ106" s="504">
        <v>0</v>
      </c>
      <c r="KR106" s="504">
        <v>0</v>
      </c>
      <c r="KS106" s="504">
        <v>0</v>
      </c>
      <c r="KT106" s="504">
        <v>0</v>
      </c>
      <c r="KU106" s="504">
        <v>0</v>
      </c>
      <c r="KV106" s="504">
        <v>0</v>
      </c>
      <c r="KW106" s="504">
        <v>0</v>
      </c>
      <c r="KX106" s="504">
        <v>0</v>
      </c>
      <c r="KY106" s="504">
        <v>0</v>
      </c>
      <c r="KZ106" s="504">
        <v>0</v>
      </c>
      <c r="LA106" s="504">
        <v>0</v>
      </c>
      <c r="LB106" s="504">
        <v>0</v>
      </c>
      <c r="LC106" s="504">
        <v>0</v>
      </c>
      <c r="LD106" s="504">
        <v>0</v>
      </c>
      <c r="LE106" s="504">
        <v>0</v>
      </c>
      <c r="LF106" s="504">
        <v>0</v>
      </c>
      <c r="LG106" s="504">
        <v>0</v>
      </c>
      <c r="LH106" s="504">
        <v>0</v>
      </c>
      <c r="LI106" s="504">
        <v>0</v>
      </c>
      <c r="LJ106" s="504">
        <v>0</v>
      </c>
      <c r="LK106" s="504">
        <v>0</v>
      </c>
      <c r="LL106" s="504">
        <v>0</v>
      </c>
      <c r="LM106" s="504">
        <v>0</v>
      </c>
      <c r="LN106" s="504">
        <v>0</v>
      </c>
      <c r="LO106" s="504">
        <v>0</v>
      </c>
      <c r="LP106" s="504">
        <v>0</v>
      </c>
      <c r="LQ106" s="504">
        <v>0</v>
      </c>
      <c r="LR106" s="504">
        <v>0</v>
      </c>
      <c r="LS106" s="504">
        <v>0</v>
      </c>
      <c r="LT106" s="504">
        <v>0</v>
      </c>
      <c r="LU106" s="504">
        <v>0</v>
      </c>
      <c r="LV106" s="504">
        <v>0</v>
      </c>
      <c r="LW106" s="504">
        <v>0</v>
      </c>
      <c r="LX106" s="504">
        <v>0</v>
      </c>
      <c r="LY106" s="504">
        <v>0</v>
      </c>
      <c r="LZ106" s="504">
        <v>0</v>
      </c>
      <c r="MA106" s="504">
        <v>0</v>
      </c>
      <c r="MB106" s="504">
        <v>0</v>
      </c>
      <c r="MC106" s="504">
        <v>0</v>
      </c>
      <c r="MD106" s="504">
        <v>0</v>
      </c>
      <c r="ME106" s="504">
        <v>0</v>
      </c>
      <c r="MF106" s="504">
        <v>0</v>
      </c>
      <c r="MG106" s="504">
        <v>0</v>
      </c>
      <c r="MH106" s="504">
        <v>0</v>
      </c>
      <c r="MI106" s="504">
        <v>0</v>
      </c>
      <c r="MJ106" s="504">
        <v>0</v>
      </c>
      <c r="MK106" s="504">
        <v>0</v>
      </c>
      <c r="ML106" s="504">
        <v>0</v>
      </c>
      <c r="MM106" s="504">
        <v>0</v>
      </c>
      <c r="MN106" s="504">
        <v>0</v>
      </c>
      <c r="MO106" s="504">
        <v>0</v>
      </c>
      <c r="MP106" s="504">
        <v>0</v>
      </c>
      <c r="MQ106" s="504">
        <v>0</v>
      </c>
      <c r="MR106" s="504">
        <v>0</v>
      </c>
      <c r="MS106" s="504">
        <v>0</v>
      </c>
      <c r="MT106" s="504">
        <v>0</v>
      </c>
      <c r="MU106" s="504">
        <v>0</v>
      </c>
      <c r="MV106" s="504">
        <v>0</v>
      </c>
      <c r="MW106" s="504">
        <v>0</v>
      </c>
      <c r="MX106" s="504">
        <v>0</v>
      </c>
      <c r="MY106" s="504">
        <v>0</v>
      </c>
      <c r="MZ106" s="504">
        <v>0</v>
      </c>
      <c r="NA106" s="504">
        <v>0</v>
      </c>
      <c r="NB106" s="504">
        <v>0</v>
      </c>
      <c r="NC106" s="504">
        <v>0</v>
      </c>
      <c r="ND106" s="504">
        <v>0</v>
      </c>
      <c r="NE106" s="504">
        <v>0</v>
      </c>
      <c r="NF106" s="504">
        <v>0</v>
      </c>
      <c r="NG106" s="504">
        <v>0</v>
      </c>
      <c r="NH106" s="504">
        <v>0</v>
      </c>
      <c r="NI106" s="504">
        <v>0</v>
      </c>
      <c r="NJ106" s="504">
        <v>0</v>
      </c>
      <c r="NK106" s="504">
        <v>0</v>
      </c>
      <c r="NL106" s="504">
        <v>0</v>
      </c>
      <c r="NM106" s="504">
        <v>0</v>
      </c>
      <c r="NN106" s="504">
        <v>0</v>
      </c>
      <c r="NO106" s="504">
        <v>0</v>
      </c>
      <c r="NP106" s="504">
        <v>0</v>
      </c>
      <c r="NQ106" s="504">
        <v>0</v>
      </c>
      <c r="NR106" s="504">
        <v>0</v>
      </c>
      <c r="NS106" s="504">
        <v>0</v>
      </c>
      <c r="NT106" s="504">
        <v>0</v>
      </c>
      <c r="NU106" s="504">
        <v>0</v>
      </c>
      <c r="NV106" s="504">
        <v>0</v>
      </c>
      <c r="NW106" s="504">
        <v>0</v>
      </c>
      <c r="NX106" s="504">
        <v>0</v>
      </c>
      <c r="NY106" s="504">
        <v>0</v>
      </c>
      <c r="NZ106" s="504">
        <v>0</v>
      </c>
      <c r="OA106" s="504">
        <v>0</v>
      </c>
      <c r="OB106" s="504">
        <v>0</v>
      </c>
      <c r="OC106" s="504">
        <v>0</v>
      </c>
      <c r="OD106" s="504">
        <v>0</v>
      </c>
      <c r="OE106" s="504">
        <v>0</v>
      </c>
      <c r="OF106" s="504">
        <v>0</v>
      </c>
      <c r="OG106" s="504">
        <v>0</v>
      </c>
      <c r="OH106" s="504">
        <v>0</v>
      </c>
      <c r="OI106" s="504">
        <v>0</v>
      </c>
      <c r="OJ106" s="504">
        <v>0</v>
      </c>
      <c r="OK106" s="504">
        <v>0</v>
      </c>
      <c r="OL106" s="504">
        <v>0</v>
      </c>
      <c r="OM106" s="504">
        <v>0</v>
      </c>
      <c r="ON106" s="494"/>
    </row>
    <row r="107" spans="1:404" ht="18.75" customHeight="1" x14ac:dyDescent="0.4">
      <c r="A107" s="511" t="s">
        <v>377</v>
      </c>
      <c r="B107" s="512">
        <v>187</v>
      </c>
      <c r="C107" s="511" t="s">
        <v>60</v>
      </c>
      <c r="D107" s="501">
        <v>22.8</v>
      </c>
      <c r="F107" s="501">
        <v>22.79</v>
      </c>
      <c r="H107" s="501">
        <v>22.79</v>
      </c>
      <c r="J107" s="501">
        <v>22.79</v>
      </c>
      <c r="V107" s="501"/>
      <c r="W107" s="503"/>
      <c r="X107" s="501"/>
      <c r="Y107" s="503"/>
      <c r="Z107" s="501"/>
      <c r="AA107" s="503"/>
      <c r="AB107" s="495"/>
      <c r="AC107" s="504">
        <v>0</v>
      </c>
      <c r="AD107" s="504">
        <v>0</v>
      </c>
      <c r="AE107" s="504">
        <v>0</v>
      </c>
      <c r="AF107" s="504">
        <v>0</v>
      </c>
      <c r="AG107" s="504">
        <v>0</v>
      </c>
      <c r="AH107" s="504">
        <v>0</v>
      </c>
      <c r="AI107" s="504">
        <v>0</v>
      </c>
      <c r="AJ107" s="504">
        <v>0</v>
      </c>
      <c r="AK107" s="504">
        <v>0</v>
      </c>
      <c r="AL107" s="504">
        <v>0</v>
      </c>
      <c r="AM107" s="504">
        <v>0</v>
      </c>
      <c r="AN107" s="504">
        <v>0</v>
      </c>
      <c r="AO107" s="504">
        <v>0</v>
      </c>
      <c r="AP107" s="504">
        <v>0</v>
      </c>
      <c r="AQ107" s="504">
        <v>0</v>
      </c>
      <c r="AR107" s="504">
        <v>0</v>
      </c>
      <c r="AS107" s="504">
        <v>0</v>
      </c>
      <c r="AT107" s="504">
        <v>0</v>
      </c>
      <c r="AU107" s="504">
        <v>0</v>
      </c>
      <c r="AV107" s="504">
        <v>0</v>
      </c>
      <c r="AW107" s="504">
        <v>0</v>
      </c>
      <c r="AX107" s="504">
        <v>0</v>
      </c>
      <c r="AY107" s="504">
        <v>0</v>
      </c>
      <c r="AZ107" s="504">
        <v>0</v>
      </c>
      <c r="BA107" s="504">
        <v>0</v>
      </c>
      <c r="BB107" s="504">
        <v>0</v>
      </c>
      <c r="BC107" s="504">
        <v>0</v>
      </c>
      <c r="BD107" s="504">
        <v>0</v>
      </c>
      <c r="BE107" s="504">
        <v>0</v>
      </c>
      <c r="BF107" s="504">
        <v>0</v>
      </c>
      <c r="BG107" s="504">
        <v>0</v>
      </c>
      <c r="BH107" s="504">
        <v>0</v>
      </c>
      <c r="BI107" s="504">
        <v>0</v>
      </c>
      <c r="BJ107" s="504">
        <v>0</v>
      </c>
      <c r="BK107" s="504">
        <v>0</v>
      </c>
      <c r="BL107" s="504">
        <v>0</v>
      </c>
      <c r="BM107" s="504">
        <v>0</v>
      </c>
      <c r="BN107" s="504">
        <v>0</v>
      </c>
      <c r="BO107" s="504">
        <v>0</v>
      </c>
      <c r="BP107" s="504">
        <v>0</v>
      </c>
      <c r="BQ107" s="504">
        <v>0</v>
      </c>
      <c r="BR107" s="504">
        <v>0</v>
      </c>
      <c r="BS107" s="504">
        <v>0</v>
      </c>
      <c r="BT107" s="504">
        <v>0</v>
      </c>
      <c r="BU107" s="504">
        <v>0</v>
      </c>
      <c r="BV107" s="504">
        <v>0</v>
      </c>
      <c r="BW107" s="504">
        <v>0</v>
      </c>
      <c r="BX107" s="504">
        <v>0</v>
      </c>
      <c r="BY107" s="504">
        <v>0</v>
      </c>
      <c r="BZ107" s="504">
        <v>0</v>
      </c>
      <c r="CA107" s="504">
        <v>0</v>
      </c>
      <c r="CB107" s="504">
        <v>0</v>
      </c>
      <c r="CC107" s="504">
        <v>0</v>
      </c>
      <c r="CD107" s="504">
        <v>0</v>
      </c>
      <c r="CE107" s="504">
        <v>0</v>
      </c>
      <c r="CF107" s="504">
        <v>0</v>
      </c>
      <c r="CG107" s="504">
        <v>0</v>
      </c>
      <c r="CH107" s="504">
        <v>0</v>
      </c>
      <c r="CI107" s="504">
        <v>0</v>
      </c>
      <c r="CJ107" s="504">
        <v>0</v>
      </c>
      <c r="CK107" s="504">
        <v>0</v>
      </c>
      <c r="CL107" s="504">
        <v>0</v>
      </c>
      <c r="CM107" s="504">
        <v>0</v>
      </c>
      <c r="CN107" s="504">
        <v>0</v>
      </c>
      <c r="CO107" s="504">
        <v>0</v>
      </c>
      <c r="CP107" s="504">
        <v>0</v>
      </c>
      <c r="CQ107" s="504">
        <v>0</v>
      </c>
      <c r="CR107" s="504">
        <v>0</v>
      </c>
      <c r="CS107" s="504">
        <v>0</v>
      </c>
      <c r="CT107" s="504">
        <v>0</v>
      </c>
      <c r="CU107" s="504">
        <v>0</v>
      </c>
      <c r="CV107" s="504">
        <v>0</v>
      </c>
      <c r="CW107" s="504">
        <v>0</v>
      </c>
      <c r="CX107" s="504">
        <v>0</v>
      </c>
      <c r="CY107" s="504">
        <v>0</v>
      </c>
      <c r="CZ107" s="504">
        <v>0</v>
      </c>
      <c r="DA107" s="504">
        <v>0</v>
      </c>
      <c r="DB107" s="504">
        <v>0</v>
      </c>
      <c r="DC107" s="504">
        <v>0</v>
      </c>
      <c r="DD107" s="504">
        <v>0</v>
      </c>
      <c r="DE107" s="504">
        <v>0</v>
      </c>
      <c r="DF107" s="504">
        <v>0</v>
      </c>
      <c r="DG107" s="504">
        <v>0</v>
      </c>
      <c r="DH107" s="504">
        <v>0</v>
      </c>
      <c r="DI107" s="504">
        <v>0</v>
      </c>
      <c r="DJ107" s="504">
        <v>0</v>
      </c>
      <c r="DK107" s="504">
        <v>0</v>
      </c>
      <c r="DL107" s="504">
        <v>0</v>
      </c>
      <c r="DM107" s="504">
        <v>0</v>
      </c>
      <c r="DN107" s="504">
        <v>0</v>
      </c>
      <c r="DO107" s="504">
        <v>0</v>
      </c>
      <c r="DP107" s="504">
        <v>0</v>
      </c>
      <c r="DQ107" s="504">
        <v>0</v>
      </c>
      <c r="DR107" s="504">
        <v>0</v>
      </c>
      <c r="DS107" s="504">
        <v>0</v>
      </c>
      <c r="DT107" s="504">
        <v>0</v>
      </c>
      <c r="DU107" s="504">
        <v>0</v>
      </c>
      <c r="DV107" s="504">
        <v>0</v>
      </c>
      <c r="DW107" s="504">
        <v>0</v>
      </c>
      <c r="DX107" s="504">
        <v>0</v>
      </c>
      <c r="DY107" s="504">
        <v>0</v>
      </c>
      <c r="DZ107" s="504">
        <v>0</v>
      </c>
      <c r="EA107" s="504">
        <v>0</v>
      </c>
      <c r="EB107" s="504">
        <v>0</v>
      </c>
      <c r="EC107" s="504">
        <v>0</v>
      </c>
      <c r="ED107" s="504">
        <v>0</v>
      </c>
      <c r="EE107" s="504">
        <v>0</v>
      </c>
      <c r="EF107" s="504">
        <v>0</v>
      </c>
      <c r="EG107" s="504">
        <v>0</v>
      </c>
      <c r="EH107" s="504">
        <v>0</v>
      </c>
      <c r="EI107" s="504">
        <v>0</v>
      </c>
      <c r="EJ107" s="504">
        <v>0</v>
      </c>
      <c r="EK107" s="504">
        <v>0</v>
      </c>
      <c r="EL107" s="504">
        <v>0</v>
      </c>
      <c r="EM107" s="504">
        <v>0</v>
      </c>
      <c r="EN107" s="504">
        <v>0</v>
      </c>
      <c r="EO107" s="504">
        <v>0</v>
      </c>
      <c r="EP107" s="504">
        <v>0</v>
      </c>
      <c r="EQ107" s="504">
        <v>0</v>
      </c>
      <c r="ER107" s="504">
        <v>0</v>
      </c>
      <c r="ES107" s="504">
        <v>0</v>
      </c>
      <c r="ET107" s="504">
        <v>0</v>
      </c>
      <c r="EU107" s="504">
        <v>0</v>
      </c>
      <c r="EV107" s="504">
        <v>0</v>
      </c>
      <c r="EW107" s="504">
        <v>0</v>
      </c>
      <c r="EX107" s="504">
        <v>0</v>
      </c>
      <c r="EY107" s="504">
        <v>0</v>
      </c>
      <c r="EZ107" s="504">
        <v>0</v>
      </c>
      <c r="FA107" s="504">
        <v>0</v>
      </c>
      <c r="FB107" s="504">
        <v>0</v>
      </c>
      <c r="FC107" s="504">
        <v>0</v>
      </c>
      <c r="FD107" s="504">
        <v>0</v>
      </c>
      <c r="FE107" s="504">
        <v>0</v>
      </c>
      <c r="FF107" s="504">
        <v>0</v>
      </c>
      <c r="FG107" s="504">
        <v>0</v>
      </c>
      <c r="FH107" s="504">
        <v>0</v>
      </c>
      <c r="FI107" s="504">
        <v>0</v>
      </c>
      <c r="FJ107" s="504">
        <v>0</v>
      </c>
      <c r="FK107" s="504">
        <v>0</v>
      </c>
      <c r="FL107" s="504">
        <v>0</v>
      </c>
      <c r="FM107" s="504">
        <v>0</v>
      </c>
      <c r="FN107" s="504">
        <v>0</v>
      </c>
      <c r="FO107" s="504">
        <v>0</v>
      </c>
      <c r="FP107" s="504">
        <v>0</v>
      </c>
      <c r="FQ107" s="504">
        <v>0</v>
      </c>
      <c r="FR107" s="504">
        <v>0</v>
      </c>
      <c r="FS107" s="504">
        <v>0</v>
      </c>
      <c r="FT107" s="504">
        <v>0</v>
      </c>
      <c r="FU107" s="504">
        <v>0</v>
      </c>
      <c r="FV107" s="504">
        <v>0</v>
      </c>
      <c r="FW107" s="504">
        <v>0</v>
      </c>
      <c r="FX107" s="504">
        <v>0</v>
      </c>
      <c r="FY107" s="504">
        <v>0</v>
      </c>
      <c r="FZ107" s="504">
        <v>0</v>
      </c>
      <c r="GA107" s="504">
        <v>0</v>
      </c>
      <c r="GB107" s="504">
        <v>0</v>
      </c>
      <c r="GC107" s="504">
        <v>0</v>
      </c>
      <c r="GD107" s="504">
        <v>0</v>
      </c>
      <c r="GE107" s="504">
        <v>0</v>
      </c>
      <c r="GF107" s="504">
        <v>0</v>
      </c>
      <c r="GG107" s="504">
        <v>0</v>
      </c>
      <c r="GH107" s="504">
        <v>0</v>
      </c>
      <c r="GI107" s="504">
        <v>0</v>
      </c>
      <c r="GJ107" s="504">
        <v>0</v>
      </c>
      <c r="GK107" s="504">
        <v>0</v>
      </c>
      <c r="GL107" s="504">
        <v>0</v>
      </c>
      <c r="GM107" s="504">
        <v>0</v>
      </c>
      <c r="GN107" s="504">
        <v>0</v>
      </c>
      <c r="GO107" s="504">
        <v>0</v>
      </c>
      <c r="GP107" s="504">
        <v>0</v>
      </c>
      <c r="GQ107" s="504">
        <v>0</v>
      </c>
      <c r="GR107" s="504">
        <v>0</v>
      </c>
      <c r="GS107" s="504">
        <v>0</v>
      </c>
      <c r="GT107" s="504">
        <v>0</v>
      </c>
      <c r="GU107" s="504">
        <v>0</v>
      </c>
      <c r="GV107" s="504">
        <v>0</v>
      </c>
      <c r="GW107" s="504">
        <v>0</v>
      </c>
      <c r="GX107" s="504">
        <v>0</v>
      </c>
      <c r="GY107" s="504">
        <v>0</v>
      </c>
      <c r="GZ107" s="504">
        <v>0</v>
      </c>
      <c r="HA107" s="504">
        <v>0</v>
      </c>
      <c r="HB107" s="504">
        <v>0</v>
      </c>
      <c r="HC107" s="504">
        <v>0</v>
      </c>
      <c r="HD107" s="504">
        <v>0</v>
      </c>
      <c r="HE107" s="504">
        <v>0</v>
      </c>
      <c r="HF107" s="504">
        <v>0</v>
      </c>
      <c r="HG107" s="504">
        <v>0</v>
      </c>
      <c r="HH107" s="504">
        <v>0</v>
      </c>
      <c r="HI107" s="504">
        <v>0</v>
      </c>
      <c r="HJ107" s="504">
        <v>0</v>
      </c>
      <c r="HK107" s="504">
        <v>0</v>
      </c>
      <c r="HL107" s="504">
        <v>0</v>
      </c>
      <c r="HM107" s="504">
        <v>0</v>
      </c>
      <c r="HN107" s="504">
        <v>0</v>
      </c>
      <c r="HO107" s="504">
        <v>0</v>
      </c>
      <c r="HP107" s="504">
        <v>0</v>
      </c>
      <c r="HQ107" s="504">
        <v>0</v>
      </c>
      <c r="HR107" s="504">
        <v>0</v>
      </c>
      <c r="HS107" s="504">
        <v>0</v>
      </c>
      <c r="HT107" s="504">
        <v>0</v>
      </c>
      <c r="HU107" s="504">
        <v>0</v>
      </c>
      <c r="HV107" s="504">
        <v>0</v>
      </c>
      <c r="HW107" s="504">
        <v>0</v>
      </c>
      <c r="HX107" s="504">
        <v>0</v>
      </c>
      <c r="HY107" s="504">
        <v>0</v>
      </c>
      <c r="HZ107" s="504">
        <v>0</v>
      </c>
      <c r="IA107" s="504">
        <v>0</v>
      </c>
      <c r="IB107" s="504">
        <v>0</v>
      </c>
      <c r="IC107" s="504">
        <v>0</v>
      </c>
      <c r="ID107" s="504">
        <v>0</v>
      </c>
      <c r="IE107" s="504">
        <v>0</v>
      </c>
      <c r="IF107" s="504">
        <v>0</v>
      </c>
      <c r="IG107" s="504">
        <v>0</v>
      </c>
      <c r="IH107" s="504">
        <v>0</v>
      </c>
      <c r="II107" s="504">
        <v>0</v>
      </c>
      <c r="IJ107" s="504">
        <v>0</v>
      </c>
      <c r="IK107" s="504">
        <v>0</v>
      </c>
      <c r="IL107" s="504">
        <v>0</v>
      </c>
      <c r="IM107" s="504">
        <v>0</v>
      </c>
      <c r="IN107" s="504">
        <v>0</v>
      </c>
      <c r="IO107" s="504">
        <v>0</v>
      </c>
      <c r="IP107" s="504">
        <v>0</v>
      </c>
      <c r="IQ107" s="504">
        <v>0</v>
      </c>
      <c r="IR107" s="504">
        <v>0</v>
      </c>
      <c r="IS107" s="504">
        <v>0</v>
      </c>
      <c r="IT107" s="504">
        <v>0</v>
      </c>
      <c r="IU107" s="504">
        <v>0</v>
      </c>
      <c r="IV107" s="504">
        <v>0</v>
      </c>
      <c r="IW107" s="504">
        <v>0</v>
      </c>
      <c r="IX107" s="504">
        <v>0</v>
      </c>
      <c r="IY107" s="504">
        <v>0</v>
      </c>
      <c r="IZ107" s="504">
        <v>0</v>
      </c>
      <c r="JA107" s="504">
        <v>0</v>
      </c>
      <c r="JB107" s="504">
        <v>0</v>
      </c>
      <c r="JC107" s="504">
        <v>0</v>
      </c>
      <c r="JD107" s="504">
        <v>0</v>
      </c>
      <c r="JE107" s="504">
        <v>0</v>
      </c>
      <c r="JF107" s="504">
        <v>0</v>
      </c>
      <c r="JG107" s="504">
        <v>0</v>
      </c>
      <c r="JH107" s="504">
        <v>0</v>
      </c>
      <c r="JI107" s="504">
        <v>0</v>
      </c>
      <c r="JJ107" s="504">
        <v>0</v>
      </c>
      <c r="JK107" s="504">
        <v>0</v>
      </c>
      <c r="JL107" s="504">
        <v>0</v>
      </c>
      <c r="JM107" s="504">
        <v>0</v>
      </c>
      <c r="JN107" s="504">
        <v>0</v>
      </c>
      <c r="JO107" s="504">
        <v>0</v>
      </c>
      <c r="JP107" s="504">
        <v>0</v>
      </c>
      <c r="JQ107" s="504">
        <v>0</v>
      </c>
      <c r="JR107" s="504">
        <v>0</v>
      </c>
      <c r="JS107" s="504">
        <v>0</v>
      </c>
      <c r="JT107" s="504">
        <v>0</v>
      </c>
      <c r="JU107" s="504">
        <v>0</v>
      </c>
      <c r="JV107" s="504">
        <v>0</v>
      </c>
      <c r="JW107" s="504">
        <v>0</v>
      </c>
      <c r="JX107" s="504">
        <v>0</v>
      </c>
      <c r="JY107" s="504">
        <v>0</v>
      </c>
      <c r="JZ107" s="504">
        <v>0</v>
      </c>
      <c r="KA107" s="504">
        <v>0</v>
      </c>
      <c r="KB107" s="504">
        <v>0</v>
      </c>
      <c r="KC107" s="504">
        <v>0</v>
      </c>
      <c r="KD107" s="504">
        <v>0</v>
      </c>
      <c r="KE107" s="504">
        <v>0</v>
      </c>
      <c r="KF107" s="504">
        <v>0</v>
      </c>
      <c r="KG107" s="504">
        <v>0</v>
      </c>
      <c r="KH107" s="504">
        <v>0</v>
      </c>
      <c r="KI107" s="504">
        <v>0</v>
      </c>
      <c r="KJ107" s="504">
        <v>0</v>
      </c>
      <c r="KK107" s="504">
        <v>0</v>
      </c>
      <c r="KL107" s="504">
        <v>0</v>
      </c>
      <c r="KM107" s="504">
        <v>0</v>
      </c>
      <c r="KN107" s="504">
        <v>0</v>
      </c>
      <c r="KO107" s="504">
        <v>0</v>
      </c>
      <c r="KP107" s="504">
        <v>0</v>
      </c>
      <c r="KQ107" s="504">
        <v>0</v>
      </c>
      <c r="KR107" s="504">
        <v>0</v>
      </c>
      <c r="KS107" s="504">
        <v>0</v>
      </c>
      <c r="KT107" s="504">
        <v>0</v>
      </c>
      <c r="KU107" s="504">
        <v>0</v>
      </c>
      <c r="KV107" s="504">
        <v>0</v>
      </c>
      <c r="KW107" s="504">
        <v>0</v>
      </c>
      <c r="KX107" s="504">
        <v>0</v>
      </c>
      <c r="KY107" s="504">
        <v>0</v>
      </c>
      <c r="KZ107" s="504">
        <v>0</v>
      </c>
      <c r="LA107" s="504">
        <v>0</v>
      </c>
      <c r="LB107" s="504">
        <v>0</v>
      </c>
      <c r="LC107" s="504">
        <v>0</v>
      </c>
      <c r="LD107" s="504">
        <v>0</v>
      </c>
      <c r="LE107" s="504">
        <v>0</v>
      </c>
      <c r="LF107" s="504">
        <v>0</v>
      </c>
      <c r="LG107" s="504">
        <v>0</v>
      </c>
      <c r="LH107" s="504">
        <v>0</v>
      </c>
      <c r="LI107" s="504">
        <v>0</v>
      </c>
      <c r="LJ107" s="504">
        <v>0</v>
      </c>
      <c r="LK107" s="504">
        <v>0</v>
      </c>
      <c r="LL107" s="504">
        <v>0</v>
      </c>
      <c r="LM107" s="504">
        <v>0</v>
      </c>
      <c r="LN107" s="504">
        <v>0</v>
      </c>
      <c r="LO107" s="504">
        <v>0</v>
      </c>
      <c r="LP107" s="504">
        <v>0</v>
      </c>
      <c r="LQ107" s="504">
        <v>0</v>
      </c>
      <c r="LR107" s="504">
        <v>0</v>
      </c>
      <c r="LS107" s="504">
        <v>0</v>
      </c>
      <c r="LT107" s="504">
        <v>0</v>
      </c>
      <c r="LU107" s="504">
        <v>0</v>
      </c>
      <c r="LV107" s="504">
        <v>0</v>
      </c>
      <c r="LW107" s="504">
        <v>0</v>
      </c>
      <c r="LX107" s="504">
        <v>0</v>
      </c>
      <c r="LY107" s="504">
        <v>0</v>
      </c>
      <c r="LZ107" s="504">
        <v>0</v>
      </c>
      <c r="MA107" s="504">
        <v>0</v>
      </c>
      <c r="MB107" s="504">
        <v>0</v>
      </c>
      <c r="MC107" s="504">
        <v>0</v>
      </c>
      <c r="MD107" s="504">
        <v>0</v>
      </c>
      <c r="ME107" s="504">
        <v>0</v>
      </c>
      <c r="MF107" s="504">
        <v>0</v>
      </c>
      <c r="MG107" s="504">
        <v>0</v>
      </c>
      <c r="MH107" s="504">
        <v>0</v>
      </c>
      <c r="MI107" s="504">
        <v>0</v>
      </c>
      <c r="MJ107" s="504">
        <v>0</v>
      </c>
      <c r="MK107" s="504">
        <v>0</v>
      </c>
      <c r="ML107" s="504">
        <v>0</v>
      </c>
      <c r="MM107" s="504">
        <v>0</v>
      </c>
      <c r="MN107" s="504">
        <v>0</v>
      </c>
      <c r="MO107" s="504">
        <v>0</v>
      </c>
      <c r="MP107" s="504">
        <v>0</v>
      </c>
      <c r="MQ107" s="504">
        <v>0</v>
      </c>
      <c r="MR107" s="504">
        <v>0</v>
      </c>
      <c r="MS107" s="504">
        <v>0</v>
      </c>
      <c r="MT107" s="504">
        <v>0</v>
      </c>
      <c r="MU107" s="504">
        <v>0</v>
      </c>
      <c r="MV107" s="504">
        <v>0</v>
      </c>
      <c r="MW107" s="504">
        <v>0</v>
      </c>
      <c r="MX107" s="504">
        <v>0</v>
      </c>
      <c r="MY107" s="504">
        <v>0</v>
      </c>
      <c r="MZ107" s="504">
        <v>0</v>
      </c>
      <c r="NA107" s="504">
        <v>0</v>
      </c>
      <c r="NB107" s="504">
        <v>0</v>
      </c>
      <c r="NC107" s="504">
        <v>0</v>
      </c>
      <c r="ND107" s="504">
        <v>0</v>
      </c>
      <c r="NE107" s="504">
        <v>0</v>
      </c>
      <c r="NF107" s="504">
        <v>0</v>
      </c>
      <c r="NG107" s="504">
        <v>0</v>
      </c>
      <c r="NH107" s="504">
        <v>0</v>
      </c>
      <c r="NI107" s="504">
        <v>0</v>
      </c>
      <c r="NJ107" s="504">
        <v>0</v>
      </c>
      <c r="NK107" s="504">
        <v>0</v>
      </c>
      <c r="NL107" s="504">
        <v>0</v>
      </c>
      <c r="NM107" s="504">
        <v>0</v>
      </c>
      <c r="NN107" s="504">
        <v>0</v>
      </c>
      <c r="NO107" s="504">
        <v>0</v>
      </c>
      <c r="NP107" s="504">
        <v>0</v>
      </c>
      <c r="NQ107" s="504">
        <v>0</v>
      </c>
      <c r="NR107" s="504">
        <v>0</v>
      </c>
      <c r="NS107" s="504">
        <v>0</v>
      </c>
      <c r="NT107" s="504">
        <v>0</v>
      </c>
      <c r="NU107" s="504">
        <v>0</v>
      </c>
      <c r="NV107" s="504">
        <v>0</v>
      </c>
      <c r="NW107" s="504">
        <v>0</v>
      </c>
      <c r="NX107" s="504">
        <v>0</v>
      </c>
      <c r="NY107" s="504">
        <v>0</v>
      </c>
      <c r="NZ107" s="504">
        <v>0</v>
      </c>
      <c r="OA107" s="504">
        <v>0</v>
      </c>
      <c r="OB107" s="504">
        <v>0</v>
      </c>
      <c r="OC107" s="504">
        <v>0</v>
      </c>
      <c r="OD107" s="504">
        <v>0</v>
      </c>
      <c r="OE107" s="504">
        <v>0</v>
      </c>
      <c r="OF107" s="504">
        <v>0</v>
      </c>
      <c r="OG107" s="504">
        <v>0</v>
      </c>
      <c r="OH107" s="504">
        <v>0</v>
      </c>
      <c r="OI107" s="504">
        <v>0</v>
      </c>
      <c r="OJ107" s="504">
        <v>0</v>
      </c>
      <c r="OK107" s="504">
        <v>0</v>
      </c>
      <c r="OL107" s="504">
        <v>0</v>
      </c>
      <c r="OM107" s="504">
        <v>0</v>
      </c>
      <c r="ON107" s="494"/>
    </row>
    <row r="108" spans="1:404" ht="18.75" customHeight="1" x14ac:dyDescent="0.4">
      <c r="A108" s="511" t="s">
        <v>378</v>
      </c>
      <c r="B108" s="512">
        <v>170</v>
      </c>
      <c r="C108" s="511" t="s">
        <v>60</v>
      </c>
      <c r="D108" s="501">
        <v>22.87</v>
      </c>
      <c r="E108" s="502">
        <v>268526</v>
      </c>
      <c r="F108" s="501">
        <v>22.86</v>
      </c>
      <c r="G108" s="502">
        <v>36195</v>
      </c>
      <c r="H108" s="501">
        <v>22.86</v>
      </c>
      <c r="I108" s="502">
        <v>98222</v>
      </c>
      <c r="J108" s="501">
        <v>22.86</v>
      </c>
      <c r="K108" s="502">
        <v>111301</v>
      </c>
      <c r="V108" s="501"/>
      <c r="W108" s="503"/>
      <c r="X108" s="501"/>
      <c r="Y108" s="503"/>
      <c r="Z108" s="501"/>
      <c r="AA108" s="503"/>
      <c r="AB108" s="495"/>
      <c r="AC108" s="504">
        <v>0</v>
      </c>
      <c r="AD108" s="504">
        <v>0</v>
      </c>
      <c r="AE108" s="504">
        <v>0</v>
      </c>
      <c r="AF108" s="504">
        <v>0</v>
      </c>
      <c r="AG108" s="504">
        <v>0</v>
      </c>
      <c r="AH108" s="504">
        <v>0</v>
      </c>
      <c r="AI108" s="504">
        <v>0</v>
      </c>
      <c r="AJ108" s="504">
        <v>0</v>
      </c>
      <c r="AK108" s="504">
        <v>0</v>
      </c>
      <c r="AL108" s="504">
        <v>0</v>
      </c>
      <c r="AM108" s="504">
        <v>0</v>
      </c>
      <c r="AN108" s="504">
        <v>0</v>
      </c>
      <c r="AO108" s="504">
        <v>0</v>
      </c>
      <c r="AP108" s="504">
        <v>0</v>
      </c>
      <c r="AQ108" s="504">
        <v>0</v>
      </c>
      <c r="AR108" s="504">
        <v>0</v>
      </c>
      <c r="AS108" s="504">
        <v>0</v>
      </c>
      <c r="AT108" s="504">
        <v>0</v>
      </c>
      <c r="AU108" s="504">
        <v>0</v>
      </c>
      <c r="AV108" s="504">
        <v>0</v>
      </c>
      <c r="AW108" s="504">
        <v>0</v>
      </c>
      <c r="AX108" s="504">
        <v>0</v>
      </c>
      <c r="AY108" s="504">
        <v>0</v>
      </c>
      <c r="AZ108" s="504">
        <v>0</v>
      </c>
      <c r="BA108" s="504">
        <v>0</v>
      </c>
      <c r="BB108" s="504">
        <v>0</v>
      </c>
      <c r="BC108" s="504">
        <v>0</v>
      </c>
      <c r="BD108" s="504">
        <v>0</v>
      </c>
      <c r="BE108" s="504">
        <v>0</v>
      </c>
      <c r="BF108" s="504">
        <v>0</v>
      </c>
      <c r="BG108" s="504">
        <v>0</v>
      </c>
      <c r="BH108" s="504">
        <v>0</v>
      </c>
      <c r="BI108" s="504">
        <v>0</v>
      </c>
      <c r="BJ108" s="504">
        <v>0</v>
      </c>
      <c r="BK108" s="504">
        <v>0</v>
      </c>
      <c r="BL108" s="504">
        <v>0</v>
      </c>
      <c r="BM108" s="504">
        <v>0</v>
      </c>
      <c r="BN108" s="504">
        <v>0</v>
      </c>
      <c r="BO108" s="504">
        <v>0</v>
      </c>
      <c r="BP108" s="504">
        <v>0</v>
      </c>
      <c r="BQ108" s="504">
        <v>0</v>
      </c>
      <c r="BR108" s="504">
        <v>0</v>
      </c>
      <c r="BS108" s="504">
        <v>0</v>
      </c>
      <c r="BT108" s="504">
        <v>0</v>
      </c>
      <c r="BU108" s="504">
        <v>0</v>
      </c>
      <c r="BV108" s="504">
        <v>0</v>
      </c>
      <c r="BW108" s="504">
        <v>0</v>
      </c>
      <c r="BX108" s="504">
        <v>0</v>
      </c>
      <c r="BY108" s="504">
        <v>0</v>
      </c>
      <c r="BZ108" s="504">
        <v>0</v>
      </c>
      <c r="CA108" s="504">
        <v>0</v>
      </c>
      <c r="CB108" s="504">
        <v>0</v>
      </c>
      <c r="CC108" s="504">
        <v>0</v>
      </c>
      <c r="CD108" s="504">
        <v>0</v>
      </c>
      <c r="CE108" s="504">
        <v>0</v>
      </c>
      <c r="CF108" s="504">
        <v>0</v>
      </c>
      <c r="CG108" s="504">
        <v>0</v>
      </c>
      <c r="CH108" s="504">
        <v>0</v>
      </c>
      <c r="CI108" s="504">
        <v>0</v>
      </c>
      <c r="CJ108" s="504">
        <v>0</v>
      </c>
      <c r="CK108" s="504">
        <v>0</v>
      </c>
      <c r="CL108" s="504">
        <v>0</v>
      </c>
      <c r="CM108" s="504">
        <v>0</v>
      </c>
      <c r="CN108" s="504">
        <v>0</v>
      </c>
      <c r="CO108" s="504">
        <v>0</v>
      </c>
      <c r="CP108" s="504">
        <v>0</v>
      </c>
      <c r="CQ108" s="504">
        <v>0</v>
      </c>
      <c r="CR108" s="504">
        <v>0</v>
      </c>
      <c r="CS108" s="504">
        <v>0</v>
      </c>
      <c r="CT108" s="504">
        <v>0</v>
      </c>
      <c r="CU108" s="504">
        <v>0</v>
      </c>
      <c r="CV108" s="504">
        <v>0</v>
      </c>
      <c r="CW108" s="504">
        <v>0</v>
      </c>
      <c r="CX108" s="504">
        <v>0</v>
      </c>
      <c r="CY108" s="504">
        <v>0</v>
      </c>
      <c r="CZ108" s="504">
        <v>0</v>
      </c>
      <c r="DA108" s="504">
        <v>0</v>
      </c>
      <c r="DB108" s="504">
        <v>0</v>
      </c>
      <c r="DC108" s="504">
        <v>0</v>
      </c>
      <c r="DD108" s="504">
        <v>0</v>
      </c>
      <c r="DE108" s="504">
        <v>0</v>
      </c>
      <c r="DF108" s="504">
        <v>0</v>
      </c>
      <c r="DG108" s="504">
        <v>0</v>
      </c>
      <c r="DH108" s="504">
        <v>0</v>
      </c>
      <c r="DI108" s="504">
        <v>0</v>
      </c>
      <c r="DJ108" s="504">
        <v>0</v>
      </c>
      <c r="DK108" s="504">
        <v>0</v>
      </c>
      <c r="DL108" s="504">
        <v>0</v>
      </c>
      <c r="DM108" s="504">
        <v>0</v>
      </c>
      <c r="DN108" s="504">
        <v>0</v>
      </c>
      <c r="DO108" s="504">
        <v>0</v>
      </c>
      <c r="DP108" s="504">
        <v>0</v>
      </c>
      <c r="DQ108" s="504">
        <v>0</v>
      </c>
      <c r="DR108" s="504">
        <v>0</v>
      </c>
      <c r="DS108" s="504">
        <v>0</v>
      </c>
      <c r="DT108" s="504">
        <v>0</v>
      </c>
      <c r="DU108" s="504">
        <v>0</v>
      </c>
      <c r="DV108" s="504">
        <v>0</v>
      </c>
      <c r="DW108" s="504">
        <v>0</v>
      </c>
      <c r="DX108" s="504">
        <v>0</v>
      </c>
      <c r="DY108" s="504">
        <v>0</v>
      </c>
      <c r="DZ108" s="504">
        <v>0</v>
      </c>
      <c r="EA108" s="504">
        <v>0</v>
      </c>
      <c r="EB108" s="504">
        <v>0</v>
      </c>
      <c r="EC108" s="504">
        <v>0</v>
      </c>
      <c r="ED108" s="504">
        <v>0</v>
      </c>
      <c r="EE108" s="504">
        <v>0</v>
      </c>
      <c r="EF108" s="504">
        <v>0</v>
      </c>
      <c r="EG108" s="504">
        <v>0</v>
      </c>
      <c r="EH108" s="504">
        <v>0</v>
      </c>
      <c r="EI108" s="504">
        <v>0</v>
      </c>
      <c r="EJ108" s="504">
        <v>0</v>
      </c>
      <c r="EK108" s="504">
        <v>0</v>
      </c>
      <c r="EL108" s="504">
        <v>0</v>
      </c>
      <c r="EM108" s="504">
        <v>0</v>
      </c>
      <c r="EN108" s="504">
        <v>0</v>
      </c>
      <c r="EO108" s="504">
        <v>0</v>
      </c>
      <c r="EP108" s="504">
        <v>0</v>
      </c>
      <c r="EQ108" s="504">
        <v>0</v>
      </c>
      <c r="ER108" s="504">
        <v>0</v>
      </c>
      <c r="ES108" s="504">
        <v>0</v>
      </c>
      <c r="ET108" s="504">
        <v>0</v>
      </c>
      <c r="EU108" s="504">
        <v>0</v>
      </c>
      <c r="EV108" s="504">
        <v>0</v>
      </c>
      <c r="EW108" s="504">
        <v>0</v>
      </c>
      <c r="EX108" s="504">
        <v>0</v>
      </c>
      <c r="EY108" s="504">
        <v>0</v>
      </c>
      <c r="EZ108" s="504">
        <v>0</v>
      </c>
      <c r="FA108" s="504">
        <v>0</v>
      </c>
      <c r="FB108" s="504">
        <v>0</v>
      </c>
      <c r="FC108" s="504">
        <v>0</v>
      </c>
      <c r="FD108" s="504">
        <v>0</v>
      </c>
      <c r="FE108" s="504">
        <v>0</v>
      </c>
      <c r="FF108" s="504">
        <v>0</v>
      </c>
      <c r="FG108" s="504">
        <v>0</v>
      </c>
      <c r="FH108" s="504">
        <v>0</v>
      </c>
      <c r="FI108" s="504">
        <v>0</v>
      </c>
      <c r="FJ108" s="504">
        <v>0</v>
      </c>
      <c r="FK108" s="504">
        <v>0</v>
      </c>
      <c r="FL108" s="504">
        <v>0</v>
      </c>
      <c r="FM108" s="504">
        <v>0</v>
      </c>
      <c r="FN108" s="504">
        <v>0</v>
      </c>
      <c r="FO108" s="504">
        <v>0</v>
      </c>
      <c r="FP108" s="504">
        <v>0</v>
      </c>
      <c r="FQ108" s="504">
        <v>0</v>
      </c>
      <c r="FR108" s="504">
        <v>0</v>
      </c>
      <c r="FS108" s="504">
        <v>0</v>
      </c>
      <c r="FT108" s="504">
        <v>0</v>
      </c>
      <c r="FU108" s="504">
        <v>0</v>
      </c>
      <c r="FV108" s="504">
        <v>0</v>
      </c>
      <c r="FW108" s="504">
        <v>0</v>
      </c>
      <c r="FX108" s="504">
        <v>0</v>
      </c>
      <c r="FY108" s="504">
        <v>0</v>
      </c>
      <c r="FZ108" s="504">
        <v>0</v>
      </c>
      <c r="GA108" s="504">
        <v>0</v>
      </c>
      <c r="GB108" s="504">
        <v>0</v>
      </c>
      <c r="GC108" s="504">
        <v>0</v>
      </c>
      <c r="GD108" s="504">
        <v>0</v>
      </c>
      <c r="GE108" s="504">
        <v>0</v>
      </c>
      <c r="GF108" s="504">
        <v>0</v>
      </c>
      <c r="GG108" s="504">
        <v>0</v>
      </c>
      <c r="GH108" s="504">
        <v>0</v>
      </c>
      <c r="GI108" s="504">
        <v>0</v>
      </c>
      <c r="GJ108" s="504">
        <v>0</v>
      </c>
      <c r="GK108" s="504">
        <v>0</v>
      </c>
      <c r="GL108" s="504">
        <v>0</v>
      </c>
      <c r="GM108" s="504">
        <v>0</v>
      </c>
      <c r="GN108" s="504">
        <v>0</v>
      </c>
      <c r="GO108" s="504">
        <v>0</v>
      </c>
      <c r="GP108" s="504">
        <v>0</v>
      </c>
      <c r="GQ108" s="504">
        <v>0</v>
      </c>
      <c r="GR108" s="504">
        <v>0</v>
      </c>
      <c r="GS108" s="504">
        <v>0</v>
      </c>
      <c r="GT108" s="504">
        <v>0</v>
      </c>
      <c r="GU108" s="504">
        <v>0</v>
      </c>
      <c r="GV108" s="504">
        <v>0</v>
      </c>
      <c r="GW108" s="504">
        <v>0</v>
      </c>
      <c r="GX108" s="504">
        <v>0</v>
      </c>
      <c r="GY108" s="504">
        <v>0</v>
      </c>
      <c r="GZ108" s="504">
        <v>0</v>
      </c>
      <c r="HA108" s="504">
        <v>0</v>
      </c>
      <c r="HB108" s="504">
        <v>0</v>
      </c>
      <c r="HC108" s="504">
        <v>0</v>
      </c>
      <c r="HD108" s="504">
        <v>0</v>
      </c>
      <c r="HE108" s="504">
        <v>0</v>
      </c>
      <c r="HF108" s="504">
        <v>0</v>
      </c>
      <c r="HG108" s="504">
        <v>0</v>
      </c>
      <c r="HH108" s="504">
        <v>0</v>
      </c>
      <c r="HI108" s="504">
        <v>0</v>
      </c>
      <c r="HJ108" s="504">
        <v>0</v>
      </c>
      <c r="HK108" s="504">
        <v>0</v>
      </c>
      <c r="HL108" s="504">
        <v>0</v>
      </c>
      <c r="HM108" s="504">
        <v>0</v>
      </c>
      <c r="HN108" s="504">
        <v>0</v>
      </c>
      <c r="HO108" s="504">
        <v>0</v>
      </c>
      <c r="HP108" s="504">
        <v>0</v>
      </c>
      <c r="HQ108" s="504">
        <v>0</v>
      </c>
      <c r="HR108" s="504">
        <v>0</v>
      </c>
      <c r="HS108" s="504">
        <v>0</v>
      </c>
      <c r="HT108" s="504">
        <v>0</v>
      </c>
      <c r="HU108" s="504">
        <v>0</v>
      </c>
      <c r="HV108" s="504">
        <v>0</v>
      </c>
      <c r="HW108" s="504">
        <v>0</v>
      </c>
      <c r="HX108" s="504">
        <v>0</v>
      </c>
      <c r="HY108" s="504">
        <v>0</v>
      </c>
      <c r="HZ108" s="504">
        <v>0</v>
      </c>
      <c r="IA108" s="504">
        <v>0</v>
      </c>
      <c r="IB108" s="504">
        <v>0</v>
      </c>
      <c r="IC108" s="504">
        <v>0</v>
      </c>
      <c r="ID108" s="504">
        <v>0</v>
      </c>
      <c r="IE108" s="504">
        <v>0</v>
      </c>
      <c r="IF108" s="504">
        <v>0</v>
      </c>
      <c r="IG108" s="504">
        <v>0</v>
      </c>
      <c r="IH108" s="504">
        <v>0</v>
      </c>
      <c r="II108" s="504">
        <v>0</v>
      </c>
      <c r="IJ108" s="504">
        <v>0</v>
      </c>
      <c r="IK108" s="504">
        <v>0</v>
      </c>
      <c r="IL108" s="504">
        <v>0</v>
      </c>
      <c r="IM108" s="504">
        <v>0</v>
      </c>
      <c r="IN108" s="504">
        <v>0</v>
      </c>
      <c r="IO108" s="504">
        <v>0</v>
      </c>
      <c r="IP108" s="504">
        <v>0</v>
      </c>
      <c r="IQ108" s="504">
        <v>0</v>
      </c>
      <c r="IR108" s="504">
        <v>0</v>
      </c>
      <c r="IS108" s="504">
        <v>0</v>
      </c>
      <c r="IT108" s="504">
        <v>0</v>
      </c>
      <c r="IU108" s="504">
        <v>0</v>
      </c>
      <c r="IV108" s="504">
        <v>0</v>
      </c>
      <c r="IW108" s="504">
        <v>0</v>
      </c>
      <c r="IX108" s="504">
        <v>0</v>
      </c>
      <c r="IY108" s="504">
        <v>0</v>
      </c>
      <c r="IZ108" s="504">
        <v>0</v>
      </c>
      <c r="JA108" s="504">
        <v>0</v>
      </c>
      <c r="JB108" s="504">
        <v>0</v>
      </c>
      <c r="JC108" s="504">
        <v>0</v>
      </c>
      <c r="JD108" s="504">
        <v>0</v>
      </c>
      <c r="JE108" s="504">
        <v>0</v>
      </c>
      <c r="JF108" s="504">
        <v>0</v>
      </c>
      <c r="JG108" s="504">
        <v>0</v>
      </c>
      <c r="JH108" s="504">
        <v>0</v>
      </c>
      <c r="JI108" s="504">
        <v>0</v>
      </c>
      <c r="JJ108" s="504">
        <v>0</v>
      </c>
      <c r="JK108" s="504">
        <v>0</v>
      </c>
      <c r="JL108" s="504">
        <v>0</v>
      </c>
      <c r="JM108" s="504">
        <v>0</v>
      </c>
      <c r="JN108" s="504">
        <v>0</v>
      </c>
      <c r="JO108" s="504">
        <v>0</v>
      </c>
      <c r="JP108" s="504">
        <v>0</v>
      </c>
      <c r="JQ108" s="504">
        <v>0</v>
      </c>
      <c r="JR108" s="504">
        <v>0</v>
      </c>
      <c r="JS108" s="504">
        <v>0</v>
      </c>
      <c r="JT108" s="504">
        <v>0</v>
      </c>
      <c r="JU108" s="504">
        <v>0</v>
      </c>
      <c r="JV108" s="504">
        <v>0</v>
      </c>
      <c r="JW108" s="504">
        <v>0</v>
      </c>
      <c r="JX108" s="504">
        <v>0</v>
      </c>
      <c r="JY108" s="504">
        <v>0</v>
      </c>
      <c r="JZ108" s="504">
        <v>0</v>
      </c>
      <c r="KA108" s="504">
        <v>0</v>
      </c>
      <c r="KB108" s="504">
        <v>0</v>
      </c>
      <c r="KC108" s="504">
        <v>0</v>
      </c>
      <c r="KD108" s="504">
        <v>0</v>
      </c>
      <c r="KE108" s="504">
        <v>0</v>
      </c>
      <c r="KF108" s="504">
        <v>0</v>
      </c>
      <c r="KG108" s="504">
        <v>0</v>
      </c>
      <c r="KH108" s="504">
        <v>0</v>
      </c>
      <c r="KI108" s="504">
        <v>0</v>
      </c>
      <c r="KJ108" s="504">
        <v>0</v>
      </c>
      <c r="KK108" s="504">
        <v>0</v>
      </c>
      <c r="KL108" s="504">
        <v>0</v>
      </c>
      <c r="KM108" s="504">
        <v>0</v>
      </c>
      <c r="KN108" s="504">
        <v>0</v>
      </c>
      <c r="KO108" s="504">
        <v>0</v>
      </c>
      <c r="KP108" s="504">
        <v>0</v>
      </c>
      <c r="KQ108" s="504">
        <v>0</v>
      </c>
      <c r="KR108" s="504">
        <v>0</v>
      </c>
      <c r="KS108" s="504">
        <v>0</v>
      </c>
      <c r="KT108" s="504">
        <v>0</v>
      </c>
      <c r="KU108" s="504">
        <v>0</v>
      </c>
      <c r="KV108" s="504">
        <v>0</v>
      </c>
      <c r="KW108" s="504">
        <v>0</v>
      </c>
      <c r="KX108" s="504">
        <v>0</v>
      </c>
      <c r="KY108" s="504">
        <v>0</v>
      </c>
      <c r="KZ108" s="504">
        <v>0</v>
      </c>
      <c r="LA108" s="504">
        <v>0</v>
      </c>
      <c r="LB108" s="504">
        <v>0</v>
      </c>
      <c r="LC108" s="504">
        <v>0</v>
      </c>
      <c r="LD108" s="504">
        <v>0</v>
      </c>
      <c r="LE108" s="504">
        <v>0</v>
      </c>
      <c r="LF108" s="504">
        <v>0</v>
      </c>
      <c r="LG108" s="504">
        <v>0</v>
      </c>
      <c r="LH108" s="504">
        <v>0</v>
      </c>
      <c r="LI108" s="504">
        <v>0</v>
      </c>
      <c r="LJ108" s="504">
        <v>0</v>
      </c>
      <c r="LK108" s="504">
        <v>0</v>
      </c>
      <c r="LL108" s="504">
        <v>0</v>
      </c>
      <c r="LM108" s="504">
        <v>0</v>
      </c>
      <c r="LN108" s="504">
        <v>0</v>
      </c>
      <c r="LO108" s="504">
        <v>0</v>
      </c>
      <c r="LP108" s="504">
        <v>0</v>
      </c>
      <c r="LQ108" s="504">
        <v>0</v>
      </c>
      <c r="LR108" s="504">
        <v>0</v>
      </c>
      <c r="LS108" s="504">
        <v>0</v>
      </c>
      <c r="LT108" s="504">
        <v>0</v>
      </c>
      <c r="LU108" s="504">
        <v>0</v>
      </c>
      <c r="LV108" s="504">
        <v>0</v>
      </c>
      <c r="LW108" s="504">
        <v>0</v>
      </c>
      <c r="LX108" s="504">
        <v>0</v>
      </c>
      <c r="LY108" s="504">
        <v>0</v>
      </c>
      <c r="LZ108" s="504">
        <v>0</v>
      </c>
      <c r="MA108" s="504">
        <v>0</v>
      </c>
      <c r="MB108" s="504">
        <v>0</v>
      </c>
      <c r="MC108" s="504">
        <v>0</v>
      </c>
      <c r="MD108" s="504">
        <v>0</v>
      </c>
      <c r="ME108" s="504">
        <v>0</v>
      </c>
      <c r="MF108" s="504">
        <v>0</v>
      </c>
      <c r="MG108" s="504">
        <v>0</v>
      </c>
      <c r="MH108" s="504">
        <v>0</v>
      </c>
      <c r="MI108" s="504">
        <v>0</v>
      </c>
      <c r="MJ108" s="504">
        <v>0</v>
      </c>
      <c r="MK108" s="504">
        <v>0</v>
      </c>
      <c r="ML108" s="504">
        <v>0</v>
      </c>
      <c r="MM108" s="504">
        <v>0</v>
      </c>
      <c r="MN108" s="504">
        <v>0</v>
      </c>
      <c r="MO108" s="504">
        <v>0</v>
      </c>
      <c r="MP108" s="504">
        <v>0</v>
      </c>
      <c r="MQ108" s="504">
        <v>0</v>
      </c>
      <c r="MR108" s="504">
        <v>0</v>
      </c>
      <c r="MS108" s="504">
        <v>0</v>
      </c>
      <c r="MT108" s="504">
        <v>0</v>
      </c>
      <c r="MU108" s="504">
        <v>0</v>
      </c>
      <c r="MV108" s="504">
        <v>0</v>
      </c>
      <c r="MW108" s="504">
        <v>0</v>
      </c>
      <c r="MX108" s="504">
        <v>0</v>
      </c>
      <c r="MY108" s="504">
        <v>0</v>
      </c>
      <c r="MZ108" s="504">
        <v>0</v>
      </c>
      <c r="NA108" s="504">
        <v>0</v>
      </c>
      <c r="NB108" s="504">
        <v>0</v>
      </c>
      <c r="NC108" s="504">
        <v>0</v>
      </c>
      <c r="ND108" s="504">
        <v>0</v>
      </c>
      <c r="NE108" s="504">
        <v>0</v>
      </c>
      <c r="NF108" s="504">
        <v>0</v>
      </c>
      <c r="NG108" s="504">
        <v>0</v>
      </c>
      <c r="NH108" s="504">
        <v>0</v>
      </c>
      <c r="NI108" s="504">
        <v>0</v>
      </c>
      <c r="NJ108" s="504">
        <v>0</v>
      </c>
      <c r="NK108" s="504">
        <v>0</v>
      </c>
      <c r="NL108" s="504">
        <v>0</v>
      </c>
      <c r="NM108" s="504">
        <v>0</v>
      </c>
      <c r="NN108" s="504">
        <v>0</v>
      </c>
      <c r="NO108" s="504">
        <v>0</v>
      </c>
      <c r="NP108" s="504">
        <v>0</v>
      </c>
      <c r="NQ108" s="504">
        <v>0</v>
      </c>
      <c r="NR108" s="504">
        <v>0</v>
      </c>
      <c r="NS108" s="504">
        <v>0</v>
      </c>
      <c r="NT108" s="504">
        <v>0</v>
      </c>
      <c r="NU108" s="504">
        <v>0</v>
      </c>
      <c r="NV108" s="504">
        <v>0</v>
      </c>
      <c r="NW108" s="504">
        <v>0</v>
      </c>
      <c r="NX108" s="504">
        <v>0</v>
      </c>
      <c r="NY108" s="504">
        <v>0</v>
      </c>
      <c r="NZ108" s="504">
        <v>0</v>
      </c>
      <c r="OA108" s="504">
        <v>0</v>
      </c>
      <c r="OB108" s="504">
        <v>0</v>
      </c>
      <c r="OC108" s="504">
        <v>0</v>
      </c>
      <c r="OD108" s="504">
        <v>0</v>
      </c>
      <c r="OE108" s="504">
        <v>0</v>
      </c>
      <c r="OF108" s="504">
        <v>0</v>
      </c>
      <c r="OG108" s="504">
        <v>0</v>
      </c>
      <c r="OH108" s="504">
        <v>0</v>
      </c>
      <c r="OI108" s="504">
        <v>0</v>
      </c>
      <c r="OJ108" s="504">
        <v>0</v>
      </c>
      <c r="OK108" s="504">
        <v>0</v>
      </c>
      <c r="OL108" s="504">
        <v>0</v>
      </c>
      <c r="OM108" s="504">
        <v>0</v>
      </c>
      <c r="ON108" s="494"/>
    </row>
    <row r="109" spans="1:404" ht="18.75" customHeight="1" x14ac:dyDescent="0.4">
      <c r="A109" s="511" t="s">
        <v>379</v>
      </c>
      <c r="B109" s="512">
        <v>170</v>
      </c>
      <c r="C109" s="511" t="s">
        <v>60</v>
      </c>
      <c r="D109" s="501">
        <v>22.97</v>
      </c>
      <c r="E109" s="502">
        <v>345382</v>
      </c>
      <c r="F109" s="501">
        <v>22.96</v>
      </c>
      <c r="G109" s="502">
        <v>45356</v>
      </c>
      <c r="H109" s="501">
        <v>22.96</v>
      </c>
      <c r="I109" s="502">
        <v>120919</v>
      </c>
      <c r="J109" s="501">
        <v>22.96</v>
      </c>
      <c r="K109" s="502">
        <v>138625</v>
      </c>
      <c r="V109" s="501"/>
      <c r="W109" s="503"/>
      <c r="X109" s="501"/>
      <c r="Y109" s="503"/>
      <c r="Z109" s="501"/>
      <c r="AA109" s="503"/>
      <c r="AB109" s="495"/>
      <c r="AC109" s="504">
        <v>0</v>
      </c>
      <c r="AD109" s="504">
        <v>0</v>
      </c>
      <c r="AE109" s="504">
        <v>0</v>
      </c>
      <c r="AF109" s="504">
        <v>0</v>
      </c>
      <c r="AG109" s="504">
        <v>0</v>
      </c>
      <c r="AH109" s="504">
        <v>0</v>
      </c>
      <c r="AI109" s="504">
        <v>0</v>
      </c>
      <c r="AJ109" s="504">
        <v>0</v>
      </c>
      <c r="AK109" s="504">
        <v>0</v>
      </c>
      <c r="AL109" s="504">
        <v>0</v>
      </c>
      <c r="AM109" s="504">
        <v>0</v>
      </c>
      <c r="AN109" s="504">
        <v>0</v>
      </c>
      <c r="AO109" s="504">
        <v>0</v>
      </c>
      <c r="AP109" s="504">
        <v>0</v>
      </c>
      <c r="AQ109" s="504">
        <v>0</v>
      </c>
      <c r="AR109" s="504">
        <v>0</v>
      </c>
      <c r="AS109" s="504">
        <v>0</v>
      </c>
      <c r="AT109" s="504">
        <v>0</v>
      </c>
      <c r="AU109" s="504">
        <v>0</v>
      </c>
      <c r="AV109" s="504">
        <v>0</v>
      </c>
      <c r="AW109" s="504">
        <v>0</v>
      </c>
      <c r="AX109" s="504">
        <v>0</v>
      </c>
      <c r="AY109" s="504">
        <v>0</v>
      </c>
      <c r="AZ109" s="504">
        <v>0</v>
      </c>
      <c r="BA109" s="504">
        <v>0</v>
      </c>
      <c r="BB109" s="504">
        <v>0</v>
      </c>
      <c r="BC109" s="504">
        <v>0</v>
      </c>
      <c r="BD109" s="504">
        <v>0</v>
      </c>
      <c r="BE109" s="504">
        <v>0</v>
      </c>
      <c r="BF109" s="504">
        <v>0</v>
      </c>
      <c r="BG109" s="504">
        <v>0</v>
      </c>
      <c r="BH109" s="504">
        <v>0</v>
      </c>
      <c r="BI109" s="504">
        <v>0</v>
      </c>
      <c r="BJ109" s="504">
        <v>0</v>
      </c>
      <c r="BK109" s="504">
        <v>0</v>
      </c>
      <c r="BL109" s="504">
        <v>0</v>
      </c>
      <c r="BM109" s="504">
        <v>0</v>
      </c>
      <c r="BN109" s="504">
        <v>0</v>
      </c>
      <c r="BO109" s="504">
        <v>0</v>
      </c>
      <c r="BP109" s="504">
        <v>0</v>
      </c>
      <c r="BQ109" s="504">
        <v>0</v>
      </c>
      <c r="BR109" s="504">
        <v>0</v>
      </c>
      <c r="BS109" s="504">
        <v>0</v>
      </c>
      <c r="BT109" s="504">
        <v>0</v>
      </c>
      <c r="BU109" s="504">
        <v>0</v>
      </c>
      <c r="BV109" s="504">
        <v>0</v>
      </c>
      <c r="BW109" s="504">
        <v>0</v>
      </c>
      <c r="BX109" s="504">
        <v>0</v>
      </c>
      <c r="BY109" s="504">
        <v>0</v>
      </c>
      <c r="BZ109" s="504">
        <v>0</v>
      </c>
      <c r="CA109" s="504">
        <v>0</v>
      </c>
      <c r="CB109" s="504">
        <v>0</v>
      </c>
      <c r="CC109" s="504">
        <v>0</v>
      </c>
      <c r="CD109" s="504">
        <v>0</v>
      </c>
      <c r="CE109" s="504">
        <v>0</v>
      </c>
      <c r="CF109" s="504">
        <v>0</v>
      </c>
      <c r="CG109" s="504">
        <v>0</v>
      </c>
      <c r="CH109" s="504">
        <v>0</v>
      </c>
      <c r="CI109" s="504">
        <v>0</v>
      </c>
      <c r="CJ109" s="504">
        <v>0</v>
      </c>
      <c r="CK109" s="504">
        <v>0</v>
      </c>
      <c r="CL109" s="504">
        <v>0</v>
      </c>
      <c r="CM109" s="504">
        <v>0</v>
      </c>
      <c r="CN109" s="504">
        <v>0</v>
      </c>
      <c r="CO109" s="504">
        <v>0</v>
      </c>
      <c r="CP109" s="504">
        <v>0</v>
      </c>
      <c r="CQ109" s="504">
        <v>0</v>
      </c>
      <c r="CR109" s="504">
        <v>0</v>
      </c>
      <c r="CS109" s="504">
        <v>0</v>
      </c>
      <c r="CT109" s="504">
        <v>0</v>
      </c>
      <c r="CU109" s="504">
        <v>0</v>
      </c>
      <c r="CV109" s="504">
        <v>0</v>
      </c>
      <c r="CW109" s="504">
        <v>0</v>
      </c>
      <c r="CX109" s="504">
        <v>0</v>
      </c>
      <c r="CY109" s="504">
        <v>0</v>
      </c>
      <c r="CZ109" s="504">
        <v>0</v>
      </c>
      <c r="DA109" s="504">
        <v>0</v>
      </c>
      <c r="DB109" s="504">
        <v>0</v>
      </c>
      <c r="DC109" s="504">
        <v>0</v>
      </c>
      <c r="DD109" s="504">
        <v>0</v>
      </c>
      <c r="DE109" s="504">
        <v>0</v>
      </c>
      <c r="DF109" s="504">
        <v>0</v>
      </c>
      <c r="DG109" s="504">
        <v>0</v>
      </c>
      <c r="DH109" s="504">
        <v>0</v>
      </c>
      <c r="DI109" s="504">
        <v>0</v>
      </c>
      <c r="DJ109" s="504">
        <v>0</v>
      </c>
      <c r="DK109" s="504">
        <v>0</v>
      </c>
      <c r="DL109" s="504">
        <v>0</v>
      </c>
      <c r="DM109" s="504">
        <v>0</v>
      </c>
      <c r="DN109" s="504">
        <v>0</v>
      </c>
      <c r="DO109" s="504">
        <v>0</v>
      </c>
      <c r="DP109" s="504">
        <v>0</v>
      </c>
      <c r="DQ109" s="504">
        <v>0</v>
      </c>
      <c r="DR109" s="504">
        <v>0</v>
      </c>
      <c r="DS109" s="504">
        <v>0</v>
      </c>
      <c r="DT109" s="504">
        <v>0</v>
      </c>
      <c r="DU109" s="504">
        <v>0</v>
      </c>
      <c r="DV109" s="504">
        <v>0</v>
      </c>
      <c r="DW109" s="504">
        <v>0</v>
      </c>
      <c r="DX109" s="504">
        <v>0</v>
      </c>
      <c r="DY109" s="504">
        <v>0</v>
      </c>
      <c r="DZ109" s="504">
        <v>0</v>
      </c>
      <c r="EA109" s="504">
        <v>0</v>
      </c>
      <c r="EB109" s="504">
        <v>0</v>
      </c>
      <c r="EC109" s="504">
        <v>0</v>
      </c>
      <c r="ED109" s="504">
        <v>0</v>
      </c>
      <c r="EE109" s="504">
        <v>0</v>
      </c>
      <c r="EF109" s="504">
        <v>0</v>
      </c>
      <c r="EG109" s="504">
        <v>0</v>
      </c>
      <c r="EH109" s="504">
        <v>0</v>
      </c>
      <c r="EI109" s="504">
        <v>0</v>
      </c>
      <c r="EJ109" s="504">
        <v>0</v>
      </c>
      <c r="EK109" s="504">
        <v>0</v>
      </c>
      <c r="EL109" s="504">
        <v>0</v>
      </c>
      <c r="EM109" s="504">
        <v>0</v>
      </c>
      <c r="EN109" s="504">
        <v>0</v>
      </c>
      <c r="EO109" s="504">
        <v>0</v>
      </c>
      <c r="EP109" s="504">
        <v>0</v>
      </c>
      <c r="EQ109" s="504">
        <v>0</v>
      </c>
      <c r="ER109" s="504">
        <v>0</v>
      </c>
      <c r="ES109" s="504">
        <v>0</v>
      </c>
      <c r="ET109" s="504">
        <v>0</v>
      </c>
      <c r="EU109" s="504">
        <v>0</v>
      </c>
      <c r="EV109" s="504">
        <v>0</v>
      </c>
      <c r="EW109" s="504">
        <v>0</v>
      </c>
      <c r="EX109" s="504">
        <v>0</v>
      </c>
      <c r="EY109" s="504">
        <v>0</v>
      </c>
      <c r="EZ109" s="504">
        <v>0</v>
      </c>
      <c r="FA109" s="504">
        <v>0</v>
      </c>
      <c r="FB109" s="504">
        <v>0</v>
      </c>
      <c r="FC109" s="504">
        <v>0</v>
      </c>
      <c r="FD109" s="504">
        <v>0</v>
      </c>
      <c r="FE109" s="504">
        <v>0</v>
      </c>
      <c r="FF109" s="504">
        <v>0</v>
      </c>
      <c r="FG109" s="504">
        <v>0</v>
      </c>
      <c r="FH109" s="504">
        <v>0</v>
      </c>
      <c r="FI109" s="504">
        <v>0</v>
      </c>
      <c r="FJ109" s="504">
        <v>0</v>
      </c>
      <c r="FK109" s="504">
        <v>0</v>
      </c>
      <c r="FL109" s="504">
        <v>0</v>
      </c>
      <c r="FM109" s="504">
        <v>0</v>
      </c>
      <c r="FN109" s="504">
        <v>0</v>
      </c>
      <c r="FO109" s="504">
        <v>0</v>
      </c>
      <c r="FP109" s="504">
        <v>0</v>
      </c>
      <c r="FQ109" s="504">
        <v>0</v>
      </c>
      <c r="FR109" s="504">
        <v>0</v>
      </c>
      <c r="FS109" s="504">
        <v>0</v>
      </c>
      <c r="FT109" s="504">
        <v>0</v>
      </c>
      <c r="FU109" s="504">
        <v>0</v>
      </c>
      <c r="FV109" s="504">
        <v>0</v>
      </c>
      <c r="FW109" s="504">
        <v>0</v>
      </c>
      <c r="FX109" s="504">
        <v>0</v>
      </c>
      <c r="FY109" s="504">
        <v>0</v>
      </c>
      <c r="FZ109" s="504">
        <v>0</v>
      </c>
      <c r="GA109" s="504">
        <v>0</v>
      </c>
      <c r="GB109" s="504">
        <v>0</v>
      </c>
      <c r="GC109" s="504">
        <v>0</v>
      </c>
      <c r="GD109" s="504">
        <v>0</v>
      </c>
      <c r="GE109" s="504">
        <v>0</v>
      </c>
      <c r="GF109" s="504">
        <v>0</v>
      </c>
      <c r="GG109" s="504">
        <v>0</v>
      </c>
      <c r="GH109" s="504">
        <v>0</v>
      </c>
      <c r="GI109" s="504">
        <v>0</v>
      </c>
      <c r="GJ109" s="504">
        <v>0</v>
      </c>
      <c r="GK109" s="504">
        <v>0</v>
      </c>
      <c r="GL109" s="504">
        <v>0</v>
      </c>
      <c r="GM109" s="504">
        <v>0</v>
      </c>
      <c r="GN109" s="504">
        <v>0</v>
      </c>
      <c r="GO109" s="504">
        <v>0</v>
      </c>
      <c r="GP109" s="504">
        <v>0</v>
      </c>
      <c r="GQ109" s="504">
        <v>0</v>
      </c>
      <c r="GR109" s="504">
        <v>0</v>
      </c>
      <c r="GS109" s="504">
        <v>0</v>
      </c>
      <c r="GT109" s="504">
        <v>0</v>
      </c>
      <c r="GU109" s="504">
        <v>0</v>
      </c>
      <c r="GV109" s="504">
        <v>0</v>
      </c>
      <c r="GW109" s="504">
        <v>0</v>
      </c>
      <c r="GX109" s="504">
        <v>0</v>
      </c>
      <c r="GY109" s="504">
        <v>0</v>
      </c>
      <c r="GZ109" s="504">
        <v>0</v>
      </c>
      <c r="HA109" s="504">
        <v>0</v>
      </c>
      <c r="HB109" s="504">
        <v>0</v>
      </c>
      <c r="HC109" s="504">
        <v>0</v>
      </c>
      <c r="HD109" s="504">
        <v>0</v>
      </c>
      <c r="HE109" s="504">
        <v>0</v>
      </c>
      <c r="HF109" s="504">
        <v>0</v>
      </c>
      <c r="HG109" s="504">
        <v>0</v>
      </c>
      <c r="HH109" s="504">
        <v>0</v>
      </c>
      <c r="HI109" s="504">
        <v>0</v>
      </c>
      <c r="HJ109" s="504">
        <v>0</v>
      </c>
      <c r="HK109" s="504">
        <v>0</v>
      </c>
      <c r="HL109" s="504">
        <v>0</v>
      </c>
      <c r="HM109" s="504">
        <v>0</v>
      </c>
      <c r="HN109" s="504">
        <v>0</v>
      </c>
      <c r="HO109" s="504">
        <v>0</v>
      </c>
      <c r="HP109" s="504">
        <v>0</v>
      </c>
      <c r="HQ109" s="504">
        <v>0</v>
      </c>
      <c r="HR109" s="504">
        <v>0</v>
      </c>
      <c r="HS109" s="504">
        <v>0</v>
      </c>
      <c r="HT109" s="504">
        <v>0</v>
      </c>
      <c r="HU109" s="504">
        <v>0</v>
      </c>
      <c r="HV109" s="504">
        <v>0</v>
      </c>
      <c r="HW109" s="504">
        <v>0</v>
      </c>
      <c r="HX109" s="504">
        <v>0</v>
      </c>
      <c r="HY109" s="504">
        <v>0</v>
      </c>
      <c r="HZ109" s="504">
        <v>0</v>
      </c>
      <c r="IA109" s="504">
        <v>0</v>
      </c>
      <c r="IB109" s="504">
        <v>0</v>
      </c>
      <c r="IC109" s="504">
        <v>0</v>
      </c>
      <c r="ID109" s="504">
        <v>0</v>
      </c>
      <c r="IE109" s="504">
        <v>0</v>
      </c>
      <c r="IF109" s="504">
        <v>0</v>
      </c>
      <c r="IG109" s="504">
        <v>0</v>
      </c>
      <c r="IH109" s="504">
        <v>0</v>
      </c>
      <c r="II109" s="504">
        <v>0</v>
      </c>
      <c r="IJ109" s="504">
        <v>0</v>
      </c>
      <c r="IK109" s="504">
        <v>0</v>
      </c>
      <c r="IL109" s="504">
        <v>0</v>
      </c>
      <c r="IM109" s="504">
        <v>0</v>
      </c>
      <c r="IN109" s="504">
        <v>0</v>
      </c>
      <c r="IO109" s="504">
        <v>0</v>
      </c>
      <c r="IP109" s="504">
        <v>0</v>
      </c>
      <c r="IQ109" s="504">
        <v>0</v>
      </c>
      <c r="IR109" s="504">
        <v>0</v>
      </c>
      <c r="IS109" s="504">
        <v>0</v>
      </c>
      <c r="IT109" s="504">
        <v>0</v>
      </c>
      <c r="IU109" s="504">
        <v>0</v>
      </c>
      <c r="IV109" s="504">
        <v>0</v>
      </c>
      <c r="IW109" s="504">
        <v>0</v>
      </c>
      <c r="IX109" s="504">
        <v>0</v>
      </c>
      <c r="IY109" s="504">
        <v>0</v>
      </c>
      <c r="IZ109" s="504">
        <v>0</v>
      </c>
      <c r="JA109" s="504">
        <v>0</v>
      </c>
      <c r="JB109" s="504">
        <v>0</v>
      </c>
      <c r="JC109" s="504">
        <v>0</v>
      </c>
      <c r="JD109" s="504">
        <v>0</v>
      </c>
      <c r="JE109" s="504">
        <v>0</v>
      </c>
      <c r="JF109" s="504">
        <v>0</v>
      </c>
      <c r="JG109" s="504">
        <v>0</v>
      </c>
      <c r="JH109" s="504">
        <v>0</v>
      </c>
      <c r="JI109" s="504">
        <v>0</v>
      </c>
      <c r="JJ109" s="504">
        <v>0</v>
      </c>
      <c r="JK109" s="504">
        <v>0</v>
      </c>
      <c r="JL109" s="504">
        <v>0</v>
      </c>
      <c r="JM109" s="504">
        <v>0</v>
      </c>
      <c r="JN109" s="504">
        <v>0</v>
      </c>
      <c r="JO109" s="504">
        <v>0</v>
      </c>
      <c r="JP109" s="504">
        <v>0</v>
      </c>
      <c r="JQ109" s="504">
        <v>0</v>
      </c>
      <c r="JR109" s="504">
        <v>0</v>
      </c>
      <c r="JS109" s="504">
        <v>0</v>
      </c>
      <c r="JT109" s="504">
        <v>0</v>
      </c>
      <c r="JU109" s="504">
        <v>0</v>
      </c>
      <c r="JV109" s="504">
        <v>0</v>
      </c>
      <c r="JW109" s="504">
        <v>0</v>
      </c>
      <c r="JX109" s="504">
        <v>0</v>
      </c>
      <c r="JY109" s="504">
        <v>0</v>
      </c>
      <c r="JZ109" s="504">
        <v>0</v>
      </c>
      <c r="KA109" s="504">
        <v>0</v>
      </c>
      <c r="KB109" s="504">
        <v>0</v>
      </c>
      <c r="KC109" s="504">
        <v>0</v>
      </c>
      <c r="KD109" s="504">
        <v>0</v>
      </c>
      <c r="KE109" s="504">
        <v>0</v>
      </c>
      <c r="KF109" s="504">
        <v>0</v>
      </c>
      <c r="KG109" s="504">
        <v>0</v>
      </c>
      <c r="KH109" s="504">
        <v>0</v>
      </c>
      <c r="KI109" s="504">
        <v>0</v>
      </c>
      <c r="KJ109" s="504">
        <v>0</v>
      </c>
      <c r="KK109" s="504">
        <v>0</v>
      </c>
      <c r="KL109" s="504">
        <v>0</v>
      </c>
      <c r="KM109" s="504">
        <v>0</v>
      </c>
      <c r="KN109" s="504">
        <v>0</v>
      </c>
      <c r="KO109" s="504">
        <v>0</v>
      </c>
      <c r="KP109" s="504">
        <v>0</v>
      </c>
      <c r="KQ109" s="504">
        <v>0</v>
      </c>
      <c r="KR109" s="504">
        <v>0</v>
      </c>
      <c r="KS109" s="504">
        <v>0</v>
      </c>
      <c r="KT109" s="504">
        <v>0</v>
      </c>
      <c r="KU109" s="504">
        <v>0</v>
      </c>
      <c r="KV109" s="504">
        <v>0</v>
      </c>
      <c r="KW109" s="504">
        <v>0</v>
      </c>
      <c r="KX109" s="504">
        <v>0</v>
      </c>
      <c r="KY109" s="504">
        <v>0</v>
      </c>
      <c r="KZ109" s="504">
        <v>0</v>
      </c>
      <c r="LA109" s="504">
        <v>0</v>
      </c>
      <c r="LB109" s="504">
        <v>0</v>
      </c>
      <c r="LC109" s="504">
        <v>0</v>
      </c>
      <c r="LD109" s="504">
        <v>0</v>
      </c>
      <c r="LE109" s="504">
        <v>0</v>
      </c>
      <c r="LF109" s="504">
        <v>0</v>
      </c>
      <c r="LG109" s="504">
        <v>0</v>
      </c>
      <c r="LH109" s="504">
        <v>0</v>
      </c>
      <c r="LI109" s="504">
        <v>0</v>
      </c>
      <c r="LJ109" s="504">
        <v>0</v>
      </c>
      <c r="LK109" s="504">
        <v>0</v>
      </c>
      <c r="LL109" s="504">
        <v>0</v>
      </c>
      <c r="LM109" s="504">
        <v>0</v>
      </c>
      <c r="LN109" s="504">
        <v>0</v>
      </c>
      <c r="LO109" s="504">
        <v>0</v>
      </c>
      <c r="LP109" s="504">
        <v>0</v>
      </c>
      <c r="LQ109" s="504">
        <v>0</v>
      </c>
      <c r="LR109" s="504">
        <v>0</v>
      </c>
      <c r="LS109" s="504">
        <v>0</v>
      </c>
      <c r="LT109" s="504">
        <v>0</v>
      </c>
      <c r="LU109" s="504">
        <v>0</v>
      </c>
      <c r="LV109" s="504">
        <v>0</v>
      </c>
      <c r="LW109" s="504">
        <v>0</v>
      </c>
      <c r="LX109" s="504">
        <v>0</v>
      </c>
      <c r="LY109" s="504">
        <v>0</v>
      </c>
      <c r="LZ109" s="504">
        <v>0</v>
      </c>
      <c r="MA109" s="504">
        <v>0</v>
      </c>
      <c r="MB109" s="504">
        <v>0</v>
      </c>
      <c r="MC109" s="504">
        <v>0</v>
      </c>
      <c r="MD109" s="504">
        <v>0</v>
      </c>
      <c r="ME109" s="504">
        <v>0</v>
      </c>
      <c r="MF109" s="504">
        <v>0</v>
      </c>
      <c r="MG109" s="504">
        <v>0</v>
      </c>
      <c r="MH109" s="504">
        <v>0</v>
      </c>
      <c r="MI109" s="504">
        <v>0</v>
      </c>
      <c r="MJ109" s="504">
        <v>0</v>
      </c>
      <c r="MK109" s="504">
        <v>0</v>
      </c>
      <c r="ML109" s="504">
        <v>0</v>
      </c>
      <c r="MM109" s="504">
        <v>0</v>
      </c>
      <c r="MN109" s="504">
        <v>0</v>
      </c>
      <c r="MO109" s="504">
        <v>0</v>
      </c>
      <c r="MP109" s="504">
        <v>0</v>
      </c>
      <c r="MQ109" s="504">
        <v>0</v>
      </c>
      <c r="MR109" s="504">
        <v>0</v>
      </c>
      <c r="MS109" s="504">
        <v>0</v>
      </c>
      <c r="MT109" s="504">
        <v>0</v>
      </c>
      <c r="MU109" s="504">
        <v>0</v>
      </c>
      <c r="MV109" s="504">
        <v>0</v>
      </c>
      <c r="MW109" s="504">
        <v>0</v>
      </c>
      <c r="MX109" s="504">
        <v>0</v>
      </c>
      <c r="MY109" s="504">
        <v>0</v>
      </c>
      <c r="MZ109" s="504">
        <v>0</v>
      </c>
      <c r="NA109" s="504">
        <v>0</v>
      </c>
      <c r="NB109" s="504">
        <v>0</v>
      </c>
      <c r="NC109" s="504">
        <v>0</v>
      </c>
      <c r="ND109" s="504">
        <v>0</v>
      </c>
      <c r="NE109" s="504">
        <v>0</v>
      </c>
      <c r="NF109" s="504">
        <v>0</v>
      </c>
      <c r="NG109" s="504">
        <v>0</v>
      </c>
      <c r="NH109" s="504">
        <v>0</v>
      </c>
      <c r="NI109" s="504">
        <v>0</v>
      </c>
      <c r="NJ109" s="504">
        <v>0</v>
      </c>
      <c r="NK109" s="504">
        <v>0</v>
      </c>
      <c r="NL109" s="504">
        <v>0</v>
      </c>
      <c r="NM109" s="504">
        <v>0</v>
      </c>
      <c r="NN109" s="504">
        <v>0</v>
      </c>
      <c r="NO109" s="504">
        <v>0</v>
      </c>
      <c r="NP109" s="504">
        <v>0</v>
      </c>
      <c r="NQ109" s="504">
        <v>0</v>
      </c>
      <c r="NR109" s="504">
        <v>0</v>
      </c>
      <c r="NS109" s="504">
        <v>0</v>
      </c>
      <c r="NT109" s="504">
        <v>0</v>
      </c>
      <c r="NU109" s="504">
        <v>0</v>
      </c>
      <c r="NV109" s="504">
        <v>0</v>
      </c>
      <c r="NW109" s="504">
        <v>0</v>
      </c>
      <c r="NX109" s="504">
        <v>0</v>
      </c>
      <c r="NY109" s="504">
        <v>0</v>
      </c>
      <c r="NZ109" s="504">
        <v>0</v>
      </c>
      <c r="OA109" s="504">
        <v>0</v>
      </c>
      <c r="OB109" s="504">
        <v>0</v>
      </c>
      <c r="OC109" s="504">
        <v>0</v>
      </c>
      <c r="OD109" s="504">
        <v>0</v>
      </c>
      <c r="OE109" s="504">
        <v>0</v>
      </c>
      <c r="OF109" s="504">
        <v>0</v>
      </c>
      <c r="OG109" s="504">
        <v>0</v>
      </c>
      <c r="OH109" s="504">
        <v>0</v>
      </c>
      <c r="OI109" s="504">
        <v>0</v>
      </c>
      <c r="OJ109" s="504">
        <v>0</v>
      </c>
      <c r="OK109" s="504">
        <v>0</v>
      </c>
      <c r="OL109" s="504">
        <v>0</v>
      </c>
      <c r="OM109" s="504">
        <v>0</v>
      </c>
      <c r="ON109" s="494"/>
    </row>
    <row r="110" spans="1:404" ht="18.75" customHeight="1" x14ac:dyDescent="0.4">
      <c r="A110" s="511" t="s">
        <v>380</v>
      </c>
      <c r="B110" s="512">
        <v>83</v>
      </c>
      <c r="C110" s="511" t="s">
        <v>60</v>
      </c>
      <c r="D110" s="501">
        <v>23.49</v>
      </c>
      <c r="E110" s="502">
        <v>125144</v>
      </c>
      <c r="F110" s="501">
        <v>23.48</v>
      </c>
      <c r="G110" s="502">
        <v>18500</v>
      </c>
      <c r="H110" s="501">
        <v>23.48</v>
      </c>
      <c r="I110" s="502">
        <v>50722</v>
      </c>
      <c r="J110" s="501">
        <v>23.48</v>
      </c>
      <c r="K110" s="502">
        <v>60630</v>
      </c>
      <c r="V110" s="501"/>
      <c r="W110" s="503"/>
      <c r="X110" s="501"/>
      <c r="Y110" s="503"/>
      <c r="Z110" s="501"/>
      <c r="AA110" s="503"/>
      <c r="AB110" s="495"/>
      <c r="AC110" s="504">
        <v>0</v>
      </c>
      <c r="AD110" s="504">
        <v>0</v>
      </c>
      <c r="AE110" s="504">
        <v>0</v>
      </c>
      <c r="AF110" s="504">
        <v>0</v>
      </c>
      <c r="AG110" s="504">
        <v>0</v>
      </c>
      <c r="AH110" s="504">
        <v>0</v>
      </c>
      <c r="AI110" s="504">
        <v>0</v>
      </c>
      <c r="AJ110" s="504">
        <v>0</v>
      </c>
      <c r="AK110" s="504">
        <v>0</v>
      </c>
      <c r="AL110" s="504">
        <v>0</v>
      </c>
      <c r="AM110" s="504">
        <v>0</v>
      </c>
      <c r="AN110" s="504">
        <v>0</v>
      </c>
      <c r="AO110" s="504">
        <v>0</v>
      </c>
      <c r="AP110" s="504">
        <v>0</v>
      </c>
      <c r="AQ110" s="504">
        <v>0</v>
      </c>
      <c r="AR110" s="504">
        <v>0</v>
      </c>
      <c r="AS110" s="504">
        <v>0</v>
      </c>
      <c r="AT110" s="504">
        <v>0</v>
      </c>
      <c r="AU110" s="504">
        <v>0</v>
      </c>
      <c r="AV110" s="504">
        <v>0</v>
      </c>
      <c r="AW110" s="504">
        <v>0</v>
      </c>
      <c r="AX110" s="504">
        <v>0</v>
      </c>
      <c r="AY110" s="504">
        <v>0</v>
      </c>
      <c r="AZ110" s="504">
        <v>0</v>
      </c>
      <c r="BA110" s="504">
        <v>0</v>
      </c>
      <c r="BB110" s="504">
        <v>0</v>
      </c>
      <c r="BC110" s="504">
        <v>0</v>
      </c>
      <c r="BD110" s="504">
        <v>0</v>
      </c>
      <c r="BE110" s="504">
        <v>0</v>
      </c>
      <c r="BF110" s="504">
        <v>0</v>
      </c>
      <c r="BG110" s="504">
        <v>0</v>
      </c>
      <c r="BH110" s="504">
        <v>0</v>
      </c>
      <c r="BI110" s="504">
        <v>0</v>
      </c>
      <c r="BJ110" s="504">
        <v>0</v>
      </c>
      <c r="BK110" s="504">
        <v>0</v>
      </c>
      <c r="BL110" s="504">
        <v>0</v>
      </c>
      <c r="BM110" s="504">
        <v>0</v>
      </c>
      <c r="BN110" s="504">
        <v>0</v>
      </c>
      <c r="BO110" s="504">
        <v>0</v>
      </c>
      <c r="BP110" s="504">
        <v>0</v>
      </c>
      <c r="BQ110" s="504">
        <v>0</v>
      </c>
      <c r="BR110" s="504">
        <v>0</v>
      </c>
      <c r="BS110" s="504">
        <v>0</v>
      </c>
      <c r="BT110" s="504">
        <v>0</v>
      </c>
      <c r="BU110" s="504">
        <v>0</v>
      </c>
      <c r="BV110" s="504">
        <v>0</v>
      </c>
      <c r="BW110" s="504">
        <v>0</v>
      </c>
      <c r="BX110" s="504">
        <v>0</v>
      </c>
      <c r="BY110" s="504">
        <v>0</v>
      </c>
      <c r="BZ110" s="504">
        <v>0</v>
      </c>
      <c r="CA110" s="504">
        <v>0</v>
      </c>
      <c r="CB110" s="504">
        <v>0</v>
      </c>
      <c r="CC110" s="504">
        <v>0</v>
      </c>
      <c r="CD110" s="504">
        <v>0</v>
      </c>
      <c r="CE110" s="504">
        <v>0</v>
      </c>
      <c r="CF110" s="504">
        <v>0</v>
      </c>
      <c r="CG110" s="504">
        <v>0</v>
      </c>
      <c r="CH110" s="504">
        <v>0</v>
      </c>
      <c r="CI110" s="504">
        <v>0</v>
      </c>
      <c r="CJ110" s="504">
        <v>0</v>
      </c>
      <c r="CK110" s="504">
        <v>0</v>
      </c>
      <c r="CL110" s="504">
        <v>0</v>
      </c>
      <c r="CM110" s="504">
        <v>0</v>
      </c>
      <c r="CN110" s="504">
        <v>0</v>
      </c>
      <c r="CO110" s="504">
        <v>0</v>
      </c>
      <c r="CP110" s="504">
        <v>0</v>
      </c>
      <c r="CQ110" s="504">
        <v>0</v>
      </c>
      <c r="CR110" s="504">
        <v>0</v>
      </c>
      <c r="CS110" s="504">
        <v>0</v>
      </c>
      <c r="CT110" s="504">
        <v>0</v>
      </c>
      <c r="CU110" s="504">
        <v>0</v>
      </c>
      <c r="CV110" s="504">
        <v>0</v>
      </c>
      <c r="CW110" s="504">
        <v>0</v>
      </c>
      <c r="CX110" s="504">
        <v>0</v>
      </c>
      <c r="CY110" s="504">
        <v>0</v>
      </c>
      <c r="CZ110" s="504">
        <v>0</v>
      </c>
      <c r="DA110" s="504">
        <v>0</v>
      </c>
      <c r="DB110" s="504">
        <v>0</v>
      </c>
      <c r="DC110" s="504">
        <v>0</v>
      </c>
      <c r="DD110" s="504">
        <v>0</v>
      </c>
      <c r="DE110" s="504">
        <v>0</v>
      </c>
      <c r="DF110" s="504">
        <v>0</v>
      </c>
      <c r="DG110" s="504">
        <v>0</v>
      </c>
      <c r="DH110" s="504">
        <v>0</v>
      </c>
      <c r="DI110" s="504">
        <v>0</v>
      </c>
      <c r="DJ110" s="504">
        <v>0</v>
      </c>
      <c r="DK110" s="504">
        <v>0</v>
      </c>
      <c r="DL110" s="504">
        <v>0</v>
      </c>
      <c r="DM110" s="504">
        <v>0</v>
      </c>
      <c r="DN110" s="504">
        <v>0</v>
      </c>
      <c r="DO110" s="504">
        <v>0</v>
      </c>
      <c r="DP110" s="504">
        <v>0</v>
      </c>
      <c r="DQ110" s="504">
        <v>0</v>
      </c>
      <c r="DR110" s="504">
        <v>0</v>
      </c>
      <c r="DS110" s="504">
        <v>0</v>
      </c>
      <c r="DT110" s="504">
        <v>0</v>
      </c>
      <c r="DU110" s="504">
        <v>0</v>
      </c>
      <c r="DV110" s="504">
        <v>0</v>
      </c>
      <c r="DW110" s="504">
        <v>0</v>
      </c>
      <c r="DX110" s="504">
        <v>0</v>
      </c>
      <c r="DY110" s="504">
        <v>0</v>
      </c>
      <c r="DZ110" s="504">
        <v>0</v>
      </c>
      <c r="EA110" s="504">
        <v>0</v>
      </c>
      <c r="EB110" s="504">
        <v>0</v>
      </c>
      <c r="EC110" s="504">
        <v>0</v>
      </c>
      <c r="ED110" s="504">
        <v>0</v>
      </c>
      <c r="EE110" s="504">
        <v>0</v>
      </c>
      <c r="EF110" s="504">
        <v>0</v>
      </c>
      <c r="EG110" s="504">
        <v>0</v>
      </c>
      <c r="EH110" s="504">
        <v>0</v>
      </c>
      <c r="EI110" s="504">
        <v>0</v>
      </c>
      <c r="EJ110" s="504">
        <v>0</v>
      </c>
      <c r="EK110" s="504">
        <v>0</v>
      </c>
      <c r="EL110" s="504">
        <v>0</v>
      </c>
      <c r="EM110" s="504">
        <v>0</v>
      </c>
      <c r="EN110" s="504">
        <v>0</v>
      </c>
      <c r="EO110" s="504">
        <v>0</v>
      </c>
      <c r="EP110" s="504">
        <v>0</v>
      </c>
      <c r="EQ110" s="504">
        <v>0</v>
      </c>
      <c r="ER110" s="504">
        <v>0</v>
      </c>
      <c r="ES110" s="504">
        <v>0</v>
      </c>
      <c r="ET110" s="504">
        <v>0</v>
      </c>
      <c r="EU110" s="504">
        <v>0</v>
      </c>
      <c r="EV110" s="504">
        <v>0</v>
      </c>
      <c r="EW110" s="504">
        <v>0</v>
      </c>
      <c r="EX110" s="504">
        <v>0</v>
      </c>
      <c r="EY110" s="504">
        <v>0</v>
      </c>
      <c r="EZ110" s="504">
        <v>0</v>
      </c>
      <c r="FA110" s="504">
        <v>0</v>
      </c>
      <c r="FB110" s="504">
        <v>0</v>
      </c>
      <c r="FC110" s="504">
        <v>0</v>
      </c>
      <c r="FD110" s="504">
        <v>0</v>
      </c>
      <c r="FE110" s="504">
        <v>0</v>
      </c>
      <c r="FF110" s="504">
        <v>0</v>
      </c>
      <c r="FG110" s="504">
        <v>0</v>
      </c>
      <c r="FH110" s="504">
        <v>0</v>
      </c>
      <c r="FI110" s="504">
        <v>0</v>
      </c>
      <c r="FJ110" s="504">
        <v>0</v>
      </c>
      <c r="FK110" s="504">
        <v>0</v>
      </c>
      <c r="FL110" s="504">
        <v>0</v>
      </c>
      <c r="FM110" s="504">
        <v>0</v>
      </c>
      <c r="FN110" s="504">
        <v>0</v>
      </c>
      <c r="FO110" s="504">
        <v>0</v>
      </c>
      <c r="FP110" s="504">
        <v>0</v>
      </c>
      <c r="FQ110" s="504">
        <v>0</v>
      </c>
      <c r="FR110" s="504">
        <v>0</v>
      </c>
      <c r="FS110" s="504">
        <v>0</v>
      </c>
      <c r="FT110" s="504">
        <v>0</v>
      </c>
      <c r="FU110" s="504">
        <v>0</v>
      </c>
      <c r="FV110" s="504">
        <v>0</v>
      </c>
      <c r="FW110" s="504">
        <v>0</v>
      </c>
      <c r="FX110" s="504">
        <v>0</v>
      </c>
      <c r="FY110" s="504">
        <v>0</v>
      </c>
      <c r="FZ110" s="504">
        <v>0</v>
      </c>
      <c r="GA110" s="504">
        <v>0</v>
      </c>
      <c r="GB110" s="504">
        <v>0</v>
      </c>
      <c r="GC110" s="504">
        <v>0</v>
      </c>
      <c r="GD110" s="504">
        <v>0</v>
      </c>
      <c r="GE110" s="504">
        <v>0</v>
      </c>
      <c r="GF110" s="504">
        <v>0</v>
      </c>
      <c r="GG110" s="504">
        <v>0</v>
      </c>
      <c r="GH110" s="504">
        <v>0</v>
      </c>
      <c r="GI110" s="504">
        <v>0</v>
      </c>
      <c r="GJ110" s="504">
        <v>0</v>
      </c>
      <c r="GK110" s="504">
        <v>0</v>
      </c>
      <c r="GL110" s="504">
        <v>0</v>
      </c>
      <c r="GM110" s="504">
        <v>0</v>
      </c>
      <c r="GN110" s="504">
        <v>0</v>
      </c>
      <c r="GO110" s="504">
        <v>0</v>
      </c>
      <c r="GP110" s="504">
        <v>0</v>
      </c>
      <c r="GQ110" s="504">
        <v>0</v>
      </c>
      <c r="GR110" s="504">
        <v>0</v>
      </c>
      <c r="GS110" s="504">
        <v>0</v>
      </c>
      <c r="GT110" s="504">
        <v>0</v>
      </c>
      <c r="GU110" s="504">
        <v>0</v>
      </c>
      <c r="GV110" s="504">
        <v>0</v>
      </c>
      <c r="GW110" s="504">
        <v>0</v>
      </c>
      <c r="GX110" s="504">
        <v>0</v>
      </c>
      <c r="GY110" s="504">
        <v>0</v>
      </c>
      <c r="GZ110" s="504">
        <v>0</v>
      </c>
      <c r="HA110" s="504">
        <v>0</v>
      </c>
      <c r="HB110" s="504">
        <v>0</v>
      </c>
      <c r="HC110" s="504">
        <v>0</v>
      </c>
      <c r="HD110" s="504">
        <v>0</v>
      </c>
      <c r="HE110" s="504">
        <v>0</v>
      </c>
      <c r="HF110" s="504">
        <v>0</v>
      </c>
      <c r="HG110" s="504">
        <v>0</v>
      </c>
      <c r="HH110" s="504">
        <v>0</v>
      </c>
      <c r="HI110" s="504">
        <v>0</v>
      </c>
      <c r="HJ110" s="504">
        <v>0</v>
      </c>
      <c r="HK110" s="504">
        <v>0</v>
      </c>
      <c r="HL110" s="504">
        <v>0</v>
      </c>
      <c r="HM110" s="504">
        <v>0</v>
      </c>
      <c r="HN110" s="504">
        <v>0</v>
      </c>
      <c r="HO110" s="504">
        <v>0</v>
      </c>
      <c r="HP110" s="504">
        <v>0</v>
      </c>
      <c r="HQ110" s="504">
        <v>0</v>
      </c>
      <c r="HR110" s="504">
        <v>0</v>
      </c>
      <c r="HS110" s="504">
        <v>0</v>
      </c>
      <c r="HT110" s="504">
        <v>0</v>
      </c>
      <c r="HU110" s="504">
        <v>0</v>
      </c>
      <c r="HV110" s="504">
        <v>0</v>
      </c>
      <c r="HW110" s="504">
        <v>0</v>
      </c>
      <c r="HX110" s="504">
        <v>0</v>
      </c>
      <c r="HY110" s="504">
        <v>0</v>
      </c>
      <c r="HZ110" s="504">
        <v>0</v>
      </c>
      <c r="IA110" s="504">
        <v>0</v>
      </c>
      <c r="IB110" s="504">
        <v>0</v>
      </c>
      <c r="IC110" s="504">
        <v>0</v>
      </c>
      <c r="ID110" s="504">
        <v>0</v>
      </c>
      <c r="IE110" s="504">
        <v>0</v>
      </c>
      <c r="IF110" s="504">
        <v>0</v>
      </c>
      <c r="IG110" s="504">
        <v>0</v>
      </c>
      <c r="IH110" s="504">
        <v>0</v>
      </c>
      <c r="II110" s="504">
        <v>0</v>
      </c>
      <c r="IJ110" s="504">
        <v>0</v>
      </c>
      <c r="IK110" s="504">
        <v>0</v>
      </c>
      <c r="IL110" s="504">
        <v>0</v>
      </c>
      <c r="IM110" s="504">
        <v>0</v>
      </c>
      <c r="IN110" s="504">
        <v>0</v>
      </c>
      <c r="IO110" s="504">
        <v>0</v>
      </c>
      <c r="IP110" s="504">
        <v>0</v>
      </c>
      <c r="IQ110" s="504">
        <v>0</v>
      </c>
      <c r="IR110" s="504">
        <v>0</v>
      </c>
      <c r="IS110" s="504">
        <v>0</v>
      </c>
      <c r="IT110" s="504">
        <v>0</v>
      </c>
      <c r="IU110" s="504">
        <v>0</v>
      </c>
      <c r="IV110" s="504">
        <v>0</v>
      </c>
      <c r="IW110" s="504">
        <v>0</v>
      </c>
      <c r="IX110" s="504">
        <v>0</v>
      </c>
      <c r="IY110" s="504">
        <v>0</v>
      </c>
      <c r="IZ110" s="504">
        <v>0</v>
      </c>
      <c r="JA110" s="504">
        <v>0</v>
      </c>
      <c r="JB110" s="504">
        <v>0</v>
      </c>
      <c r="JC110" s="504">
        <v>0</v>
      </c>
      <c r="JD110" s="504">
        <v>0</v>
      </c>
      <c r="JE110" s="504">
        <v>0</v>
      </c>
      <c r="JF110" s="504">
        <v>0</v>
      </c>
      <c r="JG110" s="504">
        <v>0</v>
      </c>
      <c r="JH110" s="504">
        <v>0</v>
      </c>
      <c r="JI110" s="504">
        <v>0</v>
      </c>
      <c r="JJ110" s="504">
        <v>0</v>
      </c>
      <c r="JK110" s="504">
        <v>0</v>
      </c>
      <c r="JL110" s="504">
        <v>0</v>
      </c>
      <c r="JM110" s="504">
        <v>0</v>
      </c>
      <c r="JN110" s="504">
        <v>0</v>
      </c>
      <c r="JO110" s="504">
        <v>0</v>
      </c>
      <c r="JP110" s="504">
        <v>0</v>
      </c>
      <c r="JQ110" s="504">
        <v>0</v>
      </c>
      <c r="JR110" s="504">
        <v>0</v>
      </c>
      <c r="JS110" s="504">
        <v>0</v>
      </c>
      <c r="JT110" s="504">
        <v>0</v>
      </c>
      <c r="JU110" s="504">
        <v>0</v>
      </c>
      <c r="JV110" s="504">
        <v>0</v>
      </c>
      <c r="JW110" s="504">
        <v>0</v>
      </c>
      <c r="JX110" s="504">
        <v>0</v>
      </c>
      <c r="JY110" s="504">
        <v>0</v>
      </c>
      <c r="JZ110" s="504">
        <v>0</v>
      </c>
      <c r="KA110" s="504">
        <v>0</v>
      </c>
      <c r="KB110" s="504">
        <v>0</v>
      </c>
      <c r="KC110" s="504">
        <v>0</v>
      </c>
      <c r="KD110" s="504">
        <v>0</v>
      </c>
      <c r="KE110" s="504">
        <v>0</v>
      </c>
      <c r="KF110" s="504">
        <v>0</v>
      </c>
      <c r="KG110" s="504">
        <v>0</v>
      </c>
      <c r="KH110" s="504">
        <v>0</v>
      </c>
      <c r="KI110" s="504">
        <v>0</v>
      </c>
      <c r="KJ110" s="504">
        <v>0</v>
      </c>
      <c r="KK110" s="504">
        <v>0</v>
      </c>
      <c r="KL110" s="504">
        <v>0</v>
      </c>
      <c r="KM110" s="504">
        <v>0</v>
      </c>
      <c r="KN110" s="504">
        <v>0</v>
      </c>
      <c r="KO110" s="504">
        <v>0</v>
      </c>
      <c r="KP110" s="504">
        <v>0</v>
      </c>
      <c r="KQ110" s="504">
        <v>0</v>
      </c>
      <c r="KR110" s="504">
        <v>0</v>
      </c>
      <c r="KS110" s="504">
        <v>0</v>
      </c>
      <c r="KT110" s="504">
        <v>0</v>
      </c>
      <c r="KU110" s="504">
        <v>0</v>
      </c>
      <c r="KV110" s="504">
        <v>0</v>
      </c>
      <c r="KW110" s="504">
        <v>0</v>
      </c>
      <c r="KX110" s="504">
        <v>0</v>
      </c>
      <c r="KY110" s="504">
        <v>0</v>
      </c>
      <c r="KZ110" s="504">
        <v>0</v>
      </c>
      <c r="LA110" s="504">
        <v>0</v>
      </c>
      <c r="LB110" s="504">
        <v>0</v>
      </c>
      <c r="LC110" s="504">
        <v>0</v>
      </c>
      <c r="LD110" s="504">
        <v>0</v>
      </c>
      <c r="LE110" s="504">
        <v>0</v>
      </c>
      <c r="LF110" s="504">
        <v>0</v>
      </c>
      <c r="LG110" s="504">
        <v>0</v>
      </c>
      <c r="LH110" s="504">
        <v>0</v>
      </c>
      <c r="LI110" s="504">
        <v>0</v>
      </c>
      <c r="LJ110" s="504">
        <v>0</v>
      </c>
      <c r="LK110" s="504">
        <v>0</v>
      </c>
      <c r="LL110" s="504">
        <v>0</v>
      </c>
      <c r="LM110" s="504">
        <v>0</v>
      </c>
      <c r="LN110" s="504">
        <v>0</v>
      </c>
      <c r="LO110" s="504">
        <v>0</v>
      </c>
      <c r="LP110" s="504">
        <v>0</v>
      </c>
      <c r="LQ110" s="504">
        <v>0</v>
      </c>
      <c r="LR110" s="504">
        <v>0</v>
      </c>
      <c r="LS110" s="504">
        <v>0</v>
      </c>
      <c r="LT110" s="504">
        <v>0</v>
      </c>
      <c r="LU110" s="504">
        <v>0</v>
      </c>
      <c r="LV110" s="504">
        <v>0</v>
      </c>
      <c r="LW110" s="504">
        <v>0</v>
      </c>
      <c r="LX110" s="504">
        <v>0</v>
      </c>
      <c r="LY110" s="504">
        <v>0</v>
      </c>
      <c r="LZ110" s="504">
        <v>0</v>
      </c>
      <c r="MA110" s="504">
        <v>0</v>
      </c>
      <c r="MB110" s="504">
        <v>0</v>
      </c>
      <c r="MC110" s="504">
        <v>0</v>
      </c>
      <c r="MD110" s="504">
        <v>0</v>
      </c>
      <c r="ME110" s="504">
        <v>0</v>
      </c>
      <c r="MF110" s="504">
        <v>0</v>
      </c>
      <c r="MG110" s="504">
        <v>0</v>
      </c>
      <c r="MH110" s="504">
        <v>0</v>
      </c>
      <c r="MI110" s="504">
        <v>0</v>
      </c>
      <c r="MJ110" s="504">
        <v>0</v>
      </c>
      <c r="MK110" s="504">
        <v>0</v>
      </c>
      <c r="ML110" s="504">
        <v>0</v>
      </c>
      <c r="MM110" s="504">
        <v>0</v>
      </c>
      <c r="MN110" s="504">
        <v>0</v>
      </c>
      <c r="MO110" s="504">
        <v>0</v>
      </c>
      <c r="MP110" s="504">
        <v>0</v>
      </c>
      <c r="MQ110" s="504">
        <v>0</v>
      </c>
      <c r="MR110" s="504">
        <v>0</v>
      </c>
      <c r="MS110" s="504">
        <v>0</v>
      </c>
      <c r="MT110" s="504">
        <v>0</v>
      </c>
      <c r="MU110" s="504">
        <v>0</v>
      </c>
      <c r="MV110" s="504">
        <v>0</v>
      </c>
      <c r="MW110" s="504">
        <v>0</v>
      </c>
      <c r="MX110" s="504">
        <v>0</v>
      </c>
      <c r="MY110" s="504">
        <v>0</v>
      </c>
      <c r="MZ110" s="504">
        <v>0</v>
      </c>
      <c r="NA110" s="504">
        <v>0</v>
      </c>
      <c r="NB110" s="504">
        <v>0</v>
      </c>
      <c r="NC110" s="504">
        <v>0</v>
      </c>
      <c r="ND110" s="504">
        <v>0</v>
      </c>
      <c r="NE110" s="504">
        <v>0</v>
      </c>
      <c r="NF110" s="504">
        <v>0</v>
      </c>
      <c r="NG110" s="504">
        <v>0</v>
      </c>
      <c r="NH110" s="504">
        <v>0</v>
      </c>
      <c r="NI110" s="504">
        <v>0</v>
      </c>
      <c r="NJ110" s="504">
        <v>0</v>
      </c>
      <c r="NK110" s="504">
        <v>0</v>
      </c>
      <c r="NL110" s="504">
        <v>0</v>
      </c>
      <c r="NM110" s="504">
        <v>0</v>
      </c>
      <c r="NN110" s="504">
        <v>0</v>
      </c>
      <c r="NO110" s="504">
        <v>0</v>
      </c>
      <c r="NP110" s="504">
        <v>0</v>
      </c>
      <c r="NQ110" s="504">
        <v>0</v>
      </c>
      <c r="NR110" s="504">
        <v>0</v>
      </c>
      <c r="NS110" s="504">
        <v>0</v>
      </c>
      <c r="NT110" s="504">
        <v>0</v>
      </c>
      <c r="NU110" s="504">
        <v>0</v>
      </c>
      <c r="NV110" s="504">
        <v>0</v>
      </c>
      <c r="NW110" s="504">
        <v>0</v>
      </c>
      <c r="NX110" s="504">
        <v>0</v>
      </c>
      <c r="NY110" s="504">
        <v>0</v>
      </c>
      <c r="NZ110" s="504">
        <v>0</v>
      </c>
      <c r="OA110" s="504">
        <v>0</v>
      </c>
      <c r="OB110" s="504">
        <v>0</v>
      </c>
      <c r="OC110" s="504">
        <v>0</v>
      </c>
      <c r="OD110" s="504">
        <v>0</v>
      </c>
      <c r="OE110" s="504">
        <v>0</v>
      </c>
      <c r="OF110" s="504">
        <v>0</v>
      </c>
      <c r="OG110" s="504">
        <v>0</v>
      </c>
      <c r="OH110" s="504">
        <v>0</v>
      </c>
      <c r="OI110" s="504">
        <v>0</v>
      </c>
      <c r="OJ110" s="504">
        <v>0</v>
      </c>
      <c r="OK110" s="504">
        <v>0</v>
      </c>
      <c r="OL110" s="504">
        <v>0</v>
      </c>
      <c r="OM110" s="504">
        <v>0</v>
      </c>
      <c r="ON110" s="494"/>
    </row>
    <row r="111" spans="1:404" ht="18.75" customHeight="1" x14ac:dyDescent="0.4">
      <c r="A111" s="511" t="s">
        <v>381</v>
      </c>
      <c r="B111" s="512">
        <v>106</v>
      </c>
      <c r="C111" s="511" t="s">
        <v>60</v>
      </c>
      <c r="D111" s="501">
        <v>27.96</v>
      </c>
      <c r="E111" s="502">
        <v>3543</v>
      </c>
      <c r="F111" s="501">
        <v>28.15</v>
      </c>
      <c r="G111" s="502">
        <v>1455</v>
      </c>
      <c r="H111" s="501">
        <v>28.15</v>
      </c>
      <c r="I111" s="502">
        <v>3651</v>
      </c>
      <c r="J111" s="501">
        <v>28.15</v>
      </c>
      <c r="K111" s="502">
        <v>3740</v>
      </c>
      <c r="V111" s="501"/>
      <c r="W111" s="503"/>
      <c r="X111" s="501"/>
      <c r="Y111" s="503"/>
      <c r="Z111" s="501"/>
      <c r="AA111" s="503"/>
      <c r="AB111" s="495"/>
      <c r="AC111" s="504">
        <v>0</v>
      </c>
      <c r="AD111" s="504">
        <v>0</v>
      </c>
      <c r="AE111" s="504">
        <v>0</v>
      </c>
      <c r="AF111" s="504">
        <v>0</v>
      </c>
      <c r="AG111" s="504">
        <v>0</v>
      </c>
      <c r="AH111" s="504">
        <v>0</v>
      </c>
      <c r="AI111" s="504">
        <v>0</v>
      </c>
      <c r="AJ111" s="504">
        <v>0</v>
      </c>
      <c r="AK111" s="504">
        <v>0</v>
      </c>
      <c r="AL111" s="504">
        <v>0</v>
      </c>
      <c r="AM111" s="504">
        <v>0</v>
      </c>
      <c r="AN111" s="504">
        <v>0</v>
      </c>
      <c r="AO111" s="504">
        <v>0</v>
      </c>
      <c r="AP111" s="504">
        <v>0</v>
      </c>
      <c r="AQ111" s="504">
        <v>0</v>
      </c>
      <c r="AR111" s="504">
        <v>0</v>
      </c>
      <c r="AS111" s="504">
        <v>0</v>
      </c>
      <c r="AT111" s="504">
        <v>0</v>
      </c>
      <c r="AU111" s="504">
        <v>0</v>
      </c>
      <c r="AV111" s="504">
        <v>0</v>
      </c>
      <c r="AW111" s="504">
        <v>0</v>
      </c>
      <c r="AX111" s="504">
        <v>0</v>
      </c>
      <c r="AY111" s="504">
        <v>0</v>
      </c>
      <c r="AZ111" s="504">
        <v>0</v>
      </c>
      <c r="BA111" s="504">
        <v>0</v>
      </c>
      <c r="BB111" s="504">
        <v>0</v>
      </c>
      <c r="BC111" s="504">
        <v>0</v>
      </c>
      <c r="BD111" s="504">
        <v>0</v>
      </c>
      <c r="BE111" s="504">
        <v>0</v>
      </c>
      <c r="BF111" s="504">
        <v>0</v>
      </c>
      <c r="BG111" s="504">
        <v>0</v>
      </c>
      <c r="BH111" s="504">
        <v>0</v>
      </c>
      <c r="BI111" s="504">
        <v>0</v>
      </c>
      <c r="BJ111" s="504">
        <v>0</v>
      </c>
      <c r="BK111" s="504">
        <v>0</v>
      </c>
      <c r="BL111" s="504">
        <v>0</v>
      </c>
      <c r="BM111" s="504">
        <v>0</v>
      </c>
      <c r="BN111" s="504">
        <v>0</v>
      </c>
      <c r="BO111" s="504">
        <v>0</v>
      </c>
      <c r="BP111" s="504">
        <v>0</v>
      </c>
      <c r="BQ111" s="504">
        <v>0</v>
      </c>
      <c r="BR111" s="504">
        <v>0</v>
      </c>
      <c r="BS111" s="504">
        <v>0</v>
      </c>
      <c r="BT111" s="504">
        <v>0</v>
      </c>
      <c r="BU111" s="504">
        <v>0</v>
      </c>
      <c r="BV111" s="504">
        <v>0</v>
      </c>
      <c r="BW111" s="504">
        <v>0</v>
      </c>
      <c r="BX111" s="504">
        <v>0</v>
      </c>
      <c r="BY111" s="504">
        <v>0</v>
      </c>
      <c r="BZ111" s="504">
        <v>0</v>
      </c>
      <c r="CA111" s="504">
        <v>0</v>
      </c>
      <c r="CB111" s="504">
        <v>0</v>
      </c>
      <c r="CC111" s="504">
        <v>0</v>
      </c>
      <c r="CD111" s="504">
        <v>0</v>
      </c>
      <c r="CE111" s="504">
        <v>0</v>
      </c>
      <c r="CF111" s="504">
        <v>0</v>
      </c>
      <c r="CG111" s="504">
        <v>0</v>
      </c>
      <c r="CH111" s="504">
        <v>0</v>
      </c>
      <c r="CI111" s="504">
        <v>0</v>
      </c>
      <c r="CJ111" s="504">
        <v>0</v>
      </c>
      <c r="CK111" s="504">
        <v>0</v>
      </c>
      <c r="CL111" s="504">
        <v>0</v>
      </c>
      <c r="CM111" s="504">
        <v>0</v>
      </c>
      <c r="CN111" s="504">
        <v>0</v>
      </c>
      <c r="CO111" s="504">
        <v>0</v>
      </c>
      <c r="CP111" s="504">
        <v>0</v>
      </c>
      <c r="CQ111" s="504">
        <v>0</v>
      </c>
      <c r="CR111" s="504">
        <v>0</v>
      </c>
      <c r="CS111" s="504">
        <v>0</v>
      </c>
      <c r="CT111" s="504">
        <v>0</v>
      </c>
      <c r="CU111" s="504">
        <v>0</v>
      </c>
      <c r="CV111" s="504">
        <v>0</v>
      </c>
      <c r="CW111" s="504">
        <v>0</v>
      </c>
      <c r="CX111" s="504">
        <v>0</v>
      </c>
      <c r="CY111" s="504">
        <v>0</v>
      </c>
      <c r="CZ111" s="504">
        <v>0</v>
      </c>
      <c r="DA111" s="504">
        <v>0</v>
      </c>
      <c r="DB111" s="504">
        <v>0</v>
      </c>
      <c r="DC111" s="504">
        <v>0</v>
      </c>
      <c r="DD111" s="504">
        <v>0</v>
      </c>
      <c r="DE111" s="504">
        <v>0</v>
      </c>
      <c r="DF111" s="504">
        <v>0</v>
      </c>
      <c r="DG111" s="504">
        <v>0</v>
      </c>
      <c r="DH111" s="504">
        <v>0</v>
      </c>
      <c r="DI111" s="504">
        <v>0</v>
      </c>
      <c r="DJ111" s="504">
        <v>0</v>
      </c>
      <c r="DK111" s="504">
        <v>0</v>
      </c>
      <c r="DL111" s="504">
        <v>0</v>
      </c>
      <c r="DM111" s="504">
        <v>0</v>
      </c>
      <c r="DN111" s="504">
        <v>0</v>
      </c>
      <c r="DO111" s="504">
        <v>0</v>
      </c>
      <c r="DP111" s="504">
        <v>0</v>
      </c>
      <c r="DQ111" s="504">
        <v>0</v>
      </c>
      <c r="DR111" s="504">
        <v>0</v>
      </c>
      <c r="DS111" s="504">
        <v>0</v>
      </c>
      <c r="DT111" s="504">
        <v>0</v>
      </c>
      <c r="DU111" s="504">
        <v>0</v>
      </c>
      <c r="DV111" s="504">
        <v>0</v>
      </c>
      <c r="DW111" s="504">
        <v>0</v>
      </c>
      <c r="DX111" s="504">
        <v>0</v>
      </c>
      <c r="DY111" s="504">
        <v>0</v>
      </c>
      <c r="DZ111" s="504">
        <v>0</v>
      </c>
      <c r="EA111" s="504">
        <v>0</v>
      </c>
      <c r="EB111" s="504">
        <v>0</v>
      </c>
      <c r="EC111" s="504">
        <v>0</v>
      </c>
      <c r="ED111" s="504">
        <v>0</v>
      </c>
      <c r="EE111" s="504">
        <v>0</v>
      </c>
      <c r="EF111" s="504">
        <v>0</v>
      </c>
      <c r="EG111" s="504">
        <v>0</v>
      </c>
      <c r="EH111" s="504">
        <v>0</v>
      </c>
      <c r="EI111" s="504">
        <v>0</v>
      </c>
      <c r="EJ111" s="504">
        <v>0</v>
      </c>
      <c r="EK111" s="504">
        <v>0</v>
      </c>
      <c r="EL111" s="504">
        <v>0</v>
      </c>
      <c r="EM111" s="504">
        <v>0</v>
      </c>
      <c r="EN111" s="504">
        <v>0</v>
      </c>
      <c r="EO111" s="504">
        <v>0</v>
      </c>
      <c r="EP111" s="504">
        <v>0</v>
      </c>
      <c r="EQ111" s="504">
        <v>0</v>
      </c>
      <c r="ER111" s="504">
        <v>0</v>
      </c>
      <c r="ES111" s="504">
        <v>0</v>
      </c>
      <c r="ET111" s="504">
        <v>0</v>
      </c>
      <c r="EU111" s="504">
        <v>0</v>
      </c>
      <c r="EV111" s="504">
        <v>0</v>
      </c>
      <c r="EW111" s="504">
        <v>0</v>
      </c>
      <c r="EX111" s="504">
        <v>0</v>
      </c>
      <c r="EY111" s="504">
        <v>0</v>
      </c>
      <c r="EZ111" s="504">
        <v>0</v>
      </c>
      <c r="FA111" s="504">
        <v>0</v>
      </c>
      <c r="FB111" s="504">
        <v>0</v>
      </c>
      <c r="FC111" s="504">
        <v>0</v>
      </c>
      <c r="FD111" s="504">
        <v>0</v>
      </c>
      <c r="FE111" s="504">
        <v>0</v>
      </c>
      <c r="FF111" s="504">
        <v>0</v>
      </c>
      <c r="FG111" s="504">
        <v>0</v>
      </c>
      <c r="FH111" s="504">
        <v>0</v>
      </c>
      <c r="FI111" s="504">
        <v>0</v>
      </c>
      <c r="FJ111" s="504">
        <v>0</v>
      </c>
      <c r="FK111" s="504">
        <v>0</v>
      </c>
      <c r="FL111" s="504">
        <v>0</v>
      </c>
      <c r="FM111" s="504">
        <v>0</v>
      </c>
      <c r="FN111" s="504">
        <v>0</v>
      </c>
      <c r="FO111" s="504">
        <v>0</v>
      </c>
      <c r="FP111" s="504">
        <v>0</v>
      </c>
      <c r="FQ111" s="504">
        <v>0</v>
      </c>
      <c r="FR111" s="504">
        <v>0</v>
      </c>
      <c r="FS111" s="504">
        <v>0</v>
      </c>
      <c r="FT111" s="504">
        <v>0</v>
      </c>
      <c r="FU111" s="504">
        <v>0</v>
      </c>
      <c r="FV111" s="504">
        <v>0</v>
      </c>
      <c r="FW111" s="504">
        <v>0</v>
      </c>
      <c r="FX111" s="504">
        <v>0</v>
      </c>
      <c r="FY111" s="504">
        <v>0</v>
      </c>
      <c r="FZ111" s="504">
        <v>0</v>
      </c>
      <c r="GA111" s="504">
        <v>0</v>
      </c>
      <c r="GB111" s="504">
        <v>0</v>
      </c>
      <c r="GC111" s="504">
        <v>0</v>
      </c>
      <c r="GD111" s="504">
        <v>0</v>
      </c>
      <c r="GE111" s="504">
        <v>0</v>
      </c>
      <c r="GF111" s="504">
        <v>0</v>
      </c>
      <c r="GG111" s="504">
        <v>0</v>
      </c>
      <c r="GH111" s="504">
        <v>0</v>
      </c>
      <c r="GI111" s="504">
        <v>0</v>
      </c>
      <c r="GJ111" s="504">
        <v>0</v>
      </c>
      <c r="GK111" s="504">
        <v>0</v>
      </c>
      <c r="GL111" s="504">
        <v>0</v>
      </c>
      <c r="GM111" s="504">
        <v>0</v>
      </c>
      <c r="GN111" s="504">
        <v>0</v>
      </c>
      <c r="GO111" s="504">
        <v>0</v>
      </c>
      <c r="GP111" s="504">
        <v>0</v>
      </c>
      <c r="GQ111" s="504">
        <v>0</v>
      </c>
      <c r="GR111" s="504">
        <v>0</v>
      </c>
      <c r="GS111" s="504">
        <v>0</v>
      </c>
      <c r="GT111" s="504">
        <v>0</v>
      </c>
      <c r="GU111" s="504">
        <v>0</v>
      </c>
      <c r="GV111" s="504">
        <v>0</v>
      </c>
      <c r="GW111" s="504">
        <v>0</v>
      </c>
      <c r="GX111" s="504">
        <v>0</v>
      </c>
      <c r="GY111" s="504">
        <v>0</v>
      </c>
      <c r="GZ111" s="504">
        <v>0</v>
      </c>
      <c r="HA111" s="504">
        <v>0</v>
      </c>
      <c r="HB111" s="504">
        <v>0</v>
      </c>
      <c r="HC111" s="504">
        <v>0</v>
      </c>
      <c r="HD111" s="504">
        <v>0</v>
      </c>
      <c r="HE111" s="504">
        <v>0</v>
      </c>
      <c r="HF111" s="504">
        <v>0</v>
      </c>
      <c r="HG111" s="504">
        <v>0</v>
      </c>
      <c r="HH111" s="504">
        <v>0</v>
      </c>
      <c r="HI111" s="504">
        <v>0</v>
      </c>
      <c r="HJ111" s="504">
        <v>0</v>
      </c>
      <c r="HK111" s="504">
        <v>0</v>
      </c>
      <c r="HL111" s="504">
        <v>0</v>
      </c>
      <c r="HM111" s="504">
        <v>0</v>
      </c>
      <c r="HN111" s="504">
        <v>0</v>
      </c>
      <c r="HO111" s="504">
        <v>0</v>
      </c>
      <c r="HP111" s="504">
        <v>0</v>
      </c>
      <c r="HQ111" s="504">
        <v>0</v>
      </c>
      <c r="HR111" s="504">
        <v>0</v>
      </c>
      <c r="HS111" s="504">
        <v>0</v>
      </c>
      <c r="HT111" s="504">
        <v>0</v>
      </c>
      <c r="HU111" s="504">
        <v>0</v>
      </c>
      <c r="HV111" s="504">
        <v>0</v>
      </c>
      <c r="HW111" s="504">
        <v>0</v>
      </c>
      <c r="HX111" s="504">
        <v>0</v>
      </c>
      <c r="HY111" s="504">
        <v>0</v>
      </c>
      <c r="HZ111" s="504">
        <v>0</v>
      </c>
      <c r="IA111" s="504">
        <v>0</v>
      </c>
      <c r="IB111" s="504">
        <v>0</v>
      </c>
      <c r="IC111" s="504">
        <v>0</v>
      </c>
      <c r="ID111" s="504">
        <v>0</v>
      </c>
      <c r="IE111" s="504">
        <v>0</v>
      </c>
      <c r="IF111" s="504">
        <v>0</v>
      </c>
      <c r="IG111" s="504">
        <v>0</v>
      </c>
      <c r="IH111" s="504">
        <v>0</v>
      </c>
      <c r="II111" s="504">
        <v>0</v>
      </c>
      <c r="IJ111" s="504">
        <v>0</v>
      </c>
      <c r="IK111" s="504">
        <v>0</v>
      </c>
      <c r="IL111" s="504">
        <v>0</v>
      </c>
      <c r="IM111" s="504">
        <v>0</v>
      </c>
      <c r="IN111" s="504">
        <v>0</v>
      </c>
      <c r="IO111" s="504">
        <v>0</v>
      </c>
      <c r="IP111" s="504">
        <v>0</v>
      </c>
      <c r="IQ111" s="504">
        <v>0</v>
      </c>
      <c r="IR111" s="504">
        <v>0</v>
      </c>
      <c r="IS111" s="504">
        <v>0</v>
      </c>
      <c r="IT111" s="504">
        <v>0</v>
      </c>
      <c r="IU111" s="504">
        <v>0</v>
      </c>
      <c r="IV111" s="504">
        <v>0</v>
      </c>
      <c r="IW111" s="504">
        <v>0</v>
      </c>
      <c r="IX111" s="504">
        <v>0</v>
      </c>
      <c r="IY111" s="504">
        <v>0</v>
      </c>
      <c r="IZ111" s="504">
        <v>0</v>
      </c>
      <c r="JA111" s="504">
        <v>0</v>
      </c>
      <c r="JB111" s="504">
        <v>0</v>
      </c>
      <c r="JC111" s="504">
        <v>0</v>
      </c>
      <c r="JD111" s="504">
        <v>0</v>
      </c>
      <c r="JE111" s="504">
        <v>0</v>
      </c>
      <c r="JF111" s="504">
        <v>0</v>
      </c>
      <c r="JG111" s="504">
        <v>0</v>
      </c>
      <c r="JH111" s="504">
        <v>0</v>
      </c>
      <c r="JI111" s="504">
        <v>0</v>
      </c>
      <c r="JJ111" s="504">
        <v>0</v>
      </c>
      <c r="JK111" s="504">
        <v>0</v>
      </c>
      <c r="JL111" s="504">
        <v>0</v>
      </c>
      <c r="JM111" s="504">
        <v>0</v>
      </c>
      <c r="JN111" s="504">
        <v>0</v>
      </c>
      <c r="JO111" s="504">
        <v>0</v>
      </c>
      <c r="JP111" s="504">
        <v>0</v>
      </c>
      <c r="JQ111" s="504">
        <v>0</v>
      </c>
      <c r="JR111" s="504">
        <v>0</v>
      </c>
      <c r="JS111" s="504">
        <v>0</v>
      </c>
      <c r="JT111" s="504">
        <v>0</v>
      </c>
      <c r="JU111" s="504">
        <v>0</v>
      </c>
      <c r="JV111" s="504">
        <v>0</v>
      </c>
      <c r="JW111" s="504">
        <v>0</v>
      </c>
      <c r="JX111" s="504">
        <v>0</v>
      </c>
      <c r="JY111" s="504">
        <v>0</v>
      </c>
      <c r="JZ111" s="504">
        <v>0</v>
      </c>
      <c r="KA111" s="504">
        <v>0</v>
      </c>
      <c r="KB111" s="504">
        <v>0</v>
      </c>
      <c r="KC111" s="504">
        <v>0</v>
      </c>
      <c r="KD111" s="504">
        <v>0</v>
      </c>
      <c r="KE111" s="504">
        <v>0</v>
      </c>
      <c r="KF111" s="504">
        <v>0</v>
      </c>
      <c r="KG111" s="504">
        <v>0</v>
      </c>
      <c r="KH111" s="504">
        <v>0</v>
      </c>
      <c r="KI111" s="504">
        <v>0</v>
      </c>
      <c r="KJ111" s="504">
        <v>0</v>
      </c>
      <c r="KK111" s="504">
        <v>0</v>
      </c>
      <c r="KL111" s="504">
        <v>0</v>
      </c>
      <c r="KM111" s="504">
        <v>0</v>
      </c>
      <c r="KN111" s="504">
        <v>0</v>
      </c>
      <c r="KO111" s="504">
        <v>0</v>
      </c>
      <c r="KP111" s="504">
        <v>0</v>
      </c>
      <c r="KQ111" s="504">
        <v>0</v>
      </c>
      <c r="KR111" s="504">
        <v>0</v>
      </c>
      <c r="KS111" s="504">
        <v>0</v>
      </c>
      <c r="KT111" s="504">
        <v>0</v>
      </c>
      <c r="KU111" s="504">
        <v>0</v>
      </c>
      <c r="KV111" s="504">
        <v>0</v>
      </c>
      <c r="KW111" s="504">
        <v>0</v>
      </c>
      <c r="KX111" s="504">
        <v>0</v>
      </c>
      <c r="KY111" s="504">
        <v>0</v>
      </c>
      <c r="KZ111" s="504">
        <v>0</v>
      </c>
      <c r="LA111" s="504">
        <v>0</v>
      </c>
      <c r="LB111" s="504">
        <v>0</v>
      </c>
      <c r="LC111" s="504">
        <v>0</v>
      </c>
      <c r="LD111" s="504">
        <v>0</v>
      </c>
      <c r="LE111" s="504">
        <v>0</v>
      </c>
      <c r="LF111" s="504">
        <v>0</v>
      </c>
      <c r="LG111" s="504">
        <v>0</v>
      </c>
      <c r="LH111" s="504">
        <v>0</v>
      </c>
      <c r="LI111" s="504">
        <v>0</v>
      </c>
      <c r="LJ111" s="504">
        <v>0</v>
      </c>
      <c r="LK111" s="504">
        <v>0</v>
      </c>
      <c r="LL111" s="504">
        <v>0</v>
      </c>
      <c r="LM111" s="504">
        <v>0</v>
      </c>
      <c r="LN111" s="504">
        <v>0</v>
      </c>
      <c r="LO111" s="504">
        <v>0</v>
      </c>
      <c r="LP111" s="504">
        <v>0</v>
      </c>
      <c r="LQ111" s="504">
        <v>0</v>
      </c>
      <c r="LR111" s="504">
        <v>0</v>
      </c>
      <c r="LS111" s="504">
        <v>0</v>
      </c>
      <c r="LT111" s="504">
        <v>0</v>
      </c>
      <c r="LU111" s="504">
        <v>0</v>
      </c>
      <c r="LV111" s="504">
        <v>0</v>
      </c>
      <c r="LW111" s="504">
        <v>0</v>
      </c>
      <c r="LX111" s="504">
        <v>0</v>
      </c>
      <c r="LY111" s="504">
        <v>0</v>
      </c>
      <c r="LZ111" s="504">
        <v>0</v>
      </c>
      <c r="MA111" s="504">
        <v>0</v>
      </c>
      <c r="MB111" s="504">
        <v>0</v>
      </c>
      <c r="MC111" s="504">
        <v>0</v>
      </c>
      <c r="MD111" s="504">
        <v>0</v>
      </c>
      <c r="ME111" s="504">
        <v>0</v>
      </c>
      <c r="MF111" s="504">
        <v>0</v>
      </c>
      <c r="MG111" s="504">
        <v>0</v>
      </c>
      <c r="MH111" s="504">
        <v>0</v>
      </c>
      <c r="MI111" s="504">
        <v>0</v>
      </c>
      <c r="MJ111" s="504">
        <v>0</v>
      </c>
      <c r="MK111" s="504">
        <v>0</v>
      </c>
      <c r="ML111" s="504">
        <v>0</v>
      </c>
      <c r="MM111" s="504">
        <v>0</v>
      </c>
      <c r="MN111" s="504">
        <v>0</v>
      </c>
      <c r="MO111" s="504">
        <v>0</v>
      </c>
      <c r="MP111" s="504">
        <v>0</v>
      </c>
      <c r="MQ111" s="504">
        <v>0</v>
      </c>
      <c r="MR111" s="504">
        <v>0</v>
      </c>
      <c r="MS111" s="504">
        <v>0</v>
      </c>
      <c r="MT111" s="504">
        <v>0</v>
      </c>
      <c r="MU111" s="504">
        <v>0</v>
      </c>
      <c r="MV111" s="504">
        <v>0</v>
      </c>
      <c r="MW111" s="504">
        <v>0</v>
      </c>
      <c r="MX111" s="504">
        <v>0</v>
      </c>
      <c r="MY111" s="504">
        <v>0</v>
      </c>
      <c r="MZ111" s="504">
        <v>0</v>
      </c>
      <c r="NA111" s="504">
        <v>0</v>
      </c>
      <c r="NB111" s="504">
        <v>0</v>
      </c>
      <c r="NC111" s="504">
        <v>0</v>
      </c>
      <c r="ND111" s="504">
        <v>0</v>
      </c>
      <c r="NE111" s="504">
        <v>0</v>
      </c>
      <c r="NF111" s="504">
        <v>0</v>
      </c>
      <c r="NG111" s="504">
        <v>0</v>
      </c>
      <c r="NH111" s="504">
        <v>0</v>
      </c>
      <c r="NI111" s="504">
        <v>0</v>
      </c>
      <c r="NJ111" s="504">
        <v>0</v>
      </c>
      <c r="NK111" s="504">
        <v>0</v>
      </c>
      <c r="NL111" s="504">
        <v>0</v>
      </c>
      <c r="NM111" s="504">
        <v>0</v>
      </c>
      <c r="NN111" s="504">
        <v>0</v>
      </c>
      <c r="NO111" s="504">
        <v>0</v>
      </c>
      <c r="NP111" s="504">
        <v>0</v>
      </c>
      <c r="NQ111" s="504">
        <v>0</v>
      </c>
      <c r="NR111" s="504">
        <v>0</v>
      </c>
      <c r="NS111" s="504">
        <v>0</v>
      </c>
      <c r="NT111" s="504">
        <v>0</v>
      </c>
      <c r="NU111" s="504">
        <v>0</v>
      </c>
      <c r="NV111" s="504">
        <v>0</v>
      </c>
      <c r="NW111" s="504">
        <v>0</v>
      </c>
      <c r="NX111" s="504">
        <v>0</v>
      </c>
      <c r="NY111" s="504">
        <v>0</v>
      </c>
      <c r="NZ111" s="504">
        <v>0</v>
      </c>
      <c r="OA111" s="504">
        <v>0</v>
      </c>
      <c r="OB111" s="504">
        <v>0</v>
      </c>
      <c r="OC111" s="504">
        <v>0</v>
      </c>
      <c r="OD111" s="504">
        <v>0</v>
      </c>
      <c r="OE111" s="504">
        <v>0</v>
      </c>
      <c r="OF111" s="504">
        <v>0</v>
      </c>
      <c r="OG111" s="504">
        <v>0</v>
      </c>
      <c r="OH111" s="504">
        <v>0</v>
      </c>
      <c r="OI111" s="504">
        <v>0</v>
      </c>
      <c r="OJ111" s="504">
        <v>0</v>
      </c>
      <c r="OK111" s="504">
        <v>0</v>
      </c>
      <c r="OL111" s="504">
        <v>0</v>
      </c>
      <c r="OM111" s="504">
        <v>0</v>
      </c>
      <c r="ON111" s="494"/>
    </row>
    <row r="112" spans="1:404" ht="18.75" customHeight="1" x14ac:dyDescent="0.4">
      <c r="A112" s="511" t="s">
        <v>382</v>
      </c>
      <c r="B112" s="512">
        <v>186</v>
      </c>
      <c r="C112" s="511" t="s">
        <v>60</v>
      </c>
      <c r="D112" s="501">
        <v>26.27</v>
      </c>
      <c r="F112" s="501">
        <v>26.26</v>
      </c>
      <c r="H112" s="501">
        <v>26.26</v>
      </c>
      <c r="J112" s="501">
        <v>26.26</v>
      </c>
      <c r="V112" s="501"/>
      <c r="W112" s="503"/>
      <c r="X112" s="501"/>
      <c r="Y112" s="503"/>
      <c r="Z112" s="501"/>
      <c r="AA112" s="503"/>
      <c r="AB112" s="495"/>
      <c r="AC112" s="504">
        <v>0</v>
      </c>
      <c r="AD112" s="504">
        <v>0</v>
      </c>
      <c r="AE112" s="504">
        <v>0</v>
      </c>
      <c r="AF112" s="504">
        <v>0</v>
      </c>
      <c r="AG112" s="504">
        <v>0</v>
      </c>
      <c r="AH112" s="504">
        <v>0</v>
      </c>
      <c r="AI112" s="504">
        <v>0</v>
      </c>
      <c r="AJ112" s="504">
        <v>0</v>
      </c>
      <c r="AK112" s="504">
        <v>0</v>
      </c>
      <c r="AL112" s="504">
        <v>0</v>
      </c>
      <c r="AM112" s="504">
        <v>0</v>
      </c>
      <c r="AN112" s="504">
        <v>0</v>
      </c>
      <c r="AO112" s="504">
        <v>0</v>
      </c>
      <c r="AP112" s="504">
        <v>0</v>
      </c>
      <c r="AQ112" s="504">
        <v>0</v>
      </c>
      <c r="AR112" s="504">
        <v>0</v>
      </c>
      <c r="AS112" s="504">
        <v>0</v>
      </c>
      <c r="AT112" s="504">
        <v>0</v>
      </c>
      <c r="AU112" s="504">
        <v>0</v>
      </c>
      <c r="AV112" s="504">
        <v>0</v>
      </c>
      <c r="AW112" s="504">
        <v>0</v>
      </c>
      <c r="AX112" s="504">
        <v>0</v>
      </c>
      <c r="AY112" s="504">
        <v>0</v>
      </c>
      <c r="AZ112" s="504">
        <v>0</v>
      </c>
      <c r="BA112" s="504">
        <v>0</v>
      </c>
      <c r="BB112" s="504">
        <v>0</v>
      </c>
      <c r="BC112" s="504">
        <v>0</v>
      </c>
      <c r="BD112" s="504">
        <v>0</v>
      </c>
      <c r="BE112" s="504">
        <v>0</v>
      </c>
      <c r="BF112" s="504">
        <v>0</v>
      </c>
      <c r="BG112" s="504">
        <v>0</v>
      </c>
      <c r="BH112" s="504">
        <v>0</v>
      </c>
      <c r="BI112" s="504">
        <v>0</v>
      </c>
      <c r="BJ112" s="504">
        <v>0</v>
      </c>
      <c r="BK112" s="504">
        <v>0</v>
      </c>
      <c r="BL112" s="504">
        <v>0</v>
      </c>
      <c r="BM112" s="504">
        <v>0</v>
      </c>
      <c r="BN112" s="504">
        <v>0</v>
      </c>
      <c r="BO112" s="504">
        <v>0</v>
      </c>
      <c r="BP112" s="504">
        <v>0</v>
      </c>
      <c r="BQ112" s="504">
        <v>0</v>
      </c>
      <c r="BR112" s="504">
        <v>0</v>
      </c>
      <c r="BS112" s="504">
        <v>0</v>
      </c>
      <c r="BT112" s="504">
        <v>0</v>
      </c>
      <c r="BU112" s="504">
        <v>0</v>
      </c>
      <c r="BV112" s="504">
        <v>0</v>
      </c>
      <c r="BW112" s="504">
        <v>0</v>
      </c>
      <c r="BX112" s="504">
        <v>0</v>
      </c>
      <c r="BY112" s="504">
        <v>0</v>
      </c>
      <c r="BZ112" s="504">
        <v>0</v>
      </c>
      <c r="CA112" s="504">
        <v>0</v>
      </c>
      <c r="CB112" s="504">
        <v>0</v>
      </c>
      <c r="CC112" s="504">
        <v>0</v>
      </c>
      <c r="CD112" s="504">
        <v>0</v>
      </c>
      <c r="CE112" s="504">
        <v>0</v>
      </c>
      <c r="CF112" s="504">
        <v>0</v>
      </c>
      <c r="CG112" s="504">
        <v>0</v>
      </c>
      <c r="CH112" s="504">
        <v>0</v>
      </c>
      <c r="CI112" s="504">
        <v>0</v>
      </c>
      <c r="CJ112" s="504">
        <v>0</v>
      </c>
      <c r="CK112" s="504">
        <v>0</v>
      </c>
      <c r="CL112" s="504">
        <v>0</v>
      </c>
      <c r="CM112" s="504">
        <v>0</v>
      </c>
      <c r="CN112" s="504">
        <v>0</v>
      </c>
      <c r="CO112" s="504">
        <v>0</v>
      </c>
      <c r="CP112" s="504">
        <v>0</v>
      </c>
      <c r="CQ112" s="504">
        <v>0</v>
      </c>
      <c r="CR112" s="504">
        <v>0</v>
      </c>
      <c r="CS112" s="504">
        <v>0</v>
      </c>
      <c r="CT112" s="504">
        <v>0</v>
      </c>
      <c r="CU112" s="504">
        <v>0</v>
      </c>
      <c r="CV112" s="504">
        <v>0</v>
      </c>
      <c r="CW112" s="504">
        <v>0</v>
      </c>
      <c r="CX112" s="504">
        <v>0</v>
      </c>
      <c r="CY112" s="504">
        <v>0</v>
      </c>
      <c r="CZ112" s="504">
        <v>0</v>
      </c>
      <c r="DA112" s="504">
        <v>0</v>
      </c>
      <c r="DB112" s="504">
        <v>0</v>
      </c>
      <c r="DC112" s="504">
        <v>0</v>
      </c>
      <c r="DD112" s="504">
        <v>0</v>
      </c>
      <c r="DE112" s="504">
        <v>0</v>
      </c>
      <c r="DF112" s="504">
        <v>0</v>
      </c>
      <c r="DG112" s="504">
        <v>0</v>
      </c>
      <c r="DH112" s="504">
        <v>0</v>
      </c>
      <c r="DI112" s="504">
        <v>0</v>
      </c>
      <c r="DJ112" s="504">
        <v>0</v>
      </c>
      <c r="DK112" s="504">
        <v>0</v>
      </c>
      <c r="DL112" s="504">
        <v>0</v>
      </c>
      <c r="DM112" s="504">
        <v>0</v>
      </c>
      <c r="DN112" s="504">
        <v>0</v>
      </c>
      <c r="DO112" s="504">
        <v>0</v>
      </c>
      <c r="DP112" s="504">
        <v>0</v>
      </c>
      <c r="DQ112" s="504">
        <v>0</v>
      </c>
      <c r="DR112" s="504">
        <v>0</v>
      </c>
      <c r="DS112" s="504">
        <v>0</v>
      </c>
      <c r="DT112" s="504">
        <v>0</v>
      </c>
      <c r="DU112" s="504">
        <v>0</v>
      </c>
      <c r="DV112" s="504">
        <v>0</v>
      </c>
      <c r="DW112" s="504">
        <v>0</v>
      </c>
      <c r="DX112" s="504">
        <v>0</v>
      </c>
      <c r="DY112" s="504">
        <v>0</v>
      </c>
      <c r="DZ112" s="504">
        <v>0</v>
      </c>
      <c r="EA112" s="504">
        <v>0</v>
      </c>
      <c r="EB112" s="504">
        <v>0</v>
      </c>
      <c r="EC112" s="504">
        <v>0</v>
      </c>
      <c r="ED112" s="504">
        <v>0</v>
      </c>
      <c r="EE112" s="504">
        <v>0</v>
      </c>
      <c r="EF112" s="504">
        <v>0</v>
      </c>
      <c r="EG112" s="504">
        <v>0</v>
      </c>
      <c r="EH112" s="504">
        <v>0</v>
      </c>
      <c r="EI112" s="504">
        <v>0</v>
      </c>
      <c r="EJ112" s="504">
        <v>0</v>
      </c>
      <c r="EK112" s="504">
        <v>0</v>
      </c>
      <c r="EL112" s="504">
        <v>0</v>
      </c>
      <c r="EM112" s="504">
        <v>0</v>
      </c>
      <c r="EN112" s="504">
        <v>0</v>
      </c>
      <c r="EO112" s="504">
        <v>0</v>
      </c>
      <c r="EP112" s="504">
        <v>0</v>
      </c>
      <c r="EQ112" s="504">
        <v>0</v>
      </c>
      <c r="ER112" s="504">
        <v>0</v>
      </c>
      <c r="ES112" s="504">
        <v>0</v>
      </c>
      <c r="ET112" s="504">
        <v>0</v>
      </c>
      <c r="EU112" s="504">
        <v>0</v>
      </c>
      <c r="EV112" s="504">
        <v>0</v>
      </c>
      <c r="EW112" s="504">
        <v>0</v>
      </c>
      <c r="EX112" s="504">
        <v>0</v>
      </c>
      <c r="EY112" s="504">
        <v>0</v>
      </c>
      <c r="EZ112" s="504">
        <v>0</v>
      </c>
      <c r="FA112" s="504">
        <v>0</v>
      </c>
      <c r="FB112" s="504">
        <v>0</v>
      </c>
      <c r="FC112" s="504">
        <v>0</v>
      </c>
      <c r="FD112" s="504">
        <v>0</v>
      </c>
      <c r="FE112" s="504">
        <v>0</v>
      </c>
      <c r="FF112" s="504">
        <v>0</v>
      </c>
      <c r="FG112" s="504">
        <v>0</v>
      </c>
      <c r="FH112" s="504">
        <v>0</v>
      </c>
      <c r="FI112" s="504">
        <v>0</v>
      </c>
      <c r="FJ112" s="504">
        <v>0</v>
      </c>
      <c r="FK112" s="504">
        <v>0</v>
      </c>
      <c r="FL112" s="504">
        <v>0</v>
      </c>
      <c r="FM112" s="504">
        <v>0</v>
      </c>
      <c r="FN112" s="504">
        <v>0</v>
      </c>
      <c r="FO112" s="504">
        <v>0</v>
      </c>
      <c r="FP112" s="504">
        <v>0</v>
      </c>
      <c r="FQ112" s="504">
        <v>0</v>
      </c>
      <c r="FR112" s="504">
        <v>0</v>
      </c>
      <c r="FS112" s="504">
        <v>0</v>
      </c>
      <c r="FT112" s="504">
        <v>0</v>
      </c>
      <c r="FU112" s="504">
        <v>0</v>
      </c>
      <c r="FV112" s="504">
        <v>0</v>
      </c>
      <c r="FW112" s="504">
        <v>0</v>
      </c>
      <c r="FX112" s="504">
        <v>0</v>
      </c>
      <c r="FY112" s="504">
        <v>0</v>
      </c>
      <c r="FZ112" s="504">
        <v>0</v>
      </c>
      <c r="GA112" s="504">
        <v>0</v>
      </c>
      <c r="GB112" s="504">
        <v>0</v>
      </c>
      <c r="GC112" s="504">
        <v>0</v>
      </c>
      <c r="GD112" s="504">
        <v>0</v>
      </c>
      <c r="GE112" s="504">
        <v>0</v>
      </c>
      <c r="GF112" s="504">
        <v>0</v>
      </c>
      <c r="GG112" s="504">
        <v>0</v>
      </c>
      <c r="GH112" s="504">
        <v>0</v>
      </c>
      <c r="GI112" s="504">
        <v>0</v>
      </c>
      <c r="GJ112" s="504">
        <v>0</v>
      </c>
      <c r="GK112" s="504">
        <v>0</v>
      </c>
      <c r="GL112" s="504">
        <v>0</v>
      </c>
      <c r="GM112" s="504">
        <v>0</v>
      </c>
      <c r="GN112" s="504">
        <v>0</v>
      </c>
      <c r="GO112" s="504">
        <v>0</v>
      </c>
      <c r="GP112" s="504">
        <v>0</v>
      </c>
      <c r="GQ112" s="504">
        <v>0</v>
      </c>
      <c r="GR112" s="504">
        <v>0</v>
      </c>
      <c r="GS112" s="504">
        <v>0</v>
      </c>
      <c r="GT112" s="504">
        <v>0</v>
      </c>
      <c r="GU112" s="504">
        <v>0</v>
      </c>
      <c r="GV112" s="504">
        <v>0</v>
      </c>
      <c r="GW112" s="504">
        <v>0</v>
      </c>
      <c r="GX112" s="504">
        <v>0</v>
      </c>
      <c r="GY112" s="504">
        <v>0</v>
      </c>
      <c r="GZ112" s="504">
        <v>0</v>
      </c>
      <c r="HA112" s="504">
        <v>0</v>
      </c>
      <c r="HB112" s="504">
        <v>0</v>
      </c>
      <c r="HC112" s="504">
        <v>0</v>
      </c>
      <c r="HD112" s="504">
        <v>0</v>
      </c>
      <c r="HE112" s="504">
        <v>0</v>
      </c>
      <c r="HF112" s="504">
        <v>0</v>
      </c>
      <c r="HG112" s="504">
        <v>0</v>
      </c>
      <c r="HH112" s="504">
        <v>0</v>
      </c>
      <c r="HI112" s="504">
        <v>0</v>
      </c>
      <c r="HJ112" s="504">
        <v>0</v>
      </c>
      <c r="HK112" s="504">
        <v>0</v>
      </c>
      <c r="HL112" s="504">
        <v>0</v>
      </c>
      <c r="HM112" s="504">
        <v>0</v>
      </c>
      <c r="HN112" s="504">
        <v>0</v>
      </c>
      <c r="HO112" s="504">
        <v>0</v>
      </c>
      <c r="HP112" s="504">
        <v>0</v>
      </c>
      <c r="HQ112" s="504">
        <v>0</v>
      </c>
      <c r="HR112" s="504">
        <v>0</v>
      </c>
      <c r="HS112" s="504">
        <v>0</v>
      </c>
      <c r="HT112" s="504">
        <v>0</v>
      </c>
      <c r="HU112" s="504">
        <v>0</v>
      </c>
      <c r="HV112" s="504">
        <v>0</v>
      </c>
      <c r="HW112" s="504">
        <v>0</v>
      </c>
      <c r="HX112" s="504">
        <v>0</v>
      </c>
      <c r="HY112" s="504">
        <v>0</v>
      </c>
      <c r="HZ112" s="504">
        <v>0</v>
      </c>
      <c r="IA112" s="504">
        <v>0</v>
      </c>
      <c r="IB112" s="504">
        <v>0</v>
      </c>
      <c r="IC112" s="504">
        <v>0</v>
      </c>
      <c r="ID112" s="504">
        <v>0</v>
      </c>
      <c r="IE112" s="504">
        <v>0</v>
      </c>
      <c r="IF112" s="504">
        <v>0</v>
      </c>
      <c r="IG112" s="504">
        <v>0</v>
      </c>
      <c r="IH112" s="504">
        <v>0</v>
      </c>
      <c r="II112" s="504">
        <v>0</v>
      </c>
      <c r="IJ112" s="504">
        <v>0</v>
      </c>
      <c r="IK112" s="504">
        <v>0</v>
      </c>
      <c r="IL112" s="504">
        <v>0</v>
      </c>
      <c r="IM112" s="504">
        <v>0</v>
      </c>
      <c r="IN112" s="504">
        <v>0</v>
      </c>
      <c r="IO112" s="504">
        <v>0</v>
      </c>
      <c r="IP112" s="504">
        <v>0</v>
      </c>
      <c r="IQ112" s="504">
        <v>0</v>
      </c>
      <c r="IR112" s="504">
        <v>0</v>
      </c>
      <c r="IS112" s="504">
        <v>0</v>
      </c>
      <c r="IT112" s="504">
        <v>0</v>
      </c>
      <c r="IU112" s="504">
        <v>0</v>
      </c>
      <c r="IV112" s="504">
        <v>0</v>
      </c>
      <c r="IW112" s="504">
        <v>0</v>
      </c>
      <c r="IX112" s="504">
        <v>0</v>
      </c>
      <c r="IY112" s="504">
        <v>0</v>
      </c>
      <c r="IZ112" s="504">
        <v>0</v>
      </c>
      <c r="JA112" s="504">
        <v>0</v>
      </c>
      <c r="JB112" s="504">
        <v>0</v>
      </c>
      <c r="JC112" s="504">
        <v>0</v>
      </c>
      <c r="JD112" s="504">
        <v>0</v>
      </c>
      <c r="JE112" s="504">
        <v>0</v>
      </c>
      <c r="JF112" s="504">
        <v>0</v>
      </c>
      <c r="JG112" s="504">
        <v>0</v>
      </c>
      <c r="JH112" s="504">
        <v>0</v>
      </c>
      <c r="JI112" s="504">
        <v>0</v>
      </c>
      <c r="JJ112" s="504">
        <v>0</v>
      </c>
      <c r="JK112" s="504">
        <v>0</v>
      </c>
      <c r="JL112" s="504">
        <v>0</v>
      </c>
      <c r="JM112" s="504">
        <v>0</v>
      </c>
      <c r="JN112" s="504">
        <v>0</v>
      </c>
      <c r="JO112" s="504">
        <v>0</v>
      </c>
      <c r="JP112" s="504">
        <v>0</v>
      </c>
      <c r="JQ112" s="504">
        <v>0</v>
      </c>
      <c r="JR112" s="504">
        <v>0</v>
      </c>
      <c r="JS112" s="504">
        <v>0</v>
      </c>
      <c r="JT112" s="504">
        <v>0</v>
      </c>
      <c r="JU112" s="504">
        <v>0</v>
      </c>
      <c r="JV112" s="504">
        <v>0</v>
      </c>
      <c r="JW112" s="504">
        <v>0</v>
      </c>
      <c r="JX112" s="504">
        <v>0</v>
      </c>
      <c r="JY112" s="504">
        <v>0</v>
      </c>
      <c r="JZ112" s="504">
        <v>0</v>
      </c>
      <c r="KA112" s="504">
        <v>0</v>
      </c>
      <c r="KB112" s="504">
        <v>0</v>
      </c>
      <c r="KC112" s="504">
        <v>0</v>
      </c>
      <c r="KD112" s="504">
        <v>0</v>
      </c>
      <c r="KE112" s="504">
        <v>0</v>
      </c>
      <c r="KF112" s="504">
        <v>0</v>
      </c>
      <c r="KG112" s="504">
        <v>0</v>
      </c>
      <c r="KH112" s="504">
        <v>0</v>
      </c>
      <c r="KI112" s="504">
        <v>0</v>
      </c>
      <c r="KJ112" s="504">
        <v>0</v>
      </c>
      <c r="KK112" s="504">
        <v>0</v>
      </c>
      <c r="KL112" s="504">
        <v>0</v>
      </c>
      <c r="KM112" s="504">
        <v>0</v>
      </c>
      <c r="KN112" s="504">
        <v>0</v>
      </c>
      <c r="KO112" s="504">
        <v>0</v>
      </c>
      <c r="KP112" s="504">
        <v>0</v>
      </c>
      <c r="KQ112" s="504">
        <v>0</v>
      </c>
      <c r="KR112" s="504">
        <v>0</v>
      </c>
      <c r="KS112" s="504">
        <v>0</v>
      </c>
      <c r="KT112" s="504">
        <v>0</v>
      </c>
      <c r="KU112" s="504">
        <v>0</v>
      </c>
      <c r="KV112" s="504">
        <v>0</v>
      </c>
      <c r="KW112" s="504">
        <v>0</v>
      </c>
      <c r="KX112" s="504">
        <v>0</v>
      </c>
      <c r="KY112" s="504">
        <v>0</v>
      </c>
      <c r="KZ112" s="504">
        <v>0</v>
      </c>
      <c r="LA112" s="504">
        <v>0</v>
      </c>
      <c r="LB112" s="504">
        <v>0</v>
      </c>
      <c r="LC112" s="504">
        <v>0</v>
      </c>
      <c r="LD112" s="504">
        <v>0</v>
      </c>
      <c r="LE112" s="504">
        <v>0</v>
      </c>
      <c r="LF112" s="504">
        <v>0</v>
      </c>
      <c r="LG112" s="504">
        <v>0</v>
      </c>
      <c r="LH112" s="504">
        <v>0</v>
      </c>
      <c r="LI112" s="504">
        <v>0</v>
      </c>
      <c r="LJ112" s="504">
        <v>0</v>
      </c>
      <c r="LK112" s="504">
        <v>0</v>
      </c>
      <c r="LL112" s="504">
        <v>0</v>
      </c>
      <c r="LM112" s="504">
        <v>0</v>
      </c>
      <c r="LN112" s="504">
        <v>0</v>
      </c>
      <c r="LO112" s="504">
        <v>0</v>
      </c>
      <c r="LP112" s="504">
        <v>0</v>
      </c>
      <c r="LQ112" s="504">
        <v>0</v>
      </c>
      <c r="LR112" s="504">
        <v>0</v>
      </c>
      <c r="LS112" s="504">
        <v>0</v>
      </c>
      <c r="LT112" s="504">
        <v>0</v>
      </c>
      <c r="LU112" s="504">
        <v>0</v>
      </c>
      <c r="LV112" s="504">
        <v>0</v>
      </c>
      <c r="LW112" s="504">
        <v>0</v>
      </c>
      <c r="LX112" s="504">
        <v>0</v>
      </c>
      <c r="LY112" s="504">
        <v>0</v>
      </c>
      <c r="LZ112" s="504">
        <v>0</v>
      </c>
      <c r="MA112" s="504">
        <v>0</v>
      </c>
      <c r="MB112" s="504">
        <v>0</v>
      </c>
      <c r="MC112" s="504">
        <v>0</v>
      </c>
      <c r="MD112" s="504">
        <v>0</v>
      </c>
      <c r="ME112" s="504">
        <v>0</v>
      </c>
      <c r="MF112" s="504">
        <v>0</v>
      </c>
      <c r="MG112" s="504">
        <v>0</v>
      </c>
      <c r="MH112" s="504">
        <v>0</v>
      </c>
      <c r="MI112" s="504">
        <v>0</v>
      </c>
      <c r="MJ112" s="504">
        <v>0</v>
      </c>
      <c r="MK112" s="504">
        <v>0</v>
      </c>
      <c r="ML112" s="504">
        <v>0</v>
      </c>
      <c r="MM112" s="504">
        <v>0</v>
      </c>
      <c r="MN112" s="504">
        <v>0</v>
      </c>
      <c r="MO112" s="504">
        <v>0</v>
      </c>
      <c r="MP112" s="504">
        <v>0</v>
      </c>
      <c r="MQ112" s="504">
        <v>0</v>
      </c>
      <c r="MR112" s="504">
        <v>0</v>
      </c>
      <c r="MS112" s="504">
        <v>0</v>
      </c>
      <c r="MT112" s="504">
        <v>0</v>
      </c>
      <c r="MU112" s="504">
        <v>0</v>
      </c>
      <c r="MV112" s="504">
        <v>0</v>
      </c>
      <c r="MW112" s="504">
        <v>0</v>
      </c>
      <c r="MX112" s="504">
        <v>0</v>
      </c>
      <c r="MY112" s="504">
        <v>0</v>
      </c>
      <c r="MZ112" s="504">
        <v>0</v>
      </c>
      <c r="NA112" s="504">
        <v>0</v>
      </c>
      <c r="NB112" s="504">
        <v>0</v>
      </c>
      <c r="NC112" s="504">
        <v>0</v>
      </c>
      <c r="ND112" s="504">
        <v>0</v>
      </c>
      <c r="NE112" s="504">
        <v>0</v>
      </c>
      <c r="NF112" s="504">
        <v>0</v>
      </c>
      <c r="NG112" s="504">
        <v>0</v>
      </c>
      <c r="NH112" s="504">
        <v>0</v>
      </c>
      <c r="NI112" s="504">
        <v>0</v>
      </c>
      <c r="NJ112" s="504">
        <v>0</v>
      </c>
      <c r="NK112" s="504">
        <v>0</v>
      </c>
      <c r="NL112" s="504">
        <v>0</v>
      </c>
      <c r="NM112" s="504">
        <v>0</v>
      </c>
      <c r="NN112" s="504">
        <v>0</v>
      </c>
      <c r="NO112" s="504">
        <v>0</v>
      </c>
      <c r="NP112" s="504">
        <v>0</v>
      </c>
      <c r="NQ112" s="504">
        <v>0</v>
      </c>
      <c r="NR112" s="504">
        <v>0</v>
      </c>
      <c r="NS112" s="504">
        <v>0</v>
      </c>
      <c r="NT112" s="504">
        <v>0</v>
      </c>
      <c r="NU112" s="504">
        <v>0</v>
      </c>
      <c r="NV112" s="504">
        <v>0</v>
      </c>
      <c r="NW112" s="504">
        <v>0</v>
      </c>
      <c r="NX112" s="504">
        <v>0</v>
      </c>
      <c r="NY112" s="504">
        <v>0</v>
      </c>
      <c r="NZ112" s="504">
        <v>0</v>
      </c>
      <c r="OA112" s="504">
        <v>0</v>
      </c>
      <c r="OB112" s="504">
        <v>0</v>
      </c>
      <c r="OC112" s="504">
        <v>0</v>
      </c>
      <c r="OD112" s="504">
        <v>0</v>
      </c>
      <c r="OE112" s="504">
        <v>0</v>
      </c>
      <c r="OF112" s="504">
        <v>0</v>
      </c>
      <c r="OG112" s="504">
        <v>0</v>
      </c>
      <c r="OH112" s="504">
        <v>0</v>
      </c>
      <c r="OI112" s="504">
        <v>0</v>
      </c>
      <c r="OJ112" s="504">
        <v>0</v>
      </c>
      <c r="OK112" s="504">
        <v>0</v>
      </c>
      <c r="OL112" s="504">
        <v>0</v>
      </c>
      <c r="OM112" s="504">
        <v>0</v>
      </c>
      <c r="ON112" s="494"/>
    </row>
    <row r="113" spans="1:404" ht="18.75" customHeight="1" x14ac:dyDescent="0.4">
      <c r="A113" s="511" t="s">
        <v>383</v>
      </c>
      <c r="B113" s="512">
        <v>180</v>
      </c>
      <c r="C113" s="511" t="s">
        <v>60</v>
      </c>
      <c r="D113" s="501">
        <v>26.55</v>
      </c>
      <c r="E113" s="502">
        <v>111867</v>
      </c>
      <c r="F113" s="501">
        <v>26.54</v>
      </c>
      <c r="G113" s="502">
        <v>14613</v>
      </c>
      <c r="H113" s="501">
        <v>26.54</v>
      </c>
      <c r="I113" s="502">
        <v>39902</v>
      </c>
      <c r="J113" s="501">
        <v>26.54</v>
      </c>
      <c r="K113" s="502">
        <v>43426</v>
      </c>
      <c r="V113" s="501"/>
      <c r="W113" s="503"/>
      <c r="X113" s="501"/>
      <c r="Y113" s="503"/>
      <c r="Z113" s="501"/>
      <c r="AA113" s="503"/>
      <c r="AB113" s="495"/>
      <c r="AC113" s="504">
        <v>0</v>
      </c>
      <c r="AD113" s="504">
        <v>0</v>
      </c>
      <c r="AE113" s="504">
        <v>0</v>
      </c>
      <c r="AF113" s="504">
        <v>0</v>
      </c>
      <c r="AG113" s="504">
        <v>0</v>
      </c>
      <c r="AH113" s="504">
        <v>0</v>
      </c>
      <c r="AI113" s="504">
        <v>0</v>
      </c>
      <c r="AJ113" s="504">
        <v>0</v>
      </c>
      <c r="AK113" s="504">
        <v>0</v>
      </c>
      <c r="AL113" s="504">
        <v>0</v>
      </c>
      <c r="AM113" s="504">
        <v>0</v>
      </c>
      <c r="AN113" s="504">
        <v>0</v>
      </c>
      <c r="AO113" s="504">
        <v>0</v>
      </c>
      <c r="AP113" s="504">
        <v>0</v>
      </c>
      <c r="AQ113" s="504">
        <v>0</v>
      </c>
      <c r="AR113" s="504">
        <v>0</v>
      </c>
      <c r="AS113" s="504">
        <v>0</v>
      </c>
      <c r="AT113" s="504">
        <v>0</v>
      </c>
      <c r="AU113" s="504">
        <v>0</v>
      </c>
      <c r="AV113" s="504">
        <v>0</v>
      </c>
      <c r="AW113" s="504">
        <v>0</v>
      </c>
      <c r="AX113" s="504">
        <v>0</v>
      </c>
      <c r="AY113" s="504">
        <v>0</v>
      </c>
      <c r="AZ113" s="504">
        <v>0</v>
      </c>
      <c r="BA113" s="504">
        <v>0</v>
      </c>
      <c r="BB113" s="504">
        <v>0</v>
      </c>
      <c r="BC113" s="504">
        <v>0</v>
      </c>
      <c r="BD113" s="504">
        <v>0</v>
      </c>
      <c r="BE113" s="504">
        <v>0</v>
      </c>
      <c r="BF113" s="504">
        <v>0</v>
      </c>
      <c r="BG113" s="504">
        <v>0</v>
      </c>
      <c r="BH113" s="504">
        <v>0</v>
      </c>
      <c r="BI113" s="504">
        <v>0</v>
      </c>
      <c r="BJ113" s="504">
        <v>0</v>
      </c>
      <c r="BK113" s="504">
        <v>0</v>
      </c>
      <c r="BL113" s="504">
        <v>0</v>
      </c>
      <c r="BM113" s="504">
        <v>0</v>
      </c>
      <c r="BN113" s="504">
        <v>0</v>
      </c>
      <c r="BO113" s="504">
        <v>0</v>
      </c>
      <c r="BP113" s="504">
        <v>0</v>
      </c>
      <c r="BQ113" s="504">
        <v>0</v>
      </c>
      <c r="BR113" s="504">
        <v>0</v>
      </c>
      <c r="BS113" s="504">
        <v>0</v>
      </c>
      <c r="BT113" s="504">
        <v>0</v>
      </c>
      <c r="BU113" s="504">
        <v>0</v>
      </c>
      <c r="BV113" s="504">
        <v>0</v>
      </c>
      <c r="BW113" s="504">
        <v>0</v>
      </c>
      <c r="BX113" s="504">
        <v>0</v>
      </c>
      <c r="BY113" s="504">
        <v>0</v>
      </c>
      <c r="BZ113" s="504">
        <v>0</v>
      </c>
      <c r="CA113" s="504">
        <v>0</v>
      </c>
      <c r="CB113" s="504">
        <v>0</v>
      </c>
      <c r="CC113" s="504">
        <v>0</v>
      </c>
      <c r="CD113" s="504">
        <v>0</v>
      </c>
      <c r="CE113" s="504">
        <v>0</v>
      </c>
      <c r="CF113" s="504">
        <v>0</v>
      </c>
      <c r="CG113" s="504">
        <v>0</v>
      </c>
      <c r="CH113" s="504">
        <v>0</v>
      </c>
      <c r="CI113" s="504">
        <v>0</v>
      </c>
      <c r="CJ113" s="504">
        <v>0</v>
      </c>
      <c r="CK113" s="504">
        <v>0</v>
      </c>
      <c r="CL113" s="504">
        <v>0</v>
      </c>
      <c r="CM113" s="504">
        <v>0</v>
      </c>
      <c r="CN113" s="504">
        <v>0</v>
      </c>
      <c r="CO113" s="504">
        <v>0</v>
      </c>
      <c r="CP113" s="504">
        <v>0</v>
      </c>
      <c r="CQ113" s="504">
        <v>0</v>
      </c>
      <c r="CR113" s="504">
        <v>0</v>
      </c>
      <c r="CS113" s="504">
        <v>0</v>
      </c>
      <c r="CT113" s="504">
        <v>0</v>
      </c>
      <c r="CU113" s="504">
        <v>0</v>
      </c>
      <c r="CV113" s="504">
        <v>0</v>
      </c>
      <c r="CW113" s="504">
        <v>0</v>
      </c>
      <c r="CX113" s="504">
        <v>0</v>
      </c>
      <c r="CY113" s="504">
        <v>0</v>
      </c>
      <c r="CZ113" s="504">
        <v>0</v>
      </c>
      <c r="DA113" s="504">
        <v>0</v>
      </c>
      <c r="DB113" s="504">
        <v>0</v>
      </c>
      <c r="DC113" s="504">
        <v>0</v>
      </c>
      <c r="DD113" s="504">
        <v>0</v>
      </c>
      <c r="DE113" s="504">
        <v>0</v>
      </c>
      <c r="DF113" s="504">
        <v>0</v>
      </c>
      <c r="DG113" s="504">
        <v>0</v>
      </c>
      <c r="DH113" s="504">
        <v>0</v>
      </c>
      <c r="DI113" s="504">
        <v>0</v>
      </c>
      <c r="DJ113" s="504">
        <v>0</v>
      </c>
      <c r="DK113" s="504">
        <v>0</v>
      </c>
      <c r="DL113" s="504">
        <v>0</v>
      </c>
      <c r="DM113" s="504">
        <v>0</v>
      </c>
      <c r="DN113" s="504">
        <v>0</v>
      </c>
      <c r="DO113" s="504">
        <v>0</v>
      </c>
      <c r="DP113" s="504">
        <v>0</v>
      </c>
      <c r="DQ113" s="504">
        <v>0</v>
      </c>
      <c r="DR113" s="504">
        <v>0</v>
      </c>
      <c r="DS113" s="504">
        <v>0</v>
      </c>
      <c r="DT113" s="504">
        <v>0</v>
      </c>
      <c r="DU113" s="504">
        <v>0</v>
      </c>
      <c r="DV113" s="504">
        <v>0</v>
      </c>
      <c r="DW113" s="504">
        <v>0</v>
      </c>
      <c r="DX113" s="504">
        <v>0</v>
      </c>
      <c r="DY113" s="504">
        <v>0</v>
      </c>
      <c r="DZ113" s="504">
        <v>0</v>
      </c>
      <c r="EA113" s="504">
        <v>0</v>
      </c>
      <c r="EB113" s="504">
        <v>0</v>
      </c>
      <c r="EC113" s="504">
        <v>0</v>
      </c>
      <c r="ED113" s="504">
        <v>0</v>
      </c>
      <c r="EE113" s="504">
        <v>0</v>
      </c>
      <c r="EF113" s="504">
        <v>0</v>
      </c>
      <c r="EG113" s="504">
        <v>0</v>
      </c>
      <c r="EH113" s="504">
        <v>0</v>
      </c>
      <c r="EI113" s="504">
        <v>0</v>
      </c>
      <c r="EJ113" s="504">
        <v>0</v>
      </c>
      <c r="EK113" s="504">
        <v>0</v>
      </c>
      <c r="EL113" s="504">
        <v>0</v>
      </c>
      <c r="EM113" s="504">
        <v>0</v>
      </c>
      <c r="EN113" s="504">
        <v>0</v>
      </c>
      <c r="EO113" s="504">
        <v>0</v>
      </c>
      <c r="EP113" s="504">
        <v>0</v>
      </c>
      <c r="EQ113" s="504">
        <v>0</v>
      </c>
      <c r="ER113" s="504">
        <v>0</v>
      </c>
      <c r="ES113" s="504">
        <v>0</v>
      </c>
      <c r="ET113" s="504">
        <v>0</v>
      </c>
      <c r="EU113" s="504">
        <v>0</v>
      </c>
      <c r="EV113" s="504">
        <v>0</v>
      </c>
      <c r="EW113" s="504">
        <v>0</v>
      </c>
      <c r="EX113" s="504">
        <v>0</v>
      </c>
      <c r="EY113" s="504">
        <v>0</v>
      </c>
      <c r="EZ113" s="504">
        <v>0</v>
      </c>
      <c r="FA113" s="504">
        <v>0</v>
      </c>
      <c r="FB113" s="504">
        <v>0</v>
      </c>
      <c r="FC113" s="504">
        <v>0</v>
      </c>
      <c r="FD113" s="504">
        <v>0</v>
      </c>
      <c r="FE113" s="504">
        <v>0</v>
      </c>
      <c r="FF113" s="504">
        <v>0</v>
      </c>
      <c r="FG113" s="504">
        <v>0</v>
      </c>
      <c r="FH113" s="504">
        <v>0</v>
      </c>
      <c r="FI113" s="504">
        <v>0</v>
      </c>
      <c r="FJ113" s="504">
        <v>0</v>
      </c>
      <c r="FK113" s="504">
        <v>0</v>
      </c>
      <c r="FL113" s="504">
        <v>0</v>
      </c>
      <c r="FM113" s="504">
        <v>0</v>
      </c>
      <c r="FN113" s="504">
        <v>0</v>
      </c>
      <c r="FO113" s="504">
        <v>0</v>
      </c>
      <c r="FP113" s="504">
        <v>0</v>
      </c>
      <c r="FQ113" s="504">
        <v>0</v>
      </c>
      <c r="FR113" s="504">
        <v>0</v>
      </c>
      <c r="FS113" s="504">
        <v>0</v>
      </c>
      <c r="FT113" s="504">
        <v>0</v>
      </c>
      <c r="FU113" s="504">
        <v>0</v>
      </c>
      <c r="FV113" s="504">
        <v>0</v>
      </c>
      <c r="FW113" s="504">
        <v>0</v>
      </c>
      <c r="FX113" s="504">
        <v>0</v>
      </c>
      <c r="FY113" s="504">
        <v>0</v>
      </c>
      <c r="FZ113" s="504">
        <v>0</v>
      </c>
      <c r="GA113" s="504">
        <v>0</v>
      </c>
      <c r="GB113" s="504">
        <v>0</v>
      </c>
      <c r="GC113" s="504">
        <v>0</v>
      </c>
      <c r="GD113" s="504">
        <v>0</v>
      </c>
      <c r="GE113" s="504">
        <v>0</v>
      </c>
      <c r="GF113" s="504">
        <v>0</v>
      </c>
      <c r="GG113" s="504">
        <v>0</v>
      </c>
      <c r="GH113" s="504">
        <v>0</v>
      </c>
      <c r="GI113" s="504">
        <v>0</v>
      </c>
      <c r="GJ113" s="504">
        <v>0</v>
      </c>
      <c r="GK113" s="504">
        <v>0</v>
      </c>
      <c r="GL113" s="504">
        <v>0</v>
      </c>
      <c r="GM113" s="504">
        <v>0</v>
      </c>
      <c r="GN113" s="504">
        <v>0</v>
      </c>
      <c r="GO113" s="504">
        <v>0</v>
      </c>
      <c r="GP113" s="504">
        <v>0</v>
      </c>
      <c r="GQ113" s="504">
        <v>0</v>
      </c>
      <c r="GR113" s="504">
        <v>0</v>
      </c>
      <c r="GS113" s="504">
        <v>0</v>
      </c>
      <c r="GT113" s="504">
        <v>0</v>
      </c>
      <c r="GU113" s="504">
        <v>0</v>
      </c>
      <c r="GV113" s="504">
        <v>0</v>
      </c>
      <c r="GW113" s="504">
        <v>0</v>
      </c>
      <c r="GX113" s="504">
        <v>0</v>
      </c>
      <c r="GY113" s="504">
        <v>0</v>
      </c>
      <c r="GZ113" s="504">
        <v>0</v>
      </c>
      <c r="HA113" s="504">
        <v>0</v>
      </c>
      <c r="HB113" s="504">
        <v>0</v>
      </c>
      <c r="HC113" s="504">
        <v>0</v>
      </c>
      <c r="HD113" s="504">
        <v>0</v>
      </c>
      <c r="HE113" s="504">
        <v>0</v>
      </c>
      <c r="HF113" s="504">
        <v>0</v>
      </c>
      <c r="HG113" s="504">
        <v>0</v>
      </c>
      <c r="HH113" s="504">
        <v>0</v>
      </c>
      <c r="HI113" s="504">
        <v>0</v>
      </c>
      <c r="HJ113" s="504">
        <v>0</v>
      </c>
      <c r="HK113" s="504">
        <v>0</v>
      </c>
      <c r="HL113" s="504">
        <v>0</v>
      </c>
      <c r="HM113" s="504">
        <v>0</v>
      </c>
      <c r="HN113" s="504">
        <v>0</v>
      </c>
      <c r="HO113" s="504">
        <v>0</v>
      </c>
      <c r="HP113" s="504">
        <v>0</v>
      </c>
      <c r="HQ113" s="504">
        <v>0</v>
      </c>
      <c r="HR113" s="504">
        <v>0</v>
      </c>
      <c r="HS113" s="504">
        <v>0</v>
      </c>
      <c r="HT113" s="504">
        <v>0</v>
      </c>
      <c r="HU113" s="504">
        <v>0</v>
      </c>
      <c r="HV113" s="504">
        <v>0</v>
      </c>
      <c r="HW113" s="504">
        <v>0</v>
      </c>
      <c r="HX113" s="504">
        <v>0</v>
      </c>
      <c r="HY113" s="504">
        <v>0</v>
      </c>
      <c r="HZ113" s="504">
        <v>0</v>
      </c>
      <c r="IA113" s="504">
        <v>0</v>
      </c>
      <c r="IB113" s="504">
        <v>0</v>
      </c>
      <c r="IC113" s="504">
        <v>0</v>
      </c>
      <c r="ID113" s="504">
        <v>0</v>
      </c>
      <c r="IE113" s="504">
        <v>0</v>
      </c>
      <c r="IF113" s="504">
        <v>0</v>
      </c>
      <c r="IG113" s="504">
        <v>0</v>
      </c>
      <c r="IH113" s="504">
        <v>0</v>
      </c>
      <c r="II113" s="504">
        <v>0</v>
      </c>
      <c r="IJ113" s="504">
        <v>0</v>
      </c>
      <c r="IK113" s="504">
        <v>0</v>
      </c>
      <c r="IL113" s="504">
        <v>0</v>
      </c>
      <c r="IM113" s="504">
        <v>0</v>
      </c>
      <c r="IN113" s="504">
        <v>0</v>
      </c>
      <c r="IO113" s="504">
        <v>0</v>
      </c>
      <c r="IP113" s="504">
        <v>0</v>
      </c>
      <c r="IQ113" s="504">
        <v>0</v>
      </c>
      <c r="IR113" s="504">
        <v>0</v>
      </c>
      <c r="IS113" s="504">
        <v>0</v>
      </c>
      <c r="IT113" s="504">
        <v>0</v>
      </c>
      <c r="IU113" s="504">
        <v>0</v>
      </c>
      <c r="IV113" s="504">
        <v>0</v>
      </c>
      <c r="IW113" s="504">
        <v>0</v>
      </c>
      <c r="IX113" s="504">
        <v>0</v>
      </c>
      <c r="IY113" s="504">
        <v>0</v>
      </c>
      <c r="IZ113" s="504">
        <v>0</v>
      </c>
      <c r="JA113" s="504">
        <v>0</v>
      </c>
      <c r="JB113" s="504">
        <v>0</v>
      </c>
      <c r="JC113" s="504">
        <v>0</v>
      </c>
      <c r="JD113" s="504">
        <v>0</v>
      </c>
      <c r="JE113" s="504">
        <v>0</v>
      </c>
      <c r="JF113" s="504">
        <v>0</v>
      </c>
      <c r="JG113" s="504">
        <v>0</v>
      </c>
      <c r="JH113" s="504">
        <v>0</v>
      </c>
      <c r="JI113" s="504">
        <v>0</v>
      </c>
      <c r="JJ113" s="504">
        <v>0</v>
      </c>
      <c r="JK113" s="504">
        <v>0</v>
      </c>
      <c r="JL113" s="504">
        <v>0</v>
      </c>
      <c r="JM113" s="504">
        <v>0</v>
      </c>
      <c r="JN113" s="504">
        <v>0</v>
      </c>
      <c r="JO113" s="504">
        <v>0</v>
      </c>
      <c r="JP113" s="504">
        <v>0</v>
      </c>
      <c r="JQ113" s="504">
        <v>0</v>
      </c>
      <c r="JR113" s="504">
        <v>0</v>
      </c>
      <c r="JS113" s="504">
        <v>0</v>
      </c>
      <c r="JT113" s="504">
        <v>0</v>
      </c>
      <c r="JU113" s="504">
        <v>0</v>
      </c>
      <c r="JV113" s="504">
        <v>0</v>
      </c>
      <c r="JW113" s="504">
        <v>0</v>
      </c>
      <c r="JX113" s="504">
        <v>0</v>
      </c>
      <c r="JY113" s="504">
        <v>0</v>
      </c>
      <c r="JZ113" s="504">
        <v>0</v>
      </c>
      <c r="KA113" s="504">
        <v>0</v>
      </c>
      <c r="KB113" s="504">
        <v>0</v>
      </c>
      <c r="KC113" s="504">
        <v>0</v>
      </c>
      <c r="KD113" s="504">
        <v>0</v>
      </c>
      <c r="KE113" s="504">
        <v>0</v>
      </c>
      <c r="KF113" s="504">
        <v>0</v>
      </c>
      <c r="KG113" s="504">
        <v>0</v>
      </c>
      <c r="KH113" s="504">
        <v>0</v>
      </c>
      <c r="KI113" s="504">
        <v>0</v>
      </c>
      <c r="KJ113" s="504">
        <v>0</v>
      </c>
      <c r="KK113" s="504">
        <v>0</v>
      </c>
      <c r="KL113" s="504">
        <v>0</v>
      </c>
      <c r="KM113" s="504">
        <v>0</v>
      </c>
      <c r="KN113" s="504">
        <v>0</v>
      </c>
      <c r="KO113" s="504">
        <v>0</v>
      </c>
      <c r="KP113" s="504">
        <v>0</v>
      </c>
      <c r="KQ113" s="504">
        <v>0</v>
      </c>
      <c r="KR113" s="504">
        <v>0</v>
      </c>
      <c r="KS113" s="504">
        <v>0</v>
      </c>
      <c r="KT113" s="504">
        <v>0</v>
      </c>
      <c r="KU113" s="504">
        <v>0</v>
      </c>
      <c r="KV113" s="504">
        <v>0</v>
      </c>
      <c r="KW113" s="504">
        <v>0</v>
      </c>
      <c r="KX113" s="504">
        <v>0</v>
      </c>
      <c r="KY113" s="504">
        <v>0</v>
      </c>
      <c r="KZ113" s="504">
        <v>0</v>
      </c>
      <c r="LA113" s="504">
        <v>0</v>
      </c>
      <c r="LB113" s="504">
        <v>0</v>
      </c>
      <c r="LC113" s="504">
        <v>0</v>
      </c>
      <c r="LD113" s="504">
        <v>0</v>
      </c>
      <c r="LE113" s="504">
        <v>0</v>
      </c>
      <c r="LF113" s="504">
        <v>0</v>
      </c>
      <c r="LG113" s="504">
        <v>0</v>
      </c>
      <c r="LH113" s="504">
        <v>0</v>
      </c>
      <c r="LI113" s="504">
        <v>0</v>
      </c>
      <c r="LJ113" s="504">
        <v>0</v>
      </c>
      <c r="LK113" s="504">
        <v>0</v>
      </c>
      <c r="LL113" s="504">
        <v>0</v>
      </c>
      <c r="LM113" s="504">
        <v>0</v>
      </c>
      <c r="LN113" s="504">
        <v>0</v>
      </c>
      <c r="LO113" s="504">
        <v>0</v>
      </c>
      <c r="LP113" s="504">
        <v>0</v>
      </c>
      <c r="LQ113" s="504">
        <v>0</v>
      </c>
      <c r="LR113" s="504">
        <v>0</v>
      </c>
      <c r="LS113" s="504">
        <v>0</v>
      </c>
      <c r="LT113" s="504">
        <v>0</v>
      </c>
      <c r="LU113" s="504">
        <v>0</v>
      </c>
      <c r="LV113" s="504">
        <v>0</v>
      </c>
      <c r="LW113" s="504">
        <v>0</v>
      </c>
      <c r="LX113" s="504">
        <v>0</v>
      </c>
      <c r="LY113" s="504">
        <v>0</v>
      </c>
      <c r="LZ113" s="504">
        <v>0</v>
      </c>
      <c r="MA113" s="504">
        <v>0</v>
      </c>
      <c r="MB113" s="504">
        <v>0</v>
      </c>
      <c r="MC113" s="504">
        <v>0</v>
      </c>
      <c r="MD113" s="504">
        <v>0</v>
      </c>
      <c r="ME113" s="504">
        <v>0</v>
      </c>
      <c r="MF113" s="504">
        <v>0</v>
      </c>
      <c r="MG113" s="504">
        <v>0</v>
      </c>
      <c r="MH113" s="504">
        <v>0</v>
      </c>
      <c r="MI113" s="504">
        <v>0</v>
      </c>
      <c r="MJ113" s="504">
        <v>0</v>
      </c>
      <c r="MK113" s="504">
        <v>0</v>
      </c>
      <c r="ML113" s="504">
        <v>0</v>
      </c>
      <c r="MM113" s="504">
        <v>0</v>
      </c>
      <c r="MN113" s="504">
        <v>0</v>
      </c>
      <c r="MO113" s="504">
        <v>0</v>
      </c>
      <c r="MP113" s="504">
        <v>0</v>
      </c>
      <c r="MQ113" s="504">
        <v>0</v>
      </c>
      <c r="MR113" s="504">
        <v>0</v>
      </c>
      <c r="MS113" s="504">
        <v>0</v>
      </c>
      <c r="MT113" s="504">
        <v>0</v>
      </c>
      <c r="MU113" s="504">
        <v>0</v>
      </c>
      <c r="MV113" s="504">
        <v>0</v>
      </c>
      <c r="MW113" s="504">
        <v>0</v>
      </c>
      <c r="MX113" s="504">
        <v>0</v>
      </c>
      <c r="MY113" s="504">
        <v>0</v>
      </c>
      <c r="MZ113" s="504">
        <v>0</v>
      </c>
      <c r="NA113" s="504">
        <v>0</v>
      </c>
      <c r="NB113" s="504">
        <v>0</v>
      </c>
      <c r="NC113" s="504">
        <v>0</v>
      </c>
      <c r="ND113" s="504">
        <v>0</v>
      </c>
      <c r="NE113" s="504">
        <v>0</v>
      </c>
      <c r="NF113" s="504">
        <v>0</v>
      </c>
      <c r="NG113" s="504">
        <v>0</v>
      </c>
      <c r="NH113" s="504">
        <v>0</v>
      </c>
      <c r="NI113" s="504">
        <v>0</v>
      </c>
      <c r="NJ113" s="504">
        <v>0</v>
      </c>
      <c r="NK113" s="504">
        <v>0</v>
      </c>
      <c r="NL113" s="504">
        <v>0</v>
      </c>
      <c r="NM113" s="504">
        <v>0</v>
      </c>
      <c r="NN113" s="504">
        <v>0</v>
      </c>
      <c r="NO113" s="504">
        <v>0</v>
      </c>
      <c r="NP113" s="504">
        <v>0</v>
      </c>
      <c r="NQ113" s="504">
        <v>0</v>
      </c>
      <c r="NR113" s="504">
        <v>0</v>
      </c>
      <c r="NS113" s="504">
        <v>0</v>
      </c>
      <c r="NT113" s="504">
        <v>0</v>
      </c>
      <c r="NU113" s="504">
        <v>0</v>
      </c>
      <c r="NV113" s="504">
        <v>0</v>
      </c>
      <c r="NW113" s="504">
        <v>0</v>
      </c>
      <c r="NX113" s="504">
        <v>0</v>
      </c>
      <c r="NY113" s="504">
        <v>0</v>
      </c>
      <c r="NZ113" s="504">
        <v>0</v>
      </c>
      <c r="OA113" s="504">
        <v>0</v>
      </c>
      <c r="OB113" s="504">
        <v>0</v>
      </c>
      <c r="OC113" s="504">
        <v>0</v>
      </c>
      <c r="OD113" s="504">
        <v>0</v>
      </c>
      <c r="OE113" s="504">
        <v>0</v>
      </c>
      <c r="OF113" s="504">
        <v>0</v>
      </c>
      <c r="OG113" s="504">
        <v>0</v>
      </c>
      <c r="OH113" s="504">
        <v>0</v>
      </c>
      <c r="OI113" s="504">
        <v>0</v>
      </c>
      <c r="OJ113" s="504">
        <v>0</v>
      </c>
      <c r="OK113" s="504">
        <v>0</v>
      </c>
      <c r="OL113" s="504">
        <v>0</v>
      </c>
      <c r="OM113" s="504">
        <v>0</v>
      </c>
      <c r="ON113" s="494"/>
    </row>
    <row r="114" spans="1:404" ht="18.75" customHeight="1" x14ac:dyDescent="0.4">
      <c r="A114" s="511" t="s">
        <v>384</v>
      </c>
      <c r="B114" s="512">
        <v>186</v>
      </c>
      <c r="C114" s="511" t="s">
        <v>60</v>
      </c>
      <c r="D114" s="501">
        <v>26.71</v>
      </c>
      <c r="F114" s="501">
        <v>26.56</v>
      </c>
      <c r="H114" s="501">
        <v>26.56</v>
      </c>
      <c r="J114" s="501">
        <v>26.69</v>
      </c>
      <c r="V114" s="501"/>
      <c r="W114" s="503"/>
      <c r="X114" s="501"/>
      <c r="Y114" s="503"/>
      <c r="Z114" s="501"/>
      <c r="AA114" s="503"/>
      <c r="AB114" s="495"/>
      <c r="AC114" s="504">
        <v>0</v>
      </c>
      <c r="AD114" s="504">
        <v>0</v>
      </c>
      <c r="AE114" s="504">
        <v>0</v>
      </c>
      <c r="AF114" s="504">
        <v>0</v>
      </c>
      <c r="AG114" s="504">
        <v>0</v>
      </c>
      <c r="AH114" s="504">
        <v>0</v>
      </c>
      <c r="AI114" s="504">
        <v>0</v>
      </c>
      <c r="AJ114" s="504">
        <v>0</v>
      </c>
      <c r="AK114" s="504">
        <v>0</v>
      </c>
      <c r="AL114" s="504">
        <v>0</v>
      </c>
      <c r="AM114" s="504">
        <v>0</v>
      </c>
      <c r="AN114" s="504">
        <v>0</v>
      </c>
      <c r="AO114" s="504">
        <v>0</v>
      </c>
      <c r="AP114" s="504">
        <v>0</v>
      </c>
      <c r="AQ114" s="504">
        <v>0</v>
      </c>
      <c r="AR114" s="504">
        <v>0</v>
      </c>
      <c r="AS114" s="504">
        <v>0</v>
      </c>
      <c r="AT114" s="504">
        <v>0</v>
      </c>
      <c r="AU114" s="504">
        <v>0</v>
      </c>
      <c r="AV114" s="504">
        <v>0</v>
      </c>
      <c r="AW114" s="504">
        <v>0</v>
      </c>
      <c r="AX114" s="504">
        <v>0</v>
      </c>
      <c r="AY114" s="504">
        <v>0</v>
      </c>
      <c r="AZ114" s="504">
        <v>0</v>
      </c>
      <c r="BA114" s="504">
        <v>0</v>
      </c>
      <c r="BB114" s="504">
        <v>0</v>
      </c>
      <c r="BC114" s="504">
        <v>0</v>
      </c>
      <c r="BD114" s="504">
        <v>0</v>
      </c>
      <c r="BE114" s="504">
        <v>0</v>
      </c>
      <c r="BF114" s="504">
        <v>0</v>
      </c>
      <c r="BG114" s="504">
        <v>0</v>
      </c>
      <c r="BH114" s="504">
        <v>0</v>
      </c>
      <c r="BI114" s="504">
        <v>0</v>
      </c>
      <c r="BJ114" s="504">
        <v>0</v>
      </c>
      <c r="BK114" s="504">
        <v>0</v>
      </c>
      <c r="BL114" s="504">
        <v>0</v>
      </c>
      <c r="BM114" s="504">
        <v>0</v>
      </c>
      <c r="BN114" s="504">
        <v>0</v>
      </c>
      <c r="BO114" s="504">
        <v>0</v>
      </c>
      <c r="BP114" s="504">
        <v>0</v>
      </c>
      <c r="BQ114" s="504">
        <v>0</v>
      </c>
      <c r="BR114" s="504">
        <v>0</v>
      </c>
      <c r="BS114" s="504">
        <v>0</v>
      </c>
      <c r="BT114" s="504">
        <v>0</v>
      </c>
      <c r="BU114" s="504">
        <v>0</v>
      </c>
      <c r="BV114" s="504">
        <v>0</v>
      </c>
      <c r="BW114" s="504">
        <v>0</v>
      </c>
      <c r="BX114" s="504">
        <v>0</v>
      </c>
      <c r="BY114" s="504">
        <v>0</v>
      </c>
      <c r="BZ114" s="504">
        <v>0</v>
      </c>
      <c r="CA114" s="504">
        <v>0</v>
      </c>
      <c r="CB114" s="504">
        <v>0</v>
      </c>
      <c r="CC114" s="504">
        <v>0</v>
      </c>
      <c r="CD114" s="504">
        <v>0</v>
      </c>
      <c r="CE114" s="504">
        <v>0</v>
      </c>
      <c r="CF114" s="504">
        <v>0</v>
      </c>
      <c r="CG114" s="504">
        <v>0</v>
      </c>
      <c r="CH114" s="504">
        <v>0</v>
      </c>
      <c r="CI114" s="504">
        <v>0</v>
      </c>
      <c r="CJ114" s="504">
        <v>0</v>
      </c>
      <c r="CK114" s="504">
        <v>0</v>
      </c>
      <c r="CL114" s="504">
        <v>0</v>
      </c>
      <c r="CM114" s="504">
        <v>0</v>
      </c>
      <c r="CN114" s="504">
        <v>0</v>
      </c>
      <c r="CO114" s="504">
        <v>0</v>
      </c>
      <c r="CP114" s="504">
        <v>0</v>
      </c>
      <c r="CQ114" s="504">
        <v>0</v>
      </c>
      <c r="CR114" s="504">
        <v>0</v>
      </c>
      <c r="CS114" s="504">
        <v>0</v>
      </c>
      <c r="CT114" s="504">
        <v>0</v>
      </c>
      <c r="CU114" s="504">
        <v>0</v>
      </c>
      <c r="CV114" s="504">
        <v>0</v>
      </c>
      <c r="CW114" s="504">
        <v>0</v>
      </c>
      <c r="CX114" s="504">
        <v>0</v>
      </c>
      <c r="CY114" s="504">
        <v>0</v>
      </c>
      <c r="CZ114" s="504">
        <v>0</v>
      </c>
      <c r="DA114" s="504">
        <v>0</v>
      </c>
      <c r="DB114" s="504">
        <v>0</v>
      </c>
      <c r="DC114" s="504">
        <v>0</v>
      </c>
      <c r="DD114" s="504">
        <v>0</v>
      </c>
      <c r="DE114" s="504">
        <v>0</v>
      </c>
      <c r="DF114" s="504">
        <v>0</v>
      </c>
      <c r="DG114" s="504">
        <v>0</v>
      </c>
      <c r="DH114" s="504">
        <v>0</v>
      </c>
      <c r="DI114" s="504">
        <v>0</v>
      </c>
      <c r="DJ114" s="504">
        <v>0</v>
      </c>
      <c r="DK114" s="504">
        <v>0</v>
      </c>
      <c r="DL114" s="504">
        <v>0</v>
      </c>
      <c r="DM114" s="504">
        <v>0</v>
      </c>
      <c r="DN114" s="504">
        <v>0</v>
      </c>
      <c r="DO114" s="504">
        <v>0</v>
      </c>
      <c r="DP114" s="504">
        <v>0</v>
      </c>
      <c r="DQ114" s="504">
        <v>0</v>
      </c>
      <c r="DR114" s="504">
        <v>0</v>
      </c>
      <c r="DS114" s="504">
        <v>0</v>
      </c>
      <c r="DT114" s="504">
        <v>0</v>
      </c>
      <c r="DU114" s="504">
        <v>0</v>
      </c>
      <c r="DV114" s="504">
        <v>0</v>
      </c>
      <c r="DW114" s="504">
        <v>0</v>
      </c>
      <c r="DX114" s="504">
        <v>0</v>
      </c>
      <c r="DY114" s="504">
        <v>0</v>
      </c>
      <c r="DZ114" s="504">
        <v>0</v>
      </c>
      <c r="EA114" s="504">
        <v>0</v>
      </c>
      <c r="EB114" s="504">
        <v>0</v>
      </c>
      <c r="EC114" s="504">
        <v>0</v>
      </c>
      <c r="ED114" s="504">
        <v>0</v>
      </c>
      <c r="EE114" s="504">
        <v>0</v>
      </c>
      <c r="EF114" s="504">
        <v>0</v>
      </c>
      <c r="EG114" s="504">
        <v>0</v>
      </c>
      <c r="EH114" s="504">
        <v>0</v>
      </c>
      <c r="EI114" s="504">
        <v>0</v>
      </c>
      <c r="EJ114" s="504">
        <v>0</v>
      </c>
      <c r="EK114" s="504">
        <v>0</v>
      </c>
      <c r="EL114" s="504">
        <v>0</v>
      </c>
      <c r="EM114" s="504">
        <v>0</v>
      </c>
      <c r="EN114" s="504">
        <v>0</v>
      </c>
      <c r="EO114" s="504">
        <v>0</v>
      </c>
      <c r="EP114" s="504">
        <v>0</v>
      </c>
      <c r="EQ114" s="504">
        <v>0</v>
      </c>
      <c r="ER114" s="504">
        <v>0</v>
      </c>
      <c r="ES114" s="504">
        <v>0</v>
      </c>
      <c r="ET114" s="504">
        <v>0</v>
      </c>
      <c r="EU114" s="504">
        <v>0</v>
      </c>
      <c r="EV114" s="504">
        <v>0</v>
      </c>
      <c r="EW114" s="504">
        <v>0</v>
      </c>
      <c r="EX114" s="504">
        <v>0</v>
      </c>
      <c r="EY114" s="504">
        <v>0</v>
      </c>
      <c r="EZ114" s="504">
        <v>0</v>
      </c>
      <c r="FA114" s="504">
        <v>0</v>
      </c>
      <c r="FB114" s="504">
        <v>0</v>
      </c>
      <c r="FC114" s="504">
        <v>0</v>
      </c>
      <c r="FD114" s="504">
        <v>0</v>
      </c>
      <c r="FE114" s="504">
        <v>0</v>
      </c>
      <c r="FF114" s="504">
        <v>0</v>
      </c>
      <c r="FG114" s="504">
        <v>0</v>
      </c>
      <c r="FH114" s="504">
        <v>0</v>
      </c>
      <c r="FI114" s="504">
        <v>0</v>
      </c>
      <c r="FJ114" s="504">
        <v>0</v>
      </c>
      <c r="FK114" s="504">
        <v>0</v>
      </c>
      <c r="FL114" s="504">
        <v>0</v>
      </c>
      <c r="FM114" s="504">
        <v>0</v>
      </c>
      <c r="FN114" s="504">
        <v>0</v>
      </c>
      <c r="FO114" s="504">
        <v>0</v>
      </c>
      <c r="FP114" s="504">
        <v>0</v>
      </c>
      <c r="FQ114" s="504">
        <v>0</v>
      </c>
      <c r="FR114" s="504">
        <v>0</v>
      </c>
      <c r="FS114" s="504">
        <v>0</v>
      </c>
      <c r="FT114" s="504">
        <v>0</v>
      </c>
      <c r="FU114" s="504">
        <v>0</v>
      </c>
      <c r="FV114" s="504">
        <v>0</v>
      </c>
      <c r="FW114" s="504">
        <v>0</v>
      </c>
      <c r="FX114" s="504">
        <v>0</v>
      </c>
      <c r="FY114" s="504">
        <v>0</v>
      </c>
      <c r="FZ114" s="504">
        <v>0</v>
      </c>
      <c r="GA114" s="504">
        <v>0</v>
      </c>
      <c r="GB114" s="504">
        <v>0</v>
      </c>
      <c r="GC114" s="504">
        <v>0</v>
      </c>
      <c r="GD114" s="504">
        <v>0</v>
      </c>
      <c r="GE114" s="504">
        <v>0</v>
      </c>
      <c r="GF114" s="504">
        <v>0</v>
      </c>
      <c r="GG114" s="504">
        <v>0</v>
      </c>
      <c r="GH114" s="504">
        <v>0</v>
      </c>
      <c r="GI114" s="504">
        <v>0</v>
      </c>
      <c r="GJ114" s="504">
        <v>0</v>
      </c>
      <c r="GK114" s="504">
        <v>0</v>
      </c>
      <c r="GL114" s="504">
        <v>0</v>
      </c>
      <c r="GM114" s="504">
        <v>0</v>
      </c>
      <c r="GN114" s="504">
        <v>0</v>
      </c>
      <c r="GO114" s="504">
        <v>0</v>
      </c>
      <c r="GP114" s="504">
        <v>0</v>
      </c>
      <c r="GQ114" s="504">
        <v>0</v>
      </c>
      <c r="GR114" s="504">
        <v>0</v>
      </c>
      <c r="GS114" s="504">
        <v>0</v>
      </c>
      <c r="GT114" s="504">
        <v>0</v>
      </c>
      <c r="GU114" s="504">
        <v>0</v>
      </c>
      <c r="GV114" s="504">
        <v>0</v>
      </c>
      <c r="GW114" s="504">
        <v>0</v>
      </c>
      <c r="GX114" s="504">
        <v>0</v>
      </c>
      <c r="GY114" s="504">
        <v>0</v>
      </c>
      <c r="GZ114" s="504">
        <v>0</v>
      </c>
      <c r="HA114" s="504">
        <v>0</v>
      </c>
      <c r="HB114" s="504">
        <v>0</v>
      </c>
      <c r="HC114" s="504">
        <v>0</v>
      </c>
      <c r="HD114" s="504">
        <v>0</v>
      </c>
      <c r="HE114" s="504">
        <v>0</v>
      </c>
      <c r="HF114" s="504">
        <v>0</v>
      </c>
      <c r="HG114" s="504">
        <v>0</v>
      </c>
      <c r="HH114" s="504">
        <v>0</v>
      </c>
      <c r="HI114" s="504">
        <v>0</v>
      </c>
      <c r="HJ114" s="504">
        <v>0</v>
      </c>
      <c r="HK114" s="504">
        <v>0</v>
      </c>
      <c r="HL114" s="504">
        <v>0</v>
      </c>
      <c r="HM114" s="504">
        <v>0</v>
      </c>
      <c r="HN114" s="504">
        <v>0</v>
      </c>
      <c r="HO114" s="504">
        <v>0</v>
      </c>
      <c r="HP114" s="504">
        <v>0</v>
      </c>
      <c r="HQ114" s="504">
        <v>0</v>
      </c>
      <c r="HR114" s="504">
        <v>0</v>
      </c>
      <c r="HS114" s="504">
        <v>0</v>
      </c>
      <c r="HT114" s="504">
        <v>0</v>
      </c>
      <c r="HU114" s="504">
        <v>0</v>
      </c>
      <c r="HV114" s="504">
        <v>0</v>
      </c>
      <c r="HW114" s="504">
        <v>0</v>
      </c>
      <c r="HX114" s="504">
        <v>0</v>
      </c>
      <c r="HY114" s="504">
        <v>0</v>
      </c>
      <c r="HZ114" s="504">
        <v>0</v>
      </c>
      <c r="IA114" s="504">
        <v>0</v>
      </c>
      <c r="IB114" s="504">
        <v>0</v>
      </c>
      <c r="IC114" s="504">
        <v>0</v>
      </c>
      <c r="ID114" s="504">
        <v>0</v>
      </c>
      <c r="IE114" s="504">
        <v>0</v>
      </c>
      <c r="IF114" s="504">
        <v>0</v>
      </c>
      <c r="IG114" s="504">
        <v>0</v>
      </c>
      <c r="IH114" s="504">
        <v>0</v>
      </c>
      <c r="II114" s="504">
        <v>0</v>
      </c>
      <c r="IJ114" s="504">
        <v>0</v>
      </c>
      <c r="IK114" s="504">
        <v>0</v>
      </c>
      <c r="IL114" s="504">
        <v>0</v>
      </c>
      <c r="IM114" s="504">
        <v>0</v>
      </c>
      <c r="IN114" s="504">
        <v>0</v>
      </c>
      <c r="IO114" s="504">
        <v>0</v>
      </c>
      <c r="IP114" s="504">
        <v>0</v>
      </c>
      <c r="IQ114" s="504">
        <v>0</v>
      </c>
      <c r="IR114" s="504">
        <v>0</v>
      </c>
      <c r="IS114" s="504">
        <v>0</v>
      </c>
      <c r="IT114" s="504">
        <v>0</v>
      </c>
      <c r="IU114" s="504">
        <v>0</v>
      </c>
      <c r="IV114" s="504">
        <v>0</v>
      </c>
      <c r="IW114" s="504">
        <v>0</v>
      </c>
      <c r="IX114" s="504">
        <v>0</v>
      </c>
      <c r="IY114" s="504">
        <v>0</v>
      </c>
      <c r="IZ114" s="504">
        <v>0</v>
      </c>
      <c r="JA114" s="504">
        <v>0</v>
      </c>
      <c r="JB114" s="504">
        <v>0</v>
      </c>
      <c r="JC114" s="504">
        <v>0</v>
      </c>
      <c r="JD114" s="504">
        <v>0</v>
      </c>
      <c r="JE114" s="504">
        <v>0</v>
      </c>
      <c r="JF114" s="504">
        <v>0</v>
      </c>
      <c r="JG114" s="504">
        <v>0</v>
      </c>
      <c r="JH114" s="504">
        <v>0</v>
      </c>
      <c r="JI114" s="504">
        <v>0</v>
      </c>
      <c r="JJ114" s="504">
        <v>0</v>
      </c>
      <c r="JK114" s="504">
        <v>0</v>
      </c>
      <c r="JL114" s="504">
        <v>0</v>
      </c>
      <c r="JM114" s="504">
        <v>0</v>
      </c>
      <c r="JN114" s="504">
        <v>0</v>
      </c>
      <c r="JO114" s="504">
        <v>0</v>
      </c>
      <c r="JP114" s="504">
        <v>0</v>
      </c>
      <c r="JQ114" s="504">
        <v>0</v>
      </c>
      <c r="JR114" s="504">
        <v>0</v>
      </c>
      <c r="JS114" s="504">
        <v>0</v>
      </c>
      <c r="JT114" s="504">
        <v>0</v>
      </c>
      <c r="JU114" s="504">
        <v>0</v>
      </c>
      <c r="JV114" s="504">
        <v>0</v>
      </c>
      <c r="JW114" s="504">
        <v>0</v>
      </c>
      <c r="JX114" s="504">
        <v>0</v>
      </c>
      <c r="JY114" s="504">
        <v>0</v>
      </c>
      <c r="JZ114" s="504">
        <v>0</v>
      </c>
      <c r="KA114" s="504">
        <v>0</v>
      </c>
      <c r="KB114" s="504">
        <v>0</v>
      </c>
      <c r="KC114" s="504">
        <v>0</v>
      </c>
      <c r="KD114" s="504">
        <v>0</v>
      </c>
      <c r="KE114" s="504">
        <v>0</v>
      </c>
      <c r="KF114" s="504">
        <v>0</v>
      </c>
      <c r="KG114" s="504">
        <v>0</v>
      </c>
      <c r="KH114" s="504">
        <v>0</v>
      </c>
      <c r="KI114" s="504">
        <v>0</v>
      </c>
      <c r="KJ114" s="504">
        <v>0</v>
      </c>
      <c r="KK114" s="504">
        <v>0</v>
      </c>
      <c r="KL114" s="504">
        <v>0</v>
      </c>
      <c r="KM114" s="504">
        <v>0</v>
      </c>
      <c r="KN114" s="504">
        <v>0</v>
      </c>
      <c r="KO114" s="504">
        <v>0</v>
      </c>
      <c r="KP114" s="504">
        <v>0</v>
      </c>
      <c r="KQ114" s="504">
        <v>0</v>
      </c>
      <c r="KR114" s="504">
        <v>0</v>
      </c>
      <c r="KS114" s="504">
        <v>0</v>
      </c>
      <c r="KT114" s="504">
        <v>0</v>
      </c>
      <c r="KU114" s="504">
        <v>0</v>
      </c>
      <c r="KV114" s="504">
        <v>0</v>
      </c>
      <c r="KW114" s="504">
        <v>0</v>
      </c>
      <c r="KX114" s="504">
        <v>0</v>
      </c>
      <c r="KY114" s="504">
        <v>0</v>
      </c>
      <c r="KZ114" s="504">
        <v>0</v>
      </c>
      <c r="LA114" s="504">
        <v>0</v>
      </c>
      <c r="LB114" s="504">
        <v>0</v>
      </c>
      <c r="LC114" s="504">
        <v>0</v>
      </c>
      <c r="LD114" s="504">
        <v>0</v>
      </c>
      <c r="LE114" s="504">
        <v>0</v>
      </c>
      <c r="LF114" s="504">
        <v>0</v>
      </c>
      <c r="LG114" s="504">
        <v>0</v>
      </c>
      <c r="LH114" s="504">
        <v>0</v>
      </c>
      <c r="LI114" s="504">
        <v>0</v>
      </c>
      <c r="LJ114" s="504">
        <v>0</v>
      </c>
      <c r="LK114" s="504">
        <v>0</v>
      </c>
      <c r="LL114" s="504">
        <v>0</v>
      </c>
      <c r="LM114" s="504">
        <v>0</v>
      </c>
      <c r="LN114" s="504">
        <v>0</v>
      </c>
      <c r="LO114" s="504">
        <v>0</v>
      </c>
      <c r="LP114" s="504">
        <v>0</v>
      </c>
      <c r="LQ114" s="504">
        <v>0</v>
      </c>
      <c r="LR114" s="504">
        <v>0</v>
      </c>
      <c r="LS114" s="504">
        <v>0</v>
      </c>
      <c r="LT114" s="504">
        <v>0</v>
      </c>
      <c r="LU114" s="504">
        <v>0</v>
      </c>
      <c r="LV114" s="504">
        <v>0</v>
      </c>
      <c r="LW114" s="504">
        <v>0</v>
      </c>
      <c r="LX114" s="504">
        <v>0</v>
      </c>
      <c r="LY114" s="504">
        <v>0</v>
      </c>
      <c r="LZ114" s="504">
        <v>0</v>
      </c>
      <c r="MA114" s="504">
        <v>0</v>
      </c>
      <c r="MB114" s="504">
        <v>0</v>
      </c>
      <c r="MC114" s="504">
        <v>0</v>
      </c>
      <c r="MD114" s="504">
        <v>0</v>
      </c>
      <c r="ME114" s="504">
        <v>0</v>
      </c>
      <c r="MF114" s="504">
        <v>0</v>
      </c>
      <c r="MG114" s="504">
        <v>0</v>
      </c>
      <c r="MH114" s="504">
        <v>0</v>
      </c>
      <c r="MI114" s="504">
        <v>0</v>
      </c>
      <c r="MJ114" s="504">
        <v>0</v>
      </c>
      <c r="MK114" s="504">
        <v>0</v>
      </c>
      <c r="ML114" s="504">
        <v>0</v>
      </c>
      <c r="MM114" s="504">
        <v>0</v>
      </c>
      <c r="MN114" s="504">
        <v>0</v>
      </c>
      <c r="MO114" s="504">
        <v>0</v>
      </c>
      <c r="MP114" s="504">
        <v>0</v>
      </c>
      <c r="MQ114" s="504">
        <v>0</v>
      </c>
      <c r="MR114" s="504">
        <v>0</v>
      </c>
      <c r="MS114" s="504">
        <v>0</v>
      </c>
      <c r="MT114" s="504">
        <v>0</v>
      </c>
      <c r="MU114" s="504">
        <v>0</v>
      </c>
      <c r="MV114" s="504">
        <v>0</v>
      </c>
      <c r="MW114" s="504">
        <v>0</v>
      </c>
      <c r="MX114" s="504">
        <v>0</v>
      </c>
      <c r="MY114" s="504">
        <v>0</v>
      </c>
      <c r="MZ114" s="504">
        <v>0</v>
      </c>
      <c r="NA114" s="504">
        <v>0</v>
      </c>
      <c r="NB114" s="504">
        <v>0</v>
      </c>
      <c r="NC114" s="504">
        <v>0</v>
      </c>
      <c r="ND114" s="504">
        <v>0</v>
      </c>
      <c r="NE114" s="504">
        <v>0</v>
      </c>
      <c r="NF114" s="504">
        <v>0</v>
      </c>
      <c r="NG114" s="504">
        <v>0</v>
      </c>
      <c r="NH114" s="504">
        <v>0</v>
      </c>
      <c r="NI114" s="504">
        <v>0</v>
      </c>
      <c r="NJ114" s="504">
        <v>0</v>
      </c>
      <c r="NK114" s="504">
        <v>0</v>
      </c>
      <c r="NL114" s="504">
        <v>0</v>
      </c>
      <c r="NM114" s="504">
        <v>0</v>
      </c>
      <c r="NN114" s="504">
        <v>0</v>
      </c>
      <c r="NO114" s="504">
        <v>0</v>
      </c>
      <c r="NP114" s="504">
        <v>0</v>
      </c>
      <c r="NQ114" s="504">
        <v>0</v>
      </c>
      <c r="NR114" s="504">
        <v>0</v>
      </c>
      <c r="NS114" s="504">
        <v>0</v>
      </c>
      <c r="NT114" s="504">
        <v>0</v>
      </c>
      <c r="NU114" s="504">
        <v>0</v>
      </c>
      <c r="NV114" s="504">
        <v>0</v>
      </c>
      <c r="NW114" s="504">
        <v>0</v>
      </c>
      <c r="NX114" s="504">
        <v>0</v>
      </c>
      <c r="NY114" s="504">
        <v>0</v>
      </c>
      <c r="NZ114" s="504">
        <v>0</v>
      </c>
      <c r="OA114" s="504">
        <v>0</v>
      </c>
      <c r="OB114" s="504">
        <v>0</v>
      </c>
      <c r="OC114" s="504">
        <v>0</v>
      </c>
      <c r="OD114" s="504">
        <v>0</v>
      </c>
      <c r="OE114" s="504">
        <v>0</v>
      </c>
      <c r="OF114" s="504">
        <v>0</v>
      </c>
      <c r="OG114" s="504">
        <v>0</v>
      </c>
      <c r="OH114" s="504">
        <v>0</v>
      </c>
      <c r="OI114" s="504">
        <v>0</v>
      </c>
      <c r="OJ114" s="504">
        <v>0</v>
      </c>
      <c r="OK114" s="504">
        <v>0</v>
      </c>
      <c r="OL114" s="504">
        <v>0</v>
      </c>
      <c r="OM114" s="504">
        <v>0</v>
      </c>
      <c r="ON114" s="494"/>
    </row>
    <row r="115" spans="1:404" ht="18.75" customHeight="1" x14ac:dyDescent="0.4">
      <c r="A115" s="511" t="s">
        <v>385</v>
      </c>
      <c r="B115" s="512">
        <v>74</v>
      </c>
      <c r="C115" s="511" t="s">
        <v>60</v>
      </c>
      <c r="D115" s="501">
        <v>26.66</v>
      </c>
      <c r="F115" s="501">
        <v>26.76</v>
      </c>
      <c r="H115" s="501">
        <v>26.76</v>
      </c>
      <c r="J115" s="501">
        <v>26.76</v>
      </c>
      <c r="V115" s="501"/>
      <c r="W115" s="503"/>
      <c r="X115" s="501"/>
      <c r="Y115" s="503"/>
      <c r="Z115" s="501"/>
      <c r="AA115" s="503"/>
      <c r="AB115" s="495"/>
      <c r="AC115" s="504">
        <v>0</v>
      </c>
      <c r="AD115" s="504">
        <v>0</v>
      </c>
      <c r="AE115" s="504">
        <v>0</v>
      </c>
      <c r="AF115" s="504">
        <v>0</v>
      </c>
      <c r="AG115" s="504">
        <v>0</v>
      </c>
      <c r="AH115" s="504">
        <v>0</v>
      </c>
      <c r="AI115" s="504">
        <v>0</v>
      </c>
      <c r="AJ115" s="504">
        <v>0</v>
      </c>
      <c r="AK115" s="504">
        <v>0</v>
      </c>
      <c r="AL115" s="504">
        <v>0</v>
      </c>
      <c r="AM115" s="504">
        <v>0</v>
      </c>
      <c r="AN115" s="504">
        <v>0</v>
      </c>
      <c r="AO115" s="504">
        <v>0</v>
      </c>
      <c r="AP115" s="504">
        <v>0</v>
      </c>
      <c r="AQ115" s="504">
        <v>0</v>
      </c>
      <c r="AR115" s="504">
        <v>0</v>
      </c>
      <c r="AS115" s="504">
        <v>0</v>
      </c>
      <c r="AT115" s="504">
        <v>0</v>
      </c>
      <c r="AU115" s="504">
        <v>0</v>
      </c>
      <c r="AV115" s="504">
        <v>0</v>
      </c>
      <c r="AW115" s="504">
        <v>0</v>
      </c>
      <c r="AX115" s="504">
        <v>0</v>
      </c>
      <c r="AY115" s="504">
        <v>0</v>
      </c>
      <c r="AZ115" s="504">
        <v>0</v>
      </c>
      <c r="BA115" s="504">
        <v>0</v>
      </c>
      <c r="BB115" s="504">
        <v>0</v>
      </c>
      <c r="BC115" s="504">
        <v>0</v>
      </c>
      <c r="BD115" s="504">
        <v>0</v>
      </c>
      <c r="BE115" s="504">
        <v>0</v>
      </c>
      <c r="BF115" s="504">
        <v>0</v>
      </c>
      <c r="BG115" s="504">
        <v>0</v>
      </c>
      <c r="BH115" s="504">
        <v>0</v>
      </c>
      <c r="BI115" s="504">
        <v>0</v>
      </c>
      <c r="BJ115" s="504">
        <v>0</v>
      </c>
      <c r="BK115" s="504">
        <v>0</v>
      </c>
      <c r="BL115" s="504">
        <v>0</v>
      </c>
      <c r="BM115" s="504">
        <v>0</v>
      </c>
      <c r="BN115" s="504">
        <v>0</v>
      </c>
      <c r="BO115" s="504">
        <v>0</v>
      </c>
      <c r="BP115" s="504">
        <v>0</v>
      </c>
      <c r="BQ115" s="504">
        <v>0</v>
      </c>
      <c r="BR115" s="504">
        <v>0</v>
      </c>
      <c r="BS115" s="504">
        <v>0</v>
      </c>
      <c r="BT115" s="504">
        <v>0</v>
      </c>
      <c r="BU115" s="504">
        <v>0</v>
      </c>
      <c r="BV115" s="504">
        <v>0</v>
      </c>
      <c r="BW115" s="504">
        <v>0</v>
      </c>
      <c r="BX115" s="504">
        <v>0</v>
      </c>
      <c r="BY115" s="504">
        <v>0</v>
      </c>
      <c r="BZ115" s="504">
        <v>0</v>
      </c>
      <c r="CA115" s="504">
        <v>0</v>
      </c>
      <c r="CB115" s="504">
        <v>0</v>
      </c>
      <c r="CC115" s="504">
        <v>0</v>
      </c>
      <c r="CD115" s="504">
        <v>0</v>
      </c>
      <c r="CE115" s="504">
        <v>0</v>
      </c>
      <c r="CF115" s="504">
        <v>0</v>
      </c>
      <c r="CG115" s="504">
        <v>0</v>
      </c>
      <c r="CH115" s="504">
        <v>0</v>
      </c>
      <c r="CI115" s="504">
        <v>0</v>
      </c>
      <c r="CJ115" s="504">
        <v>0</v>
      </c>
      <c r="CK115" s="504">
        <v>0</v>
      </c>
      <c r="CL115" s="504">
        <v>0</v>
      </c>
      <c r="CM115" s="504">
        <v>0</v>
      </c>
      <c r="CN115" s="504">
        <v>0</v>
      </c>
      <c r="CO115" s="504">
        <v>0</v>
      </c>
      <c r="CP115" s="504">
        <v>0</v>
      </c>
      <c r="CQ115" s="504">
        <v>0</v>
      </c>
      <c r="CR115" s="504">
        <v>0</v>
      </c>
      <c r="CS115" s="504">
        <v>0</v>
      </c>
      <c r="CT115" s="504">
        <v>0</v>
      </c>
      <c r="CU115" s="504">
        <v>0</v>
      </c>
      <c r="CV115" s="504">
        <v>0</v>
      </c>
      <c r="CW115" s="504">
        <v>0</v>
      </c>
      <c r="CX115" s="504">
        <v>0</v>
      </c>
      <c r="CY115" s="504">
        <v>0</v>
      </c>
      <c r="CZ115" s="504">
        <v>0</v>
      </c>
      <c r="DA115" s="504">
        <v>0</v>
      </c>
      <c r="DB115" s="504">
        <v>0</v>
      </c>
      <c r="DC115" s="504">
        <v>0</v>
      </c>
      <c r="DD115" s="504">
        <v>0</v>
      </c>
      <c r="DE115" s="504">
        <v>0</v>
      </c>
      <c r="DF115" s="504">
        <v>0</v>
      </c>
      <c r="DG115" s="504">
        <v>0</v>
      </c>
      <c r="DH115" s="504">
        <v>0</v>
      </c>
      <c r="DI115" s="504">
        <v>0</v>
      </c>
      <c r="DJ115" s="504">
        <v>0</v>
      </c>
      <c r="DK115" s="504">
        <v>0</v>
      </c>
      <c r="DL115" s="504">
        <v>0</v>
      </c>
      <c r="DM115" s="504">
        <v>0</v>
      </c>
      <c r="DN115" s="504">
        <v>0</v>
      </c>
      <c r="DO115" s="504">
        <v>0</v>
      </c>
      <c r="DP115" s="504">
        <v>0</v>
      </c>
      <c r="DQ115" s="504">
        <v>0</v>
      </c>
      <c r="DR115" s="504">
        <v>0</v>
      </c>
      <c r="DS115" s="504">
        <v>0</v>
      </c>
      <c r="DT115" s="504">
        <v>0</v>
      </c>
      <c r="DU115" s="504">
        <v>0</v>
      </c>
      <c r="DV115" s="504">
        <v>0</v>
      </c>
      <c r="DW115" s="504">
        <v>0</v>
      </c>
      <c r="DX115" s="504">
        <v>0</v>
      </c>
      <c r="DY115" s="504">
        <v>0</v>
      </c>
      <c r="DZ115" s="504">
        <v>0</v>
      </c>
      <c r="EA115" s="504">
        <v>0</v>
      </c>
      <c r="EB115" s="504">
        <v>0</v>
      </c>
      <c r="EC115" s="504">
        <v>0</v>
      </c>
      <c r="ED115" s="504">
        <v>0</v>
      </c>
      <c r="EE115" s="504">
        <v>0</v>
      </c>
      <c r="EF115" s="504">
        <v>0</v>
      </c>
      <c r="EG115" s="504">
        <v>0</v>
      </c>
      <c r="EH115" s="504">
        <v>0</v>
      </c>
      <c r="EI115" s="504">
        <v>0</v>
      </c>
      <c r="EJ115" s="504">
        <v>0</v>
      </c>
      <c r="EK115" s="504">
        <v>0</v>
      </c>
      <c r="EL115" s="504">
        <v>0</v>
      </c>
      <c r="EM115" s="504">
        <v>0</v>
      </c>
      <c r="EN115" s="504">
        <v>0</v>
      </c>
      <c r="EO115" s="504">
        <v>0</v>
      </c>
      <c r="EP115" s="504">
        <v>0</v>
      </c>
      <c r="EQ115" s="504">
        <v>0</v>
      </c>
      <c r="ER115" s="504">
        <v>0</v>
      </c>
      <c r="ES115" s="504">
        <v>0</v>
      </c>
      <c r="ET115" s="504">
        <v>0</v>
      </c>
      <c r="EU115" s="504">
        <v>0</v>
      </c>
      <c r="EV115" s="504">
        <v>0</v>
      </c>
      <c r="EW115" s="504">
        <v>0</v>
      </c>
      <c r="EX115" s="504">
        <v>0</v>
      </c>
      <c r="EY115" s="504">
        <v>0</v>
      </c>
      <c r="EZ115" s="504">
        <v>0</v>
      </c>
      <c r="FA115" s="504">
        <v>0</v>
      </c>
      <c r="FB115" s="504">
        <v>0</v>
      </c>
      <c r="FC115" s="504">
        <v>0</v>
      </c>
      <c r="FD115" s="504">
        <v>0</v>
      </c>
      <c r="FE115" s="504">
        <v>0</v>
      </c>
      <c r="FF115" s="504">
        <v>0</v>
      </c>
      <c r="FG115" s="504">
        <v>0</v>
      </c>
      <c r="FH115" s="504">
        <v>0</v>
      </c>
      <c r="FI115" s="504">
        <v>0</v>
      </c>
      <c r="FJ115" s="504">
        <v>0</v>
      </c>
      <c r="FK115" s="504">
        <v>0</v>
      </c>
      <c r="FL115" s="504">
        <v>0</v>
      </c>
      <c r="FM115" s="504">
        <v>0</v>
      </c>
      <c r="FN115" s="504">
        <v>0</v>
      </c>
      <c r="FO115" s="504">
        <v>0</v>
      </c>
      <c r="FP115" s="504">
        <v>0</v>
      </c>
      <c r="FQ115" s="504">
        <v>0</v>
      </c>
      <c r="FR115" s="504">
        <v>0</v>
      </c>
      <c r="FS115" s="504">
        <v>0</v>
      </c>
      <c r="FT115" s="504">
        <v>0</v>
      </c>
      <c r="FU115" s="504">
        <v>0</v>
      </c>
      <c r="FV115" s="504">
        <v>0</v>
      </c>
      <c r="FW115" s="504">
        <v>0</v>
      </c>
      <c r="FX115" s="504">
        <v>0</v>
      </c>
      <c r="FY115" s="504">
        <v>0</v>
      </c>
      <c r="FZ115" s="504">
        <v>0</v>
      </c>
      <c r="GA115" s="504">
        <v>0</v>
      </c>
      <c r="GB115" s="504">
        <v>0</v>
      </c>
      <c r="GC115" s="504">
        <v>0</v>
      </c>
      <c r="GD115" s="504">
        <v>0</v>
      </c>
      <c r="GE115" s="504">
        <v>0</v>
      </c>
      <c r="GF115" s="504">
        <v>0</v>
      </c>
      <c r="GG115" s="504">
        <v>0</v>
      </c>
      <c r="GH115" s="504">
        <v>0</v>
      </c>
      <c r="GI115" s="504">
        <v>0</v>
      </c>
      <c r="GJ115" s="504">
        <v>0</v>
      </c>
      <c r="GK115" s="504">
        <v>0</v>
      </c>
      <c r="GL115" s="504">
        <v>0</v>
      </c>
      <c r="GM115" s="504">
        <v>0</v>
      </c>
      <c r="GN115" s="504">
        <v>0</v>
      </c>
      <c r="GO115" s="504">
        <v>0</v>
      </c>
      <c r="GP115" s="504">
        <v>0</v>
      </c>
      <c r="GQ115" s="504">
        <v>0</v>
      </c>
      <c r="GR115" s="504">
        <v>0</v>
      </c>
      <c r="GS115" s="504">
        <v>0</v>
      </c>
      <c r="GT115" s="504">
        <v>0</v>
      </c>
      <c r="GU115" s="504">
        <v>0</v>
      </c>
      <c r="GV115" s="504">
        <v>0</v>
      </c>
      <c r="GW115" s="504">
        <v>0</v>
      </c>
      <c r="GX115" s="504">
        <v>0</v>
      </c>
      <c r="GY115" s="504">
        <v>0</v>
      </c>
      <c r="GZ115" s="504">
        <v>0</v>
      </c>
      <c r="HA115" s="504">
        <v>0</v>
      </c>
      <c r="HB115" s="504">
        <v>0</v>
      </c>
      <c r="HC115" s="504">
        <v>0</v>
      </c>
      <c r="HD115" s="504">
        <v>0</v>
      </c>
      <c r="HE115" s="504">
        <v>0</v>
      </c>
      <c r="HF115" s="504">
        <v>0</v>
      </c>
      <c r="HG115" s="504">
        <v>0</v>
      </c>
      <c r="HH115" s="504">
        <v>0</v>
      </c>
      <c r="HI115" s="504">
        <v>0</v>
      </c>
      <c r="HJ115" s="504">
        <v>0</v>
      </c>
      <c r="HK115" s="504">
        <v>0</v>
      </c>
      <c r="HL115" s="504">
        <v>0</v>
      </c>
      <c r="HM115" s="504">
        <v>0</v>
      </c>
      <c r="HN115" s="504">
        <v>0</v>
      </c>
      <c r="HO115" s="504">
        <v>0</v>
      </c>
      <c r="HP115" s="504">
        <v>0</v>
      </c>
      <c r="HQ115" s="504">
        <v>0</v>
      </c>
      <c r="HR115" s="504">
        <v>0</v>
      </c>
      <c r="HS115" s="504">
        <v>0</v>
      </c>
      <c r="HT115" s="504">
        <v>0</v>
      </c>
      <c r="HU115" s="504">
        <v>0</v>
      </c>
      <c r="HV115" s="504">
        <v>0</v>
      </c>
      <c r="HW115" s="504">
        <v>0</v>
      </c>
      <c r="HX115" s="504">
        <v>0</v>
      </c>
      <c r="HY115" s="504">
        <v>0</v>
      </c>
      <c r="HZ115" s="504">
        <v>0</v>
      </c>
      <c r="IA115" s="504">
        <v>0</v>
      </c>
      <c r="IB115" s="504">
        <v>0</v>
      </c>
      <c r="IC115" s="504">
        <v>0</v>
      </c>
      <c r="ID115" s="504">
        <v>0</v>
      </c>
      <c r="IE115" s="504">
        <v>0</v>
      </c>
      <c r="IF115" s="504">
        <v>0</v>
      </c>
      <c r="IG115" s="504">
        <v>0</v>
      </c>
      <c r="IH115" s="504">
        <v>0</v>
      </c>
      <c r="II115" s="504">
        <v>0</v>
      </c>
      <c r="IJ115" s="504">
        <v>0</v>
      </c>
      <c r="IK115" s="504">
        <v>0</v>
      </c>
      <c r="IL115" s="504">
        <v>0</v>
      </c>
      <c r="IM115" s="504">
        <v>0</v>
      </c>
      <c r="IN115" s="504">
        <v>0</v>
      </c>
      <c r="IO115" s="504">
        <v>0</v>
      </c>
      <c r="IP115" s="504">
        <v>0</v>
      </c>
      <c r="IQ115" s="504">
        <v>0</v>
      </c>
      <c r="IR115" s="504">
        <v>0</v>
      </c>
      <c r="IS115" s="504">
        <v>0</v>
      </c>
      <c r="IT115" s="504">
        <v>0</v>
      </c>
      <c r="IU115" s="504">
        <v>0</v>
      </c>
      <c r="IV115" s="504">
        <v>0</v>
      </c>
      <c r="IW115" s="504">
        <v>0</v>
      </c>
      <c r="IX115" s="504">
        <v>0</v>
      </c>
      <c r="IY115" s="504">
        <v>0</v>
      </c>
      <c r="IZ115" s="504">
        <v>0</v>
      </c>
      <c r="JA115" s="504">
        <v>0</v>
      </c>
      <c r="JB115" s="504">
        <v>0</v>
      </c>
      <c r="JC115" s="504">
        <v>0</v>
      </c>
      <c r="JD115" s="504">
        <v>0</v>
      </c>
      <c r="JE115" s="504">
        <v>0</v>
      </c>
      <c r="JF115" s="504">
        <v>0</v>
      </c>
      <c r="JG115" s="504">
        <v>0</v>
      </c>
      <c r="JH115" s="504">
        <v>0</v>
      </c>
      <c r="JI115" s="504">
        <v>0</v>
      </c>
      <c r="JJ115" s="504">
        <v>0</v>
      </c>
      <c r="JK115" s="504">
        <v>0</v>
      </c>
      <c r="JL115" s="504">
        <v>0</v>
      </c>
      <c r="JM115" s="504">
        <v>0</v>
      </c>
      <c r="JN115" s="504">
        <v>0</v>
      </c>
      <c r="JO115" s="504">
        <v>0</v>
      </c>
      <c r="JP115" s="504">
        <v>0</v>
      </c>
      <c r="JQ115" s="504">
        <v>0</v>
      </c>
      <c r="JR115" s="504">
        <v>0</v>
      </c>
      <c r="JS115" s="504">
        <v>0</v>
      </c>
      <c r="JT115" s="504">
        <v>0</v>
      </c>
      <c r="JU115" s="504">
        <v>0</v>
      </c>
      <c r="JV115" s="504">
        <v>0</v>
      </c>
      <c r="JW115" s="504">
        <v>0</v>
      </c>
      <c r="JX115" s="504">
        <v>0</v>
      </c>
      <c r="JY115" s="504">
        <v>0</v>
      </c>
      <c r="JZ115" s="504">
        <v>0</v>
      </c>
      <c r="KA115" s="504">
        <v>0</v>
      </c>
      <c r="KB115" s="504">
        <v>0</v>
      </c>
      <c r="KC115" s="504">
        <v>0</v>
      </c>
      <c r="KD115" s="504">
        <v>0</v>
      </c>
      <c r="KE115" s="504">
        <v>0</v>
      </c>
      <c r="KF115" s="504">
        <v>0</v>
      </c>
      <c r="KG115" s="504">
        <v>0</v>
      </c>
      <c r="KH115" s="504">
        <v>0</v>
      </c>
      <c r="KI115" s="504">
        <v>0</v>
      </c>
      <c r="KJ115" s="504">
        <v>0</v>
      </c>
      <c r="KK115" s="504">
        <v>0</v>
      </c>
      <c r="KL115" s="504">
        <v>0</v>
      </c>
      <c r="KM115" s="504">
        <v>0</v>
      </c>
      <c r="KN115" s="504">
        <v>0</v>
      </c>
      <c r="KO115" s="504">
        <v>0</v>
      </c>
      <c r="KP115" s="504">
        <v>0</v>
      </c>
      <c r="KQ115" s="504">
        <v>0</v>
      </c>
      <c r="KR115" s="504">
        <v>0</v>
      </c>
      <c r="KS115" s="504">
        <v>0</v>
      </c>
      <c r="KT115" s="504">
        <v>0</v>
      </c>
      <c r="KU115" s="504">
        <v>0</v>
      </c>
      <c r="KV115" s="504">
        <v>0</v>
      </c>
      <c r="KW115" s="504">
        <v>0</v>
      </c>
      <c r="KX115" s="504">
        <v>0</v>
      </c>
      <c r="KY115" s="504">
        <v>0</v>
      </c>
      <c r="KZ115" s="504">
        <v>0</v>
      </c>
      <c r="LA115" s="504">
        <v>0</v>
      </c>
      <c r="LB115" s="504">
        <v>0</v>
      </c>
      <c r="LC115" s="504">
        <v>0</v>
      </c>
      <c r="LD115" s="504">
        <v>0</v>
      </c>
      <c r="LE115" s="504">
        <v>0</v>
      </c>
      <c r="LF115" s="504">
        <v>0</v>
      </c>
      <c r="LG115" s="504">
        <v>0</v>
      </c>
      <c r="LH115" s="504">
        <v>0</v>
      </c>
      <c r="LI115" s="504">
        <v>0</v>
      </c>
      <c r="LJ115" s="504">
        <v>0</v>
      </c>
      <c r="LK115" s="504">
        <v>0</v>
      </c>
      <c r="LL115" s="504">
        <v>0</v>
      </c>
      <c r="LM115" s="504">
        <v>0</v>
      </c>
      <c r="LN115" s="504">
        <v>0</v>
      </c>
      <c r="LO115" s="504">
        <v>0</v>
      </c>
      <c r="LP115" s="504">
        <v>0</v>
      </c>
      <c r="LQ115" s="504">
        <v>0</v>
      </c>
      <c r="LR115" s="504">
        <v>0</v>
      </c>
      <c r="LS115" s="504">
        <v>0</v>
      </c>
      <c r="LT115" s="504">
        <v>0</v>
      </c>
      <c r="LU115" s="504">
        <v>0</v>
      </c>
      <c r="LV115" s="504">
        <v>0</v>
      </c>
      <c r="LW115" s="504">
        <v>0</v>
      </c>
      <c r="LX115" s="504">
        <v>0</v>
      </c>
      <c r="LY115" s="504">
        <v>0</v>
      </c>
      <c r="LZ115" s="504">
        <v>0</v>
      </c>
      <c r="MA115" s="504">
        <v>0</v>
      </c>
      <c r="MB115" s="504">
        <v>0</v>
      </c>
      <c r="MC115" s="504">
        <v>0</v>
      </c>
      <c r="MD115" s="504">
        <v>0</v>
      </c>
      <c r="ME115" s="504">
        <v>0</v>
      </c>
      <c r="MF115" s="504">
        <v>0</v>
      </c>
      <c r="MG115" s="504">
        <v>0</v>
      </c>
      <c r="MH115" s="504">
        <v>0</v>
      </c>
      <c r="MI115" s="504">
        <v>0</v>
      </c>
      <c r="MJ115" s="504">
        <v>0</v>
      </c>
      <c r="MK115" s="504">
        <v>0</v>
      </c>
      <c r="ML115" s="504">
        <v>0</v>
      </c>
      <c r="MM115" s="504">
        <v>0</v>
      </c>
      <c r="MN115" s="504">
        <v>0</v>
      </c>
      <c r="MO115" s="504">
        <v>0</v>
      </c>
      <c r="MP115" s="504">
        <v>0</v>
      </c>
      <c r="MQ115" s="504">
        <v>0</v>
      </c>
      <c r="MR115" s="504">
        <v>0</v>
      </c>
      <c r="MS115" s="504">
        <v>0</v>
      </c>
      <c r="MT115" s="504">
        <v>0</v>
      </c>
      <c r="MU115" s="504">
        <v>0</v>
      </c>
      <c r="MV115" s="504">
        <v>0</v>
      </c>
      <c r="MW115" s="504">
        <v>0</v>
      </c>
      <c r="MX115" s="504">
        <v>0</v>
      </c>
      <c r="MY115" s="504">
        <v>0</v>
      </c>
      <c r="MZ115" s="504">
        <v>0</v>
      </c>
      <c r="NA115" s="504">
        <v>0</v>
      </c>
      <c r="NB115" s="504">
        <v>0</v>
      </c>
      <c r="NC115" s="504">
        <v>0</v>
      </c>
      <c r="ND115" s="504">
        <v>0</v>
      </c>
      <c r="NE115" s="504">
        <v>0</v>
      </c>
      <c r="NF115" s="504">
        <v>0</v>
      </c>
      <c r="NG115" s="504">
        <v>0</v>
      </c>
      <c r="NH115" s="504">
        <v>0</v>
      </c>
      <c r="NI115" s="504">
        <v>0</v>
      </c>
      <c r="NJ115" s="504">
        <v>0</v>
      </c>
      <c r="NK115" s="504">
        <v>0</v>
      </c>
      <c r="NL115" s="504">
        <v>0</v>
      </c>
      <c r="NM115" s="504">
        <v>0</v>
      </c>
      <c r="NN115" s="504">
        <v>0</v>
      </c>
      <c r="NO115" s="504">
        <v>0</v>
      </c>
      <c r="NP115" s="504">
        <v>0</v>
      </c>
      <c r="NQ115" s="504">
        <v>0</v>
      </c>
      <c r="NR115" s="504">
        <v>0</v>
      </c>
      <c r="NS115" s="504">
        <v>0</v>
      </c>
      <c r="NT115" s="504">
        <v>0</v>
      </c>
      <c r="NU115" s="504">
        <v>0</v>
      </c>
      <c r="NV115" s="504">
        <v>0</v>
      </c>
      <c r="NW115" s="504">
        <v>0</v>
      </c>
      <c r="NX115" s="504">
        <v>0</v>
      </c>
      <c r="NY115" s="504">
        <v>0</v>
      </c>
      <c r="NZ115" s="504">
        <v>0</v>
      </c>
      <c r="OA115" s="504">
        <v>0</v>
      </c>
      <c r="OB115" s="504">
        <v>0</v>
      </c>
      <c r="OC115" s="504">
        <v>0</v>
      </c>
      <c r="OD115" s="504">
        <v>0</v>
      </c>
      <c r="OE115" s="504">
        <v>0</v>
      </c>
      <c r="OF115" s="504">
        <v>0</v>
      </c>
      <c r="OG115" s="504">
        <v>0</v>
      </c>
      <c r="OH115" s="504">
        <v>0</v>
      </c>
      <c r="OI115" s="504">
        <v>0</v>
      </c>
      <c r="OJ115" s="504">
        <v>0</v>
      </c>
      <c r="OK115" s="504">
        <v>0</v>
      </c>
      <c r="OL115" s="504">
        <v>0</v>
      </c>
      <c r="OM115" s="504">
        <v>0</v>
      </c>
      <c r="ON115" s="494"/>
    </row>
    <row r="116" spans="1:404" ht="18.75" customHeight="1" x14ac:dyDescent="0.4">
      <c r="A116" s="511" t="s">
        <v>386</v>
      </c>
      <c r="B116" s="512">
        <v>225</v>
      </c>
      <c r="C116" s="511" t="s">
        <v>60</v>
      </c>
      <c r="D116" s="501">
        <v>27.96</v>
      </c>
      <c r="E116" s="502">
        <v>9590</v>
      </c>
      <c r="F116" s="501">
        <v>27.96</v>
      </c>
      <c r="G116" s="502">
        <v>1620</v>
      </c>
      <c r="H116" s="501">
        <v>27.96</v>
      </c>
      <c r="I116" s="502">
        <v>3908</v>
      </c>
      <c r="J116" s="501">
        <v>27.96</v>
      </c>
      <c r="K116" s="502">
        <v>4291</v>
      </c>
      <c r="V116" s="501"/>
      <c r="W116" s="503"/>
      <c r="X116" s="501"/>
      <c r="Y116" s="503"/>
      <c r="Z116" s="501"/>
      <c r="AA116" s="503"/>
      <c r="AB116" s="495"/>
      <c r="AC116" s="504">
        <v>0</v>
      </c>
      <c r="AD116" s="504">
        <v>0</v>
      </c>
      <c r="AE116" s="504">
        <v>0</v>
      </c>
      <c r="AF116" s="504">
        <v>0</v>
      </c>
      <c r="AG116" s="504">
        <v>0</v>
      </c>
      <c r="AH116" s="504">
        <v>0</v>
      </c>
      <c r="AI116" s="504">
        <v>0</v>
      </c>
      <c r="AJ116" s="504">
        <v>0</v>
      </c>
      <c r="AK116" s="504">
        <v>0</v>
      </c>
      <c r="AL116" s="504">
        <v>0</v>
      </c>
      <c r="AM116" s="504">
        <v>0</v>
      </c>
      <c r="AN116" s="504">
        <v>0</v>
      </c>
      <c r="AO116" s="504">
        <v>0</v>
      </c>
      <c r="AP116" s="504">
        <v>0</v>
      </c>
      <c r="AQ116" s="504">
        <v>0</v>
      </c>
      <c r="AR116" s="504">
        <v>0</v>
      </c>
      <c r="AS116" s="504">
        <v>0</v>
      </c>
      <c r="AT116" s="504">
        <v>0</v>
      </c>
      <c r="AU116" s="504">
        <v>0</v>
      </c>
      <c r="AV116" s="504">
        <v>0</v>
      </c>
      <c r="AW116" s="504">
        <v>0</v>
      </c>
      <c r="AX116" s="504">
        <v>0</v>
      </c>
      <c r="AY116" s="504">
        <v>0</v>
      </c>
      <c r="AZ116" s="504">
        <v>0</v>
      </c>
      <c r="BA116" s="504">
        <v>0</v>
      </c>
      <c r="BB116" s="504">
        <v>0</v>
      </c>
      <c r="BC116" s="504">
        <v>0</v>
      </c>
      <c r="BD116" s="504">
        <v>0</v>
      </c>
      <c r="BE116" s="504">
        <v>0</v>
      </c>
      <c r="BF116" s="504">
        <v>0</v>
      </c>
      <c r="BG116" s="504">
        <v>0</v>
      </c>
      <c r="BH116" s="504">
        <v>0</v>
      </c>
      <c r="BI116" s="504">
        <v>0</v>
      </c>
      <c r="BJ116" s="504">
        <v>0</v>
      </c>
      <c r="BK116" s="504">
        <v>0</v>
      </c>
      <c r="BL116" s="504">
        <v>0</v>
      </c>
      <c r="BM116" s="504">
        <v>0</v>
      </c>
      <c r="BN116" s="504">
        <v>0</v>
      </c>
      <c r="BO116" s="504">
        <v>0</v>
      </c>
      <c r="BP116" s="504">
        <v>0</v>
      </c>
      <c r="BQ116" s="504">
        <v>0</v>
      </c>
      <c r="BR116" s="504">
        <v>0</v>
      </c>
      <c r="BS116" s="504">
        <v>0</v>
      </c>
      <c r="BT116" s="504">
        <v>0</v>
      </c>
      <c r="BU116" s="504">
        <v>0</v>
      </c>
      <c r="BV116" s="504">
        <v>0</v>
      </c>
      <c r="BW116" s="504">
        <v>0</v>
      </c>
      <c r="BX116" s="504">
        <v>0</v>
      </c>
      <c r="BY116" s="504">
        <v>0</v>
      </c>
      <c r="BZ116" s="504">
        <v>0</v>
      </c>
      <c r="CA116" s="504">
        <v>0</v>
      </c>
      <c r="CB116" s="504">
        <v>0</v>
      </c>
      <c r="CC116" s="504">
        <v>0</v>
      </c>
      <c r="CD116" s="504">
        <v>0</v>
      </c>
      <c r="CE116" s="504">
        <v>0</v>
      </c>
      <c r="CF116" s="504">
        <v>0</v>
      </c>
      <c r="CG116" s="504">
        <v>0</v>
      </c>
      <c r="CH116" s="504">
        <v>0</v>
      </c>
      <c r="CI116" s="504">
        <v>0</v>
      </c>
      <c r="CJ116" s="504">
        <v>0</v>
      </c>
      <c r="CK116" s="504">
        <v>0</v>
      </c>
      <c r="CL116" s="504">
        <v>0</v>
      </c>
      <c r="CM116" s="504">
        <v>0</v>
      </c>
      <c r="CN116" s="504">
        <v>0</v>
      </c>
      <c r="CO116" s="504">
        <v>0</v>
      </c>
      <c r="CP116" s="504">
        <v>0</v>
      </c>
      <c r="CQ116" s="504">
        <v>0</v>
      </c>
      <c r="CR116" s="504">
        <v>0</v>
      </c>
      <c r="CS116" s="504">
        <v>0</v>
      </c>
      <c r="CT116" s="504">
        <v>0</v>
      </c>
      <c r="CU116" s="504">
        <v>0</v>
      </c>
      <c r="CV116" s="504">
        <v>0</v>
      </c>
      <c r="CW116" s="504">
        <v>0</v>
      </c>
      <c r="CX116" s="504">
        <v>0</v>
      </c>
      <c r="CY116" s="504">
        <v>0</v>
      </c>
      <c r="CZ116" s="504">
        <v>0</v>
      </c>
      <c r="DA116" s="504">
        <v>0</v>
      </c>
      <c r="DB116" s="504">
        <v>0</v>
      </c>
      <c r="DC116" s="504">
        <v>0</v>
      </c>
      <c r="DD116" s="504">
        <v>0</v>
      </c>
      <c r="DE116" s="504">
        <v>0</v>
      </c>
      <c r="DF116" s="504">
        <v>0</v>
      </c>
      <c r="DG116" s="504">
        <v>0</v>
      </c>
      <c r="DH116" s="504">
        <v>0</v>
      </c>
      <c r="DI116" s="504">
        <v>0</v>
      </c>
      <c r="DJ116" s="504">
        <v>0</v>
      </c>
      <c r="DK116" s="504">
        <v>0</v>
      </c>
      <c r="DL116" s="504">
        <v>0</v>
      </c>
      <c r="DM116" s="504">
        <v>0</v>
      </c>
      <c r="DN116" s="504">
        <v>0</v>
      </c>
      <c r="DO116" s="504">
        <v>0</v>
      </c>
      <c r="DP116" s="504">
        <v>0</v>
      </c>
      <c r="DQ116" s="504">
        <v>0</v>
      </c>
      <c r="DR116" s="504">
        <v>0</v>
      </c>
      <c r="DS116" s="504">
        <v>0</v>
      </c>
      <c r="DT116" s="504">
        <v>0</v>
      </c>
      <c r="DU116" s="504">
        <v>0</v>
      </c>
      <c r="DV116" s="504">
        <v>0</v>
      </c>
      <c r="DW116" s="504">
        <v>0</v>
      </c>
      <c r="DX116" s="504">
        <v>0</v>
      </c>
      <c r="DY116" s="504">
        <v>0</v>
      </c>
      <c r="DZ116" s="504">
        <v>0</v>
      </c>
      <c r="EA116" s="504">
        <v>0</v>
      </c>
      <c r="EB116" s="504">
        <v>0</v>
      </c>
      <c r="EC116" s="504">
        <v>0</v>
      </c>
      <c r="ED116" s="504">
        <v>0</v>
      </c>
      <c r="EE116" s="504">
        <v>0</v>
      </c>
      <c r="EF116" s="504">
        <v>0</v>
      </c>
      <c r="EG116" s="504">
        <v>0</v>
      </c>
      <c r="EH116" s="504">
        <v>0</v>
      </c>
      <c r="EI116" s="504">
        <v>0</v>
      </c>
      <c r="EJ116" s="504">
        <v>0</v>
      </c>
      <c r="EK116" s="504">
        <v>0</v>
      </c>
      <c r="EL116" s="504">
        <v>0</v>
      </c>
      <c r="EM116" s="504">
        <v>0</v>
      </c>
      <c r="EN116" s="504">
        <v>0</v>
      </c>
      <c r="EO116" s="504">
        <v>0</v>
      </c>
      <c r="EP116" s="504">
        <v>0</v>
      </c>
      <c r="EQ116" s="504">
        <v>0</v>
      </c>
      <c r="ER116" s="504">
        <v>0</v>
      </c>
      <c r="ES116" s="504">
        <v>0</v>
      </c>
      <c r="ET116" s="504">
        <v>0</v>
      </c>
      <c r="EU116" s="504">
        <v>0</v>
      </c>
      <c r="EV116" s="504">
        <v>0</v>
      </c>
      <c r="EW116" s="504">
        <v>0</v>
      </c>
      <c r="EX116" s="504">
        <v>0</v>
      </c>
      <c r="EY116" s="504">
        <v>0</v>
      </c>
      <c r="EZ116" s="504">
        <v>0</v>
      </c>
      <c r="FA116" s="504">
        <v>0</v>
      </c>
      <c r="FB116" s="504">
        <v>0</v>
      </c>
      <c r="FC116" s="504">
        <v>0</v>
      </c>
      <c r="FD116" s="504">
        <v>0</v>
      </c>
      <c r="FE116" s="504">
        <v>0</v>
      </c>
      <c r="FF116" s="504">
        <v>0</v>
      </c>
      <c r="FG116" s="504">
        <v>0</v>
      </c>
      <c r="FH116" s="504">
        <v>0</v>
      </c>
      <c r="FI116" s="504">
        <v>0</v>
      </c>
      <c r="FJ116" s="504">
        <v>0</v>
      </c>
      <c r="FK116" s="504">
        <v>0</v>
      </c>
      <c r="FL116" s="504">
        <v>0</v>
      </c>
      <c r="FM116" s="504">
        <v>0</v>
      </c>
      <c r="FN116" s="504">
        <v>0</v>
      </c>
      <c r="FO116" s="504">
        <v>0</v>
      </c>
      <c r="FP116" s="504">
        <v>0</v>
      </c>
      <c r="FQ116" s="504">
        <v>0</v>
      </c>
      <c r="FR116" s="504">
        <v>0</v>
      </c>
      <c r="FS116" s="504">
        <v>0</v>
      </c>
      <c r="FT116" s="504">
        <v>0</v>
      </c>
      <c r="FU116" s="504">
        <v>0</v>
      </c>
      <c r="FV116" s="504">
        <v>0</v>
      </c>
      <c r="FW116" s="504">
        <v>0</v>
      </c>
      <c r="FX116" s="504">
        <v>0</v>
      </c>
      <c r="FY116" s="504">
        <v>0</v>
      </c>
      <c r="FZ116" s="504">
        <v>0</v>
      </c>
      <c r="GA116" s="504">
        <v>0</v>
      </c>
      <c r="GB116" s="504">
        <v>0</v>
      </c>
      <c r="GC116" s="504">
        <v>0</v>
      </c>
      <c r="GD116" s="504">
        <v>0</v>
      </c>
      <c r="GE116" s="504">
        <v>0</v>
      </c>
      <c r="GF116" s="504">
        <v>0</v>
      </c>
      <c r="GG116" s="504">
        <v>0</v>
      </c>
      <c r="GH116" s="504">
        <v>0</v>
      </c>
      <c r="GI116" s="504">
        <v>0</v>
      </c>
      <c r="GJ116" s="504">
        <v>0</v>
      </c>
      <c r="GK116" s="504">
        <v>0</v>
      </c>
      <c r="GL116" s="504">
        <v>0</v>
      </c>
      <c r="GM116" s="504">
        <v>0</v>
      </c>
      <c r="GN116" s="504">
        <v>0</v>
      </c>
      <c r="GO116" s="504">
        <v>0</v>
      </c>
      <c r="GP116" s="504">
        <v>0</v>
      </c>
      <c r="GQ116" s="504">
        <v>0</v>
      </c>
      <c r="GR116" s="504">
        <v>0</v>
      </c>
      <c r="GS116" s="504">
        <v>0</v>
      </c>
      <c r="GT116" s="504">
        <v>0</v>
      </c>
      <c r="GU116" s="504">
        <v>0</v>
      </c>
      <c r="GV116" s="504">
        <v>0</v>
      </c>
      <c r="GW116" s="504">
        <v>0</v>
      </c>
      <c r="GX116" s="504">
        <v>0</v>
      </c>
      <c r="GY116" s="504">
        <v>0</v>
      </c>
      <c r="GZ116" s="504">
        <v>0</v>
      </c>
      <c r="HA116" s="504">
        <v>0</v>
      </c>
      <c r="HB116" s="504">
        <v>0</v>
      </c>
      <c r="HC116" s="504">
        <v>0</v>
      </c>
      <c r="HD116" s="504">
        <v>0</v>
      </c>
      <c r="HE116" s="504">
        <v>0</v>
      </c>
      <c r="HF116" s="504">
        <v>0</v>
      </c>
      <c r="HG116" s="504">
        <v>0</v>
      </c>
      <c r="HH116" s="504">
        <v>0</v>
      </c>
      <c r="HI116" s="504">
        <v>0</v>
      </c>
      <c r="HJ116" s="504">
        <v>0</v>
      </c>
      <c r="HK116" s="504">
        <v>0</v>
      </c>
      <c r="HL116" s="504">
        <v>0</v>
      </c>
      <c r="HM116" s="504">
        <v>0</v>
      </c>
      <c r="HN116" s="504">
        <v>0</v>
      </c>
      <c r="HO116" s="504">
        <v>0</v>
      </c>
      <c r="HP116" s="504">
        <v>0</v>
      </c>
      <c r="HQ116" s="504">
        <v>0</v>
      </c>
      <c r="HR116" s="504">
        <v>0</v>
      </c>
      <c r="HS116" s="504">
        <v>0</v>
      </c>
      <c r="HT116" s="504">
        <v>0</v>
      </c>
      <c r="HU116" s="504">
        <v>0</v>
      </c>
      <c r="HV116" s="504">
        <v>0</v>
      </c>
      <c r="HW116" s="504">
        <v>0</v>
      </c>
      <c r="HX116" s="504">
        <v>0</v>
      </c>
      <c r="HY116" s="504">
        <v>0</v>
      </c>
      <c r="HZ116" s="504">
        <v>0</v>
      </c>
      <c r="IA116" s="504">
        <v>0</v>
      </c>
      <c r="IB116" s="504">
        <v>0</v>
      </c>
      <c r="IC116" s="504">
        <v>0</v>
      </c>
      <c r="ID116" s="504">
        <v>0</v>
      </c>
      <c r="IE116" s="504">
        <v>0</v>
      </c>
      <c r="IF116" s="504">
        <v>0</v>
      </c>
      <c r="IG116" s="504">
        <v>0</v>
      </c>
      <c r="IH116" s="504">
        <v>0</v>
      </c>
      <c r="II116" s="504">
        <v>0</v>
      </c>
      <c r="IJ116" s="504">
        <v>0</v>
      </c>
      <c r="IK116" s="504">
        <v>0</v>
      </c>
      <c r="IL116" s="504">
        <v>0</v>
      </c>
      <c r="IM116" s="504">
        <v>0</v>
      </c>
      <c r="IN116" s="504">
        <v>0</v>
      </c>
      <c r="IO116" s="504">
        <v>0</v>
      </c>
      <c r="IP116" s="504">
        <v>0</v>
      </c>
      <c r="IQ116" s="504">
        <v>0</v>
      </c>
      <c r="IR116" s="504">
        <v>0</v>
      </c>
      <c r="IS116" s="504">
        <v>0</v>
      </c>
      <c r="IT116" s="504">
        <v>0</v>
      </c>
      <c r="IU116" s="504">
        <v>0</v>
      </c>
      <c r="IV116" s="504">
        <v>0</v>
      </c>
      <c r="IW116" s="504">
        <v>0</v>
      </c>
      <c r="IX116" s="504">
        <v>0</v>
      </c>
      <c r="IY116" s="504">
        <v>0</v>
      </c>
      <c r="IZ116" s="504">
        <v>0</v>
      </c>
      <c r="JA116" s="504">
        <v>0</v>
      </c>
      <c r="JB116" s="504">
        <v>0</v>
      </c>
      <c r="JC116" s="504">
        <v>0</v>
      </c>
      <c r="JD116" s="504">
        <v>0</v>
      </c>
      <c r="JE116" s="504">
        <v>0</v>
      </c>
      <c r="JF116" s="504">
        <v>0</v>
      </c>
      <c r="JG116" s="504">
        <v>0</v>
      </c>
      <c r="JH116" s="504">
        <v>0</v>
      </c>
      <c r="JI116" s="504">
        <v>0</v>
      </c>
      <c r="JJ116" s="504">
        <v>0</v>
      </c>
      <c r="JK116" s="504">
        <v>0</v>
      </c>
      <c r="JL116" s="504">
        <v>0</v>
      </c>
      <c r="JM116" s="504">
        <v>0</v>
      </c>
      <c r="JN116" s="504">
        <v>0</v>
      </c>
      <c r="JO116" s="504">
        <v>0</v>
      </c>
      <c r="JP116" s="504">
        <v>0</v>
      </c>
      <c r="JQ116" s="504">
        <v>0</v>
      </c>
      <c r="JR116" s="504">
        <v>0</v>
      </c>
      <c r="JS116" s="504">
        <v>0</v>
      </c>
      <c r="JT116" s="504">
        <v>0</v>
      </c>
      <c r="JU116" s="504">
        <v>0</v>
      </c>
      <c r="JV116" s="504">
        <v>0</v>
      </c>
      <c r="JW116" s="504">
        <v>0</v>
      </c>
      <c r="JX116" s="504">
        <v>0</v>
      </c>
      <c r="JY116" s="504">
        <v>0</v>
      </c>
      <c r="JZ116" s="504">
        <v>0</v>
      </c>
      <c r="KA116" s="504">
        <v>0</v>
      </c>
      <c r="KB116" s="504">
        <v>0</v>
      </c>
      <c r="KC116" s="504">
        <v>0</v>
      </c>
      <c r="KD116" s="504">
        <v>0</v>
      </c>
      <c r="KE116" s="504">
        <v>0</v>
      </c>
      <c r="KF116" s="504">
        <v>0</v>
      </c>
      <c r="KG116" s="504">
        <v>0</v>
      </c>
      <c r="KH116" s="504">
        <v>0</v>
      </c>
      <c r="KI116" s="504">
        <v>0</v>
      </c>
      <c r="KJ116" s="504">
        <v>0</v>
      </c>
      <c r="KK116" s="504">
        <v>0</v>
      </c>
      <c r="KL116" s="504">
        <v>0</v>
      </c>
      <c r="KM116" s="504">
        <v>0</v>
      </c>
      <c r="KN116" s="504">
        <v>0</v>
      </c>
      <c r="KO116" s="504">
        <v>0</v>
      </c>
      <c r="KP116" s="504">
        <v>0</v>
      </c>
      <c r="KQ116" s="504">
        <v>0</v>
      </c>
      <c r="KR116" s="504">
        <v>0</v>
      </c>
      <c r="KS116" s="504">
        <v>0</v>
      </c>
      <c r="KT116" s="504">
        <v>0</v>
      </c>
      <c r="KU116" s="504">
        <v>0</v>
      </c>
      <c r="KV116" s="504">
        <v>0</v>
      </c>
      <c r="KW116" s="504">
        <v>0</v>
      </c>
      <c r="KX116" s="504">
        <v>0</v>
      </c>
      <c r="KY116" s="504">
        <v>0</v>
      </c>
      <c r="KZ116" s="504">
        <v>0</v>
      </c>
      <c r="LA116" s="504">
        <v>0</v>
      </c>
      <c r="LB116" s="504">
        <v>0</v>
      </c>
      <c r="LC116" s="504">
        <v>0</v>
      </c>
      <c r="LD116" s="504">
        <v>0</v>
      </c>
      <c r="LE116" s="504">
        <v>0</v>
      </c>
      <c r="LF116" s="504">
        <v>0</v>
      </c>
      <c r="LG116" s="504">
        <v>0</v>
      </c>
      <c r="LH116" s="504">
        <v>0</v>
      </c>
      <c r="LI116" s="504">
        <v>0</v>
      </c>
      <c r="LJ116" s="504">
        <v>0</v>
      </c>
      <c r="LK116" s="504">
        <v>0</v>
      </c>
      <c r="LL116" s="504">
        <v>0</v>
      </c>
      <c r="LM116" s="504">
        <v>0</v>
      </c>
      <c r="LN116" s="504">
        <v>0</v>
      </c>
      <c r="LO116" s="504">
        <v>0</v>
      </c>
      <c r="LP116" s="504">
        <v>0</v>
      </c>
      <c r="LQ116" s="504">
        <v>0</v>
      </c>
      <c r="LR116" s="504">
        <v>0</v>
      </c>
      <c r="LS116" s="504">
        <v>0</v>
      </c>
      <c r="LT116" s="504">
        <v>0</v>
      </c>
      <c r="LU116" s="504">
        <v>0</v>
      </c>
      <c r="LV116" s="504">
        <v>0</v>
      </c>
      <c r="LW116" s="504">
        <v>0</v>
      </c>
      <c r="LX116" s="504">
        <v>0</v>
      </c>
      <c r="LY116" s="504">
        <v>0</v>
      </c>
      <c r="LZ116" s="504">
        <v>0</v>
      </c>
      <c r="MA116" s="504">
        <v>0</v>
      </c>
      <c r="MB116" s="504">
        <v>0</v>
      </c>
      <c r="MC116" s="504">
        <v>0</v>
      </c>
      <c r="MD116" s="504">
        <v>0</v>
      </c>
      <c r="ME116" s="504">
        <v>0</v>
      </c>
      <c r="MF116" s="504">
        <v>0</v>
      </c>
      <c r="MG116" s="504">
        <v>0</v>
      </c>
      <c r="MH116" s="504">
        <v>0</v>
      </c>
      <c r="MI116" s="504">
        <v>0</v>
      </c>
      <c r="MJ116" s="504">
        <v>0</v>
      </c>
      <c r="MK116" s="504">
        <v>0</v>
      </c>
      <c r="ML116" s="504">
        <v>0</v>
      </c>
      <c r="MM116" s="504">
        <v>0</v>
      </c>
      <c r="MN116" s="504">
        <v>0</v>
      </c>
      <c r="MO116" s="504">
        <v>0</v>
      </c>
      <c r="MP116" s="504">
        <v>0</v>
      </c>
      <c r="MQ116" s="504">
        <v>0</v>
      </c>
      <c r="MR116" s="504">
        <v>0</v>
      </c>
      <c r="MS116" s="504">
        <v>0</v>
      </c>
      <c r="MT116" s="504">
        <v>0</v>
      </c>
      <c r="MU116" s="504">
        <v>0</v>
      </c>
      <c r="MV116" s="504">
        <v>0</v>
      </c>
      <c r="MW116" s="504">
        <v>0</v>
      </c>
      <c r="MX116" s="504">
        <v>0</v>
      </c>
      <c r="MY116" s="504">
        <v>0</v>
      </c>
      <c r="MZ116" s="504">
        <v>0</v>
      </c>
      <c r="NA116" s="504">
        <v>0</v>
      </c>
      <c r="NB116" s="504">
        <v>0</v>
      </c>
      <c r="NC116" s="504">
        <v>0</v>
      </c>
      <c r="ND116" s="504">
        <v>0</v>
      </c>
      <c r="NE116" s="504">
        <v>0</v>
      </c>
      <c r="NF116" s="504">
        <v>0</v>
      </c>
      <c r="NG116" s="504">
        <v>0</v>
      </c>
      <c r="NH116" s="504">
        <v>0</v>
      </c>
      <c r="NI116" s="504">
        <v>0</v>
      </c>
      <c r="NJ116" s="504">
        <v>0</v>
      </c>
      <c r="NK116" s="504">
        <v>0</v>
      </c>
      <c r="NL116" s="504">
        <v>0</v>
      </c>
      <c r="NM116" s="504">
        <v>0</v>
      </c>
      <c r="NN116" s="504">
        <v>0</v>
      </c>
      <c r="NO116" s="504">
        <v>0</v>
      </c>
      <c r="NP116" s="504">
        <v>0</v>
      </c>
      <c r="NQ116" s="504">
        <v>0</v>
      </c>
      <c r="NR116" s="504">
        <v>0</v>
      </c>
      <c r="NS116" s="504">
        <v>0</v>
      </c>
      <c r="NT116" s="504">
        <v>0</v>
      </c>
      <c r="NU116" s="504">
        <v>0</v>
      </c>
      <c r="NV116" s="504">
        <v>0</v>
      </c>
      <c r="NW116" s="504">
        <v>0</v>
      </c>
      <c r="NX116" s="504">
        <v>0</v>
      </c>
      <c r="NY116" s="504">
        <v>0</v>
      </c>
      <c r="NZ116" s="504">
        <v>0</v>
      </c>
      <c r="OA116" s="504">
        <v>0</v>
      </c>
      <c r="OB116" s="504">
        <v>0</v>
      </c>
      <c r="OC116" s="504">
        <v>0</v>
      </c>
      <c r="OD116" s="504">
        <v>0</v>
      </c>
      <c r="OE116" s="504">
        <v>0</v>
      </c>
      <c r="OF116" s="504">
        <v>0</v>
      </c>
      <c r="OG116" s="504">
        <v>0</v>
      </c>
      <c r="OH116" s="504">
        <v>0</v>
      </c>
      <c r="OI116" s="504">
        <v>0</v>
      </c>
      <c r="OJ116" s="504">
        <v>0</v>
      </c>
      <c r="OK116" s="504">
        <v>0</v>
      </c>
      <c r="OL116" s="504">
        <v>0</v>
      </c>
      <c r="OM116" s="504">
        <v>0</v>
      </c>
      <c r="ON116" s="494"/>
    </row>
    <row r="117" spans="1:404" ht="18.75" customHeight="1" x14ac:dyDescent="0.4">
      <c r="A117" s="511" t="s">
        <v>387</v>
      </c>
      <c r="B117" s="512">
        <v>194</v>
      </c>
      <c r="C117" s="511" t="s">
        <v>94</v>
      </c>
      <c r="D117" s="501">
        <v>28.91</v>
      </c>
      <c r="E117" s="502">
        <v>912813</v>
      </c>
      <c r="F117" s="501">
        <v>28.89</v>
      </c>
      <c r="G117" s="502">
        <v>149639</v>
      </c>
      <c r="H117" s="501">
        <v>28.76</v>
      </c>
      <c r="I117" s="502">
        <v>402424</v>
      </c>
      <c r="J117" s="501">
        <v>28.9</v>
      </c>
      <c r="K117" s="502">
        <v>473437</v>
      </c>
      <c r="V117" s="501"/>
      <c r="W117" s="503"/>
      <c r="X117" s="501"/>
      <c r="Y117" s="503"/>
      <c r="Z117" s="501"/>
      <c r="AA117" s="503"/>
      <c r="AB117" s="495"/>
      <c r="AC117" s="504">
        <v>0</v>
      </c>
      <c r="AD117" s="504">
        <v>0</v>
      </c>
      <c r="AE117" s="504">
        <v>0</v>
      </c>
      <c r="AF117" s="504">
        <v>0</v>
      </c>
      <c r="AG117" s="504">
        <v>0</v>
      </c>
      <c r="AH117" s="504">
        <v>0</v>
      </c>
      <c r="AI117" s="504">
        <v>0</v>
      </c>
      <c r="AJ117" s="504">
        <v>0</v>
      </c>
      <c r="AK117" s="504">
        <v>0</v>
      </c>
      <c r="AL117" s="504">
        <v>0</v>
      </c>
      <c r="AM117" s="504">
        <v>0</v>
      </c>
      <c r="AN117" s="504">
        <v>0</v>
      </c>
      <c r="AO117" s="504">
        <v>0</v>
      </c>
      <c r="AP117" s="504">
        <v>0</v>
      </c>
      <c r="AQ117" s="504">
        <v>0</v>
      </c>
      <c r="AR117" s="504">
        <v>0</v>
      </c>
      <c r="AS117" s="504">
        <v>0</v>
      </c>
      <c r="AT117" s="504">
        <v>0</v>
      </c>
      <c r="AU117" s="504">
        <v>0</v>
      </c>
      <c r="AV117" s="504">
        <v>0</v>
      </c>
      <c r="AW117" s="504">
        <v>0</v>
      </c>
      <c r="AX117" s="504">
        <v>0</v>
      </c>
      <c r="AY117" s="504">
        <v>0</v>
      </c>
      <c r="AZ117" s="504">
        <v>0</v>
      </c>
      <c r="BA117" s="504">
        <v>0</v>
      </c>
      <c r="BB117" s="504">
        <v>0</v>
      </c>
      <c r="BC117" s="504">
        <v>0</v>
      </c>
      <c r="BD117" s="504">
        <v>0</v>
      </c>
      <c r="BE117" s="504">
        <v>0</v>
      </c>
      <c r="BF117" s="504">
        <v>0</v>
      </c>
      <c r="BG117" s="504">
        <v>0</v>
      </c>
      <c r="BH117" s="504">
        <v>0</v>
      </c>
      <c r="BI117" s="504">
        <v>0</v>
      </c>
      <c r="BJ117" s="504">
        <v>0</v>
      </c>
      <c r="BK117" s="504">
        <v>0</v>
      </c>
      <c r="BL117" s="504">
        <v>0</v>
      </c>
      <c r="BM117" s="504">
        <v>0</v>
      </c>
      <c r="BN117" s="504">
        <v>0</v>
      </c>
      <c r="BO117" s="504">
        <v>0</v>
      </c>
      <c r="BP117" s="504">
        <v>0</v>
      </c>
      <c r="BQ117" s="504">
        <v>0</v>
      </c>
      <c r="BR117" s="504">
        <v>0</v>
      </c>
      <c r="BS117" s="504">
        <v>0</v>
      </c>
      <c r="BT117" s="504">
        <v>0</v>
      </c>
      <c r="BU117" s="504">
        <v>0</v>
      </c>
      <c r="BV117" s="504">
        <v>0</v>
      </c>
      <c r="BW117" s="504">
        <v>0</v>
      </c>
      <c r="BX117" s="504">
        <v>0</v>
      </c>
      <c r="BY117" s="504">
        <v>0</v>
      </c>
      <c r="BZ117" s="504">
        <v>0</v>
      </c>
      <c r="CA117" s="504">
        <v>0</v>
      </c>
      <c r="CB117" s="504">
        <v>0</v>
      </c>
      <c r="CC117" s="504">
        <v>0</v>
      </c>
      <c r="CD117" s="504">
        <v>0</v>
      </c>
      <c r="CE117" s="504">
        <v>0</v>
      </c>
      <c r="CF117" s="504">
        <v>0</v>
      </c>
      <c r="CG117" s="504">
        <v>0</v>
      </c>
      <c r="CH117" s="504">
        <v>0</v>
      </c>
      <c r="CI117" s="504">
        <v>0</v>
      </c>
      <c r="CJ117" s="504">
        <v>0</v>
      </c>
      <c r="CK117" s="504">
        <v>0</v>
      </c>
      <c r="CL117" s="504">
        <v>0</v>
      </c>
      <c r="CM117" s="504">
        <v>0</v>
      </c>
      <c r="CN117" s="504">
        <v>0</v>
      </c>
      <c r="CO117" s="504">
        <v>0</v>
      </c>
      <c r="CP117" s="504">
        <v>0</v>
      </c>
      <c r="CQ117" s="504">
        <v>0</v>
      </c>
      <c r="CR117" s="504">
        <v>0</v>
      </c>
      <c r="CS117" s="504">
        <v>0</v>
      </c>
      <c r="CT117" s="504">
        <v>0</v>
      </c>
      <c r="CU117" s="504">
        <v>0</v>
      </c>
      <c r="CV117" s="504">
        <v>0</v>
      </c>
      <c r="CW117" s="504">
        <v>0</v>
      </c>
      <c r="CX117" s="504">
        <v>0</v>
      </c>
      <c r="CY117" s="504">
        <v>0</v>
      </c>
      <c r="CZ117" s="504">
        <v>0</v>
      </c>
      <c r="DA117" s="504">
        <v>0</v>
      </c>
      <c r="DB117" s="504">
        <v>0</v>
      </c>
      <c r="DC117" s="504">
        <v>0</v>
      </c>
      <c r="DD117" s="504">
        <v>0</v>
      </c>
      <c r="DE117" s="504">
        <v>0</v>
      </c>
      <c r="DF117" s="504">
        <v>0</v>
      </c>
      <c r="DG117" s="504">
        <v>0</v>
      </c>
      <c r="DH117" s="504">
        <v>0</v>
      </c>
      <c r="DI117" s="504">
        <v>0</v>
      </c>
      <c r="DJ117" s="504">
        <v>0</v>
      </c>
      <c r="DK117" s="504">
        <v>0</v>
      </c>
      <c r="DL117" s="504">
        <v>0</v>
      </c>
      <c r="DM117" s="504">
        <v>0</v>
      </c>
      <c r="DN117" s="504">
        <v>0</v>
      </c>
      <c r="DO117" s="504">
        <v>0</v>
      </c>
      <c r="DP117" s="504">
        <v>0</v>
      </c>
      <c r="DQ117" s="504">
        <v>0</v>
      </c>
      <c r="DR117" s="504">
        <v>0</v>
      </c>
      <c r="DS117" s="504">
        <v>0</v>
      </c>
      <c r="DT117" s="504">
        <v>0</v>
      </c>
      <c r="DU117" s="504">
        <v>0</v>
      </c>
      <c r="DV117" s="504">
        <v>0</v>
      </c>
      <c r="DW117" s="504">
        <v>0</v>
      </c>
      <c r="DX117" s="504">
        <v>0</v>
      </c>
      <c r="DY117" s="504">
        <v>0</v>
      </c>
      <c r="DZ117" s="504">
        <v>0</v>
      </c>
      <c r="EA117" s="504">
        <v>0</v>
      </c>
      <c r="EB117" s="504">
        <v>0</v>
      </c>
      <c r="EC117" s="504">
        <v>0</v>
      </c>
      <c r="ED117" s="504">
        <v>0</v>
      </c>
      <c r="EE117" s="504">
        <v>0</v>
      </c>
      <c r="EF117" s="504">
        <v>0</v>
      </c>
      <c r="EG117" s="504">
        <v>0</v>
      </c>
      <c r="EH117" s="504">
        <v>0</v>
      </c>
      <c r="EI117" s="504">
        <v>0</v>
      </c>
      <c r="EJ117" s="504">
        <v>0</v>
      </c>
      <c r="EK117" s="504">
        <v>0</v>
      </c>
      <c r="EL117" s="504">
        <v>0</v>
      </c>
      <c r="EM117" s="504">
        <v>0</v>
      </c>
      <c r="EN117" s="504">
        <v>0</v>
      </c>
      <c r="EO117" s="504">
        <v>0</v>
      </c>
      <c r="EP117" s="504">
        <v>0</v>
      </c>
      <c r="EQ117" s="504">
        <v>0</v>
      </c>
      <c r="ER117" s="504">
        <v>0</v>
      </c>
      <c r="ES117" s="504">
        <v>0</v>
      </c>
      <c r="ET117" s="504">
        <v>0</v>
      </c>
      <c r="EU117" s="504">
        <v>0</v>
      </c>
      <c r="EV117" s="504">
        <v>0</v>
      </c>
      <c r="EW117" s="504">
        <v>0</v>
      </c>
      <c r="EX117" s="504">
        <v>0</v>
      </c>
      <c r="EY117" s="504">
        <v>0</v>
      </c>
      <c r="EZ117" s="504">
        <v>0</v>
      </c>
      <c r="FA117" s="504">
        <v>0</v>
      </c>
      <c r="FB117" s="504">
        <v>0</v>
      </c>
      <c r="FC117" s="504">
        <v>0</v>
      </c>
      <c r="FD117" s="504">
        <v>0</v>
      </c>
      <c r="FE117" s="504">
        <v>0</v>
      </c>
      <c r="FF117" s="504">
        <v>0</v>
      </c>
      <c r="FG117" s="504">
        <v>0</v>
      </c>
      <c r="FH117" s="504">
        <v>0</v>
      </c>
      <c r="FI117" s="504">
        <v>0</v>
      </c>
      <c r="FJ117" s="504">
        <v>0</v>
      </c>
      <c r="FK117" s="504">
        <v>0</v>
      </c>
      <c r="FL117" s="504">
        <v>0</v>
      </c>
      <c r="FM117" s="504">
        <v>0</v>
      </c>
      <c r="FN117" s="504">
        <v>0</v>
      </c>
      <c r="FO117" s="504">
        <v>0</v>
      </c>
      <c r="FP117" s="504">
        <v>0</v>
      </c>
      <c r="FQ117" s="504">
        <v>0</v>
      </c>
      <c r="FR117" s="504">
        <v>0</v>
      </c>
      <c r="FS117" s="504">
        <v>0</v>
      </c>
      <c r="FT117" s="504">
        <v>0</v>
      </c>
      <c r="FU117" s="504">
        <v>0</v>
      </c>
      <c r="FV117" s="504">
        <v>0</v>
      </c>
      <c r="FW117" s="504">
        <v>0</v>
      </c>
      <c r="FX117" s="504">
        <v>0</v>
      </c>
      <c r="FY117" s="504">
        <v>0</v>
      </c>
      <c r="FZ117" s="504">
        <v>0</v>
      </c>
      <c r="GA117" s="504">
        <v>0</v>
      </c>
      <c r="GB117" s="504">
        <v>0</v>
      </c>
      <c r="GC117" s="504">
        <v>0</v>
      </c>
      <c r="GD117" s="504">
        <v>0</v>
      </c>
      <c r="GE117" s="504">
        <v>0</v>
      </c>
      <c r="GF117" s="504">
        <v>0</v>
      </c>
      <c r="GG117" s="504">
        <v>0</v>
      </c>
      <c r="GH117" s="504">
        <v>0</v>
      </c>
      <c r="GI117" s="504">
        <v>0</v>
      </c>
      <c r="GJ117" s="504">
        <v>0</v>
      </c>
      <c r="GK117" s="504">
        <v>0</v>
      </c>
      <c r="GL117" s="504">
        <v>0</v>
      </c>
      <c r="GM117" s="504">
        <v>0</v>
      </c>
      <c r="GN117" s="504">
        <v>0</v>
      </c>
      <c r="GO117" s="504">
        <v>0</v>
      </c>
      <c r="GP117" s="504">
        <v>0</v>
      </c>
      <c r="GQ117" s="504">
        <v>0</v>
      </c>
      <c r="GR117" s="504">
        <v>0</v>
      </c>
      <c r="GS117" s="504">
        <v>0</v>
      </c>
      <c r="GT117" s="504">
        <v>0</v>
      </c>
      <c r="GU117" s="504">
        <v>0</v>
      </c>
      <c r="GV117" s="504">
        <v>0</v>
      </c>
      <c r="GW117" s="504">
        <v>0</v>
      </c>
      <c r="GX117" s="504">
        <v>0</v>
      </c>
      <c r="GY117" s="504">
        <v>0</v>
      </c>
      <c r="GZ117" s="504">
        <v>0</v>
      </c>
      <c r="HA117" s="504">
        <v>0</v>
      </c>
      <c r="HB117" s="504">
        <v>0</v>
      </c>
      <c r="HC117" s="504">
        <v>0</v>
      </c>
      <c r="HD117" s="504">
        <v>0</v>
      </c>
      <c r="HE117" s="504">
        <v>0</v>
      </c>
      <c r="HF117" s="504">
        <v>0</v>
      </c>
      <c r="HG117" s="504">
        <v>0</v>
      </c>
      <c r="HH117" s="504">
        <v>0</v>
      </c>
      <c r="HI117" s="504">
        <v>0</v>
      </c>
      <c r="HJ117" s="504">
        <v>0</v>
      </c>
      <c r="HK117" s="504">
        <v>0</v>
      </c>
      <c r="HL117" s="504">
        <v>0</v>
      </c>
      <c r="HM117" s="504">
        <v>0</v>
      </c>
      <c r="HN117" s="504">
        <v>0</v>
      </c>
      <c r="HO117" s="504">
        <v>0</v>
      </c>
      <c r="HP117" s="504">
        <v>0</v>
      </c>
      <c r="HQ117" s="504">
        <v>0</v>
      </c>
      <c r="HR117" s="504">
        <v>0</v>
      </c>
      <c r="HS117" s="504">
        <v>0</v>
      </c>
      <c r="HT117" s="504">
        <v>0</v>
      </c>
      <c r="HU117" s="504">
        <v>0</v>
      </c>
      <c r="HV117" s="504">
        <v>0</v>
      </c>
      <c r="HW117" s="504">
        <v>0</v>
      </c>
      <c r="HX117" s="504">
        <v>0</v>
      </c>
      <c r="HY117" s="504">
        <v>0</v>
      </c>
      <c r="HZ117" s="504">
        <v>0</v>
      </c>
      <c r="IA117" s="504">
        <v>0</v>
      </c>
      <c r="IB117" s="504">
        <v>0</v>
      </c>
      <c r="IC117" s="504">
        <v>0</v>
      </c>
      <c r="ID117" s="504">
        <v>0</v>
      </c>
      <c r="IE117" s="504">
        <v>0</v>
      </c>
      <c r="IF117" s="504">
        <v>0</v>
      </c>
      <c r="IG117" s="504">
        <v>0</v>
      </c>
      <c r="IH117" s="504">
        <v>0</v>
      </c>
      <c r="II117" s="504">
        <v>0</v>
      </c>
      <c r="IJ117" s="504">
        <v>0</v>
      </c>
      <c r="IK117" s="504">
        <v>0</v>
      </c>
      <c r="IL117" s="504">
        <v>0</v>
      </c>
      <c r="IM117" s="504">
        <v>0</v>
      </c>
      <c r="IN117" s="504">
        <v>0</v>
      </c>
      <c r="IO117" s="504">
        <v>0</v>
      </c>
      <c r="IP117" s="504">
        <v>0</v>
      </c>
      <c r="IQ117" s="504">
        <v>0</v>
      </c>
      <c r="IR117" s="504">
        <v>0</v>
      </c>
      <c r="IS117" s="504">
        <v>0</v>
      </c>
      <c r="IT117" s="504">
        <v>0</v>
      </c>
      <c r="IU117" s="504">
        <v>0</v>
      </c>
      <c r="IV117" s="504">
        <v>0</v>
      </c>
      <c r="IW117" s="504">
        <v>0</v>
      </c>
      <c r="IX117" s="504">
        <v>0</v>
      </c>
      <c r="IY117" s="504">
        <v>0</v>
      </c>
      <c r="IZ117" s="504">
        <v>0</v>
      </c>
      <c r="JA117" s="504">
        <v>0</v>
      </c>
      <c r="JB117" s="504">
        <v>0</v>
      </c>
      <c r="JC117" s="504">
        <v>0</v>
      </c>
      <c r="JD117" s="504">
        <v>0</v>
      </c>
      <c r="JE117" s="504">
        <v>0</v>
      </c>
      <c r="JF117" s="504">
        <v>0</v>
      </c>
      <c r="JG117" s="504">
        <v>0</v>
      </c>
      <c r="JH117" s="504">
        <v>0</v>
      </c>
      <c r="JI117" s="504">
        <v>0</v>
      </c>
      <c r="JJ117" s="504">
        <v>0</v>
      </c>
      <c r="JK117" s="504">
        <v>0</v>
      </c>
      <c r="JL117" s="504">
        <v>0</v>
      </c>
      <c r="JM117" s="504">
        <v>0</v>
      </c>
      <c r="JN117" s="504">
        <v>0</v>
      </c>
      <c r="JO117" s="504">
        <v>0</v>
      </c>
      <c r="JP117" s="504">
        <v>0</v>
      </c>
      <c r="JQ117" s="504">
        <v>0</v>
      </c>
      <c r="JR117" s="504">
        <v>0</v>
      </c>
      <c r="JS117" s="504">
        <v>0</v>
      </c>
      <c r="JT117" s="504">
        <v>0</v>
      </c>
      <c r="JU117" s="504">
        <v>0</v>
      </c>
      <c r="JV117" s="504">
        <v>0</v>
      </c>
      <c r="JW117" s="504">
        <v>0</v>
      </c>
      <c r="JX117" s="504">
        <v>0</v>
      </c>
      <c r="JY117" s="504">
        <v>0</v>
      </c>
      <c r="JZ117" s="504">
        <v>0</v>
      </c>
      <c r="KA117" s="504">
        <v>0</v>
      </c>
      <c r="KB117" s="504">
        <v>0</v>
      </c>
      <c r="KC117" s="504">
        <v>0</v>
      </c>
      <c r="KD117" s="504">
        <v>0</v>
      </c>
      <c r="KE117" s="504">
        <v>0</v>
      </c>
      <c r="KF117" s="504">
        <v>0</v>
      </c>
      <c r="KG117" s="504">
        <v>0</v>
      </c>
      <c r="KH117" s="504">
        <v>0</v>
      </c>
      <c r="KI117" s="504">
        <v>0</v>
      </c>
      <c r="KJ117" s="504">
        <v>0</v>
      </c>
      <c r="KK117" s="504">
        <v>0</v>
      </c>
      <c r="KL117" s="504">
        <v>0</v>
      </c>
      <c r="KM117" s="504">
        <v>0</v>
      </c>
      <c r="KN117" s="504">
        <v>0</v>
      </c>
      <c r="KO117" s="504">
        <v>0</v>
      </c>
      <c r="KP117" s="504">
        <v>0</v>
      </c>
      <c r="KQ117" s="504">
        <v>0</v>
      </c>
      <c r="KR117" s="504">
        <v>0</v>
      </c>
      <c r="KS117" s="504">
        <v>0</v>
      </c>
      <c r="KT117" s="504">
        <v>0</v>
      </c>
      <c r="KU117" s="504">
        <v>0</v>
      </c>
      <c r="KV117" s="504">
        <v>0</v>
      </c>
      <c r="KW117" s="504">
        <v>0</v>
      </c>
      <c r="KX117" s="504">
        <v>0</v>
      </c>
      <c r="KY117" s="504">
        <v>0</v>
      </c>
      <c r="KZ117" s="504">
        <v>0</v>
      </c>
      <c r="LA117" s="504">
        <v>0</v>
      </c>
      <c r="LB117" s="504">
        <v>0</v>
      </c>
      <c r="LC117" s="504">
        <v>0</v>
      </c>
      <c r="LD117" s="504">
        <v>0</v>
      </c>
      <c r="LE117" s="504">
        <v>0</v>
      </c>
      <c r="LF117" s="504">
        <v>0</v>
      </c>
      <c r="LG117" s="504">
        <v>0</v>
      </c>
      <c r="LH117" s="504">
        <v>0</v>
      </c>
      <c r="LI117" s="504">
        <v>0</v>
      </c>
      <c r="LJ117" s="504">
        <v>0</v>
      </c>
      <c r="LK117" s="504">
        <v>0</v>
      </c>
      <c r="LL117" s="504">
        <v>0</v>
      </c>
      <c r="LM117" s="504">
        <v>0</v>
      </c>
      <c r="LN117" s="504">
        <v>0</v>
      </c>
      <c r="LO117" s="504">
        <v>0</v>
      </c>
      <c r="LP117" s="504">
        <v>0</v>
      </c>
      <c r="LQ117" s="504">
        <v>0</v>
      </c>
      <c r="LR117" s="504">
        <v>0</v>
      </c>
      <c r="LS117" s="504">
        <v>0</v>
      </c>
      <c r="LT117" s="504">
        <v>0</v>
      </c>
      <c r="LU117" s="504">
        <v>0</v>
      </c>
      <c r="LV117" s="504">
        <v>0</v>
      </c>
      <c r="LW117" s="504">
        <v>0</v>
      </c>
      <c r="LX117" s="504">
        <v>0</v>
      </c>
      <c r="LY117" s="504">
        <v>0</v>
      </c>
      <c r="LZ117" s="504">
        <v>0</v>
      </c>
      <c r="MA117" s="504">
        <v>0</v>
      </c>
      <c r="MB117" s="504">
        <v>0</v>
      </c>
      <c r="MC117" s="504">
        <v>0</v>
      </c>
      <c r="MD117" s="504">
        <v>0</v>
      </c>
      <c r="ME117" s="504">
        <v>0</v>
      </c>
      <c r="MF117" s="504">
        <v>0</v>
      </c>
      <c r="MG117" s="504">
        <v>0</v>
      </c>
      <c r="MH117" s="504">
        <v>0</v>
      </c>
      <c r="MI117" s="504">
        <v>0</v>
      </c>
      <c r="MJ117" s="504">
        <v>0</v>
      </c>
      <c r="MK117" s="504">
        <v>0</v>
      </c>
      <c r="ML117" s="504">
        <v>0</v>
      </c>
      <c r="MM117" s="504">
        <v>0</v>
      </c>
      <c r="MN117" s="504">
        <v>0</v>
      </c>
      <c r="MO117" s="504">
        <v>0</v>
      </c>
      <c r="MP117" s="504">
        <v>0</v>
      </c>
      <c r="MQ117" s="504">
        <v>0</v>
      </c>
      <c r="MR117" s="504">
        <v>0</v>
      </c>
      <c r="MS117" s="504">
        <v>0</v>
      </c>
      <c r="MT117" s="504">
        <v>0</v>
      </c>
      <c r="MU117" s="504">
        <v>0</v>
      </c>
      <c r="MV117" s="504">
        <v>0</v>
      </c>
      <c r="MW117" s="504">
        <v>0</v>
      </c>
      <c r="MX117" s="504">
        <v>0</v>
      </c>
      <c r="MY117" s="504">
        <v>0</v>
      </c>
      <c r="MZ117" s="504">
        <v>0</v>
      </c>
      <c r="NA117" s="504">
        <v>0</v>
      </c>
      <c r="NB117" s="504">
        <v>0</v>
      </c>
      <c r="NC117" s="504">
        <v>0</v>
      </c>
      <c r="ND117" s="504">
        <v>0</v>
      </c>
      <c r="NE117" s="504">
        <v>0</v>
      </c>
      <c r="NF117" s="504">
        <v>0</v>
      </c>
      <c r="NG117" s="504">
        <v>0</v>
      </c>
      <c r="NH117" s="504">
        <v>0</v>
      </c>
      <c r="NI117" s="504">
        <v>0</v>
      </c>
      <c r="NJ117" s="504">
        <v>0</v>
      </c>
      <c r="NK117" s="504">
        <v>0</v>
      </c>
      <c r="NL117" s="504">
        <v>0</v>
      </c>
      <c r="NM117" s="504">
        <v>0</v>
      </c>
      <c r="NN117" s="504">
        <v>0</v>
      </c>
      <c r="NO117" s="504">
        <v>0</v>
      </c>
      <c r="NP117" s="504">
        <v>0</v>
      </c>
      <c r="NQ117" s="504">
        <v>0</v>
      </c>
      <c r="NR117" s="504">
        <v>0</v>
      </c>
      <c r="NS117" s="504">
        <v>0</v>
      </c>
      <c r="NT117" s="504">
        <v>0</v>
      </c>
      <c r="NU117" s="504">
        <v>0</v>
      </c>
      <c r="NV117" s="504">
        <v>0</v>
      </c>
      <c r="NW117" s="504">
        <v>0</v>
      </c>
      <c r="NX117" s="504">
        <v>0</v>
      </c>
      <c r="NY117" s="504">
        <v>0</v>
      </c>
      <c r="NZ117" s="504">
        <v>0</v>
      </c>
      <c r="OA117" s="504">
        <v>0</v>
      </c>
      <c r="OB117" s="504">
        <v>0</v>
      </c>
      <c r="OC117" s="504">
        <v>0</v>
      </c>
      <c r="OD117" s="504">
        <v>0</v>
      </c>
      <c r="OE117" s="504">
        <v>0</v>
      </c>
      <c r="OF117" s="504">
        <v>0</v>
      </c>
      <c r="OG117" s="504">
        <v>0</v>
      </c>
      <c r="OH117" s="504">
        <v>0</v>
      </c>
      <c r="OI117" s="504">
        <v>0</v>
      </c>
      <c r="OJ117" s="504">
        <v>0</v>
      </c>
      <c r="OK117" s="504">
        <v>0</v>
      </c>
      <c r="OL117" s="504">
        <v>0</v>
      </c>
      <c r="OM117" s="504">
        <v>0</v>
      </c>
      <c r="ON117" s="494"/>
    </row>
    <row r="118" spans="1:404" ht="18.75" customHeight="1" x14ac:dyDescent="0.4">
      <c r="A118" s="511" t="s">
        <v>388</v>
      </c>
      <c r="B118" s="512">
        <v>225</v>
      </c>
      <c r="C118" s="511" t="s">
        <v>60</v>
      </c>
      <c r="D118" s="501">
        <v>29.59</v>
      </c>
      <c r="E118" s="502">
        <v>5513</v>
      </c>
      <c r="F118" s="501">
        <v>29.58</v>
      </c>
      <c r="G118" s="502">
        <v>649</v>
      </c>
      <c r="H118" s="501">
        <v>29.58</v>
      </c>
      <c r="I118" s="502">
        <v>1887</v>
      </c>
      <c r="J118" s="501">
        <v>29.58</v>
      </c>
      <c r="K118" s="502">
        <v>2133</v>
      </c>
      <c r="V118" s="501"/>
      <c r="W118" s="503"/>
      <c r="X118" s="501"/>
      <c r="Y118" s="503"/>
      <c r="Z118" s="501"/>
      <c r="AA118" s="503"/>
      <c r="AB118" s="495"/>
      <c r="AC118" s="504">
        <v>0</v>
      </c>
      <c r="AD118" s="504">
        <v>0</v>
      </c>
      <c r="AE118" s="504">
        <v>0</v>
      </c>
      <c r="AF118" s="504">
        <v>0</v>
      </c>
      <c r="AG118" s="504">
        <v>0</v>
      </c>
      <c r="AH118" s="504">
        <v>0</v>
      </c>
      <c r="AI118" s="504">
        <v>0</v>
      </c>
      <c r="AJ118" s="504">
        <v>0</v>
      </c>
      <c r="AK118" s="504">
        <v>0</v>
      </c>
      <c r="AL118" s="504">
        <v>0</v>
      </c>
      <c r="AM118" s="504">
        <v>0</v>
      </c>
      <c r="AN118" s="504">
        <v>0</v>
      </c>
      <c r="AO118" s="504">
        <v>0</v>
      </c>
      <c r="AP118" s="504">
        <v>0</v>
      </c>
      <c r="AQ118" s="504">
        <v>0</v>
      </c>
      <c r="AR118" s="504">
        <v>0</v>
      </c>
      <c r="AS118" s="504">
        <v>0</v>
      </c>
      <c r="AT118" s="504">
        <v>0</v>
      </c>
      <c r="AU118" s="504">
        <v>0</v>
      </c>
      <c r="AV118" s="504">
        <v>0</v>
      </c>
      <c r="AW118" s="504">
        <v>0</v>
      </c>
      <c r="AX118" s="504">
        <v>0</v>
      </c>
      <c r="AY118" s="504">
        <v>0</v>
      </c>
      <c r="AZ118" s="504">
        <v>0</v>
      </c>
      <c r="BA118" s="504">
        <v>0</v>
      </c>
      <c r="BB118" s="504">
        <v>0</v>
      </c>
      <c r="BC118" s="504">
        <v>0</v>
      </c>
      <c r="BD118" s="504">
        <v>0</v>
      </c>
      <c r="BE118" s="504">
        <v>0</v>
      </c>
      <c r="BF118" s="504">
        <v>0</v>
      </c>
      <c r="BG118" s="504">
        <v>0</v>
      </c>
      <c r="BH118" s="504">
        <v>0</v>
      </c>
      <c r="BI118" s="504">
        <v>0</v>
      </c>
      <c r="BJ118" s="504">
        <v>0</v>
      </c>
      <c r="BK118" s="504">
        <v>0</v>
      </c>
      <c r="BL118" s="504">
        <v>0</v>
      </c>
      <c r="BM118" s="504">
        <v>0</v>
      </c>
      <c r="BN118" s="504">
        <v>0</v>
      </c>
      <c r="BO118" s="504">
        <v>0</v>
      </c>
      <c r="BP118" s="504">
        <v>0</v>
      </c>
      <c r="BQ118" s="504">
        <v>0</v>
      </c>
      <c r="BR118" s="504">
        <v>0</v>
      </c>
      <c r="BS118" s="504">
        <v>0</v>
      </c>
      <c r="BT118" s="504">
        <v>0</v>
      </c>
      <c r="BU118" s="504">
        <v>0</v>
      </c>
      <c r="BV118" s="504">
        <v>0</v>
      </c>
      <c r="BW118" s="504">
        <v>0</v>
      </c>
      <c r="BX118" s="504">
        <v>0</v>
      </c>
      <c r="BY118" s="504">
        <v>0</v>
      </c>
      <c r="BZ118" s="504">
        <v>0</v>
      </c>
      <c r="CA118" s="504">
        <v>0</v>
      </c>
      <c r="CB118" s="504">
        <v>0</v>
      </c>
      <c r="CC118" s="504">
        <v>0</v>
      </c>
      <c r="CD118" s="504">
        <v>0</v>
      </c>
      <c r="CE118" s="504">
        <v>0</v>
      </c>
      <c r="CF118" s="504">
        <v>0</v>
      </c>
      <c r="CG118" s="504">
        <v>0</v>
      </c>
      <c r="CH118" s="504">
        <v>0</v>
      </c>
      <c r="CI118" s="504">
        <v>0</v>
      </c>
      <c r="CJ118" s="504">
        <v>0</v>
      </c>
      <c r="CK118" s="504">
        <v>0</v>
      </c>
      <c r="CL118" s="504">
        <v>0</v>
      </c>
      <c r="CM118" s="504">
        <v>0</v>
      </c>
      <c r="CN118" s="504">
        <v>0</v>
      </c>
      <c r="CO118" s="504">
        <v>0</v>
      </c>
      <c r="CP118" s="504">
        <v>0</v>
      </c>
      <c r="CQ118" s="504">
        <v>0</v>
      </c>
      <c r="CR118" s="504">
        <v>0</v>
      </c>
      <c r="CS118" s="504">
        <v>0</v>
      </c>
      <c r="CT118" s="504">
        <v>0</v>
      </c>
      <c r="CU118" s="504">
        <v>0</v>
      </c>
      <c r="CV118" s="504">
        <v>0</v>
      </c>
      <c r="CW118" s="504">
        <v>0</v>
      </c>
      <c r="CX118" s="504">
        <v>0</v>
      </c>
      <c r="CY118" s="504">
        <v>0</v>
      </c>
      <c r="CZ118" s="504">
        <v>0</v>
      </c>
      <c r="DA118" s="504">
        <v>0</v>
      </c>
      <c r="DB118" s="504">
        <v>0</v>
      </c>
      <c r="DC118" s="504">
        <v>0</v>
      </c>
      <c r="DD118" s="504">
        <v>0</v>
      </c>
      <c r="DE118" s="504">
        <v>0</v>
      </c>
      <c r="DF118" s="504">
        <v>0</v>
      </c>
      <c r="DG118" s="504">
        <v>0</v>
      </c>
      <c r="DH118" s="504">
        <v>0</v>
      </c>
      <c r="DI118" s="504">
        <v>0</v>
      </c>
      <c r="DJ118" s="504">
        <v>0</v>
      </c>
      <c r="DK118" s="504">
        <v>0</v>
      </c>
      <c r="DL118" s="504">
        <v>0</v>
      </c>
      <c r="DM118" s="504">
        <v>0</v>
      </c>
      <c r="DN118" s="504">
        <v>0</v>
      </c>
      <c r="DO118" s="504">
        <v>0</v>
      </c>
      <c r="DP118" s="504">
        <v>0</v>
      </c>
      <c r="DQ118" s="504">
        <v>0</v>
      </c>
      <c r="DR118" s="504">
        <v>0</v>
      </c>
      <c r="DS118" s="504">
        <v>0</v>
      </c>
      <c r="DT118" s="504">
        <v>0</v>
      </c>
      <c r="DU118" s="504">
        <v>0</v>
      </c>
      <c r="DV118" s="504">
        <v>0</v>
      </c>
      <c r="DW118" s="504">
        <v>0</v>
      </c>
      <c r="DX118" s="504">
        <v>0</v>
      </c>
      <c r="DY118" s="504">
        <v>0</v>
      </c>
      <c r="DZ118" s="504">
        <v>0</v>
      </c>
      <c r="EA118" s="504">
        <v>0</v>
      </c>
      <c r="EB118" s="504">
        <v>0</v>
      </c>
      <c r="EC118" s="504">
        <v>0</v>
      </c>
      <c r="ED118" s="504">
        <v>0</v>
      </c>
      <c r="EE118" s="504">
        <v>0</v>
      </c>
      <c r="EF118" s="504">
        <v>0</v>
      </c>
      <c r="EG118" s="504">
        <v>0</v>
      </c>
      <c r="EH118" s="504">
        <v>0</v>
      </c>
      <c r="EI118" s="504">
        <v>0</v>
      </c>
      <c r="EJ118" s="504">
        <v>0</v>
      </c>
      <c r="EK118" s="504">
        <v>0</v>
      </c>
      <c r="EL118" s="504">
        <v>0</v>
      </c>
      <c r="EM118" s="504">
        <v>0</v>
      </c>
      <c r="EN118" s="504">
        <v>0</v>
      </c>
      <c r="EO118" s="504">
        <v>0</v>
      </c>
      <c r="EP118" s="504">
        <v>0</v>
      </c>
      <c r="EQ118" s="504">
        <v>0</v>
      </c>
      <c r="ER118" s="504">
        <v>0</v>
      </c>
      <c r="ES118" s="504">
        <v>0</v>
      </c>
      <c r="ET118" s="504">
        <v>0</v>
      </c>
      <c r="EU118" s="504">
        <v>0</v>
      </c>
      <c r="EV118" s="504">
        <v>0</v>
      </c>
      <c r="EW118" s="504">
        <v>0</v>
      </c>
      <c r="EX118" s="504">
        <v>0</v>
      </c>
      <c r="EY118" s="504">
        <v>0</v>
      </c>
      <c r="EZ118" s="504">
        <v>0</v>
      </c>
      <c r="FA118" s="504">
        <v>0</v>
      </c>
      <c r="FB118" s="504">
        <v>0</v>
      </c>
      <c r="FC118" s="504">
        <v>0</v>
      </c>
      <c r="FD118" s="504">
        <v>0</v>
      </c>
      <c r="FE118" s="504">
        <v>0</v>
      </c>
      <c r="FF118" s="504">
        <v>0</v>
      </c>
      <c r="FG118" s="504">
        <v>0</v>
      </c>
      <c r="FH118" s="504">
        <v>0</v>
      </c>
      <c r="FI118" s="504">
        <v>0</v>
      </c>
      <c r="FJ118" s="504">
        <v>0</v>
      </c>
      <c r="FK118" s="504">
        <v>0</v>
      </c>
      <c r="FL118" s="504">
        <v>0</v>
      </c>
      <c r="FM118" s="504">
        <v>0</v>
      </c>
      <c r="FN118" s="504">
        <v>0</v>
      </c>
      <c r="FO118" s="504">
        <v>0</v>
      </c>
      <c r="FP118" s="504">
        <v>0</v>
      </c>
      <c r="FQ118" s="504">
        <v>0</v>
      </c>
      <c r="FR118" s="504">
        <v>0</v>
      </c>
      <c r="FS118" s="504">
        <v>0</v>
      </c>
      <c r="FT118" s="504">
        <v>0</v>
      </c>
      <c r="FU118" s="504">
        <v>0</v>
      </c>
      <c r="FV118" s="504">
        <v>0</v>
      </c>
      <c r="FW118" s="504">
        <v>0</v>
      </c>
      <c r="FX118" s="504">
        <v>0</v>
      </c>
      <c r="FY118" s="504">
        <v>0</v>
      </c>
      <c r="FZ118" s="504">
        <v>0</v>
      </c>
      <c r="GA118" s="504">
        <v>0</v>
      </c>
      <c r="GB118" s="504">
        <v>0</v>
      </c>
      <c r="GC118" s="504">
        <v>0</v>
      </c>
      <c r="GD118" s="504">
        <v>0</v>
      </c>
      <c r="GE118" s="504">
        <v>0</v>
      </c>
      <c r="GF118" s="504">
        <v>0</v>
      </c>
      <c r="GG118" s="504">
        <v>0</v>
      </c>
      <c r="GH118" s="504">
        <v>0</v>
      </c>
      <c r="GI118" s="504">
        <v>0</v>
      </c>
      <c r="GJ118" s="504">
        <v>0</v>
      </c>
      <c r="GK118" s="504">
        <v>0</v>
      </c>
      <c r="GL118" s="504">
        <v>0</v>
      </c>
      <c r="GM118" s="504">
        <v>0</v>
      </c>
      <c r="GN118" s="504">
        <v>0</v>
      </c>
      <c r="GO118" s="504">
        <v>0</v>
      </c>
      <c r="GP118" s="504">
        <v>0</v>
      </c>
      <c r="GQ118" s="504">
        <v>0</v>
      </c>
      <c r="GR118" s="504">
        <v>0</v>
      </c>
      <c r="GS118" s="504">
        <v>0</v>
      </c>
      <c r="GT118" s="504">
        <v>0</v>
      </c>
      <c r="GU118" s="504">
        <v>0</v>
      </c>
      <c r="GV118" s="504">
        <v>0</v>
      </c>
      <c r="GW118" s="504">
        <v>0</v>
      </c>
      <c r="GX118" s="504">
        <v>0</v>
      </c>
      <c r="GY118" s="504">
        <v>0</v>
      </c>
      <c r="GZ118" s="504">
        <v>0</v>
      </c>
      <c r="HA118" s="504">
        <v>0</v>
      </c>
      <c r="HB118" s="504">
        <v>0</v>
      </c>
      <c r="HC118" s="504">
        <v>0</v>
      </c>
      <c r="HD118" s="504">
        <v>0</v>
      </c>
      <c r="HE118" s="504">
        <v>0</v>
      </c>
      <c r="HF118" s="504">
        <v>0</v>
      </c>
      <c r="HG118" s="504">
        <v>0</v>
      </c>
      <c r="HH118" s="504">
        <v>0</v>
      </c>
      <c r="HI118" s="504">
        <v>0</v>
      </c>
      <c r="HJ118" s="504">
        <v>0</v>
      </c>
      <c r="HK118" s="504">
        <v>0</v>
      </c>
      <c r="HL118" s="504">
        <v>0</v>
      </c>
      <c r="HM118" s="504">
        <v>0</v>
      </c>
      <c r="HN118" s="504">
        <v>0</v>
      </c>
      <c r="HO118" s="504">
        <v>0</v>
      </c>
      <c r="HP118" s="504">
        <v>0</v>
      </c>
      <c r="HQ118" s="504">
        <v>0</v>
      </c>
      <c r="HR118" s="504">
        <v>0</v>
      </c>
      <c r="HS118" s="504">
        <v>0</v>
      </c>
      <c r="HT118" s="504">
        <v>0</v>
      </c>
      <c r="HU118" s="504">
        <v>0</v>
      </c>
      <c r="HV118" s="504">
        <v>0</v>
      </c>
      <c r="HW118" s="504">
        <v>0</v>
      </c>
      <c r="HX118" s="504">
        <v>0</v>
      </c>
      <c r="HY118" s="504">
        <v>0</v>
      </c>
      <c r="HZ118" s="504">
        <v>0</v>
      </c>
      <c r="IA118" s="504">
        <v>0</v>
      </c>
      <c r="IB118" s="504">
        <v>0</v>
      </c>
      <c r="IC118" s="504">
        <v>0</v>
      </c>
      <c r="ID118" s="504">
        <v>0</v>
      </c>
      <c r="IE118" s="504">
        <v>0</v>
      </c>
      <c r="IF118" s="504">
        <v>0</v>
      </c>
      <c r="IG118" s="504">
        <v>0</v>
      </c>
      <c r="IH118" s="504">
        <v>0</v>
      </c>
      <c r="II118" s="504">
        <v>0</v>
      </c>
      <c r="IJ118" s="504">
        <v>0</v>
      </c>
      <c r="IK118" s="504">
        <v>0</v>
      </c>
      <c r="IL118" s="504">
        <v>0</v>
      </c>
      <c r="IM118" s="504">
        <v>0</v>
      </c>
      <c r="IN118" s="504">
        <v>0</v>
      </c>
      <c r="IO118" s="504">
        <v>0</v>
      </c>
      <c r="IP118" s="504">
        <v>0</v>
      </c>
      <c r="IQ118" s="504">
        <v>0</v>
      </c>
      <c r="IR118" s="504">
        <v>0</v>
      </c>
      <c r="IS118" s="504">
        <v>0</v>
      </c>
      <c r="IT118" s="504">
        <v>0</v>
      </c>
      <c r="IU118" s="504">
        <v>0</v>
      </c>
      <c r="IV118" s="504">
        <v>0</v>
      </c>
      <c r="IW118" s="504">
        <v>0</v>
      </c>
      <c r="IX118" s="504">
        <v>0</v>
      </c>
      <c r="IY118" s="504">
        <v>0</v>
      </c>
      <c r="IZ118" s="504">
        <v>0</v>
      </c>
      <c r="JA118" s="504">
        <v>0</v>
      </c>
      <c r="JB118" s="504">
        <v>0</v>
      </c>
      <c r="JC118" s="504">
        <v>0</v>
      </c>
      <c r="JD118" s="504">
        <v>0</v>
      </c>
      <c r="JE118" s="504">
        <v>0</v>
      </c>
      <c r="JF118" s="504">
        <v>0</v>
      </c>
      <c r="JG118" s="504">
        <v>0</v>
      </c>
      <c r="JH118" s="504">
        <v>0</v>
      </c>
      <c r="JI118" s="504">
        <v>0</v>
      </c>
      <c r="JJ118" s="504">
        <v>0</v>
      </c>
      <c r="JK118" s="504">
        <v>0</v>
      </c>
      <c r="JL118" s="504">
        <v>0</v>
      </c>
      <c r="JM118" s="504">
        <v>0</v>
      </c>
      <c r="JN118" s="504">
        <v>0</v>
      </c>
      <c r="JO118" s="504">
        <v>0</v>
      </c>
      <c r="JP118" s="504">
        <v>0</v>
      </c>
      <c r="JQ118" s="504">
        <v>0</v>
      </c>
      <c r="JR118" s="504">
        <v>0</v>
      </c>
      <c r="JS118" s="504">
        <v>0</v>
      </c>
      <c r="JT118" s="504">
        <v>0</v>
      </c>
      <c r="JU118" s="504">
        <v>0</v>
      </c>
      <c r="JV118" s="504">
        <v>0</v>
      </c>
      <c r="JW118" s="504">
        <v>0</v>
      </c>
      <c r="JX118" s="504">
        <v>0</v>
      </c>
      <c r="JY118" s="504">
        <v>0</v>
      </c>
      <c r="JZ118" s="504">
        <v>0</v>
      </c>
      <c r="KA118" s="504">
        <v>0</v>
      </c>
      <c r="KB118" s="504">
        <v>0</v>
      </c>
      <c r="KC118" s="504">
        <v>0</v>
      </c>
      <c r="KD118" s="504">
        <v>0</v>
      </c>
      <c r="KE118" s="504">
        <v>0</v>
      </c>
      <c r="KF118" s="504">
        <v>0</v>
      </c>
      <c r="KG118" s="504">
        <v>0</v>
      </c>
      <c r="KH118" s="504">
        <v>0</v>
      </c>
      <c r="KI118" s="504">
        <v>0</v>
      </c>
      <c r="KJ118" s="504">
        <v>0</v>
      </c>
      <c r="KK118" s="504">
        <v>0</v>
      </c>
      <c r="KL118" s="504">
        <v>0</v>
      </c>
      <c r="KM118" s="504">
        <v>0</v>
      </c>
      <c r="KN118" s="504">
        <v>0</v>
      </c>
      <c r="KO118" s="504">
        <v>0</v>
      </c>
      <c r="KP118" s="504">
        <v>0</v>
      </c>
      <c r="KQ118" s="504">
        <v>0</v>
      </c>
      <c r="KR118" s="504">
        <v>0</v>
      </c>
      <c r="KS118" s="504">
        <v>0</v>
      </c>
      <c r="KT118" s="504">
        <v>0</v>
      </c>
      <c r="KU118" s="504">
        <v>0</v>
      </c>
      <c r="KV118" s="504">
        <v>0</v>
      </c>
      <c r="KW118" s="504">
        <v>0</v>
      </c>
      <c r="KX118" s="504">
        <v>0</v>
      </c>
      <c r="KY118" s="504">
        <v>0</v>
      </c>
      <c r="KZ118" s="504">
        <v>0</v>
      </c>
      <c r="LA118" s="504">
        <v>0</v>
      </c>
      <c r="LB118" s="504">
        <v>0</v>
      </c>
      <c r="LC118" s="504">
        <v>0</v>
      </c>
      <c r="LD118" s="504">
        <v>0</v>
      </c>
      <c r="LE118" s="504">
        <v>0</v>
      </c>
      <c r="LF118" s="504">
        <v>0</v>
      </c>
      <c r="LG118" s="504">
        <v>0</v>
      </c>
      <c r="LH118" s="504">
        <v>0</v>
      </c>
      <c r="LI118" s="504">
        <v>0</v>
      </c>
      <c r="LJ118" s="504">
        <v>0</v>
      </c>
      <c r="LK118" s="504">
        <v>0</v>
      </c>
      <c r="LL118" s="504">
        <v>0</v>
      </c>
      <c r="LM118" s="504">
        <v>0</v>
      </c>
      <c r="LN118" s="504">
        <v>0</v>
      </c>
      <c r="LO118" s="504">
        <v>0</v>
      </c>
      <c r="LP118" s="504">
        <v>0</v>
      </c>
      <c r="LQ118" s="504">
        <v>0</v>
      </c>
      <c r="LR118" s="504">
        <v>0</v>
      </c>
      <c r="LS118" s="504">
        <v>0</v>
      </c>
      <c r="LT118" s="504">
        <v>0</v>
      </c>
      <c r="LU118" s="504">
        <v>0</v>
      </c>
      <c r="LV118" s="504">
        <v>0</v>
      </c>
      <c r="LW118" s="504">
        <v>0</v>
      </c>
      <c r="LX118" s="504">
        <v>0</v>
      </c>
      <c r="LY118" s="504">
        <v>0</v>
      </c>
      <c r="LZ118" s="504">
        <v>0</v>
      </c>
      <c r="MA118" s="504">
        <v>0</v>
      </c>
      <c r="MB118" s="504">
        <v>0</v>
      </c>
      <c r="MC118" s="504">
        <v>0</v>
      </c>
      <c r="MD118" s="504">
        <v>0</v>
      </c>
      <c r="ME118" s="504">
        <v>0</v>
      </c>
      <c r="MF118" s="504">
        <v>0</v>
      </c>
      <c r="MG118" s="504">
        <v>0</v>
      </c>
      <c r="MH118" s="504">
        <v>0</v>
      </c>
      <c r="MI118" s="504">
        <v>0</v>
      </c>
      <c r="MJ118" s="504">
        <v>0</v>
      </c>
      <c r="MK118" s="504">
        <v>0</v>
      </c>
      <c r="ML118" s="504">
        <v>0</v>
      </c>
      <c r="MM118" s="504">
        <v>0</v>
      </c>
      <c r="MN118" s="504">
        <v>0</v>
      </c>
      <c r="MO118" s="504">
        <v>0</v>
      </c>
      <c r="MP118" s="504">
        <v>0</v>
      </c>
      <c r="MQ118" s="504">
        <v>0</v>
      </c>
      <c r="MR118" s="504">
        <v>0</v>
      </c>
      <c r="MS118" s="504">
        <v>0</v>
      </c>
      <c r="MT118" s="504">
        <v>0</v>
      </c>
      <c r="MU118" s="504">
        <v>0</v>
      </c>
      <c r="MV118" s="504">
        <v>0</v>
      </c>
      <c r="MW118" s="504">
        <v>0</v>
      </c>
      <c r="MX118" s="504">
        <v>0</v>
      </c>
      <c r="MY118" s="504">
        <v>0</v>
      </c>
      <c r="MZ118" s="504">
        <v>0</v>
      </c>
      <c r="NA118" s="504">
        <v>0</v>
      </c>
      <c r="NB118" s="504">
        <v>0</v>
      </c>
      <c r="NC118" s="504">
        <v>0</v>
      </c>
      <c r="ND118" s="504">
        <v>0</v>
      </c>
      <c r="NE118" s="504">
        <v>0</v>
      </c>
      <c r="NF118" s="504">
        <v>0</v>
      </c>
      <c r="NG118" s="504">
        <v>0</v>
      </c>
      <c r="NH118" s="504">
        <v>0</v>
      </c>
      <c r="NI118" s="504">
        <v>0</v>
      </c>
      <c r="NJ118" s="504">
        <v>0</v>
      </c>
      <c r="NK118" s="504">
        <v>0</v>
      </c>
      <c r="NL118" s="504">
        <v>0</v>
      </c>
      <c r="NM118" s="504">
        <v>0</v>
      </c>
      <c r="NN118" s="504">
        <v>0</v>
      </c>
      <c r="NO118" s="504">
        <v>0</v>
      </c>
      <c r="NP118" s="504">
        <v>0</v>
      </c>
      <c r="NQ118" s="504">
        <v>0</v>
      </c>
      <c r="NR118" s="504">
        <v>0</v>
      </c>
      <c r="NS118" s="504">
        <v>0</v>
      </c>
      <c r="NT118" s="504">
        <v>0</v>
      </c>
      <c r="NU118" s="504">
        <v>0</v>
      </c>
      <c r="NV118" s="504">
        <v>0</v>
      </c>
      <c r="NW118" s="504">
        <v>0</v>
      </c>
      <c r="NX118" s="504">
        <v>0</v>
      </c>
      <c r="NY118" s="504">
        <v>0</v>
      </c>
      <c r="NZ118" s="504">
        <v>0</v>
      </c>
      <c r="OA118" s="504">
        <v>0</v>
      </c>
      <c r="OB118" s="504">
        <v>0</v>
      </c>
      <c r="OC118" s="504">
        <v>0</v>
      </c>
      <c r="OD118" s="504">
        <v>0</v>
      </c>
      <c r="OE118" s="504">
        <v>0</v>
      </c>
      <c r="OF118" s="504">
        <v>0</v>
      </c>
      <c r="OG118" s="504">
        <v>0</v>
      </c>
      <c r="OH118" s="504">
        <v>0</v>
      </c>
      <c r="OI118" s="504">
        <v>0</v>
      </c>
      <c r="OJ118" s="504">
        <v>0</v>
      </c>
      <c r="OK118" s="504">
        <v>0</v>
      </c>
      <c r="OL118" s="504">
        <v>0</v>
      </c>
      <c r="OM118" s="504">
        <v>0</v>
      </c>
      <c r="ON118" s="494"/>
    </row>
    <row r="119" spans="1:404" ht="18.75" customHeight="1" x14ac:dyDescent="0.4">
      <c r="A119" s="511" t="s">
        <v>389</v>
      </c>
      <c r="B119" s="512">
        <v>106</v>
      </c>
      <c r="C119" s="511" t="s">
        <v>60</v>
      </c>
      <c r="D119" s="501">
        <v>31.56</v>
      </c>
      <c r="E119" s="502">
        <v>11918</v>
      </c>
      <c r="F119" s="501">
        <v>31.55</v>
      </c>
      <c r="G119" s="502">
        <v>2282</v>
      </c>
      <c r="H119" s="501">
        <v>31.56</v>
      </c>
      <c r="I119" s="502">
        <v>5893</v>
      </c>
      <c r="J119" s="501">
        <v>31.55</v>
      </c>
      <c r="K119" s="502">
        <v>7074</v>
      </c>
      <c r="V119" s="501"/>
      <c r="W119" s="503"/>
      <c r="X119" s="501"/>
      <c r="Y119" s="503"/>
      <c r="Z119" s="501"/>
      <c r="AA119" s="503"/>
      <c r="AB119" s="495"/>
      <c r="AC119" s="504">
        <v>0</v>
      </c>
      <c r="AD119" s="504">
        <v>0</v>
      </c>
      <c r="AE119" s="504">
        <v>0</v>
      </c>
      <c r="AF119" s="504">
        <v>0</v>
      </c>
      <c r="AG119" s="504">
        <v>0</v>
      </c>
      <c r="AH119" s="504">
        <v>0</v>
      </c>
      <c r="AI119" s="504">
        <v>0</v>
      </c>
      <c r="AJ119" s="504">
        <v>0</v>
      </c>
      <c r="AK119" s="504">
        <v>0</v>
      </c>
      <c r="AL119" s="504">
        <v>0</v>
      </c>
      <c r="AM119" s="504">
        <v>0</v>
      </c>
      <c r="AN119" s="504">
        <v>0</v>
      </c>
      <c r="AO119" s="504">
        <v>0</v>
      </c>
      <c r="AP119" s="504">
        <v>0</v>
      </c>
      <c r="AQ119" s="504">
        <v>0</v>
      </c>
      <c r="AR119" s="504">
        <v>0</v>
      </c>
      <c r="AS119" s="504">
        <v>0</v>
      </c>
      <c r="AT119" s="504">
        <v>0</v>
      </c>
      <c r="AU119" s="504">
        <v>0</v>
      </c>
      <c r="AV119" s="504">
        <v>0</v>
      </c>
      <c r="AW119" s="504">
        <v>0</v>
      </c>
      <c r="AX119" s="504">
        <v>0</v>
      </c>
      <c r="AY119" s="504">
        <v>0</v>
      </c>
      <c r="AZ119" s="504">
        <v>0</v>
      </c>
      <c r="BA119" s="504">
        <v>0</v>
      </c>
      <c r="BB119" s="504">
        <v>0</v>
      </c>
      <c r="BC119" s="504">
        <v>0</v>
      </c>
      <c r="BD119" s="504">
        <v>0</v>
      </c>
      <c r="BE119" s="504">
        <v>0</v>
      </c>
      <c r="BF119" s="504">
        <v>0</v>
      </c>
      <c r="BG119" s="504">
        <v>0</v>
      </c>
      <c r="BH119" s="504">
        <v>0</v>
      </c>
      <c r="BI119" s="504">
        <v>0</v>
      </c>
      <c r="BJ119" s="504">
        <v>0</v>
      </c>
      <c r="BK119" s="504">
        <v>0</v>
      </c>
      <c r="BL119" s="504">
        <v>0</v>
      </c>
      <c r="BM119" s="504">
        <v>0</v>
      </c>
      <c r="BN119" s="504">
        <v>0</v>
      </c>
      <c r="BO119" s="504">
        <v>0</v>
      </c>
      <c r="BP119" s="504">
        <v>0</v>
      </c>
      <c r="BQ119" s="504">
        <v>0</v>
      </c>
      <c r="BR119" s="504">
        <v>0</v>
      </c>
      <c r="BS119" s="504">
        <v>0</v>
      </c>
      <c r="BT119" s="504">
        <v>0</v>
      </c>
      <c r="BU119" s="504">
        <v>0</v>
      </c>
      <c r="BV119" s="504">
        <v>0</v>
      </c>
      <c r="BW119" s="504">
        <v>0</v>
      </c>
      <c r="BX119" s="504">
        <v>0</v>
      </c>
      <c r="BY119" s="504">
        <v>0</v>
      </c>
      <c r="BZ119" s="504">
        <v>0</v>
      </c>
      <c r="CA119" s="504">
        <v>0</v>
      </c>
      <c r="CB119" s="504">
        <v>0</v>
      </c>
      <c r="CC119" s="504">
        <v>0</v>
      </c>
      <c r="CD119" s="504">
        <v>0</v>
      </c>
      <c r="CE119" s="504">
        <v>0</v>
      </c>
      <c r="CF119" s="504">
        <v>0</v>
      </c>
      <c r="CG119" s="504">
        <v>0</v>
      </c>
      <c r="CH119" s="504">
        <v>0</v>
      </c>
      <c r="CI119" s="504">
        <v>0</v>
      </c>
      <c r="CJ119" s="504">
        <v>0</v>
      </c>
      <c r="CK119" s="504">
        <v>0</v>
      </c>
      <c r="CL119" s="504">
        <v>0</v>
      </c>
      <c r="CM119" s="504">
        <v>0</v>
      </c>
      <c r="CN119" s="504">
        <v>0</v>
      </c>
      <c r="CO119" s="504">
        <v>0</v>
      </c>
      <c r="CP119" s="504">
        <v>0</v>
      </c>
      <c r="CQ119" s="504">
        <v>0</v>
      </c>
      <c r="CR119" s="504">
        <v>0</v>
      </c>
      <c r="CS119" s="504">
        <v>0</v>
      </c>
      <c r="CT119" s="504">
        <v>0</v>
      </c>
      <c r="CU119" s="504">
        <v>0</v>
      </c>
      <c r="CV119" s="504">
        <v>0</v>
      </c>
      <c r="CW119" s="504">
        <v>0</v>
      </c>
      <c r="CX119" s="504">
        <v>0</v>
      </c>
      <c r="CY119" s="504">
        <v>0</v>
      </c>
      <c r="CZ119" s="504">
        <v>0</v>
      </c>
      <c r="DA119" s="504">
        <v>0</v>
      </c>
      <c r="DB119" s="504">
        <v>0</v>
      </c>
      <c r="DC119" s="504">
        <v>0</v>
      </c>
      <c r="DD119" s="504">
        <v>0</v>
      </c>
      <c r="DE119" s="504">
        <v>0</v>
      </c>
      <c r="DF119" s="504">
        <v>0</v>
      </c>
      <c r="DG119" s="504">
        <v>0</v>
      </c>
      <c r="DH119" s="504">
        <v>0</v>
      </c>
      <c r="DI119" s="504">
        <v>0</v>
      </c>
      <c r="DJ119" s="504">
        <v>0</v>
      </c>
      <c r="DK119" s="504">
        <v>0</v>
      </c>
      <c r="DL119" s="504">
        <v>0</v>
      </c>
      <c r="DM119" s="504">
        <v>0</v>
      </c>
      <c r="DN119" s="504">
        <v>0</v>
      </c>
      <c r="DO119" s="504">
        <v>0</v>
      </c>
      <c r="DP119" s="504">
        <v>0</v>
      </c>
      <c r="DQ119" s="504">
        <v>0</v>
      </c>
      <c r="DR119" s="504">
        <v>0</v>
      </c>
      <c r="DS119" s="504">
        <v>0</v>
      </c>
      <c r="DT119" s="504">
        <v>0</v>
      </c>
      <c r="DU119" s="504">
        <v>0</v>
      </c>
      <c r="DV119" s="504">
        <v>0</v>
      </c>
      <c r="DW119" s="504">
        <v>0</v>
      </c>
      <c r="DX119" s="504">
        <v>0</v>
      </c>
      <c r="DY119" s="504">
        <v>0</v>
      </c>
      <c r="DZ119" s="504">
        <v>0</v>
      </c>
      <c r="EA119" s="504">
        <v>0</v>
      </c>
      <c r="EB119" s="504">
        <v>0</v>
      </c>
      <c r="EC119" s="504">
        <v>0</v>
      </c>
      <c r="ED119" s="504">
        <v>0</v>
      </c>
      <c r="EE119" s="504">
        <v>0</v>
      </c>
      <c r="EF119" s="504">
        <v>0</v>
      </c>
      <c r="EG119" s="504">
        <v>0</v>
      </c>
      <c r="EH119" s="504">
        <v>0</v>
      </c>
      <c r="EI119" s="504">
        <v>0</v>
      </c>
      <c r="EJ119" s="504">
        <v>0</v>
      </c>
      <c r="EK119" s="504">
        <v>0</v>
      </c>
      <c r="EL119" s="504">
        <v>0</v>
      </c>
      <c r="EM119" s="504">
        <v>0</v>
      </c>
      <c r="EN119" s="504">
        <v>0</v>
      </c>
      <c r="EO119" s="504">
        <v>0</v>
      </c>
      <c r="EP119" s="504">
        <v>0</v>
      </c>
      <c r="EQ119" s="504">
        <v>0</v>
      </c>
      <c r="ER119" s="504">
        <v>0</v>
      </c>
      <c r="ES119" s="504">
        <v>0</v>
      </c>
      <c r="ET119" s="504">
        <v>0</v>
      </c>
      <c r="EU119" s="504">
        <v>0</v>
      </c>
      <c r="EV119" s="504">
        <v>0</v>
      </c>
      <c r="EW119" s="504">
        <v>0</v>
      </c>
      <c r="EX119" s="504">
        <v>0</v>
      </c>
      <c r="EY119" s="504">
        <v>0</v>
      </c>
      <c r="EZ119" s="504">
        <v>0</v>
      </c>
      <c r="FA119" s="504">
        <v>0</v>
      </c>
      <c r="FB119" s="504">
        <v>0</v>
      </c>
      <c r="FC119" s="504">
        <v>0</v>
      </c>
      <c r="FD119" s="504">
        <v>0</v>
      </c>
      <c r="FE119" s="504">
        <v>0</v>
      </c>
      <c r="FF119" s="504">
        <v>0</v>
      </c>
      <c r="FG119" s="504">
        <v>0</v>
      </c>
      <c r="FH119" s="504">
        <v>0</v>
      </c>
      <c r="FI119" s="504">
        <v>0</v>
      </c>
      <c r="FJ119" s="504">
        <v>0</v>
      </c>
      <c r="FK119" s="504">
        <v>0</v>
      </c>
      <c r="FL119" s="504">
        <v>0</v>
      </c>
      <c r="FM119" s="504">
        <v>0</v>
      </c>
      <c r="FN119" s="504">
        <v>0</v>
      </c>
      <c r="FO119" s="504">
        <v>0</v>
      </c>
      <c r="FP119" s="504">
        <v>0</v>
      </c>
      <c r="FQ119" s="504">
        <v>0</v>
      </c>
      <c r="FR119" s="504">
        <v>0</v>
      </c>
      <c r="FS119" s="504">
        <v>0</v>
      </c>
      <c r="FT119" s="504">
        <v>0</v>
      </c>
      <c r="FU119" s="504">
        <v>0</v>
      </c>
      <c r="FV119" s="504">
        <v>0</v>
      </c>
      <c r="FW119" s="504">
        <v>0</v>
      </c>
      <c r="FX119" s="504">
        <v>0</v>
      </c>
      <c r="FY119" s="504">
        <v>0</v>
      </c>
      <c r="FZ119" s="504">
        <v>0</v>
      </c>
      <c r="GA119" s="504">
        <v>0</v>
      </c>
      <c r="GB119" s="504">
        <v>0</v>
      </c>
      <c r="GC119" s="504">
        <v>0</v>
      </c>
      <c r="GD119" s="504">
        <v>0</v>
      </c>
      <c r="GE119" s="504">
        <v>0</v>
      </c>
      <c r="GF119" s="504">
        <v>0</v>
      </c>
      <c r="GG119" s="504">
        <v>0</v>
      </c>
      <c r="GH119" s="504">
        <v>0</v>
      </c>
      <c r="GI119" s="504">
        <v>0</v>
      </c>
      <c r="GJ119" s="504">
        <v>0</v>
      </c>
      <c r="GK119" s="504">
        <v>0</v>
      </c>
      <c r="GL119" s="504">
        <v>0</v>
      </c>
      <c r="GM119" s="504">
        <v>0</v>
      </c>
      <c r="GN119" s="504">
        <v>0</v>
      </c>
      <c r="GO119" s="504">
        <v>0</v>
      </c>
      <c r="GP119" s="504">
        <v>0</v>
      </c>
      <c r="GQ119" s="504">
        <v>0</v>
      </c>
      <c r="GR119" s="504">
        <v>0</v>
      </c>
      <c r="GS119" s="504">
        <v>0</v>
      </c>
      <c r="GT119" s="504">
        <v>0</v>
      </c>
      <c r="GU119" s="504">
        <v>0</v>
      </c>
      <c r="GV119" s="504">
        <v>0</v>
      </c>
      <c r="GW119" s="504">
        <v>0</v>
      </c>
      <c r="GX119" s="504">
        <v>0</v>
      </c>
      <c r="GY119" s="504">
        <v>0</v>
      </c>
      <c r="GZ119" s="504">
        <v>0</v>
      </c>
      <c r="HA119" s="504">
        <v>0</v>
      </c>
      <c r="HB119" s="504">
        <v>0</v>
      </c>
      <c r="HC119" s="504">
        <v>0</v>
      </c>
      <c r="HD119" s="504">
        <v>0</v>
      </c>
      <c r="HE119" s="504">
        <v>0</v>
      </c>
      <c r="HF119" s="504">
        <v>0</v>
      </c>
      <c r="HG119" s="504">
        <v>0</v>
      </c>
      <c r="HH119" s="504">
        <v>0</v>
      </c>
      <c r="HI119" s="504">
        <v>0</v>
      </c>
      <c r="HJ119" s="504">
        <v>0</v>
      </c>
      <c r="HK119" s="504">
        <v>0</v>
      </c>
      <c r="HL119" s="504">
        <v>0</v>
      </c>
      <c r="HM119" s="504">
        <v>0</v>
      </c>
      <c r="HN119" s="504">
        <v>0</v>
      </c>
      <c r="HO119" s="504">
        <v>0</v>
      </c>
      <c r="HP119" s="504">
        <v>0</v>
      </c>
      <c r="HQ119" s="504">
        <v>0</v>
      </c>
      <c r="HR119" s="504">
        <v>0</v>
      </c>
      <c r="HS119" s="504">
        <v>0</v>
      </c>
      <c r="HT119" s="504">
        <v>0</v>
      </c>
      <c r="HU119" s="504">
        <v>0</v>
      </c>
      <c r="HV119" s="504">
        <v>0</v>
      </c>
      <c r="HW119" s="504">
        <v>0</v>
      </c>
      <c r="HX119" s="504">
        <v>0</v>
      </c>
      <c r="HY119" s="504">
        <v>0</v>
      </c>
      <c r="HZ119" s="504">
        <v>0</v>
      </c>
      <c r="IA119" s="504">
        <v>0</v>
      </c>
      <c r="IB119" s="504">
        <v>0</v>
      </c>
      <c r="IC119" s="504">
        <v>0</v>
      </c>
      <c r="ID119" s="504">
        <v>0</v>
      </c>
      <c r="IE119" s="504">
        <v>0</v>
      </c>
      <c r="IF119" s="504">
        <v>0</v>
      </c>
      <c r="IG119" s="504">
        <v>0</v>
      </c>
      <c r="IH119" s="504">
        <v>0</v>
      </c>
      <c r="II119" s="504">
        <v>0</v>
      </c>
      <c r="IJ119" s="504">
        <v>0</v>
      </c>
      <c r="IK119" s="504">
        <v>0</v>
      </c>
      <c r="IL119" s="504">
        <v>0</v>
      </c>
      <c r="IM119" s="504">
        <v>0</v>
      </c>
      <c r="IN119" s="504">
        <v>0</v>
      </c>
      <c r="IO119" s="504">
        <v>0</v>
      </c>
      <c r="IP119" s="504">
        <v>0</v>
      </c>
      <c r="IQ119" s="504">
        <v>0</v>
      </c>
      <c r="IR119" s="504">
        <v>0</v>
      </c>
      <c r="IS119" s="504">
        <v>0</v>
      </c>
      <c r="IT119" s="504">
        <v>0</v>
      </c>
      <c r="IU119" s="504">
        <v>0</v>
      </c>
      <c r="IV119" s="504">
        <v>0</v>
      </c>
      <c r="IW119" s="504">
        <v>0</v>
      </c>
      <c r="IX119" s="504">
        <v>0</v>
      </c>
      <c r="IY119" s="504">
        <v>0</v>
      </c>
      <c r="IZ119" s="504">
        <v>0</v>
      </c>
      <c r="JA119" s="504">
        <v>0</v>
      </c>
      <c r="JB119" s="504">
        <v>0</v>
      </c>
      <c r="JC119" s="504">
        <v>0</v>
      </c>
      <c r="JD119" s="504">
        <v>0</v>
      </c>
      <c r="JE119" s="504">
        <v>0</v>
      </c>
      <c r="JF119" s="504">
        <v>0</v>
      </c>
      <c r="JG119" s="504">
        <v>0</v>
      </c>
      <c r="JH119" s="504">
        <v>0</v>
      </c>
      <c r="JI119" s="504">
        <v>0</v>
      </c>
      <c r="JJ119" s="504">
        <v>0</v>
      </c>
      <c r="JK119" s="504">
        <v>0</v>
      </c>
      <c r="JL119" s="504">
        <v>0</v>
      </c>
      <c r="JM119" s="504">
        <v>0</v>
      </c>
      <c r="JN119" s="504">
        <v>0</v>
      </c>
      <c r="JO119" s="504">
        <v>0</v>
      </c>
      <c r="JP119" s="504">
        <v>0</v>
      </c>
      <c r="JQ119" s="504">
        <v>0</v>
      </c>
      <c r="JR119" s="504">
        <v>0</v>
      </c>
      <c r="JS119" s="504">
        <v>0</v>
      </c>
      <c r="JT119" s="504">
        <v>0</v>
      </c>
      <c r="JU119" s="504">
        <v>0</v>
      </c>
      <c r="JV119" s="504">
        <v>0</v>
      </c>
      <c r="JW119" s="504">
        <v>0</v>
      </c>
      <c r="JX119" s="504">
        <v>0</v>
      </c>
      <c r="JY119" s="504">
        <v>0</v>
      </c>
      <c r="JZ119" s="504">
        <v>0</v>
      </c>
      <c r="KA119" s="504">
        <v>0</v>
      </c>
      <c r="KB119" s="504">
        <v>0</v>
      </c>
      <c r="KC119" s="504">
        <v>0</v>
      </c>
      <c r="KD119" s="504">
        <v>0</v>
      </c>
      <c r="KE119" s="504">
        <v>0</v>
      </c>
      <c r="KF119" s="504">
        <v>0</v>
      </c>
      <c r="KG119" s="504">
        <v>0</v>
      </c>
      <c r="KH119" s="504">
        <v>0</v>
      </c>
      <c r="KI119" s="504">
        <v>0</v>
      </c>
      <c r="KJ119" s="504">
        <v>0</v>
      </c>
      <c r="KK119" s="504">
        <v>0</v>
      </c>
      <c r="KL119" s="504">
        <v>0</v>
      </c>
      <c r="KM119" s="504">
        <v>0</v>
      </c>
      <c r="KN119" s="504">
        <v>0</v>
      </c>
      <c r="KO119" s="504">
        <v>0</v>
      </c>
      <c r="KP119" s="504">
        <v>0</v>
      </c>
      <c r="KQ119" s="504">
        <v>0</v>
      </c>
      <c r="KR119" s="504">
        <v>0</v>
      </c>
      <c r="KS119" s="504">
        <v>0</v>
      </c>
      <c r="KT119" s="504">
        <v>0</v>
      </c>
      <c r="KU119" s="504">
        <v>0</v>
      </c>
      <c r="KV119" s="504">
        <v>0</v>
      </c>
      <c r="KW119" s="504">
        <v>0</v>
      </c>
      <c r="KX119" s="504">
        <v>0</v>
      </c>
      <c r="KY119" s="504">
        <v>0</v>
      </c>
      <c r="KZ119" s="504">
        <v>0</v>
      </c>
      <c r="LA119" s="504">
        <v>0</v>
      </c>
      <c r="LB119" s="504">
        <v>0</v>
      </c>
      <c r="LC119" s="504">
        <v>0</v>
      </c>
      <c r="LD119" s="504">
        <v>0</v>
      </c>
      <c r="LE119" s="504">
        <v>0</v>
      </c>
      <c r="LF119" s="504">
        <v>0</v>
      </c>
      <c r="LG119" s="504">
        <v>0</v>
      </c>
      <c r="LH119" s="504">
        <v>0</v>
      </c>
      <c r="LI119" s="504">
        <v>0</v>
      </c>
      <c r="LJ119" s="504">
        <v>0</v>
      </c>
      <c r="LK119" s="504">
        <v>0</v>
      </c>
      <c r="LL119" s="504">
        <v>0</v>
      </c>
      <c r="LM119" s="504">
        <v>0</v>
      </c>
      <c r="LN119" s="504">
        <v>0</v>
      </c>
      <c r="LO119" s="504">
        <v>0</v>
      </c>
      <c r="LP119" s="504">
        <v>0</v>
      </c>
      <c r="LQ119" s="504">
        <v>0</v>
      </c>
      <c r="LR119" s="504">
        <v>0</v>
      </c>
      <c r="LS119" s="504">
        <v>0</v>
      </c>
      <c r="LT119" s="504">
        <v>0</v>
      </c>
      <c r="LU119" s="504">
        <v>0</v>
      </c>
      <c r="LV119" s="504">
        <v>0</v>
      </c>
      <c r="LW119" s="504">
        <v>0</v>
      </c>
      <c r="LX119" s="504">
        <v>0</v>
      </c>
      <c r="LY119" s="504">
        <v>0</v>
      </c>
      <c r="LZ119" s="504">
        <v>0</v>
      </c>
      <c r="MA119" s="504">
        <v>0</v>
      </c>
      <c r="MB119" s="504">
        <v>0</v>
      </c>
      <c r="MC119" s="504">
        <v>0</v>
      </c>
      <c r="MD119" s="504">
        <v>0</v>
      </c>
      <c r="ME119" s="504">
        <v>0</v>
      </c>
      <c r="MF119" s="504">
        <v>0</v>
      </c>
      <c r="MG119" s="504">
        <v>0</v>
      </c>
      <c r="MH119" s="504">
        <v>0</v>
      </c>
      <c r="MI119" s="504">
        <v>0</v>
      </c>
      <c r="MJ119" s="504">
        <v>0</v>
      </c>
      <c r="MK119" s="504">
        <v>0</v>
      </c>
      <c r="ML119" s="504">
        <v>0</v>
      </c>
      <c r="MM119" s="504">
        <v>0</v>
      </c>
      <c r="MN119" s="504">
        <v>0</v>
      </c>
      <c r="MO119" s="504">
        <v>0</v>
      </c>
      <c r="MP119" s="504">
        <v>0</v>
      </c>
      <c r="MQ119" s="504">
        <v>0</v>
      </c>
      <c r="MR119" s="504">
        <v>0</v>
      </c>
      <c r="MS119" s="504">
        <v>0</v>
      </c>
      <c r="MT119" s="504">
        <v>0</v>
      </c>
      <c r="MU119" s="504">
        <v>0</v>
      </c>
      <c r="MV119" s="504">
        <v>0</v>
      </c>
      <c r="MW119" s="504">
        <v>0</v>
      </c>
      <c r="MX119" s="504">
        <v>0</v>
      </c>
      <c r="MY119" s="504">
        <v>0</v>
      </c>
      <c r="MZ119" s="504">
        <v>0</v>
      </c>
      <c r="NA119" s="504">
        <v>0</v>
      </c>
      <c r="NB119" s="504">
        <v>0</v>
      </c>
      <c r="NC119" s="504">
        <v>0</v>
      </c>
      <c r="ND119" s="504">
        <v>0</v>
      </c>
      <c r="NE119" s="504">
        <v>0</v>
      </c>
      <c r="NF119" s="504">
        <v>0</v>
      </c>
      <c r="NG119" s="504">
        <v>0</v>
      </c>
      <c r="NH119" s="504">
        <v>0</v>
      </c>
      <c r="NI119" s="504">
        <v>0</v>
      </c>
      <c r="NJ119" s="504">
        <v>0</v>
      </c>
      <c r="NK119" s="504">
        <v>0</v>
      </c>
      <c r="NL119" s="504">
        <v>0</v>
      </c>
      <c r="NM119" s="504">
        <v>0</v>
      </c>
      <c r="NN119" s="504">
        <v>0</v>
      </c>
      <c r="NO119" s="504">
        <v>0</v>
      </c>
      <c r="NP119" s="504">
        <v>0</v>
      </c>
      <c r="NQ119" s="504">
        <v>0</v>
      </c>
      <c r="NR119" s="504">
        <v>0</v>
      </c>
      <c r="NS119" s="504">
        <v>0</v>
      </c>
      <c r="NT119" s="504">
        <v>0</v>
      </c>
      <c r="NU119" s="504">
        <v>0</v>
      </c>
      <c r="NV119" s="504">
        <v>0</v>
      </c>
      <c r="NW119" s="504">
        <v>0</v>
      </c>
      <c r="NX119" s="504">
        <v>0</v>
      </c>
      <c r="NY119" s="504">
        <v>0</v>
      </c>
      <c r="NZ119" s="504">
        <v>0</v>
      </c>
      <c r="OA119" s="504">
        <v>0</v>
      </c>
      <c r="OB119" s="504">
        <v>0</v>
      </c>
      <c r="OC119" s="504">
        <v>0</v>
      </c>
      <c r="OD119" s="504">
        <v>0</v>
      </c>
      <c r="OE119" s="504">
        <v>0</v>
      </c>
      <c r="OF119" s="504">
        <v>0</v>
      </c>
      <c r="OG119" s="504">
        <v>0</v>
      </c>
      <c r="OH119" s="504">
        <v>0</v>
      </c>
      <c r="OI119" s="504">
        <v>0</v>
      </c>
      <c r="OJ119" s="504">
        <v>0</v>
      </c>
      <c r="OK119" s="504">
        <v>0</v>
      </c>
      <c r="OL119" s="504">
        <v>0</v>
      </c>
      <c r="OM119" s="504">
        <v>0</v>
      </c>
      <c r="ON119" s="494"/>
    </row>
    <row r="120" spans="1:404" ht="18.75" customHeight="1" x14ac:dyDescent="0.4">
      <c r="A120" s="511" t="s">
        <v>390</v>
      </c>
      <c r="B120" s="512">
        <v>92</v>
      </c>
      <c r="C120" s="511" t="s">
        <v>60</v>
      </c>
      <c r="D120" s="501">
        <v>30.01</v>
      </c>
      <c r="E120" s="502">
        <v>17389</v>
      </c>
      <c r="F120" s="501">
        <v>30.01</v>
      </c>
      <c r="G120" s="502">
        <v>2409</v>
      </c>
      <c r="H120" s="502">
        <v>30</v>
      </c>
      <c r="I120" s="502">
        <v>6029</v>
      </c>
      <c r="J120" s="502">
        <v>30</v>
      </c>
      <c r="K120" s="502">
        <v>6270</v>
      </c>
      <c r="V120" s="501"/>
      <c r="W120" s="503"/>
      <c r="X120" s="501"/>
      <c r="Y120" s="503"/>
      <c r="Z120" s="501"/>
      <c r="AA120" s="503"/>
      <c r="AB120" s="495"/>
      <c r="AC120" s="504">
        <v>0</v>
      </c>
      <c r="AD120" s="504">
        <v>0</v>
      </c>
      <c r="AE120" s="504">
        <v>0</v>
      </c>
      <c r="AF120" s="504">
        <v>0</v>
      </c>
      <c r="AG120" s="504">
        <v>0</v>
      </c>
      <c r="AH120" s="504">
        <v>0</v>
      </c>
      <c r="AI120" s="504">
        <v>0</v>
      </c>
      <c r="AJ120" s="504">
        <v>0</v>
      </c>
      <c r="AK120" s="504">
        <v>0</v>
      </c>
      <c r="AL120" s="504">
        <v>0</v>
      </c>
      <c r="AM120" s="504">
        <v>0</v>
      </c>
      <c r="AN120" s="504">
        <v>0</v>
      </c>
      <c r="AO120" s="504">
        <v>0</v>
      </c>
      <c r="AP120" s="504">
        <v>0</v>
      </c>
      <c r="AQ120" s="504">
        <v>0</v>
      </c>
      <c r="AR120" s="504">
        <v>0</v>
      </c>
      <c r="AS120" s="504">
        <v>0</v>
      </c>
      <c r="AT120" s="504">
        <v>0</v>
      </c>
      <c r="AU120" s="504">
        <v>0</v>
      </c>
      <c r="AV120" s="504">
        <v>0</v>
      </c>
      <c r="AW120" s="504">
        <v>0</v>
      </c>
      <c r="AX120" s="504">
        <v>0</v>
      </c>
      <c r="AY120" s="504">
        <v>0</v>
      </c>
      <c r="AZ120" s="504">
        <v>0</v>
      </c>
      <c r="BA120" s="504">
        <v>0</v>
      </c>
      <c r="BB120" s="504">
        <v>0</v>
      </c>
      <c r="BC120" s="504">
        <v>0</v>
      </c>
      <c r="BD120" s="504">
        <v>0</v>
      </c>
      <c r="BE120" s="504">
        <v>0</v>
      </c>
      <c r="BF120" s="504">
        <v>0</v>
      </c>
      <c r="BG120" s="504">
        <v>0</v>
      </c>
      <c r="BH120" s="504">
        <v>0</v>
      </c>
      <c r="BI120" s="504">
        <v>0</v>
      </c>
      <c r="BJ120" s="504">
        <v>0</v>
      </c>
      <c r="BK120" s="504">
        <v>0</v>
      </c>
      <c r="BL120" s="504">
        <v>0</v>
      </c>
      <c r="BM120" s="504">
        <v>0</v>
      </c>
      <c r="BN120" s="504">
        <v>0</v>
      </c>
      <c r="BO120" s="504">
        <v>0</v>
      </c>
      <c r="BP120" s="504">
        <v>0</v>
      </c>
      <c r="BQ120" s="504">
        <v>0</v>
      </c>
      <c r="BR120" s="504">
        <v>0</v>
      </c>
      <c r="BS120" s="504">
        <v>0</v>
      </c>
      <c r="BT120" s="504">
        <v>0</v>
      </c>
      <c r="BU120" s="504">
        <v>0</v>
      </c>
      <c r="BV120" s="504">
        <v>0</v>
      </c>
      <c r="BW120" s="504">
        <v>0</v>
      </c>
      <c r="BX120" s="504">
        <v>0</v>
      </c>
      <c r="BY120" s="504">
        <v>0</v>
      </c>
      <c r="BZ120" s="504">
        <v>0</v>
      </c>
      <c r="CA120" s="504">
        <v>0</v>
      </c>
      <c r="CB120" s="504">
        <v>0</v>
      </c>
      <c r="CC120" s="504">
        <v>0</v>
      </c>
      <c r="CD120" s="504">
        <v>0</v>
      </c>
      <c r="CE120" s="504">
        <v>0</v>
      </c>
      <c r="CF120" s="504">
        <v>0</v>
      </c>
      <c r="CG120" s="504">
        <v>0</v>
      </c>
      <c r="CH120" s="504">
        <v>0</v>
      </c>
      <c r="CI120" s="504">
        <v>0</v>
      </c>
      <c r="CJ120" s="504">
        <v>0</v>
      </c>
      <c r="CK120" s="504">
        <v>0</v>
      </c>
      <c r="CL120" s="504">
        <v>0</v>
      </c>
      <c r="CM120" s="504">
        <v>0</v>
      </c>
      <c r="CN120" s="504">
        <v>0</v>
      </c>
      <c r="CO120" s="504">
        <v>0</v>
      </c>
      <c r="CP120" s="504">
        <v>0</v>
      </c>
      <c r="CQ120" s="504">
        <v>0</v>
      </c>
      <c r="CR120" s="504">
        <v>0</v>
      </c>
      <c r="CS120" s="504">
        <v>0</v>
      </c>
      <c r="CT120" s="504">
        <v>0</v>
      </c>
      <c r="CU120" s="504">
        <v>0</v>
      </c>
      <c r="CV120" s="504">
        <v>0</v>
      </c>
      <c r="CW120" s="504">
        <v>0</v>
      </c>
      <c r="CX120" s="504">
        <v>0</v>
      </c>
      <c r="CY120" s="504">
        <v>0</v>
      </c>
      <c r="CZ120" s="504">
        <v>0</v>
      </c>
      <c r="DA120" s="504">
        <v>0</v>
      </c>
      <c r="DB120" s="504">
        <v>0</v>
      </c>
      <c r="DC120" s="504">
        <v>0</v>
      </c>
      <c r="DD120" s="504">
        <v>0</v>
      </c>
      <c r="DE120" s="504">
        <v>0</v>
      </c>
      <c r="DF120" s="504">
        <v>0</v>
      </c>
      <c r="DG120" s="504">
        <v>0</v>
      </c>
      <c r="DH120" s="504">
        <v>0</v>
      </c>
      <c r="DI120" s="504">
        <v>0</v>
      </c>
      <c r="DJ120" s="504">
        <v>0</v>
      </c>
      <c r="DK120" s="504">
        <v>0</v>
      </c>
      <c r="DL120" s="504">
        <v>0</v>
      </c>
      <c r="DM120" s="504">
        <v>0</v>
      </c>
      <c r="DN120" s="504">
        <v>0</v>
      </c>
      <c r="DO120" s="504">
        <v>0</v>
      </c>
      <c r="DP120" s="504">
        <v>0</v>
      </c>
      <c r="DQ120" s="504">
        <v>0</v>
      </c>
      <c r="DR120" s="504">
        <v>0</v>
      </c>
      <c r="DS120" s="504">
        <v>0</v>
      </c>
      <c r="DT120" s="504">
        <v>0</v>
      </c>
      <c r="DU120" s="504">
        <v>0</v>
      </c>
      <c r="DV120" s="504">
        <v>0</v>
      </c>
      <c r="DW120" s="504">
        <v>0</v>
      </c>
      <c r="DX120" s="504">
        <v>0</v>
      </c>
      <c r="DY120" s="504">
        <v>0</v>
      </c>
      <c r="DZ120" s="504">
        <v>0</v>
      </c>
      <c r="EA120" s="504">
        <v>0</v>
      </c>
      <c r="EB120" s="504">
        <v>0</v>
      </c>
      <c r="EC120" s="504">
        <v>0</v>
      </c>
      <c r="ED120" s="504">
        <v>0</v>
      </c>
      <c r="EE120" s="504">
        <v>0</v>
      </c>
      <c r="EF120" s="504">
        <v>0</v>
      </c>
      <c r="EG120" s="504">
        <v>0</v>
      </c>
      <c r="EH120" s="504">
        <v>0</v>
      </c>
      <c r="EI120" s="504">
        <v>0</v>
      </c>
      <c r="EJ120" s="504">
        <v>0</v>
      </c>
      <c r="EK120" s="504">
        <v>0</v>
      </c>
      <c r="EL120" s="504">
        <v>0</v>
      </c>
      <c r="EM120" s="504">
        <v>0</v>
      </c>
      <c r="EN120" s="504">
        <v>0</v>
      </c>
      <c r="EO120" s="504">
        <v>0</v>
      </c>
      <c r="EP120" s="504">
        <v>0</v>
      </c>
      <c r="EQ120" s="504">
        <v>0</v>
      </c>
      <c r="ER120" s="504">
        <v>0</v>
      </c>
      <c r="ES120" s="504">
        <v>0</v>
      </c>
      <c r="ET120" s="504">
        <v>0</v>
      </c>
      <c r="EU120" s="504">
        <v>0</v>
      </c>
      <c r="EV120" s="504">
        <v>0</v>
      </c>
      <c r="EW120" s="504">
        <v>0</v>
      </c>
      <c r="EX120" s="504">
        <v>0</v>
      </c>
      <c r="EY120" s="504">
        <v>0</v>
      </c>
      <c r="EZ120" s="504">
        <v>0</v>
      </c>
      <c r="FA120" s="504">
        <v>0</v>
      </c>
      <c r="FB120" s="504">
        <v>0</v>
      </c>
      <c r="FC120" s="504">
        <v>0</v>
      </c>
      <c r="FD120" s="504">
        <v>0</v>
      </c>
      <c r="FE120" s="504">
        <v>0</v>
      </c>
      <c r="FF120" s="504">
        <v>0</v>
      </c>
      <c r="FG120" s="504">
        <v>0</v>
      </c>
      <c r="FH120" s="504">
        <v>0</v>
      </c>
      <c r="FI120" s="504">
        <v>0</v>
      </c>
      <c r="FJ120" s="504">
        <v>0</v>
      </c>
      <c r="FK120" s="504">
        <v>0</v>
      </c>
      <c r="FL120" s="504">
        <v>0</v>
      </c>
      <c r="FM120" s="504">
        <v>0</v>
      </c>
      <c r="FN120" s="504">
        <v>0</v>
      </c>
      <c r="FO120" s="504">
        <v>0</v>
      </c>
      <c r="FP120" s="504">
        <v>0</v>
      </c>
      <c r="FQ120" s="504">
        <v>0</v>
      </c>
      <c r="FR120" s="504">
        <v>0</v>
      </c>
      <c r="FS120" s="504">
        <v>0</v>
      </c>
      <c r="FT120" s="504">
        <v>0</v>
      </c>
      <c r="FU120" s="504">
        <v>0</v>
      </c>
      <c r="FV120" s="504">
        <v>0</v>
      </c>
      <c r="FW120" s="504">
        <v>0</v>
      </c>
      <c r="FX120" s="504">
        <v>0</v>
      </c>
      <c r="FY120" s="504">
        <v>0</v>
      </c>
      <c r="FZ120" s="504">
        <v>0</v>
      </c>
      <c r="GA120" s="504">
        <v>0</v>
      </c>
      <c r="GB120" s="504">
        <v>0</v>
      </c>
      <c r="GC120" s="504">
        <v>0</v>
      </c>
      <c r="GD120" s="504">
        <v>0</v>
      </c>
      <c r="GE120" s="504">
        <v>0</v>
      </c>
      <c r="GF120" s="504">
        <v>0</v>
      </c>
      <c r="GG120" s="504">
        <v>0</v>
      </c>
      <c r="GH120" s="504">
        <v>0</v>
      </c>
      <c r="GI120" s="504">
        <v>0</v>
      </c>
      <c r="GJ120" s="504">
        <v>0</v>
      </c>
      <c r="GK120" s="504">
        <v>0</v>
      </c>
      <c r="GL120" s="504">
        <v>0</v>
      </c>
      <c r="GM120" s="504">
        <v>0</v>
      </c>
      <c r="GN120" s="504">
        <v>0</v>
      </c>
      <c r="GO120" s="504">
        <v>0</v>
      </c>
      <c r="GP120" s="504">
        <v>0</v>
      </c>
      <c r="GQ120" s="504">
        <v>0</v>
      </c>
      <c r="GR120" s="504">
        <v>0</v>
      </c>
      <c r="GS120" s="504">
        <v>0</v>
      </c>
      <c r="GT120" s="504">
        <v>0</v>
      </c>
      <c r="GU120" s="504">
        <v>0</v>
      </c>
      <c r="GV120" s="504">
        <v>0</v>
      </c>
      <c r="GW120" s="504">
        <v>0</v>
      </c>
      <c r="GX120" s="504">
        <v>0</v>
      </c>
      <c r="GY120" s="504">
        <v>0</v>
      </c>
      <c r="GZ120" s="504">
        <v>0</v>
      </c>
      <c r="HA120" s="504">
        <v>0</v>
      </c>
      <c r="HB120" s="504">
        <v>0</v>
      </c>
      <c r="HC120" s="504">
        <v>0</v>
      </c>
      <c r="HD120" s="504">
        <v>0</v>
      </c>
      <c r="HE120" s="504">
        <v>0</v>
      </c>
      <c r="HF120" s="504">
        <v>0</v>
      </c>
      <c r="HG120" s="504">
        <v>0</v>
      </c>
      <c r="HH120" s="504">
        <v>0</v>
      </c>
      <c r="HI120" s="504">
        <v>0</v>
      </c>
      <c r="HJ120" s="504">
        <v>0</v>
      </c>
      <c r="HK120" s="504">
        <v>0</v>
      </c>
      <c r="HL120" s="504">
        <v>0</v>
      </c>
      <c r="HM120" s="504">
        <v>0</v>
      </c>
      <c r="HN120" s="504">
        <v>0</v>
      </c>
      <c r="HO120" s="504">
        <v>0</v>
      </c>
      <c r="HP120" s="504">
        <v>0</v>
      </c>
      <c r="HQ120" s="504">
        <v>0</v>
      </c>
      <c r="HR120" s="504">
        <v>0</v>
      </c>
      <c r="HS120" s="504">
        <v>0</v>
      </c>
      <c r="HT120" s="504">
        <v>0</v>
      </c>
      <c r="HU120" s="504">
        <v>0</v>
      </c>
      <c r="HV120" s="504">
        <v>0</v>
      </c>
      <c r="HW120" s="504">
        <v>0</v>
      </c>
      <c r="HX120" s="504">
        <v>0</v>
      </c>
      <c r="HY120" s="504">
        <v>0</v>
      </c>
      <c r="HZ120" s="504">
        <v>0</v>
      </c>
      <c r="IA120" s="504">
        <v>0</v>
      </c>
      <c r="IB120" s="504">
        <v>0</v>
      </c>
      <c r="IC120" s="504">
        <v>0</v>
      </c>
      <c r="ID120" s="504">
        <v>0</v>
      </c>
      <c r="IE120" s="504">
        <v>0</v>
      </c>
      <c r="IF120" s="504">
        <v>0</v>
      </c>
      <c r="IG120" s="504">
        <v>0</v>
      </c>
      <c r="IH120" s="504">
        <v>0</v>
      </c>
      <c r="II120" s="504">
        <v>0</v>
      </c>
      <c r="IJ120" s="504">
        <v>0</v>
      </c>
      <c r="IK120" s="504">
        <v>0</v>
      </c>
      <c r="IL120" s="504">
        <v>0</v>
      </c>
      <c r="IM120" s="504">
        <v>0</v>
      </c>
      <c r="IN120" s="504">
        <v>0</v>
      </c>
      <c r="IO120" s="504">
        <v>0</v>
      </c>
      <c r="IP120" s="504">
        <v>0</v>
      </c>
      <c r="IQ120" s="504">
        <v>0</v>
      </c>
      <c r="IR120" s="504">
        <v>0</v>
      </c>
      <c r="IS120" s="504">
        <v>0</v>
      </c>
      <c r="IT120" s="504">
        <v>0</v>
      </c>
      <c r="IU120" s="504">
        <v>0</v>
      </c>
      <c r="IV120" s="504">
        <v>0</v>
      </c>
      <c r="IW120" s="504">
        <v>0</v>
      </c>
      <c r="IX120" s="504">
        <v>0</v>
      </c>
      <c r="IY120" s="504">
        <v>0</v>
      </c>
      <c r="IZ120" s="504">
        <v>0</v>
      </c>
      <c r="JA120" s="504">
        <v>0</v>
      </c>
      <c r="JB120" s="504">
        <v>0</v>
      </c>
      <c r="JC120" s="504">
        <v>0</v>
      </c>
      <c r="JD120" s="504">
        <v>0</v>
      </c>
      <c r="JE120" s="504">
        <v>0</v>
      </c>
      <c r="JF120" s="504">
        <v>0</v>
      </c>
      <c r="JG120" s="504">
        <v>0</v>
      </c>
      <c r="JH120" s="504">
        <v>0</v>
      </c>
      <c r="JI120" s="504">
        <v>0</v>
      </c>
      <c r="JJ120" s="504">
        <v>0</v>
      </c>
      <c r="JK120" s="504">
        <v>0</v>
      </c>
      <c r="JL120" s="504">
        <v>0</v>
      </c>
      <c r="JM120" s="504">
        <v>0</v>
      </c>
      <c r="JN120" s="504">
        <v>0</v>
      </c>
      <c r="JO120" s="504">
        <v>0</v>
      </c>
      <c r="JP120" s="504">
        <v>0</v>
      </c>
      <c r="JQ120" s="504">
        <v>0</v>
      </c>
      <c r="JR120" s="504">
        <v>0</v>
      </c>
      <c r="JS120" s="504">
        <v>0</v>
      </c>
      <c r="JT120" s="504">
        <v>0</v>
      </c>
      <c r="JU120" s="504">
        <v>0</v>
      </c>
      <c r="JV120" s="504">
        <v>0</v>
      </c>
      <c r="JW120" s="504">
        <v>0</v>
      </c>
      <c r="JX120" s="504">
        <v>0</v>
      </c>
      <c r="JY120" s="504">
        <v>0</v>
      </c>
      <c r="JZ120" s="504">
        <v>0</v>
      </c>
      <c r="KA120" s="504">
        <v>0</v>
      </c>
      <c r="KB120" s="504">
        <v>0</v>
      </c>
      <c r="KC120" s="504">
        <v>0</v>
      </c>
      <c r="KD120" s="504">
        <v>0</v>
      </c>
      <c r="KE120" s="504">
        <v>0</v>
      </c>
      <c r="KF120" s="504">
        <v>0</v>
      </c>
      <c r="KG120" s="504">
        <v>0</v>
      </c>
      <c r="KH120" s="504">
        <v>0</v>
      </c>
      <c r="KI120" s="504">
        <v>0</v>
      </c>
      <c r="KJ120" s="504">
        <v>0</v>
      </c>
      <c r="KK120" s="504">
        <v>0</v>
      </c>
      <c r="KL120" s="504">
        <v>0</v>
      </c>
      <c r="KM120" s="504">
        <v>0</v>
      </c>
      <c r="KN120" s="504">
        <v>0</v>
      </c>
      <c r="KO120" s="504">
        <v>0</v>
      </c>
      <c r="KP120" s="504">
        <v>0</v>
      </c>
      <c r="KQ120" s="504">
        <v>0</v>
      </c>
      <c r="KR120" s="504">
        <v>0</v>
      </c>
      <c r="KS120" s="504">
        <v>0</v>
      </c>
      <c r="KT120" s="504">
        <v>0</v>
      </c>
      <c r="KU120" s="504">
        <v>0</v>
      </c>
      <c r="KV120" s="504">
        <v>0</v>
      </c>
      <c r="KW120" s="504">
        <v>0</v>
      </c>
      <c r="KX120" s="504">
        <v>0</v>
      </c>
      <c r="KY120" s="504">
        <v>0</v>
      </c>
      <c r="KZ120" s="504">
        <v>0</v>
      </c>
      <c r="LA120" s="504">
        <v>0</v>
      </c>
      <c r="LB120" s="504">
        <v>0</v>
      </c>
      <c r="LC120" s="504">
        <v>0</v>
      </c>
      <c r="LD120" s="504">
        <v>0</v>
      </c>
      <c r="LE120" s="504">
        <v>0</v>
      </c>
      <c r="LF120" s="504">
        <v>0</v>
      </c>
      <c r="LG120" s="504">
        <v>0</v>
      </c>
      <c r="LH120" s="504">
        <v>0</v>
      </c>
      <c r="LI120" s="504">
        <v>0</v>
      </c>
      <c r="LJ120" s="504">
        <v>0</v>
      </c>
      <c r="LK120" s="504">
        <v>0</v>
      </c>
      <c r="LL120" s="504">
        <v>0</v>
      </c>
      <c r="LM120" s="504">
        <v>0</v>
      </c>
      <c r="LN120" s="504">
        <v>0</v>
      </c>
      <c r="LO120" s="504">
        <v>0</v>
      </c>
      <c r="LP120" s="504">
        <v>0</v>
      </c>
      <c r="LQ120" s="504">
        <v>0</v>
      </c>
      <c r="LR120" s="504">
        <v>0</v>
      </c>
      <c r="LS120" s="504">
        <v>0</v>
      </c>
      <c r="LT120" s="504">
        <v>0</v>
      </c>
      <c r="LU120" s="504">
        <v>0</v>
      </c>
      <c r="LV120" s="504">
        <v>0</v>
      </c>
      <c r="LW120" s="504">
        <v>0</v>
      </c>
      <c r="LX120" s="504">
        <v>0</v>
      </c>
      <c r="LY120" s="504">
        <v>0</v>
      </c>
      <c r="LZ120" s="504">
        <v>0</v>
      </c>
      <c r="MA120" s="504">
        <v>0</v>
      </c>
      <c r="MB120" s="504">
        <v>0</v>
      </c>
      <c r="MC120" s="504">
        <v>0</v>
      </c>
      <c r="MD120" s="504">
        <v>0</v>
      </c>
      <c r="ME120" s="504">
        <v>0</v>
      </c>
      <c r="MF120" s="504">
        <v>0</v>
      </c>
      <c r="MG120" s="504">
        <v>0</v>
      </c>
      <c r="MH120" s="504">
        <v>0</v>
      </c>
      <c r="MI120" s="504">
        <v>0</v>
      </c>
      <c r="MJ120" s="504">
        <v>0</v>
      </c>
      <c r="MK120" s="504">
        <v>0</v>
      </c>
      <c r="ML120" s="504">
        <v>0</v>
      </c>
      <c r="MM120" s="504">
        <v>0</v>
      </c>
      <c r="MN120" s="504">
        <v>0</v>
      </c>
      <c r="MO120" s="504">
        <v>0</v>
      </c>
      <c r="MP120" s="504">
        <v>0</v>
      </c>
      <c r="MQ120" s="504">
        <v>0</v>
      </c>
      <c r="MR120" s="504">
        <v>0</v>
      </c>
      <c r="MS120" s="504">
        <v>0</v>
      </c>
      <c r="MT120" s="504">
        <v>0</v>
      </c>
      <c r="MU120" s="504">
        <v>0</v>
      </c>
      <c r="MV120" s="504">
        <v>0</v>
      </c>
      <c r="MW120" s="504">
        <v>0</v>
      </c>
      <c r="MX120" s="504">
        <v>0</v>
      </c>
      <c r="MY120" s="504">
        <v>0</v>
      </c>
      <c r="MZ120" s="504">
        <v>0</v>
      </c>
      <c r="NA120" s="504">
        <v>0</v>
      </c>
      <c r="NB120" s="504">
        <v>0</v>
      </c>
      <c r="NC120" s="504">
        <v>0</v>
      </c>
      <c r="ND120" s="504">
        <v>0</v>
      </c>
      <c r="NE120" s="504">
        <v>0</v>
      </c>
      <c r="NF120" s="504">
        <v>0</v>
      </c>
      <c r="NG120" s="504">
        <v>0</v>
      </c>
      <c r="NH120" s="504">
        <v>0</v>
      </c>
      <c r="NI120" s="504">
        <v>0</v>
      </c>
      <c r="NJ120" s="504">
        <v>0</v>
      </c>
      <c r="NK120" s="504">
        <v>0</v>
      </c>
      <c r="NL120" s="504">
        <v>0</v>
      </c>
      <c r="NM120" s="504">
        <v>0</v>
      </c>
      <c r="NN120" s="504">
        <v>0</v>
      </c>
      <c r="NO120" s="504">
        <v>0</v>
      </c>
      <c r="NP120" s="504">
        <v>0</v>
      </c>
      <c r="NQ120" s="504">
        <v>0</v>
      </c>
      <c r="NR120" s="504">
        <v>0</v>
      </c>
      <c r="NS120" s="504">
        <v>0</v>
      </c>
      <c r="NT120" s="504">
        <v>0</v>
      </c>
      <c r="NU120" s="504">
        <v>0</v>
      </c>
      <c r="NV120" s="504">
        <v>0</v>
      </c>
      <c r="NW120" s="504">
        <v>0</v>
      </c>
      <c r="NX120" s="504">
        <v>0</v>
      </c>
      <c r="NY120" s="504">
        <v>0</v>
      </c>
      <c r="NZ120" s="504">
        <v>0</v>
      </c>
      <c r="OA120" s="504">
        <v>0</v>
      </c>
      <c r="OB120" s="504">
        <v>0</v>
      </c>
      <c r="OC120" s="504">
        <v>0</v>
      </c>
      <c r="OD120" s="504">
        <v>0</v>
      </c>
      <c r="OE120" s="504">
        <v>0</v>
      </c>
      <c r="OF120" s="504">
        <v>0</v>
      </c>
      <c r="OG120" s="504">
        <v>0</v>
      </c>
      <c r="OH120" s="504">
        <v>0</v>
      </c>
      <c r="OI120" s="504">
        <v>0</v>
      </c>
      <c r="OJ120" s="504">
        <v>0</v>
      </c>
      <c r="OK120" s="504">
        <v>0</v>
      </c>
      <c r="OL120" s="504">
        <v>0</v>
      </c>
      <c r="OM120" s="504">
        <v>0</v>
      </c>
      <c r="ON120" s="494"/>
    </row>
    <row r="121" spans="1:404" ht="18.75" customHeight="1" x14ac:dyDescent="0.4">
      <c r="A121" s="511" t="s">
        <v>391</v>
      </c>
      <c r="B121" s="512">
        <v>106</v>
      </c>
      <c r="C121" s="511" t="s">
        <v>60</v>
      </c>
      <c r="D121" s="501">
        <v>31.94</v>
      </c>
      <c r="E121" s="502">
        <v>12867</v>
      </c>
      <c r="F121" s="501">
        <v>31.93</v>
      </c>
      <c r="G121" s="502">
        <v>1396</v>
      </c>
      <c r="H121" s="501">
        <v>31.93</v>
      </c>
      <c r="I121" s="502">
        <v>3709</v>
      </c>
      <c r="J121" s="501">
        <v>31.93</v>
      </c>
      <c r="K121" s="502">
        <v>3885</v>
      </c>
      <c r="V121" s="501"/>
      <c r="W121" s="503"/>
      <c r="X121" s="501"/>
      <c r="Y121" s="503"/>
      <c r="Z121" s="501"/>
      <c r="AA121" s="503"/>
      <c r="AB121" s="495"/>
      <c r="AC121" s="504">
        <v>0</v>
      </c>
      <c r="AD121" s="504">
        <v>0</v>
      </c>
      <c r="AE121" s="504">
        <v>0</v>
      </c>
      <c r="AF121" s="504">
        <v>0</v>
      </c>
      <c r="AG121" s="504">
        <v>0</v>
      </c>
      <c r="AH121" s="504">
        <v>0</v>
      </c>
      <c r="AI121" s="504">
        <v>0</v>
      </c>
      <c r="AJ121" s="504">
        <v>0</v>
      </c>
      <c r="AK121" s="504">
        <v>0</v>
      </c>
      <c r="AL121" s="504">
        <v>0</v>
      </c>
      <c r="AM121" s="504">
        <v>0</v>
      </c>
      <c r="AN121" s="504">
        <v>0</v>
      </c>
      <c r="AO121" s="504">
        <v>0</v>
      </c>
      <c r="AP121" s="504">
        <v>0</v>
      </c>
      <c r="AQ121" s="504">
        <v>0</v>
      </c>
      <c r="AR121" s="504">
        <v>0</v>
      </c>
      <c r="AS121" s="504">
        <v>0</v>
      </c>
      <c r="AT121" s="504">
        <v>0</v>
      </c>
      <c r="AU121" s="504">
        <v>0</v>
      </c>
      <c r="AV121" s="504">
        <v>0</v>
      </c>
      <c r="AW121" s="504">
        <v>0</v>
      </c>
      <c r="AX121" s="504">
        <v>0</v>
      </c>
      <c r="AY121" s="504">
        <v>0</v>
      </c>
      <c r="AZ121" s="504">
        <v>0</v>
      </c>
      <c r="BA121" s="504">
        <v>0</v>
      </c>
      <c r="BB121" s="504">
        <v>0</v>
      </c>
      <c r="BC121" s="504">
        <v>0</v>
      </c>
      <c r="BD121" s="504">
        <v>0</v>
      </c>
      <c r="BE121" s="504">
        <v>0</v>
      </c>
      <c r="BF121" s="504">
        <v>0</v>
      </c>
      <c r="BG121" s="504">
        <v>0</v>
      </c>
      <c r="BH121" s="504">
        <v>0</v>
      </c>
      <c r="BI121" s="504">
        <v>0</v>
      </c>
      <c r="BJ121" s="504">
        <v>0</v>
      </c>
      <c r="BK121" s="504">
        <v>0</v>
      </c>
      <c r="BL121" s="504">
        <v>0</v>
      </c>
      <c r="BM121" s="504">
        <v>0</v>
      </c>
      <c r="BN121" s="504">
        <v>0</v>
      </c>
      <c r="BO121" s="504">
        <v>0</v>
      </c>
      <c r="BP121" s="504">
        <v>0</v>
      </c>
      <c r="BQ121" s="504">
        <v>0</v>
      </c>
      <c r="BR121" s="504">
        <v>0</v>
      </c>
      <c r="BS121" s="504">
        <v>0</v>
      </c>
      <c r="BT121" s="504">
        <v>0</v>
      </c>
      <c r="BU121" s="504">
        <v>0</v>
      </c>
      <c r="BV121" s="504">
        <v>0</v>
      </c>
      <c r="BW121" s="504">
        <v>0</v>
      </c>
      <c r="BX121" s="504">
        <v>0</v>
      </c>
      <c r="BY121" s="504">
        <v>0</v>
      </c>
      <c r="BZ121" s="504">
        <v>0</v>
      </c>
      <c r="CA121" s="504">
        <v>0</v>
      </c>
      <c r="CB121" s="504">
        <v>0</v>
      </c>
      <c r="CC121" s="504">
        <v>0</v>
      </c>
      <c r="CD121" s="504">
        <v>0</v>
      </c>
      <c r="CE121" s="504">
        <v>0</v>
      </c>
      <c r="CF121" s="504">
        <v>0</v>
      </c>
      <c r="CG121" s="504">
        <v>0</v>
      </c>
      <c r="CH121" s="504">
        <v>0</v>
      </c>
      <c r="CI121" s="504">
        <v>0</v>
      </c>
      <c r="CJ121" s="504">
        <v>0</v>
      </c>
      <c r="CK121" s="504">
        <v>0</v>
      </c>
      <c r="CL121" s="504">
        <v>0</v>
      </c>
      <c r="CM121" s="504">
        <v>0</v>
      </c>
      <c r="CN121" s="504">
        <v>0</v>
      </c>
      <c r="CO121" s="504">
        <v>0</v>
      </c>
      <c r="CP121" s="504">
        <v>0</v>
      </c>
      <c r="CQ121" s="504">
        <v>0</v>
      </c>
      <c r="CR121" s="504">
        <v>0</v>
      </c>
      <c r="CS121" s="504">
        <v>0</v>
      </c>
      <c r="CT121" s="504">
        <v>0</v>
      </c>
      <c r="CU121" s="504">
        <v>0</v>
      </c>
      <c r="CV121" s="504">
        <v>0</v>
      </c>
      <c r="CW121" s="504">
        <v>0</v>
      </c>
      <c r="CX121" s="504">
        <v>0</v>
      </c>
      <c r="CY121" s="504">
        <v>0</v>
      </c>
      <c r="CZ121" s="504">
        <v>0</v>
      </c>
      <c r="DA121" s="504">
        <v>0</v>
      </c>
      <c r="DB121" s="504">
        <v>0</v>
      </c>
      <c r="DC121" s="504">
        <v>0</v>
      </c>
      <c r="DD121" s="504">
        <v>0</v>
      </c>
      <c r="DE121" s="504">
        <v>0</v>
      </c>
      <c r="DF121" s="504">
        <v>0</v>
      </c>
      <c r="DG121" s="504">
        <v>0</v>
      </c>
      <c r="DH121" s="504">
        <v>0</v>
      </c>
      <c r="DI121" s="504">
        <v>0</v>
      </c>
      <c r="DJ121" s="504">
        <v>0</v>
      </c>
      <c r="DK121" s="504">
        <v>0</v>
      </c>
      <c r="DL121" s="504">
        <v>0</v>
      </c>
      <c r="DM121" s="504">
        <v>0</v>
      </c>
      <c r="DN121" s="504">
        <v>0</v>
      </c>
      <c r="DO121" s="504">
        <v>0</v>
      </c>
      <c r="DP121" s="504">
        <v>0</v>
      </c>
      <c r="DQ121" s="504">
        <v>0</v>
      </c>
      <c r="DR121" s="504">
        <v>0</v>
      </c>
      <c r="DS121" s="504">
        <v>0</v>
      </c>
      <c r="DT121" s="504">
        <v>0</v>
      </c>
      <c r="DU121" s="504">
        <v>0</v>
      </c>
      <c r="DV121" s="504">
        <v>0</v>
      </c>
      <c r="DW121" s="504">
        <v>0</v>
      </c>
      <c r="DX121" s="504">
        <v>0</v>
      </c>
      <c r="DY121" s="504">
        <v>0</v>
      </c>
      <c r="DZ121" s="504">
        <v>0</v>
      </c>
      <c r="EA121" s="504">
        <v>0</v>
      </c>
      <c r="EB121" s="504">
        <v>0</v>
      </c>
      <c r="EC121" s="504">
        <v>0</v>
      </c>
      <c r="ED121" s="504">
        <v>0</v>
      </c>
      <c r="EE121" s="504">
        <v>0</v>
      </c>
      <c r="EF121" s="504">
        <v>0</v>
      </c>
      <c r="EG121" s="504">
        <v>0</v>
      </c>
      <c r="EH121" s="504">
        <v>0</v>
      </c>
      <c r="EI121" s="504">
        <v>0</v>
      </c>
      <c r="EJ121" s="504">
        <v>0</v>
      </c>
      <c r="EK121" s="504">
        <v>0</v>
      </c>
      <c r="EL121" s="504">
        <v>0</v>
      </c>
      <c r="EM121" s="504">
        <v>0</v>
      </c>
      <c r="EN121" s="504">
        <v>0</v>
      </c>
      <c r="EO121" s="504">
        <v>0</v>
      </c>
      <c r="EP121" s="504">
        <v>0</v>
      </c>
      <c r="EQ121" s="504">
        <v>0</v>
      </c>
      <c r="ER121" s="504">
        <v>0</v>
      </c>
      <c r="ES121" s="504">
        <v>0</v>
      </c>
      <c r="ET121" s="504">
        <v>0</v>
      </c>
      <c r="EU121" s="504">
        <v>0</v>
      </c>
      <c r="EV121" s="504">
        <v>0</v>
      </c>
      <c r="EW121" s="504">
        <v>0</v>
      </c>
      <c r="EX121" s="504">
        <v>0</v>
      </c>
      <c r="EY121" s="504">
        <v>0</v>
      </c>
      <c r="EZ121" s="504">
        <v>0</v>
      </c>
      <c r="FA121" s="504">
        <v>0</v>
      </c>
      <c r="FB121" s="504">
        <v>0</v>
      </c>
      <c r="FC121" s="504">
        <v>0</v>
      </c>
      <c r="FD121" s="504">
        <v>0</v>
      </c>
      <c r="FE121" s="504">
        <v>0</v>
      </c>
      <c r="FF121" s="504">
        <v>0</v>
      </c>
      <c r="FG121" s="504">
        <v>0</v>
      </c>
      <c r="FH121" s="504">
        <v>0</v>
      </c>
      <c r="FI121" s="504">
        <v>0</v>
      </c>
      <c r="FJ121" s="504">
        <v>0</v>
      </c>
      <c r="FK121" s="504">
        <v>0</v>
      </c>
      <c r="FL121" s="504">
        <v>0</v>
      </c>
      <c r="FM121" s="504">
        <v>0</v>
      </c>
      <c r="FN121" s="504">
        <v>0</v>
      </c>
      <c r="FO121" s="504">
        <v>0</v>
      </c>
      <c r="FP121" s="504">
        <v>0</v>
      </c>
      <c r="FQ121" s="504">
        <v>0</v>
      </c>
      <c r="FR121" s="504">
        <v>0</v>
      </c>
      <c r="FS121" s="504">
        <v>0</v>
      </c>
      <c r="FT121" s="504">
        <v>0</v>
      </c>
      <c r="FU121" s="504">
        <v>0</v>
      </c>
      <c r="FV121" s="504">
        <v>0</v>
      </c>
      <c r="FW121" s="504">
        <v>0</v>
      </c>
      <c r="FX121" s="504">
        <v>0</v>
      </c>
      <c r="FY121" s="504">
        <v>0</v>
      </c>
      <c r="FZ121" s="504">
        <v>0</v>
      </c>
      <c r="GA121" s="504">
        <v>0</v>
      </c>
      <c r="GB121" s="504">
        <v>0</v>
      </c>
      <c r="GC121" s="504">
        <v>0</v>
      </c>
      <c r="GD121" s="504">
        <v>0</v>
      </c>
      <c r="GE121" s="504">
        <v>0</v>
      </c>
      <c r="GF121" s="504">
        <v>0</v>
      </c>
      <c r="GG121" s="504">
        <v>0</v>
      </c>
      <c r="GH121" s="504">
        <v>0</v>
      </c>
      <c r="GI121" s="504">
        <v>0</v>
      </c>
      <c r="GJ121" s="504">
        <v>0</v>
      </c>
      <c r="GK121" s="504">
        <v>0</v>
      </c>
      <c r="GL121" s="504">
        <v>0</v>
      </c>
      <c r="GM121" s="504">
        <v>0</v>
      </c>
      <c r="GN121" s="504">
        <v>0</v>
      </c>
      <c r="GO121" s="504">
        <v>0</v>
      </c>
      <c r="GP121" s="504">
        <v>0</v>
      </c>
      <c r="GQ121" s="504">
        <v>0</v>
      </c>
      <c r="GR121" s="504">
        <v>0</v>
      </c>
      <c r="GS121" s="504">
        <v>0</v>
      </c>
      <c r="GT121" s="504">
        <v>0</v>
      </c>
      <c r="GU121" s="504">
        <v>0</v>
      </c>
      <c r="GV121" s="504">
        <v>0</v>
      </c>
      <c r="GW121" s="504">
        <v>0</v>
      </c>
      <c r="GX121" s="504">
        <v>0</v>
      </c>
      <c r="GY121" s="504">
        <v>0</v>
      </c>
      <c r="GZ121" s="504">
        <v>0</v>
      </c>
      <c r="HA121" s="504">
        <v>0</v>
      </c>
      <c r="HB121" s="504">
        <v>0</v>
      </c>
      <c r="HC121" s="504">
        <v>0</v>
      </c>
      <c r="HD121" s="504">
        <v>0</v>
      </c>
      <c r="HE121" s="504">
        <v>0</v>
      </c>
      <c r="HF121" s="504">
        <v>0</v>
      </c>
      <c r="HG121" s="504">
        <v>0</v>
      </c>
      <c r="HH121" s="504">
        <v>0</v>
      </c>
      <c r="HI121" s="504">
        <v>0</v>
      </c>
      <c r="HJ121" s="504">
        <v>0</v>
      </c>
      <c r="HK121" s="504">
        <v>0</v>
      </c>
      <c r="HL121" s="504">
        <v>0</v>
      </c>
      <c r="HM121" s="504">
        <v>0</v>
      </c>
      <c r="HN121" s="504">
        <v>0</v>
      </c>
      <c r="HO121" s="504">
        <v>0</v>
      </c>
      <c r="HP121" s="504">
        <v>0</v>
      </c>
      <c r="HQ121" s="504">
        <v>0</v>
      </c>
      <c r="HR121" s="504">
        <v>0</v>
      </c>
      <c r="HS121" s="504">
        <v>0</v>
      </c>
      <c r="HT121" s="504">
        <v>0</v>
      </c>
      <c r="HU121" s="504">
        <v>0</v>
      </c>
      <c r="HV121" s="504">
        <v>0</v>
      </c>
      <c r="HW121" s="504">
        <v>0</v>
      </c>
      <c r="HX121" s="504">
        <v>0</v>
      </c>
      <c r="HY121" s="504">
        <v>0</v>
      </c>
      <c r="HZ121" s="504">
        <v>0</v>
      </c>
      <c r="IA121" s="504">
        <v>0</v>
      </c>
      <c r="IB121" s="504">
        <v>0</v>
      </c>
      <c r="IC121" s="504">
        <v>0</v>
      </c>
      <c r="ID121" s="504">
        <v>0</v>
      </c>
      <c r="IE121" s="504">
        <v>0</v>
      </c>
      <c r="IF121" s="504">
        <v>0</v>
      </c>
      <c r="IG121" s="504">
        <v>0</v>
      </c>
      <c r="IH121" s="504">
        <v>0</v>
      </c>
      <c r="II121" s="504">
        <v>0</v>
      </c>
      <c r="IJ121" s="504">
        <v>0</v>
      </c>
      <c r="IK121" s="504">
        <v>0</v>
      </c>
      <c r="IL121" s="504">
        <v>0</v>
      </c>
      <c r="IM121" s="504">
        <v>0</v>
      </c>
      <c r="IN121" s="504">
        <v>0</v>
      </c>
      <c r="IO121" s="504">
        <v>0</v>
      </c>
      <c r="IP121" s="504">
        <v>0</v>
      </c>
      <c r="IQ121" s="504">
        <v>0</v>
      </c>
      <c r="IR121" s="504">
        <v>0</v>
      </c>
      <c r="IS121" s="504">
        <v>0</v>
      </c>
      <c r="IT121" s="504">
        <v>0</v>
      </c>
      <c r="IU121" s="504">
        <v>0</v>
      </c>
      <c r="IV121" s="504">
        <v>0</v>
      </c>
      <c r="IW121" s="504">
        <v>0</v>
      </c>
      <c r="IX121" s="504">
        <v>0</v>
      </c>
      <c r="IY121" s="504">
        <v>0</v>
      </c>
      <c r="IZ121" s="504">
        <v>0</v>
      </c>
      <c r="JA121" s="504">
        <v>0</v>
      </c>
      <c r="JB121" s="504">
        <v>0</v>
      </c>
      <c r="JC121" s="504">
        <v>0</v>
      </c>
      <c r="JD121" s="504">
        <v>0</v>
      </c>
      <c r="JE121" s="504">
        <v>0</v>
      </c>
      <c r="JF121" s="504">
        <v>0</v>
      </c>
      <c r="JG121" s="504">
        <v>0</v>
      </c>
      <c r="JH121" s="504">
        <v>0</v>
      </c>
      <c r="JI121" s="504">
        <v>0</v>
      </c>
      <c r="JJ121" s="504">
        <v>0</v>
      </c>
      <c r="JK121" s="504">
        <v>0</v>
      </c>
      <c r="JL121" s="504">
        <v>0</v>
      </c>
      <c r="JM121" s="504">
        <v>0</v>
      </c>
      <c r="JN121" s="504">
        <v>0</v>
      </c>
      <c r="JO121" s="504">
        <v>0</v>
      </c>
      <c r="JP121" s="504">
        <v>0</v>
      </c>
      <c r="JQ121" s="504">
        <v>0</v>
      </c>
      <c r="JR121" s="504">
        <v>0</v>
      </c>
      <c r="JS121" s="504">
        <v>0</v>
      </c>
      <c r="JT121" s="504">
        <v>0</v>
      </c>
      <c r="JU121" s="504">
        <v>0</v>
      </c>
      <c r="JV121" s="504">
        <v>0</v>
      </c>
      <c r="JW121" s="504">
        <v>0</v>
      </c>
      <c r="JX121" s="504">
        <v>0</v>
      </c>
      <c r="JY121" s="504">
        <v>0</v>
      </c>
      <c r="JZ121" s="504">
        <v>0</v>
      </c>
      <c r="KA121" s="504">
        <v>0</v>
      </c>
      <c r="KB121" s="504">
        <v>0</v>
      </c>
      <c r="KC121" s="504">
        <v>0</v>
      </c>
      <c r="KD121" s="504">
        <v>0</v>
      </c>
      <c r="KE121" s="504">
        <v>0</v>
      </c>
      <c r="KF121" s="504">
        <v>0</v>
      </c>
      <c r="KG121" s="504">
        <v>0</v>
      </c>
      <c r="KH121" s="504">
        <v>0</v>
      </c>
      <c r="KI121" s="504">
        <v>0</v>
      </c>
      <c r="KJ121" s="504">
        <v>0</v>
      </c>
      <c r="KK121" s="504">
        <v>0</v>
      </c>
      <c r="KL121" s="504">
        <v>0</v>
      </c>
      <c r="KM121" s="504">
        <v>0</v>
      </c>
      <c r="KN121" s="504">
        <v>0</v>
      </c>
      <c r="KO121" s="504">
        <v>0</v>
      </c>
      <c r="KP121" s="504">
        <v>0</v>
      </c>
      <c r="KQ121" s="504">
        <v>0</v>
      </c>
      <c r="KR121" s="504">
        <v>0</v>
      </c>
      <c r="KS121" s="504">
        <v>0</v>
      </c>
      <c r="KT121" s="504">
        <v>0</v>
      </c>
      <c r="KU121" s="504">
        <v>0</v>
      </c>
      <c r="KV121" s="504">
        <v>0</v>
      </c>
      <c r="KW121" s="504">
        <v>0</v>
      </c>
      <c r="KX121" s="504">
        <v>0</v>
      </c>
      <c r="KY121" s="504">
        <v>0</v>
      </c>
      <c r="KZ121" s="504">
        <v>0</v>
      </c>
      <c r="LA121" s="504">
        <v>0</v>
      </c>
      <c r="LB121" s="504">
        <v>0</v>
      </c>
      <c r="LC121" s="504">
        <v>0</v>
      </c>
      <c r="LD121" s="504">
        <v>0</v>
      </c>
      <c r="LE121" s="504">
        <v>0</v>
      </c>
      <c r="LF121" s="504">
        <v>0</v>
      </c>
      <c r="LG121" s="504">
        <v>0</v>
      </c>
      <c r="LH121" s="504">
        <v>0</v>
      </c>
      <c r="LI121" s="504">
        <v>0</v>
      </c>
      <c r="LJ121" s="504">
        <v>0</v>
      </c>
      <c r="LK121" s="504">
        <v>0</v>
      </c>
      <c r="LL121" s="504">
        <v>0</v>
      </c>
      <c r="LM121" s="504">
        <v>0</v>
      </c>
      <c r="LN121" s="504">
        <v>0</v>
      </c>
      <c r="LO121" s="504">
        <v>0</v>
      </c>
      <c r="LP121" s="504">
        <v>0</v>
      </c>
      <c r="LQ121" s="504">
        <v>0</v>
      </c>
      <c r="LR121" s="504">
        <v>0</v>
      </c>
      <c r="LS121" s="504">
        <v>0</v>
      </c>
      <c r="LT121" s="504">
        <v>0</v>
      </c>
      <c r="LU121" s="504">
        <v>0</v>
      </c>
      <c r="LV121" s="504">
        <v>0</v>
      </c>
      <c r="LW121" s="504">
        <v>0</v>
      </c>
      <c r="LX121" s="504">
        <v>0</v>
      </c>
      <c r="LY121" s="504">
        <v>0</v>
      </c>
      <c r="LZ121" s="504">
        <v>0</v>
      </c>
      <c r="MA121" s="504">
        <v>0</v>
      </c>
      <c r="MB121" s="504">
        <v>0</v>
      </c>
      <c r="MC121" s="504">
        <v>0</v>
      </c>
      <c r="MD121" s="504">
        <v>0</v>
      </c>
      <c r="ME121" s="504">
        <v>0</v>
      </c>
      <c r="MF121" s="504">
        <v>0</v>
      </c>
      <c r="MG121" s="504">
        <v>0</v>
      </c>
      <c r="MH121" s="504">
        <v>0</v>
      </c>
      <c r="MI121" s="504">
        <v>0</v>
      </c>
      <c r="MJ121" s="504">
        <v>0</v>
      </c>
      <c r="MK121" s="504">
        <v>0</v>
      </c>
      <c r="ML121" s="504">
        <v>0</v>
      </c>
      <c r="MM121" s="504">
        <v>0</v>
      </c>
      <c r="MN121" s="504">
        <v>0</v>
      </c>
      <c r="MO121" s="504">
        <v>0</v>
      </c>
      <c r="MP121" s="504">
        <v>0</v>
      </c>
      <c r="MQ121" s="504">
        <v>0</v>
      </c>
      <c r="MR121" s="504">
        <v>0</v>
      </c>
      <c r="MS121" s="504">
        <v>0</v>
      </c>
      <c r="MT121" s="504">
        <v>0</v>
      </c>
      <c r="MU121" s="504">
        <v>0</v>
      </c>
      <c r="MV121" s="504">
        <v>0</v>
      </c>
      <c r="MW121" s="504">
        <v>0</v>
      </c>
      <c r="MX121" s="504">
        <v>0</v>
      </c>
      <c r="MY121" s="504">
        <v>0</v>
      </c>
      <c r="MZ121" s="504">
        <v>0</v>
      </c>
      <c r="NA121" s="504">
        <v>0</v>
      </c>
      <c r="NB121" s="504">
        <v>0</v>
      </c>
      <c r="NC121" s="504">
        <v>0</v>
      </c>
      <c r="ND121" s="504">
        <v>0</v>
      </c>
      <c r="NE121" s="504">
        <v>0</v>
      </c>
      <c r="NF121" s="504">
        <v>0</v>
      </c>
      <c r="NG121" s="504">
        <v>0</v>
      </c>
      <c r="NH121" s="504">
        <v>0</v>
      </c>
      <c r="NI121" s="504">
        <v>0</v>
      </c>
      <c r="NJ121" s="504">
        <v>0</v>
      </c>
      <c r="NK121" s="504">
        <v>0</v>
      </c>
      <c r="NL121" s="504">
        <v>0</v>
      </c>
      <c r="NM121" s="504">
        <v>0</v>
      </c>
      <c r="NN121" s="504">
        <v>0</v>
      </c>
      <c r="NO121" s="504">
        <v>0</v>
      </c>
      <c r="NP121" s="504">
        <v>0</v>
      </c>
      <c r="NQ121" s="504">
        <v>0</v>
      </c>
      <c r="NR121" s="504">
        <v>0</v>
      </c>
      <c r="NS121" s="504">
        <v>0</v>
      </c>
      <c r="NT121" s="504">
        <v>0</v>
      </c>
      <c r="NU121" s="504">
        <v>0</v>
      </c>
      <c r="NV121" s="504">
        <v>0</v>
      </c>
      <c r="NW121" s="504">
        <v>0</v>
      </c>
      <c r="NX121" s="504">
        <v>0</v>
      </c>
      <c r="NY121" s="504">
        <v>0</v>
      </c>
      <c r="NZ121" s="504">
        <v>0</v>
      </c>
      <c r="OA121" s="504">
        <v>0</v>
      </c>
      <c r="OB121" s="504">
        <v>0</v>
      </c>
      <c r="OC121" s="504">
        <v>0</v>
      </c>
      <c r="OD121" s="504">
        <v>0</v>
      </c>
      <c r="OE121" s="504">
        <v>0</v>
      </c>
      <c r="OF121" s="504">
        <v>0</v>
      </c>
      <c r="OG121" s="504">
        <v>0</v>
      </c>
      <c r="OH121" s="504">
        <v>0</v>
      </c>
      <c r="OI121" s="504">
        <v>0</v>
      </c>
      <c r="OJ121" s="504">
        <v>0</v>
      </c>
      <c r="OK121" s="504">
        <v>0</v>
      </c>
      <c r="OL121" s="504">
        <v>0</v>
      </c>
      <c r="OM121" s="504">
        <v>0</v>
      </c>
      <c r="ON121" s="494"/>
    </row>
    <row r="122" spans="1:404" ht="18.75" customHeight="1" x14ac:dyDescent="0.4">
      <c r="A122" s="511" t="s">
        <v>392</v>
      </c>
      <c r="B122" s="512">
        <v>74</v>
      </c>
      <c r="C122" s="511" t="s">
        <v>60</v>
      </c>
      <c r="D122" s="501">
        <v>30.09</v>
      </c>
      <c r="F122" s="501">
        <v>30.07</v>
      </c>
      <c r="H122" s="501">
        <v>30.08</v>
      </c>
      <c r="J122" s="501">
        <v>30.08</v>
      </c>
      <c r="V122" s="501"/>
      <c r="W122" s="503"/>
      <c r="X122" s="501"/>
      <c r="Y122" s="503"/>
      <c r="Z122" s="501"/>
      <c r="AA122" s="503"/>
      <c r="AB122" s="495"/>
      <c r="AC122" s="504">
        <v>0</v>
      </c>
      <c r="AD122" s="504">
        <v>0</v>
      </c>
      <c r="AE122" s="504">
        <v>0</v>
      </c>
      <c r="AF122" s="504">
        <v>0</v>
      </c>
      <c r="AG122" s="504">
        <v>0</v>
      </c>
      <c r="AH122" s="504">
        <v>0</v>
      </c>
      <c r="AI122" s="504">
        <v>0</v>
      </c>
      <c r="AJ122" s="504">
        <v>0</v>
      </c>
      <c r="AK122" s="504">
        <v>0</v>
      </c>
      <c r="AL122" s="504">
        <v>0</v>
      </c>
      <c r="AM122" s="504">
        <v>0</v>
      </c>
      <c r="AN122" s="504">
        <v>0</v>
      </c>
      <c r="AO122" s="504">
        <v>0</v>
      </c>
      <c r="AP122" s="504">
        <v>0</v>
      </c>
      <c r="AQ122" s="504">
        <v>0</v>
      </c>
      <c r="AR122" s="504">
        <v>0</v>
      </c>
      <c r="AS122" s="504">
        <v>0</v>
      </c>
      <c r="AT122" s="504">
        <v>0</v>
      </c>
      <c r="AU122" s="504">
        <v>0</v>
      </c>
      <c r="AV122" s="504">
        <v>0</v>
      </c>
      <c r="AW122" s="504">
        <v>0</v>
      </c>
      <c r="AX122" s="504">
        <v>0</v>
      </c>
      <c r="AY122" s="504">
        <v>0</v>
      </c>
      <c r="AZ122" s="504">
        <v>0</v>
      </c>
      <c r="BA122" s="504">
        <v>0</v>
      </c>
      <c r="BB122" s="504">
        <v>0</v>
      </c>
      <c r="BC122" s="504">
        <v>0</v>
      </c>
      <c r="BD122" s="504">
        <v>0</v>
      </c>
      <c r="BE122" s="504">
        <v>0</v>
      </c>
      <c r="BF122" s="504">
        <v>0</v>
      </c>
      <c r="BG122" s="504">
        <v>0</v>
      </c>
      <c r="BH122" s="504">
        <v>0</v>
      </c>
      <c r="BI122" s="504">
        <v>0</v>
      </c>
      <c r="BJ122" s="504">
        <v>0</v>
      </c>
      <c r="BK122" s="504">
        <v>0</v>
      </c>
      <c r="BL122" s="504">
        <v>0</v>
      </c>
      <c r="BM122" s="504">
        <v>0</v>
      </c>
      <c r="BN122" s="504">
        <v>0</v>
      </c>
      <c r="BO122" s="504">
        <v>0</v>
      </c>
      <c r="BP122" s="504">
        <v>0</v>
      </c>
      <c r="BQ122" s="504">
        <v>0</v>
      </c>
      <c r="BR122" s="504">
        <v>0</v>
      </c>
      <c r="BS122" s="504">
        <v>0</v>
      </c>
      <c r="BT122" s="504">
        <v>0</v>
      </c>
      <c r="BU122" s="504">
        <v>0</v>
      </c>
      <c r="BV122" s="504">
        <v>0</v>
      </c>
      <c r="BW122" s="504">
        <v>0</v>
      </c>
      <c r="BX122" s="504">
        <v>0</v>
      </c>
      <c r="BY122" s="504">
        <v>0</v>
      </c>
      <c r="BZ122" s="504">
        <v>0</v>
      </c>
      <c r="CA122" s="504">
        <v>0</v>
      </c>
      <c r="CB122" s="504">
        <v>0</v>
      </c>
      <c r="CC122" s="504">
        <v>0</v>
      </c>
      <c r="CD122" s="504">
        <v>0</v>
      </c>
      <c r="CE122" s="504">
        <v>0</v>
      </c>
      <c r="CF122" s="504">
        <v>0</v>
      </c>
      <c r="CG122" s="504">
        <v>0</v>
      </c>
      <c r="CH122" s="504">
        <v>0</v>
      </c>
      <c r="CI122" s="504">
        <v>0</v>
      </c>
      <c r="CJ122" s="504">
        <v>0</v>
      </c>
      <c r="CK122" s="504">
        <v>0</v>
      </c>
      <c r="CL122" s="504">
        <v>0</v>
      </c>
      <c r="CM122" s="504">
        <v>0</v>
      </c>
      <c r="CN122" s="504">
        <v>0</v>
      </c>
      <c r="CO122" s="504">
        <v>0</v>
      </c>
      <c r="CP122" s="504">
        <v>0</v>
      </c>
      <c r="CQ122" s="504">
        <v>0</v>
      </c>
      <c r="CR122" s="504">
        <v>0</v>
      </c>
      <c r="CS122" s="504">
        <v>0</v>
      </c>
      <c r="CT122" s="504">
        <v>0</v>
      </c>
      <c r="CU122" s="504">
        <v>0</v>
      </c>
      <c r="CV122" s="504">
        <v>0</v>
      </c>
      <c r="CW122" s="504">
        <v>0</v>
      </c>
      <c r="CX122" s="504">
        <v>0</v>
      </c>
      <c r="CY122" s="504">
        <v>0</v>
      </c>
      <c r="CZ122" s="504">
        <v>0</v>
      </c>
      <c r="DA122" s="504">
        <v>0</v>
      </c>
      <c r="DB122" s="504">
        <v>0</v>
      </c>
      <c r="DC122" s="504">
        <v>0</v>
      </c>
      <c r="DD122" s="504">
        <v>0</v>
      </c>
      <c r="DE122" s="504">
        <v>0</v>
      </c>
      <c r="DF122" s="504">
        <v>0</v>
      </c>
      <c r="DG122" s="504">
        <v>0</v>
      </c>
      <c r="DH122" s="504">
        <v>0</v>
      </c>
      <c r="DI122" s="504">
        <v>0</v>
      </c>
      <c r="DJ122" s="504">
        <v>0</v>
      </c>
      <c r="DK122" s="504">
        <v>0</v>
      </c>
      <c r="DL122" s="504">
        <v>0</v>
      </c>
      <c r="DM122" s="504">
        <v>0</v>
      </c>
      <c r="DN122" s="504">
        <v>0</v>
      </c>
      <c r="DO122" s="504">
        <v>0</v>
      </c>
      <c r="DP122" s="504">
        <v>0</v>
      </c>
      <c r="DQ122" s="504">
        <v>0</v>
      </c>
      <c r="DR122" s="504">
        <v>0</v>
      </c>
      <c r="DS122" s="504">
        <v>0</v>
      </c>
      <c r="DT122" s="504">
        <v>0</v>
      </c>
      <c r="DU122" s="504">
        <v>0</v>
      </c>
      <c r="DV122" s="504">
        <v>0</v>
      </c>
      <c r="DW122" s="504">
        <v>0</v>
      </c>
      <c r="DX122" s="504">
        <v>0</v>
      </c>
      <c r="DY122" s="504">
        <v>0</v>
      </c>
      <c r="DZ122" s="504">
        <v>0</v>
      </c>
      <c r="EA122" s="504">
        <v>0</v>
      </c>
      <c r="EB122" s="504">
        <v>0</v>
      </c>
      <c r="EC122" s="504">
        <v>0</v>
      </c>
      <c r="ED122" s="504">
        <v>0</v>
      </c>
      <c r="EE122" s="504">
        <v>0</v>
      </c>
      <c r="EF122" s="504">
        <v>0</v>
      </c>
      <c r="EG122" s="504">
        <v>0</v>
      </c>
      <c r="EH122" s="504">
        <v>0</v>
      </c>
      <c r="EI122" s="504">
        <v>0</v>
      </c>
      <c r="EJ122" s="504">
        <v>0</v>
      </c>
      <c r="EK122" s="504">
        <v>0</v>
      </c>
      <c r="EL122" s="504">
        <v>0</v>
      </c>
      <c r="EM122" s="504">
        <v>0</v>
      </c>
      <c r="EN122" s="504">
        <v>0</v>
      </c>
      <c r="EO122" s="504">
        <v>0</v>
      </c>
      <c r="EP122" s="504">
        <v>0</v>
      </c>
      <c r="EQ122" s="504">
        <v>0</v>
      </c>
      <c r="ER122" s="504">
        <v>0</v>
      </c>
      <c r="ES122" s="504">
        <v>0</v>
      </c>
      <c r="ET122" s="504">
        <v>0</v>
      </c>
      <c r="EU122" s="504">
        <v>0</v>
      </c>
      <c r="EV122" s="504">
        <v>0</v>
      </c>
      <c r="EW122" s="504">
        <v>0</v>
      </c>
      <c r="EX122" s="504">
        <v>0</v>
      </c>
      <c r="EY122" s="504">
        <v>0</v>
      </c>
      <c r="EZ122" s="504">
        <v>0</v>
      </c>
      <c r="FA122" s="504">
        <v>0</v>
      </c>
      <c r="FB122" s="504">
        <v>0</v>
      </c>
      <c r="FC122" s="504">
        <v>0</v>
      </c>
      <c r="FD122" s="504">
        <v>0</v>
      </c>
      <c r="FE122" s="504">
        <v>0</v>
      </c>
      <c r="FF122" s="504">
        <v>0</v>
      </c>
      <c r="FG122" s="504">
        <v>0</v>
      </c>
      <c r="FH122" s="504">
        <v>0</v>
      </c>
      <c r="FI122" s="504">
        <v>0</v>
      </c>
      <c r="FJ122" s="504">
        <v>0</v>
      </c>
      <c r="FK122" s="504">
        <v>0</v>
      </c>
      <c r="FL122" s="504">
        <v>0</v>
      </c>
      <c r="FM122" s="504">
        <v>0</v>
      </c>
      <c r="FN122" s="504">
        <v>0</v>
      </c>
      <c r="FO122" s="504">
        <v>0</v>
      </c>
      <c r="FP122" s="504">
        <v>0</v>
      </c>
      <c r="FQ122" s="504">
        <v>0</v>
      </c>
      <c r="FR122" s="504">
        <v>0</v>
      </c>
      <c r="FS122" s="504">
        <v>0</v>
      </c>
      <c r="FT122" s="504">
        <v>0</v>
      </c>
      <c r="FU122" s="504">
        <v>0</v>
      </c>
      <c r="FV122" s="504">
        <v>0</v>
      </c>
      <c r="FW122" s="504">
        <v>0</v>
      </c>
      <c r="FX122" s="504">
        <v>0</v>
      </c>
      <c r="FY122" s="504">
        <v>0</v>
      </c>
      <c r="FZ122" s="504">
        <v>0</v>
      </c>
      <c r="GA122" s="504">
        <v>0</v>
      </c>
      <c r="GB122" s="504">
        <v>0</v>
      </c>
      <c r="GC122" s="504">
        <v>0</v>
      </c>
      <c r="GD122" s="504">
        <v>0</v>
      </c>
      <c r="GE122" s="504">
        <v>0</v>
      </c>
      <c r="GF122" s="504">
        <v>0</v>
      </c>
      <c r="GG122" s="504">
        <v>0</v>
      </c>
      <c r="GH122" s="504">
        <v>0</v>
      </c>
      <c r="GI122" s="504">
        <v>0</v>
      </c>
      <c r="GJ122" s="504">
        <v>0</v>
      </c>
      <c r="GK122" s="504">
        <v>0</v>
      </c>
      <c r="GL122" s="504">
        <v>0</v>
      </c>
      <c r="GM122" s="504">
        <v>0</v>
      </c>
      <c r="GN122" s="504">
        <v>0</v>
      </c>
      <c r="GO122" s="504">
        <v>0</v>
      </c>
      <c r="GP122" s="504">
        <v>0</v>
      </c>
      <c r="GQ122" s="504">
        <v>0</v>
      </c>
      <c r="GR122" s="504">
        <v>0</v>
      </c>
      <c r="GS122" s="504">
        <v>0</v>
      </c>
      <c r="GT122" s="504">
        <v>0</v>
      </c>
      <c r="GU122" s="504">
        <v>0</v>
      </c>
      <c r="GV122" s="504">
        <v>0</v>
      </c>
      <c r="GW122" s="504">
        <v>0</v>
      </c>
      <c r="GX122" s="504">
        <v>0</v>
      </c>
      <c r="GY122" s="504">
        <v>0</v>
      </c>
      <c r="GZ122" s="504">
        <v>0</v>
      </c>
      <c r="HA122" s="504">
        <v>0</v>
      </c>
      <c r="HB122" s="504">
        <v>0</v>
      </c>
      <c r="HC122" s="504">
        <v>0</v>
      </c>
      <c r="HD122" s="504">
        <v>0</v>
      </c>
      <c r="HE122" s="504">
        <v>0</v>
      </c>
      <c r="HF122" s="504">
        <v>0</v>
      </c>
      <c r="HG122" s="504">
        <v>0</v>
      </c>
      <c r="HH122" s="504">
        <v>0</v>
      </c>
      <c r="HI122" s="504">
        <v>0</v>
      </c>
      <c r="HJ122" s="504">
        <v>0</v>
      </c>
      <c r="HK122" s="504">
        <v>0</v>
      </c>
      <c r="HL122" s="504">
        <v>0</v>
      </c>
      <c r="HM122" s="504">
        <v>0</v>
      </c>
      <c r="HN122" s="504">
        <v>0</v>
      </c>
      <c r="HO122" s="504">
        <v>0</v>
      </c>
      <c r="HP122" s="504">
        <v>0</v>
      </c>
      <c r="HQ122" s="504">
        <v>0</v>
      </c>
      <c r="HR122" s="504">
        <v>0</v>
      </c>
      <c r="HS122" s="504">
        <v>0</v>
      </c>
      <c r="HT122" s="504">
        <v>0</v>
      </c>
      <c r="HU122" s="504">
        <v>0</v>
      </c>
      <c r="HV122" s="504">
        <v>0</v>
      </c>
      <c r="HW122" s="504">
        <v>0</v>
      </c>
      <c r="HX122" s="504">
        <v>0</v>
      </c>
      <c r="HY122" s="504">
        <v>0</v>
      </c>
      <c r="HZ122" s="504">
        <v>0</v>
      </c>
      <c r="IA122" s="504">
        <v>0</v>
      </c>
      <c r="IB122" s="504">
        <v>0</v>
      </c>
      <c r="IC122" s="504">
        <v>0</v>
      </c>
      <c r="ID122" s="504">
        <v>0</v>
      </c>
      <c r="IE122" s="504">
        <v>0</v>
      </c>
      <c r="IF122" s="504">
        <v>0</v>
      </c>
      <c r="IG122" s="504">
        <v>0</v>
      </c>
      <c r="IH122" s="504">
        <v>0</v>
      </c>
      <c r="II122" s="504">
        <v>0</v>
      </c>
      <c r="IJ122" s="504">
        <v>0</v>
      </c>
      <c r="IK122" s="504">
        <v>0</v>
      </c>
      <c r="IL122" s="504">
        <v>0</v>
      </c>
      <c r="IM122" s="504">
        <v>0</v>
      </c>
      <c r="IN122" s="504">
        <v>0</v>
      </c>
      <c r="IO122" s="504">
        <v>0</v>
      </c>
      <c r="IP122" s="504">
        <v>0</v>
      </c>
      <c r="IQ122" s="504">
        <v>0</v>
      </c>
      <c r="IR122" s="504">
        <v>0</v>
      </c>
      <c r="IS122" s="504">
        <v>0</v>
      </c>
      <c r="IT122" s="504">
        <v>0</v>
      </c>
      <c r="IU122" s="504">
        <v>0</v>
      </c>
      <c r="IV122" s="504">
        <v>0</v>
      </c>
      <c r="IW122" s="504">
        <v>0</v>
      </c>
      <c r="IX122" s="504">
        <v>0</v>
      </c>
      <c r="IY122" s="504">
        <v>0</v>
      </c>
      <c r="IZ122" s="504">
        <v>0</v>
      </c>
      <c r="JA122" s="504">
        <v>0</v>
      </c>
      <c r="JB122" s="504">
        <v>0</v>
      </c>
      <c r="JC122" s="504">
        <v>0</v>
      </c>
      <c r="JD122" s="504">
        <v>0</v>
      </c>
      <c r="JE122" s="504">
        <v>0</v>
      </c>
      <c r="JF122" s="504">
        <v>0</v>
      </c>
      <c r="JG122" s="504">
        <v>0</v>
      </c>
      <c r="JH122" s="504">
        <v>0</v>
      </c>
      <c r="JI122" s="504">
        <v>0</v>
      </c>
      <c r="JJ122" s="504">
        <v>0</v>
      </c>
      <c r="JK122" s="504">
        <v>0</v>
      </c>
      <c r="JL122" s="504">
        <v>0</v>
      </c>
      <c r="JM122" s="504">
        <v>0</v>
      </c>
      <c r="JN122" s="504">
        <v>0</v>
      </c>
      <c r="JO122" s="504">
        <v>0</v>
      </c>
      <c r="JP122" s="504">
        <v>0</v>
      </c>
      <c r="JQ122" s="504">
        <v>0</v>
      </c>
      <c r="JR122" s="504">
        <v>0</v>
      </c>
      <c r="JS122" s="504">
        <v>0</v>
      </c>
      <c r="JT122" s="504">
        <v>0</v>
      </c>
      <c r="JU122" s="504">
        <v>0</v>
      </c>
      <c r="JV122" s="504">
        <v>0</v>
      </c>
      <c r="JW122" s="504">
        <v>0</v>
      </c>
      <c r="JX122" s="504">
        <v>0</v>
      </c>
      <c r="JY122" s="504">
        <v>0</v>
      </c>
      <c r="JZ122" s="504">
        <v>0</v>
      </c>
      <c r="KA122" s="504">
        <v>0</v>
      </c>
      <c r="KB122" s="504">
        <v>0</v>
      </c>
      <c r="KC122" s="504">
        <v>0</v>
      </c>
      <c r="KD122" s="504">
        <v>0</v>
      </c>
      <c r="KE122" s="504">
        <v>0</v>
      </c>
      <c r="KF122" s="504">
        <v>0</v>
      </c>
      <c r="KG122" s="504">
        <v>0</v>
      </c>
      <c r="KH122" s="504">
        <v>0</v>
      </c>
      <c r="KI122" s="504">
        <v>0</v>
      </c>
      <c r="KJ122" s="504">
        <v>0</v>
      </c>
      <c r="KK122" s="504">
        <v>0</v>
      </c>
      <c r="KL122" s="504">
        <v>0</v>
      </c>
      <c r="KM122" s="504">
        <v>0</v>
      </c>
      <c r="KN122" s="504">
        <v>0</v>
      </c>
      <c r="KO122" s="504">
        <v>0</v>
      </c>
      <c r="KP122" s="504">
        <v>0</v>
      </c>
      <c r="KQ122" s="504">
        <v>0</v>
      </c>
      <c r="KR122" s="504">
        <v>0</v>
      </c>
      <c r="KS122" s="504">
        <v>0</v>
      </c>
      <c r="KT122" s="504">
        <v>0</v>
      </c>
      <c r="KU122" s="504">
        <v>0</v>
      </c>
      <c r="KV122" s="504">
        <v>0</v>
      </c>
      <c r="KW122" s="504">
        <v>0</v>
      </c>
      <c r="KX122" s="504">
        <v>0</v>
      </c>
      <c r="KY122" s="504">
        <v>0</v>
      </c>
      <c r="KZ122" s="504">
        <v>0</v>
      </c>
      <c r="LA122" s="504">
        <v>0</v>
      </c>
      <c r="LB122" s="504">
        <v>0</v>
      </c>
      <c r="LC122" s="504">
        <v>0</v>
      </c>
      <c r="LD122" s="504">
        <v>0</v>
      </c>
      <c r="LE122" s="504">
        <v>0</v>
      </c>
      <c r="LF122" s="504">
        <v>0</v>
      </c>
      <c r="LG122" s="504">
        <v>0</v>
      </c>
      <c r="LH122" s="504">
        <v>0</v>
      </c>
      <c r="LI122" s="504">
        <v>0</v>
      </c>
      <c r="LJ122" s="504">
        <v>0</v>
      </c>
      <c r="LK122" s="504">
        <v>0</v>
      </c>
      <c r="LL122" s="504">
        <v>0</v>
      </c>
      <c r="LM122" s="504">
        <v>0</v>
      </c>
      <c r="LN122" s="504">
        <v>0</v>
      </c>
      <c r="LO122" s="504">
        <v>0</v>
      </c>
      <c r="LP122" s="504">
        <v>0</v>
      </c>
      <c r="LQ122" s="504">
        <v>0</v>
      </c>
      <c r="LR122" s="504">
        <v>0</v>
      </c>
      <c r="LS122" s="504">
        <v>0</v>
      </c>
      <c r="LT122" s="504">
        <v>0</v>
      </c>
      <c r="LU122" s="504">
        <v>0</v>
      </c>
      <c r="LV122" s="504">
        <v>0</v>
      </c>
      <c r="LW122" s="504">
        <v>0</v>
      </c>
      <c r="LX122" s="504">
        <v>0</v>
      </c>
      <c r="LY122" s="504">
        <v>0</v>
      </c>
      <c r="LZ122" s="504">
        <v>0</v>
      </c>
      <c r="MA122" s="504">
        <v>0</v>
      </c>
      <c r="MB122" s="504">
        <v>0</v>
      </c>
      <c r="MC122" s="504">
        <v>0</v>
      </c>
      <c r="MD122" s="504">
        <v>0</v>
      </c>
      <c r="ME122" s="504">
        <v>0</v>
      </c>
      <c r="MF122" s="504">
        <v>0</v>
      </c>
      <c r="MG122" s="504">
        <v>0</v>
      </c>
      <c r="MH122" s="504">
        <v>0</v>
      </c>
      <c r="MI122" s="504">
        <v>0</v>
      </c>
      <c r="MJ122" s="504">
        <v>0</v>
      </c>
      <c r="MK122" s="504">
        <v>0</v>
      </c>
      <c r="ML122" s="504">
        <v>0</v>
      </c>
      <c r="MM122" s="504">
        <v>0</v>
      </c>
      <c r="MN122" s="504">
        <v>0</v>
      </c>
      <c r="MO122" s="504">
        <v>0</v>
      </c>
      <c r="MP122" s="504">
        <v>0</v>
      </c>
      <c r="MQ122" s="504">
        <v>0</v>
      </c>
      <c r="MR122" s="504">
        <v>0</v>
      </c>
      <c r="MS122" s="504">
        <v>0</v>
      </c>
      <c r="MT122" s="504">
        <v>0</v>
      </c>
      <c r="MU122" s="504">
        <v>0</v>
      </c>
      <c r="MV122" s="504">
        <v>0</v>
      </c>
      <c r="MW122" s="504">
        <v>0</v>
      </c>
      <c r="MX122" s="504">
        <v>0</v>
      </c>
      <c r="MY122" s="504">
        <v>0</v>
      </c>
      <c r="MZ122" s="504">
        <v>0</v>
      </c>
      <c r="NA122" s="504">
        <v>0</v>
      </c>
      <c r="NB122" s="504">
        <v>0</v>
      </c>
      <c r="NC122" s="504">
        <v>0</v>
      </c>
      <c r="ND122" s="504">
        <v>0</v>
      </c>
      <c r="NE122" s="504">
        <v>0</v>
      </c>
      <c r="NF122" s="504">
        <v>0</v>
      </c>
      <c r="NG122" s="504">
        <v>0</v>
      </c>
      <c r="NH122" s="504">
        <v>0</v>
      </c>
      <c r="NI122" s="504">
        <v>0</v>
      </c>
      <c r="NJ122" s="504">
        <v>0</v>
      </c>
      <c r="NK122" s="504">
        <v>0</v>
      </c>
      <c r="NL122" s="504">
        <v>0</v>
      </c>
      <c r="NM122" s="504">
        <v>0</v>
      </c>
      <c r="NN122" s="504">
        <v>0</v>
      </c>
      <c r="NO122" s="504">
        <v>0</v>
      </c>
      <c r="NP122" s="504">
        <v>0</v>
      </c>
      <c r="NQ122" s="504">
        <v>0</v>
      </c>
      <c r="NR122" s="504">
        <v>0</v>
      </c>
      <c r="NS122" s="504">
        <v>0</v>
      </c>
      <c r="NT122" s="504">
        <v>0</v>
      </c>
      <c r="NU122" s="504">
        <v>0</v>
      </c>
      <c r="NV122" s="504">
        <v>0</v>
      </c>
      <c r="NW122" s="504">
        <v>0</v>
      </c>
      <c r="NX122" s="504">
        <v>0</v>
      </c>
      <c r="NY122" s="504">
        <v>0</v>
      </c>
      <c r="NZ122" s="504">
        <v>0</v>
      </c>
      <c r="OA122" s="504">
        <v>0</v>
      </c>
      <c r="OB122" s="504">
        <v>0</v>
      </c>
      <c r="OC122" s="504">
        <v>0</v>
      </c>
      <c r="OD122" s="504">
        <v>0</v>
      </c>
      <c r="OE122" s="504">
        <v>0</v>
      </c>
      <c r="OF122" s="504">
        <v>0</v>
      </c>
      <c r="OG122" s="504">
        <v>0</v>
      </c>
      <c r="OH122" s="504">
        <v>0</v>
      </c>
      <c r="OI122" s="504">
        <v>0</v>
      </c>
      <c r="OJ122" s="504">
        <v>0</v>
      </c>
      <c r="OK122" s="504">
        <v>0</v>
      </c>
      <c r="OL122" s="504">
        <v>0</v>
      </c>
      <c r="OM122" s="504">
        <v>0</v>
      </c>
      <c r="ON122" s="494"/>
    </row>
    <row r="123" spans="1:404" ht="18.75" customHeight="1" x14ac:dyDescent="0.4">
      <c r="A123" s="511" t="s">
        <v>393</v>
      </c>
      <c r="B123" s="512">
        <v>192</v>
      </c>
      <c r="C123" s="511" t="s">
        <v>60</v>
      </c>
      <c r="D123" s="501">
        <v>30.34</v>
      </c>
      <c r="E123" s="502">
        <v>27505</v>
      </c>
      <c r="F123" s="501">
        <v>30.34</v>
      </c>
      <c r="G123" s="502">
        <v>10815</v>
      </c>
      <c r="H123" s="501">
        <v>30.34</v>
      </c>
      <c r="I123" s="502">
        <v>31127</v>
      </c>
      <c r="J123" s="501">
        <v>30.34</v>
      </c>
      <c r="K123" s="502">
        <v>33767</v>
      </c>
      <c r="V123" s="501"/>
      <c r="W123" s="503"/>
      <c r="X123" s="501"/>
      <c r="Y123" s="503"/>
      <c r="Z123" s="501"/>
      <c r="AA123" s="503"/>
      <c r="AB123" s="495"/>
      <c r="AC123" s="504">
        <v>0</v>
      </c>
      <c r="AD123" s="504">
        <v>0</v>
      </c>
      <c r="AE123" s="504">
        <v>0</v>
      </c>
      <c r="AF123" s="504">
        <v>0</v>
      </c>
      <c r="AG123" s="504">
        <v>0</v>
      </c>
      <c r="AH123" s="504">
        <v>0</v>
      </c>
      <c r="AI123" s="504">
        <v>0</v>
      </c>
      <c r="AJ123" s="504">
        <v>0</v>
      </c>
      <c r="AK123" s="504">
        <v>0</v>
      </c>
      <c r="AL123" s="504">
        <v>0</v>
      </c>
      <c r="AM123" s="504">
        <v>0</v>
      </c>
      <c r="AN123" s="504">
        <v>0</v>
      </c>
      <c r="AO123" s="504">
        <v>0</v>
      </c>
      <c r="AP123" s="504">
        <v>0</v>
      </c>
      <c r="AQ123" s="504">
        <v>0</v>
      </c>
      <c r="AR123" s="504">
        <v>0</v>
      </c>
      <c r="AS123" s="504">
        <v>0</v>
      </c>
      <c r="AT123" s="504">
        <v>0</v>
      </c>
      <c r="AU123" s="504">
        <v>0</v>
      </c>
      <c r="AV123" s="504">
        <v>0</v>
      </c>
      <c r="AW123" s="504">
        <v>0</v>
      </c>
      <c r="AX123" s="504">
        <v>0</v>
      </c>
      <c r="AY123" s="504">
        <v>0</v>
      </c>
      <c r="AZ123" s="504">
        <v>0</v>
      </c>
      <c r="BA123" s="504">
        <v>0</v>
      </c>
      <c r="BB123" s="504">
        <v>0</v>
      </c>
      <c r="BC123" s="504">
        <v>0</v>
      </c>
      <c r="BD123" s="504">
        <v>0</v>
      </c>
      <c r="BE123" s="504">
        <v>0</v>
      </c>
      <c r="BF123" s="504">
        <v>0</v>
      </c>
      <c r="BG123" s="504">
        <v>0</v>
      </c>
      <c r="BH123" s="504">
        <v>0</v>
      </c>
      <c r="BI123" s="504">
        <v>0</v>
      </c>
      <c r="BJ123" s="504">
        <v>0</v>
      </c>
      <c r="BK123" s="504">
        <v>0</v>
      </c>
      <c r="BL123" s="504">
        <v>0</v>
      </c>
      <c r="BM123" s="504">
        <v>0</v>
      </c>
      <c r="BN123" s="504">
        <v>0</v>
      </c>
      <c r="BO123" s="504">
        <v>0</v>
      </c>
      <c r="BP123" s="504">
        <v>0</v>
      </c>
      <c r="BQ123" s="504">
        <v>0</v>
      </c>
      <c r="BR123" s="504">
        <v>0</v>
      </c>
      <c r="BS123" s="504">
        <v>0</v>
      </c>
      <c r="BT123" s="504">
        <v>0</v>
      </c>
      <c r="BU123" s="504">
        <v>0</v>
      </c>
      <c r="BV123" s="504">
        <v>0</v>
      </c>
      <c r="BW123" s="504">
        <v>0</v>
      </c>
      <c r="BX123" s="504">
        <v>0</v>
      </c>
      <c r="BY123" s="504">
        <v>0</v>
      </c>
      <c r="BZ123" s="504">
        <v>0</v>
      </c>
      <c r="CA123" s="504">
        <v>0</v>
      </c>
      <c r="CB123" s="504">
        <v>0</v>
      </c>
      <c r="CC123" s="504">
        <v>0</v>
      </c>
      <c r="CD123" s="504">
        <v>0</v>
      </c>
      <c r="CE123" s="504">
        <v>0</v>
      </c>
      <c r="CF123" s="504">
        <v>0</v>
      </c>
      <c r="CG123" s="504">
        <v>0</v>
      </c>
      <c r="CH123" s="504">
        <v>0</v>
      </c>
      <c r="CI123" s="504">
        <v>0</v>
      </c>
      <c r="CJ123" s="504">
        <v>0</v>
      </c>
      <c r="CK123" s="504">
        <v>0</v>
      </c>
      <c r="CL123" s="504">
        <v>0</v>
      </c>
      <c r="CM123" s="504">
        <v>0</v>
      </c>
      <c r="CN123" s="504">
        <v>0</v>
      </c>
      <c r="CO123" s="504">
        <v>0</v>
      </c>
      <c r="CP123" s="504">
        <v>0</v>
      </c>
      <c r="CQ123" s="504">
        <v>0</v>
      </c>
      <c r="CR123" s="504">
        <v>0</v>
      </c>
      <c r="CS123" s="504">
        <v>0</v>
      </c>
      <c r="CT123" s="504">
        <v>0</v>
      </c>
      <c r="CU123" s="504">
        <v>0</v>
      </c>
      <c r="CV123" s="504">
        <v>0</v>
      </c>
      <c r="CW123" s="504">
        <v>0</v>
      </c>
      <c r="CX123" s="504">
        <v>0</v>
      </c>
      <c r="CY123" s="504">
        <v>0</v>
      </c>
      <c r="CZ123" s="504">
        <v>0</v>
      </c>
      <c r="DA123" s="504">
        <v>0</v>
      </c>
      <c r="DB123" s="504">
        <v>0</v>
      </c>
      <c r="DC123" s="504">
        <v>0</v>
      </c>
      <c r="DD123" s="504">
        <v>0</v>
      </c>
      <c r="DE123" s="504">
        <v>0</v>
      </c>
      <c r="DF123" s="504">
        <v>0</v>
      </c>
      <c r="DG123" s="504">
        <v>0</v>
      </c>
      <c r="DH123" s="504">
        <v>0</v>
      </c>
      <c r="DI123" s="504">
        <v>0</v>
      </c>
      <c r="DJ123" s="504">
        <v>0</v>
      </c>
      <c r="DK123" s="504">
        <v>0</v>
      </c>
      <c r="DL123" s="504">
        <v>0</v>
      </c>
      <c r="DM123" s="504">
        <v>0</v>
      </c>
      <c r="DN123" s="504">
        <v>0</v>
      </c>
      <c r="DO123" s="504">
        <v>0</v>
      </c>
      <c r="DP123" s="504">
        <v>0</v>
      </c>
      <c r="DQ123" s="504">
        <v>0</v>
      </c>
      <c r="DR123" s="504">
        <v>0</v>
      </c>
      <c r="DS123" s="504">
        <v>0</v>
      </c>
      <c r="DT123" s="504">
        <v>0</v>
      </c>
      <c r="DU123" s="504">
        <v>0</v>
      </c>
      <c r="DV123" s="504">
        <v>0</v>
      </c>
      <c r="DW123" s="504">
        <v>0</v>
      </c>
      <c r="DX123" s="504">
        <v>0</v>
      </c>
      <c r="DY123" s="504">
        <v>0</v>
      </c>
      <c r="DZ123" s="504">
        <v>0</v>
      </c>
      <c r="EA123" s="504">
        <v>0</v>
      </c>
      <c r="EB123" s="504">
        <v>0</v>
      </c>
      <c r="EC123" s="504">
        <v>0</v>
      </c>
      <c r="ED123" s="504">
        <v>0</v>
      </c>
      <c r="EE123" s="504">
        <v>0</v>
      </c>
      <c r="EF123" s="504">
        <v>0</v>
      </c>
      <c r="EG123" s="504">
        <v>0</v>
      </c>
      <c r="EH123" s="504">
        <v>0</v>
      </c>
      <c r="EI123" s="504">
        <v>0</v>
      </c>
      <c r="EJ123" s="504">
        <v>0</v>
      </c>
      <c r="EK123" s="504">
        <v>0</v>
      </c>
      <c r="EL123" s="504">
        <v>0</v>
      </c>
      <c r="EM123" s="504">
        <v>0</v>
      </c>
      <c r="EN123" s="504">
        <v>0</v>
      </c>
      <c r="EO123" s="504">
        <v>0</v>
      </c>
      <c r="EP123" s="504">
        <v>0</v>
      </c>
      <c r="EQ123" s="504">
        <v>0</v>
      </c>
      <c r="ER123" s="504">
        <v>0</v>
      </c>
      <c r="ES123" s="504">
        <v>0</v>
      </c>
      <c r="ET123" s="504">
        <v>0</v>
      </c>
      <c r="EU123" s="504">
        <v>0</v>
      </c>
      <c r="EV123" s="504">
        <v>0</v>
      </c>
      <c r="EW123" s="504">
        <v>0</v>
      </c>
      <c r="EX123" s="504">
        <v>0</v>
      </c>
      <c r="EY123" s="504">
        <v>0</v>
      </c>
      <c r="EZ123" s="504">
        <v>0</v>
      </c>
      <c r="FA123" s="504">
        <v>0</v>
      </c>
      <c r="FB123" s="504">
        <v>0</v>
      </c>
      <c r="FC123" s="504">
        <v>0</v>
      </c>
      <c r="FD123" s="504">
        <v>0</v>
      </c>
      <c r="FE123" s="504">
        <v>0</v>
      </c>
      <c r="FF123" s="504">
        <v>0</v>
      </c>
      <c r="FG123" s="504">
        <v>0</v>
      </c>
      <c r="FH123" s="504">
        <v>0</v>
      </c>
      <c r="FI123" s="504">
        <v>0</v>
      </c>
      <c r="FJ123" s="504">
        <v>0</v>
      </c>
      <c r="FK123" s="504">
        <v>0</v>
      </c>
      <c r="FL123" s="504">
        <v>0</v>
      </c>
      <c r="FM123" s="504">
        <v>0</v>
      </c>
      <c r="FN123" s="504">
        <v>0</v>
      </c>
      <c r="FO123" s="504">
        <v>0</v>
      </c>
      <c r="FP123" s="504">
        <v>0</v>
      </c>
      <c r="FQ123" s="504">
        <v>0</v>
      </c>
      <c r="FR123" s="504">
        <v>0</v>
      </c>
      <c r="FS123" s="504">
        <v>0</v>
      </c>
      <c r="FT123" s="504">
        <v>0</v>
      </c>
      <c r="FU123" s="504">
        <v>0</v>
      </c>
      <c r="FV123" s="504">
        <v>0</v>
      </c>
      <c r="FW123" s="504">
        <v>0</v>
      </c>
      <c r="FX123" s="504">
        <v>0</v>
      </c>
      <c r="FY123" s="504">
        <v>0</v>
      </c>
      <c r="FZ123" s="504">
        <v>0</v>
      </c>
      <c r="GA123" s="504">
        <v>0</v>
      </c>
      <c r="GB123" s="504">
        <v>0</v>
      </c>
      <c r="GC123" s="504">
        <v>0</v>
      </c>
      <c r="GD123" s="504">
        <v>0</v>
      </c>
      <c r="GE123" s="504">
        <v>0</v>
      </c>
      <c r="GF123" s="504">
        <v>0</v>
      </c>
      <c r="GG123" s="504">
        <v>0</v>
      </c>
      <c r="GH123" s="504">
        <v>0</v>
      </c>
      <c r="GI123" s="504">
        <v>0</v>
      </c>
      <c r="GJ123" s="504">
        <v>0</v>
      </c>
      <c r="GK123" s="504">
        <v>0</v>
      </c>
      <c r="GL123" s="504">
        <v>0</v>
      </c>
      <c r="GM123" s="504">
        <v>0</v>
      </c>
      <c r="GN123" s="504">
        <v>0</v>
      </c>
      <c r="GO123" s="504">
        <v>0</v>
      </c>
      <c r="GP123" s="504">
        <v>0</v>
      </c>
      <c r="GQ123" s="504">
        <v>0</v>
      </c>
      <c r="GR123" s="504">
        <v>0</v>
      </c>
      <c r="GS123" s="504">
        <v>0</v>
      </c>
      <c r="GT123" s="504">
        <v>0</v>
      </c>
      <c r="GU123" s="504">
        <v>0</v>
      </c>
      <c r="GV123" s="504">
        <v>0</v>
      </c>
      <c r="GW123" s="504">
        <v>0</v>
      </c>
      <c r="GX123" s="504">
        <v>0</v>
      </c>
      <c r="GY123" s="504">
        <v>0</v>
      </c>
      <c r="GZ123" s="504">
        <v>0</v>
      </c>
      <c r="HA123" s="504">
        <v>0</v>
      </c>
      <c r="HB123" s="504">
        <v>0</v>
      </c>
      <c r="HC123" s="504">
        <v>0</v>
      </c>
      <c r="HD123" s="504">
        <v>0</v>
      </c>
      <c r="HE123" s="504">
        <v>0</v>
      </c>
      <c r="HF123" s="504">
        <v>0</v>
      </c>
      <c r="HG123" s="504">
        <v>0</v>
      </c>
      <c r="HH123" s="504">
        <v>0</v>
      </c>
      <c r="HI123" s="504">
        <v>0</v>
      </c>
      <c r="HJ123" s="504">
        <v>0</v>
      </c>
      <c r="HK123" s="504">
        <v>0</v>
      </c>
      <c r="HL123" s="504">
        <v>0</v>
      </c>
      <c r="HM123" s="504">
        <v>0</v>
      </c>
      <c r="HN123" s="504">
        <v>0</v>
      </c>
      <c r="HO123" s="504">
        <v>0</v>
      </c>
      <c r="HP123" s="504">
        <v>0</v>
      </c>
      <c r="HQ123" s="504">
        <v>0</v>
      </c>
      <c r="HR123" s="504">
        <v>0</v>
      </c>
      <c r="HS123" s="504">
        <v>0</v>
      </c>
      <c r="HT123" s="504">
        <v>0</v>
      </c>
      <c r="HU123" s="504">
        <v>0</v>
      </c>
      <c r="HV123" s="504">
        <v>0</v>
      </c>
      <c r="HW123" s="504">
        <v>0</v>
      </c>
      <c r="HX123" s="504">
        <v>0</v>
      </c>
      <c r="HY123" s="504">
        <v>0</v>
      </c>
      <c r="HZ123" s="504">
        <v>0</v>
      </c>
      <c r="IA123" s="504">
        <v>0</v>
      </c>
      <c r="IB123" s="504">
        <v>0</v>
      </c>
      <c r="IC123" s="504">
        <v>0</v>
      </c>
      <c r="ID123" s="504">
        <v>0</v>
      </c>
      <c r="IE123" s="504">
        <v>0</v>
      </c>
      <c r="IF123" s="504">
        <v>0</v>
      </c>
      <c r="IG123" s="504">
        <v>0</v>
      </c>
      <c r="IH123" s="504">
        <v>0</v>
      </c>
      <c r="II123" s="504">
        <v>0</v>
      </c>
      <c r="IJ123" s="504">
        <v>0</v>
      </c>
      <c r="IK123" s="504">
        <v>0</v>
      </c>
      <c r="IL123" s="504">
        <v>0</v>
      </c>
      <c r="IM123" s="504">
        <v>0</v>
      </c>
      <c r="IN123" s="504">
        <v>0</v>
      </c>
      <c r="IO123" s="504">
        <v>0</v>
      </c>
      <c r="IP123" s="504">
        <v>0</v>
      </c>
      <c r="IQ123" s="504">
        <v>0</v>
      </c>
      <c r="IR123" s="504">
        <v>0</v>
      </c>
      <c r="IS123" s="504">
        <v>0</v>
      </c>
      <c r="IT123" s="504">
        <v>0</v>
      </c>
      <c r="IU123" s="504">
        <v>0</v>
      </c>
      <c r="IV123" s="504">
        <v>0</v>
      </c>
      <c r="IW123" s="504">
        <v>0</v>
      </c>
      <c r="IX123" s="504">
        <v>0</v>
      </c>
      <c r="IY123" s="504">
        <v>0</v>
      </c>
      <c r="IZ123" s="504">
        <v>0</v>
      </c>
      <c r="JA123" s="504">
        <v>0</v>
      </c>
      <c r="JB123" s="504">
        <v>0</v>
      </c>
      <c r="JC123" s="504">
        <v>0</v>
      </c>
      <c r="JD123" s="504">
        <v>0</v>
      </c>
      <c r="JE123" s="504">
        <v>0</v>
      </c>
      <c r="JF123" s="504">
        <v>0</v>
      </c>
      <c r="JG123" s="504">
        <v>0</v>
      </c>
      <c r="JH123" s="504">
        <v>0</v>
      </c>
      <c r="JI123" s="504">
        <v>0</v>
      </c>
      <c r="JJ123" s="504">
        <v>0</v>
      </c>
      <c r="JK123" s="504">
        <v>0</v>
      </c>
      <c r="JL123" s="504">
        <v>0</v>
      </c>
      <c r="JM123" s="504">
        <v>0</v>
      </c>
      <c r="JN123" s="504">
        <v>0</v>
      </c>
      <c r="JO123" s="504">
        <v>0</v>
      </c>
      <c r="JP123" s="504">
        <v>0</v>
      </c>
      <c r="JQ123" s="504">
        <v>0</v>
      </c>
      <c r="JR123" s="504">
        <v>0</v>
      </c>
      <c r="JS123" s="504">
        <v>0</v>
      </c>
      <c r="JT123" s="504">
        <v>0</v>
      </c>
      <c r="JU123" s="504">
        <v>0</v>
      </c>
      <c r="JV123" s="504">
        <v>0</v>
      </c>
      <c r="JW123" s="504">
        <v>0</v>
      </c>
      <c r="JX123" s="504">
        <v>0</v>
      </c>
      <c r="JY123" s="504">
        <v>0</v>
      </c>
      <c r="JZ123" s="504">
        <v>0</v>
      </c>
      <c r="KA123" s="504">
        <v>0</v>
      </c>
      <c r="KB123" s="504">
        <v>0</v>
      </c>
      <c r="KC123" s="504">
        <v>0</v>
      </c>
      <c r="KD123" s="504">
        <v>0</v>
      </c>
      <c r="KE123" s="504">
        <v>0</v>
      </c>
      <c r="KF123" s="504">
        <v>0</v>
      </c>
      <c r="KG123" s="504">
        <v>0</v>
      </c>
      <c r="KH123" s="504">
        <v>0</v>
      </c>
      <c r="KI123" s="504">
        <v>0</v>
      </c>
      <c r="KJ123" s="504">
        <v>0</v>
      </c>
      <c r="KK123" s="504">
        <v>0</v>
      </c>
      <c r="KL123" s="504">
        <v>0</v>
      </c>
      <c r="KM123" s="504">
        <v>0</v>
      </c>
      <c r="KN123" s="504">
        <v>0</v>
      </c>
      <c r="KO123" s="504">
        <v>0</v>
      </c>
      <c r="KP123" s="504">
        <v>0</v>
      </c>
      <c r="KQ123" s="504">
        <v>0</v>
      </c>
      <c r="KR123" s="504">
        <v>0</v>
      </c>
      <c r="KS123" s="504">
        <v>0</v>
      </c>
      <c r="KT123" s="504">
        <v>0</v>
      </c>
      <c r="KU123" s="504">
        <v>0</v>
      </c>
      <c r="KV123" s="504">
        <v>0</v>
      </c>
      <c r="KW123" s="504">
        <v>0</v>
      </c>
      <c r="KX123" s="504">
        <v>0</v>
      </c>
      <c r="KY123" s="504">
        <v>0</v>
      </c>
      <c r="KZ123" s="504">
        <v>0</v>
      </c>
      <c r="LA123" s="504">
        <v>0</v>
      </c>
      <c r="LB123" s="504">
        <v>0</v>
      </c>
      <c r="LC123" s="504">
        <v>0</v>
      </c>
      <c r="LD123" s="504">
        <v>0</v>
      </c>
      <c r="LE123" s="504">
        <v>0</v>
      </c>
      <c r="LF123" s="504">
        <v>0</v>
      </c>
      <c r="LG123" s="504">
        <v>0</v>
      </c>
      <c r="LH123" s="504">
        <v>0</v>
      </c>
      <c r="LI123" s="504">
        <v>0</v>
      </c>
      <c r="LJ123" s="504">
        <v>0</v>
      </c>
      <c r="LK123" s="504">
        <v>0</v>
      </c>
      <c r="LL123" s="504">
        <v>0</v>
      </c>
      <c r="LM123" s="504">
        <v>0</v>
      </c>
      <c r="LN123" s="504">
        <v>0</v>
      </c>
      <c r="LO123" s="504">
        <v>0</v>
      </c>
      <c r="LP123" s="504">
        <v>0</v>
      </c>
      <c r="LQ123" s="504">
        <v>0</v>
      </c>
      <c r="LR123" s="504">
        <v>0</v>
      </c>
      <c r="LS123" s="504">
        <v>0</v>
      </c>
      <c r="LT123" s="504">
        <v>0</v>
      </c>
      <c r="LU123" s="504">
        <v>0</v>
      </c>
      <c r="LV123" s="504">
        <v>0</v>
      </c>
      <c r="LW123" s="504">
        <v>0</v>
      </c>
      <c r="LX123" s="504">
        <v>0</v>
      </c>
      <c r="LY123" s="504">
        <v>0</v>
      </c>
      <c r="LZ123" s="504">
        <v>0</v>
      </c>
      <c r="MA123" s="504">
        <v>0</v>
      </c>
      <c r="MB123" s="504">
        <v>0</v>
      </c>
      <c r="MC123" s="504">
        <v>0</v>
      </c>
      <c r="MD123" s="504">
        <v>0</v>
      </c>
      <c r="ME123" s="504">
        <v>0</v>
      </c>
      <c r="MF123" s="504">
        <v>0</v>
      </c>
      <c r="MG123" s="504">
        <v>0</v>
      </c>
      <c r="MH123" s="504">
        <v>0</v>
      </c>
      <c r="MI123" s="504">
        <v>0</v>
      </c>
      <c r="MJ123" s="504">
        <v>0</v>
      </c>
      <c r="MK123" s="504">
        <v>0</v>
      </c>
      <c r="ML123" s="504">
        <v>0</v>
      </c>
      <c r="MM123" s="504">
        <v>0</v>
      </c>
      <c r="MN123" s="504">
        <v>0</v>
      </c>
      <c r="MO123" s="504">
        <v>0</v>
      </c>
      <c r="MP123" s="504">
        <v>0</v>
      </c>
      <c r="MQ123" s="504">
        <v>0</v>
      </c>
      <c r="MR123" s="504">
        <v>0</v>
      </c>
      <c r="MS123" s="504">
        <v>0</v>
      </c>
      <c r="MT123" s="504">
        <v>0</v>
      </c>
      <c r="MU123" s="504">
        <v>0</v>
      </c>
      <c r="MV123" s="504">
        <v>0</v>
      </c>
      <c r="MW123" s="504">
        <v>0</v>
      </c>
      <c r="MX123" s="504">
        <v>0</v>
      </c>
      <c r="MY123" s="504">
        <v>0</v>
      </c>
      <c r="MZ123" s="504">
        <v>0</v>
      </c>
      <c r="NA123" s="504">
        <v>0</v>
      </c>
      <c r="NB123" s="504">
        <v>0</v>
      </c>
      <c r="NC123" s="504">
        <v>0</v>
      </c>
      <c r="ND123" s="504">
        <v>0</v>
      </c>
      <c r="NE123" s="504">
        <v>0</v>
      </c>
      <c r="NF123" s="504">
        <v>0</v>
      </c>
      <c r="NG123" s="504">
        <v>0</v>
      </c>
      <c r="NH123" s="504">
        <v>0</v>
      </c>
      <c r="NI123" s="504">
        <v>0</v>
      </c>
      <c r="NJ123" s="504">
        <v>0</v>
      </c>
      <c r="NK123" s="504">
        <v>0</v>
      </c>
      <c r="NL123" s="504">
        <v>0</v>
      </c>
      <c r="NM123" s="504">
        <v>0</v>
      </c>
      <c r="NN123" s="504">
        <v>0</v>
      </c>
      <c r="NO123" s="504">
        <v>0</v>
      </c>
      <c r="NP123" s="504">
        <v>0</v>
      </c>
      <c r="NQ123" s="504">
        <v>0</v>
      </c>
      <c r="NR123" s="504">
        <v>0</v>
      </c>
      <c r="NS123" s="504">
        <v>0</v>
      </c>
      <c r="NT123" s="504">
        <v>0</v>
      </c>
      <c r="NU123" s="504">
        <v>0</v>
      </c>
      <c r="NV123" s="504">
        <v>0</v>
      </c>
      <c r="NW123" s="504">
        <v>0</v>
      </c>
      <c r="NX123" s="504">
        <v>0</v>
      </c>
      <c r="NY123" s="504">
        <v>0</v>
      </c>
      <c r="NZ123" s="504">
        <v>0</v>
      </c>
      <c r="OA123" s="504">
        <v>0</v>
      </c>
      <c r="OB123" s="504">
        <v>0</v>
      </c>
      <c r="OC123" s="504">
        <v>0</v>
      </c>
      <c r="OD123" s="504">
        <v>0</v>
      </c>
      <c r="OE123" s="504">
        <v>0</v>
      </c>
      <c r="OF123" s="504">
        <v>0</v>
      </c>
      <c r="OG123" s="504">
        <v>0</v>
      </c>
      <c r="OH123" s="504">
        <v>0</v>
      </c>
      <c r="OI123" s="504">
        <v>0</v>
      </c>
      <c r="OJ123" s="504">
        <v>0</v>
      </c>
      <c r="OK123" s="504">
        <v>0</v>
      </c>
      <c r="OL123" s="504">
        <v>0</v>
      </c>
      <c r="OM123" s="504">
        <v>0</v>
      </c>
      <c r="ON123" s="494"/>
    </row>
    <row r="124" spans="1:404" ht="18.75" customHeight="1" x14ac:dyDescent="0.4">
      <c r="A124" s="511" t="s">
        <v>394</v>
      </c>
      <c r="B124" s="512">
        <v>206</v>
      </c>
      <c r="C124" s="511" t="s">
        <v>60</v>
      </c>
      <c r="D124" s="501">
        <v>31.76</v>
      </c>
      <c r="E124" s="502">
        <v>21162</v>
      </c>
      <c r="F124" s="501">
        <v>31.75</v>
      </c>
      <c r="G124" s="502">
        <v>4855</v>
      </c>
      <c r="H124" s="501">
        <v>31.75</v>
      </c>
      <c r="I124" s="502">
        <v>13647</v>
      </c>
      <c r="J124" s="501">
        <v>31.76</v>
      </c>
      <c r="K124" s="502">
        <v>14832</v>
      </c>
      <c r="V124" s="501"/>
      <c r="W124" s="503"/>
      <c r="X124" s="501"/>
      <c r="Y124" s="503"/>
      <c r="Z124" s="501"/>
      <c r="AA124" s="503"/>
      <c r="AB124" s="495"/>
      <c r="AC124" s="504">
        <v>0</v>
      </c>
      <c r="AD124" s="504">
        <v>0</v>
      </c>
      <c r="AE124" s="504">
        <v>0</v>
      </c>
      <c r="AF124" s="504">
        <v>0</v>
      </c>
      <c r="AG124" s="504">
        <v>0</v>
      </c>
      <c r="AH124" s="504">
        <v>0</v>
      </c>
      <c r="AI124" s="504">
        <v>0</v>
      </c>
      <c r="AJ124" s="504">
        <v>0</v>
      </c>
      <c r="AK124" s="504">
        <v>0</v>
      </c>
      <c r="AL124" s="504">
        <v>0</v>
      </c>
      <c r="AM124" s="504">
        <v>0</v>
      </c>
      <c r="AN124" s="504">
        <v>0</v>
      </c>
      <c r="AO124" s="504">
        <v>0</v>
      </c>
      <c r="AP124" s="504">
        <v>0</v>
      </c>
      <c r="AQ124" s="504">
        <v>0</v>
      </c>
      <c r="AR124" s="504">
        <v>0</v>
      </c>
      <c r="AS124" s="504">
        <v>0</v>
      </c>
      <c r="AT124" s="504">
        <v>0</v>
      </c>
      <c r="AU124" s="504">
        <v>0</v>
      </c>
      <c r="AV124" s="504">
        <v>0</v>
      </c>
      <c r="AW124" s="504">
        <v>0</v>
      </c>
      <c r="AX124" s="504">
        <v>0</v>
      </c>
      <c r="AY124" s="504">
        <v>0</v>
      </c>
      <c r="AZ124" s="504">
        <v>0</v>
      </c>
      <c r="BA124" s="504">
        <v>0</v>
      </c>
      <c r="BB124" s="504">
        <v>0</v>
      </c>
      <c r="BC124" s="504">
        <v>0</v>
      </c>
      <c r="BD124" s="504">
        <v>0</v>
      </c>
      <c r="BE124" s="504">
        <v>0</v>
      </c>
      <c r="BF124" s="504">
        <v>0</v>
      </c>
      <c r="BG124" s="504">
        <v>0</v>
      </c>
      <c r="BH124" s="504">
        <v>0</v>
      </c>
      <c r="BI124" s="504">
        <v>0</v>
      </c>
      <c r="BJ124" s="504">
        <v>0</v>
      </c>
      <c r="BK124" s="504">
        <v>0</v>
      </c>
      <c r="BL124" s="504">
        <v>0</v>
      </c>
      <c r="BM124" s="504">
        <v>0</v>
      </c>
      <c r="BN124" s="504">
        <v>0</v>
      </c>
      <c r="BO124" s="504">
        <v>0</v>
      </c>
      <c r="BP124" s="504">
        <v>0</v>
      </c>
      <c r="BQ124" s="504">
        <v>0</v>
      </c>
      <c r="BR124" s="504">
        <v>0</v>
      </c>
      <c r="BS124" s="504">
        <v>0</v>
      </c>
      <c r="BT124" s="504">
        <v>0</v>
      </c>
      <c r="BU124" s="504">
        <v>0</v>
      </c>
      <c r="BV124" s="504">
        <v>0</v>
      </c>
      <c r="BW124" s="504">
        <v>0</v>
      </c>
      <c r="BX124" s="504">
        <v>0</v>
      </c>
      <c r="BY124" s="504">
        <v>0</v>
      </c>
      <c r="BZ124" s="504">
        <v>0</v>
      </c>
      <c r="CA124" s="504">
        <v>0</v>
      </c>
      <c r="CB124" s="504">
        <v>0</v>
      </c>
      <c r="CC124" s="504">
        <v>0</v>
      </c>
      <c r="CD124" s="504">
        <v>0</v>
      </c>
      <c r="CE124" s="504">
        <v>0</v>
      </c>
      <c r="CF124" s="504">
        <v>0</v>
      </c>
      <c r="CG124" s="504">
        <v>0</v>
      </c>
      <c r="CH124" s="504">
        <v>0</v>
      </c>
      <c r="CI124" s="504">
        <v>0</v>
      </c>
      <c r="CJ124" s="504">
        <v>0</v>
      </c>
      <c r="CK124" s="504">
        <v>0</v>
      </c>
      <c r="CL124" s="504">
        <v>0</v>
      </c>
      <c r="CM124" s="504">
        <v>0</v>
      </c>
      <c r="CN124" s="504">
        <v>0</v>
      </c>
      <c r="CO124" s="504">
        <v>0</v>
      </c>
      <c r="CP124" s="504">
        <v>0</v>
      </c>
      <c r="CQ124" s="504">
        <v>0</v>
      </c>
      <c r="CR124" s="504">
        <v>0</v>
      </c>
      <c r="CS124" s="504">
        <v>0</v>
      </c>
      <c r="CT124" s="504">
        <v>0</v>
      </c>
      <c r="CU124" s="504">
        <v>0</v>
      </c>
      <c r="CV124" s="504">
        <v>0</v>
      </c>
      <c r="CW124" s="504">
        <v>0</v>
      </c>
      <c r="CX124" s="504">
        <v>0</v>
      </c>
      <c r="CY124" s="504">
        <v>0</v>
      </c>
      <c r="CZ124" s="504">
        <v>0</v>
      </c>
      <c r="DA124" s="504">
        <v>0</v>
      </c>
      <c r="DB124" s="504">
        <v>0</v>
      </c>
      <c r="DC124" s="504">
        <v>0</v>
      </c>
      <c r="DD124" s="504">
        <v>0</v>
      </c>
      <c r="DE124" s="504">
        <v>0</v>
      </c>
      <c r="DF124" s="504">
        <v>0</v>
      </c>
      <c r="DG124" s="504">
        <v>0</v>
      </c>
      <c r="DH124" s="504">
        <v>0</v>
      </c>
      <c r="DI124" s="504">
        <v>0</v>
      </c>
      <c r="DJ124" s="504">
        <v>0</v>
      </c>
      <c r="DK124" s="504">
        <v>0</v>
      </c>
      <c r="DL124" s="504">
        <v>0</v>
      </c>
      <c r="DM124" s="504">
        <v>0</v>
      </c>
      <c r="DN124" s="504">
        <v>0</v>
      </c>
      <c r="DO124" s="504">
        <v>0</v>
      </c>
      <c r="DP124" s="504">
        <v>0</v>
      </c>
      <c r="DQ124" s="504">
        <v>0</v>
      </c>
      <c r="DR124" s="504">
        <v>0</v>
      </c>
      <c r="DS124" s="504">
        <v>0</v>
      </c>
      <c r="DT124" s="504">
        <v>0</v>
      </c>
      <c r="DU124" s="504">
        <v>0</v>
      </c>
      <c r="DV124" s="504">
        <v>0</v>
      </c>
      <c r="DW124" s="504">
        <v>0</v>
      </c>
      <c r="DX124" s="504">
        <v>0</v>
      </c>
      <c r="DY124" s="504">
        <v>0</v>
      </c>
      <c r="DZ124" s="504">
        <v>0</v>
      </c>
      <c r="EA124" s="504">
        <v>0</v>
      </c>
      <c r="EB124" s="504">
        <v>0</v>
      </c>
      <c r="EC124" s="504">
        <v>0</v>
      </c>
      <c r="ED124" s="504">
        <v>0</v>
      </c>
      <c r="EE124" s="504">
        <v>0</v>
      </c>
      <c r="EF124" s="504">
        <v>0</v>
      </c>
      <c r="EG124" s="504">
        <v>0</v>
      </c>
      <c r="EH124" s="504">
        <v>0</v>
      </c>
      <c r="EI124" s="504">
        <v>0</v>
      </c>
      <c r="EJ124" s="504">
        <v>0</v>
      </c>
      <c r="EK124" s="504">
        <v>0</v>
      </c>
      <c r="EL124" s="504">
        <v>0</v>
      </c>
      <c r="EM124" s="504">
        <v>0</v>
      </c>
      <c r="EN124" s="504">
        <v>0</v>
      </c>
      <c r="EO124" s="504">
        <v>0</v>
      </c>
      <c r="EP124" s="504">
        <v>0</v>
      </c>
      <c r="EQ124" s="504">
        <v>0</v>
      </c>
      <c r="ER124" s="504">
        <v>0</v>
      </c>
      <c r="ES124" s="504">
        <v>0</v>
      </c>
      <c r="ET124" s="504">
        <v>0</v>
      </c>
      <c r="EU124" s="504">
        <v>0</v>
      </c>
      <c r="EV124" s="504">
        <v>0</v>
      </c>
      <c r="EW124" s="504">
        <v>0</v>
      </c>
      <c r="EX124" s="504">
        <v>0</v>
      </c>
      <c r="EY124" s="504">
        <v>0</v>
      </c>
      <c r="EZ124" s="504">
        <v>0</v>
      </c>
      <c r="FA124" s="504">
        <v>0</v>
      </c>
      <c r="FB124" s="504">
        <v>0</v>
      </c>
      <c r="FC124" s="504">
        <v>0</v>
      </c>
      <c r="FD124" s="504">
        <v>0</v>
      </c>
      <c r="FE124" s="504">
        <v>0</v>
      </c>
      <c r="FF124" s="504">
        <v>0</v>
      </c>
      <c r="FG124" s="504">
        <v>0</v>
      </c>
      <c r="FH124" s="504">
        <v>0</v>
      </c>
      <c r="FI124" s="504">
        <v>0</v>
      </c>
      <c r="FJ124" s="504">
        <v>0</v>
      </c>
      <c r="FK124" s="504">
        <v>0</v>
      </c>
      <c r="FL124" s="504">
        <v>0</v>
      </c>
      <c r="FM124" s="504">
        <v>0</v>
      </c>
      <c r="FN124" s="504">
        <v>0</v>
      </c>
      <c r="FO124" s="504">
        <v>0</v>
      </c>
      <c r="FP124" s="504">
        <v>0</v>
      </c>
      <c r="FQ124" s="504">
        <v>0</v>
      </c>
      <c r="FR124" s="504">
        <v>0</v>
      </c>
      <c r="FS124" s="504">
        <v>0</v>
      </c>
      <c r="FT124" s="504">
        <v>0</v>
      </c>
      <c r="FU124" s="504">
        <v>0</v>
      </c>
      <c r="FV124" s="504">
        <v>0</v>
      </c>
      <c r="FW124" s="504">
        <v>0</v>
      </c>
      <c r="FX124" s="504">
        <v>0</v>
      </c>
      <c r="FY124" s="504">
        <v>0</v>
      </c>
      <c r="FZ124" s="504">
        <v>0</v>
      </c>
      <c r="GA124" s="504">
        <v>0</v>
      </c>
      <c r="GB124" s="504">
        <v>0</v>
      </c>
      <c r="GC124" s="504">
        <v>0</v>
      </c>
      <c r="GD124" s="504">
        <v>0</v>
      </c>
      <c r="GE124" s="504">
        <v>0</v>
      </c>
      <c r="GF124" s="504">
        <v>0</v>
      </c>
      <c r="GG124" s="504">
        <v>0</v>
      </c>
      <c r="GH124" s="504">
        <v>0</v>
      </c>
      <c r="GI124" s="504">
        <v>0</v>
      </c>
      <c r="GJ124" s="504">
        <v>0</v>
      </c>
      <c r="GK124" s="504">
        <v>0</v>
      </c>
      <c r="GL124" s="504">
        <v>0</v>
      </c>
      <c r="GM124" s="504">
        <v>0</v>
      </c>
      <c r="GN124" s="504">
        <v>0</v>
      </c>
      <c r="GO124" s="504">
        <v>0</v>
      </c>
      <c r="GP124" s="504">
        <v>0</v>
      </c>
      <c r="GQ124" s="504">
        <v>0</v>
      </c>
      <c r="GR124" s="504">
        <v>0</v>
      </c>
      <c r="GS124" s="504">
        <v>0</v>
      </c>
      <c r="GT124" s="504">
        <v>0</v>
      </c>
      <c r="GU124" s="504">
        <v>0</v>
      </c>
      <c r="GV124" s="504">
        <v>0</v>
      </c>
      <c r="GW124" s="504">
        <v>0</v>
      </c>
      <c r="GX124" s="504">
        <v>0</v>
      </c>
      <c r="GY124" s="504">
        <v>0</v>
      </c>
      <c r="GZ124" s="504">
        <v>0</v>
      </c>
      <c r="HA124" s="504">
        <v>0</v>
      </c>
      <c r="HB124" s="504">
        <v>0</v>
      </c>
      <c r="HC124" s="504">
        <v>0</v>
      </c>
      <c r="HD124" s="504">
        <v>0</v>
      </c>
      <c r="HE124" s="504">
        <v>0</v>
      </c>
      <c r="HF124" s="504">
        <v>0</v>
      </c>
      <c r="HG124" s="504">
        <v>0</v>
      </c>
      <c r="HH124" s="504">
        <v>0</v>
      </c>
      <c r="HI124" s="504">
        <v>0</v>
      </c>
      <c r="HJ124" s="504">
        <v>0</v>
      </c>
      <c r="HK124" s="504">
        <v>0</v>
      </c>
      <c r="HL124" s="504">
        <v>0</v>
      </c>
      <c r="HM124" s="504">
        <v>0</v>
      </c>
      <c r="HN124" s="504">
        <v>0</v>
      </c>
      <c r="HO124" s="504">
        <v>0</v>
      </c>
      <c r="HP124" s="504">
        <v>0</v>
      </c>
      <c r="HQ124" s="504">
        <v>0</v>
      </c>
      <c r="HR124" s="504">
        <v>0</v>
      </c>
      <c r="HS124" s="504">
        <v>0</v>
      </c>
      <c r="HT124" s="504">
        <v>0</v>
      </c>
      <c r="HU124" s="504">
        <v>0</v>
      </c>
      <c r="HV124" s="504">
        <v>0</v>
      </c>
      <c r="HW124" s="504">
        <v>0</v>
      </c>
      <c r="HX124" s="504">
        <v>0</v>
      </c>
      <c r="HY124" s="504">
        <v>0</v>
      </c>
      <c r="HZ124" s="504">
        <v>0</v>
      </c>
      <c r="IA124" s="504">
        <v>0</v>
      </c>
      <c r="IB124" s="504">
        <v>0</v>
      </c>
      <c r="IC124" s="504">
        <v>0</v>
      </c>
      <c r="ID124" s="504">
        <v>0</v>
      </c>
      <c r="IE124" s="504">
        <v>0</v>
      </c>
      <c r="IF124" s="504">
        <v>0</v>
      </c>
      <c r="IG124" s="504">
        <v>0</v>
      </c>
      <c r="IH124" s="504">
        <v>0</v>
      </c>
      <c r="II124" s="504">
        <v>0</v>
      </c>
      <c r="IJ124" s="504">
        <v>0</v>
      </c>
      <c r="IK124" s="504">
        <v>0</v>
      </c>
      <c r="IL124" s="504">
        <v>0</v>
      </c>
      <c r="IM124" s="504">
        <v>0</v>
      </c>
      <c r="IN124" s="504">
        <v>0</v>
      </c>
      <c r="IO124" s="504">
        <v>0</v>
      </c>
      <c r="IP124" s="504">
        <v>0</v>
      </c>
      <c r="IQ124" s="504">
        <v>0</v>
      </c>
      <c r="IR124" s="504">
        <v>0</v>
      </c>
      <c r="IS124" s="504">
        <v>0</v>
      </c>
      <c r="IT124" s="504">
        <v>0</v>
      </c>
      <c r="IU124" s="504">
        <v>0</v>
      </c>
      <c r="IV124" s="504">
        <v>0</v>
      </c>
      <c r="IW124" s="504">
        <v>0</v>
      </c>
      <c r="IX124" s="504">
        <v>0</v>
      </c>
      <c r="IY124" s="504">
        <v>0</v>
      </c>
      <c r="IZ124" s="504">
        <v>0</v>
      </c>
      <c r="JA124" s="504">
        <v>0</v>
      </c>
      <c r="JB124" s="504">
        <v>0</v>
      </c>
      <c r="JC124" s="504">
        <v>0</v>
      </c>
      <c r="JD124" s="504">
        <v>0</v>
      </c>
      <c r="JE124" s="504">
        <v>0</v>
      </c>
      <c r="JF124" s="504">
        <v>0</v>
      </c>
      <c r="JG124" s="504">
        <v>0</v>
      </c>
      <c r="JH124" s="504">
        <v>0</v>
      </c>
      <c r="JI124" s="504">
        <v>0</v>
      </c>
      <c r="JJ124" s="504">
        <v>0</v>
      </c>
      <c r="JK124" s="504">
        <v>0</v>
      </c>
      <c r="JL124" s="504">
        <v>0</v>
      </c>
      <c r="JM124" s="504">
        <v>0</v>
      </c>
      <c r="JN124" s="504">
        <v>0</v>
      </c>
      <c r="JO124" s="504">
        <v>0</v>
      </c>
      <c r="JP124" s="504">
        <v>0</v>
      </c>
      <c r="JQ124" s="504">
        <v>0</v>
      </c>
      <c r="JR124" s="504">
        <v>0</v>
      </c>
      <c r="JS124" s="504">
        <v>0</v>
      </c>
      <c r="JT124" s="504">
        <v>0</v>
      </c>
      <c r="JU124" s="504">
        <v>0</v>
      </c>
      <c r="JV124" s="504">
        <v>0</v>
      </c>
      <c r="JW124" s="504">
        <v>0</v>
      </c>
      <c r="JX124" s="504">
        <v>0</v>
      </c>
      <c r="JY124" s="504">
        <v>0</v>
      </c>
      <c r="JZ124" s="504">
        <v>0</v>
      </c>
      <c r="KA124" s="504">
        <v>0</v>
      </c>
      <c r="KB124" s="504">
        <v>0</v>
      </c>
      <c r="KC124" s="504">
        <v>0</v>
      </c>
      <c r="KD124" s="504">
        <v>0</v>
      </c>
      <c r="KE124" s="504">
        <v>0</v>
      </c>
      <c r="KF124" s="504">
        <v>0</v>
      </c>
      <c r="KG124" s="504">
        <v>0</v>
      </c>
      <c r="KH124" s="504">
        <v>0</v>
      </c>
      <c r="KI124" s="504">
        <v>0</v>
      </c>
      <c r="KJ124" s="504">
        <v>0</v>
      </c>
      <c r="KK124" s="504">
        <v>0</v>
      </c>
      <c r="KL124" s="504">
        <v>0</v>
      </c>
      <c r="KM124" s="504">
        <v>0</v>
      </c>
      <c r="KN124" s="504">
        <v>0</v>
      </c>
      <c r="KO124" s="504">
        <v>0</v>
      </c>
      <c r="KP124" s="504">
        <v>0</v>
      </c>
      <c r="KQ124" s="504">
        <v>0</v>
      </c>
      <c r="KR124" s="504">
        <v>0</v>
      </c>
      <c r="KS124" s="504">
        <v>0</v>
      </c>
      <c r="KT124" s="504">
        <v>0</v>
      </c>
      <c r="KU124" s="504">
        <v>0</v>
      </c>
      <c r="KV124" s="504">
        <v>0</v>
      </c>
      <c r="KW124" s="504">
        <v>0</v>
      </c>
      <c r="KX124" s="504">
        <v>0</v>
      </c>
      <c r="KY124" s="504">
        <v>0</v>
      </c>
      <c r="KZ124" s="504">
        <v>0</v>
      </c>
      <c r="LA124" s="504">
        <v>0</v>
      </c>
      <c r="LB124" s="504">
        <v>0</v>
      </c>
      <c r="LC124" s="504">
        <v>0</v>
      </c>
      <c r="LD124" s="504">
        <v>0</v>
      </c>
      <c r="LE124" s="504">
        <v>0</v>
      </c>
      <c r="LF124" s="504">
        <v>0</v>
      </c>
      <c r="LG124" s="504">
        <v>0</v>
      </c>
      <c r="LH124" s="504">
        <v>0</v>
      </c>
      <c r="LI124" s="504">
        <v>0</v>
      </c>
      <c r="LJ124" s="504">
        <v>0</v>
      </c>
      <c r="LK124" s="504">
        <v>0</v>
      </c>
      <c r="LL124" s="504">
        <v>0</v>
      </c>
      <c r="LM124" s="504">
        <v>0</v>
      </c>
      <c r="LN124" s="504">
        <v>0</v>
      </c>
      <c r="LO124" s="504">
        <v>0</v>
      </c>
      <c r="LP124" s="504">
        <v>0</v>
      </c>
      <c r="LQ124" s="504">
        <v>0</v>
      </c>
      <c r="LR124" s="504">
        <v>0</v>
      </c>
      <c r="LS124" s="504">
        <v>0</v>
      </c>
      <c r="LT124" s="504">
        <v>0</v>
      </c>
      <c r="LU124" s="504">
        <v>0</v>
      </c>
      <c r="LV124" s="504">
        <v>0</v>
      </c>
      <c r="LW124" s="504">
        <v>0</v>
      </c>
      <c r="LX124" s="504">
        <v>0</v>
      </c>
      <c r="LY124" s="504">
        <v>0</v>
      </c>
      <c r="LZ124" s="504">
        <v>0</v>
      </c>
      <c r="MA124" s="504">
        <v>0</v>
      </c>
      <c r="MB124" s="504">
        <v>0</v>
      </c>
      <c r="MC124" s="504">
        <v>0</v>
      </c>
      <c r="MD124" s="504">
        <v>0</v>
      </c>
      <c r="ME124" s="504">
        <v>0</v>
      </c>
      <c r="MF124" s="504">
        <v>0</v>
      </c>
      <c r="MG124" s="504">
        <v>0</v>
      </c>
      <c r="MH124" s="504">
        <v>0</v>
      </c>
      <c r="MI124" s="504">
        <v>0</v>
      </c>
      <c r="MJ124" s="504">
        <v>0</v>
      </c>
      <c r="MK124" s="504">
        <v>0</v>
      </c>
      <c r="ML124" s="504">
        <v>0</v>
      </c>
      <c r="MM124" s="504">
        <v>0</v>
      </c>
      <c r="MN124" s="504">
        <v>0</v>
      </c>
      <c r="MO124" s="504">
        <v>0</v>
      </c>
      <c r="MP124" s="504">
        <v>0</v>
      </c>
      <c r="MQ124" s="504">
        <v>0</v>
      </c>
      <c r="MR124" s="504">
        <v>0</v>
      </c>
      <c r="MS124" s="504">
        <v>0</v>
      </c>
      <c r="MT124" s="504">
        <v>0</v>
      </c>
      <c r="MU124" s="504">
        <v>0</v>
      </c>
      <c r="MV124" s="504">
        <v>0</v>
      </c>
      <c r="MW124" s="504">
        <v>0</v>
      </c>
      <c r="MX124" s="504">
        <v>0</v>
      </c>
      <c r="MY124" s="504">
        <v>0</v>
      </c>
      <c r="MZ124" s="504">
        <v>0</v>
      </c>
      <c r="NA124" s="504">
        <v>0</v>
      </c>
      <c r="NB124" s="504">
        <v>0</v>
      </c>
      <c r="NC124" s="504">
        <v>0</v>
      </c>
      <c r="ND124" s="504">
        <v>0</v>
      </c>
      <c r="NE124" s="504">
        <v>0</v>
      </c>
      <c r="NF124" s="504">
        <v>0</v>
      </c>
      <c r="NG124" s="504">
        <v>0</v>
      </c>
      <c r="NH124" s="504">
        <v>0</v>
      </c>
      <c r="NI124" s="504">
        <v>0</v>
      </c>
      <c r="NJ124" s="504">
        <v>0</v>
      </c>
      <c r="NK124" s="504">
        <v>0</v>
      </c>
      <c r="NL124" s="504">
        <v>0</v>
      </c>
      <c r="NM124" s="504">
        <v>0</v>
      </c>
      <c r="NN124" s="504">
        <v>0</v>
      </c>
      <c r="NO124" s="504">
        <v>0</v>
      </c>
      <c r="NP124" s="504">
        <v>0</v>
      </c>
      <c r="NQ124" s="504">
        <v>0</v>
      </c>
      <c r="NR124" s="504">
        <v>0</v>
      </c>
      <c r="NS124" s="504">
        <v>0</v>
      </c>
      <c r="NT124" s="504">
        <v>0</v>
      </c>
      <c r="NU124" s="504">
        <v>0</v>
      </c>
      <c r="NV124" s="504">
        <v>0</v>
      </c>
      <c r="NW124" s="504">
        <v>0</v>
      </c>
      <c r="NX124" s="504">
        <v>0</v>
      </c>
      <c r="NY124" s="504">
        <v>0</v>
      </c>
      <c r="NZ124" s="504">
        <v>0</v>
      </c>
      <c r="OA124" s="504">
        <v>0</v>
      </c>
      <c r="OB124" s="504">
        <v>0</v>
      </c>
      <c r="OC124" s="504">
        <v>0</v>
      </c>
      <c r="OD124" s="504">
        <v>0</v>
      </c>
      <c r="OE124" s="504">
        <v>0</v>
      </c>
      <c r="OF124" s="504">
        <v>0</v>
      </c>
      <c r="OG124" s="504">
        <v>0</v>
      </c>
      <c r="OH124" s="504">
        <v>0</v>
      </c>
      <c r="OI124" s="504">
        <v>0</v>
      </c>
      <c r="OJ124" s="504">
        <v>0</v>
      </c>
      <c r="OK124" s="504">
        <v>0</v>
      </c>
      <c r="OL124" s="504">
        <v>0</v>
      </c>
      <c r="OM124" s="504">
        <v>0</v>
      </c>
      <c r="ON124" s="494"/>
    </row>
    <row r="125" spans="1:404" ht="18.75" customHeight="1" x14ac:dyDescent="0.4">
      <c r="A125" s="511" t="s">
        <v>395</v>
      </c>
      <c r="B125" s="512">
        <v>206</v>
      </c>
      <c r="C125" s="511" t="s">
        <v>60</v>
      </c>
      <c r="D125" s="501">
        <v>32.630000000000003</v>
      </c>
      <c r="E125" s="502">
        <v>132715</v>
      </c>
      <c r="F125" s="501">
        <v>32.619999999999997</v>
      </c>
      <c r="G125" s="502">
        <v>35630</v>
      </c>
      <c r="H125" s="501">
        <v>32.630000000000003</v>
      </c>
      <c r="I125" s="502">
        <v>98926</v>
      </c>
      <c r="J125" s="501">
        <v>32.630000000000003</v>
      </c>
      <c r="K125" s="502">
        <v>103714</v>
      </c>
      <c r="V125" s="501"/>
      <c r="W125" s="503"/>
      <c r="X125" s="501"/>
      <c r="Y125" s="503"/>
      <c r="Z125" s="501"/>
      <c r="AA125" s="503"/>
      <c r="AB125" s="495"/>
      <c r="AC125" s="504">
        <v>0</v>
      </c>
      <c r="AD125" s="504">
        <v>0</v>
      </c>
      <c r="AE125" s="504">
        <v>0</v>
      </c>
      <c r="AF125" s="504">
        <v>0</v>
      </c>
      <c r="AG125" s="504">
        <v>0</v>
      </c>
      <c r="AH125" s="504">
        <v>0</v>
      </c>
      <c r="AI125" s="504">
        <v>0</v>
      </c>
      <c r="AJ125" s="504">
        <v>0</v>
      </c>
      <c r="AK125" s="504">
        <v>0</v>
      </c>
      <c r="AL125" s="504">
        <v>0</v>
      </c>
      <c r="AM125" s="504">
        <v>0</v>
      </c>
      <c r="AN125" s="504">
        <v>0</v>
      </c>
      <c r="AO125" s="504">
        <v>0</v>
      </c>
      <c r="AP125" s="504">
        <v>0</v>
      </c>
      <c r="AQ125" s="504">
        <v>0</v>
      </c>
      <c r="AR125" s="504">
        <v>0</v>
      </c>
      <c r="AS125" s="504">
        <v>0</v>
      </c>
      <c r="AT125" s="504">
        <v>0</v>
      </c>
      <c r="AU125" s="504">
        <v>0</v>
      </c>
      <c r="AV125" s="504">
        <v>0</v>
      </c>
      <c r="AW125" s="504">
        <v>0</v>
      </c>
      <c r="AX125" s="504">
        <v>0</v>
      </c>
      <c r="AY125" s="504">
        <v>0</v>
      </c>
      <c r="AZ125" s="504">
        <v>0</v>
      </c>
      <c r="BA125" s="504">
        <v>0</v>
      </c>
      <c r="BB125" s="504">
        <v>0</v>
      </c>
      <c r="BC125" s="504">
        <v>0</v>
      </c>
      <c r="BD125" s="504">
        <v>0</v>
      </c>
      <c r="BE125" s="504">
        <v>0</v>
      </c>
      <c r="BF125" s="504">
        <v>0</v>
      </c>
      <c r="BG125" s="504">
        <v>0</v>
      </c>
      <c r="BH125" s="504">
        <v>0</v>
      </c>
      <c r="BI125" s="504">
        <v>0</v>
      </c>
      <c r="BJ125" s="504">
        <v>0</v>
      </c>
      <c r="BK125" s="504">
        <v>0</v>
      </c>
      <c r="BL125" s="504">
        <v>0</v>
      </c>
      <c r="BM125" s="504">
        <v>0</v>
      </c>
      <c r="BN125" s="504">
        <v>0</v>
      </c>
      <c r="BO125" s="504">
        <v>0</v>
      </c>
      <c r="BP125" s="504">
        <v>0</v>
      </c>
      <c r="BQ125" s="504">
        <v>0</v>
      </c>
      <c r="BR125" s="504">
        <v>0</v>
      </c>
      <c r="BS125" s="504">
        <v>0</v>
      </c>
      <c r="BT125" s="504">
        <v>0</v>
      </c>
      <c r="BU125" s="504">
        <v>0</v>
      </c>
      <c r="BV125" s="504">
        <v>0</v>
      </c>
      <c r="BW125" s="504">
        <v>0</v>
      </c>
      <c r="BX125" s="504">
        <v>0</v>
      </c>
      <c r="BY125" s="504">
        <v>0</v>
      </c>
      <c r="BZ125" s="504">
        <v>0</v>
      </c>
      <c r="CA125" s="504">
        <v>0</v>
      </c>
      <c r="CB125" s="504">
        <v>0</v>
      </c>
      <c r="CC125" s="504">
        <v>0</v>
      </c>
      <c r="CD125" s="504">
        <v>0</v>
      </c>
      <c r="CE125" s="504">
        <v>0</v>
      </c>
      <c r="CF125" s="504">
        <v>0</v>
      </c>
      <c r="CG125" s="504">
        <v>0</v>
      </c>
      <c r="CH125" s="504">
        <v>0</v>
      </c>
      <c r="CI125" s="504">
        <v>0</v>
      </c>
      <c r="CJ125" s="504">
        <v>0</v>
      </c>
      <c r="CK125" s="504">
        <v>0</v>
      </c>
      <c r="CL125" s="504">
        <v>0</v>
      </c>
      <c r="CM125" s="504">
        <v>0</v>
      </c>
      <c r="CN125" s="504">
        <v>0</v>
      </c>
      <c r="CO125" s="504">
        <v>0</v>
      </c>
      <c r="CP125" s="504">
        <v>0</v>
      </c>
      <c r="CQ125" s="504">
        <v>0</v>
      </c>
      <c r="CR125" s="504">
        <v>0</v>
      </c>
      <c r="CS125" s="504">
        <v>0</v>
      </c>
      <c r="CT125" s="504">
        <v>0</v>
      </c>
      <c r="CU125" s="504">
        <v>0</v>
      </c>
      <c r="CV125" s="504">
        <v>0</v>
      </c>
      <c r="CW125" s="504">
        <v>0</v>
      </c>
      <c r="CX125" s="504">
        <v>0</v>
      </c>
      <c r="CY125" s="504">
        <v>0</v>
      </c>
      <c r="CZ125" s="504">
        <v>0</v>
      </c>
      <c r="DA125" s="504">
        <v>0</v>
      </c>
      <c r="DB125" s="504">
        <v>0</v>
      </c>
      <c r="DC125" s="504">
        <v>0</v>
      </c>
      <c r="DD125" s="504">
        <v>0</v>
      </c>
      <c r="DE125" s="504">
        <v>0</v>
      </c>
      <c r="DF125" s="504">
        <v>0</v>
      </c>
      <c r="DG125" s="504">
        <v>0</v>
      </c>
      <c r="DH125" s="504">
        <v>0</v>
      </c>
      <c r="DI125" s="504">
        <v>0</v>
      </c>
      <c r="DJ125" s="504">
        <v>0</v>
      </c>
      <c r="DK125" s="504">
        <v>0</v>
      </c>
      <c r="DL125" s="504">
        <v>0</v>
      </c>
      <c r="DM125" s="504">
        <v>0</v>
      </c>
      <c r="DN125" s="504">
        <v>0</v>
      </c>
      <c r="DO125" s="504">
        <v>0</v>
      </c>
      <c r="DP125" s="504">
        <v>0</v>
      </c>
      <c r="DQ125" s="504">
        <v>0</v>
      </c>
      <c r="DR125" s="504">
        <v>0</v>
      </c>
      <c r="DS125" s="504">
        <v>0</v>
      </c>
      <c r="DT125" s="504">
        <v>0</v>
      </c>
      <c r="DU125" s="504">
        <v>0</v>
      </c>
      <c r="DV125" s="504">
        <v>0</v>
      </c>
      <c r="DW125" s="504">
        <v>0</v>
      </c>
      <c r="DX125" s="504">
        <v>0</v>
      </c>
      <c r="DY125" s="504">
        <v>0</v>
      </c>
      <c r="DZ125" s="504">
        <v>0</v>
      </c>
      <c r="EA125" s="504">
        <v>0</v>
      </c>
      <c r="EB125" s="504">
        <v>0</v>
      </c>
      <c r="EC125" s="504">
        <v>0</v>
      </c>
      <c r="ED125" s="504">
        <v>0</v>
      </c>
      <c r="EE125" s="504">
        <v>0</v>
      </c>
      <c r="EF125" s="504">
        <v>0</v>
      </c>
      <c r="EG125" s="504">
        <v>0</v>
      </c>
      <c r="EH125" s="504">
        <v>0</v>
      </c>
      <c r="EI125" s="504">
        <v>0</v>
      </c>
      <c r="EJ125" s="504">
        <v>0</v>
      </c>
      <c r="EK125" s="504">
        <v>0</v>
      </c>
      <c r="EL125" s="504">
        <v>0</v>
      </c>
      <c r="EM125" s="504">
        <v>0</v>
      </c>
      <c r="EN125" s="504">
        <v>0</v>
      </c>
      <c r="EO125" s="504">
        <v>0</v>
      </c>
      <c r="EP125" s="504">
        <v>0</v>
      </c>
      <c r="EQ125" s="504">
        <v>0</v>
      </c>
      <c r="ER125" s="504">
        <v>0</v>
      </c>
      <c r="ES125" s="504">
        <v>0</v>
      </c>
      <c r="ET125" s="504">
        <v>0</v>
      </c>
      <c r="EU125" s="504">
        <v>0</v>
      </c>
      <c r="EV125" s="504">
        <v>0</v>
      </c>
      <c r="EW125" s="504">
        <v>0</v>
      </c>
      <c r="EX125" s="504">
        <v>0</v>
      </c>
      <c r="EY125" s="504">
        <v>0</v>
      </c>
      <c r="EZ125" s="504">
        <v>0</v>
      </c>
      <c r="FA125" s="504">
        <v>0</v>
      </c>
      <c r="FB125" s="504">
        <v>0</v>
      </c>
      <c r="FC125" s="504">
        <v>0</v>
      </c>
      <c r="FD125" s="504">
        <v>0</v>
      </c>
      <c r="FE125" s="504">
        <v>0</v>
      </c>
      <c r="FF125" s="504">
        <v>0</v>
      </c>
      <c r="FG125" s="504">
        <v>0</v>
      </c>
      <c r="FH125" s="504">
        <v>0</v>
      </c>
      <c r="FI125" s="504">
        <v>0</v>
      </c>
      <c r="FJ125" s="504">
        <v>0</v>
      </c>
      <c r="FK125" s="504">
        <v>0</v>
      </c>
      <c r="FL125" s="504">
        <v>0</v>
      </c>
      <c r="FM125" s="504">
        <v>0</v>
      </c>
      <c r="FN125" s="504">
        <v>0</v>
      </c>
      <c r="FO125" s="504">
        <v>0</v>
      </c>
      <c r="FP125" s="504">
        <v>0</v>
      </c>
      <c r="FQ125" s="504">
        <v>0</v>
      </c>
      <c r="FR125" s="504">
        <v>0</v>
      </c>
      <c r="FS125" s="504">
        <v>0</v>
      </c>
      <c r="FT125" s="504">
        <v>0</v>
      </c>
      <c r="FU125" s="504">
        <v>0</v>
      </c>
      <c r="FV125" s="504">
        <v>0</v>
      </c>
      <c r="FW125" s="504">
        <v>0</v>
      </c>
      <c r="FX125" s="504">
        <v>0</v>
      </c>
      <c r="FY125" s="504">
        <v>0</v>
      </c>
      <c r="FZ125" s="504">
        <v>0</v>
      </c>
      <c r="GA125" s="504">
        <v>0</v>
      </c>
      <c r="GB125" s="504">
        <v>0</v>
      </c>
      <c r="GC125" s="504">
        <v>0</v>
      </c>
      <c r="GD125" s="504">
        <v>0</v>
      </c>
      <c r="GE125" s="504">
        <v>0</v>
      </c>
      <c r="GF125" s="504">
        <v>0</v>
      </c>
      <c r="GG125" s="504">
        <v>0</v>
      </c>
      <c r="GH125" s="504">
        <v>0</v>
      </c>
      <c r="GI125" s="504">
        <v>0</v>
      </c>
      <c r="GJ125" s="504">
        <v>0</v>
      </c>
      <c r="GK125" s="504">
        <v>0</v>
      </c>
      <c r="GL125" s="504">
        <v>0</v>
      </c>
      <c r="GM125" s="504">
        <v>0</v>
      </c>
      <c r="GN125" s="504">
        <v>0</v>
      </c>
      <c r="GO125" s="504">
        <v>0</v>
      </c>
      <c r="GP125" s="504">
        <v>0</v>
      </c>
      <c r="GQ125" s="504">
        <v>0</v>
      </c>
      <c r="GR125" s="504">
        <v>0</v>
      </c>
      <c r="GS125" s="504">
        <v>0</v>
      </c>
      <c r="GT125" s="504">
        <v>0</v>
      </c>
      <c r="GU125" s="504">
        <v>0</v>
      </c>
      <c r="GV125" s="504">
        <v>0</v>
      </c>
      <c r="GW125" s="504">
        <v>0</v>
      </c>
      <c r="GX125" s="504">
        <v>0</v>
      </c>
      <c r="GY125" s="504">
        <v>0</v>
      </c>
      <c r="GZ125" s="504">
        <v>0</v>
      </c>
      <c r="HA125" s="504">
        <v>0</v>
      </c>
      <c r="HB125" s="504">
        <v>0</v>
      </c>
      <c r="HC125" s="504">
        <v>0</v>
      </c>
      <c r="HD125" s="504">
        <v>0</v>
      </c>
      <c r="HE125" s="504">
        <v>0</v>
      </c>
      <c r="HF125" s="504">
        <v>0</v>
      </c>
      <c r="HG125" s="504">
        <v>0</v>
      </c>
      <c r="HH125" s="504">
        <v>0</v>
      </c>
      <c r="HI125" s="504">
        <v>0</v>
      </c>
      <c r="HJ125" s="504">
        <v>0</v>
      </c>
      <c r="HK125" s="504">
        <v>0</v>
      </c>
      <c r="HL125" s="504">
        <v>0</v>
      </c>
      <c r="HM125" s="504">
        <v>0</v>
      </c>
      <c r="HN125" s="504">
        <v>0</v>
      </c>
      <c r="HO125" s="504">
        <v>0</v>
      </c>
      <c r="HP125" s="504">
        <v>0</v>
      </c>
      <c r="HQ125" s="504">
        <v>0</v>
      </c>
      <c r="HR125" s="504">
        <v>0</v>
      </c>
      <c r="HS125" s="504">
        <v>0</v>
      </c>
      <c r="HT125" s="504">
        <v>0</v>
      </c>
      <c r="HU125" s="504">
        <v>0</v>
      </c>
      <c r="HV125" s="504">
        <v>0</v>
      </c>
      <c r="HW125" s="504">
        <v>0</v>
      </c>
      <c r="HX125" s="504">
        <v>0</v>
      </c>
      <c r="HY125" s="504">
        <v>0</v>
      </c>
      <c r="HZ125" s="504">
        <v>0</v>
      </c>
      <c r="IA125" s="504">
        <v>0</v>
      </c>
      <c r="IB125" s="504">
        <v>0</v>
      </c>
      <c r="IC125" s="504">
        <v>0</v>
      </c>
      <c r="ID125" s="504">
        <v>0</v>
      </c>
      <c r="IE125" s="504">
        <v>0</v>
      </c>
      <c r="IF125" s="504">
        <v>0</v>
      </c>
      <c r="IG125" s="504">
        <v>0</v>
      </c>
      <c r="IH125" s="504">
        <v>0</v>
      </c>
      <c r="II125" s="504">
        <v>0</v>
      </c>
      <c r="IJ125" s="504">
        <v>0</v>
      </c>
      <c r="IK125" s="504">
        <v>0</v>
      </c>
      <c r="IL125" s="504">
        <v>0</v>
      </c>
      <c r="IM125" s="504">
        <v>0</v>
      </c>
      <c r="IN125" s="504">
        <v>0</v>
      </c>
      <c r="IO125" s="504">
        <v>0</v>
      </c>
      <c r="IP125" s="504">
        <v>0</v>
      </c>
      <c r="IQ125" s="504">
        <v>0</v>
      </c>
      <c r="IR125" s="504">
        <v>0</v>
      </c>
      <c r="IS125" s="504">
        <v>0</v>
      </c>
      <c r="IT125" s="504">
        <v>0</v>
      </c>
      <c r="IU125" s="504">
        <v>0</v>
      </c>
      <c r="IV125" s="504">
        <v>0</v>
      </c>
      <c r="IW125" s="504">
        <v>0</v>
      </c>
      <c r="IX125" s="504">
        <v>0</v>
      </c>
      <c r="IY125" s="504">
        <v>0</v>
      </c>
      <c r="IZ125" s="504">
        <v>0</v>
      </c>
      <c r="JA125" s="504">
        <v>0</v>
      </c>
      <c r="JB125" s="504">
        <v>0</v>
      </c>
      <c r="JC125" s="504">
        <v>0</v>
      </c>
      <c r="JD125" s="504">
        <v>0</v>
      </c>
      <c r="JE125" s="504">
        <v>0</v>
      </c>
      <c r="JF125" s="504">
        <v>0</v>
      </c>
      <c r="JG125" s="504">
        <v>0</v>
      </c>
      <c r="JH125" s="504">
        <v>0</v>
      </c>
      <c r="JI125" s="504">
        <v>0</v>
      </c>
      <c r="JJ125" s="504">
        <v>0</v>
      </c>
      <c r="JK125" s="504">
        <v>0</v>
      </c>
      <c r="JL125" s="504">
        <v>0</v>
      </c>
      <c r="JM125" s="504">
        <v>0</v>
      </c>
      <c r="JN125" s="504">
        <v>0</v>
      </c>
      <c r="JO125" s="504">
        <v>0</v>
      </c>
      <c r="JP125" s="504">
        <v>0</v>
      </c>
      <c r="JQ125" s="504">
        <v>0</v>
      </c>
      <c r="JR125" s="504">
        <v>0</v>
      </c>
      <c r="JS125" s="504">
        <v>0</v>
      </c>
      <c r="JT125" s="504">
        <v>0</v>
      </c>
      <c r="JU125" s="504">
        <v>0</v>
      </c>
      <c r="JV125" s="504">
        <v>0</v>
      </c>
      <c r="JW125" s="504">
        <v>0</v>
      </c>
      <c r="JX125" s="504">
        <v>0</v>
      </c>
      <c r="JY125" s="504">
        <v>0</v>
      </c>
      <c r="JZ125" s="504">
        <v>0</v>
      </c>
      <c r="KA125" s="504">
        <v>0</v>
      </c>
      <c r="KB125" s="504">
        <v>0</v>
      </c>
      <c r="KC125" s="504">
        <v>0</v>
      </c>
      <c r="KD125" s="504">
        <v>0</v>
      </c>
      <c r="KE125" s="504">
        <v>0</v>
      </c>
      <c r="KF125" s="504">
        <v>0</v>
      </c>
      <c r="KG125" s="504">
        <v>0</v>
      </c>
      <c r="KH125" s="504">
        <v>0</v>
      </c>
      <c r="KI125" s="504">
        <v>0</v>
      </c>
      <c r="KJ125" s="504">
        <v>0</v>
      </c>
      <c r="KK125" s="504">
        <v>0</v>
      </c>
      <c r="KL125" s="504">
        <v>0</v>
      </c>
      <c r="KM125" s="504">
        <v>0</v>
      </c>
      <c r="KN125" s="504">
        <v>0</v>
      </c>
      <c r="KO125" s="504">
        <v>0</v>
      </c>
      <c r="KP125" s="504">
        <v>0</v>
      </c>
      <c r="KQ125" s="504">
        <v>0</v>
      </c>
      <c r="KR125" s="504">
        <v>0</v>
      </c>
      <c r="KS125" s="504">
        <v>0</v>
      </c>
      <c r="KT125" s="504">
        <v>0</v>
      </c>
      <c r="KU125" s="504">
        <v>0</v>
      </c>
      <c r="KV125" s="504">
        <v>0</v>
      </c>
      <c r="KW125" s="504">
        <v>0</v>
      </c>
      <c r="KX125" s="504">
        <v>0</v>
      </c>
      <c r="KY125" s="504">
        <v>0</v>
      </c>
      <c r="KZ125" s="504">
        <v>0</v>
      </c>
      <c r="LA125" s="504">
        <v>0</v>
      </c>
      <c r="LB125" s="504">
        <v>0</v>
      </c>
      <c r="LC125" s="504">
        <v>0</v>
      </c>
      <c r="LD125" s="504">
        <v>0</v>
      </c>
      <c r="LE125" s="504">
        <v>0</v>
      </c>
      <c r="LF125" s="504">
        <v>0</v>
      </c>
      <c r="LG125" s="504">
        <v>0</v>
      </c>
      <c r="LH125" s="504">
        <v>0</v>
      </c>
      <c r="LI125" s="504">
        <v>0</v>
      </c>
      <c r="LJ125" s="504">
        <v>0</v>
      </c>
      <c r="LK125" s="504">
        <v>0</v>
      </c>
      <c r="LL125" s="504">
        <v>0</v>
      </c>
      <c r="LM125" s="504">
        <v>0</v>
      </c>
      <c r="LN125" s="504">
        <v>0</v>
      </c>
      <c r="LO125" s="504">
        <v>0</v>
      </c>
      <c r="LP125" s="504">
        <v>0</v>
      </c>
      <c r="LQ125" s="504">
        <v>0</v>
      </c>
      <c r="LR125" s="504">
        <v>0</v>
      </c>
      <c r="LS125" s="504">
        <v>0</v>
      </c>
      <c r="LT125" s="504">
        <v>0</v>
      </c>
      <c r="LU125" s="504">
        <v>0</v>
      </c>
      <c r="LV125" s="504">
        <v>0</v>
      </c>
      <c r="LW125" s="504">
        <v>0</v>
      </c>
      <c r="LX125" s="504">
        <v>0</v>
      </c>
      <c r="LY125" s="504">
        <v>0</v>
      </c>
      <c r="LZ125" s="504">
        <v>0</v>
      </c>
      <c r="MA125" s="504">
        <v>0</v>
      </c>
      <c r="MB125" s="504">
        <v>0</v>
      </c>
      <c r="MC125" s="504">
        <v>0</v>
      </c>
      <c r="MD125" s="504">
        <v>0</v>
      </c>
      <c r="ME125" s="504">
        <v>0</v>
      </c>
      <c r="MF125" s="504">
        <v>0</v>
      </c>
      <c r="MG125" s="504">
        <v>0</v>
      </c>
      <c r="MH125" s="504">
        <v>0</v>
      </c>
      <c r="MI125" s="504">
        <v>0</v>
      </c>
      <c r="MJ125" s="504">
        <v>0</v>
      </c>
      <c r="MK125" s="504">
        <v>0</v>
      </c>
      <c r="ML125" s="504">
        <v>0</v>
      </c>
      <c r="MM125" s="504">
        <v>0</v>
      </c>
      <c r="MN125" s="504">
        <v>0</v>
      </c>
      <c r="MO125" s="504">
        <v>0</v>
      </c>
      <c r="MP125" s="504">
        <v>0</v>
      </c>
      <c r="MQ125" s="504">
        <v>0</v>
      </c>
      <c r="MR125" s="504">
        <v>0</v>
      </c>
      <c r="MS125" s="504">
        <v>0</v>
      </c>
      <c r="MT125" s="504">
        <v>0</v>
      </c>
      <c r="MU125" s="504">
        <v>0</v>
      </c>
      <c r="MV125" s="504">
        <v>0</v>
      </c>
      <c r="MW125" s="504">
        <v>0</v>
      </c>
      <c r="MX125" s="504">
        <v>0</v>
      </c>
      <c r="MY125" s="504">
        <v>0</v>
      </c>
      <c r="MZ125" s="504">
        <v>0</v>
      </c>
      <c r="NA125" s="504">
        <v>0</v>
      </c>
      <c r="NB125" s="504">
        <v>0</v>
      </c>
      <c r="NC125" s="504">
        <v>0</v>
      </c>
      <c r="ND125" s="504">
        <v>0</v>
      </c>
      <c r="NE125" s="504">
        <v>0</v>
      </c>
      <c r="NF125" s="504">
        <v>0</v>
      </c>
      <c r="NG125" s="504">
        <v>0</v>
      </c>
      <c r="NH125" s="504">
        <v>0</v>
      </c>
      <c r="NI125" s="504">
        <v>0</v>
      </c>
      <c r="NJ125" s="504">
        <v>0</v>
      </c>
      <c r="NK125" s="504">
        <v>0</v>
      </c>
      <c r="NL125" s="504">
        <v>0</v>
      </c>
      <c r="NM125" s="504">
        <v>0</v>
      </c>
      <c r="NN125" s="504">
        <v>0</v>
      </c>
      <c r="NO125" s="504">
        <v>0</v>
      </c>
      <c r="NP125" s="504">
        <v>0</v>
      </c>
      <c r="NQ125" s="504">
        <v>0</v>
      </c>
      <c r="NR125" s="504">
        <v>0</v>
      </c>
      <c r="NS125" s="504">
        <v>0</v>
      </c>
      <c r="NT125" s="504">
        <v>0</v>
      </c>
      <c r="NU125" s="504">
        <v>0</v>
      </c>
      <c r="NV125" s="504">
        <v>0</v>
      </c>
      <c r="NW125" s="504">
        <v>0</v>
      </c>
      <c r="NX125" s="504">
        <v>0</v>
      </c>
      <c r="NY125" s="504">
        <v>0</v>
      </c>
      <c r="NZ125" s="504">
        <v>0</v>
      </c>
      <c r="OA125" s="504">
        <v>0</v>
      </c>
      <c r="OB125" s="504">
        <v>0</v>
      </c>
      <c r="OC125" s="504">
        <v>0</v>
      </c>
      <c r="OD125" s="504">
        <v>0</v>
      </c>
      <c r="OE125" s="504">
        <v>0</v>
      </c>
      <c r="OF125" s="504">
        <v>0</v>
      </c>
      <c r="OG125" s="504">
        <v>0</v>
      </c>
      <c r="OH125" s="504">
        <v>0</v>
      </c>
      <c r="OI125" s="504">
        <v>0</v>
      </c>
      <c r="OJ125" s="504">
        <v>0</v>
      </c>
      <c r="OK125" s="504">
        <v>0</v>
      </c>
      <c r="OL125" s="504">
        <v>0</v>
      </c>
      <c r="OM125" s="504">
        <v>0</v>
      </c>
      <c r="ON125" s="494"/>
    </row>
    <row r="126" spans="1:404" ht="18.75" customHeight="1" x14ac:dyDescent="0.4">
      <c r="A126" s="511" t="s">
        <v>396</v>
      </c>
      <c r="B126" s="512">
        <v>226</v>
      </c>
      <c r="C126" s="511" t="s">
        <v>94</v>
      </c>
      <c r="D126" s="501">
        <v>33.14</v>
      </c>
      <c r="E126" s="502">
        <v>840859</v>
      </c>
      <c r="F126" s="501">
        <v>33.119999999999997</v>
      </c>
      <c r="G126" s="502">
        <v>140546</v>
      </c>
      <c r="H126" s="501">
        <v>33.130000000000003</v>
      </c>
      <c r="I126" s="502">
        <v>420505</v>
      </c>
      <c r="J126" s="501">
        <v>33.130000000000003</v>
      </c>
      <c r="K126" s="502">
        <v>452307</v>
      </c>
      <c r="V126" s="501"/>
      <c r="W126" s="503"/>
      <c r="X126" s="501"/>
      <c r="Y126" s="503"/>
      <c r="Z126" s="501"/>
      <c r="AA126" s="503"/>
      <c r="AB126" s="495"/>
      <c r="AC126" s="504">
        <v>0</v>
      </c>
      <c r="AD126" s="504">
        <v>0</v>
      </c>
      <c r="AE126" s="504">
        <v>0</v>
      </c>
      <c r="AF126" s="504">
        <v>0</v>
      </c>
      <c r="AG126" s="504">
        <v>0</v>
      </c>
      <c r="AH126" s="504">
        <v>0</v>
      </c>
      <c r="AI126" s="504">
        <v>0</v>
      </c>
      <c r="AJ126" s="504">
        <v>0</v>
      </c>
      <c r="AK126" s="504">
        <v>0</v>
      </c>
      <c r="AL126" s="504">
        <v>0</v>
      </c>
      <c r="AM126" s="504">
        <v>0</v>
      </c>
      <c r="AN126" s="504">
        <v>0</v>
      </c>
      <c r="AO126" s="504">
        <v>0</v>
      </c>
      <c r="AP126" s="504">
        <v>0</v>
      </c>
      <c r="AQ126" s="504">
        <v>0</v>
      </c>
      <c r="AR126" s="504">
        <v>0</v>
      </c>
      <c r="AS126" s="504">
        <v>0</v>
      </c>
      <c r="AT126" s="504">
        <v>0</v>
      </c>
      <c r="AU126" s="504">
        <v>0</v>
      </c>
      <c r="AV126" s="504">
        <v>0</v>
      </c>
      <c r="AW126" s="504">
        <v>0</v>
      </c>
      <c r="AX126" s="504">
        <v>0</v>
      </c>
      <c r="AY126" s="504">
        <v>0</v>
      </c>
      <c r="AZ126" s="504">
        <v>0</v>
      </c>
      <c r="BA126" s="504">
        <v>0</v>
      </c>
      <c r="BB126" s="504">
        <v>0</v>
      </c>
      <c r="BC126" s="504">
        <v>0</v>
      </c>
      <c r="BD126" s="504">
        <v>0</v>
      </c>
      <c r="BE126" s="504">
        <v>0</v>
      </c>
      <c r="BF126" s="504">
        <v>0</v>
      </c>
      <c r="BG126" s="504">
        <v>0</v>
      </c>
      <c r="BH126" s="504">
        <v>0</v>
      </c>
      <c r="BI126" s="504">
        <v>0</v>
      </c>
      <c r="BJ126" s="504">
        <v>0</v>
      </c>
      <c r="BK126" s="504">
        <v>0</v>
      </c>
      <c r="BL126" s="504">
        <v>0</v>
      </c>
      <c r="BM126" s="504">
        <v>0</v>
      </c>
      <c r="BN126" s="504">
        <v>0</v>
      </c>
      <c r="BO126" s="504">
        <v>0</v>
      </c>
      <c r="BP126" s="504">
        <v>0</v>
      </c>
      <c r="BQ126" s="504">
        <v>0</v>
      </c>
      <c r="BR126" s="504">
        <v>0</v>
      </c>
      <c r="BS126" s="504">
        <v>0</v>
      </c>
      <c r="BT126" s="504">
        <v>0</v>
      </c>
      <c r="BU126" s="504">
        <v>0</v>
      </c>
      <c r="BV126" s="504">
        <v>0</v>
      </c>
      <c r="BW126" s="504">
        <v>0</v>
      </c>
      <c r="BX126" s="504">
        <v>0</v>
      </c>
      <c r="BY126" s="504">
        <v>0</v>
      </c>
      <c r="BZ126" s="504">
        <v>0</v>
      </c>
      <c r="CA126" s="504">
        <v>0</v>
      </c>
      <c r="CB126" s="504">
        <v>0</v>
      </c>
      <c r="CC126" s="504">
        <v>0</v>
      </c>
      <c r="CD126" s="504">
        <v>0</v>
      </c>
      <c r="CE126" s="504">
        <v>0</v>
      </c>
      <c r="CF126" s="504">
        <v>0</v>
      </c>
      <c r="CG126" s="504">
        <v>0</v>
      </c>
      <c r="CH126" s="504">
        <v>0</v>
      </c>
      <c r="CI126" s="504">
        <v>0</v>
      </c>
      <c r="CJ126" s="504">
        <v>0</v>
      </c>
      <c r="CK126" s="504">
        <v>0</v>
      </c>
      <c r="CL126" s="504">
        <v>0</v>
      </c>
      <c r="CM126" s="504">
        <v>0</v>
      </c>
      <c r="CN126" s="504">
        <v>0</v>
      </c>
      <c r="CO126" s="504">
        <v>0</v>
      </c>
      <c r="CP126" s="504">
        <v>0</v>
      </c>
      <c r="CQ126" s="504">
        <v>0</v>
      </c>
      <c r="CR126" s="504">
        <v>0</v>
      </c>
      <c r="CS126" s="504">
        <v>0</v>
      </c>
      <c r="CT126" s="504">
        <v>0</v>
      </c>
      <c r="CU126" s="504">
        <v>0</v>
      </c>
      <c r="CV126" s="504">
        <v>0</v>
      </c>
      <c r="CW126" s="504">
        <v>0</v>
      </c>
      <c r="CX126" s="504">
        <v>0</v>
      </c>
      <c r="CY126" s="504">
        <v>0</v>
      </c>
      <c r="CZ126" s="504">
        <v>0</v>
      </c>
      <c r="DA126" s="504">
        <v>0</v>
      </c>
      <c r="DB126" s="504">
        <v>0</v>
      </c>
      <c r="DC126" s="504">
        <v>0</v>
      </c>
      <c r="DD126" s="504">
        <v>0</v>
      </c>
      <c r="DE126" s="504">
        <v>0</v>
      </c>
      <c r="DF126" s="504">
        <v>0</v>
      </c>
      <c r="DG126" s="504">
        <v>0</v>
      </c>
      <c r="DH126" s="504">
        <v>0</v>
      </c>
      <c r="DI126" s="504">
        <v>0</v>
      </c>
      <c r="DJ126" s="504">
        <v>0</v>
      </c>
      <c r="DK126" s="504">
        <v>0</v>
      </c>
      <c r="DL126" s="504">
        <v>0</v>
      </c>
      <c r="DM126" s="504">
        <v>0</v>
      </c>
      <c r="DN126" s="504">
        <v>0</v>
      </c>
      <c r="DO126" s="504">
        <v>0</v>
      </c>
      <c r="DP126" s="504">
        <v>0</v>
      </c>
      <c r="DQ126" s="504">
        <v>0</v>
      </c>
      <c r="DR126" s="504">
        <v>0</v>
      </c>
      <c r="DS126" s="504">
        <v>0</v>
      </c>
      <c r="DT126" s="504">
        <v>0</v>
      </c>
      <c r="DU126" s="504">
        <v>0</v>
      </c>
      <c r="DV126" s="504">
        <v>0</v>
      </c>
      <c r="DW126" s="504">
        <v>0</v>
      </c>
      <c r="DX126" s="504">
        <v>0</v>
      </c>
      <c r="DY126" s="504">
        <v>0</v>
      </c>
      <c r="DZ126" s="504">
        <v>0</v>
      </c>
      <c r="EA126" s="504">
        <v>0</v>
      </c>
      <c r="EB126" s="504">
        <v>0</v>
      </c>
      <c r="EC126" s="504">
        <v>0</v>
      </c>
      <c r="ED126" s="504">
        <v>0</v>
      </c>
      <c r="EE126" s="504">
        <v>0</v>
      </c>
      <c r="EF126" s="504">
        <v>0</v>
      </c>
      <c r="EG126" s="504">
        <v>0</v>
      </c>
      <c r="EH126" s="504">
        <v>0</v>
      </c>
      <c r="EI126" s="504">
        <v>0</v>
      </c>
      <c r="EJ126" s="504">
        <v>0</v>
      </c>
      <c r="EK126" s="504">
        <v>0</v>
      </c>
      <c r="EL126" s="504">
        <v>0</v>
      </c>
      <c r="EM126" s="504">
        <v>0</v>
      </c>
      <c r="EN126" s="504">
        <v>0</v>
      </c>
      <c r="EO126" s="504">
        <v>0</v>
      </c>
      <c r="EP126" s="504">
        <v>0</v>
      </c>
      <c r="EQ126" s="504">
        <v>0</v>
      </c>
      <c r="ER126" s="504">
        <v>0</v>
      </c>
      <c r="ES126" s="504">
        <v>0</v>
      </c>
      <c r="ET126" s="504">
        <v>0</v>
      </c>
      <c r="EU126" s="504">
        <v>0</v>
      </c>
      <c r="EV126" s="504">
        <v>0</v>
      </c>
      <c r="EW126" s="504">
        <v>0</v>
      </c>
      <c r="EX126" s="504">
        <v>0</v>
      </c>
      <c r="EY126" s="504">
        <v>0</v>
      </c>
      <c r="EZ126" s="504">
        <v>0</v>
      </c>
      <c r="FA126" s="504">
        <v>0</v>
      </c>
      <c r="FB126" s="504">
        <v>0</v>
      </c>
      <c r="FC126" s="504">
        <v>0</v>
      </c>
      <c r="FD126" s="504">
        <v>0</v>
      </c>
      <c r="FE126" s="504">
        <v>0</v>
      </c>
      <c r="FF126" s="504">
        <v>0</v>
      </c>
      <c r="FG126" s="504">
        <v>0</v>
      </c>
      <c r="FH126" s="504">
        <v>0</v>
      </c>
      <c r="FI126" s="504">
        <v>0</v>
      </c>
      <c r="FJ126" s="504">
        <v>0</v>
      </c>
      <c r="FK126" s="504">
        <v>0</v>
      </c>
      <c r="FL126" s="504">
        <v>0</v>
      </c>
      <c r="FM126" s="504">
        <v>0</v>
      </c>
      <c r="FN126" s="504">
        <v>0</v>
      </c>
      <c r="FO126" s="504">
        <v>0</v>
      </c>
      <c r="FP126" s="504">
        <v>0</v>
      </c>
      <c r="FQ126" s="504">
        <v>0</v>
      </c>
      <c r="FR126" s="504">
        <v>0</v>
      </c>
      <c r="FS126" s="504">
        <v>0</v>
      </c>
      <c r="FT126" s="504">
        <v>0</v>
      </c>
      <c r="FU126" s="504">
        <v>0</v>
      </c>
      <c r="FV126" s="504">
        <v>0</v>
      </c>
      <c r="FW126" s="504">
        <v>0</v>
      </c>
      <c r="FX126" s="504">
        <v>0</v>
      </c>
      <c r="FY126" s="504">
        <v>0</v>
      </c>
      <c r="FZ126" s="504">
        <v>0</v>
      </c>
      <c r="GA126" s="504">
        <v>0</v>
      </c>
      <c r="GB126" s="504">
        <v>0</v>
      </c>
      <c r="GC126" s="504">
        <v>0</v>
      </c>
      <c r="GD126" s="504">
        <v>0</v>
      </c>
      <c r="GE126" s="504">
        <v>0</v>
      </c>
      <c r="GF126" s="504">
        <v>0</v>
      </c>
      <c r="GG126" s="504">
        <v>0</v>
      </c>
      <c r="GH126" s="504">
        <v>0</v>
      </c>
      <c r="GI126" s="504">
        <v>0</v>
      </c>
      <c r="GJ126" s="504">
        <v>0</v>
      </c>
      <c r="GK126" s="504">
        <v>0</v>
      </c>
      <c r="GL126" s="504">
        <v>0</v>
      </c>
      <c r="GM126" s="504">
        <v>0</v>
      </c>
      <c r="GN126" s="504">
        <v>0</v>
      </c>
      <c r="GO126" s="504">
        <v>0</v>
      </c>
      <c r="GP126" s="504">
        <v>0</v>
      </c>
      <c r="GQ126" s="504">
        <v>0</v>
      </c>
      <c r="GR126" s="504">
        <v>0</v>
      </c>
      <c r="GS126" s="504">
        <v>0</v>
      </c>
      <c r="GT126" s="504">
        <v>0</v>
      </c>
      <c r="GU126" s="504">
        <v>0</v>
      </c>
      <c r="GV126" s="504">
        <v>0</v>
      </c>
      <c r="GW126" s="504">
        <v>0</v>
      </c>
      <c r="GX126" s="504">
        <v>0</v>
      </c>
      <c r="GY126" s="504">
        <v>0</v>
      </c>
      <c r="GZ126" s="504">
        <v>0</v>
      </c>
      <c r="HA126" s="504">
        <v>0</v>
      </c>
      <c r="HB126" s="504">
        <v>0</v>
      </c>
      <c r="HC126" s="504">
        <v>0</v>
      </c>
      <c r="HD126" s="504">
        <v>0</v>
      </c>
      <c r="HE126" s="504">
        <v>0</v>
      </c>
      <c r="HF126" s="504">
        <v>0</v>
      </c>
      <c r="HG126" s="504">
        <v>0</v>
      </c>
      <c r="HH126" s="504">
        <v>0</v>
      </c>
      <c r="HI126" s="504">
        <v>0</v>
      </c>
      <c r="HJ126" s="504">
        <v>0</v>
      </c>
      <c r="HK126" s="504">
        <v>0</v>
      </c>
      <c r="HL126" s="504">
        <v>0</v>
      </c>
      <c r="HM126" s="504">
        <v>0</v>
      </c>
      <c r="HN126" s="504">
        <v>0</v>
      </c>
      <c r="HO126" s="504">
        <v>0</v>
      </c>
      <c r="HP126" s="504">
        <v>0</v>
      </c>
      <c r="HQ126" s="504">
        <v>0</v>
      </c>
      <c r="HR126" s="504">
        <v>0</v>
      </c>
      <c r="HS126" s="504">
        <v>0</v>
      </c>
      <c r="HT126" s="504">
        <v>0</v>
      </c>
      <c r="HU126" s="504">
        <v>0</v>
      </c>
      <c r="HV126" s="504">
        <v>0</v>
      </c>
      <c r="HW126" s="504">
        <v>0</v>
      </c>
      <c r="HX126" s="504">
        <v>0</v>
      </c>
      <c r="HY126" s="504">
        <v>0</v>
      </c>
      <c r="HZ126" s="504">
        <v>0</v>
      </c>
      <c r="IA126" s="504">
        <v>0</v>
      </c>
      <c r="IB126" s="504">
        <v>0</v>
      </c>
      <c r="IC126" s="504">
        <v>0</v>
      </c>
      <c r="ID126" s="504">
        <v>0</v>
      </c>
      <c r="IE126" s="504">
        <v>0</v>
      </c>
      <c r="IF126" s="504">
        <v>0</v>
      </c>
      <c r="IG126" s="504">
        <v>0</v>
      </c>
      <c r="IH126" s="504">
        <v>0</v>
      </c>
      <c r="II126" s="504">
        <v>0</v>
      </c>
      <c r="IJ126" s="504">
        <v>0</v>
      </c>
      <c r="IK126" s="504">
        <v>0</v>
      </c>
      <c r="IL126" s="504">
        <v>0</v>
      </c>
      <c r="IM126" s="504">
        <v>0</v>
      </c>
      <c r="IN126" s="504">
        <v>0</v>
      </c>
      <c r="IO126" s="504">
        <v>0</v>
      </c>
      <c r="IP126" s="504">
        <v>0</v>
      </c>
      <c r="IQ126" s="504">
        <v>0</v>
      </c>
      <c r="IR126" s="504">
        <v>0</v>
      </c>
      <c r="IS126" s="504">
        <v>0</v>
      </c>
      <c r="IT126" s="504">
        <v>0</v>
      </c>
      <c r="IU126" s="504">
        <v>0</v>
      </c>
      <c r="IV126" s="504">
        <v>0</v>
      </c>
      <c r="IW126" s="504">
        <v>0</v>
      </c>
      <c r="IX126" s="504">
        <v>0</v>
      </c>
      <c r="IY126" s="504">
        <v>0</v>
      </c>
      <c r="IZ126" s="504">
        <v>0</v>
      </c>
      <c r="JA126" s="504">
        <v>0</v>
      </c>
      <c r="JB126" s="504">
        <v>0</v>
      </c>
      <c r="JC126" s="504">
        <v>0</v>
      </c>
      <c r="JD126" s="504">
        <v>0</v>
      </c>
      <c r="JE126" s="504">
        <v>0</v>
      </c>
      <c r="JF126" s="504">
        <v>0</v>
      </c>
      <c r="JG126" s="504">
        <v>0</v>
      </c>
      <c r="JH126" s="504">
        <v>0</v>
      </c>
      <c r="JI126" s="504">
        <v>0</v>
      </c>
      <c r="JJ126" s="504">
        <v>0</v>
      </c>
      <c r="JK126" s="504">
        <v>0</v>
      </c>
      <c r="JL126" s="504">
        <v>0</v>
      </c>
      <c r="JM126" s="504">
        <v>0</v>
      </c>
      <c r="JN126" s="504">
        <v>0</v>
      </c>
      <c r="JO126" s="504">
        <v>0</v>
      </c>
      <c r="JP126" s="504">
        <v>0</v>
      </c>
      <c r="JQ126" s="504">
        <v>0</v>
      </c>
      <c r="JR126" s="504">
        <v>0</v>
      </c>
      <c r="JS126" s="504">
        <v>0</v>
      </c>
      <c r="JT126" s="504">
        <v>0</v>
      </c>
      <c r="JU126" s="504">
        <v>0</v>
      </c>
      <c r="JV126" s="504">
        <v>0</v>
      </c>
      <c r="JW126" s="504">
        <v>0</v>
      </c>
      <c r="JX126" s="504">
        <v>0</v>
      </c>
      <c r="JY126" s="504">
        <v>0</v>
      </c>
      <c r="JZ126" s="504">
        <v>0</v>
      </c>
      <c r="KA126" s="504">
        <v>0</v>
      </c>
      <c r="KB126" s="504">
        <v>0</v>
      </c>
      <c r="KC126" s="504">
        <v>0</v>
      </c>
      <c r="KD126" s="504">
        <v>0</v>
      </c>
      <c r="KE126" s="504">
        <v>0</v>
      </c>
      <c r="KF126" s="504">
        <v>0</v>
      </c>
      <c r="KG126" s="504">
        <v>0</v>
      </c>
      <c r="KH126" s="504">
        <v>0</v>
      </c>
      <c r="KI126" s="504">
        <v>0</v>
      </c>
      <c r="KJ126" s="504">
        <v>0</v>
      </c>
      <c r="KK126" s="504">
        <v>0</v>
      </c>
      <c r="KL126" s="504">
        <v>0</v>
      </c>
      <c r="KM126" s="504">
        <v>0</v>
      </c>
      <c r="KN126" s="504">
        <v>0</v>
      </c>
      <c r="KO126" s="504">
        <v>0</v>
      </c>
      <c r="KP126" s="504">
        <v>0</v>
      </c>
      <c r="KQ126" s="504">
        <v>0</v>
      </c>
      <c r="KR126" s="504">
        <v>0</v>
      </c>
      <c r="KS126" s="504">
        <v>0</v>
      </c>
      <c r="KT126" s="504">
        <v>0</v>
      </c>
      <c r="KU126" s="504">
        <v>0</v>
      </c>
      <c r="KV126" s="504">
        <v>0</v>
      </c>
      <c r="KW126" s="504">
        <v>0</v>
      </c>
      <c r="KX126" s="504">
        <v>0</v>
      </c>
      <c r="KY126" s="504">
        <v>0</v>
      </c>
      <c r="KZ126" s="504">
        <v>0</v>
      </c>
      <c r="LA126" s="504">
        <v>0</v>
      </c>
      <c r="LB126" s="504">
        <v>0</v>
      </c>
      <c r="LC126" s="504">
        <v>0</v>
      </c>
      <c r="LD126" s="504">
        <v>0</v>
      </c>
      <c r="LE126" s="504">
        <v>0</v>
      </c>
      <c r="LF126" s="504">
        <v>0</v>
      </c>
      <c r="LG126" s="504">
        <v>0</v>
      </c>
      <c r="LH126" s="504">
        <v>0</v>
      </c>
      <c r="LI126" s="504">
        <v>0</v>
      </c>
      <c r="LJ126" s="504">
        <v>0</v>
      </c>
      <c r="LK126" s="504">
        <v>0</v>
      </c>
      <c r="LL126" s="504">
        <v>0</v>
      </c>
      <c r="LM126" s="504">
        <v>0</v>
      </c>
      <c r="LN126" s="504">
        <v>0</v>
      </c>
      <c r="LO126" s="504">
        <v>0</v>
      </c>
      <c r="LP126" s="504">
        <v>0</v>
      </c>
      <c r="LQ126" s="504">
        <v>0</v>
      </c>
      <c r="LR126" s="504">
        <v>0</v>
      </c>
      <c r="LS126" s="504">
        <v>0</v>
      </c>
      <c r="LT126" s="504">
        <v>0</v>
      </c>
      <c r="LU126" s="504">
        <v>0</v>
      </c>
      <c r="LV126" s="504">
        <v>0</v>
      </c>
      <c r="LW126" s="504">
        <v>0</v>
      </c>
      <c r="LX126" s="504">
        <v>0</v>
      </c>
      <c r="LY126" s="504">
        <v>0</v>
      </c>
      <c r="LZ126" s="504">
        <v>0</v>
      </c>
      <c r="MA126" s="504">
        <v>0</v>
      </c>
      <c r="MB126" s="504">
        <v>0</v>
      </c>
      <c r="MC126" s="504">
        <v>0</v>
      </c>
      <c r="MD126" s="504">
        <v>0</v>
      </c>
      <c r="ME126" s="504">
        <v>0</v>
      </c>
      <c r="MF126" s="504">
        <v>0</v>
      </c>
      <c r="MG126" s="504">
        <v>0</v>
      </c>
      <c r="MH126" s="504">
        <v>0</v>
      </c>
      <c r="MI126" s="504">
        <v>0</v>
      </c>
      <c r="MJ126" s="504">
        <v>0</v>
      </c>
      <c r="MK126" s="504">
        <v>0</v>
      </c>
      <c r="ML126" s="504">
        <v>0</v>
      </c>
      <c r="MM126" s="504">
        <v>0</v>
      </c>
      <c r="MN126" s="504">
        <v>0</v>
      </c>
      <c r="MO126" s="504">
        <v>0</v>
      </c>
      <c r="MP126" s="504">
        <v>0</v>
      </c>
      <c r="MQ126" s="504">
        <v>0</v>
      </c>
      <c r="MR126" s="504">
        <v>0</v>
      </c>
      <c r="MS126" s="504">
        <v>0</v>
      </c>
      <c r="MT126" s="504">
        <v>0</v>
      </c>
      <c r="MU126" s="504">
        <v>0</v>
      </c>
      <c r="MV126" s="504">
        <v>0</v>
      </c>
      <c r="MW126" s="504">
        <v>0</v>
      </c>
      <c r="MX126" s="504">
        <v>0</v>
      </c>
      <c r="MY126" s="504">
        <v>0</v>
      </c>
      <c r="MZ126" s="504">
        <v>0</v>
      </c>
      <c r="NA126" s="504">
        <v>0</v>
      </c>
      <c r="NB126" s="504">
        <v>0</v>
      </c>
      <c r="NC126" s="504">
        <v>0</v>
      </c>
      <c r="ND126" s="504">
        <v>0</v>
      </c>
      <c r="NE126" s="504">
        <v>0</v>
      </c>
      <c r="NF126" s="504">
        <v>0</v>
      </c>
      <c r="NG126" s="504">
        <v>0</v>
      </c>
      <c r="NH126" s="504">
        <v>0</v>
      </c>
      <c r="NI126" s="504">
        <v>0</v>
      </c>
      <c r="NJ126" s="504">
        <v>0</v>
      </c>
      <c r="NK126" s="504">
        <v>0</v>
      </c>
      <c r="NL126" s="504">
        <v>0</v>
      </c>
      <c r="NM126" s="504">
        <v>0</v>
      </c>
      <c r="NN126" s="504">
        <v>0</v>
      </c>
      <c r="NO126" s="504">
        <v>0</v>
      </c>
      <c r="NP126" s="504">
        <v>0</v>
      </c>
      <c r="NQ126" s="504">
        <v>0</v>
      </c>
      <c r="NR126" s="504">
        <v>0</v>
      </c>
      <c r="NS126" s="504">
        <v>0</v>
      </c>
      <c r="NT126" s="504">
        <v>0</v>
      </c>
      <c r="NU126" s="504">
        <v>0</v>
      </c>
      <c r="NV126" s="504">
        <v>0</v>
      </c>
      <c r="NW126" s="504">
        <v>0</v>
      </c>
      <c r="NX126" s="504">
        <v>0</v>
      </c>
      <c r="NY126" s="504">
        <v>0</v>
      </c>
      <c r="NZ126" s="504">
        <v>0</v>
      </c>
      <c r="OA126" s="504">
        <v>0</v>
      </c>
      <c r="OB126" s="504">
        <v>0</v>
      </c>
      <c r="OC126" s="504">
        <v>0</v>
      </c>
      <c r="OD126" s="504">
        <v>0</v>
      </c>
      <c r="OE126" s="504">
        <v>0</v>
      </c>
      <c r="OF126" s="504">
        <v>0</v>
      </c>
      <c r="OG126" s="504">
        <v>0</v>
      </c>
      <c r="OH126" s="504">
        <v>0</v>
      </c>
      <c r="OI126" s="504">
        <v>0</v>
      </c>
      <c r="OJ126" s="504">
        <v>0</v>
      </c>
      <c r="OK126" s="504">
        <v>0</v>
      </c>
      <c r="OL126" s="504">
        <v>0</v>
      </c>
      <c r="OM126" s="504">
        <v>0</v>
      </c>
      <c r="ON126" s="494"/>
    </row>
    <row r="127" spans="1:404" ht="18.75" customHeight="1" x14ac:dyDescent="0.4">
      <c r="A127" s="511" t="s">
        <v>397</v>
      </c>
      <c r="B127" s="512">
        <v>74</v>
      </c>
      <c r="C127" s="511" t="s">
        <v>60</v>
      </c>
      <c r="D127" s="501">
        <v>33.380000000000003</v>
      </c>
      <c r="F127" s="501">
        <v>33.369999999999997</v>
      </c>
      <c r="H127" s="501">
        <v>33.380000000000003</v>
      </c>
      <c r="J127" s="501">
        <v>33.369999999999997</v>
      </c>
      <c r="V127" s="501"/>
      <c r="W127" s="503"/>
      <c r="X127" s="501"/>
      <c r="Y127" s="503"/>
      <c r="Z127" s="501"/>
      <c r="AA127" s="503"/>
      <c r="AB127" s="495"/>
      <c r="AC127" s="504">
        <v>0</v>
      </c>
      <c r="AD127" s="504">
        <v>0</v>
      </c>
      <c r="AE127" s="504">
        <v>0</v>
      </c>
      <c r="AF127" s="504">
        <v>0</v>
      </c>
      <c r="AG127" s="504">
        <v>0</v>
      </c>
      <c r="AH127" s="504">
        <v>0</v>
      </c>
      <c r="AI127" s="504">
        <v>0</v>
      </c>
      <c r="AJ127" s="504">
        <v>0</v>
      </c>
      <c r="AK127" s="504">
        <v>0</v>
      </c>
      <c r="AL127" s="504">
        <v>0</v>
      </c>
      <c r="AM127" s="504">
        <v>0</v>
      </c>
      <c r="AN127" s="504">
        <v>0</v>
      </c>
      <c r="AO127" s="504">
        <v>0</v>
      </c>
      <c r="AP127" s="504">
        <v>0</v>
      </c>
      <c r="AQ127" s="504">
        <v>0</v>
      </c>
      <c r="AR127" s="504">
        <v>0</v>
      </c>
      <c r="AS127" s="504">
        <v>0</v>
      </c>
      <c r="AT127" s="504">
        <v>0</v>
      </c>
      <c r="AU127" s="504">
        <v>0</v>
      </c>
      <c r="AV127" s="504">
        <v>0</v>
      </c>
      <c r="AW127" s="504">
        <v>0</v>
      </c>
      <c r="AX127" s="504">
        <v>0</v>
      </c>
      <c r="AY127" s="504">
        <v>0</v>
      </c>
      <c r="AZ127" s="504">
        <v>0</v>
      </c>
      <c r="BA127" s="504">
        <v>0</v>
      </c>
      <c r="BB127" s="504">
        <v>0</v>
      </c>
      <c r="BC127" s="504">
        <v>0</v>
      </c>
      <c r="BD127" s="504">
        <v>0</v>
      </c>
      <c r="BE127" s="504">
        <v>0</v>
      </c>
      <c r="BF127" s="504">
        <v>0</v>
      </c>
      <c r="BG127" s="504">
        <v>0</v>
      </c>
      <c r="BH127" s="504">
        <v>0</v>
      </c>
      <c r="BI127" s="504">
        <v>0</v>
      </c>
      <c r="BJ127" s="504">
        <v>0</v>
      </c>
      <c r="BK127" s="504">
        <v>0</v>
      </c>
      <c r="BL127" s="504">
        <v>0</v>
      </c>
      <c r="BM127" s="504">
        <v>0</v>
      </c>
      <c r="BN127" s="504">
        <v>0</v>
      </c>
      <c r="BO127" s="504">
        <v>0</v>
      </c>
      <c r="BP127" s="504">
        <v>0</v>
      </c>
      <c r="BQ127" s="504">
        <v>0</v>
      </c>
      <c r="BR127" s="504">
        <v>0</v>
      </c>
      <c r="BS127" s="504">
        <v>0</v>
      </c>
      <c r="BT127" s="504">
        <v>0</v>
      </c>
      <c r="BU127" s="504">
        <v>0</v>
      </c>
      <c r="BV127" s="504">
        <v>0</v>
      </c>
      <c r="BW127" s="504">
        <v>0</v>
      </c>
      <c r="BX127" s="504">
        <v>0</v>
      </c>
      <c r="BY127" s="504">
        <v>0</v>
      </c>
      <c r="BZ127" s="504">
        <v>0</v>
      </c>
      <c r="CA127" s="504">
        <v>0</v>
      </c>
      <c r="CB127" s="504">
        <v>0</v>
      </c>
      <c r="CC127" s="504">
        <v>0</v>
      </c>
      <c r="CD127" s="504">
        <v>0</v>
      </c>
      <c r="CE127" s="504">
        <v>0</v>
      </c>
      <c r="CF127" s="504">
        <v>0</v>
      </c>
      <c r="CG127" s="504">
        <v>0</v>
      </c>
      <c r="CH127" s="504">
        <v>0</v>
      </c>
      <c r="CI127" s="504">
        <v>0</v>
      </c>
      <c r="CJ127" s="504">
        <v>0</v>
      </c>
      <c r="CK127" s="504">
        <v>0</v>
      </c>
      <c r="CL127" s="504">
        <v>0</v>
      </c>
      <c r="CM127" s="504">
        <v>0</v>
      </c>
      <c r="CN127" s="504">
        <v>0</v>
      </c>
      <c r="CO127" s="504">
        <v>0</v>
      </c>
      <c r="CP127" s="504">
        <v>0</v>
      </c>
      <c r="CQ127" s="504">
        <v>0</v>
      </c>
      <c r="CR127" s="504">
        <v>0</v>
      </c>
      <c r="CS127" s="504">
        <v>0</v>
      </c>
      <c r="CT127" s="504">
        <v>0</v>
      </c>
      <c r="CU127" s="504">
        <v>0</v>
      </c>
      <c r="CV127" s="504">
        <v>0</v>
      </c>
      <c r="CW127" s="504">
        <v>0</v>
      </c>
      <c r="CX127" s="504">
        <v>0</v>
      </c>
      <c r="CY127" s="504">
        <v>0</v>
      </c>
      <c r="CZ127" s="504">
        <v>0</v>
      </c>
      <c r="DA127" s="504">
        <v>0</v>
      </c>
      <c r="DB127" s="504">
        <v>0</v>
      </c>
      <c r="DC127" s="504">
        <v>0</v>
      </c>
      <c r="DD127" s="504">
        <v>0</v>
      </c>
      <c r="DE127" s="504">
        <v>0</v>
      </c>
      <c r="DF127" s="504">
        <v>0</v>
      </c>
      <c r="DG127" s="504">
        <v>0</v>
      </c>
      <c r="DH127" s="504">
        <v>0</v>
      </c>
      <c r="DI127" s="504">
        <v>0</v>
      </c>
      <c r="DJ127" s="504">
        <v>0</v>
      </c>
      <c r="DK127" s="504">
        <v>0</v>
      </c>
      <c r="DL127" s="504">
        <v>0</v>
      </c>
      <c r="DM127" s="504">
        <v>0</v>
      </c>
      <c r="DN127" s="504">
        <v>0</v>
      </c>
      <c r="DO127" s="504">
        <v>0</v>
      </c>
      <c r="DP127" s="504">
        <v>0</v>
      </c>
      <c r="DQ127" s="504">
        <v>0</v>
      </c>
      <c r="DR127" s="504">
        <v>0</v>
      </c>
      <c r="DS127" s="504">
        <v>0</v>
      </c>
      <c r="DT127" s="504">
        <v>0</v>
      </c>
      <c r="DU127" s="504">
        <v>0</v>
      </c>
      <c r="DV127" s="504">
        <v>0</v>
      </c>
      <c r="DW127" s="504">
        <v>0</v>
      </c>
      <c r="DX127" s="504">
        <v>0</v>
      </c>
      <c r="DY127" s="504">
        <v>0</v>
      </c>
      <c r="DZ127" s="504">
        <v>0</v>
      </c>
      <c r="EA127" s="504">
        <v>0</v>
      </c>
      <c r="EB127" s="504">
        <v>0</v>
      </c>
      <c r="EC127" s="504">
        <v>0</v>
      </c>
      <c r="ED127" s="504">
        <v>0</v>
      </c>
      <c r="EE127" s="504">
        <v>0</v>
      </c>
      <c r="EF127" s="504">
        <v>0</v>
      </c>
      <c r="EG127" s="504">
        <v>0</v>
      </c>
      <c r="EH127" s="504">
        <v>0</v>
      </c>
      <c r="EI127" s="504">
        <v>0</v>
      </c>
      <c r="EJ127" s="504">
        <v>0</v>
      </c>
      <c r="EK127" s="504">
        <v>0</v>
      </c>
      <c r="EL127" s="504">
        <v>0</v>
      </c>
      <c r="EM127" s="504">
        <v>0</v>
      </c>
      <c r="EN127" s="504">
        <v>0</v>
      </c>
      <c r="EO127" s="504">
        <v>0</v>
      </c>
      <c r="EP127" s="504">
        <v>0</v>
      </c>
      <c r="EQ127" s="504">
        <v>0</v>
      </c>
      <c r="ER127" s="504">
        <v>0</v>
      </c>
      <c r="ES127" s="504">
        <v>0</v>
      </c>
      <c r="ET127" s="504">
        <v>0</v>
      </c>
      <c r="EU127" s="504">
        <v>0</v>
      </c>
      <c r="EV127" s="504">
        <v>0</v>
      </c>
      <c r="EW127" s="504">
        <v>0</v>
      </c>
      <c r="EX127" s="504">
        <v>0</v>
      </c>
      <c r="EY127" s="504">
        <v>0</v>
      </c>
      <c r="EZ127" s="504">
        <v>0</v>
      </c>
      <c r="FA127" s="504">
        <v>0</v>
      </c>
      <c r="FB127" s="504">
        <v>0</v>
      </c>
      <c r="FC127" s="504">
        <v>0</v>
      </c>
      <c r="FD127" s="504">
        <v>0</v>
      </c>
      <c r="FE127" s="504">
        <v>0</v>
      </c>
      <c r="FF127" s="504">
        <v>0</v>
      </c>
      <c r="FG127" s="504">
        <v>0</v>
      </c>
      <c r="FH127" s="504">
        <v>0</v>
      </c>
      <c r="FI127" s="504">
        <v>0</v>
      </c>
      <c r="FJ127" s="504">
        <v>0</v>
      </c>
      <c r="FK127" s="504">
        <v>0</v>
      </c>
      <c r="FL127" s="504">
        <v>0</v>
      </c>
      <c r="FM127" s="504">
        <v>0</v>
      </c>
      <c r="FN127" s="504">
        <v>0</v>
      </c>
      <c r="FO127" s="504">
        <v>0</v>
      </c>
      <c r="FP127" s="504">
        <v>0</v>
      </c>
      <c r="FQ127" s="504">
        <v>0</v>
      </c>
      <c r="FR127" s="504">
        <v>0</v>
      </c>
      <c r="FS127" s="504">
        <v>0</v>
      </c>
      <c r="FT127" s="504">
        <v>0</v>
      </c>
      <c r="FU127" s="504">
        <v>0</v>
      </c>
      <c r="FV127" s="504">
        <v>0</v>
      </c>
      <c r="FW127" s="504">
        <v>0</v>
      </c>
      <c r="FX127" s="504">
        <v>0</v>
      </c>
      <c r="FY127" s="504">
        <v>0</v>
      </c>
      <c r="FZ127" s="504">
        <v>0</v>
      </c>
      <c r="GA127" s="504">
        <v>0</v>
      </c>
      <c r="GB127" s="504">
        <v>0</v>
      </c>
      <c r="GC127" s="504">
        <v>0</v>
      </c>
      <c r="GD127" s="504">
        <v>0</v>
      </c>
      <c r="GE127" s="504">
        <v>0</v>
      </c>
      <c r="GF127" s="504">
        <v>0</v>
      </c>
      <c r="GG127" s="504">
        <v>0</v>
      </c>
      <c r="GH127" s="504">
        <v>0</v>
      </c>
      <c r="GI127" s="504">
        <v>0</v>
      </c>
      <c r="GJ127" s="504">
        <v>0</v>
      </c>
      <c r="GK127" s="504">
        <v>0</v>
      </c>
      <c r="GL127" s="504">
        <v>0</v>
      </c>
      <c r="GM127" s="504">
        <v>0</v>
      </c>
      <c r="GN127" s="504">
        <v>0</v>
      </c>
      <c r="GO127" s="504">
        <v>0</v>
      </c>
      <c r="GP127" s="504">
        <v>0</v>
      </c>
      <c r="GQ127" s="504">
        <v>0</v>
      </c>
      <c r="GR127" s="504">
        <v>0</v>
      </c>
      <c r="GS127" s="504">
        <v>0</v>
      </c>
      <c r="GT127" s="504">
        <v>0</v>
      </c>
      <c r="GU127" s="504">
        <v>0</v>
      </c>
      <c r="GV127" s="504">
        <v>0</v>
      </c>
      <c r="GW127" s="504">
        <v>0</v>
      </c>
      <c r="GX127" s="504">
        <v>0</v>
      </c>
      <c r="GY127" s="504">
        <v>0</v>
      </c>
      <c r="GZ127" s="504">
        <v>0</v>
      </c>
      <c r="HA127" s="504">
        <v>0</v>
      </c>
      <c r="HB127" s="504">
        <v>0</v>
      </c>
      <c r="HC127" s="504">
        <v>0</v>
      </c>
      <c r="HD127" s="504">
        <v>0</v>
      </c>
      <c r="HE127" s="504">
        <v>0</v>
      </c>
      <c r="HF127" s="504">
        <v>0</v>
      </c>
      <c r="HG127" s="504">
        <v>0</v>
      </c>
      <c r="HH127" s="504">
        <v>0</v>
      </c>
      <c r="HI127" s="504">
        <v>0</v>
      </c>
      <c r="HJ127" s="504">
        <v>0</v>
      </c>
      <c r="HK127" s="504">
        <v>0</v>
      </c>
      <c r="HL127" s="504">
        <v>0</v>
      </c>
      <c r="HM127" s="504">
        <v>0</v>
      </c>
      <c r="HN127" s="504">
        <v>0</v>
      </c>
      <c r="HO127" s="504">
        <v>0</v>
      </c>
      <c r="HP127" s="504">
        <v>0</v>
      </c>
      <c r="HQ127" s="504">
        <v>0</v>
      </c>
      <c r="HR127" s="504">
        <v>0</v>
      </c>
      <c r="HS127" s="504">
        <v>0</v>
      </c>
      <c r="HT127" s="504">
        <v>0</v>
      </c>
      <c r="HU127" s="504">
        <v>0</v>
      </c>
      <c r="HV127" s="504">
        <v>0</v>
      </c>
      <c r="HW127" s="504">
        <v>0</v>
      </c>
      <c r="HX127" s="504">
        <v>0</v>
      </c>
      <c r="HY127" s="504">
        <v>0</v>
      </c>
      <c r="HZ127" s="504">
        <v>0</v>
      </c>
      <c r="IA127" s="504">
        <v>0</v>
      </c>
      <c r="IB127" s="504">
        <v>0</v>
      </c>
      <c r="IC127" s="504">
        <v>0</v>
      </c>
      <c r="ID127" s="504">
        <v>0</v>
      </c>
      <c r="IE127" s="504">
        <v>0</v>
      </c>
      <c r="IF127" s="504">
        <v>0</v>
      </c>
      <c r="IG127" s="504">
        <v>0</v>
      </c>
      <c r="IH127" s="504">
        <v>0</v>
      </c>
      <c r="II127" s="504">
        <v>0</v>
      </c>
      <c r="IJ127" s="504">
        <v>0</v>
      </c>
      <c r="IK127" s="504">
        <v>0</v>
      </c>
      <c r="IL127" s="504">
        <v>0</v>
      </c>
      <c r="IM127" s="504">
        <v>0</v>
      </c>
      <c r="IN127" s="504">
        <v>0</v>
      </c>
      <c r="IO127" s="504">
        <v>0</v>
      </c>
      <c r="IP127" s="504">
        <v>0</v>
      </c>
      <c r="IQ127" s="504">
        <v>0</v>
      </c>
      <c r="IR127" s="504">
        <v>0</v>
      </c>
      <c r="IS127" s="504">
        <v>0</v>
      </c>
      <c r="IT127" s="504">
        <v>0</v>
      </c>
      <c r="IU127" s="504">
        <v>0</v>
      </c>
      <c r="IV127" s="504">
        <v>0</v>
      </c>
      <c r="IW127" s="504">
        <v>0</v>
      </c>
      <c r="IX127" s="504">
        <v>0</v>
      </c>
      <c r="IY127" s="504">
        <v>0</v>
      </c>
      <c r="IZ127" s="504">
        <v>0</v>
      </c>
      <c r="JA127" s="504">
        <v>0</v>
      </c>
      <c r="JB127" s="504">
        <v>0</v>
      </c>
      <c r="JC127" s="504">
        <v>0</v>
      </c>
      <c r="JD127" s="504">
        <v>0</v>
      </c>
      <c r="JE127" s="504">
        <v>0</v>
      </c>
      <c r="JF127" s="504">
        <v>0</v>
      </c>
      <c r="JG127" s="504">
        <v>0</v>
      </c>
      <c r="JH127" s="504">
        <v>0</v>
      </c>
      <c r="JI127" s="504">
        <v>0</v>
      </c>
      <c r="JJ127" s="504">
        <v>0</v>
      </c>
      <c r="JK127" s="504">
        <v>0</v>
      </c>
      <c r="JL127" s="504">
        <v>0</v>
      </c>
      <c r="JM127" s="504">
        <v>0</v>
      </c>
      <c r="JN127" s="504">
        <v>0</v>
      </c>
      <c r="JO127" s="504">
        <v>0</v>
      </c>
      <c r="JP127" s="504">
        <v>0</v>
      </c>
      <c r="JQ127" s="504">
        <v>0</v>
      </c>
      <c r="JR127" s="504">
        <v>0</v>
      </c>
      <c r="JS127" s="504">
        <v>0</v>
      </c>
      <c r="JT127" s="504">
        <v>0</v>
      </c>
      <c r="JU127" s="504">
        <v>0</v>
      </c>
      <c r="JV127" s="504">
        <v>0</v>
      </c>
      <c r="JW127" s="504">
        <v>0</v>
      </c>
      <c r="JX127" s="504">
        <v>0</v>
      </c>
      <c r="JY127" s="504">
        <v>0</v>
      </c>
      <c r="JZ127" s="504">
        <v>0</v>
      </c>
      <c r="KA127" s="504">
        <v>0</v>
      </c>
      <c r="KB127" s="504">
        <v>0</v>
      </c>
      <c r="KC127" s="504">
        <v>0</v>
      </c>
      <c r="KD127" s="504">
        <v>0</v>
      </c>
      <c r="KE127" s="504">
        <v>0</v>
      </c>
      <c r="KF127" s="504">
        <v>0</v>
      </c>
      <c r="KG127" s="504">
        <v>0</v>
      </c>
      <c r="KH127" s="504">
        <v>0</v>
      </c>
      <c r="KI127" s="504">
        <v>0</v>
      </c>
      <c r="KJ127" s="504">
        <v>0</v>
      </c>
      <c r="KK127" s="504">
        <v>0</v>
      </c>
      <c r="KL127" s="504">
        <v>0</v>
      </c>
      <c r="KM127" s="504">
        <v>0</v>
      </c>
      <c r="KN127" s="504">
        <v>0</v>
      </c>
      <c r="KO127" s="504">
        <v>0</v>
      </c>
      <c r="KP127" s="504">
        <v>0</v>
      </c>
      <c r="KQ127" s="504">
        <v>0</v>
      </c>
      <c r="KR127" s="504">
        <v>0</v>
      </c>
      <c r="KS127" s="504">
        <v>0</v>
      </c>
      <c r="KT127" s="504">
        <v>0</v>
      </c>
      <c r="KU127" s="504">
        <v>0</v>
      </c>
      <c r="KV127" s="504">
        <v>0</v>
      </c>
      <c r="KW127" s="504">
        <v>0</v>
      </c>
      <c r="KX127" s="504">
        <v>0</v>
      </c>
      <c r="KY127" s="504">
        <v>0</v>
      </c>
      <c r="KZ127" s="504">
        <v>0</v>
      </c>
      <c r="LA127" s="504">
        <v>0</v>
      </c>
      <c r="LB127" s="504">
        <v>0</v>
      </c>
      <c r="LC127" s="504">
        <v>0</v>
      </c>
      <c r="LD127" s="504">
        <v>0</v>
      </c>
      <c r="LE127" s="504">
        <v>0</v>
      </c>
      <c r="LF127" s="504">
        <v>0</v>
      </c>
      <c r="LG127" s="504">
        <v>0</v>
      </c>
      <c r="LH127" s="504">
        <v>0</v>
      </c>
      <c r="LI127" s="504">
        <v>0</v>
      </c>
      <c r="LJ127" s="504">
        <v>0</v>
      </c>
      <c r="LK127" s="504">
        <v>0</v>
      </c>
      <c r="LL127" s="504">
        <v>0</v>
      </c>
      <c r="LM127" s="504">
        <v>0</v>
      </c>
      <c r="LN127" s="504">
        <v>0</v>
      </c>
      <c r="LO127" s="504">
        <v>0</v>
      </c>
      <c r="LP127" s="504">
        <v>0</v>
      </c>
      <c r="LQ127" s="504">
        <v>0</v>
      </c>
      <c r="LR127" s="504">
        <v>0</v>
      </c>
      <c r="LS127" s="504">
        <v>0</v>
      </c>
      <c r="LT127" s="504">
        <v>0</v>
      </c>
      <c r="LU127" s="504">
        <v>0</v>
      </c>
      <c r="LV127" s="504">
        <v>0</v>
      </c>
      <c r="LW127" s="504">
        <v>0</v>
      </c>
      <c r="LX127" s="504">
        <v>0</v>
      </c>
      <c r="LY127" s="504">
        <v>0</v>
      </c>
      <c r="LZ127" s="504">
        <v>0</v>
      </c>
      <c r="MA127" s="504">
        <v>0</v>
      </c>
      <c r="MB127" s="504">
        <v>0</v>
      </c>
      <c r="MC127" s="504">
        <v>0</v>
      </c>
      <c r="MD127" s="504">
        <v>0</v>
      </c>
      <c r="ME127" s="504">
        <v>0</v>
      </c>
      <c r="MF127" s="504">
        <v>0</v>
      </c>
      <c r="MG127" s="504">
        <v>0</v>
      </c>
      <c r="MH127" s="504">
        <v>0</v>
      </c>
      <c r="MI127" s="504">
        <v>0</v>
      </c>
      <c r="MJ127" s="504">
        <v>0</v>
      </c>
      <c r="MK127" s="504">
        <v>0</v>
      </c>
      <c r="ML127" s="504">
        <v>0</v>
      </c>
      <c r="MM127" s="504">
        <v>0</v>
      </c>
      <c r="MN127" s="504">
        <v>0</v>
      </c>
      <c r="MO127" s="504">
        <v>0</v>
      </c>
      <c r="MP127" s="504">
        <v>0</v>
      </c>
      <c r="MQ127" s="504">
        <v>0</v>
      </c>
      <c r="MR127" s="504">
        <v>0</v>
      </c>
      <c r="MS127" s="504">
        <v>0</v>
      </c>
      <c r="MT127" s="504">
        <v>0</v>
      </c>
      <c r="MU127" s="504">
        <v>0</v>
      </c>
      <c r="MV127" s="504">
        <v>0</v>
      </c>
      <c r="MW127" s="504">
        <v>0</v>
      </c>
      <c r="MX127" s="504">
        <v>0</v>
      </c>
      <c r="MY127" s="504">
        <v>0</v>
      </c>
      <c r="MZ127" s="504">
        <v>0</v>
      </c>
      <c r="NA127" s="504">
        <v>0</v>
      </c>
      <c r="NB127" s="504">
        <v>0</v>
      </c>
      <c r="NC127" s="504">
        <v>0</v>
      </c>
      <c r="ND127" s="504">
        <v>0</v>
      </c>
      <c r="NE127" s="504">
        <v>0</v>
      </c>
      <c r="NF127" s="504">
        <v>0</v>
      </c>
      <c r="NG127" s="504">
        <v>0</v>
      </c>
      <c r="NH127" s="504">
        <v>0</v>
      </c>
      <c r="NI127" s="504">
        <v>0</v>
      </c>
      <c r="NJ127" s="504">
        <v>0</v>
      </c>
      <c r="NK127" s="504">
        <v>0</v>
      </c>
      <c r="NL127" s="504">
        <v>0</v>
      </c>
      <c r="NM127" s="504">
        <v>0</v>
      </c>
      <c r="NN127" s="504">
        <v>0</v>
      </c>
      <c r="NO127" s="504">
        <v>0</v>
      </c>
      <c r="NP127" s="504">
        <v>0</v>
      </c>
      <c r="NQ127" s="504">
        <v>0</v>
      </c>
      <c r="NR127" s="504">
        <v>0</v>
      </c>
      <c r="NS127" s="504">
        <v>0</v>
      </c>
      <c r="NT127" s="504">
        <v>0</v>
      </c>
      <c r="NU127" s="504">
        <v>0</v>
      </c>
      <c r="NV127" s="504">
        <v>0</v>
      </c>
      <c r="NW127" s="504">
        <v>0</v>
      </c>
      <c r="NX127" s="504">
        <v>0</v>
      </c>
      <c r="NY127" s="504">
        <v>0</v>
      </c>
      <c r="NZ127" s="504">
        <v>0</v>
      </c>
      <c r="OA127" s="504">
        <v>0</v>
      </c>
      <c r="OB127" s="504">
        <v>0</v>
      </c>
      <c r="OC127" s="504">
        <v>0</v>
      </c>
      <c r="OD127" s="504">
        <v>0</v>
      </c>
      <c r="OE127" s="504">
        <v>0</v>
      </c>
      <c r="OF127" s="504">
        <v>0</v>
      </c>
      <c r="OG127" s="504">
        <v>0</v>
      </c>
      <c r="OH127" s="504">
        <v>0</v>
      </c>
      <c r="OI127" s="504">
        <v>0</v>
      </c>
      <c r="OJ127" s="504">
        <v>0</v>
      </c>
      <c r="OK127" s="504">
        <v>0</v>
      </c>
      <c r="OL127" s="504">
        <v>0</v>
      </c>
      <c r="OM127" s="504">
        <v>0</v>
      </c>
      <c r="ON127" s="494"/>
    </row>
    <row r="128" spans="1:404" ht="18.75" customHeight="1" x14ac:dyDescent="0.4">
      <c r="A128" s="511" t="s">
        <v>398</v>
      </c>
      <c r="B128" s="512">
        <v>74</v>
      </c>
      <c r="C128" s="511" t="s">
        <v>60</v>
      </c>
      <c r="D128" s="501">
        <v>33.5</v>
      </c>
      <c r="F128" s="501">
        <v>33.369999999999997</v>
      </c>
      <c r="H128" s="501">
        <v>33.49</v>
      </c>
      <c r="J128" s="501">
        <v>33.5</v>
      </c>
      <c r="V128" s="501"/>
      <c r="W128" s="503"/>
      <c r="X128" s="501"/>
      <c r="Y128" s="503"/>
      <c r="Z128" s="501"/>
      <c r="AA128" s="503"/>
      <c r="AB128" s="495"/>
      <c r="AC128" s="504">
        <v>0</v>
      </c>
      <c r="AD128" s="504">
        <v>0</v>
      </c>
      <c r="AE128" s="504">
        <v>0</v>
      </c>
      <c r="AF128" s="504">
        <v>0</v>
      </c>
      <c r="AG128" s="504">
        <v>0</v>
      </c>
      <c r="AH128" s="504">
        <v>0</v>
      </c>
      <c r="AI128" s="504">
        <v>0</v>
      </c>
      <c r="AJ128" s="504">
        <v>0</v>
      </c>
      <c r="AK128" s="504">
        <v>0</v>
      </c>
      <c r="AL128" s="504">
        <v>0</v>
      </c>
      <c r="AM128" s="504">
        <v>0</v>
      </c>
      <c r="AN128" s="504">
        <v>0</v>
      </c>
      <c r="AO128" s="504">
        <v>0</v>
      </c>
      <c r="AP128" s="504">
        <v>0</v>
      </c>
      <c r="AQ128" s="504">
        <v>0</v>
      </c>
      <c r="AR128" s="504">
        <v>0</v>
      </c>
      <c r="AS128" s="504">
        <v>0</v>
      </c>
      <c r="AT128" s="504">
        <v>0</v>
      </c>
      <c r="AU128" s="504">
        <v>0</v>
      </c>
      <c r="AV128" s="504">
        <v>0</v>
      </c>
      <c r="AW128" s="504">
        <v>0</v>
      </c>
      <c r="AX128" s="504">
        <v>0</v>
      </c>
      <c r="AY128" s="504">
        <v>0</v>
      </c>
      <c r="AZ128" s="504">
        <v>0</v>
      </c>
      <c r="BA128" s="504">
        <v>0</v>
      </c>
      <c r="BB128" s="504">
        <v>0</v>
      </c>
      <c r="BC128" s="504">
        <v>0</v>
      </c>
      <c r="BD128" s="504">
        <v>0</v>
      </c>
      <c r="BE128" s="504">
        <v>0</v>
      </c>
      <c r="BF128" s="504">
        <v>0</v>
      </c>
      <c r="BG128" s="504">
        <v>0</v>
      </c>
      <c r="BH128" s="504">
        <v>0</v>
      </c>
      <c r="BI128" s="504">
        <v>0</v>
      </c>
      <c r="BJ128" s="504">
        <v>0</v>
      </c>
      <c r="BK128" s="504">
        <v>0</v>
      </c>
      <c r="BL128" s="504">
        <v>0</v>
      </c>
      <c r="BM128" s="504">
        <v>0</v>
      </c>
      <c r="BN128" s="504">
        <v>0</v>
      </c>
      <c r="BO128" s="504">
        <v>0</v>
      </c>
      <c r="BP128" s="504">
        <v>0</v>
      </c>
      <c r="BQ128" s="504">
        <v>0</v>
      </c>
      <c r="BR128" s="504">
        <v>0</v>
      </c>
      <c r="BS128" s="504">
        <v>0</v>
      </c>
      <c r="BT128" s="504">
        <v>0</v>
      </c>
      <c r="BU128" s="504">
        <v>0</v>
      </c>
      <c r="BV128" s="504">
        <v>0</v>
      </c>
      <c r="BW128" s="504">
        <v>0</v>
      </c>
      <c r="BX128" s="504">
        <v>0</v>
      </c>
      <c r="BY128" s="504">
        <v>0</v>
      </c>
      <c r="BZ128" s="504">
        <v>0</v>
      </c>
      <c r="CA128" s="504">
        <v>0</v>
      </c>
      <c r="CB128" s="504">
        <v>0</v>
      </c>
      <c r="CC128" s="504">
        <v>0</v>
      </c>
      <c r="CD128" s="504">
        <v>0</v>
      </c>
      <c r="CE128" s="504">
        <v>0</v>
      </c>
      <c r="CF128" s="504">
        <v>0</v>
      </c>
      <c r="CG128" s="504">
        <v>0</v>
      </c>
      <c r="CH128" s="504">
        <v>0</v>
      </c>
      <c r="CI128" s="504">
        <v>0</v>
      </c>
      <c r="CJ128" s="504">
        <v>0</v>
      </c>
      <c r="CK128" s="504">
        <v>0</v>
      </c>
      <c r="CL128" s="504">
        <v>0</v>
      </c>
      <c r="CM128" s="504">
        <v>0</v>
      </c>
      <c r="CN128" s="504">
        <v>0</v>
      </c>
      <c r="CO128" s="504">
        <v>0</v>
      </c>
      <c r="CP128" s="504">
        <v>0</v>
      </c>
      <c r="CQ128" s="504">
        <v>0</v>
      </c>
      <c r="CR128" s="504">
        <v>0</v>
      </c>
      <c r="CS128" s="504">
        <v>0</v>
      </c>
      <c r="CT128" s="504">
        <v>0</v>
      </c>
      <c r="CU128" s="504">
        <v>0</v>
      </c>
      <c r="CV128" s="504">
        <v>0</v>
      </c>
      <c r="CW128" s="504">
        <v>0</v>
      </c>
      <c r="CX128" s="504">
        <v>0</v>
      </c>
      <c r="CY128" s="504">
        <v>0</v>
      </c>
      <c r="CZ128" s="504">
        <v>0</v>
      </c>
      <c r="DA128" s="504">
        <v>0</v>
      </c>
      <c r="DB128" s="504">
        <v>0</v>
      </c>
      <c r="DC128" s="504">
        <v>0</v>
      </c>
      <c r="DD128" s="504">
        <v>0</v>
      </c>
      <c r="DE128" s="504">
        <v>0</v>
      </c>
      <c r="DF128" s="504">
        <v>0</v>
      </c>
      <c r="DG128" s="504">
        <v>0</v>
      </c>
      <c r="DH128" s="504">
        <v>0</v>
      </c>
      <c r="DI128" s="504">
        <v>0</v>
      </c>
      <c r="DJ128" s="504">
        <v>0</v>
      </c>
      <c r="DK128" s="504">
        <v>0</v>
      </c>
      <c r="DL128" s="504">
        <v>0</v>
      </c>
      <c r="DM128" s="504">
        <v>0</v>
      </c>
      <c r="DN128" s="504">
        <v>0</v>
      </c>
      <c r="DO128" s="504">
        <v>0</v>
      </c>
      <c r="DP128" s="504">
        <v>0</v>
      </c>
      <c r="DQ128" s="504">
        <v>0</v>
      </c>
      <c r="DR128" s="504">
        <v>0</v>
      </c>
      <c r="DS128" s="504">
        <v>0</v>
      </c>
      <c r="DT128" s="504">
        <v>0</v>
      </c>
      <c r="DU128" s="504">
        <v>0</v>
      </c>
      <c r="DV128" s="504">
        <v>0</v>
      </c>
      <c r="DW128" s="504">
        <v>0</v>
      </c>
      <c r="DX128" s="504">
        <v>0</v>
      </c>
      <c r="DY128" s="504">
        <v>0</v>
      </c>
      <c r="DZ128" s="504">
        <v>0</v>
      </c>
      <c r="EA128" s="504">
        <v>0</v>
      </c>
      <c r="EB128" s="504">
        <v>0</v>
      </c>
      <c r="EC128" s="504">
        <v>0</v>
      </c>
      <c r="ED128" s="504">
        <v>0</v>
      </c>
      <c r="EE128" s="504">
        <v>0</v>
      </c>
      <c r="EF128" s="504">
        <v>0</v>
      </c>
      <c r="EG128" s="504">
        <v>0</v>
      </c>
      <c r="EH128" s="504">
        <v>0</v>
      </c>
      <c r="EI128" s="504">
        <v>0</v>
      </c>
      <c r="EJ128" s="504">
        <v>0</v>
      </c>
      <c r="EK128" s="504">
        <v>0</v>
      </c>
      <c r="EL128" s="504">
        <v>0</v>
      </c>
      <c r="EM128" s="504">
        <v>0</v>
      </c>
      <c r="EN128" s="504">
        <v>0</v>
      </c>
      <c r="EO128" s="504">
        <v>0</v>
      </c>
      <c r="EP128" s="504">
        <v>0</v>
      </c>
      <c r="EQ128" s="504">
        <v>0</v>
      </c>
      <c r="ER128" s="504">
        <v>0</v>
      </c>
      <c r="ES128" s="504">
        <v>0</v>
      </c>
      <c r="ET128" s="504">
        <v>0</v>
      </c>
      <c r="EU128" s="504">
        <v>0</v>
      </c>
      <c r="EV128" s="504">
        <v>0</v>
      </c>
      <c r="EW128" s="504">
        <v>0</v>
      </c>
      <c r="EX128" s="504">
        <v>0</v>
      </c>
      <c r="EY128" s="504">
        <v>0</v>
      </c>
      <c r="EZ128" s="504">
        <v>0</v>
      </c>
      <c r="FA128" s="504">
        <v>0</v>
      </c>
      <c r="FB128" s="504">
        <v>0</v>
      </c>
      <c r="FC128" s="504">
        <v>0</v>
      </c>
      <c r="FD128" s="504">
        <v>0</v>
      </c>
      <c r="FE128" s="504">
        <v>0</v>
      </c>
      <c r="FF128" s="504">
        <v>0</v>
      </c>
      <c r="FG128" s="504">
        <v>0</v>
      </c>
      <c r="FH128" s="504">
        <v>0</v>
      </c>
      <c r="FI128" s="504">
        <v>0</v>
      </c>
      <c r="FJ128" s="504">
        <v>0</v>
      </c>
      <c r="FK128" s="504">
        <v>0</v>
      </c>
      <c r="FL128" s="504">
        <v>0</v>
      </c>
      <c r="FM128" s="504">
        <v>0</v>
      </c>
      <c r="FN128" s="504">
        <v>0</v>
      </c>
      <c r="FO128" s="504">
        <v>0</v>
      </c>
      <c r="FP128" s="504">
        <v>0</v>
      </c>
      <c r="FQ128" s="504">
        <v>0</v>
      </c>
      <c r="FR128" s="504">
        <v>0</v>
      </c>
      <c r="FS128" s="504">
        <v>0</v>
      </c>
      <c r="FT128" s="504">
        <v>0</v>
      </c>
      <c r="FU128" s="504">
        <v>0</v>
      </c>
      <c r="FV128" s="504">
        <v>0</v>
      </c>
      <c r="FW128" s="504">
        <v>0</v>
      </c>
      <c r="FX128" s="504">
        <v>0</v>
      </c>
      <c r="FY128" s="504">
        <v>0</v>
      </c>
      <c r="FZ128" s="504">
        <v>0</v>
      </c>
      <c r="GA128" s="504">
        <v>0</v>
      </c>
      <c r="GB128" s="504">
        <v>0</v>
      </c>
      <c r="GC128" s="504">
        <v>0</v>
      </c>
      <c r="GD128" s="504">
        <v>0</v>
      </c>
      <c r="GE128" s="504">
        <v>0</v>
      </c>
      <c r="GF128" s="504">
        <v>0</v>
      </c>
      <c r="GG128" s="504">
        <v>0</v>
      </c>
      <c r="GH128" s="504">
        <v>0</v>
      </c>
      <c r="GI128" s="504">
        <v>0</v>
      </c>
      <c r="GJ128" s="504">
        <v>0</v>
      </c>
      <c r="GK128" s="504">
        <v>0</v>
      </c>
      <c r="GL128" s="504">
        <v>0</v>
      </c>
      <c r="GM128" s="504">
        <v>0</v>
      </c>
      <c r="GN128" s="504">
        <v>0</v>
      </c>
      <c r="GO128" s="504">
        <v>0</v>
      </c>
      <c r="GP128" s="504">
        <v>0</v>
      </c>
      <c r="GQ128" s="504">
        <v>0</v>
      </c>
      <c r="GR128" s="504">
        <v>0</v>
      </c>
      <c r="GS128" s="504">
        <v>0</v>
      </c>
      <c r="GT128" s="504">
        <v>0</v>
      </c>
      <c r="GU128" s="504">
        <v>0</v>
      </c>
      <c r="GV128" s="504">
        <v>0</v>
      </c>
      <c r="GW128" s="504">
        <v>0</v>
      </c>
      <c r="GX128" s="504">
        <v>0</v>
      </c>
      <c r="GY128" s="504">
        <v>0</v>
      </c>
      <c r="GZ128" s="504">
        <v>0</v>
      </c>
      <c r="HA128" s="504">
        <v>0</v>
      </c>
      <c r="HB128" s="504">
        <v>0</v>
      </c>
      <c r="HC128" s="504">
        <v>0</v>
      </c>
      <c r="HD128" s="504">
        <v>0</v>
      </c>
      <c r="HE128" s="504">
        <v>0</v>
      </c>
      <c r="HF128" s="504">
        <v>0</v>
      </c>
      <c r="HG128" s="504">
        <v>0</v>
      </c>
      <c r="HH128" s="504">
        <v>0</v>
      </c>
      <c r="HI128" s="504">
        <v>0</v>
      </c>
      <c r="HJ128" s="504">
        <v>0</v>
      </c>
      <c r="HK128" s="504">
        <v>0</v>
      </c>
      <c r="HL128" s="504">
        <v>0</v>
      </c>
      <c r="HM128" s="504">
        <v>0</v>
      </c>
      <c r="HN128" s="504">
        <v>0</v>
      </c>
      <c r="HO128" s="504">
        <v>0</v>
      </c>
      <c r="HP128" s="504">
        <v>0</v>
      </c>
      <c r="HQ128" s="504">
        <v>0</v>
      </c>
      <c r="HR128" s="504">
        <v>0</v>
      </c>
      <c r="HS128" s="504">
        <v>0</v>
      </c>
      <c r="HT128" s="504">
        <v>0</v>
      </c>
      <c r="HU128" s="504">
        <v>0</v>
      </c>
      <c r="HV128" s="504">
        <v>0</v>
      </c>
      <c r="HW128" s="504">
        <v>0</v>
      </c>
      <c r="HX128" s="504">
        <v>0</v>
      </c>
      <c r="HY128" s="504">
        <v>0</v>
      </c>
      <c r="HZ128" s="504">
        <v>0</v>
      </c>
      <c r="IA128" s="504">
        <v>0</v>
      </c>
      <c r="IB128" s="504">
        <v>0</v>
      </c>
      <c r="IC128" s="504">
        <v>0</v>
      </c>
      <c r="ID128" s="504">
        <v>0</v>
      </c>
      <c r="IE128" s="504">
        <v>0</v>
      </c>
      <c r="IF128" s="504">
        <v>0</v>
      </c>
      <c r="IG128" s="504">
        <v>0</v>
      </c>
      <c r="IH128" s="504">
        <v>0</v>
      </c>
      <c r="II128" s="504">
        <v>0</v>
      </c>
      <c r="IJ128" s="504">
        <v>0</v>
      </c>
      <c r="IK128" s="504">
        <v>0</v>
      </c>
      <c r="IL128" s="504">
        <v>0</v>
      </c>
      <c r="IM128" s="504">
        <v>0</v>
      </c>
      <c r="IN128" s="504">
        <v>0</v>
      </c>
      <c r="IO128" s="504">
        <v>0</v>
      </c>
      <c r="IP128" s="504">
        <v>0</v>
      </c>
      <c r="IQ128" s="504">
        <v>0</v>
      </c>
      <c r="IR128" s="504">
        <v>0</v>
      </c>
      <c r="IS128" s="504">
        <v>0</v>
      </c>
      <c r="IT128" s="504">
        <v>0</v>
      </c>
      <c r="IU128" s="504">
        <v>0</v>
      </c>
      <c r="IV128" s="504">
        <v>0</v>
      </c>
      <c r="IW128" s="504">
        <v>0</v>
      </c>
      <c r="IX128" s="504">
        <v>0</v>
      </c>
      <c r="IY128" s="504">
        <v>0</v>
      </c>
      <c r="IZ128" s="504">
        <v>0</v>
      </c>
      <c r="JA128" s="504">
        <v>0</v>
      </c>
      <c r="JB128" s="504">
        <v>0</v>
      </c>
      <c r="JC128" s="504">
        <v>0</v>
      </c>
      <c r="JD128" s="504">
        <v>0</v>
      </c>
      <c r="JE128" s="504">
        <v>0</v>
      </c>
      <c r="JF128" s="504">
        <v>0</v>
      </c>
      <c r="JG128" s="504">
        <v>0</v>
      </c>
      <c r="JH128" s="504">
        <v>0</v>
      </c>
      <c r="JI128" s="504">
        <v>0</v>
      </c>
      <c r="JJ128" s="504">
        <v>0</v>
      </c>
      <c r="JK128" s="504">
        <v>0</v>
      </c>
      <c r="JL128" s="504">
        <v>0</v>
      </c>
      <c r="JM128" s="504">
        <v>0</v>
      </c>
      <c r="JN128" s="504">
        <v>0</v>
      </c>
      <c r="JO128" s="504">
        <v>0</v>
      </c>
      <c r="JP128" s="504">
        <v>0</v>
      </c>
      <c r="JQ128" s="504">
        <v>0</v>
      </c>
      <c r="JR128" s="504">
        <v>0</v>
      </c>
      <c r="JS128" s="504">
        <v>0</v>
      </c>
      <c r="JT128" s="504">
        <v>0</v>
      </c>
      <c r="JU128" s="504">
        <v>0</v>
      </c>
      <c r="JV128" s="504">
        <v>0</v>
      </c>
      <c r="JW128" s="504">
        <v>0</v>
      </c>
      <c r="JX128" s="504">
        <v>0</v>
      </c>
      <c r="JY128" s="504">
        <v>0</v>
      </c>
      <c r="JZ128" s="504">
        <v>0</v>
      </c>
      <c r="KA128" s="504">
        <v>0</v>
      </c>
      <c r="KB128" s="504">
        <v>0</v>
      </c>
      <c r="KC128" s="504">
        <v>0</v>
      </c>
      <c r="KD128" s="504">
        <v>0</v>
      </c>
      <c r="KE128" s="504">
        <v>0</v>
      </c>
      <c r="KF128" s="504">
        <v>0</v>
      </c>
      <c r="KG128" s="504">
        <v>0</v>
      </c>
      <c r="KH128" s="504">
        <v>0</v>
      </c>
      <c r="KI128" s="504">
        <v>0</v>
      </c>
      <c r="KJ128" s="504">
        <v>0</v>
      </c>
      <c r="KK128" s="504">
        <v>0</v>
      </c>
      <c r="KL128" s="504">
        <v>0</v>
      </c>
      <c r="KM128" s="504">
        <v>0</v>
      </c>
      <c r="KN128" s="504">
        <v>0</v>
      </c>
      <c r="KO128" s="504">
        <v>0</v>
      </c>
      <c r="KP128" s="504">
        <v>0</v>
      </c>
      <c r="KQ128" s="504">
        <v>0</v>
      </c>
      <c r="KR128" s="504">
        <v>0</v>
      </c>
      <c r="KS128" s="504">
        <v>0</v>
      </c>
      <c r="KT128" s="504">
        <v>0</v>
      </c>
      <c r="KU128" s="504">
        <v>0</v>
      </c>
      <c r="KV128" s="504">
        <v>0</v>
      </c>
      <c r="KW128" s="504">
        <v>0</v>
      </c>
      <c r="KX128" s="504">
        <v>0</v>
      </c>
      <c r="KY128" s="504">
        <v>0</v>
      </c>
      <c r="KZ128" s="504">
        <v>0</v>
      </c>
      <c r="LA128" s="504">
        <v>0</v>
      </c>
      <c r="LB128" s="504">
        <v>0</v>
      </c>
      <c r="LC128" s="504">
        <v>0</v>
      </c>
      <c r="LD128" s="504">
        <v>0</v>
      </c>
      <c r="LE128" s="504">
        <v>0</v>
      </c>
      <c r="LF128" s="504">
        <v>0</v>
      </c>
      <c r="LG128" s="504">
        <v>0</v>
      </c>
      <c r="LH128" s="504">
        <v>0</v>
      </c>
      <c r="LI128" s="504">
        <v>0</v>
      </c>
      <c r="LJ128" s="504">
        <v>0</v>
      </c>
      <c r="LK128" s="504">
        <v>0</v>
      </c>
      <c r="LL128" s="504">
        <v>0</v>
      </c>
      <c r="LM128" s="504">
        <v>0</v>
      </c>
      <c r="LN128" s="504">
        <v>0</v>
      </c>
      <c r="LO128" s="504">
        <v>0</v>
      </c>
      <c r="LP128" s="504">
        <v>0</v>
      </c>
      <c r="LQ128" s="504">
        <v>0</v>
      </c>
      <c r="LR128" s="504">
        <v>0</v>
      </c>
      <c r="LS128" s="504">
        <v>0</v>
      </c>
      <c r="LT128" s="504">
        <v>0</v>
      </c>
      <c r="LU128" s="504">
        <v>0</v>
      </c>
      <c r="LV128" s="504">
        <v>0</v>
      </c>
      <c r="LW128" s="504">
        <v>0</v>
      </c>
      <c r="LX128" s="504">
        <v>0</v>
      </c>
      <c r="LY128" s="504">
        <v>0</v>
      </c>
      <c r="LZ128" s="504">
        <v>0</v>
      </c>
      <c r="MA128" s="504">
        <v>0</v>
      </c>
      <c r="MB128" s="504">
        <v>0</v>
      </c>
      <c r="MC128" s="504">
        <v>0</v>
      </c>
      <c r="MD128" s="504">
        <v>0</v>
      </c>
      <c r="ME128" s="504">
        <v>0</v>
      </c>
      <c r="MF128" s="504">
        <v>0</v>
      </c>
      <c r="MG128" s="504">
        <v>0</v>
      </c>
      <c r="MH128" s="504">
        <v>0</v>
      </c>
      <c r="MI128" s="504">
        <v>0</v>
      </c>
      <c r="MJ128" s="504">
        <v>0</v>
      </c>
      <c r="MK128" s="504">
        <v>0</v>
      </c>
      <c r="ML128" s="504">
        <v>0</v>
      </c>
      <c r="MM128" s="504">
        <v>0</v>
      </c>
      <c r="MN128" s="504">
        <v>0</v>
      </c>
      <c r="MO128" s="504">
        <v>0</v>
      </c>
      <c r="MP128" s="504">
        <v>0</v>
      </c>
      <c r="MQ128" s="504">
        <v>0</v>
      </c>
      <c r="MR128" s="504">
        <v>0</v>
      </c>
      <c r="MS128" s="504">
        <v>0</v>
      </c>
      <c r="MT128" s="504">
        <v>0</v>
      </c>
      <c r="MU128" s="504">
        <v>0</v>
      </c>
      <c r="MV128" s="504">
        <v>0</v>
      </c>
      <c r="MW128" s="504">
        <v>0</v>
      </c>
      <c r="MX128" s="504">
        <v>0</v>
      </c>
      <c r="MY128" s="504">
        <v>0</v>
      </c>
      <c r="MZ128" s="504">
        <v>0</v>
      </c>
      <c r="NA128" s="504">
        <v>0</v>
      </c>
      <c r="NB128" s="504">
        <v>0</v>
      </c>
      <c r="NC128" s="504">
        <v>0</v>
      </c>
      <c r="ND128" s="504">
        <v>0</v>
      </c>
      <c r="NE128" s="504">
        <v>0</v>
      </c>
      <c r="NF128" s="504">
        <v>0</v>
      </c>
      <c r="NG128" s="504">
        <v>0</v>
      </c>
      <c r="NH128" s="504">
        <v>0</v>
      </c>
      <c r="NI128" s="504">
        <v>0</v>
      </c>
      <c r="NJ128" s="504">
        <v>0</v>
      </c>
      <c r="NK128" s="504">
        <v>0</v>
      </c>
      <c r="NL128" s="504">
        <v>0</v>
      </c>
      <c r="NM128" s="504">
        <v>0</v>
      </c>
      <c r="NN128" s="504">
        <v>0</v>
      </c>
      <c r="NO128" s="504">
        <v>0</v>
      </c>
      <c r="NP128" s="504">
        <v>0</v>
      </c>
      <c r="NQ128" s="504">
        <v>0</v>
      </c>
      <c r="NR128" s="504">
        <v>0</v>
      </c>
      <c r="NS128" s="504">
        <v>0</v>
      </c>
      <c r="NT128" s="504">
        <v>0</v>
      </c>
      <c r="NU128" s="504">
        <v>0</v>
      </c>
      <c r="NV128" s="504">
        <v>0</v>
      </c>
      <c r="NW128" s="504">
        <v>0</v>
      </c>
      <c r="NX128" s="504">
        <v>0</v>
      </c>
      <c r="NY128" s="504">
        <v>0</v>
      </c>
      <c r="NZ128" s="504">
        <v>0</v>
      </c>
      <c r="OA128" s="504">
        <v>0</v>
      </c>
      <c r="OB128" s="504">
        <v>0</v>
      </c>
      <c r="OC128" s="504">
        <v>0</v>
      </c>
      <c r="OD128" s="504">
        <v>0</v>
      </c>
      <c r="OE128" s="504">
        <v>0</v>
      </c>
      <c r="OF128" s="504">
        <v>0</v>
      </c>
      <c r="OG128" s="504">
        <v>0</v>
      </c>
      <c r="OH128" s="504">
        <v>0</v>
      </c>
      <c r="OI128" s="504">
        <v>0</v>
      </c>
      <c r="OJ128" s="504">
        <v>0</v>
      </c>
      <c r="OK128" s="504">
        <v>0</v>
      </c>
      <c r="OL128" s="504">
        <v>0</v>
      </c>
      <c r="OM128" s="504">
        <v>0</v>
      </c>
      <c r="ON128" s="494"/>
    </row>
    <row r="129" spans="1:404" ht="18.75" customHeight="1" x14ac:dyDescent="0.4">
      <c r="A129" s="511" t="s">
        <v>399</v>
      </c>
      <c r="B129" s="512">
        <v>290</v>
      </c>
      <c r="C129" s="511" t="s">
        <v>60</v>
      </c>
      <c r="D129" s="501">
        <v>33.979999999999997</v>
      </c>
      <c r="F129" s="501">
        <v>33.97</v>
      </c>
      <c r="H129" s="501">
        <v>33.97</v>
      </c>
      <c r="J129" s="501">
        <v>33.96</v>
      </c>
      <c r="V129" s="501"/>
      <c r="W129" s="503"/>
      <c r="X129" s="501"/>
      <c r="Y129" s="503"/>
      <c r="Z129" s="501"/>
      <c r="AA129" s="503"/>
      <c r="AB129" s="495"/>
      <c r="AC129" s="504">
        <v>0</v>
      </c>
      <c r="AD129" s="504">
        <v>0</v>
      </c>
      <c r="AE129" s="504">
        <v>0</v>
      </c>
      <c r="AF129" s="504">
        <v>0</v>
      </c>
      <c r="AG129" s="504">
        <v>0</v>
      </c>
      <c r="AH129" s="504">
        <v>0</v>
      </c>
      <c r="AI129" s="504">
        <v>0</v>
      </c>
      <c r="AJ129" s="504">
        <v>0</v>
      </c>
      <c r="AK129" s="504">
        <v>0</v>
      </c>
      <c r="AL129" s="504">
        <v>0</v>
      </c>
      <c r="AM129" s="504">
        <v>0</v>
      </c>
      <c r="AN129" s="504">
        <v>0</v>
      </c>
      <c r="AO129" s="504">
        <v>0</v>
      </c>
      <c r="AP129" s="504">
        <v>0</v>
      </c>
      <c r="AQ129" s="504">
        <v>0</v>
      </c>
      <c r="AR129" s="504">
        <v>0</v>
      </c>
      <c r="AS129" s="504">
        <v>0</v>
      </c>
      <c r="AT129" s="504">
        <v>0</v>
      </c>
      <c r="AU129" s="504">
        <v>0</v>
      </c>
      <c r="AV129" s="504">
        <v>0</v>
      </c>
      <c r="AW129" s="504">
        <v>0</v>
      </c>
      <c r="AX129" s="504">
        <v>0</v>
      </c>
      <c r="AY129" s="504">
        <v>0</v>
      </c>
      <c r="AZ129" s="504">
        <v>0</v>
      </c>
      <c r="BA129" s="504">
        <v>0</v>
      </c>
      <c r="BB129" s="504">
        <v>0</v>
      </c>
      <c r="BC129" s="504">
        <v>0</v>
      </c>
      <c r="BD129" s="504">
        <v>0</v>
      </c>
      <c r="BE129" s="504">
        <v>0</v>
      </c>
      <c r="BF129" s="504">
        <v>0</v>
      </c>
      <c r="BG129" s="504">
        <v>0</v>
      </c>
      <c r="BH129" s="504">
        <v>0</v>
      </c>
      <c r="BI129" s="504">
        <v>0</v>
      </c>
      <c r="BJ129" s="504">
        <v>0</v>
      </c>
      <c r="BK129" s="504">
        <v>0</v>
      </c>
      <c r="BL129" s="504">
        <v>0</v>
      </c>
      <c r="BM129" s="504">
        <v>0</v>
      </c>
      <c r="BN129" s="504">
        <v>0</v>
      </c>
      <c r="BO129" s="504">
        <v>0</v>
      </c>
      <c r="BP129" s="504">
        <v>0</v>
      </c>
      <c r="BQ129" s="504">
        <v>0</v>
      </c>
      <c r="BR129" s="504">
        <v>0</v>
      </c>
      <c r="BS129" s="504">
        <v>0</v>
      </c>
      <c r="BT129" s="504">
        <v>0</v>
      </c>
      <c r="BU129" s="504">
        <v>0</v>
      </c>
      <c r="BV129" s="504">
        <v>0</v>
      </c>
      <c r="BW129" s="504">
        <v>0</v>
      </c>
      <c r="BX129" s="504">
        <v>0</v>
      </c>
      <c r="BY129" s="504">
        <v>0</v>
      </c>
      <c r="BZ129" s="504">
        <v>0</v>
      </c>
      <c r="CA129" s="504">
        <v>0</v>
      </c>
      <c r="CB129" s="504">
        <v>0</v>
      </c>
      <c r="CC129" s="504">
        <v>0</v>
      </c>
      <c r="CD129" s="504">
        <v>0</v>
      </c>
      <c r="CE129" s="504">
        <v>0</v>
      </c>
      <c r="CF129" s="504">
        <v>0</v>
      </c>
      <c r="CG129" s="504">
        <v>0</v>
      </c>
      <c r="CH129" s="504">
        <v>0</v>
      </c>
      <c r="CI129" s="504">
        <v>0</v>
      </c>
      <c r="CJ129" s="504">
        <v>0</v>
      </c>
      <c r="CK129" s="504">
        <v>0</v>
      </c>
      <c r="CL129" s="504">
        <v>0</v>
      </c>
      <c r="CM129" s="504">
        <v>0</v>
      </c>
      <c r="CN129" s="504">
        <v>0</v>
      </c>
      <c r="CO129" s="504">
        <v>0</v>
      </c>
      <c r="CP129" s="504">
        <v>0</v>
      </c>
      <c r="CQ129" s="504">
        <v>0</v>
      </c>
      <c r="CR129" s="504">
        <v>0</v>
      </c>
      <c r="CS129" s="504">
        <v>0</v>
      </c>
      <c r="CT129" s="504">
        <v>0</v>
      </c>
      <c r="CU129" s="504">
        <v>0</v>
      </c>
      <c r="CV129" s="504">
        <v>0</v>
      </c>
      <c r="CW129" s="504">
        <v>0</v>
      </c>
      <c r="CX129" s="504">
        <v>0</v>
      </c>
      <c r="CY129" s="504">
        <v>0</v>
      </c>
      <c r="CZ129" s="504">
        <v>0</v>
      </c>
      <c r="DA129" s="504">
        <v>0</v>
      </c>
      <c r="DB129" s="504">
        <v>0</v>
      </c>
      <c r="DC129" s="504">
        <v>0</v>
      </c>
      <c r="DD129" s="504">
        <v>0</v>
      </c>
      <c r="DE129" s="504">
        <v>0</v>
      </c>
      <c r="DF129" s="504">
        <v>0</v>
      </c>
      <c r="DG129" s="504">
        <v>0</v>
      </c>
      <c r="DH129" s="504">
        <v>0</v>
      </c>
      <c r="DI129" s="504">
        <v>0</v>
      </c>
      <c r="DJ129" s="504">
        <v>0</v>
      </c>
      <c r="DK129" s="504">
        <v>0</v>
      </c>
      <c r="DL129" s="504">
        <v>0</v>
      </c>
      <c r="DM129" s="504">
        <v>0</v>
      </c>
      <c r="DN129" s="504">
        <v>0</v>
      </c>
      <c r="DO129" s="504">
        <v>0</v>
      </c>
      <c r="DP129" s="504">
        <v>0</v>
      </c>
      <c r="DQ129" s="504">
        <v>0</v>
      </c>
      <c r="DR129" s="504">
        <v>0</v>
      </c>
      <c r="DS129" s="504">
        <v>0</v>
      </c>
      <c r="DT129" s="504">
        <v>0</v>
      </c>
      <c r="DU129" s="504">
        <v>0</v>
      </c>
      <c r="DV129" s="504">
        <v>0</v>
      </c>
      <c r="DW129" s="504">
        <v>0</v>
      </c>
      <c r="DX129" s="504">
        <v>0</v>
      </c>
      <c r="DY129" s="504">
        <v>0</v>
      </c>
      <c r="DZ129" s="504">
        <v>0</v>
      </c>
      <c r="EA129" s="504">
        <v>0</v>
      </c>
      <c r="EB129" s="504">
        <v>0</v>
      </c>
      <c r="EC129" s="504">
        <v>0</v>
      </c>
      <c r="ED129" s="504">
        <v>0</v>
      </c>
      <c r="EE129" s="504">
        <v>0</v>
      </c>
      <c r="EF129" s="504">
        <v>0</v>
      </c>
      <c r="EG129" s="504">
        <v>0</v>
      </c>
      <c r="EH129" s="504">
        <v>0</v>
      </c>
      <c r="EI129" s="504">
        <v>0</v>
      </c>
      <c r="EJ129" s="504">
        <v>0</v>
      </c>
      <c r="EK129" s="504">
        <v>0</v>
      </c>
      <c r="EL129" s="504">
        <v>0</v>
      </c>
      <c r="EM129" s="504">
        <v>0</v>
      </c>
      <c r="EN129" s="504">
        <v>0</v>
      </c>
      <c r="EO129" s="504">
        <v>0</v>
      </c>
      <c r="EP129" s="504">
        <v>0</v>
      </c>
      <c r="EQ129" s="504">
        <v>0</v>
      </c>
      <c r="ER129" s="504">
        <v>0</v>
      </c>
      <c r="ES129" s="504">
        <v>0</v>
      </c>
      <c r="ET129" s="504">
        <v>0</v>
      </c>
      <c r="EU129" s="504">
        <v>0</v>
      </c>
      <c r="EV129" s="504">
        <v>0</v>
      </c>
      <c r="EW129" s="504">
        <v>0</v>
      </c>
      <c r="EX129" s="504">
        <v>0</v>
      </c>
      <c r="EY129" s="504">
        <v>0</v>
      </c>
      <c r="EZ129" s="504">
        <v>0</v>
      </c>
      <c r="FA129" s="504">
        <v>0</v>
      </c>
      <c r="FB129" s="504">
        <v>0</v>
      </c>
      <c r="FC129" s="504">
        <v>0</v>
      </c>
      <c r="FD129" s="504">
        <v>0</v>
      </c>
      <c r="FE129" s="504">
        <v>0</v>
      </c>
      <c r="FF129" s="504">
        <v>0</v>
      </c>
      <c r="FG129" s="504">
        <v>0</v>
      </c>
      <c r="FH129" s="504">
        <v>0</v>
      </c>
      <c r="FI129" s="504">
        <v>0</v>
      </c>
      <c r="FJ129" s="504">
        <v>0</v>
      </c>
      <c r="FK129" s="504">
        <v>0</v>
      </c>
      <c r="FL129" s="504">
        <v>0</v>
      </c>
      <c r="FM129" s="504">
        <v>0</v>
      </c>
      <c r="FN129" s="504">
        <v>0</v>
      </c>
      <c r="FO129" s="504">
        <v>0</v>
      </c>
      <c r="FP129" s="504">
        <v>0</v>
      </c>
      <c r="FQ129" s="504">
        <v>0</v>
      </c>
      <c r="FR129" s="504">
        <v>0</v>
      </c>
      <c r="FS129" s="504">
        <v>0</v>
      </c>
      <c r="FT129" s="504">
        <v>0</v>
      </c>
      <c r="FU129" s="504">
        <v>0</v>
      </c>
      <c r="FV129" s="504">
        <v>0</v>
      </c>
      <c r="FW129" s="504">
        <v>0</v>
      </c>
      <c r="FX129" s="504">
        <v>0</v>
      </c>
      <c r="FY129" s="504">
        <v>0</v>
      </c>
      <c r="FZ129" s="504">
        <v>0</v>
      </c>
      <c r="GA129" s="504">
        <v>0</v>
      </c>
      <c r="GB129" s="504">
        <v>0</v>
      </c>
      <c r="GC129" s="504">
        <v>0</v>
      </c>
      <c r="GD129" s="504">
        <v>0</v>
      </c>
      <c r="GE129" s="504">
        <v>0</v>
      </c>
      <c r="GF129" s="504">
        <v>0</v>
      </c>
      <c r="GG129" s="504">
        <v>0</v>
      </c>
      <c r="GH129" s="504">
        <v>0</v>
      </c>
      <c r="GI129" s="504">
        <v>0</v>
      </c>
      <c r="GJ129" s="504">
        <v>0</v>
      </c>
      <c r="GK129" s="504">
        <v>0</v>
      </c>
      <c r="GL129" s="504">
        <v>0</v>
      </c>
      <c r="GM129" s="504">
        <v>0</v>
      </c>
      <c r="GN129" s="504">
        <v>0</v>
      </c>
      <c r="GO129" s="504">
        <v>0</v>
      </c>
      <c r="GP129" s="504">
        <v>0</v>
      </c>
      <c r="GQ129" s="504">
        <v>0</v>
      </c>
      <c r="GR129" s="504">
        <v>0</v>
      </c>
      <c r="GS129" s="504">
        <v>0</v>
      </c>
      <c r="GT129" s="504">
        <v>0</v>
      </c>
      <c r="GU129" s="504">
        <v>0</v>
      </c>
      <c r="GV129" s="504">
        <v>0</v>
      </c>
      <c r="GW129" s="504">
        <v>0</v>
      </c>
      <c r="GX129" s="504">
        <v>0</v>
      </c>
      <c r="GY129" s="504">
        <v>0</v>
      </c>
      <c r="GZ129" s="504">
        <v>0</v>
      </c>
      <c r="HA129" s="504">
        <v>0</v>
      </c>
      <c r="HB129" s="504">
        <v>0</v>
      </c>
      <c r="HC129" s="504">
        <v>0</v>
      </c>
      <c r="HD129" s="504">
        <v>0</v>
      </c>
      <c r="HE129" s="504">
        <v>0</v>
      </c>
      <c r="HF129" s="504">
        <v>0</v>
      </c>
      <c r="HG129" s="504">
        <v>0</v>
      </c>
      <c r="HH129" s="504">
        <v>0</v>
      </c>
      <c r="HI129" s="504">
        <v>0</v>
      </c>
      <c r="HJ129" s="504">
        <v>0</v>
      </c>
      <c r="HK129" s="504">
        <v>0</v>
      </c>
      <c r="HL129" s="504">
        <v>0</v>
      </c>
      <c r="HM129" s="504">
        <v>0</v>
      </c>
      <c r="HN129" s="504">
        <v>0</v>
      </c>
      <c r="HO129" s="504">
        <v>0</v>
      </c>
      <c r="HP129" s="504">
        <v>0</v>
      </c>
      <c r="HQ129" s="504">
        <v>0</v>
      </c>
      <c r="HR129" s="504">
        <v>0</v>
      </c>
      <c r="HS129" s="504">
        <v>0</v>
      </c>
      <c r="HT129" s="504">
        <v>0</v>
      </c>
      <c r="HU129" s="504">
        <v>0</v>
      </c>
      <c r="HV129" s="504">
        <v>0</v>
      </c>
      <c r="HW129" s="504">
        <v>0</v>
      </c>
      <c r="HX129" s="504">
        <v>0</v>
      </c>
      <c r="HY129" s="504">
        <v>0</v>
      </c>
      <c r="HZ129" s="504">
        <v>0</v>
      </c>
      <c r="IA129" s="504">
        <v>0</v>
      </c>
      <c r="IB129" s="504">
        <v>0</v>
      </c>
      <c r="IC129" s="504">
        <v>0</v>
      </c>
      <c r="ID129" s="504">
        <v>0</v>
      </c>
      <c r="IE129" s="504">
        <v>0</v>
      </c>
      <c r="IF129" s="504">
        <v>0</v>
      </c>
      <c r="IG129" s="504">
        <v>0</v>
      </c>
      <c r="IH129" s="504">
        <v>0</v>
      </c>
      <c r="II129" s="504">
        <v>0</v>
      </c>
      <c r="IJ129" s="504">
        <v>0</v>
      </c>
      <c r="IK129" s="504">
        <v>0</v>
      </c>
      <c r="IL129" s="504">
        <v>0</v>
      </c>
      <c r="IM129" s="504">
        <v>0</v>
      </c>
      <c r="IN129" s="504">
        <v>0</v>
      </c>
      <c r="IO129" s="504">
        <v>0</v>
      </c>
      <c r="IP129" s="504">
        <v>0</v>
      </c>
      <c r="IQ129" s="504">
        <v>0</v>
      </c>
      <c r="IR129" s="504">
        <v>0</v>
      </c>
      <c r="IS129" s="504">
        <v>0</v>
      </c>
      <c r="IT129" s="504">
        <v>0</v>
      </c>
      <c r="IU129" s="504">
        <v>0</v>
      </c>
      <c r="IV129" s="504">
        <v>0</v>
      </c>
      <c r="IW129" s="504">
        <v>0</v>
      </c>
      <c r="IX129" s="504">
        <v>0</v>
      </c>
      <c r="IY129" s="504">
        <v>0</v>
      </c>
      <c r="IZ129" s="504">
        <v>0</v>
      </c>
      <c r="JA129" s="504">
        <v>0</v>
      </c>
      <c r="JB129" s="504">
        <v>0</v>
      </c>
      <c r="JC129" s="504">
        <v>0</v>
      </c>
      <c r="JD129" s="504">
        <v>0</v>
      </c>
      <c r="JE129" s="504">
        <v>0</v>
      </c>
      <c r="JF129" s="504">
        <v>0</v>
      </c>
      <c r="JG129" s="504">
        <v>0</v>
      </c>
      <c r="JH129" s="504">
        <v>0</v>
      </c>
      <c r="JI129" s="504">
        <v>0</v>
      </c>
      <c r="JJ129" s="504">
        <v>0</v>
      </c>
      <c r="JK129" s="504">
        <v>0</v>
      </c>
      <c r="JL129" s="504">
        <v>0</v>
      </c>
      <c r="JM129" s="504">
        <v>0</v>
      </c>
      <c r="JN129" s="504">
        <v>0</v>
      </c>
      <c r="JO129" s="504">
        <v>0</v>
      </c>
      <c r="JP129" s="504">
        <v>0</v>
      </c>
      <c r="JQ129" s="504">
        <v>0</v>
      </c>
      <c r="JR129" s="504">
        <v>0</v>
      </c>
      <c r="JS129" s="504">
        <v>0</v>
      </c>
      <c r="JT129" s="504">
        <v>0</v>
      </c>
      <c r="JU129" s="504">
        <v>0</v>
      </c>
      <c r="JV129" s="504">
        <v>0</v>
      </c>
      <c r="JW129" s="504">
        <v>0</v>
      </c>
      <c r="JX129" s="504">
        <v>0</v>
      </c>
      <c r="JY129" s="504">
        <v>0</v>
      </c>
      <c r="JZ129" s="504">
        <v>0</v>
      </c>
      <c r="KA129" s="504">
        <v>0</v>
      </c>
      <c r="KB129" s="504">
        <v>0</v>
      </c>
      <c r="KC129" s="504">
        <v>0</v>
      </c>
      <c r="KD129" s="504">
        <v>0</v>
      </c>
      <c r="KE129" s="504">
        <v>0</v>
      </c>
      <c r="KF129" s="504">
        <v>0</v>
      </c>
      <c r="KG129" s="504">
        <v>0</v>
      </c>
      <c r="KH129" s="504">
        <v>0</v>
      </c>
      <c r="KI129" s="504">
        <v>0</v>
      </c>
      <c r="KJ129" s="504">
        <v>0</v>
      </c>
      <c r="KK129" s="504">
        <v>0</v>
      </c>
      <c r="KL129" s="504">
        <v>0</v>
      </c>
      <c r="KM129" s="504">
        <v>0</v>
      </c>
      <c r="KN129" s="504">
        <v>0</v>
      </c>
      <c r="KO129" s="504">
        <v>0</v>
      </c>
      <c r="KP129" s="504">
        <v>0</v>
      </c>
      <c r="KQ129" s="504">
        <v>0</v>
      </c>
      <c r="KR129" s="504">
        <v>0</v>
      </c>
      <c r="KS129" s="504">
        <v>0</v>
      </c>
      <c r="KT129" s="504">
        <v>0</v>
      </c>
      <c r="KU129" s="504">
        <v>0</v>
      </c>
      <c r="KV129" s="504">
        <v>0</v>
      </c>
      <c r="KW129" s="504">
        <v>0</v>
      </c>
      <c r="KX129" s="504">
        <v>0</v>
      </c>
      <c r="KY129" s="504">
        <v>0</v>
      </c>
      <c r="KZ129" s="504">
        <v>0</v>
      </c>
      <c r="LA129" s="504">
        <v>0</v>
      </c>
      <c r="LB129" s="504">
        <v>0</v>
      </c>
      <c r="LC129" s="504">
        <v>0</v>
      </c>
      <c r="LD129" s="504">
        <v>0</v>
      </c>
      <c r="LE129" s="504">
        <v>0</v>
      </c>
      <c r="LF129" s="504">
        <v>0</v>
      </c>
      <c r="LG129" s="504">
        <v>0</v>
      </c>
      <c r="LH129" s="504">
        <v>0</v>
      </c>
      <c r="LI129" s="504">
        <v>0</v>
      </c>
      <c r="LJ129" s="504">
        <v>0</v>
      </c>
      <c r="LK129" s="504">
        <v>0</v>
      </c>
      <c r="LL129" s="504">
        <v>0</v>
      </c>
      <c r="LM129" s="504">
        <v>0</v>
      </c>
      <c r="LN129" s="504">
        <v>0</v>
      </c>
      <c r="LO129" s="504">
        <v>0</v>
      </c>
      <c r="LP129" s="504">
        <v>0</v>
      </c>
      <c r="LQ129" s="504">
        <v>0</v>
      </c>
      <c r="LR129" s="504">
        <v>0</v>
      </c>
      <c r="LS129" s="504">
        <v>0</v>
      </c>
      <c r="LT129" s="504">
        <v>0</v>
      </c>
      <c r="LU129" s="504">
        <v>0</v>
      </c>
      <c r="LV129" s="504">
        <v>0</v>
      </c>
      <c r="LW129" s="504">
        <v>0</v>
      </c>
      <c r="LX129" s="504">
        <v>0</v>
      </c>
      <c r="LY129" s="504">
        <v>0</v>
      </c>
      <c r="LZ129" s="504">
        <v>0</v>
      </c>
      <c r="MA129" s="504">
        <v>0</v>
      </c>
      <c r="MB129" s="504">
        <v>0</v>
      </c>
      <c r="MC129" s="504">
        <v>0</v>
      </c>
      <c r="MD129" s="504">
        <v>0</v>
      </c>
      <c r="ME129" s="504">
        <v>0</v>
      </c>
      <c r="MF129" s="504">
        <v>0</v>
      </c>
      <c r="MG129" s="504">
        <v>0</v>
      </c>
      <c r="MH129" s="504">
        <v>0</v>
      </c>
      <c r="MI129" s="504">
        <v>0</v>
      </c>
      <c r="MJ129" s="504">
        <v>0</v>
      </c>
      <c r="MK129" s="504">
        <v>0</v>
      </c>
      <c r="ML129" s="504">
        <v>0</v>
      </c>
      <c r="MM129" s="504">
        <v>0</v>
      </c>
      <c r="MN129" s="504">
        <v>0</v>
      </c>
      <c r="MO129" s="504">
        <v>0</v>
      </c>
      <c r="MP129" s="504">
        <v>0</v>
      </c>
      <c r="MQ129" s="504">
        <v>0</v>
      </c>
      <c r="MR129" s="504">
        <v>0</v>
      </c>
      <c r="MS129" s="504">
        <v>0</v>
      </c>
      <c r="MT129" s="504">
        <v>0</v>
      </c>
      <c r="MU129" s="504">
        <v>0</v>
      </c>
      <c r="MV129" s="504">
        <v>0</v>
      </c>
      <c r="MW129" s="504">
        <v>0</v>
      </c>
      <c r="MX129" s="504">
        <v>0</v>
      </c>
      <c r="MY129" s="504">
        <v>0</v>
      </c>
      <c r="MZ129" s="504">
        <v>0</v>
      </c>
      <c r="NA129" s="504">
        <v>0</v>
      </c>
      <c r="NB129" s="504">
        <v>0</v>
      </c>
      <c r="NC129" s="504">
        <v>0</v>
      </c>
      <c r="ND129" s="504">
        <v>0</v>
      </c>
      <c r="NE129" s="504">
        <v>0</v>
      </c>
      <c r="NF129" s="504">
        <v>0</v>
      </c>
      <c r="NG129" s="504">
        <v>0</v>
      </c>
      <c r="NH129" s="504">
        <v>0</v>
      </c>
      <c r="NI129" s="504">
        <v>0</v>
      </c>
      <c r="NJ129" s="504">
        <v>0</v>
      </c>
      <c r="NK129" s="504">
        <v>0</v>
      </c>
      <c r="NL129" s="504">
        <v>0</v>
      </c>
      <c r="NM129" s="504">
        <v>0</v>
      </c>
      <c r="NN129" s="504">
        <v>0</v>
      </c>
      <c r="NO129" s="504">
        <v>0</v>
      </c>
      <c r="NP129" s="504">
        <v>0</v>
      </c>
      <c r="NQ129" s="504">
        <v>0</v>
      </c>
      <c r="NR129" s="504">
        <v>0</v>
      </c>
      <c r="NS129" s="504">
        <v>0</v>
      </c>
      <c r="NT129" s="504">
        <v>0</v>
      </c>
      <c r="NU129" s="504">
        <v>0</v>
      </c>
      <c r="NV129" s="504">
        <v>0</v>
      </c>
      <c r="NW129" s="504">
        <v>0</v>
      </c>
      <c r="NX129" s="504">
        <v>0</v>
      </c>
      <c r="NY129" s="504">
        <v>0</v>
      </c>
      <c r="NZ129" s="504">
        <v>0</v>
      </c>
      <c r="OA129" s="504">
        <v>0</v>
      </c>
      <c r="OB129" s="504">
        <v>0</v>
      </c>
      <c r="OC129" s="504">
        <v>0</v>
      </c>
      <c r="OD129" s="504">
        <v>0</v>
      </c>
      <c r="OE129" s="504">
        <v>0</v>
      </c>
      <c r="OF129" s="504">
        <v>0</v>
      </c>
      <c r="OG129" s="504">
        <v>0</v>
      </c>
      <c r="OH129" s="504">
        <v>0</v>
      </c>
      <c r="OI129" s="504">
        <v>0</v>
      </c>
      <c r="OJ129" s="504">
        <v>0</v>
      </c>
      <c r="OK129" s="504">
        <v>0</v>
      </c>
      <c r="OL129" s="504">
        <v>0</v>
      </c>
      <c r="OM129" s="504">
        <v>0</v>
      </c>
      <c r="ON129" s="494"/>
    </row>
    <row r="130" spans="1:404" ht="18.75" customHeight="1" x14ac:dyDescent="0.4">
      <c r="A130" s="511" t="s">
        <v>400</v>
      </c>
      <c r="B130" s="512">
        <v>220</v>
      </c>
      <c r="C130" s="511" t="s">
        <v>94</v>
      </c>
      <c r="D130" s="501">
        <v>34.53</v>
      </c>
      <c r="E130" s="502">
        <v>1968359</v>
      </c>
      <c r="F130" s="501">
        <v>34.51</v>
      </c>
      <c r="G130" s="502">
        <v>684851</v>
      </c>
      <c r="H130" s="501">
        <v>34.520000000000003</v>
      </c>
      <c r="I130" s="502">
        <v>1825552</v>
      </c>
      <c r="J130" s="501">
        <v>34.520000000000003</v>
      </c>
      <c r="K130" s="502">
        <v>1914676</v>
      </c>
      <c r="V130" s="501"/>
      <c r="W130" s="503"/>
      <c r="X130" s="501"/>
      <c r="Y130" s="503"/>
      <c r="Z130" s="501"/>
      <c r="AA130" s="503"/>
      <c r="AB130" s="495"/>
      <c r="AC130" s="504">
        <v>0</v>
      </c>
      <c r="AD130" s="504">
        <v>0</v>
      </c>
      <c r="AE130" s="504">
        <v>0</v>
      </c>
      <c r="AF130" s="504">
        <v>0</v>
      </c>
      <c r="AG130" s="504">
        <v>0</v>
      </c>
      <c r="AH130" s="504">
        <v>0</v>
      </c>
      <c r="AI130" s="504">
        <v>0</v>
      </c>
      <c r="AJ130" s="504">
        <v>0</v>
      </c>
      <c r="AK130" s="504">
        <v>0</v>
      </c>
      <c r="AL130" s="504">
        <v>0</v>
      </c>
      <c r="AM130" s="504">
        <v>0</v>
      </c>
      <c r="AN130" s="504">
        <v>0</v>
      </c>
      <c r="AO130" s="504">
        <v>0</v>
      </c>
      <c r="AP130" s="504">
        <v>0</v>
      </c>
      <c r="AQ130" s="504">
        <v>0</v>
      </c>
      <c r="AR130" s="504">
        <v>0</v>
      </c>
      <c r="AS130" s="504">
        <v>0</v>
      </c>
      <c r="AT130" s="504">
        <v>0</v>
      </c>
      <c r="AU130" s="504">
        <v>0</v>
      </c>
      <c r="AV130" s="504">
        <v>0</v>
      </c>
      <c r="AW130" s="504">
        <v>0</v>
      </c>
      <c r="AX130" s="504">
        <v>0</v>
      </c>
      <c r="AY130" s="504">
        <v>0</v>
      </c>
      <c r="AZ130" s="504">
        <v>0</v>
      </c>
      <c r="BA130" s="504">
        <v>0</v>
      </c>
      <c r="BB130" s="504">
        <v>0</v>
      </c>
      <c r="BC130" s="504">
        <v>0</v>
      </c>
      <c r="BD130" s="504">
        <v>0</v>
      </c>
      <c r="BE130" s="504">
        <v>0</v>
      </c>
      <c r="BF130" s="504">
        <v>0</v>
      </c>
      <c r="BG130" s="504">
        <v>0</v>
      </c>
      <c r="BH130" s="504">
        <v>0</v>
      </c>
      <c r="BI130" s="504">
        <v>0</v>
      </c>
      <c r="BJ130" s="504">
        <v>0</v>
      </c>
      <c r="BK130" s="504">
        <v>0</v>
      </c>
      <c r="BL130" s="504">
        <v>0</v>
      </c>
      <c r="BM130" s="504">
        <v>0</v>
      </c>
      <c r="BN130" s="504">
        <v>0</v>
      </c>
      <c r="BO130" s="504">
        <v>0</v>
      </c>
      <c r="BP130" s="504">
        <v>0</v>
      </c>
      <c r="BQ130" s="504">
        <v>0</v>
      </c>
      <c r="BR130" s="504">
        <v>0</v>
      </c>
      <c r="BS130" s="504">
        <v>0</v>
      </c>
      <c r="BT130" s="504">
        <v>0</v>
      </c>
      <c r="BU130" s="504">
        <v>0</v>
      </c>
      <c r="BV130" s="504">
        <v>0</v>
      </c>
      <c r="BW130" s="504">
        <v>0</v>
      </c>
      <c r="BX130" s="504">
        <v>0</v>
      </c>
      <c r="BY130" s="504">
        <v>0</v>
      </c>
      <c r="BZ130" s="504">
        <v>0</v>
      </c>
      <c r="CA130" s="504">
        <v>0</v>
      </c>
      <c r="CB130" s="504">
        <v>0</v>
      </c>
      <c r="CC130" s="504">
        <v>0</v>
      </c>
      <c r="CD130" s="504">
        <v>0</v>
      </c>
      <c r="CE130" s="504">
        <v>0</v>
      </c>
      <c r="CF130" s="504">
        <v>0</v>
      </c>
      <c r="CG130" s="504">
        <v>0</v>
      </c>
      <c r="CH130" s="504">
        <v>0</v>
      </c>
      <c r="CI130" s="504">
        <v>0</v>
      </c>
      <c r="CJ130" s="504">
        <v>0</v>
      </c>
      <c r="CK130" s="504">
        <v>0</v>
      </c>
      <c r="CL130" s="504">
        <v>0</v>
      </c>
      <c r="CM130" s="504">
        <v>0</v>
      </c>
      <c r="CN130" s="504">
        <v>0</v>
      </c>
      <c r="CO130" s="504">
        <v>0</v>
      </c>
      <c r="CP130" s="504">
        <v>0</v>
      </c>
      <c r="CQ130" s="504">
        <v>0</v>
      </c>
      <c r="CR130" s="504">
        <v>0</v>
      </c>
      <c r="CS130" s="504">
        <v>0</v>
      </c>
      <c r="CT130" s="504">
        <v>0</v>
      </c>
      <c r="CU130" s="504">
        <v>0</v>
      </c>
      <c r="CV130" s="504">
        <v>0</v>
      </c>
      <c r="CW130" s="504">
        <v>0</v>
      </c>
      <c r="CX130" s="504">
        <v>0</v>
      </c>
      <c r="CY130" s="504">
        <v>0</v>
      </c>
      <c r="CZ130" s="504">
        <v>0</v>
      </c>
      <c r="DA130" s="504">
        <v>0</v>
      </c>
      <c r="DB130" s="504">
        <v>0</v>
      </c>
      <c r="DC130" s="504">
        <v>0</v>
      </c>
      <c r="DD130" s="504">
        <v>0</v>
      </c>
      <c r="DE130" s="504">
        <v>0</v>
      </c>
      <c r="DF130" s="504">
        <v>0</v>
      </c>
      <c r="DG130" s="504">
        <v>0</v>
      </c>
      <c r="DH130" s="504">
        <v>0</v>
      </c>
      <c r="DI130" s="504">
        <v>0</v>
      </c>
      <c r="DJ130" s="504">
        <v>0</v>
      </c>
      <c r="DK130" s="504">
        <v>0</v>
      </c>
      <c r="DL130" s="504">
        <v>0</v>
      </c>
      <c r="DM130" s="504">
        <v>0</v>
      </c>
      <c r="DN130" s="504">
        <v>0</v>
      </c>
      <c r="DO130" s="504">
        <v>0</v>
      </c>
      <c r="DP130" s="504">
        <v>0</v>
      </c>
      <c r="DQ130" s="504">
        <v>0</v>
      </c>
      <c r="DR130" s="504">
        <v>0</v>
      </c>
      <c r="DS130" s="504">
        <v>0</v>
      </c>
      <c r="DT130" s="504">
        <v>0</v>
      </c>
      <c r="DU130" s="504">
        <v>0</v>
      </c>
      <c r="DV130" s="504">
        <v>0</v>
      </c>
      <c r="DW130" s="504">
        <v>0</v>
      </c>
      <c r="DX130" s="504">
        <v>0</v>
      </c>
      <c r="DY130" s="504">
        <v>0</v>
      </c>
      <c r="DZ130" s="504">
        <v>0</v>
      </c>
      <c r="EA130" s="504">
        <v>0</v>
      </c>
      <c r="EB130" s="504">
        <v>0</v>
      </c>
      <c r="EC130" s="504">
        <v>0</v>
      </c>
      <c r="ED130" s="504">
        <v>0</v>
      </c>
      <c r="EE130" s="504">
        <v>0</v>
      </c>
      <c r="EF130" s="504">
        <v>0</v>
      </c>
      <c r="EG130" s="504">
        <v>0</v>
      </c>
      <c r="EH130" s="504">
        <v>0</v>
      </c>
      <c r="EI130" s="504">
        <v>0</v>
      </c>
      <c r="EJ130" s="504">
        <v>0</v>
      </c>
      <c r="EK130" s="504">
        <v>0</v>
      </c>
      <c r="EL130" s="504">
        <v>0</v>
      </c>
      <c r="EM130" s="504">
        <v>0</v>
      </c>
      <c r="EN130" s="504">
        <v>0</v>
      </c>
      <c r="EO130" s="504">
        <v>0</v>
      </c>
      <c r="EP130" s="504">
        <v>0</v>
      </c>
      <c r="EQ130" s="504">
        <v>0</v>
      </c>
      <c r="ER130" s="504">
        <v>0</v>
      </c>
      <c r="ES130" s="504">
        <v>0</v>
      </c>
      <c r="ET130" s="504">
        <v>0</v>
      </c>
      <c r="EU130" s="504">
        <v>0</v>
      </c>
      <c r="EV130" s="504">
        <v>0</v>
      </c>
      <c r="EW130" s="504">
        <v>0</v>
      </c>
      <c r="EX130" s="504">
        <v>0</v>
      </c>
      <c r="EY130" s="504">
        <v>0</v>
      </c>
      <c r="EZ130" s="504">
        <v>0</v>
      </c>
      <c r="FA130" s="504">
        <v>0</v>
      </c>
      <c r="FB130" s="504">
        <v>0</v>
      </c>
      <c r="FC130" s="504">
        <v>0</v>
      </c>
      <c r="FD130" s="504">
        <v>0</v>
      </c>
      <c r="FE130" s="504">
        <v>0</v>
      </c>
      <c r="FF130" s="504">
        <v>0</v>
      </c>
      <c r="FG130" s="504">
        <v>0</v>
      </c>
      <c r="FH130" s="504">
        <v>0</v>
      </c>
      <c r="FI130" s="504">
        <v>0</v>
      </c>
      <c r="FJ130" s="504">
        <v>0</v>
      </c>
      <c r="FK130" s="504">
        <v>0</v>
      </c>
      <c r="FL130" s="504">
        <v>0</v>
      </c>
      <c r="FM130" s="504">
        <v>0</v>
      </c>
      <c r="FN130" s="504">
        <v>0</v>
      </c>
      <c r="FO130" s="504">
        <v>0</v>
      </c>
      <c r="FP130" s="504">
        <v>0</v>
      </c>
      <c r="FQ130" s="504">
        <v>0</v>
      </c>
      <c r="FR130" s="504">
        <v>0</v>
      </c>
      <c r="FS130" s="504">
        <v>0</v>
      </c>
      <c r="FT130" s="504">
        <v>0</v>
      </c>
      <c r="FU130" s="504">
        <v>0</v>
      </c>
      <c r="FV130" s="504">
        <v>0</v>
      </c>
      <c r="FW130" s="504">
        <v>0</v>
      </c>
      <c r="FX130" s="504">
        <v>0</v>
      </c>
      <c r="FY130" s="504">
        <v>0</v>
      </c>
      <c r="FZ130" s="504">
        <v>0</v>
      </c>
      <c r="GA130" s="504">
        <v>0</v>
      </c>
      <c r="GB130" s="504">
        <v>0</v>
      </c>
      <c r="GC130" s="504">
        <v>0</v>
      </c>
      <c r="GD130" s="504">
        <v>0</v>
      </c>
      <c r="GE130" s="504">
        <v>0</v>
      </c>
      <c r="GF130" s="504">
        <v>0</v>
      </c>
      <c r="GG130" s="504">
        <v>0</v>
      </c>
      <c r="GH130" s="504">
        <v>0</v>
      </c>
      <c r="GI130" s="504">
        <v>0</v>
      </c>
      <c r="GJ130" s="504">
        <v>0</v>
      </c>
      <c r="GK130" s="504">
        <v>0</v>
      </c>
      <c r="GL130" s="504">
        <v>0</v>
      </c>
      <c r="GM130" s="504">
        <v>0</v>
      </c>
      <c r="GN130" s="504">
        <v>0</v>
      </c>
      <c r="GO130" s="504">
        <v>0</v>
      </c>
      <c r="GP130" s="504">
        <v>0</v>
      </c>
      <c r="GQ130" s="504">
        <v>0</v>
      </c>
      <c r="GR130" s="504">
        <v>0</v>
      </c>
      <c r="GS130" s="504">
        <v>0</v>
      </c>
      <c r="GT130" s="504">
        <v>0</v>
      </c>
      <c r="GU130" s="504">
        <v>0</v>
      </c>
      <c r="GV130" s="504">
        <v>0</v>
      </c>
      <c r="GW130" s="504">
        <v>0</v>
      </c>
      <c r="GX130" s="504">
        <v>0</v>
      </c>
      <c r="GY130" s="504">
        <v>0</v>
      </c>
      <c r="GZ130" s="504">
        <v>0</v>
      </c>
      <c r="HA130" s="504">
        <v>0</v>
      </c>
      <c r="HB130" s="504">
        <v>0</v>
      </c>
      <c r="HC130" s="504">
        <v>0</v>
      </c>
      <c r="HD130" s="504">
        <v>0</v>
      </c>
      <c r="HE130" s="504">
        <v>0</v>
      </c>
      <c r="HF130" s="504">
        <v>0</v>
      </c>
      <c r="HG130" s="504">
        <v>0</v>
      </c>
      <c r="HH130" s="504">
        <v>0</v>
      </c>
      <c r="HI130" s="504">
        <v>0</v>
      </c>
      <c r="HJ130" s="504">
        <v>0</v>
      </c>
      <c r="HK130" s="504">
        <v>0</v>
      </c>
      <c r="HL130" s="504">
        <v>0</v>
      </c>
      <c r="HM130" s="504">
        <v>0</v>
      </c>
      <c r="HN130" s="504">
        <v>0</v>
      </c>
      <c r="HO130" s="504">
        <v>0</v>
      </c>
      <c r="HP130" s="504">
        <v>0</v>
      </c>
      <c r="HQ130" s="504">
        <v>0</v>
      </c>
      <c r="HR130" s="504">
        <v>0</v>
      </c>
      <c r="HS130" s="504">
        <v>0</v>
      </c>
      <c r="HT130" s="504">
        <v>0</v>
      </c>
      <c r="HU130" s="504">
        <v>0</v>
      </c>
      <c r="HV130" s="504">
        <v>0</v>
      </c>
      <c r="HW130" s="504">
        <v>0</v>
      </c>
      <c r="HX130" s="504">
        <v>0</v>
      </c>
      <c r="HY130" s="504">
        <v>0</v>
      </c>
      <c r="HZ130" s="504">
        <v>0</v>
      </c>
      <c r="IA130" s="504">
        <v>0</v>
      </c>
      <c r="IB130" s="504">
        <v>0</v>
      </c>
      <c r="IC130" s="504">
        <v>0</v>
      </c>
      <c r="ID130" s="504">
        <v>0</v>
      </c>
      <c r="IE130" s="504">
        <v>0</v>
      </c>
      <c r="IF130" s="504">
        <v>0</v>
      </c>
      <c r="IG130" s="504">
        <v>0</v>
      </c>
      <c r="IH130" s="504">
        <v>0</v>
      </c>
      <c r="II130" s="504">
        <v>0</v>
      </c>
      <c r="IJ130" s="504">
        <v>0</v>
      </c>
      <c r="IK130" s="504">
        <v>0</v>
      </c>
      <c r="IL130" s="504">
        <v>0</v>
      </c>
      <c r="IM130" s="504">
        <v>0</v>
      </c>
      <c r="IN130" s="504">
        <v>0</v>
      </c>
      <c r="IO130" s="504">
        <v>0</v>
      </c>
      <c r="IP130" s="504">
        <v>0</v>
      </c>
      <c r="IQ130" s="504">
        <v>0</v>
      </c>
      <c r="IR130" s="504">
        <v>0</v>
      </c>
      <c r="IS130" s="504">
        <v>0</v>
      </c>
      <c r="IT130" s="504">
        <v>0</v>
      </c>
      <c r="IU130" s="504">
        <v>0</v>
      </c>
      <c r="IV130" s="504">
        <v>0</v>
      </c>
      <c r="IW130" s="504">
        <v>0</v>
      </c>
      <c r="IX130" s="504">
        <v>0</v>
      </c>
      <c r="IY130" s="504">
        <v>0</v>
      </c>
      <c r="IZ130" s="504">
        <v>0</v>
      </c>
      <c r="JA130" s="504">
        <v>0</v>
      </c>
      <c r="JB130" s="504">
        <v>0</v>
      </c>
      <c r="JC130" s="504">
        <v>0</v>
      </c>
      <c r="JD130" s="504">
        <v>0</v>
      </c>
      <c r="JE130" s="504">
        <v>0</v>
      </c>
      <c r="JF130" s="504">
        <v>0</v>
      </c>
      <c r="JG130" s="504">
        <v>0</v>
      </c>
      <c r="JH130" s="504">
        <v>0</v>
      </c>
      <c r="JI130" s="504">
        <v>0</v>
      </c>
      <c r="JJ130" s="504">
        <v>0</v>
      </c>
      <c r="JK130" s="504">
        <v>0</v>
      </c>
      <c r="JL130" s="504">
        <v>0</v>
      </c>
      <c r="JM130" s="504">
        <v>0</v>
      </c>
      <c r="JN130" s="504">
        <v>0</v>
      </c>
      <c r="JO130" s="504">
        <v>0</v>
      </c>
      <c r="JP130" s="504">
        <v>0</v>
      </c>
      <c r="JQ130" s="504">
        <v>0</v>
      </c>
      <c r="JR130" s="504">
        <v>0</v>
      </c>
      <c r="JS130" s="504">
        <v>0</v>
      </c>
      <c r="JT130" s="504">
        <v>0</v>
      </c>
      <c r="JU130" s="504">
        <v>0</v>
      </c>
      <c r="JV130" s="504">
        <v>0</v>
      </c>
      <c r="JW130" s="504">
        <v>0</v>
      </c>
      <c r="JX130" s="504">
        <v>0</v>
      </c>
      <c r="JY130" s="504">
        <v>0</v>
      </c>
      <c r="JZ130" s="504">
        <v>0</v>
      </c>
      <c r="KA130" s="504">
        <v>0</v>
      </c>
      <c r="KB130" s="504">
        <v>0</v>
      </c>
      <c r="KC130" s="504">
        <v>0</v>
      </c>
      <c r="KD130" s="504">
        <v>0</v>
      </c>
      <c r="KE130" s="504">
        <v>0</v>
      </c>
      <c r="KF130" s="504">
        <v>0</v>
      </c>
      <c r="KG130" s="504">
        <v>0</v>
      </c>
      <c r="KH130" s="504">
        <v>0</v>
      </c>
      <c r="KI130" s="504">
        <v>0</v>
      </c>
      <c r="KJ130" s="504">
        <v>0</v>
      </c>
      <c r="KK130" s="504">
        <v>0</v>
      </c>
      <c r="KL130" s="504">
        <v>0</v>
      </c>
      <c r="KM130" s="504">
        <v>0</v>
      </c>
      <c r="KN130" s="504">
        <v>0</v>
      </c>
      <c r="KO130" s="504">
        <v>0</v>
      </c>
      <c r="KP130" s="504">
        <v>0</v>
      </c>
      <c r="KQ130" s="504">
        <v>0</v>
      </c>
      <c r="KR130" s="504">
        <v>0</v>
      </c>
      <c r="KS130" s="504">
        <v>0</v>
      </c>
      <c r="KT130" s="504">
        <v>0</v>
      </c>
      <c r="KU130" s="504">
        <v>0</v>
      </c>
      <c r="KV130" s="504">
        <v>0</v>
      </c>
      <c r="KW130" s="504">
        <v>0</v>
      </c>
      <c r="KX130" s="504">
        <v>0</v>
      </c>
      <c r="KY130" s="504">
        <v>0</v>
      </c>
      <c r="KZ130" s="504">
        <v>0</v>
      </c>
      <c r="LA130" s="504">
        <v>0</v>
      </c>
      <c r="LB130" s="504">
        <v>0</v>
      </c>
      <c r="LC130" s="504">
        <v>0</v>
      </c>
      <c r="LD130" s="504">
        <v>0</v>
      </c>
      <c r="LE130" s="504">
        <v>0</v>
      </c>
      <c r="LF130" s="504">
        <v>0</v>
      </c>
      <c r="LG130" s="504">
        <v>0</v>
      </c>
      <c r="LH130" s="504">
        <v>0</v>
      </c>
      <c r="LI130" s="504">
        <v>0</v>
      </c>
      <c r="LJ130" s="504">
        <v>0</v>
      </c>
      <c r="LK130" s="504">
        <v>0</v>
      </c>
      <c r="LL130" s="504">
        <v>0</v>
      </c>
      <c r="LM130" s="504">
        <v>0</v>
      </c>
      <c r="LN130" s="504">
        <v>0</v>
      </c>
      <c r="LO130" s="504">
        <v>0</v>
      </c>
      <c r="LP130" s="504">
        <v>0</v>
      </c>
      <c r="LQ130" s="504">
        <v>0</v>
      </c>
      <c r="LR130" s="504">
        <v>0</v>
      </c>
      <c r="LS130" s="504">
        <v>0</v>
      </c>
      <c r="LT130" s="504">
        <v>0</v>
      </c>
      <c r="LU130" s="504">
        <v>0</v>
      </c>
      <c r="LV130" s="504">
        <v>0</v>
      </c>
      <c r="LW130" s="504">
        <v>0</v>
      </c>
      <c r="LX130" s="504">
        <v>0</v>
      </c>
      <c r="LY130" s="504">
        <v>0</v>
      </c>
      <c r="LZ130" s="504">
        <v>0</v>
      </c>
      <c r="MA130" s="504">
        <v>0</v>
      </c>
      <c r="MB130" s="504">
        <v>0</v>
      </c>
      <c r="MC130" s="504">
        <v>0</v>
      </c>
      <c r="MD130" s="504">
        <v>0</v>
      </c>
      <c r="ME130" s="504">
        <v>0</v>
      </c>
      <c r="MF130" s="504">
        <v>0</v>
      </c>
      <c r="MG130" s="504">
        <v>0</v>
      </c>
      <c r="MH130" s="504">
        <v>0</v>
      </c>
      <c r="MI130" s="504">
        <v>0</v>
      </c>
      <c r="MJ130" s="504">
        <v>0</v>
      </c>
      <c r="MK130" s="504">
        <v>0</v>
      </c>
      <c r="ML130" s="504">
        <v>0</v>
      </c>
      <c r="MM130" s="504">
        <v>0</v>
      </c>
      <c r="MN130" s="504">
        <v>0</v>
      </c>
      <c r="MO130" s="504">
        <v>0</v>
      </c>
      <c r="MP130" s="504">
        <v>0</v>
      </c>
      <c r="MQ130" s="504">
        <v>0</v>
      </c>
      <c r="MR130" s="504">
        <v>0</v>
      </c>
      <c r="MS130" s="504">
        <v>0</v>
      </c>
      <c r="MT130" s="504">
        <v>0</v>
      </c>
      <c r="MU130" s="504">
        <v>0</v>
      </c>
      <c r="MV130" s="504">
        <v>0</v>
      </c>
      <c r="MW130" s="504">
        <v>0</v>
      </c>
      <c r="MX130" s="504">
        <v>0</v>
      </c>
      <c r="MY130" s="504">
        <v>0</v>
      </c>
      <c r="MZ130" s="504">
        <v>0</v>
      </c>
      <c r="NA130" s="504">
        <v>0</v>
      </c>
      <c r="NB130" s="504">
        <v>0</v>
      </c>
      <c r="NC130" s="504">
        <v>0</v>
      </c>
      <c r="ND130" s="504">
        <v>0</v>
      </c>
      <c r="NE130" s="504">
        <v>0</v>
      </c>
      <c r="NF130" s="504">
        <v>0</v>
      </c>
      <c r="NG130" s="504">
        <v>0</v>
      </c>
      <c r="NH130" s="504">
        <v>0</v>
      </c>
      <c r="NI130" s="504">
        <v>0</v>
      </c>
      <c r="NJ130" s="504">
        <v>0</v>
      </c>
      <c r="NK130" s="504">
        <v>0</v>
      </c>
      <c r="NL130" s="504">
        <v>0</v>
      </c>
      <c r="NM130" s="504">
        <v>0</v>
      </c>
      <c r="NN130" s="504">
        <v>0</v>
      </c>
      <c r="NO130" s="504">
        <v>0</v>
      </c>
      <c r="NP130" s="504">
        <v>0</v>
      </c>
      <c r="NQ130" s="504">
        <v>0</v>
      </c>
      <c r="NR130" s="504">
        <v>0</v>
      </c>
      <c r="NS130" s="504">
        <v>0</v>
      </c>
      <c r="NT130" s="504">
        <v>0</v>
      </c>
      <c r="NU130" s="504">
        <v>0</v>
      </c>
      <c r="NV130" s="504">
        <v>0</v>
      </c>
      <c r="NW130" s="504">
        <v>0</v>
      </c>
      <c r="NX130" s="504">
        <v>0</v>
      </c>
      <c r="NY130" s="504">
        <v>0</v>
      </c>
      <c r="NZ130" s="504">
        <v>0</v>
      </c>
      <c r="OA130" s="504">
        <v>0</v>
      </c>
      <c r="OB130" s="504">
        <v>0</v>
      </c>
      <c r="OC130" s="504">
        <v>0</v>
      </c>
      <c r="OD130" s="504">
        <v>0</v>
      </c>
      <c r="OE130" s="504">
        <v>0</v>
      </c>
      <c r="OF130" s="504">
        <v>0</v>
      </c>
      <c r="OG130" s="504">
        <v>0</v>
      </c>
      <c r="OH130" s="504">
        <v>0</v>
      </c>
      <c r="OI130" s="504">
        <v>0</v>
      </c>
      <c r="OJ130" s="504">
        <v>0</v>
      </c>
      <c r="OK130" s="504">
        <v>0</v>
      </c>
      <c r="OL130" s="504">
        <v>0</v>
      </c>
      <c r="OM130" s="504">
        <v>0</v>
      </c>
      <c r="ON130" s="494"/>
    </row>
    <row r="131" spans="1:404" ht="18.75" customHeight="1" x14ac:dyDescent="0.4">
      <c r="A131" s="511" t="s">
        <v>401</v>
      </c>
      <c r="B131" s="512">
        <v>234</v>
      </c>
      <c r="C131" s="511" t="s">
        <v>94</v>
      </c>
      <c r="D131" s="501">
        <v>36.89</v>
      </c>
      <c r="E131" s="502">
        <v>1028164</v>
      </c>
      <c r="F131" s="501">
        <v>36.89</v>
      </c>
      <c r="G131" s="502">
        <v>363726</v>
      </c>
      <c r="H131" s="501">
        <v>36.89</v>
      </c>
      <c r="I131" s="502">
        <v>912044</v>
      </c>
      <c r="J131" s="501">
        <v>36.89</v>
      </c>
      <c r="K131" s="502">
        <v>1073060</v>
      </c>
      <c r="V131" s="501"/>
      <c r="W131" s="503"/>
      <c r="X131" s="501"/>
      <c r="Y131" s="503"/>
      <c r="Z131" s="501"/>
      <c r="AA131" s="503"/>
      <c r="AB131" s="495"/>
      <c r="AC131" s="504">
        <v>0</v>
      </c>
      <c r="AD131" s="504">
        <v>0</v>
      </c>
      <c r="AE131" s="504">
        <v>0</v>
      </c>
      <c r="AF131" s="504">
        <v>0</v>
      </c>
      <c r="AG131" s="504">
        <v>0</v>
      </c>
      <c r="AH131" s="504">
        <v>0</v>
      </c>
      <c r="AI131" s="504">
        <v>0</v>
      </c>
      <c r="AJ131" s="504">
        <v>0</v>
      </c>
      <c r="AK131" s="504">
        <v>0</v>
      </c>
      <c r="AL131" s="504">
        <v>0</v>
      </c>
      <c r="AM131" s="504">
        <v>0</v>
      </c>
      <c r="AN131" s="504">
        <v>0</v>
      </c>
      <c r="AO131" s="504">
        <v>0</v>
      </c>
      <c r="AP131" s="504">
        <v>0</v>
      </c>
      <c r="AQ131" s="504">
        <v>0</v>
      </c>
      <c r="AR131" s="504">
        <v>0</v>
      </c>
      <c r="AS131" s="504">
        <v>0</v>
      </c>
      <c r="AT131" s="504">
        <v>0</v>
      </c>
      <c r="AU131" s="504">
        <v>0</v>
      </c>
      <c r="AV131" s="504">
        <v>0</v>
      </c>
      <c r="AW131" s="504">
        <v>0</v>
      </c>
      <c r="AX131" s="504">
        <v>0</v>
      </c>
      <c r="AY131" s="504">
        <v>0</v>
      </c>
      <c r="AZ131" s="504">
        <v>0</v>
      </c>
      <c r="BA131" s="504">
        <v>0</v>
      </c>
      <c r="BB131" s="504">
        <v>0</v>
      </c>
      <c r="BC131" s="504">
        <v>0</v>
      </c>
      <c r="BD131" s="504">
        <v>0</v>
      </c>
      <c r="BE131" s="504">
        <v>0</v>
      </c>
      <c r="BF131" s="504">
        <v>0</v>
      </c>
      <c r="BG131" s="504">
        <v>0</v>
      </c>
      <c r="BH131" s="504">
        <v>0</v>
      </c>
      <c r="BI131" s="504">
        <v>0</v>
      </c>
      <c r="BJ131" s="504">
        <v>0</v>
      </c>
      <c r="BK131" s="504">
        <v>0</v>
      </c>
      <c r="BL131" s="504">
        <v>0</v>
      </c>
      <c r="BM131" s="504">
        <v>0</v>
      </c>
      <c r="BN131" s="504">
        <v>0</v>
      </c>
      <c r="BO131" s="504">
        <v>0</v>
      </c>
      <c r="BP131" s="504">
        <v>0</v>
      </c>
      <c r="BQ131" s="504">
        <v>0</v>
      </c>
      <c r="BR131" s="504">
        <v>0</v>
      </c>
      <c r="BS131" s="504">
        <v>0</v>
      </c>
      <c r="BT131" s="504">
        <v>0</v>
      </c>
      <c r="BU131" s="504">
        <v>0</v>
      </c>
      <c r="BV131" s="504">
        <v>0</v>
      </c>
      <c r="BW131" s="504">
        <v>0</v>
      </c>
      <c r="BX131" s="504">
        <v>0</v>
      </c>
      <c r="BY131" s="504">
        <v>0</v>
      </c>
      <c r="BZ131" s="504">
        <v>0</v>
      </c>
      <c r="CA131" s="504">
        <v>0</v>
      </c>
      <c r="CB131" s="504">
        <v>0</v>
      </c>
      <c r="CC131" s="504">
        <v>0</v>
      </c>
      <c r="CD131" s="504">
        <v>0</v>
      </c>
      <c r="CE131" s="504">
        <v>0</v>
      </c>
      <c r="CF131" s="504">
        <v>0</v>
      </c>
      <c r="CG131" s="504">
        <v>0</v>
      </c>
      <c r="CH131" s="504">
        <v>0</v>
      </c>
      <c r="CI131" s="504">
        <v>0</v>
      </c>
      <c r="CJ131" s="504">
        <v>0</v>
      </c>
      <c r="CK131" s="504">
        <v>0</v>
      </c>
      <c r="CL131" s="504">
        <v>0</v>
      </c>
      <c r="CM131" s="504">
        <v>0</v>
      </c>
      <c r="CN131" s="504">
        <v>0</v>
      </c>
      <c r="CO131" s="504">
        <v>0</v>
      </c>
      <c r="CP131" s="504">
        <v>0</v>
      </c>
      <c r="CQ131" s="504">
        <v>0</v>
      </c>
      <c r="CR131" s="504">
        <v>0</v>
      </c>
      <c r="CS131" s="504">
        <v>0</v>
      </c>
      <c r="CT131" s="504">
        <v>0</v>
      </c>
      <c r="CU131" s="504">
        <v>0</v>
      </c>
      <c r="CV131" s="504">
        <v>0</v>
      </c>
      <c r="CW131" s="504">
        <v>0</v>
      </c>
      <c r="CX131" s="504">
        <v>0</v>
      </c>
      <c r="CY131" s="504">
        <v>0</v>
      </c>
      <c r="CZ131" s="504">
        <v>0</v>
      </c>
      <c r="DA131" s="504">
        <v>0</v>
      </c>
      <c r="DB131" s="504">
        <v>0</v>
      </c>
      <c r="DC131" s="504">
        <v>0</v>
      </c>
      <c r="DD131" s="504">
        <v>0</v>
      </c>
      <c r="DE131" s="504">
        <v>0</v>
      </c>
      <c r="DF131" s="504">
        <v>0</v>
      </c>
      <c r="DG131" s="504">
        <v>0</v>
      </c>
      <c r="DH131" s="504">
        <v>0</v>
      </c>
      <c r="DI131" s="504">
        <v>0</v>
      </c>
      <c r="DJ131" s="504">
        <v>0</v>
      </c>
      <c r="DK131" s="504">
        <v>0</v>
      </c>
      <c r="DL131" s="504">
        <v>0</v>
      </c>
      <c r="DM131" s="504">
        <v>0</v>
      </c>
      <c r="DN131" s="504">
        <v>0</v>
      </c>
      <c r="DO131" s="504">
        <v>0</v>
      </c>
      <c r="DP131" s="504">
        <v>0</v>
      </c>
      <c r="DQ131" s="504">
        <v>0</v>
      </c>
      <c r="DR131" s="504">
        <v>0</v>
      </c>
      <c r="DS131" s="504">
        <v>0</v>
      </c>
      <c r="DT131" s="504">
        <v>0</v>
      </c>
      <c r="DU131" s="504">
        <v>0</v>
      </c>
      <c r="DV131" s="504">
        <v>0</v>
      </c>
      <c r="DW131" s="504">
        <v>0</v>
      </c>
      <c r="DX131" s="504">
        <v>0</v>
      </c>
      <c r="DY131" s="504">
        <v>0</v>
      </c>
      <c r="DZ131" s="504">
        <v>0</v>
      </c>
      <c r="EA131" s="504">
        <v>0</v>
      </c>
      <c r="EB131" s="504">
        <v>0</v>
      </c>
      <c r="EC131" s="504">
        <v>0</v>
      </c>
      <c r="ED131" s="504">
        <v>0</v>
      </c>
      <c r="EE131" s="504">
        <v>0</v>
      </c>
      <c r="EF131" s="504">
        <v>0</v>
      </c>
      <c r="EG131" s="504">
        <v>0</v>
      </c>
      <c r="EH131" s="504">
        <v>0</v>
      </c>
      <c r="EI131" s="504">
        <v>0</v>
      </c>
      <c r="EJ131" s="504">
        <v>0</v>
      </c>
      <c r="EK131" s="504">
        <v>0</v>
      </c>
      <c r="EL131" s="504">
        <v>0</v>
      </c>
      <c r="EM131" s="504">
        <v>0</v>
      </c>
      <c r="EN131" s="504">
        <v>0</v>
      </c>
      <c r="EO131" s="504">
        <v>0</v>
      </c>
      <c r="EP131" s="504">
        <v>0</v>
      </c>
      <c r="EQ131" s="504">
        <v>0</v>
      </c>
      <c r="ER131" s="504">
        <v>0</v>
      </c>
      <c r="ES131" s="504">
        <v>0</v>
      </c>
      <c r="ET131" s="504">
        <v>0</v>
      </c>
      <c r="EU131" s="504">
        <v>0</v>
      </c>
      <c r="EV131" s="504">
        <v>0</v>
      </c>
      <c r="EW131" s="504">
        <v>0</v>
      </c>
      <c r="EX131" s="504">
        <v>0</v>
      </c>
      <c r="EY131" s="504">
        <v>0</v>
      </c>
      <c r="EZ131" s="504">
        <v>0</v>
      </c>
      <c r="FA131" s="504">
        <v>0</v>
      </c>
      <c r="FB131" s="504">
        <v>0</v>
      </c>
      <c r="FC131" s="504">
        <v>0</v>
      </c>
      <c r="FD131" s="504">
        <v>0</v>
      </c>
      <c r="FE131" s="504">
        <v>0</v>
      </c>
      <c r="FF131" s="504">
        <v>0</v>
      </c>
      <c r="FG131" s="504">
        <v>0</v>
      </c>
      <c r="FH131" s="504">
        <v>0</v>
      </c>
      <c r="FI131" s="504">
        <v>0</v>
      </c>
      <c r="FJ131" s="504">
        <v>0</v>
      </c>
      <c r="FK131" s="504">
        <v>0</v>
      </c>
      <c r="FL131" s="504">
        <v>0</v>
      </c>
      <c r="FM131" s="504">
        <v>0</v>
      </c>
      <c r="FN131" s="504">
        <v>0</v>
      </c>
      <c r="FO131" s="504">
        <v>0</v>
      </c>
      <c r="FP131" s="504">
        <v>0</v>
      </c>
      <c r="FQ131" s="504">
        <v>0</v>
      </c>
      <c r="FR131" s="504">
        <v>0</v>
      </c>
      <c r="FS131" s="504">
        <v>0</v>
      </c>
      <c r="FT131" s="504">
        <v>0</v>
      </c>
      <c r="FU131" s="504">
        <v>0</v>
      </c>
      <c r="FV131" s="504">
        <v>0</v>
      </c>
      <c r="FW131" s="504">
        <v>0</v>
      </c>
      <c r="FX131" s="504">
        <v>0</v>
      </c>
      <c r="FY131" s="504">
        <v>0</v>
      </c>
      <c r="FZ131" s="504">
        <v>0</v>
      </c>
      <c r="GA131" s="504">
        <v>0</v>
      </c>
      <c r="GB131" s="504">
        <v>0</v>
      </c>
      <c r="GC131" s="504">
        <v>0</v>
      </c>
      <c r="GD131" s="504">
        <v>0</v>
      </c>
      <c r="GE131" s="504">
        <v>0</v>
      </c>
      <c r="GF131" s="504">
        <v>0</v>
      </c>
      <c r="GG131" s="504">
        <v>0</v>
      </c>
      <c r="GH131" s="504">
        <v>0</v>
      </c>
      <c r="GI131" s="504">
        <v>0</v>
      </c>
      <c r="GJ131" s="504">
        <v>0</v>
      </c>
      <c r="GK131" s="504">
        <v>0</v>
      </c>
      <c r="GL131" s="504">
        <v>0</v>
      </c>
      <c r="GM131" s="504">
        <v>0</v>
      </c>
      <c r="GN131" s="504">
        <v>0</v>
      </c>
      <c r="GO131" s="504">
        <v>0</v>
      </c>
      <c r="GP131" s="504">
        <v>0</v>
      </c>
      <c r="GQ131" s="504">
        <v>0</v>
      </c>
      <c r="GR131" s="504">
        <v>0</v>
      </c>
      <c r="GS131" s="504">
        <v>0</v>
      </c>
      <c r="GT131" s="504">
        <v>0</v>
      </c>
      <c r="GU131" s="504">
        <v>0</v>
      </c>
      <c r="GV131" s="504">
        <v>0</v>
      </c>
      <c r="GW131" s="504">
        <v>0</v>
      </c>
      <c r="GX131" s="504">
        <v>0</v>
      </c>
      <c r="GY131" s="504">
        <v>0</v>
      </c>
      <c r="GZ131" s="504">
        <v>0</v>
      </c>
      <c r="HA131" s="504">
        <v>0</v>
      </c>
      <c r="HB131" s="504">
        <v>0</v>
      </c>
      <c r="HC131" s="504">
        <v>0</v>
      </c>
      <c r="HD131" s="504">
        <v>0</v>
      </c>
      <c r="HE131" s="504">
        <v>0</v>
      </c>
      <c r="HF131" s="504">
        <v>0</v>
      </c>
      <c r="HG131" s="504">
        <v>0</v>
      </c>
      <c r="HH131" s="504">
        <v>0</v>
      </c>
      <c r="HI131" s="504">
        <v>0</v>
      </c>
      <c r="HJ131" s="504">
        <v>0</v>
      </c>
      <c r="HK131" s="504">
        <v>0</v>
      </c>
      <c r="HL131" s="504">
        <v>0</v>
      </c>
      <c r="HM131" s="504">
        <v>0</v>
      </c>
      <c r="HN131" s="504">
        <v>0</v>
      </c>
      <c r="HO131" s="504">
        <v>0</v>
      </c>
      <c r="HP131" s="504">
        <v>0</v>
      </c>
      <c r="HQ131" s="504">
        <v>0</v>
      </c>
      <c r="HR131" s="504">
        <v>0</v>
      </c>
      <c r="HS131" s="504">
        <v>0</v>
      </c>
      <c r="HT131" s="504">
        <v>0</v>
      </c>
      <c r="HU131" s="504">
        <v>0</v>
      </c>
      <c r="HV131" s="504">
        <v>0</v>
      </c>
      <c r="HW131" s="504">
        <v>0</v>
      </c>
      <c r="HX131" s="504">
        <v>0</v>
      </c>
      <c r="HY131" s="504">
        <v>0</v>
      </c>
      <c r="HZ131" s="504">
        <v>0</v>
      </c>
      <c r="IA131" s="504">
        <v>0</v>
      </c>
      <c r="IB131" s="504">
        <v>0</v>
      </c>
      <c r="IC131" s="504">
        <v>0</v>
      </c>
      <c r="ID131" s="504">
        <v>0</v>
      </c>
      <c r="IE131" s="504">
        <v>0</v>
      </c>
      <c r="IF131" s="504">
        <v>0</v>
      </c>
      <c r="IG131" s="504">
        <v>0</v>
      </c>
      <c r="IH131" s="504">
        <v>0</v>
      </c>
      <c r="II131" s="504">
        <v>0</v>
      </c>
      <c r="IJ131" s="504">
        <v>0</v>
      </c>
      <c r="IK131" s="504">
        <v>0</v>
      </c>
      <c r="IL131" s="504">
        <v>0</v>
      </c>
      <c r="IM131" s="504">
        <v>0</v>
      </c>
      <c r="IN131" s="504">
        <v>0</v>
      </c>
      <c r="IO131" s="504">
        <v>0</v>
      </c>
      <c r="IP131" s="504">
        <v>0</v>
      </c>
      <c r="IQ131" s="504">
        <v>0</v>
      </c>
      <c r="IR131" s="504">
        <v>0</v>
      </c>
      <c r="IS131" s="504">
        <v>0</v>
      </c>
      <c r="IT131" s="504">
        <v>0</v>
      </c>
      <c r="IU131" s="504">
        <v>0</v>
      </c>
      <c r="IV131" s="504">
        <v>0</v>
      </c>
      <c r="IW131" s="504">
        <v>0</v>
      </c>
      <c r="IX131" s="504">
        <v>0</v>
      </c>
      <c r="IY131" s="504">
        <v>0</v>
      </c>
      <c r="IZ131" s="504">
        <v>0</v>
      </c>
      <c r="JA131" s="504">
        <v>0</v>
      </c>
      <c r="JB131" s="504">
        <v>0</v>
      </c>
      <c r="JC131" s="504">
        <v>0</v>
      </c>
      <c r="JD131" s="504">
        <v>0</v>
      </c>
      <c r="JE131" s="504">
        <v>0</v>
      </c>
      <c r="JF131" s="504">
        <v>0</v>
      </c>
      <c r="JG131" s="504">
        <v>0</v>
      </c>
      <c r="JH131" s="504">
        <v>0</v>
      </c>
      <c r="JI131" s="504">
        <v>0</v>
      </c>
      <c r="JJ131" s="504">
        <v>0</v>
      </c>
      <c r="JK131" s="504">
        <v>0</v>
      </c>
      <c r="JL131" s="504">
        <v>0</v>
      </c>
      <c r="JM131" s="504">
        <v>0</v>
      </c>
      <c r="JN131" s="504">
        <v>0</v>
      </c>
      <c r="JO131" s="504">
        <v>0</v>
      </c>
      <c r="JP131" s="504">
        <v>0</v>
      </c>
      <c r="JQ131" s="504">
        <v>0</v>
      </c>
      <c r="JR131" s="504">
        <v>0</v>
      </c>
      <c r="JS131" s="504">
        <v>0</v>
      </c>
      <c r="JT131" s="504">
        <v>0</v>
      </c>
      <c r="JU131" s="504">
        <v>0</v>
      </c>
      <c r="JV131" s="504">
        <v>0</v>
      </c>
      <c r="JW131" s="504">
        <v>0</v>
      </c>
      <c r="JX131" s="504">
        <v>0</v>
      </c>
      <c r="JY131" s="504">
        <v>0</v>
      </c>
      <c r="JZ131" s="504">
        <v>0</v>
      </c>
      <c r="KA131" s="504">
        <v>0</v>
      </c>
      <c r="KB131" s="504">
        <v>0</v>
      </c>
      <c r="KC131" s="504">
        <v>0</v>
      </c>
      <c r="KD131" s="504">
        <v>0</v>
      </c>
      <c r="KE131" s="504">
        <v>0</v>
      </c>
      <c r="KF131" s="504">
        <v>0</v>
      </c>
      <c r="KG131" s="504">
        <v>0</v>
      </c>
      <c r="KH131" s="504">
        <v>0</v>
      </c>
      <c r="KI131" s="504">
        <v>0</v>
      </c>
      <c r="KJ131" s="504">
        <v>0</v>
      </c>
      <c r="KK131" s="504">
        <v>0</v>
      </c>
      <c r="KL131" s="504">
        <v>0</v>
      </c>
      <c r="KM131" s="504">
        <v>0</v>
      </c>
      <c r="KN131" s="504">
        <v>0</v>
      </c>
      <c r="KO131" s="504">
        <v>0</v>
      </c>
      <c r="KP131" s="504">
        <v>0</v>
      </c>
      <c r="KQ131" s="504">
        <v>0</v>
      </c>
      <c r="KR131" s="504">
        <v>0</v>
      </c>
      <c r="KS131" s="504">
        <v>0</v>
      </c>
      <c r="KT131" s="504">
        <v>0</v>
      </c>
      <c r="KU131" s="504">
        <v>0</v>
      </c>
      <c r="KV131" s="504">
        <v>0</v>
      </c>
      <c r="KW131" s="504">
        <v>0</v>
      </c>
      <c r="KX131" s="504">
        <v>0</v>
      </c>
      <c r="KY131" s="504">
        <v>0</v>
      </c>
      <c r="KZ131" s="504">
        <v>0</v>
      </c>
      <c r="LA131" s="504">
        <v>0</v>
      </c>
      <c r="LB131" s="504">
        <v>0</v>
      </c>
      <c r="LC131" s="504">
        <v>0</v>
      </c>
      <c r="LD131" s="504">
        <v>0</v>
      </c>
      <c r="LE131" s="504">
        <v>0</v>
      </c>
      <c r="LF131" s="504">
        <v>0</v>
      </c>
      <c r="LG131" s="504">
        <v>0</v>
      </c>
      <c r="LH131" s="504">
        <v>0</v>
      </c>
      <c r="LI131" s="504">
        <v>0</v>
      </c>
      <c r="LJ131" s="504">
        <v>0</v>
      </c>
      <c r="LK131" s="504">
        <v>0</v>
      </c>
      <c r="LL131" s="504">
        <v>0</v>
      </c>
      <c r="LM131" s="504">
        <v>0</v>
      </c>
      <c r="LN131" s="504">
        <v>0</v>
      </c>
      <c r="LO131" s="504">
        <v>0</v>
      </c>
      <c r="LP131" s="504">
        <v>0</v>
      </c>
      <c r="LQ131" s="504">
        <v>0</v>
      </c>
      <c r="LR131" s="504">
        <v>0</v>
      </c>
      <c r="LS131" s="504">
        <v>0</v>
      </c>
      <c r="LT131" s="504">
        <v>0</v>
      </c>
      <c r="LU131" s="504">
        <v>0</v>
      </c>
      <c r="LV131" s="504">
        <v>0</v>
      </c>
      <c r="LW131" s="504">
        <v>0</v>
      </c>
      <c r="LX131" s="504">
        <v>0</v>
      </c>
      <c r="LY131" s="504">
        <v>0</v>
      </c>
      <c r="LZ131" s="504">
        <v>0</v>
      </c>
      <c r="MA131" s="504">
        <v>0</v>
      </c>
      <c r="MB131" s="504">
        <v>0</v>
      </c>
      <c r="MC131" s="504">
        <v>0</v>
      </c>
      <c r="MD131" s="504">
        <v>0</v>
      </c>
      <c r="ME131" s="504">
        <v>0</v>
      </c>
      <c r="MF131" s="504">
        <v>0</v>
      </c>
      <c r="MG131" s="504">
        <v>0</v>
      </c>
      <c r="MH131" s="504">
        <v>0</v>
      </c>
      <c r="MI131" s="504">
        <v>0</v>
      </c>
      <c r="MJ131" s="504">
        <v>0</v>
      </c>
      <c r="MK131" s="504">
        <v>0</v>
      </c>
      <c r="ML131" s="504">
        <v>0</v>
      </c>
      <c r="MM131" s="504">
        <v>0</v>
      </c>
      <c r="MN131" s="504">
        <v>0</v>
      </c>
      <c r="MO131" s="504">
        <v>0</v>
      </c>
      <c r="MP131" s="504">
        <v>0</v>
      </c>
      <c r="MQ131" s="504">
        <v>0</v>
      </c>
      <c r="MR131" s="504">
        <v>0</v>
      </c>
      <c r="MS131" s="504">
        <v>0</v>
      </c>
      <c r="MT131" s="504">
        <v>0</v>
      </c>
      <c r="MU131" s="504">
        <v>0</v>
      </c>
      <c r="MV131" s="504">
        <v>0</v>
      </c>
      <c r="MW131" s="504">
        <v>0</v>
      </c>
      <c r="MX131" s="504">
        <v>0</v>
      </c>
      <c r="MY131" s="504">
        <v>0</v>
      </c>
      <c r="MZ131" s="504">
        <v>0</v>
      </c>
      <c r="NA131" s="504">
        <v>0</v>
      </c>
      <c r="NB131" s="504">
        <v>0</v>
      </c>
      <c r="NC131" s="504">
        <v>0</v>
      </c>
      <c r="ND131" s="504">
        <v>0</v>
      </c>
      <c r="NE131" s="504">
        <v>0</v>
      </c>
      <c r="NF131" s="504">
        <v>0</v>
      </c>
      <c r="NG131" s="504">
        <v>0</v>
      </c>
      <c r="NH131" s="504">
        <v>0</v>
      </c>
      <c r="NI131" s="504">
        <v>0</v>
      </c>
      <c r="NJ131" s="504">
        <v>0</v>
      </c>
      <c r="NK131" s="504">
        <v>0</v>
      </c>
      <c r="NL131" s="504">
        <v>0</v>
      </c>
      <c r="NM131" s="504">
        <v>0</v>
      </c>
      <c r="NN131" s="504">
        <v>0</v>
      </c>
      <c r="NO131" s="504">
        <v>0</v>
      </c>
      <c r="NP131" s="504">
        <v>0</v>
      </c>
      <c r="NQ131" s="504">
        <v>0</v>
      </c>
      <c r="NR131" s="504">
        <v>0</v>
      </c>
      <c r="NS131" s="504">
        <v>0</v>
      </c>
      <c r="NT131" s="504">
        <v>0</v>
      </c>
      <c r="NU131" s="504">
        <v>0</v>
      </c>
      <c r="NV131" s="504">
        <v>0</v>
      </c>
      <c r="NW131" s="504">
        <v>0</v>
      </c>
      <c r="NX131" s="504">
        <v>0</v>
      </c>
      <c r="NY131" s="504">
        <v>0</v>
      </c>
      <c r="NZ131" s="504">
        <v>0</v>
      </c>
      <c r="OA131" s="504">
        <v>0</v>
      </c>
      <c r="OB131" s="504">
        <v>0</v>
      </c>
      <c r="OC131" s="504">
        <v>0</v>
      </c>
      <c r="OD131" s="504">
        <v>0</v>
      </c>
      <c r="OE131" s="504">
        <v>0</v>
      </c>
      <c r="OF131" s="504">
        <v>0</v>
      </c>
      <c r="OG131" s="504">
        <v>0</v>
      </c>
      <c r="OH131" s="504">
        <v>0</v>
      </c>
      <c r="OI131" s="504">
        <v>0</v>
      </c>
      <c r="OJ131" s="504">
        <v>0</v>
      </c>
      <c r="OK131" s="504">
        <v>0</v>
      </c>
      <c r="OL131" s="504">
        <v>0</v>
      </c>
      <c r="OM131" s="504">
        <v>0</v>
      </c>
      <c r="ON131" s="494"/>
    </row>
    <row r="132" spans="1:404" ht="18.75" customHeight="1" x14ac:dyDescent="0.4">
      <c r="A132" s="511" t="s">
        <v>402</v>
      </c>
      <c r="B132" s="512">
        <v>74</v>
      </c>
      <c r="C132" s="511" t="s">
        <v>60</v>
      </c>
      <c r="D132" s="501">
        <v>36.82</v>
      </c>
      <c r="F132" s="501">
        <v>36.81</v>
      </c>
      <c r="H132" s="501">
        <v>36.81</v>
      </c>
      <c r="J132" s="501">
        <v>36.81</v>
      </c>
      <c r="V132" s="501"/>
      <c r="W132" s="503"/>
      <c r="X132" s="501"/>
      <c r="Y132" s="503"/>
      <c r="Z132" s="501"/>
      <c r="AA132" s="503"/>
      <c r="AB132" s="495"/>
      <c r="AC132" s="504">
        <v>0</v>
      </c>
      <c r="AD132" s="504">
        <v>0</v>
      </c>
      <c r="AE132" s="504">
        <v>0</v>
      </c>
      <c r="AF132" s="504">
        <v>0</v>
      </c>
      <c r="AG132" s="504">
        <v>0</v>
      </c>
      <c r="AH132" s="504">
        <v>0</v>
      </c>
      <c r="AI132" s="504">
        <v>0</v>
      </c>
      <c r="AJ132" s="504">
        <v>0</v>
      </c>
      <c r="AK132" s="504">
        <v>0</v>
      </c>
      <c r="AL132" s="504">
        <v>0</v>
      </c>
      <c r="AM132" s="504">
        <v>0</v>
      </c>
      <c r="AN132" s="504">
        <v>0</v>
      </c>
      <c r="AO132" s="504">
        <v>0</v>
      </c>
      <c r="AP132" s="504">
        <v>0</v>
      </c>
      <c r="AQ132" s="504">
        <v>0</v>
      </c>
      <c r="AR132" s="504">
        <v>0</v>
      </c>
      <c r="AS132" s="504">
        <v>0</v>
      </c>
      <c r="AT132" s="504">
        <v>0</v>
      </c>
      <c r="AU132" s="504">
        <v>0</v>
      </c>
      <c r="AV132" s="504">
        <v>0</v>
      </c>
      <c r="AW132" s="504">
        <v>0</v>
      </c>
      <c r="AX132" s="504">
        <v>0</v>
      </c>
      <c r="AY132" s="504">
        <v>0</v>
      </c>
      <c r="AZ132" s="504">
        <v>0</v>
      </c>
      <c r="BA132" s="504">
        <v>0</v>
      </c>
      <c r="BB132" s="504">
        <v>0</v>
      </c>
      <c r="BC132" s="504">
        <v>0</v>
      </c>
      <c r="BD132" s="504">
        <v>0</v>
      </c>
      <c r="BE132" s="504">
        <v>0</v>
      </c>
      <c r="BF132" s="504">
        <v>0</v>
      </c>
      <c r="BG132" s="504">
        <v>0</v>
      </c>
      <c r="BH132" s="504">
        <v>0</v>
      </c>
      <c r="BI132" s="504">
        <v>0</v>
      </c>
      <c r="BJ132" s="504">
        <v>0</v>
      </c>
      <c r="BK132" s="504">
        <v>0</v>
      </c>
      <c r="BL132" s="504">
        <v>0</v>
      </c>
      <c r="BM132" s="504">
        <v>0</v>
      </c>
      <c r="BN132" s="504">
        <v>0</v>
      </c>
      <c r="BO132" s="504">
        <v>0</v>
      </c>
      <c r="BP132" s="504">
        <v>0</v>
      </c>
      <c r="BQ132" s="504">
        <v>0</v>
      </c>
      <c r="BR132" s="504">
        <v>0</v>
      </c>
      <c r="BS132" s="504">
        <v>0</v>
      </c>
      <c r="BT132" s="504">
        <v>0</v>
      </c>
      <c r="BU132" s="504">
        <v>0</v>
      </c>
      <c r="BV132" s="504">
        <v>0</v>
      </c>
      <c r="BW132" s="504">
        <v>0</v>
      </c>
      <c r="BX132" s="504">
        <v>0</v>
      </c>
      <c r="BY132" s="504">
        <v>0</v>
      </c>
      <c r="BZ132" s="504">
        <v>0</v>
      </c>
      <c r="CA132" s="504">
        <v>0</v>
      </c>
      <c r="CB132" s="504">
        <v>0</v>
      </c>
      <c r="CC132" s="504">
        <v>0</v>
      </c>
      <c r="CD132" s="504">
        <v>0</v>
      </c>
      <c r="CE132" s="504">
        <v>0</v>
      </c>
      <c r="CF132" s="504">
        <v>0</v>
      </c>
      <c r="CG132" s="504">
        <v>0</v>
      </c>
      <c r="CH132" s="504">
        <v>0</v>
      </c>
      <c r="CI132" s="504">
        <v>0</v>
      </c>
      <c r="CJ132" s="504">
        <v>0</v>
      </c>
      <c r="CK132" s="504">
        <v>0</v>
      </c>
      <c r="CL132" s="504">
        <v>0</v>
      </c>
      <c r="CM132" s="504">
        <v>0</v>
      </c>
      <c r="CN132" s="504">
        <v>0</v>
      </c>
      <c r="CO132" s="504">
        <v>0</v>
      </c>
      <c r="CP132" s="504">
        <v>0</v>
      </c>
      <c r="CQ132" s="504">
        <v>0</v>
      </c>
      <c r="CR132" s="504">
        <v>0</v>
      </c>
      <c r="CS132" s="504">
        <v>0</v>
      </c>
      <c r="CT132" s="504">
        <v>0</v>
      </c>
      <c r="CU132" s="504">
        <v>0</v>
      </c>
      <c r="CV132" s="504">
        <v>0</v>
      </c>
      <c r="CW132" s="504">
        <v>0</v>
      </c>
      <c r="CX132" s="504">
        <v>0</v>
      </c>
      <c r="CY132" s="504">
        <v>0</v>
      </c>
      <c r="CZ132" s="504">
        <v>0</v>
      </c>
      <c r="DA132" s="504">
        <v>0</v>
      </c>
      <c r="DB132" s="504">
        <v>0</v>
      </c>
      <c r="DC132" s="504">
        <v>0</v>
      </c>
      <c r="DD132" s="504">
        <v>0</v>
      </c>
      <c r="DE132" s="504">
        <v>0</v>
      </c>
      <c r="DF132" s="504">
        <v>0</v>
      </c>
      <c r="DG132" s="504">
        <v>0</v>
      </c>
      <c r="DH132" s="504">
        <v>0</v>
      </c>
      <c r="DI132" s="504">
        <v>0</v>
      </c>
      <c r="DJ132" s="504">
        <v>0</v>
      </c>
      <c r="DK132" s="504">
        <v>0</v>
      </c>
      <c r="DL132" s="504">
        <v>0</v>
      </c>
      <c r="DM132" s="504">
        <v>0</v>
      </c>
      <c r="DN132" s="504">
        <v>0</v>
      </c>
      <c r="DO132" s="504">
        <v>0</v>
      </c>
      <c r="DP132" s="504">
        <v>0</v>
      </c>
      <c r="DQ132" s="504">
        <v>0</v>
      </c>
      <c r="DR132" s="504">
        <v>0</v>
      </c>
      <c r="DS132" s="504">
        <v>0</v>
      </c>
      <c r="DT132" s="504">
        <v>0</v>
      </c>
      <c r="DU132" s="504">
        <v>0</v>
      </c>
      <c r="DV132" s="504">
        <v>0</v>
      </c>
      <c r="DW132" s="504">
        <v>0</v>
      </c>
      <c r="DX132" s="504">
        <v>0</v>
      </c>
      <c r="DY132" s="504">
        <v>0</v>
      </c>
      <c r="DZ132" s="504">
        <v>0</v>
      </c>
      <c r="EA132" s="504">
        <v>0</v>
      </c>
      <c r="EB132" s="504">
        <v>0</v>
      </c>
      <c r="EC132" s="504">
        <v>0</v>
      </c>
      <c r="ED132" s="504">
        <v>0</v>
      </c>
      <c r="EE132" s="504">
        <v>0</v>
      </c>
      <c r="EF132" s="504">
        <v>0</v>
      </c>
      <c r="EG132" s="504">
        <v>0</v>
      </c>
      <c r="EH132" s="504">
        <v>0</v>
      </c>
      <c r="EI132" s="504">
        <v>0</v>
      </c>
      <c r="EJ132" s="504">
        <v>0</v>
      </c>
      <c r="EK132" s="504">
        <v>0</v>
      </c>
      <c r="EL132" s="504">
        <v>0</v>
      </c>
      <c r="EM132" s="504">
        <v>0</v>
      </c>
      <c r="EN132" s="504">
        <v>0</v>
      </c>
      <c r="EO132" s="504">
        <v>0</v>
      </c>
      <c r="EP132" s="504">
        <v>0</v>
      </c>
      <c r="EQ132" s="504">
        <v>0</v>
      </c>
      <c r="ER132" s="504">
        <v>0</v>
      </c>
      <c r="ES132" s="504">
        <v>0</v>
      </c>
      <c r="ET132" s="504">
        <v>0</v>
      </c>
      <c r="EU132" s="504">
        <v>0</v>
      </c>
      <c r="EV132" s="504">
        <v>0</v>
      </c>
      <c r="EW132" s="504">
        <v>0</v>
      </c>
      <c r="EX132" s="504">
        <v>0</v>
      </c>
      <c r="EY132" s="504">
        <v>0</v>
      </c>
      <c r="EZ132" s="504">
        <v>0</v>
      </c>
      <c r="FA132" s="504">
        <v>0</v>
      </c>
      <c r="FB132" s="504">
        <v>0</v>
      </c>
      <c r="FC132" s="504">
        <v>0</v>
      </c>
      <c r="FD132" s="504">
        <v>0</v>
      </c>
      <c r="FE132" s="504">
        <v>0</v>
      </c>
      <c r="FF132" s="504">
        <v>0</v>
      </c>
      <c r="FG132" s="504">
        <v>0</v>
      </c>
      <c r="FH132" s="504">
        <v>0</v>
      </c>
      <c r="FI132" s="504">
        <v>0</v>
      </c>
      <c r="FJ132" s="504">
        <v>0</v>
      </c>
      <c r="FK132" s="504">
        <v>0</v>
      </c>
      <c r="FL132" s="504">
        <v>0</v>
      </c>
      <c r="FM132" s="504">
        <v>0</v>
      </c>
      <c r="FN132" s="504">
        <v>0</v>
      </c>
      <c r="FO132" s="504">
        <v>0</v>
      </c>
      <c r="FP132" s="504">
        <v>0</v>
      </c>
      <c r="FQ132" s="504">
        <v>0</v>
      </c>
      <c r="FR132" s="504">
        <v>0</v>
      </c>
      <c r="FS132" s="504">
        <v>0</v>
      </c>
      <c r="FT132" s="504">
        <v>0</v>
      </c>
      <c r="FU132" s="504">
        <v>0</v>
      </c>
      <c r="FV132" s="504">
        <v>0</v>
      </c>
      <c r="FW132" s="504">
        <v>0</v>
      </c>
      <c r="FX132" s="504">
        <v>0</v>
      </c>
      <c r="FY132" s="504">
        <v>0</v>
      </c>
      <c r="FZ132" s="504">
        <v>0</v>
      </c>
      <c r="GA132" s="504">
        <v>0</v>
      </c>
      <c r="GB132" s="504">
        <v>0</v>
      </c>
      <c r="GC132" s="504">
        <v>0</v>
      </c>
      <c r="GD132" s="504">
        <v>0</v>
      </c>
      <c r="GE132" s="504">
        <v>0</v>
      </c>
      <c r="GF132" s="504">
        <v>0</v>
      </c>
      <c r="GG132" s="504">
        <v>0</v>
      </c>
      <c r="GH132" s="504">
        <v>0</v>
      </c>
      <c r="GI132" s="504">
        <v>0</v>
      </c>
      <c r="GJ132" s="504">
        <v>0</v>
      </c>
      <c r="GK132" s="504">
        <v>0</v>
      </c>
      <c r="GL132" s="504">
        <v>0</v>
      </c>
      <c r="GM132" s="504">
        <v>0</v>
      </c>
      <c r="GN132" s="504">
        <v>0</v>
      </c>
      <c r="GO132" s="504">
        <v>0</v>
      </c>
      <c r="GP132" s="504">
        <v>0</v>
      </c>
      <c r="GQ132" s="504">
        <v>0</v>
      </c>
      <c r="GR132" s="504">
        <v>0</v>
      </c>
      <c r="GS132" s="504">
        <v>0</v>
      </c>
      <c r="GT132" s="504">
        <v>0</v>
      </c>
      <c r="GU132" s="504">
        <v>0</v>
      </c>
      <c r="GV132" s="504">
        <v>0</v>
      </c>
      <c r="GW132" s="504">
        <v>0</v>
      </c>
      <c r="GX132" s="504">
        <v>0</v>
      </c>
      <c r="GY132" s="504">
        <v>0</v>
      </c>
      <c r="GZ132" s="504">
        <v>0</v>
      </c>
      <c r="HA132" s="504">
        <v>0</v>
      </c>
      <c r="HB132" s="504">
        <v>0</v>
      </c>
      <c r="HC132" s="504">
        <v>0</v>
      </c>
      <c r="HD132" s="504">
        <v>0</v>
      </c>
      <c r="HE132" s="504">
        <v>0</v>
      </c>
      <c r="HF132" s="504">
        <v>0</v>
      </c>
      <c r="HG132" s="504">
        <v>0</v>
      </c>
      <c r="HH132" s="504">
        <v>0</v>
      </c>
      <c r="HI132" s="504">
        <v>0</v>
      </c>
      <c r="HJ132" s="504">
        <v>0</v>
      </c>
      <c r="HK132" s="504">
        <v>0</v>
      </c>
      <c r="HL132" s="504">
        <v>0</v>
      </c>
      <c r="HM132" s="504">
        <v>0</v>
      </c>
      <c r="HN132" s="504">
        <v>0</v>
      </c>
      <c r="HO132" s="504">
        <v>0</v>
      </c>
      <c r="HP132" s="504">
        <v>0</v>
      </c>
      <c r="HQ132" s="504">
        <v>0</v>
      </c>
      <c r="HR132" s="504">
        <v>0</v>
      </c>
      <c r="HS132" s="504">
        <v>0</v>
      </c>
      <c r="HT132" s="504">
        <v>0</v>
      </c>
      <c r="HU132" s="504">
        <v>0</v>
      </c>
      <c r="HV132" s="504">
        <v>0</v>
      </c>
      <c r="HW132" s="504">
        <v>0</v>
      </c>
      <c r="HX132" s="504">
        <v>0</v>
      </c>
      <c r="HY132" s="504">
        <v>0</v>
      </c>
      <c r="HZ132" s="504">
        <v>0</v>
      </c>
      <c r="IA132" s="504">
        <v>0</v>
      </c>
      <c r="IB132" s="504">
        <v>0</v>
      </c>
      <c r="IC132" s="504">
        <v>0</v>
      </c>
      <c r="ID132" s="504">
        <v>0</v>
      </c>
      <c r="IE132" s="504">
        <v>0</v>
      </c>
      <c r="IF132" s="504">
        <v>0</v>
      </c>
      <c r="IG132" s="504">
        <v>0</v>
      </c>
      <c r="IH132" s="504">
        <v>0</v>
      </c>
      <c r="II132" s="504">
        <v>0</v>
      </c>
      <c r="IJ132" s="504">
        <v>0</v>
      </c>
      <c r="IK132" s="504">
        <v>0</v>
      </c>
      <c r="IL132" s="504">
        <v>0</v>
      </c>
      <c r="IM132" s="504">
        <v>0</v>
      </c>
      <c r="IN132" s="504">
        <v>0</v>
      </c>
      <c r="IO132" s="504">
        <v>0</v>
      </c>
      <c r="IP132" s="504">
        <v>0</v>
      </c>
      <c r="IQ132" s="504">
        <v>0</v>
      </c>
      <c r="IR132" s="504">
        <v>0</v>
      </c>
      <c r="IS132" s="504">
        <v>0</v>
      </c>
      <c r="IT132" s="504">
        <v>0</v>
      </c>
      <c r="IU132" s="504">
        <v>0</v>
      </c>
      <c r="IV132" s="504">
        <v>0</v>
      </c>
      <c r="IW132" s="504">
        <v>0</v>
      </c>
      <c r="IX132" s="504">
        <v>0</v>
      </c>
      <c r="IY132" s="504">
        <v>0</v>
      </c>
      <c r="IZ132" s="504">
        <v>0</v>
      </c>
      <c r="JA132" s="504">
        <v>0</v>
      </c>
      <c r="JB132" s="504">
        <v>0</v>
      </c>
      <c r="JC132" s="504">
        <v>0</v>
      </c>
      <c r="JD132" s="504">
        <v>0</v>
      </c>
      <c r="JE132" s="504">
        <v>0</v>
      </c>
      <c r="JF132" s="504">
        <v>0</v>
      </c>
      <c r="JG132" s="504">
        <v>0</v>
      </c>
      <c r="JH132" s="504">
        <v>0</v>
      </c>
      <c r="JI132" s="504">
        <v>0</v>
      </c>
      <c r="JJ132" s="504">
        <v>0</v>
      </c>
      <c r="JK132" s="504">
        <v>0</v>
      </c>
      <c r="JL132" s="504">
        <v>0</v>
      </c>
      <c r="JM132" s="504">
        <v>0</v>
      </c>
      <c r="JN132" s="504">
        <v>0</v>
      </c>
      <c r="JO132" s="504">
        <v>0</v>
      </c>
      <c r="JP132" s="504">
        <v>0</v>
      </c>
      <c r="JQ132" s="504">
        <v>0</v>
      </c>
      <c r="JR132" s="504">
        <v>0</v>
      </c>
      <c r="JS132" s="504">
        <v>0</v>
      </c>
      <c r="JT132" s="504">
        <v>0</v>
      </c>
      <c r="JU132" s="504">
        <v>0</v>
      </c>
      <c r="JV132" s="504">
        <v>0</v>
      </c>
      <c r="JW132" s="504">
        <v>0</v>
      </c>
      <c r="JX132" s="504">
        <v>0</v>
      </c>
      <c r="JY132" s="504">
        <v>0</v>
      </c>
      <c r="JZ132" s="504">
        <v>0</v>
      </c>
      <c r="KA132" s="504">
        <v>0</v>
      </c>
      <c r="KB132" s="504">
        <v>0</v>
      </c>
      <c r="KC132" s="504">
        <v>0</v>
      </c>
      <c r="KD132" s="504">
        <v>0</v>
      </c>
      <c r="KE132" s="504">
        <v>0</v>
      </c>
      <c r="KF132" s="504">
        <v>0</v>
      </c>
      <c r="KG132" s="504">
        <v>0</v>
      </c>
      <c r="KH132" s="504">
        <v>0</v>
      </c>
      <c r="KI132" s="504">
        <v>0</v>
      </c>
      <c r="KJ132" s="504">
        <v>0</v>
      </c>
      <c r="KK132" s="504">
        <v>0</v>
      </c>
      <c r="KL132" s="504">
        <v>0</v>
      </c>
      <c r="KM132" s="504">
        <v>0</v>
      </c>
      <c r="KN132" s="504">
        <v>0</v>
      </c>
      <c r="KO132" s="504">
        <v>0</v>
      </c>
      <c r="KP132" s="504">
        <v>0</v>
      </c>
      <c r="KQ132" s="504">
        <v>0</v>
      </c>
      <c r="KR132" s="504">
        <v>0</v>
      </c>
      <c r="KS132" s="504">
        <v>0</v>
      </c>
      <c r="KT132" s="504">
        <v>0</v>
      </c>
      <c r="KU132" s="504">
        <v>0</v>
      </c>
      <c r="KV132" s="504">
        <v>0</v>
      </c>
      <c r="KW132" s="504">
        <v>0</v>
      </c>
      <c r="KX132" s="504">
        <v>0</v>
      </c>
      <c r="KY132" s="504">
        <v>0</v>
      </c>
      <c r="KZ132" s="504">
        <v>0</v>
      </c>
      <c r="LA132" s="504">
        <v>0</v>
      </c>
      <c r="LB132" s="504">
        <v>0</v>
      </c>
      <c r="LC132" s="504">
        <v>0</v>
      </c>
      <c r="LD132" s="504">
        <v>0</v>
      </c>
      <c r="LE132" s="504">
        <v>0</v>
      </c>
      <c r="LF132" s="504">
        <v>0</v>
      </c>
      <c r="LG132" s="504">
        <v>0</v>
      </c>
      <c r="LH132" s="504">
        <v>0</v>
      </c>
      <c r="LI132" s="504">
        <v>0</v>
      </c>
      <c r="LJ132" s="504">
        <v>0</v>
      </c>
      <c r="LK132" s="504">
        <v>0</v>
      </c>
      <c r="LL132" s="504">
        <v>0</v>
      </c>
      <c r="LM132" s="504">
        <v>0</v>
      </c>
      <c r="LN132" s="504">
        <v>0</v>
      </c>
      <c r="LO132" s="504">
        <v>0</v>
      </c>
      <c r="LP132" s="504">
        <v>0</v>
      </c>
      <c r="LQ132" s="504">
        <v>0</v>
      </c>
      <c r="LR132" s="504">
        <v>0</v>
      </c>
      <c r="LS132" s="504">
        <v>0</v>
      </c>
      <c r="LT132" s="504">
        <v>0</v>
      </c>
      <c r="LU132" s="504">
        <v>0</v>
      </c>
      <c r="LV132" s="504">
        <v>0</v>
      </c>
      <c r="LW132" s="504">
        <v>0</v>
      </c>
      <c r="LX132" s="504">
        <v>0</v>
      </c>
      <c r="LY132" s="504">
        <v>0</v>
      </c>
      <c r="LZ132" s="504">
        <v>0</v>
      </c>
      <c r="MA132" s="504">
        <v>0</v>
      </c>
      <c r="MB132" s="504">
        <v>0</v>
      </c>
      <c r="MC132" s="504">
        <v>0</v>
      </c>
      <c r="MD132" s="504">
        <v>0</v>
      </c>
      <c r="ME132" s="504">
        <v>0</v>
      </c>
      <c r="MF132" s="504">
        <v>0</v>
      </c>
      <c r="MG132" s="504">
        <v>0</v>
      </c>
      <c r="MH132" s="504">
        <v>0</v>
      </c>
      <c r="MI132" s="504">
        <v>0</v>
      </c>
      <c r="MJ132" s="504">
        <v>0</v>
      </c>
      <c r="MK132" s="504">
        <v>0</v>
      </c>
      <c r="ML132" s="504">
        <v>0</v>
      </c>
      <c r="MM132" s="504">
        <v>0</v>
      </c>
      <c r="MN132" s="504">
        <v>0</v>
      </c>
      <c r="MO132" s="504">
        <v>0</v>
      </c>
      <c r="MP132" s="504">
        <v>0</v>
      </c>
      <c r="MQ132" s="504">
        <v>0</v>
      </c>
      <c r="MR132" s="504">
        <v>0</v>
      </c>
      <c r="MS132" s="504">
        <v>0</v>
      </c>
      <c r="MT132" s="504">
        <v>0</v>
      </c>
      <c r="MU132" s="504">
        <v>0</v>
      </c>
      <c r="MV132" s="504">
        <v>0</v>
      </c>
      <c r="MW132" s="504">
        <v>0</v>
      </c>
      <c r="MX132" s="504">
        <v>0</v>
      </c>
      <c r="MY132" s="504">
        <v>0</v>
      </c>
      <c r="MZ132" s="504">
        <v>0</v>
      </c>
      <c r="NA132" s="504">
        <v>0</v>
      </c>
      <c r="NB132" s="504">
        <v>0</v>
      </c>
      <c r="NC132" s="504">
        <v>0</v>
      </c>
      <c r="ND132" s="504">
        <v>0</v>
      </c>
      <c r="NE132" s="504">
        <v>0</v>
      </c>
      <c r="NF132" s="504">
        <v>0</v>
      </c>
      <c r="NG132" s="504">
        <v>0</v>
      </c>
      <c r="NH132" s="504">
        <v>0</v>
      </c>
      <c r="NI132" s="504">
        <v>0</v>
      </c>
      <c r="NJ132" s="504">
        <v>0</v>
      </c>
      <c r="NK132" s="504">
        <v>0</v>
      </c>
      <c r="NL132" s="504">
        <v>0</v>
      </c>
      <c r="NM132" s="504">
        <v>0</v>
      </c>
      <c r="NN132" s="504">
        <v>0</v>
      </c>
      <c r="NO132" s="504">
        <v>0</v>
      </c>
      <c r="NP132" s="504">
        <v>0</v>
      </c>
      <c r="NQ132" s="504">
        <v>0</v>
      </c>
      <c r="NR132" s="504">
        <v>0</v>
      </c>
      <c r="NS132" s="504">
        <v>0</v>
      </c>
      <c r="NT132" s="504">
        <v>0</v>
      </c>
      <c r="NU132" s="504">
        <v>0</v>
      </c>
      <c r="NV132" s="504">
        <v>0</v>
      </c>
      <c r="NW132" s="504">
        <v>0</v>
      </c>
      <c r="NX132" s="504">
        <v>0</v>
      </c>
      <c r="NY132" s="504">
        <v>0</v>
      </c>
      <c r="NZ132" s="504">
        <v>0</v>
      </c>
      <c r="OA132" s="504">
        <v>0</v>
      </c>
      <c r="OB132" s="504">
        <v>0</v>
      </c>
      <c r="OC132" s="504">
        <v>0</v>
      </c>
      <c r="OD132" s="504">
        <v>0</v>
      </c>
      <c r="OE132" s="504">
        <v>0</v>
      </c>
      <c r="OF132" s="504">
        <v>0</v>
      </c>
      <c r="OG132" s="504">
        <v>0</v>
      </c>
      <c r="OH132" s="504">
        <v>0</v>
      </c>
      <c r="OI132" s="504">
        <v>0</v>
      </c>
      <c r="OJ132" s="504">
        <v>0</v>
      </c>
      <c r="OK132" s="504">
        <v>0</v>
      </c>
      <c r="OL132" s="504">
        <v>0</v>
      </c>
      <c r="OM132" s="504">
        <v>0</v>
      </c>
      <c r="ON132" s="494"/>
    </row>
    <row r="133" spans="1:404" ht="18.75" customHeight="1" x14ac:dyDescent="0.4">
      <c r="A133" s="511" t="s">
        <v>403</v>
      </c>
      <c r="B133" s="512">
        <v>234</v>
      </c>
      <c r="C133" s="511" t="s">
        <v>60</v>
      </c>
      <c r="D133" s="501">
        <v>36.89</v>
      </c>
      <c r="E133" s="502">
        <v>24767</v>
      </c>
      <c r="F133" s="501">
        <v>36.89</v>
      </c>
      <c r="G133" s="502">
        <v>11986</v>
      </c>
      <c r="H133" s="501">
        <v>36.89</v>
      </c>
      <c r="I133" s="502">
        <v>33371</v>
      </c>
      <c r="J133" s="501">
        <v>36.89</v>
      </c>
      <c r="K133" s="502">
        <v>32500</v>
      </c>
      <c r="V133" s="501"/>
      <c r="W133" s="503"/>
      <c r="X133" s="501"/>
      <c r="Y133" s="503"/>
      <c r="Z133" s="501"/>
      <c r="AA133" s="503"/>
      <c r="AB133" s="495"/>
      <c r="AC133" s="504">
        <v>0</v>
      </c>
      <c r="AD133" s="504">
        <v>0</v>
      </c>
      <c r="AE133" s="504">
        <v>0</v>
      </c>
      <c r="AF133" s="504">
        <v>0</v>
      </c>
      <c r="AG133" s="504">
        <v>0</v>
      </c>
      <c r="AH133" s="504">
        <v>0</v>
      </c>
      <c r="AI133" s="504">
        <v>0</v>
      </c>
      <c r="AJ133" s="504">
        <v>0</v>
      </c>
      <c r="AK133" s="504">
        <v>0</v>
      </c>
      <c r="AL133" s="504">
        <v>0</v>
      </c>
      <c r="AM133" s="504">
        <v>0</v>
      </c>
      <c r="AN133" s="504">
        <v>0</v>
      </c>
      <c r="AO133" s="504">
        <v>0</v>
      </c>
      <c r="AP133" s="504">
        <v>0</v>
      </c>
      <c r="AQ133" s="504">
        <v>0</v>
      </c>
      <c r="AR133" s="504">
        <v>0</v>
      </c>
      <c r="AS133" s="504">
        <v>0</v>
      </c>
      <c r="AT133" s="504">
        <v>0</v>
      </c>
      <c r="AU133" s="504">
        <v>0</v>
      </c>
      <c r="AV133" s="504">
        <v>0</v>
      </c>
      <c r="AW133" s="504">
        <v>0</v>
      </c>
      <c r="AX133" s="504">
        <v>0</v>
      </c>
      <c r="AY133" s="504">
        <v>0</v>
      </c>
      <c r="AZ133" s="504">
        <v>0</v>
      </c>
      <c r="BA133" s="504">
        <v>0</v>
      </c>
      <c r="BB133" s="504">
        <v>0</v>
      </c>
      <c r="BC133" s="504">
        <v>0</v>
      </c>
      <c r="BD133" s="504">
        <v>0</v>
      </c>
      <c r="BE133" s="504">
        <v>0</v>
      </c>
      <c r="BF133" s="504">
        <v>0</v>
      </c>
      <c r="BG133" s="504">
        <v>0</v>
      </c>
      <c r="BH133" s="504">
        <v>0</v>
      </c>
      <c r="BI133" s="504">
        <v>0</v>
      </c>
      <c r="BJ133" s="504">
        <v>0</v>
      </c>
      <c r="BK133" s="504">
        <v>0</v>
      </c>
      <c r="BL133" s="504">
        <v>0</v>
      </c>
      <c r="BM133" s="504">
        <v>0</v>
      </c>
      <c r="BN133" s="504">
        <v>0</v>
      </c>
      <c r="BO133" s="504">
        <v>0</v>
      </c>
      <c r="BP133" s="504">
        <v>0</v>
      </c>
      <c r="BQ133" s="504">
        <v>0</v>
      </c>
      <c r="BR133" s="504">
        <v>0</v>
      </c>
      <c r="BS133" s="504">
        <v>0</v>
      </c>
      <c r="BT133" s="504">
        <v>0</v>
      </c>
      <c r="BU133" s="504">
        <v>0</v>
      </c>
      <c r="BV133" s="504">
        <v>0</v>
      </c>
      <c r="BW133" s="504">
        <v>0</v>
      </c>
      <c r="BX133" s="504">
        <v>0</v>
      </c>
      <c r="BY133" s="504">
        <v>0</v>
      </c>
      <c r="BZ133" s="504">
        <v>0</v>
      </c>
      <c r="CA133" s="504">
        <v>0</v>
      </c>
      <c r="CB133" s="504">
        <v>0</v>
      </c>
      <c r="CC133" s="504">
        <v>0</v>
      </c>
      <c r="CD133" s="504">
        <v>0</v>
      </c>
      <c r="CE133" s="504">
        <v>0</v>
      </c>
      <c r="CF133" s="504">
        <v>0</v>
      </c>
      <c r="CG133" s="504">
        <v>0</v>
      </c>
      <c r="CH133" s="504">
        <v>0</v>
      </c>
      <c r="CI133" s="504">
        <v>0</v>
      </c>
      <c r="CJ133" s="504">
        <v>0</v>
      </c>
      <c r="CK133" s="504">
        <v>0</v>
      </c>
      <c r="CL133" s="504">
        <v>0</v>
      </c>
      <c r="CM133" s="504">
        <v>0</v>
      </c>
      <c r="CN133" s="504">
        <v>0</v>
      </c>
      <c r="CO133" s="504">
        <v>0</v>
      </c>
      <c r="CP133" s="504">
        <v>0</v>
      </c>
      <c r="CQ133" s="504">
        <v>0</v>
      </c>
      <c r="CR133" s="504">
        <v>0</v>
      </c>
      <c r="CS133" s="504">
        <v>0</v>
      </c>
      <c r="CT133" s="504">
        <v>0</v>
      </c>
      <c r="CU133" s="504">
        <v>0</v>
      </c>
      <c r="CV133" s="504">
        <v>0</v>
      </c>
      <c r="CW133" s="504">
        <v>0</v>
      </c>
      <c r="CX133" s="504">
        <v>0</v>
      </c>
      <c r="CY133" s="504">
        <v>0</v>
      </c>
      <c r="CZ133" s="504">
        <v>0</v>
      </c>
      <c r="DA133" s="504">
        <v>0</v>
      </c>
      <c r="DB133" s="504">
        <v>0</v>
      </c>
      <c r="DC133" s="504">
        <v>0</v>
      </c>
      <c r="DD133" s="504">
        <v>0</v>
      </c>
      <c r="DE133" s="504">
        <v>0</v>
      </c>
      <c r="DF133" s="504">
        <v>0</v>
      </c>
      <c r="DG133" s="504">
        <v>0</v>
      </c>
      <c r="DH133" s="504">
        <v>0</v>
      </c>
      <c r="DI133" s="504">
        <v>0</v>
      </c>
      <c r="DJ133" s="504">
        <v>0</v>
      </c>
      <c r="DK133" s="504">
        <v>0</v>
      </c>
      <c r="DL133" s="504">
        <v>0</v>
      </c>
      <c r="DM133" s="504">
        <v>0</v>
      </c>
      <c r="DN133" s="504">
        <v>0</v>
      </c>
      <c r="DO133" s="504">
        <v>0</v>
      </c>
      <c r="DP133" s="504">
        <v>0</v>
      </c>
      <c r="DQ133" s="504">
        <v>0</v>
      </c>
      <c r="DR133" s="504">
        <v>0</v>
      </c>
      <c r="DS133" s="504">
        <v>0</v>
      </c>
      <c r="DT133" s="504">
        <v>0</v>
      </c>
      <c r="DU133" s="504">
        <v>0</v>
      </c>
      <c r="DV133" s="504">
        <v>0</v>
      </c>
      <c r="DW133" s="504">
        <v>0</v>
      </c>
      <c r="DX133" s="504">
        <v>0</v>
      </c>
      <c r="DY133" s="504">
        <v>0</v>
      </c>
      <c r="DZ133" s="504">
        <v>0</v>
      </c>
      <c r="EA133" s="504">
        <v>0</v>
      </c>
      <c r="EB133" s="504">
        <v>0</v>
      </c>
      <c r="EC133" s="504">
        <v>0</v>
      </c>
      <c r="ED133" s="504">
        <v>0</v>
      </c>
      <c r="EE133" s="504">
        <v>0</v>
      </c>
      <c r="EF133" s="504">
        <v>0</v>
      </c>
      <c r="EG133" s="504">
        <v>0</v>
      </c>
      <c r="EH133" s="504">
        <v>0</v>
      </c>
      <c r="EI133" s="504">
        <v>0</v>
      </c>
      <c r="EJ133" s="504">
        <v>0</v>
      </c>
      <c r="EK133" s="504">
        <v>0</v>
      </c>
      <c r="EL133" s="504">
        <v>0</v>
      </c>
      <c r="EM133" s="504">
        <v>0</v>
      </c>
      <c r="EN133" s="504">
        <v>0</v>
      </c>
      <c r="EO133" s="504">
        <v>0</v>
      </c>
      <c r="EP133" s="504">
        <v>0</v>
      </c>
      <c r="EQ133" s="504">
        <v>0</v>
      </c>
      <c r="ER133" s="504">
        <v>0</v>
      </c>
      <c r="ES133" s="504">
        <v>0</v>
      </c>
      <c r="ET133" s="504">
        <v>0</v>
      </c>
      <c r="EU133" s="504">
        <v>0</v>
      </c>
      <c r="EV133" s="504">
        <v>0</v>
      </c>
      <c r="EW133" s="504">
        <v>0</v>
      </c>
      <c r="EX133" s="504">
        <v>0</v>
      </c>
      <c r="EY133" s="504">
        <v>0</v>
      </c>
      <c r="EZ133" s="504">
        <v>0</v>
      </c>
      <c r="FA133" s="504">
        <v>0</v>
      </c>
      <c r="FB133" s="504">
        <v>0</v>
      </c>
      <c r="FC133" s="504">
        <v>0</v>
      </c>
      <c r="FD133" s="504">
        <v>0</v>
      </c>
      <c r="FE133" s="504">
        <v>0</v>
      </c>
      <c r="FF133" s="504">
        <v>0</v>
      </c>
      <c r="FG133" s="504">
        <v>0</v>
      </c>
      <c r="FH133" s="504">
        <v>0</v>
      </c>
      <c r="FI133" s="504">
        <v>0</v>
      </c>
      <c r="FJ133" s="504">
        <v>0</v>
      </c>
      <c r="FK133" s="504">
        <v>0</v>
      </c>
      <c r="FL133" s="504">
        <v>0</v>
      </c>
      <c r="FM133" s="504">
        <v>0</v>
      </c>
      <c r="FN133" s="504">
        <v>0</v>
      </c>
      <c r="FO133" s="504">
        <v>0</v>
      </c>
      <c r="FP133" s="504">
        <v>0</v>
      </c>
      <c r="FQ133" s="504">
        <v>0</v>
      </c>
      <c r="FR133" s="504">
        <v>0</v>
      </c>
      <c r="FS133" s="504">
        <v>0</v>
      </c>
      <c r="FT133" s="504">
        <v>0</v>
      </c>
      <c r="FU133" s="504">
        <v>0</v>
      </c>
      <c r="FV133" s="504">
        <v>0</v>
      </c>
      <c r="FW133" s="504">
        <v>0</v>
      </c>
      <c r="FX133" s="504">
        <v>0</v>
      </c>
      <c r="FY133" s="504">
        <v>0</v>
      </c>
      <c r="FZ133" s="504">
        <v>0</v>
      </c>
      <c r="GA133" s="504">
        <v>0</v>
      </c>
      <c r="GB133" s="504">
        <v>0</v>
      </c>
      <c r="GC133" s="504">
        <v>0</v>
      </c>
      <c r="GD133" s="504">
        <v>0</v>
      </c>
      <c r="GE133" s="504">
        <v>0</v>
      </c>
      <c r="GF133" s="504">
        <v>0</v>
      </c>
      <c r="GG133" s="504">
        <v>0</v>
      </c>
      <c r="GH133" s="504">
        <v>0</v>
      </c>
      <c r="GI133" s="504">
        <v>0</v>
      </c>
      <c r="GJ133" s="504">
        <v>0</v>
      </c>
      <c r="GK133" s="504">
        <v>0</v>
      </c>
      <c r="GL133" s="504">
        <v>0</v>
      </c>
      <c r="GM133" s="504">
        <v>0</v>
      </c>
      <c r="GN133" s="504">
        <v>0</v>
      </c>
      <c r="GO133" s="504">
        <v>0</v>
      </c>
      <c r="GP133" s="504">
        <v>0</v>
      </c>
      <c r="GQ133" s="504">
        <v>0</v>
      </c>
      <c r="GR133" s="504">
        <v>0</v>
      </c>
      <c r="GS133" s="504">
        <v>0</v>
      </c>
      <c r="GT133" s="504">
        <v>0</v>
      </c>
      <c r="GU133" s="504">
        <v>0</v>
      </c>
      <c r="GV133" s="504">
        <v>0</v>
      </c>
      <c r="GW133" s="504">
        <v>0</v>
      </c>
      <c r="GX133" s="504">
        <v>0</v>
      </c>
      <c r="GY133" s="504">
        <v>0</v>
      </c>
      <c r="GZ133" s="504">
        <v>0</v>
      </c>
      <c r="HA133" s="504">
        <v>0</v>
      </c>
      <c r="HB133" s="504">
        <v>0</v>
      </c>
      <c r="HC133" s="504">
        <v>0</v>
      </c>
      <c r="HD133" s="504">
        <v>0</v>
      </c>
      <c r="HE133" s="504">
        <v>0</v>
      </c>
      <c r="HF133" s="504">
        <v>0</v>
      </c>
      <c r="HG133" s="504">
        <v>0</v>
      </c>
      <c r="HH133" s="504">
        <v>0</v>
      </c>
      <c r="HI133" s="504">
        <v>0</v>
      </c>
      <c r="HJ133" s="504">
        <v>0</v>
      </c>
      <c r="HK133" s="504">
        <v>0</v>
      </c>
      <c r="HL133" s="504">
        <v>0</v>
      </c>
      <c r="HM133" s="504">
        <v>0</v>
      </c>
      <c r="HN133" s="504">
        <v>0</v>
      </c>
      <c r="HO133" s="504">
        <v>0</v>
      </c>
      <c r="HP133" s="504">
        <v>0</v>
      </c>
      <c r="HQ133" s="504">
        <v>0</v>
      </c>
      <c r="HR133" s="504">
        <v>0</v>
      </c>
      <c r="HS133" s="504">
        <v>0</v>
      </c>
      <c r="HT133" s="504">
        <v>0</v>
      </c>
      <c r="HU133" s="504">
        <v>0</v>
      </c>
      <c r="HV133" s="504">
        <v>0</v>
      </c>
      <c r="HW133" s="504">
        <v>0</v>
      </c>
      <c r="HX133" s="504">
        <v>0</v>
      </c>
      <c r="HY133" s="504">
        <v>0</v>
      </c>
      <c r="HZ133" s="504">
        <v>0</v>
      </c>
      <c r="IA133" s="504">
        <v>0</v>
      </c>
      <c r="IB133" s="504">
        <v>0</v>
      </c>
      <c r="IC133" s="504">
        <v>0</v>
      </c>
      <c r="ID133" s="504">
        <v>0</v>
      </c>
      <c r="IE133" s="504">
        <v>0</v>
      </c>
      <c r="IF133" s="504">
        <v>0</v>
      </c>
      <c r="IG133" s="504">
        <v>0</v>
      </c>
      <c r="IH133" s="504">
        <v>0</v>
      </c>
      <c r="II133" s="504">
        <v>0</v>
      </c>
      <c r="IJ133" s="504">
        <v>0</v>
      </c>
      <c r="IK133" s="504">
        <v>0</v>
      </c>
      <c r="IL133" s="504">
        <v>0</v>
      </c>
      <c r="IM133" s="504">
        <v>0</v>
      </c>
      <c r="IN133" s="504">
        <v>0</v>
      </c>
      <c r="IO133" s="504">
        <v>0</v>
      </c>
      <c r="IP133" s="504">
        <v>0</v>
      </c>
      <c r="IQ133" s="504">
        <v>0</v>
      </c>
      <c r="IR133" s="504">
        <v>0</v>
      </c>
      <c r="IS133" s="504">
        <v>0</v>
      </c>
      <c r="IT133" s="504">
        <v>0</v>
      </c>
      <c r="IU133" s="504">
        <v>0</v>
      </c>
      <c r="IV133" s="504">
        <v>0</v>
      </c>
      <c r="IW133" s="504">
        <v>0</v>
      </c>
      <c r="IX133" s="504">
        <v>0</v>
      </c>
      <c r="IY133" s="504">
        <v>0</v>
      </c>
      <c r="IZ133" s="504">
        <v>0</v>
      </c>
      <c r="JA133" s="504">
        <v>0</v>
      </c>
      <c r="JB133" s="504">
        <v>0</v>
      </c>
      <c r="JC133" s="504">
        <v>0</v>
      </c>
      <c r="JD133" s="504">
        <v>0</v>
      </c>
      <c r="JE133" s="504">
        <v>0</v>
      </c>
      <c r="JF133" s="504">
        <v>0</v>
      </c>
      <c r="JG133" s="504">
        <v>0</v>
      </c>
      <c r="JH133" s="504">
        <v>0</v>
      </c>
      <c r="JI133" s="504">
        <v>0</v>
      </c>
      <c r="JJ133" s="504">
        <v>0</v>
      </c>
      <c r="JK133" s="504">
        <v>0</v>
      </c>
      <c r="JL133" s="504">
        <v>0</v>
      </c>
      <c r="JM133" s="504">
        <v>0</v>
      </c>
      <c r="JN133" s="504">
        <v>0</v>
      </c>
      <c r="JO133" s="504">
        <v>0</v>
      </c>
      <c r="JP133" s="504">
        <v>0</v>
      </c>
      <c r="JQ133" s="504">
        <v>0</v>
      </c>
      <c r="JR133" s="504">
        <v>0</v>
      </c>
      <c r="JS133" s="504">
        <v>0</v>
      </c>
      <c r="JT133" s="504">
        <v>0</v>
      </c>
      <c r="JU133" s="504">
        <v>0</v>
      </c>
      <c r="JV133" s="504">
        <v>0</v>
      </c>
      <c r="JW133" s="504">
        <v>0</v>
      </c>
      <c r="JX133" s="504">
        <v>0</v>
      </c>
      <c r="JY133" s="504">
        <v>0</v>
      </c>
      <c r="JZ133" s="504">
        <v>0</v>
      </c>
      <c r="KA133" s="504">
        <v>0</v>
      </c>
      <c r="KB133" s="504">
        <v>0</v>
      </c>
      <c r="KC133" s="504">
        <v>0</v>
      </c>
      <c r="KD133" s="504">
        <v>0</v>
      </c>
      <c r="KE133" s="504">
        <v>0</v>
      </c>
      <c r="KF133" s="504">
        <v>0</v>
      </c>
      <c r="KG133" s="504">
        <v>0</v>
      </c>
      <c r="KH133" s="504">
        <v>0</v>
      </c>
      <c r="KI133" s="504">
        <v>0</v>
      </c>
      <c r="KJ133" s="504">
        <v>0</v>
      </c>
      <c r="KK133" s="504">
        <v>0</v>
      </c>
      <c r="KL133" s="504">
        <v>0</v>
      </c>
      <c r="KM133" s="504">
        <v>0</v>
      </c>
      <c r="KN133" s="504">
        <v>0</v>
      </c>
      <c r="KO133" s="504">
        <v>0</v>
      </c>
      <c r="KP133" s="504">
        <v>0</v>
      </c>
      <c r="KQ133" s="504">
        <v>0</v>
      </c>
      <c r="KR133" s="504">
        <v>0</v>
      </c>
      <c r="KS133" s="504">
        <v>0</v>
      </c>
      <c r="KT133" s="504">
        <v>0</v>
      </c>
      <c r="KU133" s="504">
        <v>0</v>
      </c>
      <c r="KV133" s="504">
        <v>0</v>
      </c>
      <c r="KW133" s="504">
        <v>0</v>
      </c>
      <c r="KX133" s="504">
        <v>0</v>
      </c>
      <c r="KY133" s="504">
        <v>0</v>
      </c>
      <c r="KZ133" s="504">
        <v>0</v>
      </c>
      <c r="LA133" s="504">
        <v>0</v>
      </c>
      <c r="LB133" s="504">
        <v>0</v>
      </c>
      <c r="LC133" s="504">
        <v>0</v>
      </c>
      <c r="LD133" s="504">
        <v>0</v>
      </c>
      <c r="LE133" s="504">
        <v>0</v>
      </c>
      <c r="LF133" s="504">
        <v>0</v>
      </c>
      <c r="LG133" s="504">
        <v>0</v>
      </c>
      <c r="LH133" s="504">
        <v>0</v>
      </c>
      <c r="LI133" s="504">
        <v>0</v>
      </c>
      <c r="LJ133" s="504">
        <v>0</v>
      </c>
      <c r="LK133" s="504">
        <v>0</v>
      </c>
      <c r="LL133" s="504">
        <v>0</v>
      </c>
      <c r="LM133" s="504">
        <v>0</v>
      </c>
      <c r="LN133" s="504">
        <v>0</v>
      </c>
      <c r="LO133" s="504">
        <v>0</v>
      </c>
      <c r="LP133" s="504">
        <v>0</v>
      </c>
      <c r="LQ133" s="504">
        <v>0</v>
      </c>
      <c r="LR133" s="504">
        <v>0</v>
      </c>
      <c r="LS133" s="504">
        <v>0</v>
      </c>
      <c r="LT133" s="504">
        <v>0</v>
      </c>
      <c r="LU133" s="504">
        <v>0</v>
      </c>
      <c r="LV133" s="504">
        <v>0</v>
      </c>
      <c r="LW133" s="504">
        <v>0</v>
      </c>
      <c r="LX133" s="504">
        <v>0</v>
      </c>
      <c r="LY133" s="504">
        <v>0</v>
      </c>
      <c r="LZ133" s="504">
        <v>0</v>
      </c>
      <c r="MA133" s="504">
        <v>0</v>
      </c>
      <c r="MB133" s="504">
        <v>0</v>
      </c>
      <c r="MC133" s="504">
        <v>0</v>
      </c>
      <c r="MD133" s="504">
        <v>0</v>
      </c>
      <c r="ME133" s="504">
        <v>0</v>
      </c>
      <c r="MF133" s="504">
        <v>0</v>
      </c>
      <c r="MG133" s="504">
        <v>0</v>
      </c>
      <c r="MH133" s="504">
        <v>0</v>
      </c>
      <c r="MI133" s="504">
        <v>0</v>
      </c>
      <c r="MJ133" s="504">
        <v>0</v>
      </c>
      <c r="MK133" s="504">
        <v>0</v>
      </c>
      <c r="ML133" s="504">
        <v>0</v>
      </c>
      <c r="MM133" s="504">
        <v>0</v>
      </c>
      <c r="MN133" s="504">
        <v>0</v>
      </c>
      <c r="MO133" s="504">
        <v>0</v>
      </c>
      <c r="MP133" s="504">
        <v>0</v>
      </c>
      <c r="MQ133" s="504">
        <v>0</v>
      </c>
      <c r="MR133" s="504">
        <v>0</v>
      </c>
      <c r="MS133" s="504">
        <v>0</v>
      </c>
      <c r="MT133" s="504">
        <v>0</v>
      </c>
      <c r="MU133" s="504">
        <v>0</v>
      </c>
      <c r="MV133" s="504">
        <v>0</v>
      </c>
      <c r="MW133" s="504">
        <v>0</v>
      </c>
      <c r="MX133" s="504">
        <v>0</v>
      </c>
      <c r="MY133" s="504">
        <v>0</v>
      </c>
      <c r="MZ133" s="504">
        <v>0</v>
      </c>
      <c r="NA133" s="504">
        <v>0</v>
      </c>
      <c r="NB133" s="504">
        <v>0</v>
      </c>
      <c r="NC133" s="504">
        <v>0</v>
      </c>
      <c r="ND133" s="504">
        <v>0</v>
      </c>
      <c r="NE133" s="504">
        <v>0</v>
      </c>
      <c r="NF133" s="504">
        <v>0</v>
      </c>
      <c r="NG133" s="504">
        <v>0</v>
      </c>
      <c r="NH133" s="504">
        <v>0</v>
      </c>
      <c r="NI133" s="504">
        <v>0</v>
      </c>
      <c r="NJ133" s="504">
        <v>0</v>
      </c>
      <c r="NK133" s="504">
        <v>0</v>
      </c>
      <c r="NL133" s="504">
        <v>0</v>
      </c>
      <c r="NM133" s="504">
        <v>0</v>
      </c>
      <c r="NN133" s="504">
        <v>0</v>
      </c>
      <c r="NO133" s="504">
        <v>0</v>
      </c>
      <c r="NP133" s="504">
        <v>0</v>
      </c>
      <c r="NQ133" s="504">
        <v>0</v>
      </c>
      <c r="NR133" s="504">
        <v>0</v>
      </c>
      <c r="NS133" s="504">
        <v>0</v>
      </c>
      <c r="NT133" s="504">
        <v>0</v>
      </c>
      <c r="NU133" s="504">
        <v>0</v>
      </c>
      <c r="NV133" s="504">
        <v>0</v>
      </c>
      <c r="NW133" s="504">
        <v>0</v>
      </c>
      <c r="NX133" s="504">
        <v>0</v>
      </c>
      <c r="NY133" s="504">
        <v>0</v>
      </c>
      <c r="NZ133" s="504">
        <v>0</v>
      </c>
      <c r="OA133" s="504">
        <v>0</v>
      </c>
      <c r="OB133" s="504">
        <v>0</v>
      </c>
      <c r="OC133" s="504">
        <v>0</v>
      </c>
      <c r="OD133" s="504">
        <v>0</v>
      </c>
      <c r="OE133" s="504">
        <v>0</v>
      </c>
      <c r="OF133" s="504">
        <v>0</v>
      </c>
      <c r="OG133" s="504">
        <v>0</v>
      </c>
      <c r="OH133" s="504">
        <v>0</v>
      </c>
      <c r="OI133" s="504">
        <v>0</v>
      </c>
      <c r="OJ133" s="504">
        <v>0</v>
      </c>
      <c r="OK133" s="504">
        <v>0</v>
      </c>
      <c r="OL133" s="504">
        <v>0</v>
      </c>
      <c r="OM133" s="504">
        <v>0</v>
      </c>
      <c r="ON133" s="494"/>
    </row>
    <row r="134" spans="1:404" ht="18.75" customHeight="1" x14ac:dyDescent="0.4">
      <c r="A134" s="511" t="s">
        <v>404</v>
      </c>
      <c r="B134" s="512">
        <v>74</v>
      </c>
      <c r="C134" s="511" t="s">
        <v>60</v>
      </c>
      <c r="D134" s="501">
        <v>38.840000000000003</v>
      </c>
      <c r="F134" s="501">
        <v>38.950000000000003</v>
      </c>
      <c r="H134" s="501">
        <v>38.950000000000003</v>
      </c>
      <c r="J134" s="501">
        <v>38.950000000000003</v>
      </c>
      <c r="V134" s="501"/>
      <c r="W134" s="503"/>
      <c r="X134" s="501"/>
      <c r="Y134" s="503"/>
      <c r="Z134" s="501"/>
      <c r="AA134" s="503"/>
      <c r="AB134" s="495"/>
      <c r="AC134" s="504">
        <v>0</v>
      </c>
      <c r="AD134" s="504">
        <v>0</v>
      </c>
      <c r="AE134" s="504">
        <v>0</v>
      </c>
      <c r="AF134" s="504">
        <v>0</v>
      </c>
      <c r="AG134" s="504">
        <v>0</v>
      </c>
      <c r="AH134" s="504">
        <v>0</v>
      </c>
      <c r="AI134" s="504">
        <v>0</v>
      </c>
      <c r="AJ134" s="504">
        <v>0</v>
      </c>
      <c r="AK134" s="504">
        <v>0</v>
      </c>
      <c r="AL134" s="504">
        <v>0</v>
      </c>
      <c r="AM134" s="504">
        <v>0</v>
      </c>
      <c r="AN134" s="504">
        <v>0</v>
      </c>
      <c r="AO134" s="504">
        <v>0</v>
      </c>
      <c r="AP134" s="504">
        <v>0</v>
      </c>
      <c r="AQ134" s="504">
        <v>0</v>
      </c>
      <c r="AR134" s="504">
        <v>0</v>
      </c>
      <c r="AS134" s="504">
        <v>0</v>
      </c>
      <c r="AT134" s="504">
        <v>0</v>
      </c>
      <c r="AU134" s="504">
        <v>0</v>
      </c>
      <c r="AV134" s="504">
        <v>0</v>
      </c>
      <c r="AW134" s="504">
        <v>0</v>
      </c>
      <c r="AX134" s="504">
        <v>0</v>
      </c>
      <c r="AY134" s="504">
        <v>0</v>
      </c>
      <c r="AZ134" s="504">
        <v>0</v>
      </c>
      <c r="BA134" s="504">
        <v>0</v>
      </c>
      <c r="BB134" s="504">
        <v>0</v>
      </c>
      <c r="BC134" s="504">
        <v>0</v>
      </c>
      <c r="BD134" s="504">
        <v>0</v>
      </c>
      <c r="BE134" s="504">
        <v>0</v>
      </c>
      <c r="BF134" s="504">
        <v>0</v>
      </c>
      <c r="BG134" s="504">
        <v>0</v>
      </c>
      <c r="BH134" s="504">
        <v>0</v>
      </c>
      <c r="BI134" s="504">
        <v>0</v>
      </c>
      <c r="BJ134" s="504">
        <v>0</v>
      </c>
      <c r="BK134" s="504">
        <v>0</v>
      </c>
      <c r="BL134" s="504">
        <v>0</v>
      </c>
      <c r="BM134" s="504">
        <v>0</v>
      </c>
      <c r="BN134" s="504">
        <v>0</v>
      </c>
      <c r="BO134" s="504">
        <v>0</v>
      </c>
      <c r="BP134" s="504">
        <v>0</v>
      </c>
      <c r="BQ134" s="504">
        <v>0</v>
      </c>
      <c r="BR134" s="504">
        <v>0</v>
      </c>
      <c r="BS134" s="504">
        <v>0</v>
      </c>
      <c r="BT134" s="504">
        <v>0</v>
      </c>
      <c r="BU134" s="504">
        <v>0</v>
      </c>
      <c r="BV134" s="504">
        <v>0</v>
      </c>
      <c r="BW134" s="504">
        <v>0</v>
      </c>
      <c r="BX134" s="504">
        <v>0</v>
      </c>
      <c r="BY134" s="504">
        <v>0</v>
      </c>
      <c r="BZ134" s="504">
        <v>0</v>
      </c>
      <c r="CA134" s="504">
        <v>0</v>
      </c>
      <c r="CB134" s="504">
        <v>0</v>
      </c>
      <c r="CC134" s="504">
        <v>0</v>
      </c>
      <c r="CD134" s="504">
        <v>0</v>
      </c>
      <c r="CE134" s="504">
        <v>0</v>
      </c>
      <c r="CF134" s="504">
        <v>0</v>
      </c>
      <c r="CG134" s="504">
        <v>0</v>
      </c>
      <c r="CH134" s="504">
        <v>0</v>
      </c>
      <c r="CI134" s="504">
        <v>0</v>
      </c>
      <c r="CJ134" s="504">
        <v>0</v>
      </c>
      <c r="CK134" s="504">
        <v>0</v>
      </c>
      <c r="CL134" s="504">
        <v>0</v>
      </c>
      <c r="CM134" s="504">
        <v>0</v>
      </c>
      <c r="CN134" s="504">
        <v>0</v>
      </c>
      <c r="CO134" s="504">
        <v>0</v>
      </c>
      <c r="CP134" s="504">
        <v>0</v>
      </c>
      <c r="CQ134" s="504">
        <v>0</v>
      </c>
      <c r="CR134" s="504">
        <v>0</v>
      </c>
      <c r="CS134" s="504">
        <v>0</v>
      </c>
      <c r="CT134" s="504">
        <v>0</v>
      </c>
      <c r="CU134" s="504">
        <v>0</v>
      </c>
      <c r="CV134" s="504">
        <v>0</v>
      </c>
      <c r="CW134" s="504">
        <v>0</v>
      </c>
      <c r="CX134" s="504">
        <v>0</v>
      </c>
      <c r="CY134" s="504">
        <v>0</v>
      </c>
      <c r="CZ134" s="504">
        <v>0</v>
      </c>
      <c r="DA134" s="504">
        <v>0</v>
      </c>
      <c r="DB134" s="504">
        <v>0</v>
      </c>
      <c r="DC134" s="504">
        <v>0</v>
      </c>
      <c r="DD134" s="504">
        <v>0</v>
      </c>
      <c r="DE134" s="504">
        <v>0</v>
      </c>
      <c r="DF134" s="504">
        <v>0</v>
      </c>
      <c r="DG134" s="504">
        <v>0</v>
      </c>
      <c r="DH134" s="504">
        <v>0</v>
      </c>
      <c r="DI134" s="504">
        <v>0</v>
      </c>
      <c r="DJ134" s="504">
        <v>0</v>
      </c>
      <c r="DK134" s="504">
        <v>0</v>
      </c>
      <c r="DL134" s="504">
        <v>0</v>
      </c>
      <c r="DM134" s="504">
        <v>0</v>
      </c>
      <c r="DN134" s="504">
        <v>0</v>
      </c>
      <c r="DO134" s="504">
        <v>0</v>
      </c>
      <c r="DP134" s="504">
        <v>0</v>
      </c>
      <c r="DQ134" s="504">
        <v>0</v>
      </c>
      <c r="DR134" s="504">
        <v>0</v>
      </c>
      <c r="DS134" s="504">
        <v>0</v>
      </c>
      <c r="DT134" s="504">
        <v>0</v>
      </c>
      <c r="DU134" s="504">
        <v>0</v>
      </c>
      <c r="DV134" s="504">
        <v>0</v>
      </c>
      <c r="DW134" s="504">
        <v>0</v>
      </c>
      <c r="DX134" s="504">
        <v>0</v>
      </c>
      <c r="DY134" s="504">
        <v>0</v>
      </c>
      <c r="DZ134" s="504">
        <v>0</v>
      </c>
      <c r="EA134" s="504">
        <v>0</v>
      </c>
      <c r="EB134" s="504">
        <v>0</v>
      </c>
      <c r="EC134" s="504">
        <v>0</v>
      </c>
      <c r="ED134" s="504">
        <v>0</v>
      </c>
      <c r="EE134" s="504">
        <v>0</v>
      </c>
      <c r="EF134" s="504">
        <v>0</v>
      </c>
      <c r="EG134" s="504">
        <v>0</v>
      </c>
      <c r="EH134" s="504">
        <v>0</v>
      </c>
      <c r="EI134" s="504">
        <v>0</v>
      </c>
      <c r="EJ134" s="504">
        <v>0</v>
      </c>
      <c r="EK134" s="504">
        <v>0</v>
      </c>
      <c r="EL134" s="504">
        <v>0</v>
      </c>
      <c r="EM134" s="504">
        <v>0</v>
      </c>
      <c r="EN134" s="504">
        <v>0</v>
      </c>
      <c r="EO134" s="504">
        <v>0</v>
      </c>
      <c r="EP134" s="504">
        <v>0</v>
      </c>
      <c r="EQ134" s="504">
        <v>0</v>
      </c>
      <c r="ER134" s="504">
        <v>0</v>
      </c>
      <c r="ES134" s="504">
        <v>0</v>
      </c>
      <c r="ET134" s="504">
        <v>0</v>
      </c>
      <c r="EU134" s="504">
        <v>0</v>
      </c>
      <c r="EV134" s="504">
        <v>0</v>
      </c>
      <c r="EW134" s="504">
        <v>0</v>
      </c>
      <c r="EX134" s="504">
        <v>0</v>
      </c>
      <c r="EY134" s="504">
        <v>0</v>
      </c>
      <c r="EZ134" s="504">
        <v>0</v>
      </c>
      <c r="FA134" s="504">
        <v>0</v>
      </c>
      <c r="FB134" s="504">
        <v>0</v>
      </c>
      <c r="FC134" s="504">
        <v>0</v>
      </c>
      <c r="FD134" s="504">
        <v>0</v>
      </c>
      <c r="FE134" s="504">
        <v>0</v>
      </c>
      <c r="FF134" s="504">
        <v>0</v>
      </c>
      <c r="FG134" s="504">
        <v>0</v>
      </c>
      <c r="FH134" s="504">
        <v>0</v>
      </c>
      <c r="FI134" s="504">
        <v>0</v>
      </c>
      <c r="FJ134" s="504">
        <v>0</v>
      </c>
      <c r="FK134" s="504">
        <v>0</v>
      </c>
      <c r="FL134" s="504">
        <v>0</v>
      </c>
      <c r="FM134" s="504">
        <v>0</v>
      </c>
      <c r="FN134" s="504">
        <v>0</v>
      </c>
      <c r="FO134" s="504">
        <v>0</v>
      </c>
      <c r="FP134" s="504">
        <v>0</v>
      </c>
      <c r="FQ134" s="504">
        <v>0</v>
      </c>
      <c r="FR134" s="504">
        <v>0</v>
      </c>
      <c r="FS134" s="504">
        <v>0</v>
      </c>
      <c r="FT134" s="504">
        <v>0</v>
      </c>
      <c r="FU134" s="504">
        <v>0</v>
      </c>
      <c r="FV134" s="504">
        <v>0</v>
      </c>
      <c r="FW134" s="504">
        <v>0</v>
      </c>
      <c r="FX134" s="504">
        <v>0</v>
      </c>
      <c r="FY134" s="504">
        <v>0</v>
      </c>
      <c r="FZ134" s="504">
        <v>0</v>
      </c>
      <c r="GA134" s="504">
        <v>0</v>
      </c>
      <c r="GB134" s="504">
        <v>0</v>
      </c>
      <c r="GC134" s="504">
        <v>0</v>
      </c>
      <c r="GD134" s="504">
        <v>0</v>
      </c>
      <c r="GE134" s="504">
        <v>0</v>
      </c>
      <c r="GF134" s="504">
        <v>0</v>
      </c>
      <c r="GG134" s="504">
        <v>0</v>
      </c>
      <c r="GH134" s="504">
        <v>0</v>
      </c>
      <c r="GI134" s="504">
        <v>0</v>
      </c>
      <c r="GJ134" s="504">
        <v>0</v>
      </c>
      <c r="GK134" s="504">
        <v>0</v>
      </c>
      <c r="GL134" s="504">
        <v>0</v>
      </c>
      <c r="GM134" s="504">
        <v>0</v>
      </c>
      <c r="GN134" s="504">
        <v>0</v>
      </c>
      <c r="GO134" s="504">
        <v>0</v>
      </c>
      <c r="GP134" s="504">
        <v>0</v>
      </c>
      <c r="GQ134" s="504">
        <v>0</v>
      </c>
      <c r="GR134" s="504">
        <v>0</v>
      </c>
      <c r="GS134" s="504">
        <v>0</v>
      </c>
      <c r="GT134" s="504">
        <v>0</v>
      </c>
      <c r="GU134" s="504">
        <v>0</v>
      </c>
      <c r="GV134" s="504">
        <v>0</v>
      </c>
      <c r="GW134" s="504">
        <v>0</v>
      </c>
      <c r="GX134" s="504">
        <v>0</v>
      </c>
      <c r="GY134" s="504">
        <v>0</v>
      </c>
      <c r="GZ134" s="504">
        <v>0</v>
      </c>
      <c r="HA134" s="504">
        <v>0</v>
      </c>
      <c r="HB134" s="504">
        <v>0</v>
      </c>
      <c r="HC134" s="504">
        <v>0</v>
      </c>
      <c r="HD134" s="504">
        <v>0</v>
      </c>
      <c r="HE134" s="504">
        <v>0</v>
      </c>
      <c r="HF134" s="504">
        <v>0</v>
      </c>
      <c r="HG134" s="504">
        <v>0</v>
      </c>
      <c r="HH134" s="504">
        <v>0</v>
      </c>
      <c r="HI134" s="504">
        <v>0</v>
      </c>
      <c r="HJ134" s="504">
        <v>0</v>
      </c>
      <c r="HK134" s="504">
        <v>0</v>
      </c>
      <c r="HL134" s="504">
        <v>0</v>
      </c>
      <c r="HM134" s="504">
        <v>0</v>
      </c>
      <c r="HN134" s="504">
        <v>0</v>
      </c>
      <c r="HO134" s="504">
        <v>0</v>
      </c>
      <c r="HP134" s="504">
        <v>0</v>
      </c>
      <c r="HQ134" s="504">
        <v>0</v>
      </c>
      <c r="HR134" s="504">
        <v>0</v>
      </c>
      <c r="HS134" s="504">
        <v>0</v>
      </c>
      <c r="HT134" s="504">
        <v>0</v>
      </c>
      <c r="HU134" s="504">
        <v>0</v>
      </c>
      <c r="HV134" s="504">
        <v>0</v>
      </c>
      <c r="HW134" s="504">
        <v>0</v>
      </c>
      <c r="HX134" s="504">
        <v>0</v>
      </c>
      <c r="HY134" s="504">
        <v>0</v>
      </c>
      <c r="HZ134" s="504">
        <v>0</v>
      </c>
      <c r="IA134" s="504">
        <v>0</v>
      </c>
      <c r="IB134" s="504">
        <v>0</v>
      </c>
      <c r="IC134" s="504">
        <v>0</v>
      </c>
      <c r="ID134" s="504">
        <v>0</v>
      </c>
      <c r="IE134" s="504">
        <v>0</v>
      </c>
      <c r="IF134" s="504">
        <v>0</v>
      </c>
      <c r="IG134" s="504">
        <v>0</v>
      </c>
      <c r="IH134" s="504">
        <v>0</v>
      </c>
      <c r="II134" s="504">
        <v>0</v>
      </c>
      <c r="IJ134" s="504">
        <v>0</v>
      </c>
      <c r="IK134" s="504">
        <v>0</v>
      </c>
      <c r="IL134" s="504">
        <v>0</v>
      </c>
      <c r="IM134" s="504">
        <v>0</v>
      </c>
      <c r="IN134" s="504">
        <v>0</v>
      </c>
      <c r="IO134" s="504">
        <v>0</v>
      </c>
      <c r="IP134" s="504">
        <v>0</v>
      </c>
      <c r="IQ134" s="504">
        <v>0</v>
      </c>
      <c r="IR134" s="504">
        <v>0</v>
      </c>
      <c r="IS134" s="504">
        <v>0</v>
      </c>
      <c r="IT134" s="504">
        <v>0</v>
      </c>
      <c r="IU134" s="504">
        <v>0</v>
      </c>
      <c r="IV134" s="504">
        <v>0</v>
      </c>
      <c r="IW134" s="504">
        <v>0</v>
      </c>
      <c r="IX134" s="504">
        <v>0</v>
      </c>
      <c r="IY134" s="504">
        <v>0</v>
      </c>
      <c r="IZ134" s="504">
        <v>0</v>
      </c>
      <c r="JA134" s="504">
        <v>0</v>
      </c>
      <c r="JB134" s="504">
        <v>0</v>
      </c>
      <c r="JC134" s="504">
        <v>0</v>
      </c>
      <c r="JD134" s="504">
        <v>0</v>
      </c>
      <c r="JE134" s="504">
        <v>0</v>
      </c>
      <c r="JF134" s="504">
        <v>0</v>
      </c>
      <c r="JG134" s="504">
        <v>0</v>
      </c>
      <c r="JH134" s="504">
        <v>0</v>
      </c>
      <c r="JI134" s="504">
        <v>0</v>
      </c>
      <c r="JJ134" s="504">
        <v>0</v>
      </c>
      <c r="JK134" s="504">
        <v>0</v>
      </c>
      <c r="JL134" s="504">
        <v>0</v>
      </c>
      <c r="JM134" s="504">
        <v>0</v>
      </c>
      <c r="JN134" s="504">
        <v>0</v>
      </c>
      <c r="JO134" s="504">
        <v>0</v>
      </c>
      <c r="JP134" s="504">
        <v>0</v>
      </c>
      <c r="JQ134" s="504">
        <v>0</v>
      </c>
      <c r="JR134" s="504">
        <v>0</v>
      </c>
      <c r="JS134" s="504">
        <v>0</v>
      </c>
      <c r="JT134" s="504">
        <v>0</v>
      </c>
      <c r="JU134" s="504">
        <v>0</v>
      </c>
      <c r="JV134" s="504">
        <v>0</v>
      </c>
      <c r="JW134" s="504">
        <v>0</v>
      </c>
      <c r="JX134" s="504">
        <v>0</v>
      </c>
      <c r="JY134" s="504">
        <v>0</v>
      </c>
      <c r="JZ134" s="504">
        <v>0</v>
      </c>
      <c r="KA134" s="504">
        <v>0</v>
      </c>
      <c r="KB134" s="504">
        <v>0</v>
      </c>
      <c r="KC134" s="504">
        <v>0</v>
      </c>
      <c r="KD134" s="504">
        <v>0</v>
      </c>
      <c r="KE134" s="504">
        <v>0</v>
      </c>
      <c r="KF134" s="504">
        <v>0</v>
      </c>
      <c r="KG134" s="504">
        <v>0</v>
      </c>
      <c r="KH134" s="504">
        <v>0</v>
      </c>
      <c r="KI134" s="504">
        <v>0</v>
      </c>
      <c r="KJ134" s="504">
        <v>0</v>
      </c>
      <c r="KK134" s="504">
        <v>0</v>
      </c>
      <c r="KL134" s="504">
        <v>0</v>
      </c>
      <c r="KM134" s="504">
        <v>0</v>
      </c>
      <c r="KN134" s="504">
        <v>0</v>
      </c>
      <c r="KO134" s="504">
        <v>0</v>
      </c>
      <c r="KP134" s="504">
        <v>0</v>
      </c>
      <c r="KQ134" s="504">
        <v>0</v>
      </c>
      <c r="KR134" s="504">
        <v>0</v>
      </c>
      <c r="KS134" s="504">
        <v>0</v>
      </c>
      <c r="KT134" s="504">
        <v>0</v>
      </c>
      <c r="KU134" s="504">
        <v>0</v>
      </c>
      <c r="KV134" s="504">
        <v>0</v>
      </c>
      <c r="KW134" s="504">
        <v>0</v>
      </c>
      <c r="KX134" s="504">
        <v>0</v>
      </c>
      <c r="KY134" s="504">
        <v>0</v>
      </c>
      <c r="KZ134" s="504">
        <v>0</v>
      </c>
      <c r="LA134" s="504">
        <v>0</v>
      </c>
      <c r="LB134" s="504">
        <v>0</v>
      </c>
      <c r="LC134" s="504">
        <v>0</v>
      </c>
      <c r="LD134" s="504">
        <v>0</v>
      </c>
      <c r="LE134" s="504">
        <v>0</v>
      </c>
      <c r="LF134" s="504">
        <v>0</v>
      </c>
      <c r="LG134" s="504">
        <v>0</v>
      </c>
      <c r="LH134" s="504">
        <v>0</v>
      </c>
      <c r="LI134" s="504">
        <v>0</v>
      </c>
      <c r="LJ134" s="504">
        <v>0</v>
      </c>
      <c r="LK134" s="504">
        <v>0</v>
      </c>
      <c r="LL134" s="504">
        <v>0</v>
      </c>
      <c r="LM134" s="504">
        <v>0</v>
      </c>
      <c r="LN134" s="504">
        <v>0</v>
      </c>
      <c r="LO134" s="504">
        <v>0</v>
      </c>
      <c r="LP134" s="504">
        <v>0</v>
      </c>
      <c r="LQ134" s="504">
        <v>0</v>
      </c>
      <c r="LR134" s="504">
        <v>0</v>
      </c>
      <c r="LS134" s="504">
        <v>0</v>
      </c>
      <c r="LT134" s="504">
        <v>0</v>
      </c>
      <c r="LU134" s="504">
        <v>0</v>
      </c>
      <c r="LV134" s="504">
        <v>0</v>
      </c>
      <c r="LW134" s="504">
        <v>0</v>
      </c>
      <c r="LX134" s="504">
        <v>0</v>
      </c>
      <c r="LY134" s="504">
        <v>0</v>
      </c>
      <c r="LZ134" s="504">
        <v>0</v>
      </c>
      <c r="MA134" s="504">
        <v>0</v>
      </c>
      <c r="MB134" s="504">
        <v>0</v>
      </c>
      <c r="MC134" s="504">
        <v>0</v>
      </c>
      <c r="MD134" s="504">
        <v>0</v>
      </c>
      <c r="ME134" s="504">
        <v>0</v>
      </c>
      <c r="MF134" s="504">
        <v>0</v>
      </c>
      <c r="MG134" s="504">
        <v>0</v>
      </c>
      <c r="MH134" s="504">
        <v>0</v>
      </c>
      <c r="MI134" s="504">
        <v>0</v>
      </c>
      <c r="MJ134" s="504">
        <v>0</v>
      </c>
      <c r="MK134" s="504">
        <v>0</v>
      </c>
      <c r="ML134" s="504">
        <v>0</v>
      </c>
      <c r="MM134" s="504">
        <v>0</v>
      </c>
      <c r="MN134" s="504">
        <v>0</v>
      </c>
      <c r="MO134" s="504">
        <v>0</v>
      </c>
      <c r="MP134" s="504">
        <v>0</v>
      </c>
      <c r="MQ134" s="504">
        <v>0</v>
      </c>
      <c r="MR134" s="504">
        <v>0</v>
      </c>
      <c r="MS134" s="504">
        <v>0</v>
      </c>
      <c r="MT134" s="504">
        <v>0</v>
      </c>
      <c r="MU134" s="504">
        <v>0</v>
      </c>
      <c r="MV134" s="504">
        <v>0</v>
      </c>
      <c r="MW134" s="504">
        <v>0</v>
      </c>
      <c r="MX134" s="504">
        <v>0</v>
      </c>
      <c r="MY134" s="504">
        <v>0</v>
      </c>
      <c r="MZ134" s="504">
        <v>0</v>
      </c>
      <c r="NA134" s="504">
        <v>0</v>
      </c>
      <c r="NB134" s="504">
        <v>0</v>
      </c>
      <c r="NC134" s="504">
        <v>0</v>
      </c>
      <c r="ND134" s="504">
        <v>0</v>
      </c>
      <c r="NE134" s="504">
        <v>0</v>
      </c>
      <c r="NF134" s="504">
        <v>0</v>
      </c>
      <c r="NG134" s="504">
        <v>0</v>
      </c>
      <c r="NH134" s="504">
        <v>0</v>
      </c>
      <c r="NI134" s="504">
        <v>0</v>
      </c>
      <c r="NJ134" s="504">
        <v>0</v>
      </c>
      <c r="NK134" s="504">
        <v>0</v>
      </c>
      <c r="NL134" s="504">
        <v>0</v>
      </c>
      <c r="NM134" s="504">
        <v>0</v>
      </c>
      <c r="NN134" s="504">
        <v>0</v>
      </c>
      <c r="NO134" s="504">
        <v>0</v>
      </c>
      <c r="NP134" s="504">
        <v>0</v>
      </c>
      <c r="NQ134" s="504">
        <v>0</v>
      </c>
      <c r="NR134" s="504">
        <v>0</v>
      </c>
      <c r="NS134" s="504">
        <v>0</v>
      </c>
      <c r="NT134" s="504">
        <v>0</v>
      </c>
      <c r="NU134" s="504">
        <v>0</v>
      </c>
      <c r="NV134" s="504">
        <v>0</v>
      </c>
      <c r="NW134" s="504">
        <v>0</v>
      </c>
      <c r="NX134" s="504">
        <v>0</v>
      </c>
      <c r="NY134" s="504">
        <v>0</v>
      </c>
      <c r="NZ134" s="504">
        <v>0</v>
      </c>
      <c r="OA134" s="504">
        <v>0</v>
      </c>
      <c r="OB134" s="504">
        <v>0</v>
      </c>
      <c r="OC134" s="504">
        <v>0</v>
      </c>
      <c r="OD134" s="504">
        <v>0</v>
      </c>
      <c r="OE134" s="504">
        <v>0</v>
      </c>
      <c r="OF134" s="504">
        <v>0</v>
      </c>
      <c r="OG134" s="504">
        <v>0</v>
      </c>
      <c r="OH134" s="504">
        <v>0</v>
      </c>
      <c r="OI134" s="504">
        <v>0</v>
      </c>
      <c r="OJ134" s="504">
        <v>0</v>
      </c>
      <c r="OK134" s="504">
        <v>0</v>
      </c>
      <c r="OL134" s="504">
        <v>0</v>
      </c>
      <c r="OM134" s="504">
        <v>0</v>
      </c>
      <c r="ON134" s="494"/>
    </row>
    <row r="135" spans="1:404" ht="18.75" customHeight="1" x14ac:dyDescent="0.4">
      <c r="A135" s="511" t="s">
        <v>461</v>
      </c>
      <c r="B135" s="512">
        <v>230</v>
      </c>
      <c r="C135" s="511" t="s">
        <v>94</v>
      </c>
      <c r="D135" s="501">
        <v>37.869999999999997</v>
      </c>
      <c r="E135" s="502">
        <v>19210</v>
      </c>
      <c r="F135" s="501">
        <v>37.97</v>
      </c>
      <c r="G135" s="502">
        <v>16799</v>
      </c>
      <c r="H135" s="501">
        <v>37.97</v>
      </c>
      <c r="I135" s="502">
        <v>44700</v>
      </c>
      <c r="J135" s="501">
        <v>37.86</v>
      </c>
      <c r="K135" s="502">
        <v>47269</v>
      </c>
      <c r="V135" s="501"/>
      <c r="W135" s="503"/>
      <c r="X135" s="501"/>
      <c r="Y135" s="503"/>
      <c r="Z135" s="501"/>
      <c r="AA135" s="503"/>
      <c r="AB135" s="495"/>
      <c r="AC135" s="504">
        <v>0</v>
      </c>
      <c r="AD135" s="504">
        <v>0</v>
      </c>
      <c r="AE135" s="504">
        <v>0</v>
      </c>
      <c r="AF135" s="504">
        <v>0</v>
      </c>
      <c r="AG135" s="504">
        <v>0</v>
      </c>
      <c r="AH135" s="504">
        <v>0</v>
      </c>
      <c r="AI135" s="504">
        <v>0</v>
      </c>
      <c r="AJ135" s="504">
        <v>0</v>
      </c>
      <c r="AK135" s="504">
        <v>0</v>
      </c>
      <c r="AL135" s="504">
        <v>0</v>
      </c>
      <c r="AM135" s="504">
        <v>0</v>
      </c>
      <c r="AN135" s="504">
        <v>0</v>
      </c>
      <c r="AO135" s="504">
        <v>0</v>
      </c>
      <c r="AP135" s="504">
        <v>0</v>
      </c>
      <c r="AQ135" s="504">
        <v>0</v>
      </c>
      <c r="AR135" s="504">
        <v>0</v>
      </c>
      <c r="AS135" s="504">
        <v>0</v>
      </c>
      <c r="AT135" s="504">
        <v>0</v>
      </c>
      <c r="AU135" s="504">
        <v>0</v>
      </c>
      <c r="AV135" s="504">
        <v>0</v>
      </c>
      <c r="AW135" s="504">
        <v>0</v>
      </c>
      <c r="AX135" s="504">
        <v>0</v>
      </c>
      <c r="AY135" s="504">
        <v>0</v>
      </c>
      <c r="AZ135" s="504">
        <v>0</v>
      </c>
      <c r="BA135" s="504">
        <v>0</v>
      </c>
      <c r="BB135" s="504">
        <v>0</v>
      </c>
      <c r="BC135" s="504">
        <v>0</v>
      </c>
      <c r="BD135" s="504">
        <v>0</v>
      </c>
      <c r="BE135" s="504">
        <v>0</v>
      </c>
      <c r="BF135" s="504">
        <v>0</v>
      </c>
      <c r="BG135" s="504">
        <v>0</v>
      </c>
      <c r="BH135" s="504">
        <v>0</v>
      </c>
      <c r="BI135" s="504">
        <v>0</v>
      </c>
      <c r="BJ135" s="504">
        <v>0</v>
      </c>
      <c r="BK135" s="504">
        <v>0</v>
      </c>
      <c r="BL135" s="504">
        <v>0</v>
      </c>
      <c r="BM135" s="504">
        <v>0</v>
      </c>
      <c r="BN135" s="504">
        <v>0</v>
      </c>
      <c r="BO135" s="504">
        <v>0</v>
      </c>
      <c r="BP135" s="504">
        <v>0</v>
      </c>
      <c r="BQ135" s="504">
        <v>0</v>
      </c>
      <c r="BR135" s="504">
        <v>0</v>
      </c>
      <c r="BS135" s="504">
        <v>0</v>
      </c>
      <c r="BT135" s="504">
        <v>0</v>
      </c>
      <c r="BU135" s="504">
        <v>0</v>
      </c>
      <c r="BV135" s="504">
        <v>0</v>
      </c>
      <c r="BW135" s="504">
        <v>0</v>
      </c>
      <c r="BX135" s="504">
        <v>0</v>
      </c>
      <c r="BY135" s="504">
        <v>0</v>
      </c>
      <c r="BZ135" s="504">
        <v>0</v>
      </c>
      <c r="CA135" s="504">
        <v>0</v>
      </c>
      <c r="CB135" s="504">
        <v>0</v>
      </c>
      <c r="CC135" s="504">
        <v>0</v>
      </c>
      <c r="CD135" s="504">
        <v>0</v>
      </c>
      <c r="CE135" s="504">
        <v>0</v>
      </c>
      <c r="CF135" s="504">
        <v>0</v>
      </c>
      <c r="CG135" s="504">
        <v>0</v>
      </c>
      <c r="CH135" s="504">
        <v>0</v>
      </c>
      <c r="CI135" s="504">
        <v>0</v>
      </c>
      <c r="CJ135" s="504">
        <v>0</v>
      </c>
      <c r="CK135" s="504">
        <v>0</v>
      </c>
      <c r="CL135" s="504">
        <v>0</v>
      </c>
      <c r="CM135" s="504">
        <v>0</v>
      </c>
      <c r="CN135" s="504">
        <v>0</v>
      </c>
      <c r="CO135" s="504">
        <v>0</v>
      </c>
      <c r="CP135" s="504">
        <v>0</v>
      </c>
      <c r="CQ135" s="504">
        <v>0</v>
      </c>
      <c r="CR135" s="504">
        <v>0</v>
      </c>
      <c r="CS135" s="504">
        <v>0</v>
      </c>
      <c r="CT135" s="504">
        <v>0</v>
      </c>
      <c r="CU135" s="504">
        <v>0</v>
      </c>
      <c r="CV135" s="504">
        <v>0</v>
      </c>
      <c r="CW135" s="504">
        <v>0</v>
      </c>
      <c r="CX135" s="504">
        <v>0</v>
      </c>
      <c r="CY135" s="504">
        <v>0</v>
      </c>
      <c r="CZ135" s="504">
        <v>0</v>
      </c>
      <c r="DA135" s="504">
        <v>0</v>
      </c>
      <c r="DB135" s="504">
        <v>0</v>
      </c>
      <c r="DC135" s="504">
        <v>0</v>
      </c>
      <c r="DD135" s="504">
        <v>0</v>
      </c>
      <c r="DE135" s="504">
        <v>0</v>
      </c>
      <c r="DF135" s="504">
        <v>0</v>
      </c>
      <c r="DG135" s="504">
        <v>0</v>
      </c>
      <c r="DH135" s="504">
        <v>0</v>
      </c>
      <c r="DI135" s="504">
        <v>0</v>
      </c>
      <c r="DJ135" s="504">
        <v>0</v>
      </c>
      <c r="DK135" s="504">
        <v>0</v>
      </c>
      <c r="DL135" s="504">
        <v>0</v>
      </c>
      <c r="DM135" s="504">
        <v>0</v>
      </c>
      <c r="DN135" s="504">
        <v>0</v>
      </c>
      <c r="DO135" s="504">
        <v>0</v>
      </c>
      <c r="DP135" s="504">
        <v>0</v>
      </c>
      <c r="DQ135" s="504">
        <v>0</v>
      </c>
      <c r="DR135" s="504">
        <v>0</v>
      </c>
      <c r="DS135" s="504">
        <v>0</v>
      </c>
      <c r="DT135" s="504">
        <v>0</v>
      </c>
      <c r="DU135" s="504">
        <v>0</v>
      </c>
      <c r="DV135" s="504">
        <v>0</v>
      </c>
      <c r="DW135" s="504">
        <v>0</v>
      </c>
      <c r="DX135" s="504">
        <v>0</v>
      </c>
      <c r="DY135" s="504">
        <v>0</v>
      </c>
      <c r="DZ135" s="504">
        <v>0</v>
      </c>
      <c r="EA135" s="504">
        <v>0</v>
      </c>
      <c r="EB135" s="504">
        <v>0</v>
      </c>
      <c r="EC135" s="504">
        <v>0</v>
      </c>
      <c r="ED135" s="504">
        <v>0</v>
      </c>
      <c r="EE135" s="504">
        <v>0</v>
      </c>
      <c r="EF135" s="504">
        <v>0</v>
      </c>
      <c r="EG135" s="504">
        <v>0</v>
      </c>
      <c r="EH135" s="504">
        <v>0</v>
      </c>
      <c r="EI135" s="504">
        <v>0</v>
      </c>
      <c r="EJ135" s="504">
        <v>0</v>
      </c>
      <c r="EK135" s="504">
        <v>0</v>
      </c>
      <c r="EL135" s="504">
        <v>0</v>
      </c>
      <c r="EM135" s="504">
        <v>0</v>
      </c>
      <c r="EN135" s="504">
        <v>0</v>
      </c>
      <c r="EO135" s="504">
        <v>0</v>
      </c>
      <c r="EP135" s="504">
        <v>0</v>
      </c>
      <c r="EQ135" s="504">
        <v>0</v>
      </c>
      <c r="ER135" s="504">
        <v>0</v>
      </c>
      <c r="ES135" s="504">
        <v>0</v>
      </c>
      <c r="ET135" s="504">
        <v>0</v>
      </c>
      <c r="EU135" s="504">
        <v>0</v>
      </c>
      <c r="EV135" s="504">
        <v>0</v>
      </c>
      <c r="EW135" s="504">
        <v>0</v>
      </c>
      <c r="EX135" s="504">
        <v>0</v>
      </c>
      <c r="EY135" s="504">
        <v>0</v>
      </c>
      <c r="EZ135" s="504">
        <v>0</v>
      </c>
      <c r="FA135" s="504">
        <v>0</v>
      </c>
      <c r="FB135" s="504">
        <v>0</v>
      </c>
      <c r="FC135" s="504">
        <v>0</v>
      </c>
      <c r="FD135" s="504">
        <v>0</v>
      </c>
      <c r="FE135" s="504">
        <v>0</v>
      </c>
      <c r="FF135" s="504">
        <v>0</v>
      </c>
      <c r="FG135" s="504">
        <v>0</v>
      </c>
      <c r="FH135" s="504">
        <v>0</v>
      </c>
      <c r="FI135" s="504">
        <v>0</v>
      </c>
      <c r="FJ135" s="504">
        <v>0</v>
      </c>
      <c r="FK135" s="504">
        <v>0</v>
      </c>
      <c r="FL135" s="504">
        <v>0</v>
      </c>
      <c r="FM135" s="504">
        <v>0</v>
      </c>
      <c r="FN135" s="504">
        <v>0</v>
      </c>
      <c r="FO135" s="504">
        <v>0</v>
      </c>
      <c r="FP135" s="504">
        <v>0</v>
      </c>
      <c r="FQ135" s="504">
        <v>0</v>
      </c>
      <c r="FR135" s="504">
        <v>0</v>
      </c>
      <c r="FS135" s="504">
        <v>0</v>
      </c>
      <c r="FT135" s="504">
        <v>0</v>
      </c>
      <c r="FU135" s="504">
        <v>0</v>
      </c>
      <c r="FV135" s="504">
        <v>0</v>
      </c>
      <c r="FW135" s="504">
        <v>0</v>
      </c>
      <c r="FX135" s="504">
        <v>0</v>
      </c>
      <c r="FY135" s="504">
        <v>0</v>
      </c>
      <c r="FZ135" s="504">
        <v>0</v>
      </c>
      <c r="GA135" s="504">
        <v>0</v>
      </c>
      <c r="GB135" s="504">
        <v>0</v>
      </c>
      <c r="GC135" s="504">
        <v>0</v>
      </c>
      <c r="GD135" s="504">
        <v>0</v>
      </c>
      <c r="GE135" s="504">
        <v>0</v>
      </c>
      <c r="GF135" s="504">
        <v>0</v>
      </c>
      <c r="GG135" s="504">
        <v>0</v>
      </c>
      <c r="GH135" s="504">
        <v>0</v>
      </c>
      <c r="GI135" s="504">
        <v>0</v>
      </c>
      <c r="GJ135" s="504">
        <v>0</v>
      </c>
      <c r="GK135" s="504">
        <v>0</v>
      </c>
      <c r="GL135" s="504">
        <v>0</v>
      </c>
      <c r="GM135" s="504">
        <v>0</v>
      </c>
      <c r="GN135" s="504">
        <v>0</v>
      </c>
      <c r="GO135" s="504">
        <v>0</v>
      </c>
      <c r="GP135" s="504">
        <v>0</v>
      </c>
      <c r="GQ135" s="504">
        <v>0</v>
      </c>
      <c r="GR135" s="504">
        <v>0</v>
      </c>
      <c r="GS135" s="504">
        <v>0</v>
      </c>
      <c r="GT135" s="504">
        <v>0</v>
      </c>
      <c r="GU135" s="504">
        <v>0</v>
      </c>
      <c r="GV135" s="504">
        <v>0</v>
      </c>
      <c r="GW135" s="504">
        <v>0</v>
      </c>
      <c r="GX135" s="504">
        <v>0</v>
      </c>
      <c r="GY135" s="504">
        <v>0</v>
      </c>
      <c r="GZ135" s="504">
        <v>0</v>
      </c>
      <c r="HA135" s="504">
        <v>0</v>
      </c>
      <c r="HB135" s="504">
        <v>0</v>
      </c>
      <c r="HC135" s="504">
        <v>0</v>
      </c>
      <c r="HD135" s="504">
        <v>0</v>
      </c>
      <c r="HE135" s="504">
        <v>0</v>
      </c>
      <c r="HF135" s="504">
        <v>0</v>
      </c>
      <c r="HG135" s="504">
        <v>0</v>
      </c>
      <c r="HH135" s="504">
        <v>0</v>
      </c>
      <c r="HI135" s="504">
        <v>0</v>
      </c>
      <c r="HJ135" s="504">
        <v>0</v>
      </c>
      <c r="HK135" s="504">
        <v>0</v>
      </c>
      <c r="HL135" s="504">
        <v>0</v>
      </c>
      <c r="HM135" s="504">
        <v>0</v>
      </c>
      <c r="HN135" s="504">
        <v>0</v>
      </c>
      <c r="HO135" s="504">
        <v>0</v>
      </c>
      <c r="HP135" s="504">
        <v>0</v>
      </c>
      <c r="HQ135" s="504">
        <v>0</v>
      </c>
      <c r="HR135" s="504">
        <v>0</v>
      </c>
      <c r="HS135" s="504">
        <v>0</v>
      </c>
      <c r="HT135" s="504">
        <v>0</v>
      </c>
      <c r="HU135" s="504">
        <v>0</v>
      </c>
      <c r="HV135" s="504">
        <v>0</v>
      </c>
      <c r="HW135" s="504">
        <v>0</v>
      </c>
      <c r="HX135" s="504">
        <v>0</v>
      </c>
      <c r="HY135" s="504">
        <v>0</v>
      </c>
      <c r="HZ135" s="504">
        <v>0</v>
      </c>
      <c r="IA135" s="504">
        <v>0</v>
      </c>
      <c r="IB135" s="504">
        <v>0</v>
      </c>
      <c r="IC135" s="504">
        <v>0</v>
      </c>
      <c r="ID135" s="504">
        <v>0</v>
      </c>
      <c r="IE135" s="504">
        <v>0</v>
      </c>
      <c r="IF135" s="504">
        <v>0</v>
      </c>
      <c r="IG135" s="504">
        <v>0</v>
      </c>
      <c r="IH135" s="504">
        <v>0</v>
      </c>
      <c r="II135" s="504">
        <v>0</v>
      </c>
      <c r="IJ135" s="504">
        <v>0</v>
      </c>
      <c r="IK135" s="504">
        <v>0</v>
      </c>
      <c r="IL135" s="504">
        <v>0</v>
      </c>
      <c r="IM135" s="504">
        <v>0</v>
      </c>
      <c r="IN135" s="504">
        <v>0</v>
      </c>
      <c r="IO135" s="504">
        <v>0</v>
      </c>
      <c r="IP135" s="504">
        <v>0</v>
      </c>
      <c r="IQ135" s="504">
        <v>0</v>
      </c>
      <c r="IR135" s="504">
        <v>0</v>
      </c>
      <c r="IS135" s="504">
        <v>0</v>
      </c>
      <c r="IT135" s="504">
        <v>0</v>
      </c>
      <c r="IU135" s="504">
        <v>0</v>
      </c>
      <c r="IV135" s="504">
        <v>0</v>
      </c>
      <c r="IW135" s="504">
        <v>0</v>
      </c>
      <c r="IX135" s="504">
        <v>0</v>
      </c>
      <c r="IY135" s="504">
        <v>0</v>
      </c>
      <c r="IZ135" s="504">
        <v>0</v>
      </c>
      <c r="JA135" s="504">
        <v>0</v>
      </c>
      <c r="JB135" s="504">
        <v>0</v>
      </c>
      <c r="JC135" s="504">
        <v>0</v>
      </c>
      <c r="JD135" s="504">
        <v>0</v>
      </c>
      <c r="JE135" s="504">
        <v>0</v>
      </c>
      <c r="JF135" s="504">
        <v>0</v>
      </c>
      <c r="JG135" s="504">
        <v>0</v>
      </c>
      <c r="JH135" s="504">
        <v>0</v>
      </c>
      <c r="JI135" s="504">
        <v>0</v>
      </c>
      <c r="JJ135" s="504">
        <v>0</v>
      </c>
      <c r="JK135" s="504">
        <v>0</v>
      </c>
      <c r="JL135" s="504">
        <v>0</v>
      </c>
      <c r="JM135" s="504">
        <v>0</v>
      </c>
      <c r="JN135" s="504">
        <v>0</v>
      </c>
      <c r="JO135" s="504">
        <v>0</v>
      </c>
      <c r="JP135" s="504">
        <v>0</v>
      </c>
      <c r="JQ135" s="504">
        <v>0</v>
      </c>
      <c r="JR135" s="504">
        <v>0</v>
      </c>
      <c r="JS135" s="504">
        <v>0</v>
      </c>
      <c r="JT135" s="504">
        <v>0</v>
      </c>
      <c r="JU135" s="504">
        <v>0</v>
      </c>
      <c r="JV135" s="504">
        <v>0</v>
      </c>
      <c r="JW135" s="504">
        <v>0</v>
      </c>
      <c r="JX135" s="504">
        <v>0</v>
      </c>
      <c r="JY135" s="504">
        <v>0</v>
      </c>
      <c r="JZ135" s="504">
        <v>0</v>
      </c>
      <c r="KA135" s="504">
        <v>0</v>
      </c>
      <c r="KB135" s="504">
        <v>0</v>
      </c>
      <c r="KC135" s="504">
        <v>0</v>
      </c>
      <c r="KD135" s="504">
        <v>0</v>
      </c>
      <c r="KE135" s="504">
        <v>0</v>
      </c>
      <c r="KF135" s="504">
        <v>0</v>
      </c>
      <c r="KG135" s="504">
        <v>0</v>
      </c>
      <c r="KH135" s="504">
        <v>0</v>
      </c>
      <c r="KI135" s="504">
        <v>0</v>
      </c>
      <c r="KJ135" s="504">
        <v>0</v>
      </c>
      <c r="KK135" s="504">
        <v>0</v>
      </c>
      <c r="KL135" s="504">
        <v>0</v>
      </c>
      <c r="KM135" s="504">
        <v>0</v>
      </c>
      <c r="KN135" s="504">
        <v>0</v>
      </c>
      <c r="KO135" s="504">
        <v>0</v>
      </c>
      <c r="KP135" s="504">
        <v>0</v>
      </c>
      <c r="KQ135" s="504">
        <v>0</v>
      </c>
      <c r="KR135" s="504">
        <v>0</v>
      </c>
      <c r="KS135" s="504">
        <v>0</v>
      </c>
      <c r="KT135" s="504">
        <v>0</v>
      </c>
      <c r="KU135" s="504">
        <v>0</v>
      </c>
      <c r="KV135" s="504">
        <v>0</v>
      </c>
      <c r="KW135" s="504">
        <v>0</v>
      </c>
      <c r="KX135" s="504">
        <v>0</v>
      </c>
      <c r="KY135" s="504">
        <v>0</v>
      </c>
      <c r="KZ135" s="504">
        <v>0</v>
      </c>
      <c r="LA135" s="504">
        <v>0</v>
      </c>
      <c r="LB135" s="504">
        <v>0</v>
      </c>
      <c r="LC135" s="504">
        <v>0</v>
      </c>
      <c r="LD135" s="504">
        <v>0</v>
      </c>
      <c r="LE135" s="504">
        <v>0</v>
      </c>
      <c r="LF135" s="504">
        <v>0</v>
      </c>
      <c r="LG135" s="504">
        <v>0</v>
      </c>
      <c r="LH135" s="504">
        <v>0</v>
      </c>
      <c r="LI135" s="504">
        <v>0</v>
      </c>
      <c r="LJ135" s="504">
        <v>0</v>
      </c>
      <c r="LK135" s="504">
        <v>0</v>
      </c>
      <c r="LL135" s="504">
        <v>0</v>
      </c>
      <c r="LM135" s="504">
        <v>0</v>
      </c>
      <c r="LN135" s="504">
        <v>0</v>
      </c>
      <c r="LO135" s="504">
        <v>0</v>
      </c>
      <c r="LP135" s="504">
        <v>0</v>
      </c>
      <c r="LQ135" s="504">
        <v>0</v>
      </c>
      <c r="LR135" s="504">
        <v>0</v>
      </c>
      <c r="LS135" s="504">
        <v>0</v>
      </c>
      <c r="LT135" s="504">
        <v>0</v>
      </c>
      <c r="LU135" s="504">
        <v>0</v>
      </c>
      <c r="LV135" s="504">
        <v>0</v>
      </c>
      <c r="LW135" s="504">
        <v>0</v>
      </c>
      <c r="LX135" s="504">
        <v>0</v>
      </c>
      <c r="LY135" s="504">
        <v>0</v>
      </c>
      <c r="LZ135" s="504">
        <v>0</v>
      </c>
      <c r="MA135" s="504">
        <v>0</v>
      </c>
      <c r="MB135" s="504">
        <v>0</v>
      </c>
      <c r="MC135" s="504">
        <v>0</v>
      </c>
      <c r="MD135" s="504">
        <v>0</v>
      </c>
      <c r="ME135" s="504">
        <v>0</v>
      </c>
      <c r="MF135" s="504">
        <v>0</v>
      </c>
      <c r="MG135" s="504">
        <v>0</v>
      </c>
      <c r="MH135" s="504">
        <v>0</v>
      </c>
      <c r="MI135" s="504">
        <v>0</v>
      </c>
      <c r="MJ135" s="504">
        <v>0</v>
      </c>
      <c r="MK135" s="504">
        <v>0</v>
      </c>
      <c r="ML135" s="504">
        <v>0</v>
      </c>
      <c r="MM135" s="504">
        <v>0</v>
      </c>
      <c r="MN135" s="504">
        <v>0</v>
      </c>
      <c r="MO135" s="504">
        <v>0</v>
      </c>
      <c r="MP135" s="504">
        <v>0</v>
      </c>
      <c r="MQ135" s="504">
        <v>0</v>
      </c>
      <c r="MR135" s="504">
        <v>0</v>
      </c>
      <c r="MS135" s="504">
        <v>0</v>
      </c>
      <c r="MT135" s="504">
        <v>0</v>
      </c>
      <c r="MU135" s="504">
        <v>0</v>
      </c>
      <c r="MV135" s="504">
        <v>0</v>
      </c>
      <c r="MW135" s="504">
        <v>0</v>
      </c>
      <c r="MX135" s="504">
        <v>0</v>
      </c>
      <c r="MY135" s="504">
        <v>0</v>
      </c>
      <c r="MZ135" s="504">
        <v>0</v>
      </c>
      <c r="NA135" s="504">
        <v>0</v>
      </c>
      <c r="NB135" s="504">
        <v>0</v>
      </c>
      <c r="NC135" s="504">
        <v>0</v>
      </c>
      <c r="ND135" s="504">
        <v>0</v>
      </c>
      <c r="NE135" s="504">
        <v>0</v>
      </c>
      <c r="NF135" s="504">
        <v>0</v>
      </c>
      <c r="NG135" s="504">
        <v>0</v>
      </c>
      <c r="NH135" s="504">
        <v>0</v>
      </c>
      <c r="NI135" s="504">
        <v>0</v>
      </c>
      <c r="NJ135" s="504">
        <v>0</v>
      </c>
      <c r="NK135" s="504">
        <v>0</v>
      </c>
      <c r="NL135" s="504">
        <v>0</v>
      </c>
      <c r="NM135" s="504">
        <v>0</v>
      </c>
      <c r="NN135" s="504">
        <v>0</v>
      </c>
      <c r="NO135" s="504">
        <v>0</v>
      </c>
      <c r="NP135" s="504">
        <v>0</v>
      </c>
      <c r="NQ135" s="504">
        <v>0</v>
      </c>
      <c r="NR135" s="504">
        <v>0</v>
      </c>
      <c r="NS135" s="504">
        <v>0</v>
      </c>
      <c r="NT135" s="504">
        <v>0</v>
      </c>
      <c r="NU135" s="504">
        <v>0</v>
      </c>
      <c r="NV135" s="504">
        <v>0</v>
      </c>
      <c r="NW135" s="504">
        <v>0</v>
      </c>
      <c r="NX135" s="504">
        <v>0</v>
      </c>
      <c r="NY135" s="504">
        <v>0</v>
      </c>
      <c r="NZ135" s="504">
        <v>0</v>
      </c>
      <c r="OA135" s="504">
        <v>0</v>
      </c>
      <c r="OB135" s="504">
        <v>0</v>
      </c>
      <c r="OC135" s="504">
        <v>0</v>
      </c>
      <c r="OD135" s="504">
        <v>0</v>
      </c>
      <c r="OE135" s="504">
        <v>0</v>
      </c>
      <c r="OF135" s="504">
        <v>0</v>
      </c>
      <c r="OG135" s="504">
        <v>0</v>
      </c>
      <c r="OH135" s="504">
        <v>0</v>
      </c>
      <c r="OI135" s="504">
        <v>0</v>
      </c>
      <c r="OJ135" s="504">
        <v>0</v>
      </c>
      <c r="OK135" s="504">
        <v>0</v>
      </c>
      <c r="OL135" s="504">
        <v>0</v>
      </c>
      <c r="OM135" s="504">
        <v>0</v>
      </c>
      <c r="ON135" s="494"/>
    </row>
    <row r="136" spans="1:404" ht="18.75" customHeight="1" x14ac:dyDescent="0.4">
      <c r="A136" s="511" t="s">
        <v>406</v>
      </c>
      <c r="B136" s="512">
        <v>234</v>
      </c>
      <c r="C136" s="511" t="s">
        <v>60</v>
      </c>
      <c r="D136" s="501">
        <v>37.92</v>
      </c>
      <c r="E136" s="502">
        <v>15918</v>
      </c>
      <c r="F136" s="501">
        <v>37.909999999999997</v>
      </c>
      <c r="G136" s="502">
        <v>7445</v>
      </c>
      <c r="H136" s="501">
        <v>37.909999999999997</v>
      </c>
      <c r="I136" s="502">
        <v>20553</v>
      </c>
      <c r="J136" s="501">
        <v>37.909999999999997</v>
      </c>
      <c r="K136" s="502">
        <v>22579</v>
      </c>
      <c r="V136" s="501"/>
      <c r="W136" s="503"/>
      <c r="X136" s="501"/>
      <c r="Y136" s="503"/>
      <c r="Z136" s="501"/>
      <c r="AA136" s="503"/>
      <c r="AB136" s="495"/>
      <c r="AC136" s="504">
        <v>0</v>
      </c>
      <c r="AD136" s="504">
        <v>0</v>
      </c>
      <c r="AE136" s="504">
        <v>0</v>
      </c>
      <c r="AF136" s="504">
        <v>0</v>
      </c>
      <c r="AG136" s="504">
        <v>0</v>
      </c>
      <c r="AH136" s="504">
        <v>0</v>
      </c>
      <c r="AI136" s="504">
        <v>0</v>
      </c>
      <c r="AJ136" s="504">
        <v>0</v>
      </c>
      <c r="AK136" s="504">
        <v>0</v>
      </c>
      <c r="AL136" s="504">
        <v>0</v>
      </c>
      <c r="AM136" s="504">
        <v>0</v>
      </c>
      <c r="AN136" s="504">
        <v>0</v>
      </c>
      <c r="AO136" s="504">
        <v>0</v>
      </c>
      <c r="AP136" s="504">
        <v>0</v>
      </c>
      <c r="AQ136" s="504">
        <v>0</v>
      </c>
      <c r="AR136" s="504">
        <v>0</v>
      </c>
      <c r="AS136" s="504">
        <v>0</v>
      </c>
      <c r="AT136" s="504">
        <v>0</v>
      </c>
      <c r="AU136" s="504">
        <v>0</v>
      </c>
      <c r="AV136" s="504">
        <v>0</v>
      </c>
      <c r="AW136" s="504">
        <v>0</v>
      </c>
      <c r="AX136" s="504">
        <v>0</v>
      </c>
      <c r="AY136" s="504">
        <v>0</v>
      </c>
      <c r="AZ136" s="504">
        <v>0</v>
      </c>
      <c r="BA136" s="504">
        <v>0</v>
      </c>
      <c r="BB136" s="504">
        <v>0</v>
      </c>
      <c r="BC136" s="504">
        <v>0</v>
      </c>
      <c r="BD136" s="504">
        <v>0</v>
      </c>
      <c r="BE136" s="504">
        <v>0</v>
      </c>
      <c r="BF136" s="504">
        <v>0</v>
      </c>
      <c r="BG136" s="504">
        <v>0</v>
      </c>
      <c r="BH136" s="504">
        <v>0</v>
      </c>
      <c r="BI136" s="504">
        <v>0</v>
      </c>
      <c r="BJ136" s="504">
        <v>0</v>
      </c>
      <c r="BK136" s="504">
        <v>0</v>
      </c>
      <c r="BL136" s="504">
        <v>0</v>
      </c>
      <c r="BM136" s="504">
        <v>0</v>
      </c>
      <c r="BN136" s="504">
        <v>0</v>
      </c>
      <c r="BO136" s="504">
        <v>0</v>
      </c>
      <c r="BP136" s="504">
        <v>0</v>
      </c>
      <c r="BQ136" s="504">
        <v>0</v>
      </c>
      <c r="BR136" s="504">
        <v>0</v>
      </c>
      <c r="BS136" s="504">
        <v>0</v>
      </c>
      <c r="BT136" s="504">
        <v>0</v>
      </c>
      <c r="BU136" s="504">
        <v>0</v>
      </c>
      <c r="BV136" s="504">
        <v>0</v>
      </c>
      <c r="BW136" s="504">
        <v>0</v>
      </c>
      <c r="BX136" s="504">
        <v>0</v>
      </c>
      <c r="BY136" s="504">
        <v>0</v>
      </c>
      <c r="BZ136" s="504">
        <v>0</v>
      </c>
      <c r="CA136" s="504">
        <v>0</v>
      </c>
      <c r="CB136" s="504">
        <v>0</v>
      </c>
      <c r="CC136" s="504">
        <v>0</v>
      </c>
      <c r="CD136" s="504">
        <v>0</v>
      </c>
      <c r="CE136" s="504">
        <v>0</v>
      </c>
      <c r="CF136" s="504">
        <v>0</v>
      </c>
      <c r="CG136" s="504">
        <v>0</v>
      </c>
      <c r="CH136" s="504">
        <v>0</v>
      </c>
      <c r="CI136" s="504">
        <v>0</v>
      </c>
      <c r="CJ136" s="504">
        <v>0</v>
      </c>
      <c r="CK136" s="504">
        <v>0</v>
      </c>
      <c r="CL136" s="504">
        <v>0</v>
      </c>
      <c r="CM136" s="504">
        <v>0</v>
      </c>
      <c r="CN136" s="504">
        <v>0</v>
      </c>
      <c r="CO136" s="504">
        <v>0</v>
      </c>
      <c r="CP136" s="504">
        <v>0</v>
      </c>
      <c r="CQ136" s="504">
        <v>0</v>
      </c>
      <c r="CR136" s="504">
        <v>0</v>
      </c>
      <c r="CS136" s="504">
        <v>0</v>
      </c>
      <c r="CT136" s="504">
        <v>0</v>
      </c>
      <c r="CU136" s="504">
        <v>0</v>
      </c>
      <c r="CV136" s="504">
        <v>0</v>
      </c>
      <c r="CW136" s="504">
        <v>0</v>
      </c>
      <c r="CX136" s="504">
        <v>0</v>
      </c>
      <c r="CY136" s="504">
        <v>0</v>
      </c>
      <c r="CZ136" s="504">
        <v>0</v>
      </c>
      <c r="DA136" s="504">
        <v>0</v>
      </c>
      <c r="DB136" s="504">
        <v>0</v>
      </c>
      <c r="DC136" s="504">
        <v>0</v>
      </c>
      <c r="DD136" s="504">
        <v>0</v>
      </c>
      <c r="DE136" s="504">
        <v>0</v>
      </c>
      <c r="DF136" s="504">
        <v>0</v>
      </c>
      <c r="DG136" s="504">
        <v>0</v>
      </c>
      <c r="DH136" s="504">
        <v>0</v>
      </c>
      <c r="DI136" s="504">
        <v>0</v>
      </c>
      <c r="DJ136" s="504">
        <v>0</v>
      </c>
      <c r="DK136" s="504">
        <v>0</v>
      </c>
      <c r="DL136" s="504">
        <v>0</v>
      </c>
      <c r="DM136" s="504">
        <v>0</v>
      </c>
      <c r="DN136" s="504">
        <v>0</v>
      </c>
      <c r="DO136" s="504">
        <v>0</v>
      </c>
      <c r="DP136" s="504">
        <v>0</v>
      </c>
      <c r="DQ136" s="504">
        <v>0</v>
      </c>
      <c r="DR136" s="504">
        <v>0</v>
      </c>
      <c r="DS136" s="504">
        <v>0</v>
      </c>
      <c r="DT136" s="504">
        <v>0</v>
      </c>
      <c r="DU136" s="504">
        <v>0</v>
      </c>
      <c r="DV136" s="504">
        <v>0</v>
      </c>
      <c r="DW136" s="504">
        <v>0</v>
      </c>
      <c r="DX136" s="504">
        <v>0</v>
      </c>
      <c r="DY136" s="504">
        <v>0</v>
      </c>
      <c r="DZ136" s="504">
        <v>0</v>
      </c>
      <c r="EA136" s="504">
        <v>0</v>
      </c>
      <c r="EB136" s="504">
        <v>0</v>
      </c>
      <c r="EC136" s="504">
        <v>0</v>
      </c>
      <c r="ED136" s="504">
        <v>0</v>
      </c>
      <c r="EE136" s="504">
        <v>0</v>
      </c>
      <c r="EF136" s="504">
        <v>0</v>
      </c>
      <c r="EG136" s="504">
        <v>0</v>
      </c>
      <c r="EH136" s="504">
        <v>0</v>
      </c>
      <c r="EI136" s="504">
        <v>0</v>
      </c>
      <c r="EJ136" s="504">
        <v>0</v>
      </c>
      <c r="EK136" s="504">
        <v>0</v>
      </c>
      <c r="EL136" s="504">
        <v>0</v>
      </c>
      <c r="EM136" s="504">
        <v>0</v>
      </c>
      <c r="EN136" s="504">
        <v>0</v>
      </c>
      <c r="EO136" s="504">
        <v>0</v>
      </c>
      <c r="EP136" s="504">
        <v>0</v>
      </c>
      <c r="EQ136" s="504">
        <v>0</v>
      </c>
      <c r="ER136" s="504">
        <v>0</v>
      </c>
      <c r="ES136" s="504">
        <v>0</v>
      </c>
      <c r="ET136" s="504">
        <v>0</v>
      </c>
      <c r="EU136" s="504">
        <v>0</v>
      </c>
      <c r="EV136" s="504">
        <v>0</v>
      </c>
      <c r="EW136" s="504">
        <v>0</v>
      </c>
      <c r="EX136" s="504">
        <v>0</v>
      </c>
      <c r="EY136" s="504">
        <v>0</v>
      </c>
      <c r="EZ136" s="504">
        <v>0</v>
      </c>
      <c r="FA136" s="504">
        <v>0</v>
      </c>
      <c r="FB136" s="504">
        <v>0</v>
      </c>
      <c r="FC136" s="504">
        <v>0</v>
      </c>
      <c r="FD136" s="504">
        <v>0</v>
      </c>
      <c r="FE136" s="504">
        <v>0</v>
      </c>
      <c r="FF136" s="504">
        <v>0</v>
      </c>
      <c r="FG136" s="504">
        <v>0</v>
      </c>
      <c r="FH136" s="504">
        <v>0</v>
      </c>
      <c r="FI136" s="504">
        <v>0</v>
      </c>
      <c r="FJ136" s="504">
        <v>0</v>
      </c>
      <c r="FK136" s="504">
        <v>0</v>
      </c>
      <c r="FL136" s="504">
        <v>0</v>
      </c>
      <c r="FM136" s="504">
        <v>0</v>
      </c>
      <c r="FN136" s="504">
        <v>0</v>
      </c>
      <c r="FO136" s="504">
        <v>0</v>
      </c>
      <c r="FP136" s="504">
        <v>0</v>
      </c>
      <c r="FQ136" s="504">
        <v>0</v>
      </c>
      <c r="FR136" s="504">
        <v>0</v>
      </c>
      <c r="FS136" s="504">
        <v>0</v>
      </c>
      <c r="FT136" s="504">
        <v>0</v>
      </c>
      <c r="FU136" s="504">
        <v>0</v>
      </c>
      <c r="FV136" s="504">
        <v>0</v>
      </c>
      <c r="FW136" s="504">
        <v>0</v>
      </c>
      <c r="FX136" s="504">
        <v>0</v>
      </c>
      <c r="FY136" s="504">
        <v>0</v>
      </c>
      <c r="FZ136" s="504">
        <v>0</v>
      </c>
      <c r="GA136" s="504">
        <v>0</v>
      </c>
      <c r="GB136" s="504">
        <v>0</v>
      </c>
      <c r="GC136" s="504">
        <v>0</v>
      </c>
      <c r="GD136" s="504">
        <v>0</v>
      </c>
      <c r="GE136" s="504">
        <v>0</v>
      </c>
      <c r="GF136" s="504">
        <v>0</v>
      </c>
      <c r="GG136" s="504">
        <v>0</v>
      </c>
      <c r="GH136" s="504">
        <v>0</v>
      </c>
      <c r="GI136" s="504">
        <v>0</v>
      </c>
      <c r="GJ136" s="504">
        <v>0</v>
      </c>
      <c r="GK136" s="504">
        <v>0</v>
      </c>
      <c r="GL136" s="504">
        <v>0</v>
      </c>
      <c r="GM136" s="504">
        <v>0</v>
      </c>
      <c r="GN136" s="504">
        <v>0</v>
      </c>
      <c r="GO136" s="504">
        <v>0</v>
      </c>
      <c r="GP136" s="504">
        <v>0</v>
      </c>
      <c r="GQ136" s="504">
        <v>0</v>
      </c>
      <c r="GR136" s="504">
        <v>0</v>
      </c>
      <c r="GS136" s="504">
        <v>0</v>
      </c>
      <c r="GT136" s="504">
        <v>0</v>
      </c>
      <c r="GU136" s="504">
        <v>0</v>
      </c>
      <c r="GV136" s="504">
        <v>0</v>
      </c>
      <c r="GW136" s="504">
        <v>0</v>
      </c>
      <c r="GX136" s="504">
        <v>0</v>
      </c>
      <c r="GY136" s="504">
        <v>0</v>
      </c>
      <c r="GZ136" s="504">
        <v>0</v>
      </c>
      <c r="HA136" s="504">
        <v>0</v>
      </c>
      <c r="HB136" s="504">
        <v>0</v>
      </c>
      <c r="HC136" s="504">
        <v>0</v>
      </c>
      <c r="HD136" s="504">
        <v>0</v>
      </c>
      <c r="HE136" s="504">
        <v>0</v>
      </c>
      <c r="HF136" s="504">
        <v>0</v>
      </c>
      <c r="HG136" s="504">
        <v>0</v>
      </c>
      <c r="HH136" s="504">
        <v>0</v>
      </c>
      <c r="HI136" s="504">
        <v>0</v>
      </c>
      <c r="HJ136" s="504">
        <v>0</v>
      </c>
      <c r="HK136" s="504">
        <v>0</v>
      </c>
      <c r="HL136" s="504">
        <v>0</v>
      </c>
      <c r="HM136" s="504">
        <v>0</v>
      </c>
      <c r="HN136" s="504">
        <v>0</v>
      </c>
      <c r="HO136" s="504">
        <v>0</v>
      </c>
      <c r="HP136" s="504">
        <v>0</v>
      </c>
      <c r="HQ136" s="504">
        <v>0</v>
      </c>
      <c r="HR136" s="504">
        <v>0</v>
      </c>
      <c r="HS136" s="504">
        <v>0</v>
      </c>
      <c r="HT136" s="504">
        <v>0</v>
      </c>
      <c r="HU136" s="504">
        <v>0</v>
      </c>
      <c r="HV136" s="504">
        <v>0</v>
      </c>
      <c r="HW136" s="504">
        <v>0</v>
      </c>
      <c r="HX136" s="504">
        <v>0</v>
      </c>
      <c r="HY136" s="504">
        <v>0</v>
      </c>
      <c r="HZ136" s="504">
        <v>0</v>
      </c>
      <c r="IA136" s="504">
        <v>0</v>
      </c>
      <c r="IB136" s="504">
        <v>0</v>
      </c>
      <c r="IC136" s="504">
        <v>0</v>
      </c>
      <c r="ID136" s="504">
        <v>0</v>
      </c>
      <c r="IE136" s="504">
        <v>0</v>
      </c>
      <c r="IF136" s="504">
        <v>0</v>
      </c>
      <c r="IG136" s="504">
        <v>0</v>
      </c>
      <c r="IH136" s="504">
        <v>0</v>
      </c>
      <c r="II136" s="504">
        <v>0</v>
      </c>
      <c r="IJ136" s="504">
        <v>0</v>
      </c>
      <c r="IK136" s="504">
        <v>0</v>
      </c>
      <c r="IL136" s="504">
        <v>0</v>
      </c>
      <c r="IM136" s="504">
        <v>0</v>
      </c>
      <c r="IN136" s="504">
        <v>0</v>
      </c>
      <c r="IO136" s="504">
        <v>0</v>
      </c>
      <c r="IP136" s="504">
        <v>0</v>
      </c>
      <c r="IQ136" s="504">
        <v>0</v>
      </c>
      <c r="IR136" s="504">
        <v>0</v>
      </c>
      <c r="IS136" s="504">
        <v>0</v>
      </c>
      <c r="IT136" s="504">
        <v>0</v>
      </c>
      <c r="IU136" s="504">
        <v>0</v>
      </c>
      <c r="IV136" s="504">
        <v>0</v>
      </c>
      <c r="IW136" s="504">
        <v>0</v>
      </c>
      <c r="IX136" s="504">
        <v>0</v>
      </c>
      <c r="IY136" s="504">
        <v>0</v>
      </c>
      <c r="IZ136" s="504">
        <v>0</v>
      </c>
      <c r="JA136" s="504">
        <v>0</v>
      </c>
      <c r="JB136" s="504">
        <v>0</v>
      </c>
      <c r="JC136" s="504">
        <v>0</v>
      </c>
      <c r="JD136" s="504">
        <v>0</v>
      </c>
      <c r="JE136" s="504">
        <v>0</v>
      </c>
      <c r="JF136" s="504">
        <v>0</v>
      </c>
      <c r="JG136" s="504">
        <v>0</v>
      </c>
      <c r="JH136" s="504">
        <v>0</v>
      </c>
      <c r="JI136" s="504">
        <v>0</v>
      </c>
      <c r="JJ136" s="504">
        <v>0</v>
      </c>
      <c r="JK136" s="504">
        <v>0</v>
      </c>
      <c r="JL136" s="504">
        <v>0</v>
      </c>
      <c r="JM136" s="504">
        <v>0</v>
      </c>
      <c r="JN136" s="504">
        <v>0</v>
      </c>
      <c r="JO136" s="504">
        <v>0</v>
      </c>
      <c r="JP136" s="504">
        <v>0</v>
      </c>
      <c r="JQ136" s="504">
        <v>0</v>
      </c>
      <c r="JR136" s="504">
        <v>0</v>
      </c>
      <c r="JS136" s="504">
        <v>0</v>
      </c>
      <c r="JT136" s="504">
        <v>0</v>
      </c>
      <c r="JU136" s="504">
        <v>0</v>
      </c>
      <c r="JV136" s="504">
        <v>0</v>
      </c>
      <c r="JW136" s="504">
        <v>0</v>
      </c>
      <c r="JX136" s="504">
        <v>0</v>
      </c>
      <c r="JY136" s="504">
        <v>0</v>
      </c>
      <c r="JZ136" s="504">
        <v>0</v>
      </c>
      <c r="KA136" s="504">
        <v>0</v>
      </c>
      <c r="KB136" s="504">
        <v>0</v>
      </c>
      <c r="KC136" s="504">
        <v>0</v>
      </c>
      <c r="KD136" s="504">
        <v>0</v>
      </c>
      <c r="KE136" s="504">
        <v>0</v>
      </c>
      <c r="KF136" s="504">
        <v>0</v>
      </c>
      <c r="KG136" s="504">
        <v>0</v>
      </c>
      <c r="KH136" s="504">
        <v>0</v>
      </c>
      <c r="KI136" s="504">
        <v>0</v>
      </c>
      <c r="KJ136" s="504">
        <v>0</v>
      </c>
      <c r="KK136" s="504">
        <v>0</v>
      </c>
      <c r="KL136" s="504">
        <v>0</v>
      </c>
      <c r="KM136" s="504">
        <v>0</v>
      </c>
      <c r="KN136" s="504">
        <v>0</v>
      </c>
      <c r="KO136" s="504">
        <v>0</v>
      </c>
      <c r="KP136" s="504">
        <v>0</v>
      </c>
      <c r="KQ136" s="504">
        <v>0</v>
      </c>
      <c r="KR136" s="504">
        <v>0</v>
      </c>
      <c r="KS136" s="504">
        <v>0</v>
      </c>
      <c r="KT136" s="504">
        <v>0</v>
      </c>
      <c r="KU136" s="504">
        <v>0</v>
      </c>
      <c r="KV136" s="504">
        <v>0</v>
      </c>
      <c r="KW136" s="504">
        <v>0</v>
      </c>
      <c r="KX136" s="504">
        <v>0</v>
      </c>
      <c r="KY136" s="504">
        <v>0</v>
      </c>
      <c r="KZ136" s="504">
        <v>0</v>
      </c>
      <c r="LA136" s="504">
        <v>0</v>
      </c>
      <c r="LB136" s="504">
        <v>0</v>
      </c>
      <c r="LC136" s="504">
        <v>0</v>
      </c>
      <c r="LD136" s="504">
        <v>0</v>
      </c>
      <c r="LE136" s="504">
        <v>0</v>
      </c>
      <c r="LF136" s="504">
        <v>0</v>
      </c>
      <c r="LG136" s="504">
        <v>0</v>
      </c>
      <c r="LH136" s="504">
        <v>0</v>
      </c>
      <c r="LI136" s="504">
        <v>0</v>
      </c>
      <c r="LJ136" s="504">
        <v>0</v>
      </c>
      <c r="LK136" s="504">
        <v>0</v>
      </c>
      <c r="LL136" s="504">
        <v>0</v>
      </c>
      <c r="LM136" s="504">
        <v>0</v>
      </c>
      <c r="LN136" s="504">
        <v>0</v>
      </c>
      <c r="LO136" s="504">
        <v>0</v>
      </c>
      <c r="LP136" s="504">
        <v>0</v>
      </c>
      <c r="LQ136" s="504">
        <v>0</v>
      </c>
      <c r="LR136" s="504">
        <v>0</v>
      </c>
      <c r="LS136" s="504">
        <v>0</v>
      </c>
      <c r="LT136" s="504">
        <v>0</v>
      </c>
      <c r="LU136" s="504">
        <v>0</v>
      </c>
      <c r="LV136" s="504">
        <v>0</v>
      </c>
      <c r="LW136" s="504">
        <v>0</v>
      </c>
      <c r="LX136" s="504">
        <v>0</v>
      </c>
      <c r="LY136" s="504">
        <v>0</v>
      </c>
      <c r="LZ136" s="504">
        <v>0</v>
      </c>
      <c r="MA136" s="504">
        <v>0</v>
      </c>
      <c r="MB136" s="504">
        <v>0</v>
      </c>
      <c r="MC136" s="504">
        <v>0</v>
      </c>
      <c r="MD136" s="504">
        <v>0</v>
      </c>
      <c r="ME136" s="504">
        <v>0</v>
      </c>
      <c r="MF136" s="504">
        <v>0</v>
      </c>
      <c r="MG136" s="504">
        <v>0</v>
      </c>
      <c r="MH136" s="504">
        <v>0</v>
      </c>
      <c r="MI136" s="504">
        <v>0</v>
      </c>
      <c r="MJ136" s="504">
        <v>0</v>
      </c>
      <c r="MK136" s="504">
        <v>0</v>
      </c>
      <c r="ML136" s="504">
        <v>0</v>
      </c>
      <c r="MM136" s="504">
        <v>0</v>
      </c>
      <c r="MN136" s="504">
        <v>0</v>
      </c>
      <c r="MO136" s="504">
        <v>0</v>
      </c>
      <c r="MP136" s="504">
        <v>0</v>
      </c>
      <c r="MQ136" s="504">
        <v>0</v>
      </c>
      <c r="MR136" s="504">
        <v>0</v>
      </c>
      <c r="MS136" s="504">
        <v>0</v>
      </c>
      <c r="MT136" s="504">
        <v>0</v>
      </c>
      <c r="MU136" s="504">
        <v>0</v>
      </c>
      <c r="MV136" s="504">
        <v>0</v>
      </c>
      <c r="MW136" s="504">
        <v>0</v>
      </c>
      <c r="MX136" s="504">
        <v>0</v>
      </c>
      <c r="MY136" s="504">
        <v>0</v>
      </c>
      <c r="MZ136" s="504">
        <v>0</v>
      </c>
      <c r="NA136" s="504">
        <v>0</v>
      </c>
      <c r="NB136" s="504">
        <v>0</v>
      </c>
      <c r="NC136" s="504">
        <v>0</v>
      </c>
      <c r="ND136" s="504">
        <v>0</v>
      </c>
      <c r="NE136" s="504">
        <v>0</v>
      </c>
      <c r="NF136" s="504">
        <v>0</v>
      </c>
      <c r="NG136" s="504">
        <v>0</v>
      </c>
      <c r="NH136" s="504">
        <v>0</v>
      </c>
      <c r="NI136" s="504">
        <v>0</v>
      </c>
      <c r="NJ136" s="504">
        <v>0</v>
      </c>
      <c r="NK136" s="504">
        <v>0</v>
      </c>
      <c r="NL136" s="504">
        <v>0</v>
      </c>
      <c r="NM136" s="504">
        <v>0</v>
      </c>
      <c r="NN136" s="504">
        <v>0</v>
      </c>
      <c r="NO136" s="504">
        <v>0</v>
      </c>
      <c r="NP136" s="504">
        <v>0</v>
      </c>
      <c r="NQ136" s="504">
        <v>0</v>
      </c>
      <c r="NR136" s="504">
        <v>0</v>
      </c>
      <c r="NS136" s="504">
        <v>0</v>
      </c>
      <c r="NT136" s="504">
        <v>0</v>
      </c>
      <c r="NU136" s="504">
        <v>0</v>
      </c>
      <c r="NV136" s="504">
        <v>0</v>
      </c>
      <c r="NW136" s="504">
        <v>0</v>
      </c>
      <c r="NX136" s="504">
        <v>0</v>
      </c>
      <c r="NY136" s="504">
        <v>0</v>
      </c>
      <c r="NZ136" s="504">
        <v>0</v>
      </c>
      <c r="OA136" s="504">
        <v>0</v>
      </c>
      <c r="OB136" s="504">
        <v>0</v>
      </c>
      <c r="OC136" s="504">
        <v>0</v>
      </c>
      <c r="OD136" s="504">
        <v>0</v>
      </c>
      <c r="OE136" s="504">
        <v>0</v>
      </c>
      <c r="OF136" s="504">
        <v>0</v>
      </c>
      <c r="OG136" s="504">
        <v>0</v>
      </c>
      <c r="OH136" s="504">
        <v>0</v>
      </c>
      <c r="OI136" s="504">
        <v>0</v>
      </c>
      <c r="OJ136" s="504">
        <v>0</v>
      </c>
      <c r="OK136" s="504">
        <v>0</v>
      </c>
      <c r="OL136" s="504">
        <v>0</v>
      </c>
      <c r="OM136" s="504">
        <v>0</v>
      </c>
      <c r="ON136" s="494"/>
    </row>
    <row r="137" spans="1:404" ht="18.75" customHeight="1" x14ac:dyDescent="0.4">
      <c r="A137" s="511" t="s">
        <v>407</v>
      </c>
      <c r="B137" s="512">
        <v>231</v>
      </c>
      <c r="C137" s="511" t="s">
        <v>60</v>
      </c>
      <c r="D137" s="501">
        <v>38.75</v>
      </c>
      <c r="E137" s="502">
        <v>10829</v>
      </c>
      <c r="F137" s="501">
        <v>38.729999999999997</v>
      </c>
      <c r="G137" s="502">
        <v>978</v>
      </c>
      <c r="H137" s="501">
        <v>38.729999999999997</v>
      </c>
      <c r="I137" s="502">
        <v>2480</v>
      </c>
      <c r="J137" s="501">
        <v>38.729999999999997</v>
      </c>
      <c r="K137" s="502">
        <v>2704</v>
      </c>
      <c r="V137" s="501"/>
      <c r="W137" s="503"/>
      <c r="X137" s="501"/>
      <c r="Y137" s="503"/>
      <c r="Z137" s="501"/>
      <c r="AA137" s="503"/>
      <c r="AB137" s="495"/>
      <c r="AC137" s="504">
        <v>0</v>
      </c>
      <c r="AD137" s="504">
        <v>0</v>
      </c>
      <c r="AE137" s="504">
        <v>0</v>
      </c>
      <c r="AF137" s="504">
        <v>0</v>
      </c>
      <c r="AG137" s="504">
        <v>0</v>
      </c>
      <c r="AH137" s="504">
        <v>0</v>
      </c>
      <c r="AI137" s="504">
        <v>0</v>
      </c>
      <c r="AJ137" s="504">
        <v>0</v>
      </c>
      <c r="AK137" s="504">
        <v>0</v>
      </c>
      <c r="AL137" s="504">
        <v>0</v>
      </c>
      <c r="AM137" s="504">
        <v>0</v>
      </c>
      <c r="AN137" s="504">
        <v>0</v>
      </c>
      <c r="AO137" s="504">
        <v>0</v>
      </c>
      <c r="AP137" s="504">
        <v>0</v>
      </c>
      <c r="AQ137" s="504">
        <v>0</v>
      </c>
      <c r="AR137" s="504">
        <v>0</v>
      </c>
      <c r="AS137" s="504">
        <v>0</v>
      </c>
      <c r="AT137" s="504">
        <v>0</v>
      </c>
      <c r="AU137" s="504">
        <v>0</v>
      </c>
      <c r="AV137" s="504">
        <v>0</v>
      </c>
      <c r="AW137" s="504">
        <v>0</v>
      </c>
      <c r="AX137" s="504">
        <v>0</v>
      </c>
      <c r="AY137" s="504">
        <v>0</v>
      </c>
      <c r="AZ137" s="504">
        <v>0</v>
      </c>
      <c r="BA137" s="504">
        <v>0</v>
      </c>
      <c r="BB137" s="504">
        <v>0</v>
      </c>
      <c r="BC137" s="504">
        <v>0</v>
      </c>
      <c r="BD137" s="504">
        <v>0</v>
      </c>
      <c r="BE137" s="504">
        <v>0</v>
      </c>
      <c r="BF137" s="504">
        <v>0</v>
      </c>
      <c r="BG137" s="504">
        <v>0</v>
      </c>
      <c r="BH137" s="504">
        <v>0</v>
      </c>
      <c r="BI137" s="504">
        <v>0</v>
      </c>
      <c r="BJ137" s="504">
        <v>0</v>
      </c>
      <c r="BK137" s="504">
        <v>0</v>
      </c>
      <c r="BL137" s="504">
        <v>0</v>
      </c>
      <c r="BM137" s="504">
        <v>0</v>
      </c>
      <c r="BN137" s="504">
        <v>0</v>
      </c>
      <c r="BO137" s="504">
        <v>0</v>
      </c>
      <c r="BP137" s="504">
        <v>0</v>
      </c>
      <c r="BQ137" s="504">
        <v>0</v>
      </c>
      <c r="BR137" s="504">
        <v>0</v>
      </c>
      <c r="BS137" s="504">
        <v>0</v>
      </c>
      <c r="BT137" s="504">
        <v>0</v>
      </c>
      <c r="BU137" s="504">
        <v>0</v>
      </c>
      <c r="BV137" s="504">
        <v>0</v>
      </c>
      <c r="BW137" s="504">
        <v>0</v>
      </c>
      <c r="BX137" s="504">
        <v>0</v>
      </c>
      <c r="BY137" s="504">
        <v>0</v>
      </c>
      <c r="BZ137" s="504">
        <v>0</v>
      </c>
      <c r="CA137" s="504">
        <v>0</v>
      </c>
      <c r="CB137" s="504">
        <v>0</v>
      </c>
      <c r="CC137" s="504">
        <v>0</v>
      </c>
      <c r="CD137" s="504">
        <v>0</v>
      </c>
      <c r="CE137" s="504">
        <v>0</v>
      </c>
      <c r="CF137" s="504">
        <v>0</v>
      </c>
      <c r="CG137" s="504">
        <v>0</v>
      </c>
      <c r="CH137" s="504">
        <v>0</v>
      </c>
      <c r="CI137" s="504">
        <v>0</v>
      </c>
      <c r="CJ137" s="504">
        <v>0</v>
      </c>
      <c r="CK137" s="504">
        <v>0</v>
      </c>
      <c r="CL137" s="504">
        <v>0</v>
      </c>
      <c r="CM137" s="504">
        <v>0</v>
      </c>
      <c r="CN137" s="504">
        <v>0</v>
      </c>
      <c r="CO137" s="504">
        <v>0</v>
      </c>
      <c r="CP137" s="504">
        <v>0</v>
      </c>
      <c r="CQ137" s="504">
        <v>0</v>
      </c>
      <c r="CR137" s="504">
        <v>0</v>
      </c>
      <c r="CS137" s="504">
        <v>0</v>
      </c>
      <c r="CT137" s="504">
        <v>0</v>
      </c>
      <c r="CU137" s="504">
        <v>0</v>
      </c>
      <c r="CV137" s="504">
        <v>0</v>
      </c>
      <c r="CW137" s="504">
        <v>0</v>
      </c>
      <c r="CX137" s="504">
        <v>0</v>
      </c>
      <c r="CY137" s="504">
        <v>0</v>
      </c>
      <c r="CZ137" s="504">
        <v>0</v>
      </c>
      <c r="DA137" s="504">
        <v>0</v>
      </c>
      <c r="DB137" s="504">
        <v>0</v>
      </c>
      <c r="DC137" s="504">
        <v>0</v>
      </c>
      <c r="DD137" s="504">
        <v>0</v>
      </c>
      <c r="DE137" s="504">
        <v>0</v>
      </c>
      <c r="DF137" s="504">
        <v>0</v>
      </c>
      <c r="DG137" s="504">
        <v>0</v>
      </c>
      <c r="DH137" s="504">
        <v>0</v>
      </c>
      <c r="DI137" s="504">
        <v>0</v>
      </c>
      <c r="DJ137" s="504">
        <v>0</v>
      </c>
      <c r="DK137" s="504">
        <v>0</v>
      </c>
      <c r="DL137" s="504">
        <v>0</v>
      </c>
      <c r="DM137" s="504">
        <v>0</v>
      </c>
      <c r="DN137" s="504">
        <v>0</v>
      </c>
      <c r="DO137" s="504">
        <v>0</v>
      </c>
      <c r="DP137" s="504">
        <v>0</v>
      </c>
      <c r="DQ137" s="504">
        <v>0</v>
      </c>
      <c r="DR137" s="504">
        <v>0</v>
      </c>
      <c r="DS137" s="504">
        <v>0</v>
      </c>
      <c r="DT137" s="504">
        <v>0</v>
      </c>
      <c r="DU137" s="504">
        <v>0</v>
      </c>
      <c r="DV137" s="504">
        <v>0</v>
      </c>
      <c r="DW137" s="504">
        <v>0</v>
      </c>
      <c r="DX137" s="504">
        <v>0</v>
      </c>
      <c r="DY137" s="504">
        <v>0</v>
      </c>
      <c r="DZ137" s="504">
        <v>0</v>
      </c>
      <c r="EA137" s="504">
        <v>0</v>
      </c>
      <c r="EB137" s="504">
        <v>0</v>
      </c>
      <c r="EC137" s="504">
        <v>0</v>
      </c>
      <c r="ED137" s="504">
        <v>0</v>
      </c>
      <c r="EE137" s="504">
        <v>0</v>
      </c>
      <c r="EF137" s="504">
        <v>0</v>
      </c>
      <c r="EG137" s="504">
        <v>0</v>
      </c>
      <c r="EH137" s="504">
        <v>0</v>
      </c>
      <c r="EI137" s="504">
        <v>0</v>
      </c>
      <c r="EJ137" s="504">
        <v>0</v>
      </c>
      <c r="EK137" s="504">
        <v>0</v>
      </c>
      <c r="EL137" s="504">
        <v>0</v>
      </c>
      <c r="EM137" s="504">
        <v>0</v>
      </c>
      <c r="EN137" s="504">
        <v>0</v>
      </c>
      <c r="EO137" s="504">
        <v>0</v>
      </c>
      <c r="EP137" s="504">
        <v>0</v>
      </c>
      <c r="EQ137" s="504">
        <v>0</v>
      </c>
      <c r="ER137" s="504">
        <v>0</v>
      </c>
      <c r="ES137" s="504">
        <v>0</v>
      </c>
      <c r="ET137" s="504">
        <v>0</v>
      </c>
      <c r="EU137" s="504">
        <v>0</v>
      </c>
      <c r="EV137" s="504">
        <v>0</v>
      </c>
      <c r="EW137" s="504">
        <v>0</v>
      </c>
      <c r="EX137" s="504">
        <v>0</v>
      </c>
      <c r="EY137" s="504">
        <v>0</v>
      </c>
      <c r="EZ137" s="504">
        <v>0</v>
      </c>
      <c r="FA137" s="504">
        <v>0</v>
      </c>
      <c r="FB137" s="504">
        <v>0</v>
      </c>
      <c r="FC137" s="504">
        <v>0</v>
      </c>
      <c r="FD137" s="504">
        <v>0</v>
      </c>
      <c r="FE137" s="504">
        <v>0</v>
      </c>
      <c r="FF137" s="504">
        <v>0</v>
      </c>
      <c r="FG137" s="504">
        <v>0</v>
      </c>
      <c r="FH137" s="504">
        <v>0</v>
      </c>
      <c r="FI137" s="504">
        <v>0</v>
      </c>
      <c r="FJ137" s="504">
        <v>0</v>
      </c>
      <c r="FK137" s="504">
        <v>0</v>
      </c>
      <c r="FL137" s="504">
        <v>0</v>
      </c>
      <c r="FM137" s="504">
        <v>0</v>
      </c>
      <c r="FN137" s="504">
        <v>0</v>
      </c>
      <c r="FO137" s="504">
        <v>0</v>
      </c>
      <c r="FP137" s="504">
        <v>0</v>
      </c>
      <c r="FQ137" s="504">
        <v>0</v>
      </c>
      <c r="FR137" s="504">
        <v>0</v>
      </c>
      <c r="FS137" s="504">
        <v>0</v>
      </c>
      <c r="FT137" s="504">
        <v>0</v>
      </c>
      <c r="FU137" s="504">
        <v>0</v>
      </c>
      <c r="FV137" s="504">
        <v>0</v>
      </c>
      <c r="FW137" s="504">
        <v>0</v>
      </c>
      <c r="FX137" s="504">
        <v>0</v>
      </c>
      <c r="FY137" s="504">
        <v>0</v>
      </c>
      <c r="FZ137" s="504">
        <v>0</v>
      </c>
      <c r="GA137" s="504">
        <v>0</v>
      </c>
      <c r="GB137" s="504">
        <v>0</v>
      </c>
      <c r="GC137" s="504">
        <v>0</v>
      </c>
      <c r="GD137" s="504">
        <v>0</v>
      </c>
      <c r="GE137" s="504">
        <v>0</v>
      </c>
      <c r="GF137" s="504">
        <v>0</v>
      </c>
      <c r="GG137" s="504">
        <v>0</v>
      </c>
      <c r="GH137" s="504">
        <v>0</v>
      </c>
      <c r="GI137" s="504">
        <v>0</v>
      </c>
      <c r="GJ137" s="504">
        <v>0</v>
      </c>
      <c r="GK137" s="504">
        <v>0</v>
      </c>
      <c r="GL137" s="504">
        <v>0</v>
      </c>
      <c r="GM137" s="504">
        <v>0</v>
      </c>
      <c r="GN137" s="504">
        <v>0</v>
      </c>
      <c r="GO137" s="504">
        <v>0</v>
      </c>
      <c r="GP137" s="504">
        <v>0</v>
      </c>
      <c r="GQ137" s="504">
        <v>0</v>
      </c>
      <c r="GR137" s="504">
        <v>0</v>
      </c>
      <c r="GS137" s="504">
        <v>0</v>
      </c>
      <c r="GT137" s="504">
        <v>0</v>
      </c>
      <c r="GU137" s="504">
        <v>0</v>
      </c>
      <c r="GV137" s="504">
        <v>0</v>
      </c>
      <c r="GW137" s="504">
        <v>0</v>
      </c>
      <c r="GX137" s="504">
        <v>0</v>
      </c>
      <c r="GY137" s="504">
        <v>0</v>
      </c>
      <c r="GZ137" s="504">
        <v>0</v>
      </c>
      <c r="HA137" s="504">
        <v>0</v>
      </c>
      <c r="HB137" s="504">
        <v>0</v>
      </c>
      <c r="HC137" s="504">
        <v>0</v>
      </c>
      <c r="HD137" s="504">
        <v>0</v>
      </c>
      <c r="HE137" s="504">
        <v>0</v>
      </c>
      <c r="HF137" s="504">
        <v>0</v>
      </c>
      <c r="HG137" s="504">
        <v>0</v>
      </c>
      <c r="HH137" s="504">
        <v>0</v>
      </c>
      <c r="HI137" s="504">
        <v>0</v>
      </c>
      <c r="HJ137" s="504">
        <v>0</v>
      </c>
      <c r="HK137" s="504">
        <v>0</v>
      </c>
      <c r="HL137" s="504">
        <v>0</v>
      </c>
      <c r="HM137" s="504">
        <v>0</v>
      </c>
      <c r="HN137" s="504">
        <v>0</v>
      </c>
      <c r="HO137" s="504">
        <v>0</v>
      </c>
      <c r="HP137" s="504">
        <v>0</v>
      </c>
      <c r="HQ137" s="504">
        <v>0</v>
      </c>
      <c r="HR137" s="504">
        <v>0</v>
      </c>
      <c r="HS137" s="504">
        <v>0</v>
      </c>
      <c r="HT137" s="504">
        <v>0</v>
      </c>
      <c r="HU137" s="504">
        <v>0</v>
      </c>
      <c r="HV137" s="504">
        <v>0</v>
      </c>
      <c r="HW137" s="504">
        <v>0</v>
      </c>
      <c r="HX137" s="504">
        <v>0</v>
      </c>
      <c r="HY137" s="504">
        <v>0</v>
      </c>
      <c r="HZ137" s="504">
        <v>0</v>
      </c>
      <c r="IA137" s="504">
        <v>0</v>
      </c>
      <c r="IB137" s="504">
        <v>0</v>
      </c>
      <c r="IC137" s="504">
        <v>0</v>
      </c>
      <c r="ID137" s="504">
        <v>0</v>
      </c>
      <c r="IE137" s="504">
        <v>0</v>
      </c>
      <c r="IF137" s="504">
        <v>0</v>
      </c>
      <c r="IG137" s="504">
        <v>0</v>
      </c>
      <c r="IH137" s="504">
        <v>0</v>
      </c>
      <c r="II137" s="504">
        <v>0</v>
      </c>
      <c r="IJ137" s="504">
        <v>0</v>
      </c>
      <c r="IK137" s="504">
        <v>0</v>
      </c>
      <c r="IL137" s="504">
        <v>0</v>
      </c>
      <c r="IM137" s="504">
        <v>0</v>
      </c>
      <c r="IN137" s="504">
        <v>0</v>
      </c>
      <c r="IO137" s="504">
        <v>0</v>
      </c>
      <c r="IP137" s="504">
        <v>0</v>
      </c>
      <c r="IQ137" s="504">
        <v>0</v>
      </c>
      <c r="IR137" s="504">
        <v>0</v>
      </c>
      <c r="IS137" s="504">
        <v>0</v>
      </c>
      <c r="IT137" s="504">
        <v>0</v>
      </c>
      <c r="IU137" s="504">
        <v>0</v>
      </c>
      <c r="IV137" s="504">
        <v>0</v>
      </c>
      <c r="IW137" s="504">
        <v>0</v>
      </c>
      <c r="IX137" s="504">
        <v>0</v>
      </c>
      <c r="IY137" s="504">
        <v>0</v>
      </c>
      <c r="IZ137" s="504">
        <v>0</v>
      </c>
      <c r="JA137" s="504">
        <v>0</v>
      </c>
      <c r="JB137" s="504">
        <v>0</v>
      </c>
      <c r="JC137" s="504">
        <v>0</v>
      </c>
      <c r="JD137" s="504">
        <v>0</v>
      </c>
      <c r="JE137" s="504">
        <v>0</v>
      </c>
      <c r="JF137" s="504">
        <v>0</v>
      </c>
      <c r="JG137" s="504">
        <v>0</v>
      </c>
      <c r="JH137" s="504">
        <v>0</v>
      </c>
      <c r="JI137" s="504">
        <v>0</v>
      </c>
      <c r="JJ137" s="504">
        <v>0</v>
      </c>
      <c r="JK137" s="504">
        <v>0</v>
      </c>
      <c r="JL137" s="504">
        <v>0</v>
      </c>
      <c r="JM137" s="504">
        <v>0</v>
      </c>
      <c r="JN137" s="504">
        <v>0</v>
      </c>
      <c r="JO137" s="504">
        <v>0</v>
      </c>
      <c r="JP137" s="504">
        <v>0</v>
      </c>
      <c r="JQ137" s="504">
        <v>0</v>
      </c>
      <c r="JR137" s="504">
        <v>0</v>
      </c>
      <c r="JS137" s="504">
        <v>0</v>
      </c>
      <c r="JT137" s="504">
        <v>0</v>
      </c>
      <c r="JU137" s="504">
        <v>0</v>
      </c>
      <c r="JV137" s="504">
        <v>0</v>
      </c>
      <c r="JW137" s="504">
        <v>0</v>
      </c>
      <c r="JX137" s="504">
        <v>0</v>
      </c>
      <c r="JY137" s="504">
        <v>0</v>
      </c>
      <c r="JZ137" s="504">
        <v>0</v>
      </c>
      <c r="KA137" s="504">
        <v>0</v>
      </c>
      <c r="KB137" s="504">
        <v>0</v>
      </c>
      <c r="KC137" s="504">
        <v>0</v>
      </c>
      <c r="KD137" s="504">
        <v>0</v>
      </c>
      <c r="KE137" s="504">
        <v>0</v>
      </c>
      <c r="KF137" s="504">
        <v>0</v>
      </c>
      <c r="KG137" s="504">
        <v>0</v>
      </c>
      <c r="KH137" s="504">
        <v>0</v>
      </c>
      <c r="KI137" s="504">
        <v>0</v>
      </c>
      <c r="KJ137" s="504">
        <v>0</v>
      </c>
      <c r="KK137" s="504">
        <v>0</v>
      </c>
      <c r="KL137" s="504">
        <v>0</v>
      </c>
      <c r="KM137" s="504">
        <v>0</v>
      </c>
      <c r="KN137" s="504">
        <v>0</v>
      </c>
      <c r="KO137" s="504">
        <v>0</v>
      </c>
      <c r="KP137" s="504">
        <v>0</v>
      </c>
      <c r="KQ137" s="504">
        <v>0</v>
      </c>
      <c r="KR137" s="504">
        <v>0</v>
      </c>
      <c r="KS137" s="504">
        <v>0</v>
      </c>
      <c r="KT137" s="504">
        <v>0</v>
      </c>
      <c r="KU137" s="504">
        <v>0</v>
      </c>
      <c r="KV137" s="504">
        <v>0</v>
      </c>
      <c r="KW137" s="504">
        <v>0</v>
      </c>
      <c r="KX137" s="504">
        <v>0</v>
      </c>
      <c r="KY137" s="504">
        <v>0</v>
      </c>
      <c r="KZ137" s="504">
        <v>0</v>
      </c>
      <c r="LA137" s="504">
        <v>0</v>
      </c>
      <c r="LB137" s="504">
        <v>0</v>
      </c>
      <c r="LC137" s="504">
        <v>0</v>
      </c>
      <c r="LD137" s="504">
        <v>0</v>
      </c>
      <c r="LE137" s="504">
        <v>0</v>
      </c>
      <c r="LF137" s="504">
        <v>0</v>
      </c>
      <c r="LG137" s="504">
        <v>0</v>
      </c>
      <c r="LH137" s="504">
        <v>0</v>
      </c>
      <c r="LI137" s="504">
        <v>0</v>
      </c>
      <c r="LJ137" s="504">
        <v>0</v>
      </c>
      <c r="LK137" s="504">
        <v>0</v>
      </c>
      <c r="LL137" s="504">
        <v>0</v>
      </c>
      <c r="LM137" s="504">
        <v>0</v>
      </c>
      <c r="LN137" s="504">
        <v>0</v>
      </c>
      <c r="LO137" s="504">
        <v>0</v>
      </c>
      <c r="LP137" s="504">
        <v>0</v>
      </c>
      <c r="LQ137" s="504">
        <v>0</v>
      </c>
      <c r="LR137" s="504">
        <v>0</v>
      </c>
      <c r="LS137" s="504">
        <v>0</v>
      </c>
      <c r="LT137" s="504">
        <v>0</v>
      </c>
      <c r="LU137" s="504">
        <v>0</v>
      </c>
      <c r="LV137" s="504">
        <v>0</v>
      </c>
      <c r="LW137" s="504">
        <v>0</v>
      </c>
      <c r="LX137" s="504">
        <v>0</v>
      </c>
      <c r="LY137" s="504">
        <v>0</v>
      </c>
      <c r="LZ137" s="504">
        <v>0</v>
      </c>
      <c r="MA137" s="504">
        <v>0</v>
      </c>
      <c r="MB137" s="504">
        <v>0</v>
      </c>
      <c r="MC137" s="504">
        <v>0</v>
      </c>
      <c r="MD137" s="504">
        <v>0</v>
      </c>
      <c r="ME137" s="504">
        <v>0</v>
      </c>
      <c r="MF137" s="504">
        <v>0</v>
      </c>
      <c r="MG137" s="504">
        <v>0</v>
      </c>
      <c r="MH137" s="504">
        <v>0</v>
      </c>
      <c r="MI137" s="504">
        <v>0</v>
      </c>
      <c r="MJ137" s="504">
        <v>0</v>
      </c>
      <c r="MK137" s="504">
        <v>0</v>
      </c>
      <c r="ML137" s="504">
        <v>0</v>
      </c>
      <c r="MM137" s="504">
        <v>0</v>
      </c>
      <c r="MN137" s="504">
        <v>0</v>
      </c>
      <c r="MO137" s="504">
        <v>0</v>
      </c>
      <c r="MP137" s="504">
        <v>0</v>
      </c>
      <c r="MQ137" s="504">
        <v>0</v>
      </c>
      <c r="MR137" s="504">
        <v>0</v>
      </c>
      <c r="MS137" s="504">
        <v>0</v>
      </c>
      <c r="MT137" s="504">
        <v>0</v>
      </c>
      <c r="MU137" s="504">
        <v>0</v>
      </c>
      <c r="MV137" s="504">
        <v>0</v>
      </c>
      <c r="MW137" s="504">
        <v>0</v>
      </c>
      <c r="MX137" s="504">
        <v>0</v>
      </c>
      <c r="MY137" s="504">
        <v>0</v>
      </c>
      <c r="MZ137" s="504">
        <v>0</v>
      </c>
      <c r="NA137" s="504">
        <v>0</v>
      </c>
      <c r="NB137" s="504">
        <v>0</v>
      </c>
      <c r="NC137" s="504">
        <v>0</v>
      </c>
      <c r="ND137" s="504">
        <v>0</v>
      </c>
      <c r="NE137" s="504">
        <v>0</v>
      </c>
      <c r="NF137" s="504">
        <v>0</v>
      </c>
      <c r="NG137" s="504">
        <v>0</v>
      </c>
      <c r="NH137" s="504">
        <v>0</v>
      </c>
      <c r="NI137" s="504">
        <v>0</v>
      </c>
      <c r="NJ137" s="504">
        <v>0</v>
      </c>
      <c r="NK137" s="504">
        <v>0</v>
      </c>
      <c r="NL137" s="504">
        <v>0</v>
      </c>
      <c r="NM137" s="504">
        <v>0</v>
      </c>
      <c r="NN137" s="504">
        <v>0</v>
      </c>
      <c r="NO137" s="504">
        <v>0</v>
      </c>
      <c r="NP137" s="504">
        <v>0</v>
      </c>
      <c r="NQ137" s="504">
        <v>0</v>
      </c>
      <c r="NR137" s="504">
        <v>0</v>
      </c>
      <c r="NS137" s="504">
        <v>0</v>
      </c>
      <c r="NT137" s="504">
        <v>0</v>
      </c>
      <c r="NU137" s="504">
        <v>0</v>
      </c>
      <c r="NV137" s="504">
        <v>0</v>
      </c>
      <c r="NW137" s="504">
        <v>0</v>
      </c>
      <c r="NX137" s="504">
        <v>0</v>
      </c>
      <c r="NY137" s="504">
        <v>0</v>
      </c>
      <c r="NZ137" s="504">
        <v>0</v>
      </c>
      <c r="OA137" s="504">
        <v>0</v>
      </c>
      <c r="OB137" s="504">
        <v>0</v>
      </c>
      <c r="OC137" s="504">
        <v>0</v>
      </c>
      <c r="OD137" s="504">
        <v>0</v>
      </c>
      <c r="OE137" s="504">
        <v>0</v>
      </c>
      <c r="OF137" s="504">
        <v>0</v>
      </c>
      <c r="OG137" s="504">
        <v>0</v>
      </c>
      <c r="OH137" s="504">
        <v>0</v>
      </c>
      <c r="OI137" s="504">
        <v>0</v>
      </c>
      <c r="OJ137" s="504">
        <v>0</v>
      </c>
      <c r="OK137" s="504">
        <v>0</v>
      </c>
      <c r="OL137" s="504">
        <v>0</v>
      </c>
      <c r="OM137" s="504">
        <v>0</v>
      </c>
      <c r="ON137" s="494"/>
    </row>
    <row r="138" spans="1:404" ht="18.75" customHeight="1" x14ac:dyDescent="0.4">
      <c r="A138" s="511" t="s">
        <v>408</v>
      </c>
      <c r="B138" s="512">
        <v>191</v>
      </c>
      <c r="C138" s="511" t="s">
        <v>60</v>
      </c>
      <c r="D138" s="501">
        <v>39.340000000000003</v>
      </c>
      <c r="E138" s="502">
        <v>5276</v>
      </c>
      <c r="F138" s="501">
        <v>39.299999999999997</v>
      </c>
      <c r="G138" s="502">
        <v>1880</v>
      </c>
      <c r="H138" s="501">
        <v>39.31</v>
      </c>
      <c r="I138" s="502">
        <v>4952</v>
      </c>
      <c r="J138" s="501">
        <v>39.31</v>
      </c>
      <c r="K138" s="502">
        <v>5317</v>
      </c>
      <c r="V138" s="501"/>
      <c r="W138" s="503"/>
      <c r="X138" s="501"/>
      <c r="Y138" s="503"/>
      <c r="Z138" s="501"/>
      <c r="AA138" s="503"/>
      <c r="AB138" s="495"/>
      <c r="AC138" s="504">
        <v>0</v>
      </c>
      <c r="AD138" s="504">
        <v>0</v>
      </c>
      <c r="AE138" s="504">
        <v>0</v>
      </c>
      <c r="AF138" s="504">
        <v>0</v>
      </c>
      <c r="AG138" s="504">
        <v>0</v>
      </c>
      <c r="AH138" s="504">
        <v>0</v>
      </c>
      <c r="AI138" s="504">
        <v>0</v>
      </c>
      <c r="AJ138" s="504">
        <v>0</v>
      </c>
      <c r="AK138" s="504">
        <v>0</v>
      </c>
      <c r="AL138" s="504">
        <v>0</v>
      </c>
      <c r="AM138" s="504">
        <v>0</v>
      </c>
      <c r="AN138" s="504">
        <v>0</v>
      </c>
      <c r="AO138" s="504">
        <v>0</v>
      </c>
      <c r="AP138" s="504">
        <v>0</v>
      </c>
      <c r="AQ138" s="504">
        <v>0</v>
      </c>
      <c r="AR138" s="504">
        <v>0</v>
      </c>
      <c r="AS138" s="504">
        <v>0</v>
      </c>
      <c r="AT138" s="504">
        <v>0</v>
      </c>
      <c r="AU138" s="504">
        <v>0</v>
      </c>
      <c r="AV138" s="504">
        <v>0</v>
      </c>
      <c r="AW138" s="504">
        <v>0</v>
      </c>
      <c r="AX138" s="504">
        <v>0</v>
      </c>
      <c r="AY138" s="504">
        <v>0</v>
      </c>
      <c r="AZ138" s="504">
        <v>0</v>
      </c>
      <c r="BA138" s="504">
        <v>0</v>
      </c>
      <c r="BB138" s="504">
        <v>0</v>
      </c>
      <c r="BC138" s="504">
        <v>0</v>
      </c>
      <c r="BD138" s="504">
        <v>0</v>
      </c>
      <c r="BE138" s="504">
        <v>0</v>
      </c>
      <c r="BF138" s="504">
        <v>0</v>
      </c>
      <c r="BG138" s="504">
        <v>0</v>
      </c>
      <c r="BH138" s="504">
        <v>0</v>
      </c>
      <c r="BI138" s="504">
        <v>0</v>
      </c>
      <c r="BJ138" s="504">
        <v>0</v>
      </c>
      <c r="BK138" s="504">
        <v>0</v>
      </c>
      <c r="BL138" s="504">
        <v>0</v>
      </c>
      <c r="BM138" s="504">
        <v>0</v>
      </c>
      <c r="BN138" s="504">
        <v>0</v>
      </c>
      <c r="BO138" s="504">
        <v>0</v>
      </c>
      <c r="BP138" s="504">
        <v>0</v>
      </c>
      <c r="BQ138" s="504">
        <v>0</v>
      </c>
      <c r="BR138" s="504">
        <v>0</v>
      </c>
      <c r="BS138" s="504">
        <v>0</v>
      </c>
      <c r="BT138" s="504">
        <v>0</v>
      </c>
      <c r="BU138" s="504">
        <v>0</v>
      </c>
      <c r="BV138" s="504">
        <v>0</v>
      </c>
      <c r="BW138" s="504">
        <v>0</v>
      </c>
      <c r="BX138" s="504">
        <v>0</v>
      </c>
      <c r="BY138" s="504">
        <v>0</v>
      </c>
      <c r="BZ138" s="504">
        <v>0</v>
      </c>
      <c r="CA138" s="504">
        <v>0</v>
      </c>
      <c r="CB138" s="504">
        <v>0</v>
      </c>
      <c r="CC138" s="504">
        <v>0</v>
      </c>
      <c r="CD138" s="504">
        <v>0</v>
      </c>
      <c r="CE138" s="504">
        <v>0</v>
      </c>
      <c r="CF138" s="504">
        <v>0</v>
      </c>
      <c r="CG138" s="504">
        <v>0</v>
      </c>
      <c r="CH138" s="504">
        <v>0</v>
      </c>
      <c r="CI138" s="504">
        <v>0</v>
      </c>
      <c r="CJ138" s="504">
        <v>0</v>
      </c>
      <c r="CK138" s="504">
        <v>0</v>
      </c>
      <c r="CL138" s="504">
        <v>0</v>
      </c>
      <c r="CM138" s="504">
        <v>0</v>
      </c>
      <c r="CN138" s="504">
        <v>0</v>
      </c>
      <c r="CO138" s="504">
        <v>0</v>
      </c>
      <c r="CP138" s="504">
        <v>0</v>
      </c>
      <c r="CQ138" s="504">
        <v>0</v>
      </c>
      <c r="CR138" s="504">
        <v>0</v>
      </c>
      <c r="CS138" s="504">
        <v>0</v>
      </c>
      <c r="CT138" s="504">
        <v>0</v>
      </c>
      <c r="CU138" s="504">
        <v>0</v>
      </c>
      <c r="CV138" s="504">
        <v>0</v>
      </c>
      <c r="CW138" s="504">
        <v>0</v>
      </c>
      <c r="CX138" s="504">
        <v>0</v>
      </c>
      <c r="CY138" s="504">
        <v>0</v>
      </c>
      <c r="CZ138" s="504">
        <v>0</v>
      </c>
      <c r="DA138" s="504">
        <v>0</v>
      </c>
      <c r="DB138" s="504">
        <v>0</v>
      </c>
      <c r="DC138" s="504">
        <v>0</v>
      </c>
      <c r="DD138" s="504">
        <v>0</v>
      </c>
      <c r="DE138" s="504">
        <v>0</v>
      </c>
      <c r="DF138" s="504">
        <v>0</v>
      </c>
      <c r="DG138" s="504">
        <v>0</v>
      </c>
      <c r="DH138" s="504">
        <v>0</v>
      </c>
      <c r="DI138" s="504">
        <v>0</v>
      </c>
      <c r="DJ138" s="504">
        <v>0</v>
      </c>
      <c r="DK138" s="504">
        <v>0</v>
      </c>
      <c r="DL138" s="504">
        <v>0</v>
      </c>
      <c r="DM138" s="504">
        <v>0</v>
      </c>
      <c r="DN138" s="504">
        <v>0</v>
      </c>
      <c r="DO138" s="504">
        <v>0</v>
      </c>
      <c r="DP138" s="504">
        <v>0</v>
      </c>
      <c r="DQ138" s="504">
        <v>0</v>
      </c>
      <c r="DR138" s="504">
        <v>0</v>
      </c>
      <c r="DS138" s="504">
        <v>0</v>
      </c>
      <c r="DT138" s="504">
        <v>0</v>
      </c>
      <c r="DU138" s="504">
        <v>0</v>
      </c>
      <c r="DV138" s="504">
        <v>0</v>
      </c>
      <c r="DW138" s="504">
        <v>0</v>
      </c>
      <c r="DX138" s="504">
        <v>0</v>
      </c>
      <c r="DY138" s="504">
        <v>0</v>
      </c>
      <c r="DZ138" s="504">
        <v>0</v>
      </c>
      <c r="EA138" s="504">
        <v>0</v>
      </c>
      <c r="EB138" s="504">
        <v>0</v>
      </c>
      <c r="EC138" s="504">
        <v>0</v>
      </c>
      <c r="ED138" s="504">
        <v>0</v>
      </c>
      <c r="EE138" s="504">
        <v>0</v>
      </c>
      <c r="EF138" s="504">
        <v>0</v>
      </c>
      <c r="EG138" s="504">
        <v>0</v>
      </c>
      <c r="EH138" s="504">
        <v>0</v>
      </c>
      <c r="EI138" s="504">
        <v>0</v>
      </c>
      <c r="EJ138" s="504">
        <v>0</v>
      </c>
      <c r="EK138" s="504">
        <v>0</v>
      </c>
      <c r="EL138" s="504">
        <v>0</v>
      </c>
      <c r="EM138" s="504">
        <v>0</v>
      </c>
      <c r="EN138" s="504">
        <v>0</v>
      </c>
      <c r="EO138" s="504">
        <v>0</v>
      </c>
      <c r="EP138" s="504">
        <v>0</v>
      </c>
      <c r="EQ138" s="504">
        <v>0</v>
      </c>
      <c r="ER138" s="504">
        <v>0</v>
      </c>
      <c r="ES138" s="504">
        <v>0</v>
      </c>
      <c r="ET138" s="504">
        <v>0</v>
      </c>
      <c r="EU138" s="504">
        <v>0</v>
      </c>
      <c r="EV138" s="504">
        <v>0</v>
      </c>
      <c r="EW138" s="504">
        <v>0</v>
      </c>
      <c r="EX138" s="504">
        <v>0</v>
      </c>
      <c r="EY138" s="504">
        <v>0</v>
      </c>
      <c r="EZ138" s="504">
        <v>0</v>
      </c>
      <c r="FA138" s="504">
        <v>0</v>
      </c>
      <c r="FB138" s="504">
        <v>0</v>
      </c>
      <c r="FC138" s="504">
        <v>0</v>
      </c>
      <c r="FD138" s="504">
        <v>0</v>
      </c>
      <c r="FE138" s="504">
        <v>0</v>
      </c>
      <c r="FF138" s="504">
        <v>0</v>
      </c>
      <c r="FG138" s="504">
        <v>0</v>
      </c>
      <c r="FH138" s="504">
        <v>0</v>
      </c>
      <c r="FI138" s="504">
        <v>0</v>
      </c>
      <c r="FJ138" s="504">
        <v>0</v>
      </c>
      <c r="FK138" s="504">
        <v>0</v>
      </c>
      <c r="FL138" s="504">
        <v>0</v>
      </c>
      <c r="FM138" s="504">
        <v>0</v>
      </c>
      <c r="FN138" s="504">
        <v>0</v>
      </c>
      <c r="FO138" s="504">
        <v>0</v>
      </c>
      <c r="FP138" s="504">
        <v>0</v>
      </c>
      <c r="FQ138" s="504">
        <v>0</v>
      </c>
      <c r="FR138" s="504">
        <v>0</v>
      </c>
      <c r="FS138" s="504">
        <v>0</v>
      </c>
      <c r="FT138" s="504">
        <v>0</v>
      </c>
      <c r="FU138" s="504">
        <v>0</v>
      </c>
      <c r="FV138" s="504">
        <v>0</v>
      </c>
      <c r="FW138" s="504">
        <v>0</v>
      </c>
      <c r="FX138" s="504">
        <v>0</v>
      </c>
      <c r="FY138" s="504">
        <v>0</v>
      </c>
      <c r="FZ138" s="504">
        <v>0</v>
      </c>
      <c r="GA138" s="504">
        <v>0</v>
      </c>
      <c r="GB138" s="504">
        <v>0</v>
      </c>
      <c r="GC138" s="504">
        <v>0</v>
      </c>
      <c r="GD138" s="504">
        <v>0</v>
      </c>
      <c r="GE138" s="504">
        <v>0</v>
      </c>
      <c r="GF138" s="504">
        <v>0</v>
      </c>
      <c r="GG138" s="504">
        <v>0</v>
      </c>
      <c r="GH138" s="504">
        <v>0</v>
      </c>
      <c r="GI138" s="504">
        <v>0</v>
      </c>
      <c r="GJ138" s="504">
        <v>0</v>
      </c>
      <c r="GK138" s="504">
        <v>0</v>
      </c>
      <c r="GL138" s="504">
        <v>0</v>
      </c>
      <c r="GM138" s="504">
        <v>0</v>
      </c>
      <c r="GN138" s="504">
        <v>0</v>
      </c>
      <c r="GO138" s="504">
        <v>0</v>
      </c>
      <c r="GP138" s="504">
        <v>0</v>
      </c>
      <c r="GQ138" s="504">
        <v>0</v>
      </c>
      <c r="GR138" s="504">
        <v>0</v>
      </c>
      <c r="GS138" s="504">
        <v>0</v>
      </c>
      <c r="GT138" s="504">
        <v>0</v>
      </c>
      <c r="GU138" s="504">
        <v>0</v>
      </c>
      <c r="GV138" s="504">
        <v>0</v>
      </c>
      <c r="GW138" s="504">
        <v>0</v>
      </c>
      <c r="GX138" s="504">
        <v>0</v>
      </c>
      <c r="GY138" s="504">
        <v>0</v>
      </c>
      <c r="GZ138" s="504">
        <v>0</v>
      </c>
      <c r="HA138" s="504">
        <v>0</v>
      </c>
      <c r="HB138" s="504">
        <v>0</v>
      </c>
      <c r="HC138" s="504">
        <v>0</v>
      </c>
      <c r="HD138" s="504">
        <v>0</v>
      </c>
      <c r="HE138" s="504">
        <v>0</v>
      </c>
      <c r="HF138" s="504">
        <v>0</v>
      </c>
      <c r="HG138" s="504">
        <v>0</v>
      </c>
      <c r="HH138" s="504">
        <v>0</v>
      </c>
      <c r="HI138" s="504">
        <v>0</v>
      </c>
      <c r="HJ138" s="504">
        <v>0</v>
      </c>
      <c r="HK138" s="504">
        <v>0</v>
      </c>
      <c r="HL138" s="504">
        <v>0</v>
      </c>
      <c r="HM138" s="504">
        <v>0</v>
      </c>
      <c r="HN138" s="504">
        <v>0</v>
      </c>
      <c r="HO138" s="504">
        <v>0</v>
      </c>
      <c r="HP138" s="504">
        <v>0</v>
      </c>
      <c r="HQ138" s="504">
        <v>0</v>
      </c>
      <c r="HR138" s="504">
        <v>0</v>
      </c>
      <c r="HS138" s="504">
        <v>0</v>
      </c>
      <c r="HT138" s="504">
        <v>0</v>
      </c>
      <c r="HU138" s="504">
        <v>0</v>
      </c>
      <c r="HV138" s="504">
        <v>0</v>
      </c>
      <c r="HW138" s="504">
        <v>0</v>
      </c>
      <c r="HX138" s="504">
        <v>0</v>
      </c>
      <c r="HY138" s="504">
        <v>0</v>
      </c>
      <c r="HZ138" s="504">
        <v>0</v>
      </c>
      <c r="IA138" s="504">
        <v>0</v>
      </c>
      <c r="IB138" s="504">
        <v>0</v>
      </c>
      <c r="IC138" s="504">
        <v>0</v>
      </c>
      <c r="ID138" s="504">
        <v>0</v>
      </c>
      <c r="IE138" s="504">
        <v>0</v>
      </c>
      <c r="IF138" s="504">
        <v>0</v>
      </c>
      <c r="IG138" s="504">
        <v>0</v>
      </c>
      <c r="IH138" s="504">
        <v>0</v>
      </c>
      <c r="II138" s="504">
        <v>0</v>
      </c>
      <c r="IJ138" s="504">
        <v>0</v>
      </c>
      <c r="IK138" s="504">
        <v>0</v>
      </c>
      <c r="IL138" s="504">
        <v>0</v>
      </c>
      <c r="IM138" s="504">
        <v>0</v>
      </c>
      <c r="IN138" s="504">
        <v>0</v>
      </c>
      <c r="IO138" s="504">
        <v>0</v>
      </c>
      <c r="IP138" s="504">
        <v>0</v>
      </c>
      <c r="IQ138" s="504">
        <v>0</v>
      </c>
      <c r="IR138" s="504">
        <v>0</v>
      </c>
      <c r="IS138" s="504">
        <v>0</v>
      </c>
      <c r="IT138" s="504">
        <v>0</v>
      </c>
      <c r="IU138" s="504">
        <v>0</v>
      </c>
      <c r="IV138" s="504">
        <v>0</v>
      </c>
      <c r="IW138" s="504">
        <v>0</v>
      </c>
      <c r="IX138" s="504">
        <v>0</v>
      </c>
      <c r="IY138" s="504">
        <v>0</v>
      </c>
      <c r="IZ138" s="504">
        <v>0</v>
      </c>
      <c r="JA138" s="504">
        <v>0</v>
      </c>
      <c r="JB138" s="504">
        <v>0</v>
      </c>
      <c r="JC138" s="504">
        <v>0</v>
      </c>
      <c r="JD138" s="504">
        <v>0</v>
      </c>
      <c r="JE138" s="504">
        <v>0</v>
      </c>
      <c r="JF138" s="504">
        <v>0</v>
      </c>
      <c r="JG138" s="504">
        <v>0</v>
      </c>
      <c r="JH138" s="504">
        <v>0</v>
      </c>
      <c r="JI138" s="504">
        <v>0</v>
      </c>
      <c r="JJ138" s="504">
        <v>0</v>
      </c>
      <c r="JK138" s="504">
        <v>0</v>
      </c>
      <c r="JL138" s="504">
        <v>0</v>
      </c>
      <c r="JM138" s="504">
        <v>0</v>
      </c>
      <c r="JN138" s="504">
        <v>0</v>
      </c>
      <c r="JO138" s="504">
        <v>0</v>
      </c>
      <c r="JP138" s="504">
        <v>0</v>
      </c>
      <c r="JQ138" s="504">
        <v>0</v>
      </c>
      <c r="JR138" s="504">
        <v>0</v>
      </c>
      <c r="JS138" s="504">
        <v>0</v>
      </c>
      <c r="JT138" s="504">
        <v>0</v>
      </c>
      <c r="JU138" s="504">
        <v>0</v>
      </c>
      <c r="JV138" s="504">
        <v>0</v>
      </c>
      <c r="JW138" s="504">
        <v>0</v>
      </c>
      <c r="JX138" s="504">
        <v>0</v>
      </c>
      <c r="JY138" s="504">
        <v>0</v>
      </c>
      <c r="JZ138" s="504">
        <v>0</v>
      </c>
      <c r="KA138" s="504">
        <v>0</v>
      </c>
      <c r="KB138" s="504">
        <v>0</v>
      </c>
      <c r="KC138" s="504">
        <v>0</v>
      </c>
      <c r="KD138" s="504">
        <v>0</v>
      </c>
      <c r="KE138" s="504">
        <v>0</v>
      </c>
      <c r="KF138" s="504">
        <v>0</v>
      </c>
      <c r="KG138" s="504">
        <v>0</v>
      </c>
      <c r="KH138" s="504">
        <v>0</v>
      </c>
      <c r="KI138" s="504">
        <v>0</v>
      </c>
      <c r="KJ138" s="504">
        <v>0</v>
      </c>
      <c r="KK138" s="504">
        <v>0</v>
      </c>
      <c r="KL138" s="504">
        <v>0</v>
      </c>
      <c r="KM138" s="504">
        <v>0</v>
      </c>
      <c r="KN138" s="504">
        <v>0</v>
      </c>
      <c r="KO138" s="504">
        <v>0</v>
      </c>
      <c r="KP138" s="504">
        <v>0</v>
      </c>
      <c r="KQ138" s="504">
        <v>0</v>
      </c>
      <c r="KR138" s="504">
        <v>0</v>
      </c>
      <c r="KS138" s="504">
        <v>0</v>
      </c>
      <c r="KT138" s="504">
        <v>0</v>
      </c>
      <c r="KU138" s="504">
        <v>0</v>
      </c>
      <c r="KV138" s="504">
        <v>0</v>
      </c>
      <c r="KW138" s="504">
        <v>0</v>
      </c>
      <c r="KX138" s="504">
        <v>0</v>
      </c>
      <c r="KY138" s="504">
        <v>0</v>
      </c>
      <c r="KZ138" s="504">
        <v>0</v>
      </c>
      <c r="LA138" s="504">
        <v>0</v>
      </c>
      <c r="LB138" s="504">
        <v>0</v>
      </c>
      <c r="LC138" s="504">
        <v>0</v>
      </c>
      <c r="LD138" s="504">
        <v>0</v>
      </c>
      <c r="LE138" s="504">
        <v>0</v>
      </c>
      <c r="LF138" s="504">
        <v>0</v>
      </c>
      <c r="LG138" s="504">
        <v>0</v>
      </c>
      <c r="LH138" s="504">
        <v>0</v>
      </c>
      <c r="LI138" s="504">
        <v>0</v>
      </c>
      <c r="LJ138" s="504">
        <v>0</v>
      </c>
      <c r="LK138" s="504">
        <v>0</v>
      </c>
      <c r="LL138" s="504">
        <v>0</v>
      </c>
      <c r="LM138" s="504">
        <v>0</v>
      </c>
      <c r="LN138" s="504">
        <v>0</v>
      </c>
      <c r="LO138" s="504">
        <v>0</v>
      </c>
      <c r="LP138" s="504">
        <v>0</v>
      </c>
      <c r="LQ138" s="504">
        <v>0</v>
      </c>
      <c r="LR138" s="504">
        <v>0</v>
      </c>
      <c r="LS138" s="504">
        <v>0</v>
      </c>
      <c r="LT138" s="504">
        <v>0</v>
      </c>
      <c r="LU138" s="504">
        <v>0</v>
      </c>
      <c r="LV138" s="504">
        <v>0</v>
      </c>
      <c r="LW138" s="504">
        <v>0</v>
      </c>
      <c r="LX138" s="504">
        <v>0</v>
      </c>
      <c r="LY138" s="504">
        <v>0</v>
      </c>
      <c r="LZ138" s="504">
        <v>0</v>
      </c>
      <c r="MA138" s="504">
        <v>0</v>
      </c>
      <c r="MB138" s="504">
        <v>0</v>
      </c>
      <c r="MC138" s="504">
        <v>0</v>
      </c>
      <c r="MD138" s="504">
        <v>0</v>
      </c>
      <c r="ME138" s="504">
        <v>0</v>
      </c>
      <c r="MF138" s="504">
        <v>0</v>
      </c>
      <c r="MG138" s="504">
        <v>0</v>
      </c>
      <c r="MH138" s="504">
        <v>0</v>
      </c>
      <c r="MI138" s="504">
        <v>0</v>
      </c>
      <c r="MJ138" s="504">
        <v>0</v>
      </c>
      <c r="MK138" s="504">
        <v>0</v>
      </c>
      <c r="ML138" s="504">
        <v>0</v>
      </c>
      <c r="MM138" s="504">
        <v>0</v>
      </c>
      <c r="MN138" s="504">
        <v>0</v>
      </c>
      <c r="MO138" s="504">
        <v>0</v>
      </c>
      <c r="MP138" s="504">
        <v>0</v>
      </c>
      <c r="MQ138" s="504">
        <v>0</v>
      </c>
      <c r="MR138" s="504">
        <v>0</v>
      </c>
      <c r="MS138" s="504">
        <v>0</v>
      </c>
      <c r="MT138" s="504">
        <v>0</v>
      </c>
      <c r="MU138" s="504">
        <v>0</v>
      </c>
      <c r="MV138" s="504">
        <v>0</v>
      </c>
      <c r="MW138" s="504">
        <v>0</v>
      </c>
      <c r="MX138" s="504">
        <v>0</v>
      </c>
      <c r="MY138" s="504">
        <v>0</v>
      </c>
      <c r="MZ138" s="504">
        <v>0</v>
      </c>
      <c r="NA138" s="504">
        <v>0</v>
      </c>
      <c r="NB138" s="504">
        <v>0</v>
      </c>
      <c r="NC138" s="504">
        <v>0</v>
      </c>
      <c r="ND138" s="504">
        <v>0</v>
      </c>
      <c r="NE138" s="504">
        <v>0</v>
      </c>
      <c r="NF138" s="504">
        <v>0</v>
      </c>
      <c r="NG138" s="504">
        <v>0</v>
      </c>
      <c r="NH138" s="504">
        <v>0</v>
      </c>
      <c r="NI138" s="504">
        <v>0</v>
      </c>
      <c r="NJ138" s="504">
        <v>0</v>
      </c>
      <c r="NK138" s="504">
        <v>0</v>
      </c>
      <c r="NL138" s="504">
        <v>0</v>
      </c>
      <c r="NM138" s="504">
        <v>0</v>
      </c>
      <c r="NN138" s="504">
        <v>0</v>
      </c>
      <c r="NO138" s="504">
        <v>0</v>
      </c>
      <c r="NP138" s="504">
        <v>0</v>
      </c>
      <c r="NQ138" s="504">
        <v>0</v>
      </c>
      <c r="NR138" s="504">
        <v>0</v>
      </c>
      <c r="NS138" s="504">
        <v>0</v>
      </c>
      <c r="NT138" s="504">
        <v>0</v>
      </c>
      <c r="NU138" s="504">
        <v>0</v>
      </c>
      <c r="NV138" s="504">
        <v>0</v>
      </c>
      <c r="NW138" s="504">
        <v>0</v>
      </c>
      <c r="NX138" s="504">
        <v>0</v>
      </c>
      <c r="NY138" s="504">
        <v>0</v>
      </c>
      <c r="NZ138" s="504">
        <v>0</v>
      </c>
      <c r="OA138" s="504">
        <v>0</v>
      </c>
      <c r="OB138" s="504">
        <v>0</v>
      </c>
      <c r="OC138" s="504">
        <v>0</v>
      </c>
      <c r="OD138" s="504">
        <v>0</v>
      </c>
      <c r="OE138" s="504">
        <v>0</v>
      </c>
      <c r="OF138" s="504">
        <v>0</v>
      </c>
      <c r="OG138" s="504">
        <v>0</v>
      </c>
      <c r="OH138" s="504">
        <v>0</v>
      </c>
      <c r="OI138" s="504">
        <v>0</v>
      </c>
      <c r="OJ138" s="504">
        <v>0</v>
      </c>
      <c r="OK138" s="504">
        <v>0</v>
      </c>
      <c r="OL138" s="504">
        <v>0</v>
      </c>
      <c r="OM138" s="504">
        <v>0</v>
      </c>
      <c r="ON138" s="494"/>
    </row>
    <row r="139" spans="1:404" ht="18.75" customHeight="1" x14ac:dyDescent="0.4">
      <c r="A139" s="511" t="s">
        <v>409</v>
      </c>
      <c r="B139" s="512">
        <v>231</v>
      </c>
      <c r="C139" s="511" t="s">
        <v>60</v>
      </c>
      <c r="D139" s="501">
        <v>40.090000000000003</v>
      </c>
      <c r="E139" s="502">
        <v>10959</v>
      </c>
      <c r="F139" s="501">
        <v>40.08</v>
      </c>
      <c r="G139" s="502">
        <v>2019</v>
      </c>
      <c r="H139" s="501">
        <v>40.090000000000003</v>
      </c>
      <c r="I139" s="502">
        <v>5350</v>
      </c>
      <c r="J139" s="501">
        <v>40.090000000000003</v>
      </c>
      <c r="K139" s="502">
        <v>5780</v>
      </c>
      <c r="V139" s="501"/>
      <c r="W139" s="503"/>
      <c r="X139" s="501"/>
      <c r="Y139" s="503"/>
      <c r="Z139" s="501"/>
      <c r="AA139" s="503"/>
      <c r="AB139" s="495"/>
      <c r="AC139" s="504">
        <v>0</v>
      </c>
      <c r="AD139" s="504">
        <v>0</v>
      </c>
      <c r="AE139" s="504">
        <v>0</v>
      </c>
      <c r="AF139" s="504">
        <v>0</v>
      </c>
      <c r="AG139" s="504">
        <v>0</v>
      </c>
      <c r="AH139" s="504">
        <v>0</v>
      </c>
      <c r="AI139" s="504">
        <v>0</v>
      </c>
      <c r="AJ139" s="504">
        <v>0</v>
      </c>
      <c r="AK139" s="504">
        <v>0</v>
      </c>
      <c r="AL139" s="504">
        <v>0</v>
      </c>
      <c r="AM139" s="504">
        <v>0</v>
      </c>
      <c r="AN139" s="504">
        <v>0</v>
      </c>
      <c r="AO139" s="504">
        <v>0</v>
      </c>
      <c r="AP139" s="504">
        <v>0</v>
      </c>
      <c r="AQ139" s="504">
        <v>0</v>
      </c>
      <c r="AR139" s="504">
        <v>0</v>
      </c>
      <c r="AS139" s="504">
        <v>0</v>
      </c>
      <c r="AT139" s="504">
        <v>0</v>
      </c>
      <c r="AU139" s="504">
        <v>0</v>
      </c>
      <c r="AV139" s="504">
        <v>0</v>
      </c>
      <c r="AW139" s="504">
        <v>0</v>
      </c>
      <c r="AX139" s="504">
        <v>0</v>
      </c>
      <c r="AY139" s="504">
        <v>0</v>
      </c>
      <c r="AZ139" s="504">
        <v>0</v>
      </c>
      <c r="BA139" s="504">
        <v>0</v>
      </c>
      <c r="BB139" s="504">
        <v>0</v>
      </c>
      <c r="BC139" s="504">
        <v>0</v>
      </c>
      <c r="BD139" s="504">
        <v>0</v>
      </c>
      <c r="BE139" s="504">
        <v>0</v>
      </c>
      <c r="BF139" s="504">
        <v>0</v>
      </c>
      <c r="BG139" s="504">
        <v>0</v>
      </c>
      <c r="BH139" s="504">
        <v>0</v>
      </c>
      <c r="BI139" s="504">
        <v>0</v>
      </c>
      <c r="BJ139" s="504">
        <v>0</v>
      </c>
      <c r="BK139" s="504">
        <v>0</v>
      </c>
      <c r="BL139" s="504">
        <v>0</v>
      </c>
      <c r="BM139" s="504">
        <v>0</v>
      </c>
      <c r="BN139" s="504">
        <v>0</v>
      </c>
      <c r="BO139" s="504">
        <v>0</v>
      </c>
      <c r="BP139" s="504">
        <v>0</v>
      </c>
      <c r="BQ139" s="504">
        <v>0</v>
      </c>
      <c r="BR139" s="504">
        <v>0</v>
      </c>
      <c r="BS139" s="504">
        <v>0</v>
      </c>
      <c r="BT139" s="504">
        <v>0</v>
      </c>
      <c r="BU139" s="504">
        <v>0</v>
      </c>
      <c r="BV139" s="504">
        <v>0</v>
      </c>
      <c r="BW139" s="504">
        <v>0</v>
      </c>
      <c r="BX139" s="504">
        <v>0</v>
      </c>
      <c r="BY139" s="504">
        <v>0</v>
      </c>
      <c r="BZ139" s="504">
        <v>0</v>
      </c>
      <c r="CA139" s="504">
        <v>0</v>
      </c>
      <c r="CB139" s="504">
        <v>0</v>
      </c>
      <c r="CC139" s="504">
        <v>0</v>
      </c>
      <c r="CD139" s="504">
        <v>0</v>
      </c>
      <c r="CE139" s="504">
        <v>0</v>
      </c>
      <c r="CF139" s="504">
        <v>0</v>
      </c>
      <c r="CG139" s="504">
        <v>0</v>
      </c>
      <c r="CH139" s="504">
        <v>0</v>
      </c>
      <c r="CI139" s="504">
        <v>0</v>
      </c>
      <c r="CJ139" s="504">
        <v>0</v>
      </c>
      <c r="CK139" s="504">
        <v>0</v>
      </c>
      <c r="CL139" s="504">
        <v>0</v>
      </c>
      <c r="CM139" s="504">
        <v>0</v>
      </c>
      <c r="CN139" s="504">
        <v>0</v>
      </c>
      <c r="CO139" s="504">
        <v>0</v>
      </c>
      <c r="CP139" s="504">
        <v>0</v>
      </c>
      <c r="CQ139" s="504">
        <v>0</v>
      </c>
      <c r="CR139" s="504">
        <v>0</v>
      </c>
      <c r="CS139" s="504">
        <v>0</v>
      </c>
      <c r="CT139" s="504">
        <v>0</v>
      </c>
      <c r="CU139" s="504">
        <v>0</v>
      </c>
      <c r="CV139" s="504">
        <v>0</v>
      </c>
      <c r="CW139" s="504">
        <v>0</v>
      </c>
      <c r="CX139" s="504">
        <v>0</v>
      </c>
      <c r="CY139" s="504">
        <v>0</v>
      </c>
      <c r="CZ139" s="504">
        <v>0</v>
      </c>
      <c r="DA139" s="504">
        <v>0</v>
      </c>
      <c r="DB139" s="504">
        <v>0</v>
      </c>
      <c r="DC139" s="504">
        <v>0</v>
      </c>
      <c r="DD139" s="504">
        <v>0</v>
      </c>
      <c r="DE139" s="504">
        <v>0</v>
      </c>
      <c r="DF139" s="504">
        <v>0</v>
      </c>
      <c r="DG139" s="504">
        <v>0</v>
      </c>
      <c r="DH139" s="504">
        <v>0</v>
      </c>
      <c r="DI139" s="504">
        <v>0</v>
      </c>
      <c r="DJ139" s="504">
        <v>0</v>
      </c>
      <c r="DK139" s="504">
        <v>0</v>
      </c>
      <c r="DL139" s="504">
        <v>0</v>
      </c>
      <c r="DM139" s="504">
        <v>0</v>
      </c>
      <c r="DN139" s="504">
        <v>0</v>
      </c>
      <c r="DO139" s="504">
        <v>0</v>
      </c>
      <c r="DP139" s="504">
        <v>0</v>
      </c>
      <c r="DQ139" s="504">
        <v>0</v>
      </c>
      <c r="DR139" s="504">
        <v>0</v>
      </c>
      <c r="DS139" s="504">
        <v>0</v>
      </c>
      <c r="DT139" s="504">
        <v>0</v>
      </c>
      <c r="DU139" s="504">
        <v>0</v>
      </c>
      <c r="DV139" s="504">
        <v>0</v>
      </c>
      <c r="DW139" s="504">
        <v>0</v>
      </c>
      <c r="DX139" s="504">
        <v>0</v>
      </c>
      <c r="DY139" s="504">
        <v>0</v>
      </c>
      <c r="DZ139" s="504">
        <v>0</v>
      </c>
      <c r="EA139" s="504">
        <v>0</v>
      </c>
      <c r="EB139" s="504">
        <v>0</v>
      </c>
      <c r="EC139" s="504">
        <v>0</v>
      </c>
      <c r="ED139" s="504">
        <v>0</v>
      </c>
      <c r="EE139" s="504">
        <v>0</v>
      </c>
      <c r="EF139" s="504">
        <v>0</v>
      </c>
      <c r="EG139" s="504">
        <v>0</v>
      </c>
      <c r="EH139" s="504">
        <v>0</v>
      </c>
      <c r="EI139" s="504">
        <v>0</v>
      </c>
      <c r="EJ139" s="504">
        <v>0</v>
      </c>
      <c r="EK139" s="504">
        <v>0</v>
      </c>
      <c r="EL139" s="504">
        <v>0</v>
      </c>
      <c r="EM139" s="504">
        <v>0</v>
      </c>
      <c r="EN139" s="504">
        <v>0</v>
      </c>
      <c r="EO139" s="504">
        <v>0</v>
      </c>
      <c r="EP139" s="504">
        <v>0</v>
      </c>
      <c r="EQ139" s="504">
        <v>0</v>
      </c>
      <c r="ER139" s="504">
        <v>0</v>
      </c>
      <c r="ES139" s="504">
        <v>0</v>
      </c>
      <c r="ET139" s="504">
        <v>0</v>
      </c>
      <c r="EU139" s="504">
        <v>0</v>
      </c>
      <c r="EV139" s="504">
        <v>0</v>
      </c>
      <c r="EW139" s="504">
        <v>0</v>
      </c>
      <c r="EX139" s="504">
        <v>0</v>
      </c>
      <c r="EY139" s="504">
        <v>0</v>
      </c>
      <c r="EZ139" s="504">
        <v>0</v>
      </c>
      <c r="FA139" s="504">
        <v>0</v>
      </c>
      <c r="FB139" s="504">
        <v>0</v>
      </c>
      <c r="FC139" s="504">
        <v>0</v>
      </c>
      <c r="FD139" s="504">
        <v>0</v>
      </c>
      <c r="FE139" s="504">
        <v>0</v>
      </c>
      <c r="FF139" s="504">
        <v>0</v>
      </c>
      <c r="FG139" s="504">
        <v>0</v>
      </c>
      <c r="FH139" s="504">
        <v>0</v>
      </c>
      <c r="FI139" s="504">
        <v>0</v>
      </c>
      <c r="FJ139" s="504">
        <v>0</v>
      </c>
      <c r="FK139" s="504">
        <v>0</v>
      </c>
      <c r="FL139" s="504">
        <v>0</v>
      </c>
      <c r="FM139" s="504">
        <v>0</v>
      </c>
      <c r="FN139" s="504">
        <v>0</v>
      </c>
      <c r="FO139" s="504">
        <v>0</v>
      </c>
      <c r="FP139" s="504">
        <v>0</v>
      </c>
      <c r="FQ139" s="504">
        <v>0</v>
      </c>
      <c r="FR139" s="504">
        <v>0</v>
      </c>
      <c r="FS139" s="504">
        <v>0</v>
      </c>
      <c r="FT139" s="504">
        <v>0</v>
      </c>
      <c r="FU139" s="504">
        <v>0</v>
      </c>
      <c r="FV139" s="504">
        <v>0</v>
      </c>
      <c r="FW139" s="504">
        <v>0</v>
      </c>
      <c r="FX139" s="504">
        <v>0</v>
      </c>
      <c r="FY139" s="504">
        <v>0</v>
      </c>
      <c r="FZ139" s="504">
        <v>0</v>
      </c>
      <c r="GA139" s="504">
        <v>0</v>
      </c>
      <c r="GB139" s="504">
        <v>0</v>
      </c>
      <c r="GC139" s="504">
        <v>0</v>
      </c>
      <c r="GD139" s="504">
        <v>0</v>
      </c>
      <c r="GE139" s="504">
        <v>0</v>
      </c>
      <c r="GF139" s="504">
        <v>0</v>
      </c>
      <c r="GG139" s="504">
        <v>0</v>
      </c>
      <c r="GH139" s="504">
        <v>0</v>
      </c>
      <c r="GI139" s="504">
        <v>0</v>
      </c>
      <c r="GJ139" s="504">
        <v>0</v>
      </c>
      <c r="GK139" s="504">
        <v>0</v>
      </c>
      <c r="GL139" s="504">
        <v>0</v>
      </c>
      <c r="GM139" s="504">
        <v>0</v>
      </c>
      <c r="GN139" s="504">
        <v>0</v>
      </c>
      <c r="GO139" s="504">
        <v>0</v>
      </c>
      <c r="GP139" s="504">
        <v>0</v>
      </c>
      <c r="GQ139" s="504">
        <v>0</v>
      </c>
      <c r="GR139" s="504">
        <v>0</v>
      </c>
      <c r="GS139" s="504">
        <v>0</v>
      </c>
      <c r="GT139" s="504">
        <v>0</v>
      </c>
      <c r="GU139" s="504">
        <v>0</v>
      </c>
      <c r="GV139" s="504">
        <v>0</v>
      </c>
      <c r="GW139" s="504">
        <v>0</v>
      </c>
      <c r="GX139" s="504">
        <v>0</v>
      </c>
      <c r="GY139" s="504">
        <v>0</v>
      </c>
      <c r="GZ139" s="504">
        <v>0</v>
      </c>
      <c r="HA139" s="504">
        <v>0</v>
      </c>
      <c r="HB139" s="504">
        <v>0</v>
      </c>
      <c r="HC139" s="504">
        <v>0</v>
      </c>
      <c r="HD139" s="504">
        <v>0</v>
      </c>
      <c r="HE139" s="504">
        <v>0</v>
      </c>
      <c r="HF139" s="504">
        <v>0</v>
      </c>
      <c r="HG139" s="504">
        <v>0</v>
      </c>
      <c r="HH139" s="504">
        <v>0</v>
      </c>
      <c r="HI139" s="504">
        <v>0</v>
      </c>
      <c r="HJ139" s="504">
        <v>0</v>
      </c>
      <c r="HK139" s="504">
        <v>0</v>
      </c>
      <c r="HL139" s="504">
        <v>0</v>
      </c>
      <c r="HM139" s="504">
        <v>0</v>
      </c>
      <c r="HN139" s="504">
        <v>0</v>
      </c>
      <c r="HO139" s="504">
        <v>0</v>
      </c>
      <c r="HP139" s="504">
        <v>0</v>
      </c>
      <c r="HQ139" s="504">
        <v>0</v>
      </c>
      <c r="HR139" s="504">
        <v>0</v>
      </c>
      <c r="HS139" s="504">
        <v>0</v>
      </c>
      <c r="HT139" s="504">
        <v>0</v>
      </c>
      <c r="HU139" s="504">
        <v>0</v>
      </c>
      <c r="HV139" s="504">
        <v>0</v>
      </c>
      <c r="HW139" s="504">
        <v>0</v>
      </c>
      <c r="HX139" s="504">
        <v>0</v>
      </c>
      <c r="HY139" s="504">
        <v>0</v>
      </c>
      <c r="HZ139" s="504">
        <v>0</v>
      </c>
      <c r="IA139" s="504">
        <v>0</v>
      </c>
      <c r="IB139" s="504">
        <v>0</v>
      </c>
      <c r="IC139" s="504">
        <v>0</v>
      </c>
      <c r="ID139" s="504">
        <v>0</v>
      </c>
      <c r="IE139" s="504">
        <v>0</v>
      </c>
      <c r="IF139" s="504">
        <v>0</v>
      </c>
      <c r="IG139" s="504">
        <v>0</v>
      </c>
      <c r="IH139" s="504">
        <v>0</v>
      </c>
      <c r="II139" s="504">
        <v>0</v>
      </c>
      <c r="IJ139" s="504">
        <v>0</v>
      </c>
      <c r="IK139" s="504">
        <v>0</v>
      </c>
      <c r="IL139" s="504">
        <v>0</v>
      </c>
      <c r="IM139" s="504">
        <v>0</v>
      </c>
      <c r="IN139" s="504">
        <v>0</v>
      </c>
      <c r="IO139" s="504">
        <v>0</v>
      </c>
      <c r="IP139" s="504">
        <v>0</v>
      </c>
      <c r="IQ139" s="504">
        <v>0</v>
      </c>
      <c r="IR139" s="504">
        <v>0</v>
      </c>
      <c r="IS139" s="504">
        <v>0</v>
      </c>
      <c r="IT139" s="504">
        <v>0</v>
      </c>
      <c r="IU139" s="504">
        <v>0</v>
      </c>
      <c r="IV139" s="504">
        <v>0</v>
      </c>
      <c r="IW139" s="504">
        <v>0</v>
      </c>
      <c r="IX139" s="504">
        <v>0</v>
      </c>
      <c r="IY139" s="504">
        <v>0</v>
      </c>
      <c r="IZ139" s="504">
        <v>0</v>
      </c>
      <c r="JA139" s="504">
        <v>0</v>
      </c>
      <c r="JB139" s="504">
        <v>0</v>
      </c>
      <c r="JC139" s="504">
        <v>0</v>
      </c>
      <c r="JD139" s="504">
        <v>0</v>
      </c>
      <c r="JE139" s="504">
        <v>0</v>
      </c>
      <c r="JF139" s="504">
        <v>0</v>
      </c>
      <c r="JG139" s="504">
        <v>0</v>
      </c>
      <c r="JH139" s="504">
        <v>0</v>
      </c>
      <c r="JI139" s="504">
        <v>0</v>
      </c>
      <c r="JJ139" s="504">
        <v>0</v>
      </c>
      <c r="JK139" s="504">
        <v>0</v>
      </c>
      <c r="JL139" s="504">
        <v>0</v>
      </c>
      <c r="JM139" s="504">
        <v>0</v>
      </c>
      <c r="JN139" s="504">
        <v>0</v>
      </c>
      <c r="JO139" s="504">
        <v>0</v>
      </c>
      <c r="JP139" s="504">
        <v>0</v>
      </c>
      <c r="JQ139" s="504">
        <v>0</v>
      </c>
      <c r="JR139" s="504">
        <v>0</v>
      </c>
      <c r="JS139" s="504">
        <v>0</v>
      </c>
      <c r="JT139" s="504">
        <v>0</v>
      </c>
      <c r="JU139" s="504">
        <v>0</v>
      </c>
      <c r="JV139" s="504">
        <v>0</v>
      </c>
      <c r="JW139" s="504">
        <v>0</v>
      </c>
      <c r="JX139" s="504">
        <v>0</v>
      </c>
      <c r="JY139" s="504">
        <v>0</v>
      </c>
      <c r="JZ139" s="504">
        <v>0</v>
      </c>
      <c r="KA139" s="504">
        <v>0</v>
      </c>
      <c r="KB139" s="504">
        <v>0</v>
      </c>
      <c r="KC139" s="504">
        <v>0</v>
      </c>
      <c r="KD139" s="504">
        <v>0</v>
      </c>
      <c r="KE139" s="504">
        <v>0</v>
      </c>
      <c r="KF139" s="504">
        <v>0</v>
      </c>
      <c r="KG139" s="504">
        <v>0</v>
      </c>
      <c r="KH139" s="504">
        <v>0</v>
      </c>
      <c r="KI139" s="504">
        <v>0</v>
      </c>
      <c r="KJ139" s="504">
        <v>0</v>
      </c>
      <c r="KK139" s="504">
        <v>0</v>
      </c>
      <c r="KL139" s="504">
        <v>0</v>
      </c>
      <c r="KM139" s="504">
        <v>0</v>
      </c>
      <c r="KN139" s="504">
        <v>0</v>
      </c>
      <c r="KO139" s="504">
        <v>0</v>
      </c>
      <c r="KP139" s="504">
        <v>0</v>
      </c>
      <c r="KQ139" s="504">
        <v>0</v>
      </c>
      <c r="KR139" s="504">
        <v>0</v>
      </c>
      <c r="KS139" s="504">
        <v>0</v>
      </c>
      <c r="KT139" s="504">
        <v>0</v>
      </c>
      <c r="KU139" s="504">
        <v>0</v>
      </c>
      <c r="KV139" s="504">
        <v>0</v>
      </c>
      <c r="KW139" s="504">
        <v>0</v>
      </c>
      <c r="KX139" s="504">
        <v>0</v>
      </c>
      <c r="KY139" s="504">
        <v>0</v>
      </c>
      <c r="KZ139" s="504">
        <v>0</v>
      </c>
      <c r="LA139" s="504">
        <v>0</v>
      </c>
      <c r="LB139" s="504">
        <v>0</v>
      </c>
      <c r="LC139" s="504">
        <v>0</v>
      </c>
      <c r="LD139" s="504">
        <v>0</v>
      </c>
      <c r="LE139" s="504">
        <v>0</v>
      </c>
      <c r="LF139" s="504">
        <v>0</v>
      </c>
      <c r="LG139" s="504">
        <v>0</v>
      </c>
      <c r="LH139" s="504">
        <v>0</v>
      </c>
      <c r="LI139" s="504">
        <v>0</v>
      </c>
      <c r="LJ139" s="504">
        <v>0</v>
      </c>
      <c r="LK139" s="504">
        <v>0</v>
      </c>
      <c r="LL139" s="504">
        <v>0</v>
      </c>
      <c r="LM139" s="504">
        <v>0</v>
      </c>
      <c r="LN139" s="504">
        <v>0</v>
      </c>
      <c r="LO139" s="504">
        <v>0</v>
      </c>
      <c r="LP139" s="504">
        <v>0</v>
      </c>
      <c r="LQ139" s="504">
        <v>0</v>
      </c>
      <c r="LR139" s="504">
        <v>0</v>
      </c>
      <c r="LS139" s="504">
        <v>0</v>
      </c>
      <c r="LT139" s="504">
        <v>0</v>
      </c>
      <c r="LU139" s="504">
        <v>0</v>
      </c>
      <c r="LV139" s="504">
        <v>0</v>
      </c>
      <c r="LW139" s="504">
        <v>0</v>
      </c>
      <c r="LX139" s="504">
        <v>0</v>
      </c>
      <c r="LY139" s="504">
        <v>0</v>
      </c>
      <c r="LZ139" s="504">
        <v>0</v>
      </c>
      <c r="MA139" s="504">
        <v>0</v>
      </c>
      <c r="MB139" s="504">
        <v>0</v>
      </c>
      <c r="MC139" s="504">
        <v>0</v>
      </c>
      <c r="MD139" s="504">
        <v>0</v>
      </c>
      <c r="ME139" s="504">
        <v>0</v>
      </c>
      <c r="MF139" s="504">
        <v>0</v>
      </c>
      <c r="MG139" s="504">
        <v>0</v>
      </c>
      <c r="MH139" s="504">
        <v>0</v>
      </c>
      <c r="MI139" s="504">
        <v>0</v>
      </c>
      <c r="MJ139" s="504">
        <v>0</v>
      </c>
      <c r="MK139" s="504">
        <v>0</v>
      </c>
      <c r="ML139" s="504">
        <v>0</v>
      </c>
      <c r="MM139" s="504">
        <v>0</v>
      </c>
      <c r="MN139" s="504">
        <v>0</v>
      </c>
      <c r="MO139" s="504">
        <v>0</v>
      </c>
      <c r="MP139" s="504">
        <v>0</v>
      </c>
      <c r="MQ139" s="504">
        <v>0</v>
      </c>
      <c r="MR139" s="504">
        <v>0</v>
      </c>
      <c r="MS139" s="504">
        <v>0</v>
      </c>
      <c r="MT139" s="504">
        <v>0</v>
      </c>
      <c r="MU139" s="504">
        <v>0</v>
      </c>
      <c r="MV139" s="504">
        <v>0</v>
      </c>
      <c r="MW139" s="504">
        <v>0</v>
      </c>
      <c r="MX139" s="504">
        <v>0</v>
      </c>
      <c r="MY139" s="504">
        <v>0</v>
      </c>
      <c r="MZ139" s="504">
        <v>0</v>
      </c>
      <c r="NA139" s="504">
        <v>0</v>
      </c>
      <c r="NB139" s="504">
        <v>0</v>
      </c>
      <c r="NC139" s="504">
        <v>0</v>
      </c>
      <c r="ND139" s="504">
        <v>0</v>
      </c>
      <c r="NE139" s="504">
        <v>0</v>
      </c>
      <c r="NF139" s="504">
        <v>0</v>
      </c>
      <c r="NG139" s="504">
        <v>0</v>
      </c>
      <c r="NH139" s="504">
        <v>0</v>
      </c>
      <c r="NI139" s="504">
        <v>0</v>
      </c>
      <c r="NJ139" s="504">
        <v>0</v>
      </c>
      <c r="NK139" s="504">
        <v>0</v>
      </c>
      <c r="NL139" s="504">
        <v>0</v>
      </c>
      <c r="NM139" s="504">
        <v>0</v>
      </c>
      <c r="NN139" s="504">
        <v>0</v>
      </c>
      <c r="NO139" s="504">
        <v>0</v>
      </c>
      <c r="NP139" s="504">
        <v>0</v>
      </c>
      <c r="NQ139" s="504">
        <v>0</v>
      </c>
      <c r="NR139" s="504">
        <v>0</v>
      </c>
      <c r="NS139" s="504">
        <v>0</v>
      </c>
      <c r="NT139" s="504">
        <v>0</v>
      </c>
      <c r="NU139" s="504">
        <v>0</v>
      </c>
      <c r="NV139" s="504">
        <v>0</v>
      </c>
      <c r="NW139" s="504">
        <v>0</v>
      </c>
      <c r="NX139" s="504">
        <v>0</v>
      </c>
      <c r="NY139" s="504">
        <v>0</v>
      </c>
      <c r="NZ139" s="504">
        <v>0</v>
      </c>
      <c r="OA139" s="504">
        <v>0</v>
      </c>
      <c r="OB139" s="504">
        <v>0</v>
      </c>
      <c r="OC139" s="504">
        <v>0</v>
      </c>
      <c r="OD139" s="504">
        <v>0</v>
      </c>
      <c r="OE139" s="504">
        <v>0</v>
      </c>
      <c r="OF139" s="504">
        <v>0</v>
      </c>
      <c r="OG139" s="504">
        <v>0</v>
      </c>
      <c r="OH139" s="504">
        <v>0</v>
      </c>
      <c r="OI139" s="504">
        <v>0</v>
      </c>
      <c r="OJ139" s="504">
        <v>0</v>
      </c>
      <c r="OK139" s="504">
        <v>0</v>
      </c>
      <c r="OL139" s="504">
        <v>0</v>
      </c>
      <c r="OM139" s="504">
        <v>0</v>
      </c>
      <c r="ON139" s="494"/>
    </row>
    <row r="140" spans="1:404" ht="18.75" customHeight="1" x14ac:dyDescent="0.4">
      <c r="A140" s="511" t="s">
        <v>410</v>
      </c>
      <c r="B140" s="512">
        <v>106</v>
      </c>
      <c r="C140" s="511" t="s">
        <v>60</v>
      </c>
      <c r="D140" s="501">
        <v>40.5</v>
      </c>
      <c r="E140" s="502">
        <v>19884</v>
      </c>
      <c r="F140" s="501">
        <v>40.5</v>
      </c>
      <c r="G140" s="502">
        <v>1110</v>
      </c>
      <c r="H140" s="501">
        <v>40.5</v>
      </c>
      <c r="I140" s="502">
        <v>2961</v>
      </c>
      <c r="J140" s="501">
        <v>40.5</v>
      </c>
      <c r="K140" s="502">
        <v>3373</v>
      </c>
      <c r="V140" s="501"/>
      <c r="W140" s="503"/>
      <c r="X140" s="501"/>
      <c r="Y140" s="503"/>
      <c r="Z140" s="501"/>
      <c r="AA140" s="503"/>
      <c r="AB140" s="495"/>
      <c r="AC140" s="504">
        <v>0</v>
      </c>
      <c r="AD140" s="504">
        <v>0</v>
      </c>
      <c r="AE140" s="504">
        <v>0</v>
      </c>
      <c r="AF140" s="504">
        <v>0</v>
      </c>
      <c r="AG140" s="504">
        <v>0</v>
      </c>
      <c r="AH140" s="504">
        <v>0</v>
      </c>
      <c r="AI140" s="504">
        <v>0</v>
      </c>
      <c r="AJ140" s="504">
        <v>0</v>
      </c>
      <c r="AK140" s="504">
        <v>0</v>
      </c>
      <c r="AL140" s="504">
        <v>0</v>
      </c>
      <c r="AM140" s="504">
        <v>0</v>
      </c>
      <c r="AN140" s="504">
        <v>0</v>
      </c>
      <c r="AO140" s="504">
        <v>0</v>
      </c>
      <c r="AP140" s="504">
        <v>0</v>
      </c>
      <c r="AQ140" s="504">
        <v>0</v>
      </c>
      <c r="AR140" s="504">
        <v>0</v>
      </c>
      <c r="AS140" s="504">
        <v>0</v>
      </c>
      <c r="AT140" s="504">
        <v>0</v>
      </c>
      <c r="AU140" s="504">
        <v>0</v>
      </c>
      <c r="AV140" s="504">
        <v>0</v>
      </c>
      <c r="AW140" s="504">
        <v>0</v>
      </c>
      <c r="AX140" s="504">
        <v>0</v>
      </c>
      <c r="AY140" s="504">
        <v>0</v>
      </c>
      <c r="AZ140" s="504">
        <v>0</v>
      </c>
      <c r="BA140" s="504">
        <v>0</v>
      </c>
      <c r="BB140" s="504">
        <v>0</v>
      </c>
      <c r="BC140" s="504">
        <v>0</v>
      </c>
      <c r="BD140" s="504">
        <v>0</v>
      </c>
      <c r="BE140" s="504">
        <v>0</v>
      </c>
      <c r="BF140" s="504">
        <v>0</v>
      </c>
      <c r="BG140" s="504">
        <v>0</v>
      </c>
      <c r="BH140" s="504">
        <v>0</v>
      </c>
      <c r="BI140" s="504">
        <v>0</v>
      </c>
      <c r="BJ140" s="504">
        <v>0</v>
      </c>
      <c r="BK140" s="504">
        <v>0</v>
      </c>
      <c r="BL140" s="504">
        <v>0</v>
      </c>
      <c r="BM140" s="504">
        <v>0</v>
      </c>
      <c r="BN140" s="504">
        <v>0</v>
      </c>
      <c r="BO140" s="504">
        <v>0</v>
      </c>
      <c r="BP140" s="504">
        <v>0</v>
      </c>
      <c r="BQ140" s="504">
        <v>0</v>
      </c>
      <c r="BR140" s="504">
        <v>0</v>
      </c>
      <c r="BS140" s="504">
        <v>0</v>
      </c>
      <c r="BT140" s="504">
        <v>0</v>
      </c>
      <c r="BU140" s="504">
        <v>0</v>
      </c>
      <c r="BV140" s="504">
        <v>0</v>
      </c>
      <c r="BW140" s="504">
        <v>0</v>
      </c>
      <c r="BX140" s="504">
        <v>0</v>
      </c>
      <c r="BY140" s="504">
        <v>0</v>
      </c>
      <c r="BZ140" s="504">
        <v>0</v>
      </c>
      <c r="CA140" s="504">
        <v>0</v>
      </c>
      <c r="CB140" s="504">
        <v>0</v>
      </c>
      <c r="CC140" s="504">
        <v>0</v>
      </c>
      <c r="CD140" s="504">
        <v>0</v>
      </c>
      <c r="CE140" s="504">
        <v>0</v>
      </c>
      <c r="CF140" s="504">
        <v>0</v>
      </c>
      <c r="CG140" s="504">
        <v>0</v>
      </c>
      <c r="CH140" s="504">
        <v>0</v>
      </c>
      <c r="CI140" s="504">
        <v>0</v>
      </c>
      <c r="CJ140" s="504">
        <v>0</v>
      </c>
      <c r="CK140" s="504">
        <v>0</v>
      </c>
      <c r="CL140" s="504">
        <v>0</v>
      </c>
      <c r="CM140" s="504">
        <v>0</v>
      </c>
      <c r="CN140" s="504">
        <v>0</v>
      </c>
      <c r="CO140" s="504">
        <v>0</v>
      </c>
      <c r="CP140" s="504">
        <v>0</v>
      </c>
      <c r="CQ140" s="504">
        <v>0</v>
      </c>
      <c r="CR140" s="504">
        <v>0</v>
      </c>
      <c r="CS140" s="504">
        <v>0</v>
      </c>
      <c r="CT140" s="504">
        <v>0</v>
      </c>
      <c r="CU140" s="504">
        <v>0</v>
      </c>
      <c r="CV140" s="504">
        <v>0</v>
      </c>
      <c r="CW140" s="504">
        <v>0</v>
      </c>
      <c r="CX140" s="504">
        <v>0</v>
      </c>
      <c r="CY140" s="504">
        <v>0</v>
      </c>
      <c r="CZ140" s="504">
        <v>0</v>
      </c>
      <c r="DA140" s="504">
        <v>0</v>
      </c>
      <c r="DB140" s="504">
        <v>0</v>
      </c>
      <c r="DC140" s="504">
        <v>0</v>
      </c>
      <c r="DD140" s="504">
        <v>0</v>
      </c>
      <c r="DE140" s="504">
        <v>0</v>
      </c>
      <c r="DF140" s="504">
        <v>0</v>
      </c>
      <c r="DG140" s="504">
        <v>0</v>
      </c>
      <c r="DH140" s="504">
        <v>0</v>
      </c>
      <c r="DI140" s="504">
        <v>0</v>
      </c>
      <c r="DJ140" s="504">
        <v>0</v>
      </c>
      <c r="DK140" s="504">
        <v>0</v>
      </c>
      <c r="DL140" s="504">
        <v>0</v>
      </c>
      <c r="DM140" s="504">
        <v>0</v>
      </c>
      <c r="DN140" s="504">
        <v>0</v>
      </c>
      <c r="DO140" s="504">
        <v>0</v>
      </c>
      <c r="DP140" s="504">
        <v>0</v>
      </c>
      <c r="DQ140" s="504">
        <v>0</v>
      </c>
      <c r="DR140" s="504">
        <v>0</v>
      </c>
      <c r="DS140" s="504">
        <v>0</v>
      </c>
      <c r="DT140" s="504">
        <v>0</v>
      </c>
      <c r="DU140" s="504">
        <v>0</v>
      </c>
      <c r="DV140" s="504">
        <v>0</v>
      </c>
      <c r="DW140" s="504">
        <v>0</v>
      </c>
      <c r="DX140" s="504">
        <v>0</v>
      </c>
      <c r="DY140" s="504">
        <v>0</v>
      </c>
      <c r="DZ140" s="504">
        <v>0</v>
      </c>
      <c r="EA140" s="504">
        <v>0</v>
      </c>
      <c r="EB140" s="504">
        <v>0</v>
      </c>
      <c r="EC140" s="504">
        <v>0</v>
      </c>
      <c r="ED140" s="504">
        <v>0</v>
      </c>
      <c r="EE140" s="504">
        <v>0</v>
      </c>
      <c r="EF140" s="504">
        <v>0</v>
      </c>
      <c r="EG140" s="504">
        <v>0</v>
      </c>
      <c r="EH140" s="504">
        <v>0</v>
      </c>
      <c r="EI140" s="504">
        <v>0</v>
      </c>
      <c r="EJ140" s="504">
        <v>0</v>
      </c>
      <c r="EK140" s="504">
        <v>0</v>
      </c>
      <c r="EL140" s="504">
        <v>0</v>
      </c>
      <c r="EM140" s="504">
        <v>0</v>
      </c>
      <c r="EN140" s="504">
        <v>0</v>
      </c>
      <c r="EO140" s="504">
        <v>0</v>
      </c>
      <c r="EP140" s="504">
        <v>0</v>
      </c>
      <c r="EQ140" s="504">
        <v>0</v>
      </c>
      <c r="ER140" s="504">
        <v>0</v>
      </c>
      <c r="ES140" s="504">
        <v>0</v>
      </c>
      <c r="ET140" s="504">
        <v>0</v>
      </c>
      <c r="EU140" s="504">
        <v>0</v>
      </c>
      <c r="EV140" s="504">
        <v>0</v>
      </c>
      <c r="EW140" s="504">
        <v>0</v>
      </c>
      <c r="EX140" s="504">
        <v>0</v>
      </c>
      <c r="EY140" s="504">
        <v>0</v>
      </c>
      <c r="EZ140" s="504">
        <v>0</v>
      </c>
      <c r="FA140" s="504">
        <v>0</v>
      </c>
      <c r="FB140" s="504">
        <v>0</v>
      </c>
      <c r="FC140" s="504">
        <v>0</v>
      </c>
      <c r="FD140" s="504">
        <v>0</v>
      </c>
      <c r="FE140" s="504">
        <v>0</v>
      </c>
      <c r="FF140" s="504">
        <v>0</v>
      </c>
      <c r="FG140" s="504">
        <v>0</v>
      </c>
      <c r="FH140" s="504">
        <v>0</v>
      </c>
      <c r="FI140" s="504">
        <v>0</v>
      </c>
      <c r="FJ140" s="504">
        <v>0</v>
      </c>
      <c r="FK140" s="504">
        <v>0</v>
      </c>
      <c r="FL140" s="504">
        <v>0</v>
      </c>
      <c r="FM140" s="504">
        <v>0</v>
      </c>
      <c r="FN140" s="504">
        <v>0</v>
      </c>
      <c r="FO140" s="504">
        <v>0</v>
      </c>
      <c r="FP140" s="504">
        <v>0</v>
      </c>
      <c r="FQ140" s="504">
        <v>0</v>
      </c>
      <c r="FR140" s="504">
        <v>0</v>
      </c>
      <c r="FS140" s="504">
        <v>0</v>
      </c>
      <c r="FT140" s="504">
        <v>0</v>
      </c>
      <c r="FU140" s="504">
        <v>0</v>
      </c>
      <c r="FV140" s="504">
        <v>0</v>
      </c>
      <c r="FW140" s="504">
        <v>0</v>
      </c>
      <c r="FX140" s="504">
        <v>0</v>
      </c>
      <c r="FY140" s="504">
        <v>0</v>
      </c>
      <c r="FZ140" s="504">
        <v>0</v>
      </c>
      <c r="GA140" s="504">
        <v>0</v>
      </c>
      <c r="GB140" s="504">
        <v>0</v>
      </c>
      <c r="GC140" s="504">
        <v>0</v>
      </c>
      <c r="GD140" s="504">
        <v>0</v>
      </c>
      <c r="GE140" s="504">
        <v>0</v>
      </c>
      <c r="GF140" s="504">
        <v>0</v>
      </c>
      <c r="GG140" s="504">
        <v>0</v>
      </c>
      <c r="GH140" s="504">
        <v>0</v>
      </c>
      <c r="GI140" s="504">
        <v>0</v>
      </c>
      <c r="GJ140" s="504">
        <v>0</v>
      </c>
      <c r="GK140" s="504">
        <v>0</v>
      </c>
      <c r="GL140" s="504">
        <v>0</v>
      </c>
      <c r="GM140" s="504">
        <v>0</v>
      </c>
      <c r="GN140" s="504">
        <v>0</v>
      </c>
      <c r="GO140" s="504">
        <v>0</v>
      </c>
      <c r="GP140" s="504">
        <v>0</v>
      </c>
      <c r="GQ140" s="504">
        <v>0</v>
      </c>
      <c r="GR140" s="504">
        <v>0</v>
      </c>
      <c r="GS140" s="504">
        <v>0</v>
      </c>
      <c r="GT140" s="504">
        <v>0</v>
      </c>
      <c r="GU140" s="504">
        <v>0</v>
      </c>
      <c r="GV140" s="504">
        <v>0</v>
      </c>
      <c r="GW140" s="504">
        <v>0</v>
      </c>
      <c r="GX140" s="504">
        <v>0</v>
      </c>
      <c r="GY140" s="504">
        <v>0</v>
      </c>
      <c r="GZ140" s="504">
        <v>0</v>
      </c>
      <c r="HA140" s="504">
        <v>0</v>
      </c>
      <c r="HB140" s="504">
        <v>0</v>
      </c>
      <c r="HC140" s="504">
        <v>0</v>
      </c>
      <c r="HD140" s="504">
        <v>0</v>
      </c>
      <c r="HE140" s="504">
        <v>0</v>
      </c>
      <c r="HF140" s="504">
        <v>0</v>
      </c>
      <c r="HG140" s="504">
        <v>0</v>
      </c>
      <c r="HH140" s="504">
        <v>0</v>
      </c>
      <c r="HI140" s="504">
        <v>0</v>
      </c>
      <c r="HJ140" s="504">
        <v>0</v>
      </c>
      <c r="HK140" s="504">
        <v>0</v>
      </c>
      <c r="HL140" s="504">
        <v>0</v>
      </c>
      <c r="HM140" s="504">
        <v>0</v>
      </c>
      <c r="HN140" s="504">
        <v>0</v>
      </c>
      <c r="HO140" s="504">
        <v>0</v>
      </c>
      <c r="HP140" s="504">
        <v>0</v>
      </c>
      <c r="HQ140" s="504">
        <v>0</v>
      </c>
      <c r="HR140" s="504">
        <v>0</v>
      </c>
      <c r="HS140" s="504">
        <v>0</v>
      </c>
      <c r="HT140" s="504">
        <v>0</v>
      </c>
      <c r="HU140" s="504">
        <v>0</v>
      </c>
      <c r="HV140" s="504">
        <v>0</v>
      </c>
      <c r="HW140" s="504">
        <v>0</v>
      </c>
      <c r="HX140" s="504">
        <v>0</v>
      </c>
      <c r="HY140" s="504">
        <v>0</v>
      </c>
      <c r="HZ140" s="504">
        <v>0</v>
      </c>
      <c r="IA140" s="504">
        <v>0</v>
      </c>
      <c r="IB140" s="504">
        <v>0</v>
      </c>
      <c r="IC140" s="504">
        <v>0</v>
      </c>
      <c r="ID140" s="504">
        <v>0</v>
      </c>
      <c r="IE140" s="504">
        <v>0</v>
      </c>
      <c r="IF140" s="504">
        <v>0</v>
      </c>
      <c r="IG140" s="504">
        <v>0</v>
      </c>
      <c r="IH140" s="504">
        <v>0</v>
      </c>
      <c r="II140" s="504">
        <v>0</v>
      </c>
      <c r="IJ140" s="504">
        <v>0</v>
      </c>
      <c r="IK140" s="504">
        <v>0</v>
      </c>
      <c r="IL140" s="504">
        <v>0</v>
      </c>
      <c r="IM140" s="504">
        <v>0</v>
      </c>
      <c r="IN140" s="504">
        <v>0</v>
      </c>
      <c r="IO140" s="504">
        <v>0</v>
      </c>
      <c r="IP140" s="504">
        <v>0</v>
      </c>
      <c r="IQ140" s="504">
        <v>0</v>
      </c>
      <c r="IR140" s="504">
        <v>0</v>
      </c>
      <c r="IS140" s="504">
        <v>0</v>
      </c>
      <c r="IT140" s="504">
        <v>0</v>
      </c>
      <c r="IU140" s="504">
        <v>0</v>
      </c>
      <c r="IV140" s="504">
        <v>0</v>
      </c>
      <c r="IW140" s="504">
        <v>0</v>
      </c>
      <c r="IX140" s="504">
        <v>0</v>
      </c>
      <c r="IY140" s="504">
        <v>0</v>
      </c>
      <c r="IZ140" s="504">
        <v>0</v>
      </c>
      <c r="JA140" s="504">
        <v>0</v>
      </c>
      <c r="JB140" s="504">
        <v>0</v>
      </c>
      <c r="JC140" s="504">
        <v>0</v>
      </c>
      <c r="JD140" s="504">
        <v>0</v>
      </c>
      <c r="JE140" s="504">
        <v>0</v>
      </c>
      <c r="JF140" s="504">
        <v>0</v>
      </c>
      <c r="JG140" s="504">
        <v>0</v>
      </c>
      <c r="JH140" s="504">
        <v>0</v>
      </c>
      <c r="JI140" s="504">
        <v>0</v>
      </c>
      <c r="JJ140" s="504">
        <v>0</v>
      </c>
      <c r="JK140" s="504">
        <v>0</v>
      </c>
      <c r="JL140" s="504">
        <v>0</v>
      </c>
      <c r="JM140" s="504">
        <v>0</v>
      </c>
      <c r="JN140" s="504">
        <v>0</v>
      </c>
      <c r="JO140" s="504">
        <v>0</v>
      </c>
      <c r="JP140" s="504">
        <v>0</v>
      </c>
      <c r="JQ140" s="504">
        <v>0</v>
      </c>
      <c r="JR140" s="504">
        <v>0</v>
      </c>
      <c r="JS140" s="504">
        <v>0</v>
      </c>
      <c r="JT140" s="504">
        <v>0</v>
      </c>
      <c r="JU140" s="504">
        <v>0</v>
      </c>
      <c r="JV140" s="504">
        <v>0</v>
      </c>
      <c r="JW140" s="504">
        <v>0</v>
      </c>
      <c r="JX140" s="504">
        <v>0</v>
      </c>
      <c r="JY140" s="504">
        <v>0</v>
      </c>
      <c r="JZ140" s="504">
        <v>0</v>
      </c>
      <c r="KA140" s="504">
        <v>0</v>
      </c>
      <c r="KB140" s="504">
        <v>0</v>
      </c>
      <c r="KC140" s="504">
        <v>0</v>
      </c>
      <c r="KD140" s="504">
        <v>0</v>
      </c>
      <c r="KE140" s="504">
        <v>0</v>
      </c>
      <c r="KF140" s="504">
        <v>0</v>
      </c>
      <c r="KG140" s="504">
        <v>0</v>
      </c>
      <c r="KH140" s="504">
        <v>0</v>
      </c>
      <c r="KI140" s="504">
        <v>0</v>
      </c>
      <c r="KJ140" s="504">
        <v>0</v>
      </c>
      <c r="KK140" s="504">
        <v>0</v>
      </c>
      <c r="KL140" s="504">
        <v>0</v>
      </c>
      <c r="KM140" s="504">
        <v>0</v>
      </c>
      <c r="KN140" s="504">
        <v>0</v>
      </c>
      <c r="KO140" s="504">
        <v>0</v>
      </c>
      <c r="KP140" s="504">
        <v>0</v>
      </c>
      <c r="KQ140" s="504">
        <v>0</v>
      </c>
      <c r="KR140" s="504">
        <v>0</v>
      </c>
      <c r="KS140" s="504">
        <v>0</v>
      </c>
      <c r="KT140" s="504">
        <v>0</v>
      </c>
      <c r="KU140" s="504">
        <v>0</v>
      </c>
      <c r="KV140" s="504">
        <v>0</v>
      </c>
      <c r="KW140" s="504">
        <v>0</v>
      </c>
      <c r="KX140" s="504">
        <v>0</v>
      </c>
      <c r="KY140" s="504">
        <v>0</v>
      </c>
      <c r="KZ140" s="504">
        <v>0</v>
      </c>
      <c r="LA140" s="504">
        <v>0</v>
      </c>
      <c r="LB140" s="504">
        <v>0</v>
      </c>
      <c r="LC140" s="504">
        <v>0</v>
      </c>
      <c r="LD140" s="504">
        <v>0</v>
      </c>
      <c r="LE140" s="504">
        <v>0</v>
      </c>
      <c r="LF140" s="504">
        <v>0</v>
      </c>
      <c r="LG140" s="504">
        <v>0</v>
      </c>
      <c r="LH140" s="504">
        <v>0</v>
      </c>
      <c r="LI140" s="504">
        <v>0</v>
      </c>
      <c r="LJ140" s="504">
        <v>0</v>
      </c>
      <c r="LK140" s="504">
        <v>0</v>
      </c>
      <c r="LL140" s="504">
        <v>0</v>
      </c>
      <c r="LM140" s="504">
        <v>0</v>
      </c>
      <c r="LN140" s="504">
        <v>0</v>
      </c>
      <c r="LO140" s="504">
        <v>0</v>
      </c>
      <c r="LP140" s="504">
        <v>0</v>
      </c>
      <c r="LQ140" s="504">
        <v>0</v>
      </c>
      <c r="LR140" s="504">
        <v>0</v>
      </c>
      <c r="LS140" s="504">
        <v>0</v>
      </c>
      <c r="LT140" s="504">
        <v>0</v>
      </c>
      <c r="LU140" s="504">
        <v>0</v>
      </c>
      <c r="LV140" s="504">
        <v>0</v>
      </c>
      <c r="LW140" s="504">
        <v>0</v>
      </c>
      <c r="LX140" s="504">
        <v>0</v>
      </c>
      <c r="LY140" s="504">
        <v>0</v>
      </c>
      <c r="LZ140" s="504">
        <v>0</v>
      </c>
      <c r="MA140" s="504">
        <v>0</v>
      </c>
      <c r="MB140" s="504">
        <v>0</v>
      </c>
      <c r="MC140" s="504">
        <v>0</v>
      </c>
      <c r="MD140" s="504">
        <v>0</v>
      </c>
      <c r="ME140" s="504">
        <v>0</v>
      </c>
      <c r="MF140" s="504">
        <v>0</v>
      </c>
      <c r="MG140" s="504">
        <v>0</v>
      </c>
      <c r="MH140" s="504">
        <v>0</v>
      </c>
      <c r="MI140" s="504">
        <v>0</v>
      </c>
      <c r="MJ140" s="504">
        <v>0</v>
      </c>
      <c r="MK140" s="504">
        <v>0</v>
      </c>
      <c r="ML140" s="504">
        <v>0</v>
      </c>
      <c r="MM140" s="504">
        <v>0</v>
      </c>
      <c r="MN140" s="504">
        <v>0</v>
      </c>
      <c r="MO140" s="504">
        <v>0</v>
      </c>
      <c r="MP140" s="504">
        <v>0</v>
      </c>
      <c r="MQ140" s="504">
        <v>0</v>
      </c>
      <c r="MR140" s="504">
        <v>0</v>
      </c>
      <c r="MS140" s="504">
        <v>0</v>
      </c>
      <c r="MT140" s="504">
        <v>0</v>
      </c>
      <c r="MU140" s="504">
        <v>0</v>
      </c>
      <c r="MV140" s="504">
        <v>0</v>
      </c>
      <c r="MW140" s="504">
        <v>0</v>
      </c>
      <c r="MX140" s="504">
        <v>0</v>
      </c>
      <c r="MY140" s="504">
        <v>0</v>
      </c>
      <c r="MZ140" s="504">
        <v>0</v>
      </c>
      <c r="NA140" s="504">
        <v>0</v>
      </c>
      <c r="NB140" s="504">
        <v>0</v>
      </c>
      <c r="NC140" s="504">
        <v>0</v>
      </c>
      <c r="ND140" s="504">
        <v>0</v>
      </c>
      <c r="NE140" s="504">
        <v>0</v>
      </c>
      <c r="NF140" s="504">
        <v>0</v>
      </c>
      <c r="NG140" s="504">
        <v>0</v>
      </c>
      <c r="NH140" s="504">
        <v>0</v>
      </c>
      <c r="NI140" s="504">
        <v>0</v>
      </c>
      <c r="NJ140" s="504">
        <v>0</v>
      </c>
      <c r="NK140" s="504">
        <v>0</v>
      </c>
      <c r="NL140" s="504">
        <v>0</v>
      </c>
      <c r="NM140" s="504">
        <v>0</v>
      </c>
      <c r="NN140" s="504">
        <v>0</v>
      </c>
      <c r="NO140" s="504">
        <v>0</v>
      </c>
      <c r="NP140" s="504">
        <v>0</v>
      </c>
      <c r="NQ140" s="504">
        <v>0</v>
      </c>
      <c r="NR140" s="504">
        <v>0</v>
      </c>
      <c r="NS140" s="504">
        <v>0</v>
      </c>
      <c r="NT140" s="504">
        <v>0</v>
      </c>
      <c r="NU140" s="504">
        <v>0</v>
      </c>
      <c r="NV140" s="504">
        <v>0</v>
      </c>
      <c r="NW140" s="504">
        <v>0</v>
      </c>
      <c r="NX140" s="504">
        <v>0</v>
      </c>
      <c r="NY140" s="504">
        <v>0</v>
      </c>
      <c r="NZ140" s="504">
        <v>0</v>
      </c>
      <c r="OA140" s="504">
        <v>0</v>
      </c>
      <c r="OB140" s="504">
        <v>0</v>
      </c>
      <c r="OC140" s="504">
        <v>0</v>
      </c>
      <c r="OD140" s="504">
        <v>0</v>
      </c>
      <c r="OE140" s="504">
        <v>0</v>
      </c>
      <c r="OF140" s="504">
        <v>0</v>
      </c>
      <c r="OG140" s="504">
        <v>0</v>
      </c>
      <c r="OH140" s="504">
        <v>0</v>
      </c>
      <c r="OI140" s="504">
        <v>0</v>
      </c>
      <c r="OJ140" s="504">
        <v>0</v>
      </c>
      <c r="OK140" s="504">
        <v>0</v>
      </c>
      <c r="OL140" s="504">
        <v>0</v>
      </c>
      <c r="OM140" s="504">
        <v>0</v>
      </c>
      <c r="ON140" s="494"/>
    </row>
    <row r="141" spans="1:404" ht="18.75" customHeight="1" x14ac:dyDescent="0.4">
      <c r="A141" s="511" t="s">
        <v>462</v>
      </c>
      <c r="B141" s="512">
        <v>242</v>
      </c>
      <c r="C141" s="511" t="s">
        <v>94</v>
      </c>
      <c r="D141" s="501">
        <v>40.75</v>
      </c>
      <c r="E141" s="502">
        <v>255380</v>
      </c>
      <c r="F141" s="501">
        <v>40.74</v>
      </c>
      <c r="G141" s="502">
        <v>249978</v>
      </c>
      <c r="H141" s="501">
        <v>40.75</v>
      </c>
      <c r="I141" s="502">
        <v>650198</v>
      </c>
      <c r="J141" s="501">
        <v>40.75</v>
      </c>
      <c r="K141" s="502">
        <v>730196</v>
      </c>
      <c r="V141" s="501"/>
      <c r="W141" s="503"/>
      <c r="X141" s="501"/>
      <c r="Y141" s="503"/>
      <c r="Z141" s="501"/>
      <c r="AA141" s="503"/>
      <c r="AB141" s="495"/>
      <c r="AC141" s="504">
        <v>0</v>
      </c>
      <c r="AD141" s="504">
        <v>0</v>
      </c>
      <c r="AE141" s="504">
        <v>0</v>
      </c>
      <c r="AF141" s="504">
        <v>0</v>
      </c>
      <c r="AG141" s="504">
        <v>0</v>
      </c>
      <c r="AH141" s="504">
        <v>0</v>
      </c>
      <c r="AI141" s="504">
        <v>0</v>
      </c>
      <c r="AJ141" s="504">
        <v>0</v>
      </c>
      <c r="AK141" s="504">
        <v>0</v>
      </c>
      <c r="AL141" s="504">
        <v>0</v>
      </c>
      <c r="AM141" s="504">
        <v>0</v>
      </c>
      <c r="AN141" s="504">
        <v>0</v>
      </c>
      <c r="AO141" s="504">
        <v>0</v>
      </c>
      <c r="AP141" s="504">
        <v>0</v>
      </c>
      <c r="AQ141" s="504">
        <v>0</v>
      </c>
      <c r="AR141" s="504">
        <v>0</v>
      </c>
      <c r="AS141" s="504">
        <v>0</v>
      </c>
      <c r="AT141" s="504">
        <v>0</v>
      </c>
      <c r="AU141" s="504">
        <v>0</v>
      </c>
      <c r="AV141" s="504">
        <v>0</v>
      </c>
      <c r="AW141" s="504">
        <v>0</v>
      </c>
      <c r="AX141" s="504">
        <v>0</v>
      </c>
      <c r="AY141" s="504">
        <v>0</v>
      </c>
      <c r="AZ141" s="504">
        <v>0</v>
      </c>
      <c r="BA141" s="504">
        <v>0</v>
      </c>
      <c r="BB141" s="504">
        <v>0</v>
      </c>
      <c r="BC141" s="504">
        <v>0</v>
      </c>
      <c r="BD141" s="504">
        <v>0</v>
      </c>
      <c r="BE141" s="504">
        <v>0</v>
      </c>
      <c r="BF141" s="504">
        <v>0</v>
      </c>
      <c r="BG141" s="504">
        <v>0</v>
      </c>
      <c r="BH141" s="504">
        <v>0</v>
      </c>
      <c r="BI141" s="504">
        <v>0</v>
      </c>
      <c r="BJ141" s="504">
        <v>0</v>
      </c>
      <c r="BK141" s="504">
        <v>0</v>
      </c>
      <c r="BL141" s="504">
        <v>0</v>
      </c>
      <c r="BM141" s="504">
        <v>0</v>
      </c>
      <c r="BN141" s="504">
        <v>0</v>
      </c>
      <c r="BO141" s="504">
        <v>0</v>
      </c>
      <c r="BP141" s="504">
        <v>0</v>
      </c>
      <c r="BQ141" s="504">
        <v>0</v>
      </c>
      <c r="BR141" s="504">
        <v>0</v>
      </c>
      <c r="BS141" s="504">
        <v>0</v>
      </c>
      <c r="BT141" s="504">
        <v>0</v>
      </c>
      <c r="BU141" s="504">
        <v>0</v>
      </c>
      <c r="BV141" s="504">
        <v>0</v>
      </c>
      <c r="BW141" s="504">
        <v>0</v>
      </c>
      <c r="BX141" s="504">
        <v>0</v>
      </c>
      <c r="BY141" s="504">
        <v>0</v>
      </c>
      <c r="BZ141" s="504">
        <v>0</v>
      </c>
      <c r="CA141" s="504">
        <v>0</v>
      </c>
      <c r="CB141" s="504">
        <v>0</v>
      </c>
      <c r="CC141" s="504">
        <v>0</v>
      </c>
      <c r="CD141" s="504">
        <v>0</v>
      </c>
      <c r="CE141" s="504">
        <v>0</v>
      </c>
      <c r="CF141" s="504">
        <v>0</v>
      </c>
      <c r="CG141" s="504">
        <v>0</v>
      </c>
      <c r="CH141" s="504">
        <v>0</v>
      </c>
      <c r="CI141" s="504">
        <v>0</v>
      </c>
      <c r="CJ141" s="504">
        <v>0</v>
      </c>
      <c r="CK141" s="504">
        <v>0</v>
      </c>
      <c r="CL141" s="504">
        <v>0</v>
      </c>
      <c r="CM141" s="504">
        <v>0</v>
      </c>
      <c r="CN141" s="504">
        <v>0</v>
      </c>
      <c r="CO141" s="504">
        <v>0</v>
      </c>
      <c r="CP141" s="504">
        <v>0</v>
      </c>
      <c r="CQ141" s="504">
        <v>0</v>
      </c>
      <c r="CR141" s="504">
        <v>0</v>
      </c>
      <c r="CS141" s="504">
        <v>0</v>
      </c>
      <c r="CT141" s="504">
        <v>0</v>
      </c>
      <c r="CU141" s="504">
        <v>0</v>
      </c>
      <c r="CV141" s="504">
        <v>0</v>
      </c>
      <c r="CW141" s="504">
        <v>0</v>
      </c>
      <c r="CX141" s="504">
        <v>0</v>
      </c>
      <c r="CY141" s="504">
        <v>0</v>
      </c>
      <c r="CZ141" s="504">
        <v>0</v>
      </c>
      <c r="DA141" s="504">
        <v>0</v>
      </c>
      <c r="DB141" s="504">
        <v>0</v>
      </c>
      <c r="DC141" s="504">
        <v>0</v>
      </c>
      <c r="DD141" s="504">
        <v>0</v>
      </c>
      <c r="DE141" s="504">
        <v>0</v>
      </c>
      <c r="DF141" s="504">
        <v>0</v>
      </c>
      <c r="DG141" s="504">
        <v>0</v>
      </c>
      <c r="DH141" s="504">
        <v>0</v>
      </c>
      <c r="DI141" s="504">
        <v>0</v>
      </c>
      <c r="DJ141" s="504">
        <v>0</v>
      </c>
      <c r="DK141" s="504">
        <v>0</v>
      </c>
      <c r="DL141" s="504">
        <v>0</v>
      </c>
      <c r="DM141" s="504">
        <v>0</v>
      </c>
      <c r="DN141" s="504">
        <v>0</v>
      </c>
      <c r="DO141" s="504">
        <v>0</v>
      </c>
      <c r="DP141" s="504">
        <v>0</v>
      </c>
      <c r="DQ141" s="504">
        <v>0</v>
      </c>
      <c r="DR141" s="504">
        <v>0</v>
      </c>
      <c r="DS141" s="504">
        <v>0</v>
      </c>
      <c r="DT141" s="504">
        <v>0</v>
      </c>
      <c r="DU141" s="504">
        <v>0</v>
      </c>
      <c r="DV141" s="504">
        <v>0</v>
      </c>
      <c r="DW141" s="504">
        <v>0</v>
      </c>
      <c r="DX141" s="504">
        <v>0</v>
      </c>
      <c r="DY141" s="504">
        <v>0</v>
      </c>
      <c r="DZ141" s="504">
        <v>0</v>
      </c>
      <c r="EA141" s="504">
        <v>0</v>
      </c>
      <c r="EB141" s="504">
        <v>0</v>
      </c>
      <c r="EC141" s="504">
        <v>0</v>
      </c>
      <c r="ED141" s="504">
        <v>0</v>
      </c>
      <c r="EE141" s="504">
        <v>0</v>
      </c>
      <c r="EF141" s="504">
        <v>0</v>
      </c>
      <c r="EG141" s="504">
        <v>0</v>
      </c>
      <c r="EH141" s="504">
        <v>0</v>
      </c>
      <c r="EI141" s="504">
        <v>0</v>
      </c>
      <c r="EJ141" s="504">
        <v>0</v>
      </c>
      <c r="EK141" s="504">
        <v>0</v>
      </c>
      <c r="EL141" s="504">
        <v>0</v>
      </c>
      <c r="EM141" s="504">
        <v>0</v>
      </c>
      <c r="EN141" s="504">
        <v>0</v>
      </c>
      <c r="EO141" s="504">
        <v>0</v>
      </c>
      <c r="EP141" s="504">
        <v>0</v>
      </c>
      <c r="EQ141" s="504">
        <v>0</v>
      </c>
      <c r="ER141" s="504">
        <v>0</v>
      </c>
      <c r="ES141" s="504">
        <v>0</v>
      </c>
      <c r="ET141" s="504">
        <v>0</v>
      </c>
      <c r="EU141" s="504">
        <v>0</v>
      </c>
      <c r="EV141" s="504">
        <v>0</v>
      </c>
      <c r="EW141" s="504">
        <v>0</v>
      </c>
      <c r="EX141" s="504">
        <v>0</v>
      </c>
      <c r="EY141" s="504">
        <v>0</v>
      </c>
      <c r="EZ141" s="504">
        <v>0</v>
      </c>
      <c r="FA141" s="504">
        <v>0</v>
      </c>
      <c r="FB141" s="504">
        <v>0</v>
      </c>
      <c r="FC141" s="504">
        <v>0</v>
      </c>
      <c r="FD141" s="504">
        <v>0</v>
      </c>
      <c r="FE141" s="504">
        <v>0</v>
      </c>
      <c r="FF141" s="504">
        <v>0</v>
      </c>
      <c r="FG141" s="504">
        <v>0</v>
      </c>
      <c r="FH141" s="504">
        <v>0</v>
      </c>
      <c r="FI141" s="504">
        <v>0</v>
      </c>
      <c r="FJ141" s="504">
        <v>0</v>
      </c>
      <c r="FK141" s="504">
        <v>0</v>
      </c>
      <c r="FL141" s="504">
        <v>0</v>
      </c>
      <c r="FM141" s="504">
        <v>0</v>
      </c>
      <c r="FN141" s="504">
        <v>0</v>
      </c>
      <c r="FO141" s="504">
        <v>0</v>
      </c>
      <c r="FP141" s="504">
        <v>0</v>
      </c>
      <c r="FQ141" s="504">
        <v>0</v>
      </c>
      <c r="FR141" s="504">
        <v>0</v>
      </c>
      <c r="FS141" s="504">
        <v>0</v>
      </c>
      <c r="FT141" s="504">
        <v>0</v>
      </c>
      <c r="FU141" s="504">
        <v>0</v>
      </c>
      <c r="FV141" s="504">
        <v>0</v>
      </c>
      <c r="FW141" s="504">
        <v>0</v>
      </c>
      <c r="FX141" s="504">
        <v>0</v>
      </c>
      <c r="FY141" s="504">
        <v>0</v>
      </c>
      <c r="FZ141" s="504">
        <v>0</v>
      </c>
      <c r="GA141" s="504">
        <v>0</v>
      </c>
      <c r="GB141" s="504">
        <v>0</v>
      </c>
      <c r="GC141" s="504">
        <v>0</v>
      </c>
      <c r="GD141" s="504">
        <v>0</v>
      </c>
      <c r="GE141" s="504">
        <v>0</v>
      </c>
      <c r="GF141" s="504">
        <v>0</v>
      </c>
      <c r="GG141" s="504">
        <v>0</v>
      </c>
      <c r="GH141" s="504">
        <v>0</v>
      </c>
      <c r="GI141" s="504">
        <v>0</v>
      </c>
      <c r="GJ141" s="504">
        <v>0</v>
      </c>
      <c r="GK141" s="504">
        <v>0</v>
      </c>
      <c r="GL141" s="504">
        <v>0</v>
      </c>
      <c r="GM141" s="504">
        <v>0</v>
      </c>
      <c r="GN141" s="504">
        <v>0</v>
      </c>
      <c r="GO141" s="504">
        <v>0</v>
      </c>
      <c r="GP141" s="504">
        <v>0</v>
      </c>
      <c r="GQ141" s="504">
        <v>0</v>
      </c>
      <c r="GR141" s="504">
        <v>0</v>
      </c>
      <c r="GS141" s="504">
        <v>0</v>
      </c>
      <c r="GT141" s="504">
        <v>0</v>
      </c>
      <c r="GU141" s="504">
        <v>0</v>
      </c>
      <c r="GV141" s="504">
        <v>0</v>
      </c>
      <c r="GW141" s="504">
        <v>0</v>
      </c>
      <c r="GX141" s="504">
        <v>0</v>
      </c>
      <c r="GY141" s="504">
        <v>0</v>
      </c>
      <c r="GZ141" s="504">
        <v>0</v>
      </c>
      <c r="HA141" s="504">
        <v>0</v>
      </c>
      <c r="HB141" s="504">
        <v>0</v>
      </c>
      <c r="HC141" s="504">
        <v>0</v>
      </c>
      <c r="HD141" s="504">
        <v>0</v>
      </c>
      <c r="HE141" s="504">
        <v>0</v>
      </c>
      <c r="HF141" s="504">
        <v>0</v>
      </c>
      <c r="HG141" s="504">
        <v>0</v>
      </c>
      <c r="HH141" s="504">
        <v>0</v>
      </c>
      <c r="HI141" s="504">
        <v>0</v>
      </c>
      <c r="HJ141" s="504">
        <v>0</v>
      </c>
      <c r="HK141" s="504">
        <v>0</v>
      </c>
      <c r="HL141" s="504">
        <v>0</v>
      </c>
      <c r="HM141" s="504">
        <v>0</v>
      </c>
      <c r="HN141" s="504">
        <v>0</v>
      </c>
      <c r="HO141" s="504">
        <v>0</v>
      </c>
      <c r="HP141" s="504">
        <v>0</v>
      </c>
      <c r="HQ141" s="504">
        <v>0</v>
      </c>
      <c r="HR141" s="504">
        <v>0</v>
      </c>
      <c r="HS141" s="504">
        <v>0</v>
      </c>
      <c r="HT141" s="504">
        <v>0</v>
      </c>
      <c r="HU141" s="504">
        <v>0</v>
      </c>
      <c r="HV141" s="504">
        <v>0</v>
      </c>
      <c r="HW141" s="504">
        <v>0</v>
      </c>
      <c r="HX141" s="504">
        <v>0</v>
      </c>
      <c r="HY141" s="504">
        <v>0</v>
      </c>
      <c r="HZ141" s="504">
        <v>0</v>
      </c>
      <c r="IA141" s="504">
        <v>0</v>
      </c>
      <c r="IB141" s="504">
        <v>0</v>
      </c>
      <c r="IC141" s="504">
        <v>0</v>
      </c>
      <c r="ID141" s="504">
        <v>0</v>
      </c>
      <c r="IE141" s="504">
        <v>0</v>
      </c>
      <c r="IF141" s="504">
        <v>0</v>
      </c>
      <c r="IG141" s="504">
        <v>0</v>
      </c>
      <c r="IH141" s="504">
        <v>0</v>
      </c>
      <c r="II141" s="504">
        <v>0</v>
      </c>
      <c r="IJ141" s="504">
        <v>0</v>
      </c>
      <c r="IK141" s="504">
        <v>0</v>
      </c>
      <c r="IL141" s="504">
        <v>0</v>
      </c>
      <c r="IM141" s="504">
        <v>0</v>
      </c>
      <c r="IN141" s="504">
        <v>0</v>
      </c>
      <c r="IO141" s="504">
        <v>0</v>
      </c>
      <c r="IP141" s="504">
        <v>0</v>
      </c>
      <c r="IQ141" s="504">
        <v>0</v>
      </c>
      <c r="IR141" s="504">
        <v>0</v>
      </c>
      <c r="IS141" s="504">
        <v>0</v>
      </c>
      <c r="IT141" s="504">
        <v>0</v>
      </c>
      <c r="IU141" s="504">
        <v>0</v>
      </c>
      <c r="IV141" s="504">
        <v>0</v>
      </c>
      <c r="IW141" s="504">
        <v>0</v>
      </c>
      <c r="IX141" s="504">
        <v>0</v>
      </c>
      <c r="IY141" s="504">
        <v>0</v>
      </c>
      <c r="IZ141" s="504">
        <v>0</v>
      </c>
      <c r="JA141" s="504">
        <v>0</v>
      </c>
      <c r="JB141" s="504">
        <v>0</v>
      </c>
      <c r="JC141" s="504">
        <v>0</v>
      </c>
      <c r="JD141" s="504">
        <v>0</v>
      </c>
      <c r="JE141" s="504">
        <v>0</v>
      </c>
      <c r="JF141" s="504">
        <v>0</v>
      </c>
      <c r="JG141" s="504">
        <v>0</v>
      </c>
      <c r="JH141" s="504">
        <v>0</v>
      </c>
      <c r="JI141" s="504">
        <v>0</v>
      </c>
      <c r="JJ141" s="504">
        <v>0</v>
      </c>
      <c r="JK141" s="504">
        <v>0</v>
      </c>
      <c r="JL141" s="504">
        <v>0</v>
      </c>
      <c r="JM141" s="504">
        <v>0</v>
      </c>
      <c r="JN141" s="504">
        <v>0</v>
      </c>
      <c r="JO141" s="504">
        <v>0</v>
      </c>
      <c r="JP141" s="504">
        <v>0</v>
      </c>
      <c r="JQ141" s="504">
        <v>0</v>
      </c>
      <c r="JR141" s="504">
        <v>0</v>
      </c>
      <c r="JS141" s="504">
        <v>0</v>
      </c>
      <c r="JT141" s="504">
        <v>0</v>
      </c>
      <c r="JU141" s="504">
        <v>0</v>
      </c>
      <c r="JV141" s="504">
        <v>0</v>
      </c>
      <c r="JW141" s="504">
        <v>0</v>
      </c>
      <c r="JX141" s="504">
        <v>0</v>
      </c>
      <c r="JY141" s="504">
        <v>0</v>
      </c>
      <c r="JZ141" s="504">
        <v>0</v>
      </c>
      <c r="KA141" s="504">
        <v>0</v>
      </c>
      <c r="KB141" s="504">
        <v>0</v>
      </c>
      <c r="KC141" s="504">
        <v>0</v>
      </c>
      <c r="KD141" s="504">
        <v>0</v>
      </c>
      <c r="KE141" s="504">
        <v>0</v>
      </c>
      <c r="KF141" s="504">
        <v>0</v>
      </c>
      <c r="KG141" s="504">
        <v>0</v>
      </c>
      <c r="KH141" s="504">
        <v>0</v>
      </c>
      <c r="KI141" s="504">
        <v>0</v>
      </c>
      <c r="KJ141" s="504">
        <v>0</v>
      </c>
      <c r="KK141" s="504">
        <v>0</v>
      </c>
      <c r="KL141" s="504">
        <v>0</v>
      </c>
      <c r="KM141" s="504">
        <v>0</v>
      </c>
      <c r="KN141" s="504">
        <v>0</v>
      </c>
      <c r="KO141" s="504">
        <v>0</v>
      </c>
      <c r="KP141" s="504">
        <v>0</v>
      </c>
      <c r="KQ141" s="504">
        <v>0</v>
      </c>
      <c r="KR141" s="504">
        <v>0</v>
      </c>
      <c r="KS141" s="504">
        <v>0</v>
      </c>
      <c r="KT141" s="504">
        <v>0</v>
      </c>
      <c r="KU141" s="504">
        <v>0</v>
      </c>
      <c r="KV141" s="504">
        <v>0</v>
      </c>
      <c r="KW141" s="504">
        <v>0</v>
      </c>
      <c r="KX141" s="504">
        <v>0</v>
      </c>
      <c r="KY141" s="504">
        <v>0</v>
      </c>
      <c r="KZ141" s="504">
        <v>0</v>
      </c>
      <c r="LA141" s="504">
        <v>0</v>
      </c>
      <c r="LB141" s="504">
        <v>0</v>
      </c>
      <c r="LC141" s="504">
        <v>0</v>
      </c>
      <c r="LD141" s="504">
        <v>0</v>
      </c>
      <c r="LE141" s="504">
        <v>0</v>
      </c>
      <c r="LF141" s="504">
        <v>0</v>
      </c>
      <c r="LG141" s="504">
        <v>0</v>
      </c>
      <c r="LH141" s="504">
        <v>0</v>
      </c>
      <c r="LI141" s="504">
        <v>0</v>
      </c>
      <c r="LJ141" s="504">
        <v>0</v>
      </c>
      <c r="LK141" s="504">
        <v>0</v>
      </c>
      <c r="LL141" s="504">
        <v>0</v>
      </c>
      <c r="LM141" s="504">
        <v>0</v>
      </c>
      <c r="LN141" s="504">
        <v>0</v>
      </c>
      <c r="LO141" s="504">
        <v>0</v>
      </c>
      <c r="LP141" s="504">
        <v>0</v>
      </c>
      <c r="LQ141" s="504">
        <v>0</v>
      </c>
      <c r="LR141" s="504">
        <v>0</v>
      </c>
      <c r="LS141" s="504">
        <v>0</v>
      </c>
      <c r="LT141" s="504">
        <v>0</v>
      </c>
      <c r="LU141" s="504">
        <v>0</v>
      </c>
      <c r="LV141" s="504">
        <v>0</v>
      </c>
      <c r="LW141" s="504">
        <v>0</v>
      </c>
      <c r="LX141" s="504">
        <v>0</v>
      </c>
      <c r="LY141" s="504">
        <v>0</v>
      </c>
      <c r="LZ141" s="504">
        <v>0</v>
      </c>
      <c r="MA141" s="504">
        <v>0</v>
      </c>
      <c r="MB141" s="504">
        <v>0</v>
      </c>
      <c r="MC141" s="504">
        <v>0</v>
      </c>
      <c r="MD141" s="504">
        <v>0</v>
      </c>
      <c r="ME141" s="504">
        <v>0</v>
      </c>
      <c r="MF141" s="504">
        <v>0</v>
      </c>
      <c r="MG141" s="504">
        <v>0</v>
      </c>
      <c r="MH141" s="504">
        <v>0</v>
      </c>
      <c r="MI141" s="504">
        <v>0</v>
      </c>
      <c r="MJ141" s="504">
        <v>0</v>
      </c>
      <c r="MK141" s="504">
        <v>0</v>
      </c>
      <c r="ML141" s="504">
        <v>0</v>
      </c>
      <c r="MM141" s="504">
        <v>0</v>
      </c>
      <c r="MN141" s="504">
        <v>0</v>
      </c>
      <c r="MO141" s="504">
        <v>0</v>
      </c>
      <c r="MP141" s="504">
        <v>0</v>
      </c>
      <c r="MQ141" s="504">
        <v>0</v>
      </c>
      <c r="MR141" s="504">
        <v>0</v>
      </c>
      <c r="MS141" s="504">
        <v>0</v>
      </c>
      <c r="MT141" s="504">
        <v>0</v>
      </c>
      <c r="MU141" s="504">
        <v>0</v>
      </c>
      <c r="MV141" s="504">
        <v>0</v>
      </c>
      <c r="MW141" s="504">
        <v>0</v>
      </c>
      <c r="MX141" s="504">
        <v>0</v>
      </c>
      <c r="MY141" s="504">
        <v>0</v>
      </c>
      <c r="MZ141" s="504">
        <v>0</v>
      </c>
      <c r="NA141" s="504">
        <v>0</v>
      </c>
      <c r="NB141" s="504">
        <v>0</v>
      </c>
      <c r="NC141" s="504">
        <v>0</v>
      </c>
      <c r="ND141" s="504">
        <v>0</v>
      </c>
      <c r="NE141" s="504">
        <v>0</v>
      </c>
      <c r="NF141" s="504">
        <v>0</v>
      </c>
      <c r="NG141" s="504">
        <v>0</v>
      </c>
      <c r="NH141" s="504">
        <v>0</v>
      </c>
      <c r="NI141" s="504">
        <v>0</v>
      </c>
      <c r="NJ141" s="504">
        <v>0</v>
      </c>
      <c r="NK141" s="504">
        <v>0</v>
      </c>
      <c r="NL141" s="504">
        <v>0</v>
      </c>
      <c r="NM141" s="504">
        <v>0</v>
      </c>
      <c r="NN141" s="504">
        <v>0</v>
      </c>
      <c r="NO141" s="504">
        <v>0</v>
      </c>
      <c r="NP141" s="504">
        <v>0</v>
      </c>
      <c r="NQ141" s="504">
        <v>0</v>
      </c>
      <c r="NR141" s="504">
        <v>0</v>
      </c>
      <c r="NS141" s="504">
        <v>0</v>
      </c>
      <c r="NT141" s="504">
        <v>0</v>
      </c>
      <c r="NU141" s="504">
        <v>0</v>
      </c>
      <c r="NV141" s="504">
        <v>0</v>
      </c>
      <c r="NW141" s="504">
        <v>0</v>
      </c>
      <c r="NX141" s="504">
        <v>0</v>
      </c>
      <c r="NY141" s="504">
        <v>0</v>
      </c>
      <c r="NZ141" s="504">
        <v>0</v>
      </c>
      <c r="OA141" s="504">
        <v>0</v>
      </c>
      <c r="OB141" s="504">
        <v>0</v>
      </c>
      <c r="OC141" s="504">
        <v>0</v>
      </c>
      <c r="OD141" s="504">
        <v>0</v>
      </c>
      <c r="OE141" s="504">
        <v>0</v>
      </c>
      <c r="OF141" s="504">
        <v>0</v>
      </c>
      <c r="OG141" s="504">
        <v>0</v>
      </c>
      <c r="OH141" s="504">
        <v>0</v>
      </c>
      <c r="OI141" s="504">
        <v>0</v>
      </c>
      <c r="OJ141" s="504">
        <v>0</v>
      </c>
      <c r="OK141" s="504">
        <v>0</v>
      </c>
      <c r="OL141" s="504">
        <v>0</v>
      </c>
      <c r="OM141" s="504">
        <v>0</v>
      </c>
      <c r="ON141" s="494"/>
    </row>
    <row r="142" spans="1:404" ht="18.75" customHeight="1" x14ac:dyDescent="0.4">
      <c r="A142" s="511" t="s">
        <v>412</v>
      </c>
      <c r="B142" s="512">
        <v>217</v>
      </c>
      <c r="C142" s="511" t="s">
        <v>60</v>
      </c>
      <c r="D142" s="501">
        <v>41.83</v>
      </c>
      <c r="E142" s="502">
        <v>14871</v>
      </c>
      <c r="F142" s="501">
        <v>41.81</v>
      </c>
      <c r="G142" s="502">
        <v>2544</v>
      </c>
      <c r="H142" s="501">
        <v>41.82</v>
      </c>
      <c r="I142" s="502">
        <v>7106</v>
      </c>
      <c r="J142" s="501">
        <v>41.82</v>
      </c>
      <c r="K142" s="502">
        <v>7956</v>
      </c>
      <c r="V142" s="501"/>
      <c r="W142" s="503"/>
      <c r="X142" s="501"/>
      <c r="Y142" s="503"/>
      <c r="Z142" s="501"/>
      <c r="AA142" s="503"/>
      <c r="AB142" s="495"/>
      <c r="AC142" s="504">
        <v>0</v>
      </c>
      <c r="AD142" s="504">
        <v>0</v>
      </c>
      <c r="AE142" s="504">
        <v>0</v>
      </c>
      <c r="AF142" s="504">
        <v>0</v>
      </c>
      <c r="AG142" s="504">
        <v>0</v>
      </c>
      <c r="AH142" s="504">
        <v>0</v>
      </c>
      <c r="AI142" s="504">
        <v>0</v>
      </c>
      <c r="AJ142" s="504">
        <v>0</v>
      </c>
      <c r="AK142" s="504">
        <v>0</v>
      </c>
      <c r="AL142" s="504">
        <v>0</v>
      </c>
      <c r="AM142" s="504">
        <v>0</v>
      </c>
      <c r="AN142" s="504">
        <v>0</v>
      </c>
      <c r="AO142" s="504">
        <v>0</v>
      </c>
      <c r="AP142" s="504">
        <v>0</v>
      </c>
      <c r="AQ142" s="504">
        <v>0</v>
      </c>
      <c r="AR142" s="504">
        <v>0</v>
      </c>
      <c r="AS142" s="504">
        <v>0</v>
      </c>
      <c r="AT142" s="504">
        <v>0</v>
      </c>
      <c r="AU142" s="504">
        <v>0</v>
      </c>
      <c r="AV142" s="504">
        <v>0</v>
      </c>
      <c r="AW142" s="504">
        <v>0</v>
      </c>
      <c r="AX142" s="504">
        <v>0</v>
      </c>
      <c r="AY142" s="504">
        <v>0</v>
      </c>
      <c r="AZ142" s="504">
        <v>0</v>
      </c>
      <c r="BA142" s="504">
        <v>0</v>
      </c>
      <c r="BB142" s="504">
        <v>0</v>
      </c>
      <c r="BC142" s="504">
        <v>0</v>
      </c>
      <c r="BD142" s="504">
        <v>0</v>
      </c>
      <c r="BE142" s="504">
        <v>0</v>
      </c>
      <c r="BF142" s="504">
        <v>0</v>
      </c>
      <c r="BG142" s="504">
        <v>0</v>
      </c>
      <c r="BH142" s="504">
        <v>0</v>
      </c>
      <c r="BI142" s="504">
        <v>0</v>
      </c>
      <c r="BJ142" s="504">
        <v>0</v>
      </c>
      <c r="BK142" s="504">
        <v>0</v>
      </c>
      <c r="BL142" s="504">
        <v>0</v>
      </c>
      <c r="BM142" s="504">
        <v>0</v>
      </c>
      <c r="BN142" s="504">
        <v>0</v>
      </c>
      <c r="BO142" s="504">
        <v>0</v>
      </c>
      <c r="BP142" s="504">
        <v>0</v>
      </c>
      <c r="BQ142" s="504">
        <v>0</v>
      </c>
      <c r="BR142" s="504">
        <v>0</v>
      </c>
      <c r="BS142" s="504">
        <v>0</v>
      </c>
      <c r="BT142" s="504">
        <v>0</v>
      </c>
      <c r="BU142" s="504">
        <v>0</v>
      </c>
      <c r="BV142" s="504">
        <v>0</v>
      </c>
      <c r="BW142" s="504">
        <v>0</v>
      </c>
      <c r="BX142" s="504">
        <v>0</v>
      </c>
      <c r="BY142" s="504">
        <v>0</v>
      </c>
      <c r="BZ142" s="504">
        <v>0</v>
      </c>
      <c r="CA142" s="504">
        <v>0</v>
      </c>
      <c r="CB142" s="504">
        <v>0</v>
      </c>
      <c r="CC142" s="504">
        <v>0</v>
      </c>
      <c r="CD142" s="504">
        <v>0</v>
      </c>
      <c r="CE142" s="504">
        <v>0</v>
      </c>
      <c r="CF142" s="504">
        <v>0</v>
      </c>
      <c r="CG142" s="504">
        <v>0</v>
      </c>
      <c r="CH142" s="504">
        <v>0</v>
      </c>
      <c r="CI142" s="504">
        <v>0</v>
      </c>
      <c r="CJ142" s="504">
        <v>0</v>
      </c>
      <c r="CK142" s="504">
        <v>0</v>
      </c>
      <c r="CL142" s="504">
        <v>0</v>
      </c>
      <c r="CM142" s="504">
        <v>0</v>
      </c>
      <c r="CN142" s="504">
        <v>0</v>
      </c>
      <c r="CO142" s="504">
        <v>0</v>
      </c>
      <c r="CP142" s="504">
        <v>0</v>
      </c>
      <c r="CQ142" s="504">
        <v>0</v>
      </c>
      <c r="CR142" s="504">
        <v>0</v>
      </c>
      <c r="CS142" s="504">
        <v>0</v>
      </c>
      <c r="CT142" s="504">
        <v>0</v>
      </c>
      <c r="CU142" s="504">
        <v>0</v>
      </c>
      <c r="CV142" s="504">
        <v>0</v>
      </c>
      <c r="CW142" s="504">
        <v>0</v>
      </c>
      <c r="CX142" s="504">
        <v>0</v>
      </c>
      <c r="CY142" s="504">
        <v>0</v>
      </c>
      <c r="CZ142" s="504">
        <v>0</v>
      </c>
      <c r="DA142" s="504">
        <v>0</v>
      </c>
      <c r="DB142" s="504">
        <v>0</v>
      </c>
      <c r="DC142" s="504">
        <v>0</v>
      </c>
      <c r="DD142" s="504">
        <v>0</v>
      </c>
      <c r="DE142" s="504">
        <v>0</v>
      </c>
      <c r="DF142" s="504">
        <v>0</v>
      </c>
      <c r="DG142" s="504">
        <v>0</v>
      </c>
      <c r="DH142" s="504">
        <v>0</v>
      </c>
      <c r="DI142" s="504">
        <v>0</v>
      </c>
      <c r="DJ142" s="504">
        <v>0</v>
      </c>
      <c r="DK142" s="504">
        <v>0</v>
      </c>
      <c r="DL142" s="504">
        <v>0</v>
      </c>
      <c r="DM142" s="504">
        <v>0</v>
      </c>
      <c r="DN142" s="504">
        <v>0</v>
      </c>
      <c r="DO142" s="504">
        <v>0</v>
      </c>
      <c r="DP142" s="504">
        <v>0</v>
      </c>
      <c r="DQ142" s="504">
        <v>0</v>
      </c>
      <c r="DR142" s="504">
        <v>0</v>
      </c>
      <c r="DS142" s="504">
        <v>0</v>
      </c>
      <c r="DT142" s="504">
        <v>0</v>
      </c>
      <c r="DU142" s="504">
        <v>0</v>
      </c>
      <c r="DV142" s="504">
        <v>0</v>
      </c>
      <c r="DW142" s="504">
        <v>0</v>
      </c>
      <c r="DX142" s="504">
        <v>0</v>
      </c>
      <c r="DY142" s="504">
        <v>0</v>
      </c>
      <c r="DZ142" s="504">
        <v>0</v>
      </c>
      <c r="EA142" s="504">
        <v>0</v>
      </c>
      <c r="EB142" s="504">
        <v>0</v>
      </c>
      <c r="EC142" s="504">
        <v>0</v>
      </c>
      <c r="ED142" s="504">
        <v>0</v>
      </c>
      <c r="EE142" s="504">
        <v>0</v>
      </c>
      <c r="EF142" s="504">
        <v>0</v>
      </c>
      <c r="EG142" s="504">
        <v>0</v>
      </c>
      <c r="EH142" s="504">
        <v>0</v>
      </c>
      <c r="EI142" s="504">
        <v>0</v>
      </c>
      <c r="EJ142" s="504">
        <v>0</v>
      </c>
      <c r="EK142" s="504">
        <v>0</v>
      </c>
      <c r="EL142" s="504">
        <v>0</v>
      </c>
      <c r="EM142" s="504">
        <v>0</v>
      </c>
      <c r="EN142" s="504">
        <v>0</v>
      </c>
      <c r="EO142" s="504">
        <v>0</v>
      </c>
      <c r="EP142" s="504">
        <v>0</v>
      </c>
      <c r="EQ142" s="504">
        <v>0</v>
      </c>
      <c r="ER142" s="504">
        <v>0</v>
      </c>
      <c r="ES142" s="504">
        <v>0</v>
      </c>
      <c r="ET142" s="504">
        <v>0</v>
      </c>
      <c r="EU142" s="504">
        <v>0</v>
      </c>
      <c r="EV142" s="504">
        <v>0</v>
      </c>
      <c r="EW142" s="504">
        <v>0</v>
      </c>
      <c r="EX142" s="504">
        <v>0</v>
      </c>
      <c r="EY142" s="504">
        <v>0</v>
      </c>
      <c r="EZ142" s="504">
        <v>0</v>
      </c>
      <c r="FA142" s="504">
        <v>0</v>
      </c>
      <c r="FB142" s="504">
        <v>0</v>
      </c>
      <c r="FC142" s="504">
        <v>0</v>
      </c>
      <c r="FD142" s="504">
        <v>0</v>
      </c>
      <c r="FE142" s="504">
        <v>0</v>
      </c>
      <c r="FF142" s="504">
        <v>0</v>
      </c>
      <c r="FG142" s="504">
        <v>0</v>
      </c>
      <c r="FH142" s="504">
        <v>0</v>
      </c>
      <c r="FI142" s="504">
        <v>0</v>
      </c>
      <c r="FJ142" s="504">
        <v>0</v>
      </c>
      <c r="FK142" s="504">
        <v>0</v>
      </c>
      <c r="FL142" s="504">
        <v>0</v>
      </c>
      <c r="FM142" s="504">
        <v>0</v>
      </c>
      <c r="FN142" s="504">
        <v>0</v>
      </c>
      <c r="FO142" s="504">
        <v>0</v>
      </c>
      <c r="FP142" s="504">
        <v>0</v>
      </c>
      <c r="FQ142" s="504">
        <v>0</v>
      </c>
      <c r="FR142" s="504">
        <v>0</v>
      </c>
      <c r="FS142" s="504">
        <v>0</v>
      </c>
      <c r="FT142" s="504">
        <v>0</v>
      </c>
      <c r="FU142" s="504">
        <v>0</v>
      </c>
      <c r="FV142" s="504">
        <v>0</v>
      </c>
      <c r="FW142" s="504">
        <v>0</v>
      </c>
      <c r="FX142" s="504">
        <v>0</v>
      </c>
      <c r="FY142" s="504">
        <v>0</v>
      </c>
      <c r="FZ142" s="504">
        <v>0</v>
      </c>
      <c r="GA142" s="504">
        <v>0</v>
      </c>
      <c r="GB142" s="504">
        <v>0</v>
      </c>
      <c r="GC142" s="504">
        <v>0</v>
      </c>
      <c r="GD142" s="504">
        <v>0</v>
      </c>
      <c r="GE142" s="504">
        <v>0</v>
      </c>
      <c r="GF142" s="504">
        <v>0</v>
      </c>
      <c r="GG142" s="504">
        <v>0</v>
      </c>
      <c r="GH142" s="504">
        <v>0</v>
      </c>
      <c r="GI142" s="504">
        <v>0</v>
      </c>
      <c r="GJ142" s="504">
        <v>0</v>
      </c>
      <c r="GK142" s="504">
        <v>0</v>
      </c>
      <c r="GL142" s="504">
        <v>0</v>
      </c>
      <c r="GM142" s="504">
        <v>0</v>
      </c>
      <c r="GN142" s="504">
        <v>0</v>
      </c>
      <c r="GO142" s="504">
        <v>0</v>
      </c>
      <c r="GP142" s="504">
        <v>0</v>
      </c>
      <c r="GQ142" s="504">
        <v>0</v>
      </c>
      <c r="GR142" s="504">
        <v>0</v>
      </c>
      <c r="GS142" s="504">
        <v>0</v>
      </c>
      <c r="GT142" s="504">
        <v>0</v>
      </c>
      <c r="GU142" s="504">
        <v>0</v>
      </c>
      <c r="GV142" s="504">
        <v>0</v>
      </c>
      <c r="GW142" s="504">
        <v>0</v>
      </c>
      <c r="GX142" s="504">
        <v>0</v>
      </c>
      <c r="GY142" s="504">
        <v>0</v>
      </c>
      <c r="GZ142" s="504">
        <v>0</v>
      </c>
      <c r="HA142" s="504">
        <v>0</v>
      </c>
      <c r="HB142" s="504">
        <v>0</v>
      </c>
      <c r="HC142" s="504">
        <v>0</v>
      </c>
      <c r="HD142" s="504">
        <v>0</v>
      </c>
      <c r="HE142" s="504">
        <v>0</v>
      </c>
      <c r="HF142" s="504">
        <v>0</v>
      </c>
      <c r="HG142" s="504">
        <v>0</v>
      </c>
      <c r="HH142" s="504">
        <v>0</v>
      </c>
      <c r="HI142" s="504">
        <v>0</v>
      </c>
      <c r="HJ142" s="504">
        <v>0</v>
      </c>
      <c r="HK142" s="504">
        <v>0</v>
      </c>
      <c r="HL142" s="504">
        <v>0</v>
      </c>
      <c r="HM142" s="504">
        <v>0</v>
      </c>
      <c r="HN142" s="504">
        <v>0</v>
      </c>
      <c r="HO142" s="504">
        <v>0</v>
      </c>
      <c r="HP142" s="504">
        <v>0</v>
      </c>
      <c r="HQ142" s="504">
        <v>0</v>
      </c>
      <c r="HR142" s="504">
        <v>0</v>
      </c>
      <c r="HS142" s="504">
        <v>0</v>
      </c>
      <c r="HT142" s="504">
        <v>0</v>
      </c>
      <c r="HU142" s="504">
        <v>0</v>
      </c>
      <c r="HV142" s="504">
        <v>0</v>
      </c>
      <c r="HW142" s="504">
        <v>0</v>
      </c>
      <c r="HX142" s="504">
        <v>0</v>
      </c>
      <c r="HY142" s="504">
        <v>0</v>
      </c>
      <c r="HZ142" s="504">
        <v>0</v>
      </c>
      <c r="IA142" s="504">
        <v>0</v>
      </c>
      <c r="IB142" s="504">
        <v>0</v>
      </c>
      <c r="IC142" s="504">
        <v>0</v>
      </c>
      <c r="ID142" s="504">
        <v>0</v>
      </c>
      <c r="IE142" s="504">
        <v>0</v>
      </c>
      <c r="IF142" s="504">
        <v>0</v>
      </c>
      <c r="IG142" s="504">
        <v>0</v>
      </c>
      <c r="IH142" s="504">
        <v>0</v>
      </c>
      <c r="II142" s="504">
        <v>0</v>
      </c>
      <c r="IJ142" s="504">
        <v>0</v>
      </c>
      <c r="IK142" s="504">
        <v>0</v>
      </c>
      <c r="IL142" s="504">
        <v>0</v>
      </c>
      <c r="IM142" s="504">
        <v>0</v>
      </c>
      <c r="IN142" s="504">
        <v>0</v>
      </c>
      <c r="IO142" s="504">
        <v>0</v>
      </c>
      <c r="IP142" s="504">
        <v>0</v>
      </c>
      <c r="IQ142" s="504">
        <v>0</v>
      </c>
      <c r="IR142" s="504">
        <v>0</v>
      </c>
      <c r="IS142" s="504">
        <v>0</v>
      </c>
      <c r="IT142" s="504">
        <v>0</v>
      </c>
      <c r="IU142" s="504">
        <v>0</v>
      </c>
      <c r="IV142" s="504">
        <v>0</v>
      </c>
      <c r="IW142" s="504">
        <v>0</v>
      </c>
      <c r="IX142" s="504">
        <v>0</v>
      </c>
      <c r="IY142" s="504">
        <v>0</v>
      </c>
      <c r="IZ142" s="504">
        <v>0</v>
      </c>
      <c r="JA142" s="504">
        <v>0</v>
      </c>
      <c r="JB142" s="504">
        <v>0</v>
      </c>
      <c r="JC142" s="504">
        <v>0</v>
      </c>
      <c r="JD142" s="504">
        <v>0</v>
      </c>
      <c r="JE142" s="504">
        <v>0</v>
      </c>
      <c r="JF142" s="504">
        <v>0</v>
      </c>
      <c r="JG142" s="504">
        <v>0</v>
      </c>
      <c r="JH142" s="504">
        <v>0</v>
      </c>
      <c r="JI142" s="504">
        <v>0</v>
      </c>
      <c r="JJ142" s="504">
        <v>0</v>
      </c>
      <c r="JK142" s="504">
        <v>0</v>
      </c>
      <c r="JL142" s="504">
        <v>0</v>
      </c>
      <c r="JM142" s="504">
        <v>0</v>
      </c>
      <c r="JN142" s="504">
        <v>0</v>
      </c>
      <c r="JO142" s="504">
        <v>0</v>
      </c>
      <c r="JP142" s="504">
        <v>0</v>
      </c>
      <c r="JQ142" s="504">
        <v>0</v>
      </c>
      <c r="JR142" s="504">
        <v>0</v>
      </c>
      <c r="JS142" s="504">
        <v>0</v>
      </c>
      <c r="JT142" s="504">
        <v>0</v>
      </c>
      <c r="JU142" s="504">
        <v>0</v>
      </c>
      <c r="JV142" s="504">
        <v>0</v>
      </c>
      <c r="JW142" s="504">
        <v>0</v>
      </c>
      <c r="JX142" s="504">
        <v>0</v>
      </c>
      <c r="JY142" s="504">
        <v>0</v>
      </c>
      <c r="JZ142" s="504">
        <v>0</v>
      </c>
      <c r="KA142" s="504">
        <v>0</v>
      </c>
      <c r="KB142" s="504">
        <v>0</v>
      </c>
      <c r="KC142" s="504">
        <v>0</v>
      </c>
      <c r="KD142" s="504">
        <v>0</v>
      </c>
      <c r="KE142" s="504">
        <v>0</v>
      </c>
      <c r="KF142" s="504">
        <v>0</v>
      </c>
      <c r="KG142" s="504">
        <v>0</v>
      </c>
      <c r="KH142" s="504">
        <v>0</v>
      </c>
      <c r="KI142" s="504">
        <v>0</v>
      </c>
      <c r="KJ142" s="504">
        <v>0</v>
      </c>
      <c r="KK142" s="504">
        <v>0</v>
      </c>
      <c r="KL142" s="504">
        <v>0</v>
      </c>
      <c r="KM142" s="504">
        <v>0</v>
      </c>
      <c r="KN142" s="504">
        <v>0</v>
      </c>
      <c r="KO142" s="504">
        <v>0</v>
      </c>
      <c r="KP142" s="504">
        <v>0</v>
      </c>
      <c r="KQ142" s="504">
        <v>0</v>
      </c>
      <c r="KR142" s="504">
        <v>0</v>
      </c>
      <c r="KS142" s="504">
        <v>0</v>
      </c>
      <c r="KT142" s="504">
        <v>0</v>
      </c>
      <c r="KU142" s="504">
        <v>0</v>
      </c>
      <c r="KV142" s="504">
        <v>0</v>
      </c>
      <c r="KW142" s="504">
        <v>0</v>
      </c>
      <c r="KX142" s="504">
        <v>0</v>
      </c>
      <c r="KY142" s="504">
        <v>0</v>
      </c>
      <c r="KZ142" s="504">
        <v>0</v>
      </c>
      <c r="LA142" s="504">
        <v>0</v>
      </c>
      <c r="LB142" s="504">
        <v>0</v>
      </c>
      <c r="LC142" s="504">
        <v>0</v>
      </c>
      <c r="LD142" s="504">
        <v>0</v>
      </c>
      <c r="LE142" s="504">
        <v>0</v>
      </c>
      <c r="LF142" s="504">
        <v>0</v>
      </c>
      <c r="LG142" s="504">
        <v>0</v>
      </c>
      <c r="LH142" s="504">
        <v>0</v>
      </c>
      <c r="LI142" s="504">
        <v>0</v>
      </c>
      <c r="LJ142" s="504">
        <v>0</v>
      </c>
      <c r="LK142" s="504">
        <v>0</v>
      </c>
      <c r="LL142" s="504">
        <v>0</v>
      </c>
      <c r="LM142" s="504">
        <v>0</v>
      </c>
      <c r="LN142" s="504">
        <v>0</v>
      </c>
      <c r="LO142" s="504">
        <v>0</v>
      </c>
      <c r="LP142" s="504">
        <v>0</v>
      </c>
      <c r="LQ142" s="504">
        <v>0</v>
      </c>
      <c r="LR142" s="504">
        <v>0</v>
      </c>
      <c r="LS142" s="504">
        <v>0</v>
      </c>
      <c r="LT142" s="504">
        <v>0</v>
      </c>
      <c r="LU142" s="504">
        <v>0</v>
      </c>
      <c r="LV142" s="504">
        <v>0</v>
      </c>
      <c r="LW142" s="504">
        <v>0</v>
      </c>
      <c r="LX142" s="504">
        <v>0</v>
      </c>
      <c r="LY142" s="504">
        <v>0</v>
      </c>
      <c r="LZ142" s="504">
        <v>0</v>
      </c>
      <c r="MA142" s="504">
        <v>0</v>
      </c>
      <c r="MB142" s="504">
        <v>0</v>
      </c>
      <c r="MC142" s="504">
        <v>0</v>
      </c>
      <c r="MD142" s="504">
        <v>0</v>
      </c>
      <c r="ME142" s="504">
        <v>0</v>
      </c>
      <c r="MF142" s="504">
        <v>0</v>
      </c>
      <c r="MG142" s="504">
        <v>0</v>
      </c>
      <c r="MH142" s="504">
        <v>0</v>
      </c>
      <c r="MI142" s="504">
        <v>0</v>
      </c>
      <c r="MJ142" s="504">
        <v>0</v>
      </c>
      <c r="MK142" s="504">
        <v>0</v>
      </c>
      <c r="ML142" s="504">
        <v>0</v>
      </c>
      <c r="MM142" s="504">
        <v>0</v>
      </c>
      <c r="MN142" s="504">
        <v>0</v>
      </c>
      <c r="MO142" s="504">
        <v>0</v>
      </c>
      <c r="MP142" s="504">
        <v>0</v>
      </c>
      <c r="MQ142" s="504">
        <v>0</v>
      </c>
      <c r="MR142" s="504">
        <v>0</v>
      </c>
      <c r="MS142" s="504">
        <v>0</v>
      </c>
      <c r="MT142" s="504">
        <v>0</v>
      </c>
      <c r="MU142" s="504">
        <v>0</v>
      </c>
      <c r="MV142" s="504">
        <v>0</v>
      </c>
      <c r="MW142" s="504">
        <v>0</v>
      </c>
      <c r="MX142" s="504">
        <v>0</v>
      </c>
      <c r="MY142" s="504">
        <v>0</v>
      </c>
      <c r="MZ142" s="504">
        <v>0</v>
      </c>
      <c r="NA142" s="504">
        <v>0</v>
      </c>
      <c r="NB142" s="504">
        <v>0</v>
      </c>
      <c r="NC142" s="504">
        <v>0</v>
      </c>
      <c r="ND142" s="504">
        <v>0</v>
      </c>
      <c r="NE142" s="504">
        <v>0</v>
      </c>
      <c r="NF142" s="504">
        <v>0</v>
      </c>
      <c r="NG142" s="504">
        <v>0</v>
      </c>
      <c r="NH142" s="504">
        <v>0</v>
      </c>
      <c r="NI142" s="504">
        <v>0</v>
      </c>
      <c r="NJ142" s="504">
        <v>0</v>
      </c>
      <c r="NK142" s="504">
        <v>0</v>
      </c>
      <c r="NL142" s="504">
        <v>0</v>
      </c>
      <c r="NM142" s="504">
        <v>0</v>
      </c>
      <c r="NN142" s="504">
        <v>0</v>
      </c>
      <c r="NO142" s="504">
        <v>0</v>
      </c>
      <c r="NP142" s="504">
        <v>0</v>
      </c>
      <c r="NQ142" s="504">
        <v>0</v>
      </c>
      <c r="NR142" s="504">
        <v>0</v>
      </c>
      <c r="NS142" s="504">
        <v>0</v>
      </c>
      <c r="NT142" s="504">
        <v>0</v>
      </c>
      <c r="NU142" s="504">
        <v>0</v>
      </c>
      <c r="NV142" s="504">
        <v>0</v>
      </c>
      <c r="NW142" s="504">
        <v>0</v>
      </c>
      <c r="NX142" s="504">
        <v>0</v>
      </c>
      <c r="NY142" s="504">
        <v>0</v>
      </c>
      <c r="NZ142" s="504">
        <v>0</v>
      </c>
      <c r="OA142" s="504">
        <v>0</v>
      </c>
      <c r="OB142" s="504">
        <v>0</v>
      </c>
      <c r="OC142" s="504">
        <v>0</v>
      </c>
      <c r="OD142" s="504">
        <v>0</v>
      </c>
      <c r="OE142" s="504">
        <v>0</v>
      </c>
      <c r="OF142" s="504">
        <v>0</v>
      </c>
      <c r="OG142" s="504">
        <v>0</v>
      </c>
      <c r="OH142" s="504">
        <v>0</v>
      </c>
      <c r="OI142" s="504">
        <v>0</v>
      </c>
      <c r="OJ142" s="504">
        <v>0</v>
      </c>
      <c r="OK142" s="504">
        <v>0</v>
      </c>
      <c r="OL142" s="504">
        <v>0</v>
      </c>
      <c r="OM142" s="504">
        <v>0</v>
      </c>
      <c r="ON142" s="494"/>
    </row>
    <row r="143" spans="1:404" ht="18.75" customHeight="1" x14ac:dyDescent="0.4">
      <c r="A143" s="511" t="s">
        <v>413</v>
      </c>
      <c r="B143" s="512">
        <v>217</v>
      </c>
      <c r="C143" s="511" t="s">
        <v>60</v>
      </c>
      <c r="D143" s="501">
        <v>42.29</v>
      </c>
      <c r="E143" s="502">
        <v>8560</v>
      </c>
      <c r="F143" s="501">
        <v>42.28</v>
      </c>
      <c r="G143" s="502">
        <v>1459</v>
      </c>
      <c r="H143" s="501">
        <v>42.28</v>
      </c>
      <c r="I143" s="502">
        <v>4172</v>
      </c>
      <c r="J143" s="501">
        <v>42.28</v>
      </c>
      <c r="K143" s="502">
        <v>4638</v>
      </c>
      <c r="V143" s="501"/>
      <c r="W143" s="503"/>
      <c r="X143" s="501"/>
      <c r="Y143" s="503"/>
      <c r="Z143" s="501"/>
      <c r="AA143" s="503"/>
      <c r="AB143" s="495"/>
      <c r="AC143" s="504">
        <v>0</v>
      </c>
      <c r="AD143" s="504">
        <v>0</v>
      </c>
      <c r="AE143" s="504">
        <v>0</v>
      </c>
      <c r="AF143" s="504">
        <v>0</v>
      </c>
      <c r="AG143" s="504">
        <v>0</v>
      </c>
      <c r="AH143" s="504">
        <v>0</v>
      </c>
      <c r="AI143" s="504">
        <v>0</v>
      </c>
      <c r="AJ143" s="504">
        <v>0</v>
      </c>
      <c r="AK143" s="504">
        <v>0</v>
      </c>
      <c r="AL143" s="504">
        <v>0</v>
      </c>
      <c r="AM143" s="504">
        <v>0</v>
      </c>
      <c r="AN143" s="504">
        <v>0</v>
      </c>
      <c r="AO143" s="504">
        <v>0</v>
      </c>
      <c r="AP143" s="504">
        <v>0</v>
      </c>
      <c r="AQ143" s="504">
        <v>0</v>
      </c>
      <c r="AR143" s="504">
        <v>0</v>
      </c>
      <c r="AS143" s="504">
        <v>0</v>
      </c>
      <c r="AT143" s="504">
        <v>0</v>
      </c>
      <c r="AU143" s="504">
        <v>0</v>
      </c>
      <c r="AV143" s="504">
        <v>0</v>
      </c>
      <c r="AW143" s="504">
        <v>0</v>
      </c>
      <c r="AX143" s="504">
        <v>0</v>
      </c>
      <c r="AY143" s="504">
        <v>0</v>
      </c>
      <c r="AZ143" s="504">
        <v>0</v>
      </c>
      <c r="BA143" s="504">
        <v>0</v>
      </c>
      <c r="BB143" s="504">
        <v>0</v>
      </c>
      <c r="BC143" s="504">
        <v>0</v>
      </c>
      <c r="BD143" s="504">
        <v>0</v>
      </c>
      <c r="BE143" s="504">
        <v>0</v>
      </c>
      <c r="BF143" s="504">
        <v>0</v>
      </c>
      <c r="BG143" s="504">
        <v>0</v>
      </c>
      <c r="BH143" s="504">
        <v>0</v>
      </c>
      <c r="BI143" s="504">
        <v>0</v>
      </c>
      <c r="BJ143" s="504">
        <v>0</v>
      </c>
      <c r="BK143" s="504">
        <v>0</v>
      </c>
      <c r="BL143" s="504">
        <v>0</v>
      </c>
      <c r="BM143" s="504">
        <v>0</v>
      </c>
      <c r="BN143" s="504">
        <v>0</v>
      </c>
      <c r="BO143" s="504">
        <v>0</v>
      </c>
      <c r="BP143" s="504">
        <v>0</v>
      </c>
      <c r="BQ143" s="504">
        <v>0</v>
      </c>
      <c r="BR143" s="504">
        <v>0</v>
      </c>
      <c r="BS143" s="504">
        <v>0</v>
      </c>
      <c r="BT143" s="504">
        <v>0</v>
      </c>
      <c r="BU143" s="504">
        <v>0</v>
      </c>
      <c r="BV143" s="504">
        <v>0</v>
      </c>
      <c r="BW143" s="504">
        <v>0</v>
      </c>
      <c r="BX143" s="504">
        <v>0</v>
      </c>
      <c r="BY143" s="504">
        <v>0</v>
      </c>
      <c r="BZ143" s="504">
        <v>0</v>
      </c>
      <c r="CA143" s="504">
        <v>0</v>
      </c>
      <c r="CB143" s="504">
        <v>0</v>
      </c>
      <c r="CC143" s="504">
        <v>0</v>
      </c>
      <c r="CD143" s="504">
        <v>0</v>
      </c>
      <c r="CE143" s="504">
        <v>0</v>
      </c>
      <c r="CF143" s="504">
        <v>0</v>
      </c>
      <c r="CG143" s="504">
        <v>0</v>
      </c>
      <c r="CH143" s="504">
        <v>0</v>
      </c>
      <c r="CI143" s="504">
        <v>0</v>
      </c>
      <c r="CJ143" s="504">
        <v>0</v>
      </c>
      <c r="CK143" s="504">
        <v>0</v>
      </c>
      <c r="CL143" s="504">
        <v>0</v>
      </c>
      <c r="CM143" s="504">
        <v>0</v>
      </c>
      <c r="CN143" s="504">
        <v>0</v>
      </c>
      <c r="CO143" s="504">
        <v>0</v>
      </c>
      <c r="CP143" s="504">
        <v>0</v>
      </c>
      <c r="CQ143" s="504">
        <v>0</v>
      </c>
      <c r="CR143" s="504">
        <v>0</v>
      </c>
      <c r="CS143" s="504">
        <v>0</v>
      </c>
      <c r="CT143" s="504">
        <v>0</v>
      </c>
      <c r="CU143" s="504">
        <v>0</v>
      </c>
      <c r="CV143" s="504">
        <v>0</v>
      </c>
      <c r="CW143" s="504">
        <v>0</v>
      </c>
      <c r="CX143" s="504">
        <v>0</v>
      </c>
      <c r="CY143" s="504">
        <v>0</v>
      </c>
      <c r="CZ143" s="504">
        <v>0</v>
      </c>
      <c r="DA143" s="504">
        <v>0</v>
      </c>
      <c r="DB143" s="504">
        <v>0</v>
      </c>
      <c r="DC143" s="504">
        <v>0</v>
      </c>
      <c r="DD143" s="504">
        <v>0</v>
      </c>
      <c r="DE143" s="504">
        <v>0</v>
      </c>
      <c r="DF143" s="504">
        <v>0</v>
      </c>
      <c r="DG143" s="504">
        <v>0</v>
      </c>
      <c r="DH143" s="504">
        <v>0</v>
      </c>
      <c r="DI143" s="504">
        <v>0</v>
      </c>
      <c r="DJ143" s="504">
        <v>0</v>
      </c>
      <c r="DK143" s="504">
        <v>0</v>
      </c>
      <c r="DL143" s="504">
        <v>0</v>
      </c>
      <c r="DM143" s="504">
        <v>0</v>
      </c>
      <c r="DN143" s="504">
        <v>0</v>
      </c>
      <c r="DO143" s="504">
        <v>0</v>
      </c>
      <c r="DP143" s="504">
        <v>0</v>
      </c>
      <c r="DQ143" s="504">
        <v>0</v>
      </c>
      <c r="DR143" s="504">
        <v>0</v>
      </c>
      <c r="DS143" s="504">
        <v>0</v>
      </c>
      <c r="DT143" s="504">
        <v>0</v>
      </c>
      <c r="DU143" s="504">
        <v>0</v>
      </c>
      <c r="DV143" s="504">
        <v>0</v>
      </c>
      <c r="DW143" s="504">
        <v>0</v>
      </c>
      <c r="DX143" s="504">
        <v>0</v>
      </c>
      <c r="DY143" s="504">
        <v>0</v>
      </c>
      <c r="DZ143" s="504">
        <v>0</v>
      </c>
      <c r="EA143" s="504">
        <v>0</v>
      </c>
      <c r="EB143" s="504">
        <v>0</v>
      </c>
      <c r="EC143" s="504">
        <v>0</v>
      </c>
      <c r="ED143" s="504">
        <v>0</v>
      </c>
      <c r="EE143" s="504">
        <v>0</v>
      </c>
      <c r="EF143" s="504">
        <v>0</v>
      </c>
      <c r="EG143" s="504">
        <v>0</v>
      </c>
      <c r="EH143" s="504">
        <v>0</v>
      </c>
      <c r="EI143" s="504">
        <v>0</v>
      </c>
      <c r="EJ143" s="504">
        <v>0</v>
      </c>
      <c r="EK143" s="504">
        <v>0</v>
      </c>
      <c r="EL143" s="504">
        <v>0</v>
      </c>
      <c r="EM143" s="504">
        <v>0</v>
      </c>
      <c r="EN143" s="504">
        <v>0</v>
      </c>
      <c r="EO143" s="504">
        <v>0</v>
      </c>
      <c r="EP143" s="504">
        <v>0</v>
      </c>
      <c r="EQ143" s="504">
        <v>0</v>
      </c>
      <c r="ER143" s="504">
        <v>0</v>
      </c>
      <c r="ES143" s="504">
        <v>0</v>
      </c>
      <c r="ET143" s="504">
        <v>0</v>
      </c>
      <c r="EU143" s="504">
        <v>0</v>
      </c>
      <c r="EV143" s="504">
        <v>0</v>
      </c>
      <c r="EW143" s="504">
        <v>0</v>
      </c>
      <c r="EX143" s="504">
        <v>0</v>
      </c>
      <c r="EY143" s="504">
        <v>0</v>
      </c>
      <c r="EZ143" s="504">
        <v>0</v>
      </c>
      <c r="FA143" s="504">
        <v>0</v>
      </c>
      <c r="FB143" s="504">
        <v>0</v>
      </c>
      <c r="FC143" s="504">
        <v>0</v>
      </c>
      <c r="FD143" s="504">
        <v>0</v>
      </c>
      <c r="FE143" s="504">
        <v>0</v>
      </c>
      <c r="FF143" s="504">
        <v>0</v>
      </c>
      <c r="FG143" s="504">
        <v>0</v>
      </c>
      <c r="FH143" s="504">
        <v>0</v>
      </c>
      <c r="FI143" s="504">
        <v>0</v>
      </c>
      <c r="FJ143" s="504">
        <v>0</v>
      </c>
      <c r="FK143" s="504">
        <v>0</v>
      </c>
      <c r="FL143" s="504">
        <v>0</v>
      </c>
      <c r="FM143" s="504">
        <v>0</v>
      </c>
      <c r="FN143" s="504">
        <v>0</v>
      </c>
      <c r="FO143" s="504">
        <v>0</v>
      </c>
      <c r="FP143" s="504">
        <v>0</v>
      </c>
      <c r="FQ143" s="504">
        <v>0</v>
      </c>
      <c r="FR143" s="504">
        <v>0</v>
      </c>
      <c r="FS143" s="504">
        <v>0</v>
      </c>
      <c r="FT143" s="504">
        <v>0</v>
      </c>
      <c r="FU143" s="504">
        <v>0</v>
      </c>
      <c r="FV143" s="504">
        <v>0</v>
      </c>
      <c r="FW143" s="504">
        <v>0</v>
      </c>
      <c r="FX143" s="504">
        <v>0</v>
      </c>
      <c r="FY143" s="504">
        <v>0</v>
      </c>
      <c r="FZ143" s="504">
        <v>0</v>
      </c>
      <c r="GA143" s="504">
        <v>0</v>
      </c>
      <c r="GB143" s="504">
        <v>0</v>
      </c>
      <c r="GC143" s="504">
        <v>0</v>
      </c>
      <c r="GD143" s="504">
        <v>0</v>
      </c>
      <c r="GE143" s="504">
        <v>0</v>
      </c>
      <c r="GF143" s="504">
        <v>0</v>
      </c>
      <c r="GG143" s="504">
        <v>0</v>
      </c>
      <c r="GH143" s="504">
        <v>0</v>
      </c>
      <c r="GI143" s="504">
        <v>0</v>
      </c>
      <c r="GJ143" s="504">
        <v>0</v>
      </c>
      <c r="GK143" s="504">
        <v>0</v>
      </c>
      <c r="GL143" s="504">
        <v>0</v>
      </c>
      <c r="GM143" s="504">
        <v>0</v>
      </c>
      <c r="GN143" s="504">
        <v>0</v>
      </c>
      <c r="GO143" s="504">
        <v>0</v>
      </c>
      <c r="GP143" s="504">
        <v>0</v>
      </c>
      <c r="GQ143" s="504">
        <v>0</v>
      </c>
      <c r="GR143" s="504">
        <v>0</v>
      </c>
      <c r="GS143" s="504">
        <v>0</v>
      </c>
      <c r="GT143" s="504">
        <v>0</v>
      </c>
      <c r="GU143" s="504">
        <v>0</v>
      </c>
      <c r="GV143" s="504">
        <v>0</v>
      </c>
      <c r="GW143" s="504">
        <v>0</v>
      </c>
      <c r="GX143" s="504">
        <v>0</v>
      </c>
      <c r="GY143" s="504">
        <v>0</v>
      </c>
      <c r="GZ143" s="504">
        <v>0</v>
      </c>
      <c r="HA143" s="504">
        <v>0</v>
      </c>
      <c r="HB143" s="504">
        <v>0</v>
      </c>
      <c r="HC143" s="504">
        <v>0</v>
      </c>
      <c r="HD143" s="504">
        <v>0</v>
      </c>
      <c r="HE143" s="504">
        <v>0</v>
      </c>
      <c r="HF143" s="504">
        <v>0</v>
      </c>
      <c r="HG143" s="504">
        <v>0</v>
      </c>
      <c r="HH143" s="504">
        <v>0</v>
      </c>
      <c r="HI143" s="504">
        <v>0</v>
      </c>
      <c r="HJ143" s="504">
        <v>0</v>
      </c>
      <c r="HK143" s="504">
        <v>0</v>
      </c>
      <c r="HL143" s="504">
        <v>0</v>
      </c>
      <c r="HM143" s="504">
        <v>0</v>
      </c>
      <c r="HN143" s="504">
        <v>0</v>
      </c>
      <c r="HO143" s="504">
        <v>0</v>
      </c>
      <c r="HP143" s="504">
        <v>0</v>
      </c>
      <c r="HQ143" s="504">
        <v>0</v>
      </c>
      <c r="HR143" s="504">
        <v>0</v>
      </c>
      <c r="HS143" s="504">
        <v>0</v>
      </c>
      <c r="HT143" s="504">
        <v>0</v>
      </c>
      <c r="HU143" s="504">
        <v>0</v>
      </c>
      <c r="HV143" s="504">
        <v>0</v>
      </c>
      <c r="HW143" s="504">
        <v>0</v>
      </c>
      <c r="HX143" s="504">
        <v>0</v>
      </c>
      <c r="HY143" s="504">
        <v>0</v>
      </c>
      <c r="HZ143" s="504">
        <v>0</v>
      </c>
      <c r="IA143" s="504">
        <v>0</v>
      </c>
      <c r="IB143" s="504">
        <v>0</v>
      </c>
      <c r="IC143" s="504">
        <v>0</v>
      </c>
      <c r="ID143" s="504">
        <v>0</v>
      </c>
      <c r="IE143" s="504">
        <v>0</v>
      </c>
      <c r="IF143" s="504">
        <v>0</v>
      </c>
      <c r="IG143" s="504">
        <v>0</v>
      </c>
      <c r="IH143" s="504">
        <v>0</v>
      </c>
      <c r="II143" s="504">
        <v>0</v>
      </c>
      <c r="IJ143" s="504">
        <v>0</v>
      </c>
      <c r="IK143" s="504">
        <v>0</v>
      </c>
      <c r="IL143" s="504">
        <v>0</v>
      </c>
      <c r="IM143" s="504">
        <v>0</v>
      </c>
      <c r="IN143" s="504">
        <v>0</v>
      </c>
      <c r="IO143" s="504">
        <v>0</v>
      </c>
      <c r="IP143" s="504">
        <v>0</v>
      </c>
      <c r="IQ143" s="504">
        <v>0</v>
      </c>
      <c r="IR143" s="504">
        <v>0</v>
      </c>
      <c r="IS143" s="504">
        <v>0</v>
      </c>
      <c r="IT143" s="504">
        <v>0</v>
      </c>
      <c r="IU143" s="504">
        <v>0</v>
      </c>
      <c r="IV143" s="504">
        <v>0</v>
      </c>
      <c r="IW143" s="504">
        <v>0</v>
      </c>
      <c r="IX143" s="504">
        <v>0</v>
      </c>
      <c r="IY143" s="504">
        <v>0</v>
      </c>
      <c r="IZ143" s="504">
        <v>0</v>
      </c>
      <c r="JA143" s="504">
        <v>0</v>
      </c>
      <c r="JB143" s="504">
        <v>0</v>
      </c>
      <c r="JC143" s="504">
        <v>0</v>
      </c>
      <c r="JD143" s="504">
        <v>0</v>
      </c>
      <c r="JE143" s="504">
        <v>0</v>
      </c>
      <c r="JF143" s="504">
        <v>0</v>
      </c>
      <c r="JG143" s="504">
        <v>0</v>
      </c>
      <c r="JH143" s="504">
        <v>0</v>
      </c>
      <c r="JI143" s="504">
        <v>0</v>
      </c>
      <c r="JJ143" s="504">
        <v>0</v>
      </c>
      <c r="JK143" s="504">
        <v>0</v>
      </c>
      <c r="JL143" s="504">
        <v>0</v>
      </c>
      <c r="JM143" s="504">
        <v>0</v>
      </c>
      <c r="JN143" s="504">
        <v>0</v>
      </c>
      <c r="JO143" s="504">
        <v>0</v>
      </c>
      <c r="JP143" s="504">
        <v>0</v>
      </c>
      <c r="JQ143" s="504">
        <v>0</v>
      </c>
      <c r="JR143" s="504">
        <v>0</v>
      </c>
      <c r="JS143" s="504">
        <v>0</v>
      </c>
      <c r="JT143" s="504">
        <v>0</v>
      </c>
      <c r="JU143" s="504">
        <v>0</v>
      </c>
      <c r="JV143" s="504">
        <v>0</v>
      </c>
      <c r="JW143" s="504">
        <v>0</v>
      </c>
      <c r="JX143" s="504">
        <v>0</v>
      </c>
      <c r="JY143" s="504">
        <v>0</v>
      </c>
      <c r="JZ143" s="504">
        <v>0</v>
      </c>
      <c r="KA143" s="504">
        <v>0</v>
      </c>
      <c r="KB143" s="504">
        <v>0</v>
      </c>
      <c r="KC143" s="504">
        <v>0</v>
      </c>
      <c r="KD143" s="504">
        <v>0</v>
      </c>
      <c r="KE143" s="504">
        <v>0</v>
      </c>
      <c r="KF143" s="504">
        <v>0</v>
      </c>
      <c r="KG143" s="504">
        <v>0</v>
      </c>
      <c r="KH143" s="504">
        <v>0</v>
      </c>
      <c r="KI143" s="504">
        <v>0</v>
      </c>
      <c r="KJ143" s="504">
        <v>0</v>
      </c>
      <c r="KK143" s="504">
        <v>0</v>
      </c>
      <c r="KL143" s="504">
        <v>0</v>
      </c>
      <c r="KM143" s="504">
        <v>0</v>
      </c>
      <c r="KN143" s="504">
        <v>0</v>
      </c>
      <c r="KO143" s="504">
        <v>0</v>
      </c>
      <c r="KP143" s="504">
        <v>0</v>
      </c>
      <c r="KQ143" s="504">
        <v>0</v>
      </c>
      <c r="KR143" s="504">
        <v>0</v>
      </c>
      <c r="KS143" s="504">
        <v>0</v>
      </c>
      <c r="KT143" s="504">
        <v>0</v>
      </c>
      <c r="KU143" s="504">
        <v>0</v>
      </c>
      <c r="KV143" s="504">
        <v>0</v>
      </c>
      <c r="KW143" s="504">
        <v>0</v>
      </c>
      <c r="KX143" s="504">
        <v>0</v>
      </c>
      <c r="KY143" s="504">
        <v>0</v>
      </c>
      <c r="KZ143" s="504">
        <v>0</v>
      </c>
      <c r="LA143" s="504">
        <v>0</v>
      </c>
      <c r="LB143" s="504">
        <v>0</v>
      </c>
      <c r="LC143" s="504">
        <v>0</v>
      </c>
      <c r="LD143" s="504">
        <v>0</v>
      </c>
      <c r="LE143" s="504">
        <v>0</v>
      </c>
      <c r="LF143" s="504">
        <v>0</v>
      </c>
      <c r="LG143" s="504">
        <v>0</v>
      </c>
      <c r="LH143" s="504">
        <v>0</v>
      </c>
      <c r="LI143" s="504">
        <v>0</v>
      </c>
      <c r="LJ143" s="504">
        <v>0</v>
      </c>
      <c r="LK143" s="504">
        <v>0</v>
      </c>
      <c r="LL143" s="504">
        <v>0</v>
      </c>
      <c r="LM143" s="504">
        <v>0</v>
      </c>
      <c r="LN143" s="504">
        <v>0</v>
      </c>
      <c r="LO143" s="504">
        <v>0</v>
      </c>
      <c r="LP143" s="504">
        <v>0</v>
      </c>
      <c r="LQ143" s="504">
        <v>0</v>
      </c>
      <c r="LR143" s="504">
        <v>0</v>
      </c>
      <c r="LS143" s="504">
        <v>0</v>
      </c>
      <c r="LT143" s="504">
        <v>0</v>
      </c>
      <c r="LU143" s="504">
        <v>0</v>
      </c>
      <c r="LV143" s="504">
        <v>0</v>
      </c>
      <c r="LW143" s="504">
        <v>0</v>
      </c>
      <c r="LX143" s="504">
        <v>0</v>
      </c>
      <c r="LY143" s="504">
        <v>0</v>
      </c>
      <c r="LZ143" s="504">
        <v>0</v>
      </c>
      <c r="MA143" s="504">
        <v>0</v>
      </c>
      <c r="MB143" s="504">
        <v>0</v>
      </c>
      <c r="MC143" s="504">
        <v>0</v>
      </c>
      <c r="MD143" s="504">
        <v>0</v>
      </c>
      <c r="ME143" s="504">
        <v>0</v>
      </c>
      <c r="MF143" s="504">
        <v>0</v>
      </c>
      <c r="MG143" s="504">
        <v>0</v>
      </c>
      <c r="MH143" s="504">
        <v>0</v>
      </c>
      <c r="MI143" s="504">
        <v>0</v>
      </c>
      <c r="MJ143" s="504">
        <v>0</v>
      </c>
      <c r="MK143" s="504">
        <v>0</v>
      </c>
      <c r="ML143" s="504">
        <v>0</v>
      </c>
      <c r="MM143" s="504">
        <v>0</v>
      </c>
      <c r="MN143" s="504">
        <v>0</v>
      </c>
      <c r="MO143" s="504">
        <v>0</v>
      </c>
      <c r="MP143" s="504">
        <v>0</v>
      </c>
      <c r="MQ143" s="504">
        <v>0</v>
      </c>
      <c r="MR143" s="504">
        <v>0</v>
      </c>
      <c r="MS143" s="504">
        <v>0</v>
      </c>
      <c r="MT143" s="504">
        <v>0</v>
      </c>
      <c r="MU143" s="504">
        <v>0</v>
      </c>
      <c r="MV143" s="504">
        <v>0</v>
      </c>
      <c r="MW143" s="504">
        <v>0</v>
      </c>
      <c r="MX143" s="504">
        <v>0</v>
      </c>
      <c r="MY143" s="504">
        <v>0</v>
      </c>
      <c r="MZ143" s="504">
        <v>0</v>
      </c>
      <c r="NA143" s="504">
        <v>0</v>
      </c>
      <c r="NB143" s="504">
        <v>0</v>
      </c>
      <c r="NC143" s="504">
        <v>0</v>
      </c>
      <c r="ND143" s="504">
        <v>0</v>
      </c>
      <c r="NE143" s="504">
        <v>0</v>
      </c>
      <c r="NF143" s="504">
        <v>0</v>
      </c>
      <c r="NG143" s="504">
        <v>0</v>
      </c>
      <c r="NH143" s="504">
        <v>0</v>
      </c>
      <c r="NI143" s="504">
        <v>0</v>
      </c>
      <c r="NJ143" s="504">
        <v>0</v>
      </c>
      <c r="NK143" s="504">
        <v>0</v>
      </c>
      <c r="NL143" s="504">
        <v>0</v>
      </c>
      <c r="NM143" s="504">
        <v>0</v>
      </c>
      <c r="NN143" s="504">
        <v>0</v>
      </c>
      <c r="NO143" s="504">
        <v>0</v>
      </c>
      <c r="NP143" s="504">
        <v>0</v>
      </c>
      <c r="NQ143" s="504">
        <v>0</v>
      </c>
      <c r="NR143" s="504">
        <v>0</v>
      </c>
      <c r="NS143" s="504">
        <v>0</v>
      </c>
      <c r="NT143" s="504">
        <v>0</v>
      </c>
      <c r="NU143" s="504">
        <v>0</v>
      </c>
      <c r="NV143" s="504">
        <v>0</v>
      </c>
      <c r="NW143" s="504">
        <v>0</v>
      </c>
      <c r="NX143" s="504">
        <v>0</v>
      </c>
      <c r="NY143" s="504">
        <v>0</v>
      </c>
      <c r="NZ143" s="504">
        <v>0</v>
      </c>
      <c r="OA143" s="504">
        <v>0</v>
      </c>
      <c r="OB143" s="504">
        <v>0</v>
      </c>
      <c r="OC143" s="504">
        <v>0</v>
      </c>
      <c r="OD143" s="504">
        <v>0</v>
      </c>
      <c r="OE143" s="504">
        <v>0</v>
      </c>
      <c r="OF143" s="504">
        <v>0</v>
      </c>
      <c r="OG143" s="504">
        <v>0</v>
      </c>
      <c r="OH143" s="504">
        <v>0</v>
      </c>
      <c r="OI143" s="504">
        <v>0</v>
      </c>
      <c r="OJ143" s="504">
        <v>0</v>
      </c>
      <c r="OK143" s="504">
        <v>0</v>
      </c>
      <c r="OL143" s="504">
        <v>0</v>
      </c>
      <c r="OM143" s="504">
        <v>0</v>
      </c>
      <c r="ON143" s="494"/>
    </row>
    <row r="144" spans="1:404" ht="18.75" customHeight="1" x14ac:dyDescent="0.4">
      <c r="A144" s="511" t="s">
        <v>414</v>
      </c>
      <c r="B144" s="512">
        <v>191</v>
      </c>
      <c r="C144" s="511" t="s">
        <v>60</v>
      </c>
      <c r="D144" s="501">
        <v>43.15</v>
      </c>
      <c r="E144" s="502">
        <v>6150</v>
      </c>
      <c r="F144" s="501">
        <v>43.14</v>
      </c>
      <c r="G144" s="502">
        <v>2254</v>
      </c>
      <c r="H144" s="501">
        <v>43.14</v>
      </c>
      <c r="I144" s="502">
        <v>5631</v>
      </c>
      <c r="J144" s="501">
        <v>43.14</v>
      </c>
      <c r="K144" s="502">
        <v>6513</v>
      </c>
      <c r="V144" s="501"/>
      <c r="W144" s="503"/>
      <c r="X144" s="501"/>
      <c r="Y144" s="503"/>
      <c r="Z144" s="501"/>
      <c r="AA144" s="503"/>
      <c r="AB144" s="495"/>
      <c r="AC144" s="504">
        <v>0</v>
      </c>
      <c r="AD144" s="504">
        <v>0</v>
      </c>
      <c r="AE144" s="504">
        <v>0</v>
      </c>
      <c r="AF144" s="504">
        <v>0</v>
      </c>
      <c r="AG144" s="504">
        <v>0</v>
      </c>
      <c r="AH144" s="504">
        <v>0</v>
      </c>
      <c r="AI144" s="504">
        <v>0</v>
      </c>
      <c r="AJ144" s="504">
        <v>0</v>
      </c>
      <c r="AK144" s="504">
        <v>0</v>
      </c>
      <c r="AL144" s="504">
        <v>0</v>
      </c>
      <c r="AM144" s="504">
        <v>0</v>
      </c>
      <c r="AN144" s="504">
        <v>0</v>
      </c>
      <c r="AO144" s="504">
        <v>0</v>
      </c>
      <c r="AP144" s="504">
        <v>0</v>
      </c>
      <c r="AQ144" s="504">
        <v>0</v>
      </c>
      <c r="AR144" s="504">
        <v>0</v>
      </c>
      <c r="AS144" s="504">
        <v>0</v>
      </c>
      <c r="AT144" s="504">
        <v>0</v>
      </c>
      <c r="AU144" s="504">
        <v>0</v>
      </c>
      <c r="AV144" s="504">
        <v>0</v>
      </c>
      <c r="AW144" s="504">
        <v>0</v>
      </c>
      <c r="AX144" s="504">
        <v>0</v>
      </c>
      <c r="AY144" s="504">
        <v>0</v>
      </c>
      <c r="AZ144" s="504">
        <v>0</v>
      </c>
      <c r="BA144" s="504">
        <v>0</v>
      </c>
      <c r="BB144" s="504">
        <v>0</v>
      </c>
      <c r="BC144" s="504">
        <v>0</v>
      </c>
      <c r="BD144" s="504">
        <v>0</v>
      </c>
      <c r="BE144" s="504">
        <v>0</v>
      </c>
      <c r="BF144" s="504">
        <v>0</v>
      </c>
      <c r="BG144" s="504">
        <v>0</v>
      </c>
      <c r="BH144" s="504">
        <v>0</v>
      </c>
      <c r="BI144" s="504">
        <v>0</v>
      </c>
      <c r="BJ144" s="504">
        <v>0</v>
      </c>
      <c r="BK144" s="504">
        <v>0</v>
      </c>
      <c r="BL144" s="504">
        <v>0</v>
      </c>
      <c r="BM144" s="504">
        <v>0</v>
      </c>
      <c r="BN144" s="504">
        <v>0</v>
      </c>
      <c r="BO144" s="504">
        <v>0</v>
      </c>
      <c r="BP144" s="504">
        <v>0</v>
      </c>
      <c r="BQ144" s="504">
        <v>0</v>
      </c>
      <c r="BR144" s="504">
        <v>0</v>
      </c>
      <c r="BS144" s="504">
        <v>0</v>
      </c>
      <c r="BT144" s="504">
        <v>0</v>
      </c>
      <c r="BU144" s="504">
        <v>0</v>
      </c>
      <c r="BV144" s="504">
        <v>0</v>
      </c>
      <c r="BW144" s="504">
        <v>0</v>
      </c>
      <c r="BX144" s="504">
        <v>0</v>
      </c>
      <c r="BY144" s="504">
        <v>0</v>
      </c>
      <c r="BZ144" s="504">
        <v>0</v>
      </c>
      <c r="CA144" s="504">
        <v>0</v>
      </c>
      <c r="CB144" s="504">
        <v>0</v>
      </c>
      <c r="CC144" s="504">
        <v>0</v>
      </c>
      <c r="CD144" s="504">
        <v>0</v>
      </c>
      <c r="CE144" s="504">
        <v>0</v>
      </c>
      <c r="CF144" s="504">
        <v>0</v>
      </c>
      <c r="CG144" s="504">
        <v>0</v>
      </c>
      <c r="CH144" s="504">
        <v>0</v>
      </c>
      <c r="CI144" s="504">
        <v>0</v>
      </c>
      <c r="CJ144" s="504">
        <v>0</v>
      </c>
      <c r="CK144" s="504">
        <v>0</v>
      </c>
      <c r="CL144" s="504">
        <v>0</v>
      </c>
      <c r="CM144" s="504">
        <v>0</v>
      </c>
      <c r="CN144" s="504">
        <v>0</v>
      </c>
      <c r="CO144" s="504">
        <v>0</v>
      </c>
      <c r="CP144" s="504">
        <v>0</v>
      </c>
      <c r="CQ144" s="504">
        <v>0</v>
      </c>
      <c r="CR144" s="504">
        <v>0</v>
      </c>
      <c r="CS144" s="504">
        <v>0</v>
      </c>
      <c r="CT144" s="504">
        <v>0</v>
      </c>
      <c r="CU144" s="504">
        <v>0</v>
      </c>
      <c r="CV144" s="504">
        <v>0</v>
      </c>
      <c r="CW144" s="504">
        <v>0</v>
      </c>
      <c r="CX144" s="504">
        <v>0</v>
      </c>
      <c r="CY144" s="504">
        <v>0</v>
      </c>
      <c r="CZ144" s="504">
        <v>0</v>
      </c>
      <c r="DA144" s="504">
        <v>0</v>
      </c>
      <c r="DB144" s="504">
        <v>0</v>
      </c>
      <c r="DC144" s="504">
        <v>0</v>
      </c>
      <c r="DD144" s="504">
        <v>0</v>
      </c>
      <c r="DE144" s="504">
        <v>0</v>
      </c>
      <c r="DF144" s="504">
        <v>0</v>
      </c>
      <c r="DG144" s="504">
        <v>0</v>
      </c>
      <c r="DH144" s="504">
        <v>0</v>
      </c>
      <c r="DI144" s="504">
        <v>0</v>
      </c>
      <c r="DJ144" s="504">
        <v>0</v>
      </c>
      <c r="DK144" s="504">
        <v>0</v>
      </c>
      <c r="DL144" s="504">
        <v>0</v>
      </c>
      <c r="DM144" s="504">
        <v>0</v>
      </c>
      <c r="DN144" s="504">
        <v>0</v>
      </c>
      <c r="DO144" s="504">
        <v>0</v>
      </c>
      <c r="DP144" s="504">
        <v>0</v>
      </c>
      <c r="DQ144" s="504">
        <v>0</v>
      </c>
      <c r="DR144" s="504">
        <v>0</v>
      </c>
      <c r="DS144" s="504">
        <v>0</v>
      </c>
      <c r="DT144" s="504">
        <v>0</v>
      </c>
      <c r="DU144" s="504">
        <v>0</v>
      </c>
      <c r="DV144" s="504">
        <v>0</v>
      </c>
      <c r="DW144" s="504">
        <v>0</v>
      </c>
      <c r="DX144" s="504">
        <v>0</v>
      </c>
      <c r="DY144" s="504">
        <v>0</v>
      </c>
      <c r="DZ144" s="504">
        <v>0</v>
      </c>
      <c r="EA144" s="504">
        <v>0</v>
      </c>
      <c r="EB144" s="504">
        <v>0</v>
      </c>
      <c r="EC144" s="504">
        <v>0</v>
      </c>
      <c r="ED144" s="504">
        <v>0</v>
      </c>
      <c r="EE144" s="504">
        <v>0</v>
      </c>
      <c r="EF144" s="504">
        <v>0</v>
      </c>
      <c r="EG144" s="504">
        <v>0</v>
      </c>
      <c r="EH144" s="504">
        <v>0</v>
      </c>
      <c r="EI144" s="504">
        <v>0</v>
      </c>
      <c r="EJ144" s="504">
        <v>0</v>
      </c>
      <c r="EK144" s="504">
        <v>0</v>
      </c>
      <c r="EL144" s="504">
        <v>0</v>
      </c>
      <c r="EM144" s="504">
        <v>0</v>
      </c>
      <c r="EN144" s="504">
        <v>0</v>
      </c>
      <c r="EO144" s="504">
        <v>0</v>
      </c>
      <c r="EP144" s="504">
        <v>0</v>
      </c>
      <c r="EQ144" s="504">
        <v>0</v>
      </c>
      <c r="ER144" s="504">
        <v>0</v>
      </c>
      <c r="ES144" s="504">
        <v>0</v>
      </c>
      <c r="ET144" s="504">
        <v>0</v>
      </c>
      <c r="EU144" s="504">
        <v>0</v>
      </c>
      <c r="EV144" s="504">
        <v>0</v>
      </c>
      <c r="EW144" s="504">
        <v>0</v>
      </c>
      <c r="EX144" s="504">
        <v>0</v>
      </c>
      <c r="EY144" s="504">
        <v>0</v>
      </c>
      <c r="EZ144" s="504">
        <v>0</v>
      </c>
      <c r="FA144" s="504">
        <v>0</v>
      </c>
      <c r="FB144" s="504">
        <v>0</v>
      </c>
      <c r="FC144" s="504">
        <v>0</v>
      </c>
      <c r="FD144" s="504">
        <v>0</v>
      </c>
      <c r="FE144" s="504">
        <v>0</v>
      </c>
      <c r="FF144" s="504">
        <v>0</v>
      </c>
      <c r="FG144" s="504">
        <v>0</v>
      </c>
      <c r="FH144" s="504">
        <v>0</v>
      </c>
      <c r="FI144" s="504">
        <v>0</v>
      </c>
      <c r="FJ144" s="504">
        <v>0</v>
      </c>
      <c r="FK144" s="504">
        <v>0</v>
      </c>
      <c r="FL144" s="504">
        <v>0</v>
      </c>
      <c r="FM144" s="504">
        <v>0</v>
      </c>
      <c r="FN144" s="504">
        <v>0</v>
      </c>
      <c r="FO144" s="504">
        <v>0</v>
      </c>
      <c r="FP144" s="504">
        <v>0</v>
      </c>
      <c r="FQ144" s="504">
        <v>0</v>
      </c>
      <c r="FR144" s="504">
        <v>0</v>
      </c>
      <c r="FS144" s="504">
        <v>0</v>
      </c>
      <c r="FT144" s="504">
        <v>0</v>
      </c>
      <c r="FU144" s="504">
        <v>0</v>
      </c>
      <c r="FV144" s="504">
        <v>0</v>
      </c>
      <c r="FW144" s="504">
        <v>0</v>
      </c>
      <c r="FX144" s="504">
        <v>0</v>
      </c>
      <c r="FY144" s="504">
        <v>0</v>
      </c>
      <c r="FZ144" s="504">
        <v>0</v>
      </c>
      <c r="GA144" s="504">
        <v>0</v>
      </c>
      <c r="GB144" s="504">
        <v>0</v>
      </c>
      <c r="GC144" s="504">
        <v>0</v>
      </c>
      <c r="GD144" s="504">
        <v>0</v>
      </c>
      <c r="GE144" s="504">
        <v>0</v>
      </c>
      <c r="GF144" s="504">
        <v>0</v>
      </c>
      <c r="GG144" s="504">
        <v>0</v>
      </c>
      <c r="GH144" s="504">
        <v>0</v>
      </c>
      <c r="GI144" s="504">
        <v>0</v>
      </c>
      <c r="GJ144" s="504">
        <v>0</v>
      </c>
      <c r="GK144" s="504">
        <v>0</v>
      </c>
      <c r="GL144" s="504">
        <v>0</v>
      </c>
      <c r="GM144" s="504">
        <v>0</v>
      </c>
      <c r="GN144" s="504">
        <v>0</v>
      </c>
      <c r="GO144" s="504">
        <v>0</v>
      </c>
      <c r="GP144" s="504">
        <v>0</v>
      </c>
      <c r="GQ144" s="504">
        <v>0</v>
      </c>
      <c r="GR144" s="504">
        <v>0</v>
      </c>
      <c r="GS144" s="504">
        <v>0</v>
      </c>
      <c r="GT144" s="504">
        <v>0</v>
      </c>
      <c r="GU144" s="504">
        <v>0</v>
      </c>
      <c r="GV144" s="504">
        <v>0</v>
      </c>
      <c r="GW144" s="504">
        <v>0</v>
      </c>
      <c r="GX144" s="504">
        <v>0</v>
      </c>
      <c r="GY144" s="504">
        <v>0</v>
      </c>
      <c r="GZ144" s="504">
        <v>0</v>
      </c>
      <c r="HA144" s="504">
        <v>0</v>
      </c>
      <c r="HB144" s="504">
        <v>0</v>
      </c>
      <c r="HC144" s="504">
        <v>0</v>
      </c>
      <c r="HD144" s="504">
        <v>0</v>
      </c>
      <c r="HE144" s="504">
        <v>0</v>
      </c>
      <c r="HF144" s="504">
        <v>0</v>
      </c>
      <c r="HG144" s="504">
        <v>0</v>
      </c>
      <c r="HH144" s="504">
        <v>0</v>
      </c>
      <c r="HI144" s="504">
        <v>0</v>
      </c>
      <c r="HJ144" s="504">
        <v>0</v>
      </c>
      <c r="HK144" s="504">
        <v>0</v>
      </c>
      <c r="HL144" s="504">
        <v>0</v>
      </c>
      <c r="HM144" s="504">
        <v>0</v>
      </c>
      <c r="HN144" s="504">
        <v>0</v>
      </c>
      <c r="HO144" s="504">
        <v>0</v>
      </c>
      <c r="HP144" s="504">
        <v>0</v>
      </c>
      <c r="HQ144" s="504">
        <v>0</v>
      </c>
      <c r="HR144" s="504">
        <v>0</v>
      </c>
      <c r="HS144" s="504">
        <v>0</v>
      </c>
      <c r="HT144" s="504">
        <v>0</v>
      </c>
      <c r="HU144" s="504">
        <v>0</v>
      </c>
      <c r="HV144" s="504">
        <v>0</v>
      </c>
      <c r="HW144" s="504">
        <v>0</v>
      </c>
      <c r="HX144" s="504">
        <v>0</v>
      </c>
      <c r="HY144" s="504">
        <v>0</v>
      </c>
      <c r="HZ144" s="504">
        <v>0</v>
      </c>
      <c r="IA144" s="504">
        <v>0</v>
      </c>
      <c r="IB144" s="504">
        <v>0</v>
      </c>
      <c r="IC144" s="504">
        <v>0</v>
      </c>
      <c r="ID144" s="504">
        <v>0</v>
      </c>
      <c r="IE144" s="504">
        <v>0</v>
      </c>
      <c r="IF144" s="504">
        <v>0</v>
      </c>
      <c r="IG144" s="504">
        <v>0</v>
      </c>
      <c r="IH144" s="504">
        <v>0</v>
      </c>
      <c r="II144" s="504">
        <v>0</v>
      </c>
      <c r="IJ144" s="504">
        <v>0</v>
      </c>
      <c r="IK144" s="504">
        <v>0</v>
      </c>
      <c r="IL144" s="504">
        <v>0</v>
      </c>
      <c r="IM144" s="504">
        <v>0</v>
      </c>
      <c r="IN144" s="504">
        <v>0</v>
      </c>
      <c r="IO144" s="504">
        <v>0</v>
      </c>
      <c r="IP144" s="504">
        <v>0</v>
      </c>
      <c r="IQ144" s="504">
        <v>0</v>
      </c>
      <c r="IR144" s="504">
        <v>0</v>
      </c>
      <c r="IS144" s="504">
        <v>0</v>
      </c>
      <c r="IT144" s="504">
        <v>0</v>
      </c>
      <c r="IU144" s="504">
        <v>0</v>
      </c>
      <c r="IV144" s="504">
        <v>0</v>
      </c>
      <c r="IW144" s="504">
        <v>0</v>
      </c>
      <c r="IX144" s="504">
        <v>0</v>
      </c>
      <c r="IY144" s="504">
        <v>0</v>
      </c>
      <c r="IZ144" s="504">
        <v>0</v>
      </c>
      <c r="JA144" s="504">
        <v>0</v>
      </c>
      <c r="JB144" s="504">
        <v>0</v>
      </c>
      <c r="JC144" s="504">
        <v>0</v>
      </c>
      <c r="JD144" s="504">
        <v>0</v>
      </c>
      <c r="JE144" s="504">
        <v>0</v>
      </c>
      <c r="JF144" s="504">
        <v>0</v>
      </c>
      <c r="JG144" s="504">
        <v>0</v>
      </c>
      <c r="JH144" s="504">
        <v>0</v>
      </c>
      <c r="JI144" s="504">
        <v>0</v>
      </c>
      <c r="JJ144" s="504">
        <v>0</v>
      </c>
      <c r="JK144" s="504">
        <v>0</v>
      </c>
      <c r="JL144" s="504">
        <v>0</v>
      </c>
      <c r="JM144" s="504">
        <v>0</v>
      </c>
      <c r="JN144" s="504">
        <v>0</v>
      </c>
      <c r="JO144" s="504">
        <v>0</v>
      </c>
      <c r="JP144" s="504">
        <v>0</v>
      </c>
      <c r="JQ144" s="504">
        <v>0</v>
      </c>
      <c r="JR144" s="504">
        <v>0</v>
      </c>
      <c r="JS144" s="504">
        <v>0</v>
      </c>
      <c r="JT144" s="504">
        <v>0</v>
      </c>
      <c r="JU144" s="504">
        <v>0</v>
      </c>
      <c r="JV144" s="504">
        <v>0</v>
      </c>
      <c r="JW144" s="504">
        <v>0</v>
      </c>
      <c r="JX144" s="504">
        <v>0</v>
      </c>
      <c r="JY144" s="504">
        <v>0</v>
      </c>
      <c r="JZ144" s="504">
        <v>0</v>
      </c>
      <c r="KA144" s="504">
        <v>0</v>
      </c>
      <c r="KB144" s="504">
        <v>0</v>
      </c>
      <c r="KC144" s="504">
        <v>0</v>
      </c>
      <c r="KD144" s="504">
        <v>0</v>
      </c>
      <c r="KE144" s="504">
        <v>0</v>
      </c>
      <c r="KF144" s="504">
        <v>0</v>
      </c>
      <c r="KG144" s="504">
        <v>0</v>
      </c>
      <c r="KH144" s="504">
        <v>0</v>
      </c>
      <c r="KI144" s="504">
        <v>0</v>
      </c>
      <c r="KJ144" s="504">
        <v>0</v>
      </c>
      <c r="KK144" s="504">
        <v>0</v>
      </c>
      <c r="KL144" s="504">
        <v>0</v>
      </c>
      <c r="KM144" s="504">
        <v>0</v>
      </c>
      <c r="KN144" s="504">
        <v>0</v>
      </c>
      <c r="KO144" s="504">
        <v>0</v>
      </c>
      <c r="KP144" s="504">
        <v>0</v>
      </c>
      <c r="KQ144" s="504">
        <v>0</v>
      </c>
      <c r="KR144" s="504">
        <v>0</v>
      </c>
      <c r="KS144" s="504">
        <v>0</v>
      </c>
      <c r="KT144" s="504">
        <v>0</v>
      </c>
      <c r="KU144" s="504">
        <v>0</v>
      </c>
      <c r="KV144" s="504">
        <v>0</v>
      </c>
      <c r="KW144" s="504">
        <v>0</v>
      </c>
      <c r="KX144" s="504">
        <v>0</v>
      </c>
      <c r="KY144" s="504">
        <v>0</v>
      </c>
      <c r="KZ144" s="504">
        <v>0</v>
      </c>
      <c r="LA144" s="504">
        <v>0</v>
      </c>
      <c r="LB144" s="504">
        <v>0</v>
      </c>
      <c r="LC144" s="504">
        <v>0</v>
      </c>
      <c r="LD144" s="504">
        <v>0</v>
      </c>
      <c r="LE144" s="504">
        <v>0</v>
      </c>
      <c r="LF144" s="504">
        <v>0</v>
      </c>
      <c r="LG144" s="504">
        <v>0</v>
      </c>
      <c r="LH144" s="504">
        <v>0</v>
      </c>
      <c r="LI144" s="504">
        <v>0</v>
      </c>
      <c r="LJ144" s="504">
        <v>0</v>
      </c>
      <c r="LK144" s="504">
        <v>0</v>
      </c>
      <c r="LL144" s="504">
        <v>0</v>
      </c>
      <c r="LM144" s="504">
        <v>0</v>
      </c>
      <c r="LN144" s="504">
        <v>0</v>
      </c>
      <c r="LO144" s="504">
        <v>0</v>
      </c>
      <c r="LP144" s="504">
        <v>0</v>
      </c>
      <c r="LQ144" s="504">
        <v>0</v>
      </c>
      <c r="LR144" s="504">
        <v>0</v>
      </c>
      <c r="LS144" s="504">
        <v>0</v>
      </c>
      <c r="LT144" s="504">
        <v>0</v>
      </c>
      <c r="LU144" s="504">
        <v>0</v>
      </c>
      <c r="LV144" s="504">
        <v>0</v>
      </c>
      <c r="LW144" s="504">
        <v>0</v>
      </c>
      <c r="LX144" s="504">
        <v>0</v>
      </c>
      <c r="LY144" s="504">
        <v>0</v>
      </c>
      <c r="LZ144" s="504">
        <v>0</v>
      </c>
      <c r="MA144" s="504">
        <v>0</v>
      </c>
      <c r="MB144" s="504">
        <v>0</v>
      </c>
      <c r="MC144" s="504">
        <v>0</v>
      </c>
      <c r="MD144" s="504">
        <v>0</v>
      </c>
      <c r="ME144" s="504">
        <v>0</v>
      </c>
      <c r="MF144" s="504">
        <v>0</v>
      </c>
      <c r="MG144" s="504">
        <v>0</v>
      </c>
      <c r="MH144" s="504">
        <v>0</v>
      </c>
      <c r="MI144" s="504">
        <v>0</v>
      </c>
      <c r="MJ144" s="504">
        <v>0</v>
      </c>
      <c r="MK144" s="504">
        <v>0</v>
      </c>
      <c r="ML144" s="504">
        <v>0</v>
      </c>
      <c r="MM144" s="504">
        <v>0</v>
      </c>
      <c r="MN144" s="504">
        <v>0</v>
      </c>
      <c r="MO144" s="504">
        <v>0</v>
      </c>
      <c r="MP144" s="504">
        <v>0</v>
      </c>
      <c r="MQ144" s="504">
        <v>0</v>
      </c>
      <c r="MR144" s="504">
        <v>0</v>
      </c>
      <c r="MS144" s="504">
        <v>0</v>
      </c>
      <c r="MT144" s="504">
        <v>0</v>
      </c>
      <c r="MU144" s="504">
        <v>0</v>
      </c>
      <c r="MV144" s="504">
        <v>0</v>
      </c>
      <c r="MW144" s="504">
        <v>0</v>
      </c>
      <c r="MX144" s="504">
        <v>0</v>
      </c>
      <c r="MY144" s="504">
        <v>0</v>
      </c>
      <c r="MZ144" s="504">
        <v>0</v>
      </c>
      <c r="NA144" s="504">
        <v>0</v>
      </c>
      <c r="NB144" s="504">
        <v>0</v>
      </c>
      <c r="NC144" s="504">
        <v>0</v>
      </c>
      <c r="ND144" s="504">
        <v>0</v>
      </c>
      <c r="NE144" s="504">
        <v>0</v>
      </c>
      <c r="NF144" s="504">
        <v>0</v>
      </c>
      <c r="NG144" s="504">
        <v>0</v>
      </c>
      <c r="NH144" s="504">
        <v>0</v>
      </c>
      <c r="NI144" s="504">
        <v>0</v>
      </c>
      <c r="NJ144" s="504">
        <v>0</v>
      </c>
      <c r="NK144" s="504">
        <v>0</v>
      </c>
      <c r="NL144" s="504">
        <v>0</v>
      </c>
      <c r="NM144" s="504">
        <v>0</v>
      </c>
      <c r="NN144" s="504">
        <v>0</v>
      </c>
      <c r="NO144" s="504">
        <v>0</v>
      </c>
      <c r="NP144" s="504">
        <v>0</v>
      </c>
      <c r="NQ144" s="504">
        <v>0</v>
      </c>
      <c r="NR144" s="504">
        <v>0</v>
      </c>
      <c r="NS144" s="504">
        <v>0</v>
      </c>
      <c r="NT144" s="504">
        <v>0</v>
      </c>
      <c r="NU144" s="504">
        <v>0</v>
      </c>
      <c r="NV144" s="504">
        <v>0</v>
      </c>
      <c r="NW144" s="504">
        <v>0</v>
      </c>
      <c r="NX144" s="504">
        <v>0</v>
      </c>
      <c r="NY144" s="504">
        <v>0</v>
      </c>
      <c r="NZ144" s="504">
        <v>0</v>
      </c>
      <c r="OA144" s="504">
        <v>0</v>
      </c>
      <c r="OB144" s="504">
        <v>0</v>
      </c>
      <c r="OC144" s="504">
        <v>0</v>
      </c>
      <c r="OD144" s="504">
        <v>0</v>
      </c>
      <c r="OE144" s="504">
        <v>0</v>
      </c>
      <c r="OF144" s="504">
        <v>0</v>
      </c>
      <c r="OG144" s="504">
        <v>0</v>
      </c>
      <c r="OH144" s="504">
        <v>0</v>
      </c>
      <c r="OI144" s="504">
        <v>0</v>
      </c>
      <c r="OJ144" s="504">
        <v>0</v>
      </c>
      <c r="OK144" s="504">
        <v>0</v>
      </c>
      <c r="OL144" s="504">
        <v>0</v>
      </c>
      <c r="OM144" s="504">
        <v>0</v>
      </c>
      <c r="ON144" s="494"/>
    </row>
    <row r="145" spans="1:404" ht="18.75" customHeight="1" x14ac:dyDescent="0.4">
      <c r="A145" s="511" t="s">
        <v>415</v>
      </c>
      <c r="B145" s="512">
        <v>191</v>
      </c>
      <c r="C145" s="511" t="s">
        <v>60</v>
      </c>
      <c r="D145" s="501">
        <v>43.53</v>
      </c>
      <c r="F145" s="501">
        <v>43.46</v>
      </c>
      <c r="H145" s="501">
        <v>43.32</v>
      </c>
      <c r="J145" s="501">
        <v>43.61</v>
      </c>
      <c r="V145" s="501"/>
      <c r="W145" s="503"/>
      <c r="X145" s="501"/>
      <c r="Y145" s="503"/>
      <c r="Z145" s="501"/>
      <c r="AA145" s="503"/>
      <c r="AB145" s="495"/>
      <c r="AC145" s="504">
        <v>0</v>
      </c>
      <c r="AD145" s="504">
        <v>0</v>
      </c>
      <c r="AE145" s="504">
        <v>0</v>
      </c>
      <c r="AF145" s="504">
        <v>0</v>
      </c>
      <c r="AG145" s="504">
        <v>0</v>
      </c>
      <c r="AH145" s="504">
        <v>0</v>
      </c>
      <c r="AI145" s="504">
        <v>0</v>
      </c>
      <c r="AJ145" s="504">
        <v>0</v>
      </c>
      <c r="AK145" s="504">
        <v>0</v>
      </c>
      <c r="AL145" s="504">
        <v>0</v>
      </c>
      <c r="AM145" s="504">
        <v>0</v>
      </c>
      <c r="AN145" s="504">
        <v>0</v>
      </c>
      <c r="AO145" s="504">
        <v>0</v>
      </c>
      <c r="AP145" s="504">
        <v>0</v>
      </c>
      <c r="AQ145" s="504">
        <v>0</v>
      </c>
      <c r="AR145" s="504">
        <v>0</v>
      </c>
      <c r="AS145" s="504">
        <v>0</v>
      </c>
      <c r="AT145" s="504">
        <v>0</v>
      </c>
      <c r="AU145" s="504">
        <v>0</v>
      </c>
      <c r="AV145" s="504">
        <v>0</v>
      </c>
      <c r="AW145" s="504">
        <v>0</v>
      </c>
      <c r="AX145" s="504">
        <v>0</v>
      </c>
      <c r="AY145" s="504">
        <v>0</v>
      </c>
      <c r="AZ145" s="504">
        <v>0</v>
      </c>
      <c r="BA145" s="504">
        <v>0</v>
      </c>
      <c r="BB145" s="504">
        <v>0</v>
      </c>
      <c r="BC145" s="504">
        <v>0</v>
      </c>
      <c r="BD145" s="504">
        <v>0</v>
      </c>
      <c r="BE145" s="504">
        <v>0</v>
      </c>
      <c r="BF145" s="504">
        <v>0</v>
      </c>
      <c r="BG145" s="504">
        <v>0</v>
      </c>
      <c r="BH145" s="504">
        <v>0</v>
      </c>
      <c r="BI145" s="504">
        <v>0</v>
      </c>
      <c r="BJ145" s="504">
        <v>0</v>
      </c>
      <c r="BK145" s="504">
        <v>0</v>
      </c>
      <c r="BL145" s="504">
        <v>0</v>
      </c>
      <c r="BM145" s="504">
        <v>0</v>
      </c>
      <c r="BN145" s="504">
        <v>0</v>
      </c>
      <c r="BO145" s="504">
        <v>0</v>
      </c>
      <c r="BP145" s="504">
        <v>0</v>
      </c>
      <c r="BQ145" s="504">
        <v>0</v>
      </c>
      <c r="BR145" s="504">
        <v>0</v>
      </c>
      <c r="BS145" s="504">
        <v>0</v>
      </c>
      <c r="BT145" s="504">
        <v>0</v>
      </c>
      <c r="BU145" s="504">
        <v>0</v>
      </c>
      <c r="BV145" s="504">
        <v>0</v>
      </c>
      <c r="BW145" s="504">
        <v>0</v>
      </c>
      <c r="BX145" s="504">
        <v>0</v>
      </c>
      <c r="BY145" s="504">
        <v>0</v>
      </c>
      <c r="BZ145" s="504">
        <v>0</v>
      </c>
      <c r="CA145" s="504">
        <v>0</v>
      </c>
      <c r="CB145" s="504">
        <v>0</v>
      </c>
      <c r="CC145" s="504">
        <v>0</v>
      </c>
      <c r="CD145" s="504">
        <v>0</v>
      </c>
      <c r="CE145" s="504">
        <v>0</v>
      </c>
      <c r="CF145" s="504">
        <v>0</v>
      </c>
      <c r="CG145" s="504">
        <v>0</v>
      </c>
      <c r="CH145" s="504">
        <v>0</v>
      </c>
      <c r="CI145" s="504">
        <v>0</v>
      </c>
      <c r="CJ145" s="504">
        <v>0</v>
      </c>
      <c r="CK145" s="504">
        <v>0</v>
      </c>
      <c r="CL145" s="504">
        <v>0</v>
      </c>
      <c r="CM145" s="504">
        <v>0</v>
      </c>
      <c r="CN145" s="504">
        <v>0</v>
      </c>
      <c r="CO145" s="504">
        <v>0</v>
      </c>
      <c r="CP145" s="504">
        <v>0</v>
      </c>
      <c r="CQ145" s="504">
        <v>0</v>
      </c>
      <c r="CR145" s="504">
        <v>0</v>
      </c>
      <c r="CS145" s="504">
        <v>0</v>
      </c>
      <c r="CT145" s="504">
        <v>0</v>
      </c>
      <c r="CU145" s="504">
        <v>0</v>
      </c>
      <c r="CV145" s="504">
        <v>0</v>
      </c>
      <c r="CW145" s="504">
        <v>0</v>
      </c>
      <c r="CX145" s="504">
        <v>0</v>
      </c>
      <c r="CY145" s="504">
        <v>0</v>
      </c>
      <c r="CZ145" s="504">
        <v>0</v>
      </c>
      <c r="DA145" s="504">
        <v>0</v>
      </c>
      <c r="DB145" s="504">
        <v>0</v>
      </c>
      <c r="DC145" s="504">
        <v>0</v>
      </c>
      <c r="DD145" s="504">
        <v>0</v>
      </c>
      <c r="DE145" s="504">
        <v>0</v>
      </c>
      <c r="DF145" s="504">
        <v>0</v>
      </c>
      <c r="DG145" s="504">
        <v>0</v>
      </c>
      <c r="DH145" s="504">
        <v>0</v>
      </c>
      <c r="DI145" s="504">
        <v>0</v>
      </c>
      <c r="DJ145" s="504">
        <v>0</v>
      </c>
      <c r="DK145" s="504">
        <v>0</v>
      </c>
      <c r="DL145" s="504">
        <v>0</v>
      </c>
      <c r="DM145" s="504">
        <v>0</v>
      </c>
      <c r="DN145" s="504">
        <v>0</v>
      </c>
      <c r="DO145" s="504">
        <v>0</v>
      </c>
      <c r="DP145" s="504">
        <v>0</v>
      </c>
      <c r="DQ145" s="504">
        <v>0</v>
      </c>
      <c r="DR145" s="504">
        <v>0</v>
      </c>
      <c r="DS145" s="504">
        <v>0</v>
      </c>
      <c r="DT145" s="504">
        <v>0</v>
      </c>
      <c r="DU145" s="504">
        <v>0</v>
      </c>
      <c r="DV145" s="504">
        <v>0</v>
      </c>
      <c r="DW145" s="504">
        <v>0</v>
      </c>
      <c r="DX145" s="504">
        <v>0</v>
      </c>
      <c r="DY145" s="504">
        <v>0</v>
      </c>
      <c r="DZ145" s="504">
        <v>0</v>
      </c>
      <c r="EA145" s="504">
        <v>0</v>
      </c>
      <c r="EB145" s="504">
        <v>0</v>
      </c>
      <c r="EC145" s="504">
        <v>0</v>
      </c>
      <c r="ED145" s="504">
        <v>0</v>
      </c>
      <c r="EE145" s="504">
        <v>0</v>
      </c>
      <c r="EF145" s="504">
        <v>0</v>
      </c>
      <c r="EG145" s="504">
        <v>0</v>
      </c>
      <c r="EH145" s="504">
        <v>0</v>
      </c>
      <c r="EI145" s="504">
        <v>0</v>
      </c>
      <c r="EJ145" s="504">
        <v>0</v>
      </c>
      <c r="EK145" s="504">
        <v>0</v>
      </c>
      <c r="EL145" s="504">
        <v>0</v>
      </c>
      <c r="EM145" s="504">
        <v>0</v>
      </c>
      <c r="EN145" s="504">
        <v>0</v>
      </c>
      <c r="EO145" s="504">
        <v>0</v>
      </c>
      <c r="EP145" s="504">
        <v>0</v>
      </c>
      <c r="EQ145" s="504">
        <v>0</v>
      </c>
      <c r="ER145" s="504">
        <v>0</v>
      </c>
      <c r="ES145" s="504">
        <v>0</v>
      </c>
      <c r="ET145" s="504">
        <v>0</v>
      </c>
      <c r="EU145" s="504">
        <v>0</v>
      </c>
      <c r="EV145" s="504">
        <v>0</v>
      </c>
      <c r="EW145" s="504">
        <v>0</v>
      </c>
      <c r="EX145" s="504">
        <v>0</v>
      </c>
      <c r="EY145" s="504">
        <v>0</v>
      </c>
      <c r="EZ145" s="504">
        <v>0</v>
      </c>
      <c r="FA145" s="504">
        <v>0</v>
      </c>
      <c r="FB145" s="504">
        <v>0</v>
      </c>
      <c r="FC145" s="504">
        <v>0</v>
      </c>
      <c r="FD145" s="504">
        <v>0</v>
      </c>
      <c r="FE145" s="504">
        <v>0</v>
      </c>
      <c r="FF145" s="504">
        <v>0</v>
      </c>
      <c r="FG145" s="504">
        <v>0</v>
      </c>
      <c r="FH145" s="504">
        <v>0</v>
      </c>
      <c r="FI145" s="504">
        <v>0</v>
      </c>
      <c r="FJ145" s="504">
        <v>0</v>
      </c>
      <c r="FK145" s="504">
        <v>0</v>
      </c>
      <c r="FL145" s="504">
        <v>0</v>
      </c>
      <c r="FM145" s="504">
        <v>0</v>
      </c>
      <c r="FN145" s="504">
        <v>0</v>
      </c>
      <c r="FO145" s="504">
        <v>0</v>
      </c>
      <c r="FP145" s="504">
        <v>0</v>
      </c>
      <c r="FQ145" s="504">
        <v>0</v>
      </c>
      <c r="FR145" s="504">
        <v>0</v>
      </c>
      <c r="FS145" s="504">
        <v>0</v>
      </c>
      <c r="FT145" s="504">
        <v>0</v>
      </c>
      <c r="FU145" s="504">
        <v>0</v>
      </c>
      <c r="FV145" s="504">
        <v>0</v>
      </c>
      <c r="FW145" s="504">
        <v>0</v>
      </c>
      <c r="FX145" s="504">
        <v>0</v>
      </c>
      <c r="FY145" s="504">
        <v>0</v>
      </c>
      <c r="FZ145" s="504">
        <v>0</v>
      </c>
      <c r="GA145" s="504">
        <v>0</v>
      </c>
      <c r="GB145" s="504">
        <v>0</v>
      </c>
      <c r="GC145" s="504">
        <v>0</v>
      </c>
      <c r="GD145" s="504">
        <v>0</v>
      </c>
      <c r="GE145" s="504">
        <v>0</v>
      </c>
      <c r="GF145" s="504">
        <v>0</v>
      </c>
      <c r="GG145" s="504">
        <v>0</v>
      </c>
      <c r="GH145" s="504">
        <v>0</v>
      </c>
      <c r="GI145" s="504">
        <v>0</v>
      </c>
      <c r="GJ145" s="504">
        <v>0</v>
      </c>
      <c r="GK145" s="504">
        <v>0</v>
      </c>
      <c r="GL145" s="504">
        <v>0</v>
      </c>
      <c r="GM145" s="504">
        <v>0</v>
      </c>
      <c r="GN145" s="504">
        <v>0</v>
      </c>
      <c r="GO145" s="504">
        <v>0</v>
      </c>
      <c r="GP145" s="504">
        <v>0</v>
      </c>
      <c r="GQ145" s="504">
        <v>0</v>
      </c>
      <c r="GR145" s="504">
        <v>0</v>
      </c>
      <c r="GS145" s="504">
        <v>0</v>
      </c>
      <c r="GT145" s="504">
        <v>0</v>
      </c>
      <c r="GU145" s="504">
        <v>0</v>
      </c>
      <c r="GV145" s="504">
        <v>0</v>
      </c>
      <c r="GW145" s="504">
        <v>0</v>
      </c>
      <c r="GX145" s="504">
        <v>0</v>
      </c>
      <c r="GY145" s="504">
        <v>0</v>
      </c>
      <c r="GZ145" s="504">
        <v>0</v>
      </c>
      <c r="HA145" s="504">
        <v>0</v>
      </c>
      <c r="HB145" s="504">
        <v>0</v>
      </c>
      <c r="HC145" s="504">
        <v>0</v>
      </c>
      <c r="HD145" s="504">
        <v>0</v>
      </c>
      <c r="HE145" s="504">
        <v>0</v>
      </c>
      <c r="HF145" s="504">
        <v>0</v>
      </c>
      <c r="HG145" s="504">
        <v>0</v>
      </c>
      <c r="HH145" s="504">
        <v>0</v>
      </c>
      <c r="HI145" s="504">
        <v>0</v>
      </c>
      <c r="HJ145" s="504">
        <v>0</v>
      </c>
      <c r="HK145" s="504">
        <v>0</v>
      </c>
      <c r="HL145" s="504">
        <v>0</v>
      </c>
      <c r="HM145" s="504">
        <v>0</v>
      </c>
      <c r="HN145" s="504">
        <v>0</v>
      </c>
      <c r="HO145" s="504">
        <v>0</v>
      </c>
      <c r="HP145" s="504">
        <v>0</v>
      </c>
      <c r="HQ145" s="504">
        <v>0</v>
      </c>
      <c r="HR145" s="504">
        <v>0</v>
      </c>
      <c r="HS145" s="504">
        <v>0</v>
      </c>
      <c r="HT145" s="504">
        <v>0</v>
      </c>
      <c r="HU145" s="504">
        <v>0</v>
      </c>
      <c r="HV145" s="504">
        <v>0</v>
      </c>
      <c r="HW145" s="504">
        <v>0</v>
      </c>
      <c r="HX145" s="504">
        <v>0</v>
      </c>
      <c r="HY145" s="504">
        <v>0</v>
      </c>
      <c r="HZ145" s="504">
        <v>0</v>
      </c>
      <c r="IA145" s="504">
        <v>0</v>
      </c>
      <c r="IB145" s="504">
        <v>0</v>
      </c>
      <c r="IC145" s="504">
        <v>0</v>
      </c>
      <c r="ID145" s="504">
        <v>0</v>
      </c>
      <c r="IE145" s="504">
        <v>0</v>
      </c>
      <c r="IF145" s="504">
        <v>0</v>
      </c>
      <c r="IG145" s="504">
        <v>0</v>
      </c>
      <c r="IH145" s="504">
        <v>0</v>
      </c>
      <c r="II145" s="504">
        <v>0</v>
      </c>
      <c r="IJ145" s="504">
        <v>0</v>
      </c>
      <c r="IK145" s="504">
        <v>0</v>
      </c>
      <c r="IL145" s="504">
        <v>0</v>
      </c>
      <c r="IM145" s="504">
        <v>0</v>
      </c>
      <c r="IN145" s="504">
        <v>0</v>
      </c>
      <c r="IO145" s="504">
        <v>0</v>
      </c>
      <c r="IP145" s="504">
        <v>0</v>
      </c>
      <c r="IQ145" s="504">
        <v>0</v>
      </c>
      <c r="IR145" s="504">
        <v>0</v>
      </c>
      <c r="IS145" s="504">
        <v>0</v>
      </c>
      <c r="IT145" s="504">
        <v>0</v>
      </c>
      <c r="IU145" s="504">
        <v>0</v>
      </c>
      <c r="IV145" s="504">
        <v>0</v>
      </c>
      <c r="IW145" s="504">
        <v>0</v>
      </c>
      <c r="IX145" s="504">
        <v>0</v>
      </c>
      <c r="IY145" s="504">
        <v>0</v>
      </c>
      <c r="IZ145" s="504">
        <v>0</v>
      </c>
      <c r="JA145" s="504">
        <v>0</v>
      </c>
      <c r="JB145" s="504">
        <v>0</v>
      </c>
      <c r="JC145" s="504">
        <v>0</v>
      </c>
      <c r="JD145" s="504">
        <v>0</v>
      </c>
      <c r="JE145" s="504">
        <v>0</v>
      </c>
      <c r="JF145" s="504">
        <v>0</v>
      </c>
      <c r="JG145" s="504">
        <v>0</v>
      </c>
      <c r="JH145" s="504">
        <v>0</v>
      </c>
      <c r="JI145" s="504">
        <v>0</v>
      </c>
      <c r="JJ145" s="504">
        <v>0</v>
      </c>
      <c r="JK145" s="504">
        <v>0</v>
      </c>
      <c r="JL145" s="504">
        <v>0</v>
      </c>
      <c r="JM145" s="504">
        <v>0</v>
      </c>
      <c r="JN145" s="504">
        <v>0</v>
      </c>
      <c r="JO145" s="504">
        <v>0</v>
      </c>
      <c r="JP145" s="504">
        <v>0</v>
      </c>
      <c r="JQ145" s="504">
        <v>0</v>
      </c>
      <c r="JR145" s="504">
        <v>0</v>
      </c>
      <c r="JS145" s="504">
        <v>0</v>
      </c>
      <c r="JT145" s="504">
        <v>0</v>
      </c>
      <c r="JU145" s="504">
        <v>0</v>
      </c>
      <c r="JV145" s="504">
        <v>0</v>
      </c>
      <c r="JW145" s="504">
        <v>0</v>
      </c>
      <c r="JX145" s="504">
        <v>0</v>
      </c>
      <c r="JY145" s="504">
        <v>0</v>
      </c>
      <c r="JZ145" s="504">
        <v>0</v>
      </c>
      <c r="KA145" s="504">
        <v>0</v>
      </c>
      <c r="KB145" s="504">
        <v>0</v>
      </c>
      <c r="KC145" s="504">
        <v>0</v>
      </c>
      <c r="KD145" s="504">
        <v>0</v>
      </c>
      <c r="KE145" s="504">
        <v>0</v>
      </c>
      <c r="KF145" s="504">
        <v>0</v>
      </c>
      <c r="KG145" s="504">
        <v>0</v>
      </c>
      <c r="KH145" s="504">
        <v>0</v>
      </c>
      <c r="KI145" s="504">
        <v>0</v>
      </c>
      <c r="KJ145" s="504">
        <v>0</v>
      </c>
      <c r="KK145" s="504">
        <v>0</v>
      </c>
      <c r="KL145" s="504">
        <v>0</v>
      </c>
      <c r="KM145" s="504">
        <v>0</v>
      </c>
      <c r="KN145" s="504">
        <v>0</v>
      </c>
      <c r="KO145" s="504">
        <v>0</v>
      </c>
      <c r="KP145" s="504">
        <v>0</v>
      </c>
      <c r="KQ145" s="504">
        <v>0</v>
      </c>
      <c r="KR145" s="504">
        <v>0</v>
      </c>
      <c r="KS145" s="504">
        <v>0</v>
      </c>
      <c r="KT145" s="504">
        <v>0</v>
      </c>
      <c r="KU145" s="504">
        <v>0</v>
      </c>
      <c r="KV145" s="504">
        <v>0</v>
      </c>
      <c r="KW145" s="504">
        <v>0</v>
      </c>
      <c r="KX145" s="504">
        <v>0</v>
      </c>
      <c r="KY145" s="504">
        <v>0</v>
      </c>
      <c r="KZ145" s="504">
        <v>0</v>
      </c>
      <c r="LA145" s="504">
        <v>0</v>
      </c>
      <c r="LB145" s="504">
        <v>0</v>
      </c>
      <c r="LC145" s="504">
        <v>0</v>
      </c>
      <c r="LD145" s="504">
        <v>0</v>
      </c>
      <c r="LE145" s="504">
        <v>0</v>
      </c>
      <c r="LF145" s="504">
        <v>0</v>
      </c>
      <c r="LG145" s="504">
        <v>0</v>
      </c>
      <c r="LH145" s="504">
        <v>0</v>
      </c>
      <c r="LI145" s="504">
        <v>0</v>
      </c>
      <c r="LJ145" s="504">
        <v>0</v>
      </c>
      <c r="LK145" s="504">
        <v>0</v>
      </c>
      <c r="LL145" s="504">
        <v>0</v>
      </c>
      <c r="LM145" s="504">
        <v>0</v>
      </c>
      <c r="LN145" s="504">
        <v>0</v>
      </c>
      <c r="LO145" s="504">
        <v>0</v>
      </c>
      <c r="LP145" s="504">
        <v>0</v>
      </c>
      <c r="LQ145" s="504">
        <v>0</v>
      </c>
      <c r="LR145" s="504">
        <v>0</v>
      </c>
      <c r="LS145" s="504">
        <v>0</v>
      </c>
      <c r="LT145" s="504">
        <v>0</v>
      </c>
      <c r="LU145" s="504">
        <v>0</v>
      </c>
      <c r="LV145" s="504">
        <v>0</v>
      </c>
      <c r="LW145" s="504">
        <v>0</v>
      </c>
      <c r="LX145" s="504">
        <v>0</v>
      </c>
      <c r="LY145" s="504">
        <v>0</v>
      </c>
      <c r="LZ145" s="504">
        <v>0</v>
      </c>
      <c r="MA145" s="504">
        <v>0</v>
      </c>
      <c r="MB145" s="504">
        <v>0</v>
      </c>
      <c r="MC145" s="504">
        <v>0</v>
      </c>
      <c r="MD145" s="504">
        <v>0</v>
      </c>
      <c r="ME145" s="504">
        <v>0</v>
      </c>
      <c r="MF145" s="504">
        <v>0</v>
      </c>
      <c r="MG145" s="504">
        <v>0</v>
      </c>
      <c r="MH145" s="504">
        <v>0</v>
      </c>
      <c r="MI145" s="504">
        <v>0</v>
      </c>
      <c r="MJ145" s="504">
        <v>0</v>
      </c>
      <c r="MK145" s="504">
        <v>0</v>
      </c>
      <c r="ML145" s="504">
        <v>0</v>
      </c>
      <c r="MM145" s="504">
        <v>0</v>
      </c>
      <c r="MN145" s="504">
        <v>0</v>
      </c>
      <c r="MO145" s="504">
        <v>0</v>
      </c>
      <c r="MP145" s="504">
        <v>0</v>
      </c>
      <c r="MQ145" s="504">
        <v>0</v>
      </c>
      <c r="MR145" s="504">
        <v>0</v>
      </c>
      <c r="MS145" s="504">
        <v>0</v>
      </c>
      <c r="MT145" s="504">
        <v>0</v>
      </c>
      <c r="MU145" s="504">
        <v>0</v>
      </c>
      <c r="MV145" s="504">
        <v>0</v>
      </c>
      <c r="MW145" s="504">
        <v>0</v>
      </c>
      <c r="MX145" s="504">
        <v>0</v>
      </c>
      <c r="MY145" s="504">
        <v>0</v>
      </c>
      <c r="MZ145" s="504">
        <v>0</v>
      </c>
      <c r="NA145" s="504">
        <v>0</v>
      </c>
      <c r="NB145" s="504">
        <v>0</v>
      </c>
      <c r="NC145" s="504">
        <v>0</v>
      </c>
      <c r="ND145" s="504">
        <v>0</v>
      </c>
      <c r="NE145" s="504">
        <v>0</v>
      </c>
      <c r="NF145" s="504">
        <v>0</v>
      </c>
      <c r="NG145" s="504">
        <v>0</v>
      </c>
      <c r="NH145" s="504">
        <v>0</v>
      </c>
      <c r="NI145" s="504">
        <v>0</v>
      </c>
      <c r="NJ145" s="504">
        <v>0</v>
      </c>
      <c r="NK145" s="504">
        <v>0</v>
      </c>
      <c r="NL145" s="504">
        <v>0</v>
      </c>
      <c r="NM145" s="504">
        <v>0</v>
      </c>
      <c r="NN145" s="504">
        <v>0</v>
      </c>
      <c r="NO145" s="504">
        <v>0</v>
      </c>
      <c r="NP145" s="504">
        <v>0</v>
      </c>
      <c r="NQ145" s="504">
        <v>0</v>
      </c>
      <c r="NR145" s="504">
        <v>0</v>
      </c>
      <c r="NS145" s="504">
        <v>0</v>
      </c>
      <c r="NT145" s="504">
        <v>0</v>
      </c>
      <c r="NU145" s="504">
        <v>0</v>
      </c>
      <c r="NV145" s="504">
        <v>0</v>
      </c>
      <c r="NW145" s="504">
        <v>0</v>
      </c>
      <c r="NX145" s="504">
        <v>0</v>
      </c>
      <c r="NY145" s="504">
        <v>0</v>
      </c>
      <c r="NZ145" s="504">
        <v>0</v>
      </c>
      <c r="OA145" s="504">
        <v>0</v>
      </c>
      <c r="OB145" s="504">
        <v>0</v>
      </c>
      <c r="OC145" s="504">
        <v>0</v>
      </c>
      <c r="OD145" s="504">
        <v>0</v>
      </c>
      <c r="OE145" s="504">
        <v>0</v>
      </c>
      <c r="OF145" s="504">
        <v>0</v>
      </c>
      <c r="OG145" s="504">
        <v>0</v>
      </c>
      <c r="OH145" s="504">
        <v>0</v>
      </c>
      <c r="OI145" s="504">
        <v>0</v>
      </c>
      <c r="OJ145" s="504">
        <v>0</v>
      </c>
      <c r="OK145" s="504">
        <v>0</v>
      </c>
      <c r="OL145" s="504">
        <v>0</v>
      </c>
      <c r="OM145" s="504">
        <v>0</v>
      </c>
      <c r="ON145" s="494"/>
    </row>
    <row r="146" spans="1:404" ht="18.75" customHeight="1" x14ac:dyDescent="0.4">
      <c r="A146" s="511" t="s">
        <v>416</v>
      </c>
      <c r="B146" s="512">
        <v>252</v>
      </c>
      <c r="C146" s="511" t="s">
        <v>60</v>
      </c>
      <c r="D146" s="501">
        <v>44.13</v>
      </c>
      <c r="E146" s="502">
        <v>13755</v>
      </c>
      <c r="F146" s="501">
        <v>44.12</v>
      </c>
      <c r="G146" s="502">
        <v>11738</v>
      </c>
      <c r="H146" s="501">
        <v>44.12</v>
      </c>
      <c r="I146" s="502">
        <v>32582</v>
      </c>
      <c r="J146" s="501">
        <v>44.12</v>
      </c>
      <c r="K146" s="502">
        <v>35699</v>
      </c>
      <c r="V146" s="501"/>
      <c r="W146" s="503"/>
      <c r="X146" s="501"/>
      <c r="Y146" s="503"/>
      <c r="Z146" s="501"/>
      <c r="AA146" s="503"/>
      <c r="AB146" s="495"/>
      <c r="AC146" s="504">
        <v>0</v>
      </c>
      <c r="AD146" s="504">
        <v>0</v>
      </c>
      <c r="AE146" s="504">
        <v>0</v>
      </c>
      <c r="AF146" s="504">
        <v>0</v>
      </c>
      <c r="AG146" s="504">
        <v>0</v>
      </c>
      <c r="AH146" s="504">
        <v>0</v>
      </c>
      <c r="AI146" s="504">
        <v>0</v>
      </c>
      <c r="AJ146" s="504">
        <v>0</v>
      </c>
      <c r="AK146" s="504">
        <v>0</v>
      </c>
      <c r="AL146" s="504">
        <v>0</v>
      </c>
      <c r="AM146" s="504">
        <v>0</v>
      </c>
      <c r="AN146" s="504">
        <v>0</v>
      </c>
      <c r="AO146" s="504">
        <v>0</v>
      </c>
      <c r="AP146" s="504">
        <v>0</v>
      </c>
      <c r="AQ146" s="504">
        <v>0</v>
      </c>
      <c r="AR146" s="504">
        <v>0</v>
      </c>
      <c r="AS146" s="504">
        <v>0</v>
      </c>
      <c r="AT146" s="504">
        <v>0</v>
      </c>
      <c r="AU146" s="504">
        <v>0</v>
      </c>
      <c r="AV146" s="504">
        <v>0</v>
      </c>
      <c r="AW146" s="504">
        <v>0</v>
      </c>
      <c r="AX146" s="504">
        <v>0</v>
      </c>
      <c r="AY146" s="504">
        <v>0</v>
      </c>
      <c r="AZ146" s="504">
        <v>0</v>
      </c>
      <c r="BA146" s="504">
        <v>0</v>
      </c>
      <c r="BB146" s="504">
        <v>0</v>
      </c>
      <c r="BC146" s="504">
        <v>0</v>
      </c>
      <c r="BD146" s="504">
        <v>0</v>
      </c>
      <c r="BE146" s="504">
        <v>0</v>
      </c>
      <c r="BF146" s="504">
        <v>0</v>
      </c>
      <c r="BG146" s="504">
        <v>0</v>
      </c>
      <c r="BH146" s="504">
        <v>0</v>
      </c>
      <c r="BI146" s="504">
        <v>0</v>
      </c>
      <c r="BJ146" s="504">
        <v>0</v>
      </c>
      <c r="BK146" s="504">
        <v>0</v>
      </c>
      <c r="BL146" s="504">
        <v>0</v>
      </c>
      <c r="BM146" s="504">
        <v>0</v>
      </c>
      <c r="BN146" s="504">
        <v>0</v>
      </c>
      <c r="BO146" s="504">
        <v>0</v>
      </c>
      <c r="BP146" s="504">
        <v>0</v>
      </c>
      <c r="BQ146" s="504">
        <v>0</v>
      </c>
      <c r="BR146" s="504">
        <v>0</v>
      </c>
      <c r="BS146" s="504">
        <v>0</v>
      </c>
      <c r="BT146" s="504">
        <v>0</v>
      </c>
      <c r="BU146" s="504">
        <v>0</v>
      </c>
      <c r="BV146" s="504">
        <v>0</v>
      </c>
      <c r="BW146" s="504">
        <v>0</v>
      </c>
      <c r="BX146" s="504">
        <v>0</v>
      </c>
      <c r="BY146" s="504">
        <v>0</v>
      </c>
      <c r="BZ146" s="504">
        <v>0</v>
      </c>
      <c r="CA146" s="504">
        <v>0</v>
      </c>
      <c r="CB146" s="504">
        <v>0</v>
      </c>
      <c r="CC146" s="504">
        <v>0</v>
      </c>
      <c r="CD146" s="504">
        <v>0</v>
      </c>
      <c r="CE146" s="504">
        <v>0</v>
      </c>
      <c r="CF146" s="504">
        <v>0</v>
      </c>
      <c r="CG146" s="504">
        <v>0</v>
      </c>
      <c r="CH146" s="504">
        <v>0</v>
      </c>
      <c r="CI146" s="504">
        <v>0</v>
      </c>
      <c r="CJ146" s="504">
        <v>0</v>
      </c>
      <c r="CK146" s="504">
        <v>0</v>
      </c>
      <c r="CL146" s="504">
        <v>0</v>
      </c>
      <c r="CM146" s="504">
        <v>0</v>
      </c>
      <c r="CN146" s="504">
        <v>0</v>
      </c>
      <c r="CO146" s="504">
        <v>0</v>
      </c>
      <c r="CP146" s="504">
        <v>0</v>
      </c>
      <c r="CQ146" s="504">
        <v>0</v>
      </c>
      <c r="CR146" s="504">
        <v>0</v>
      </c>
      <c r="CS146" s="504">
        <v>0</v>
      </c>
      <c r="CT146" s="504">
        <v>0</v>
      </c>
      <c r="CU146" s="504">
        <v>0</v>
      </c>
      <c r="CV146" s="504">
        <v>0</v>
      </c>
      <c r="CW146" s="504">
        <v>0</v>
      </c>
      <c r="CX146" s="504">
        <v>0</v>
      </c>
      <c r="CY146" s="504">
        <v>0</v>
      </c>
      <c r="CZ146" s="504">
        <v>0</v>
      </c>
      <c r="DA146" s="504">
        <v>0</v>
      </c>
      <c r="DB146" s="504">
        <v>0</v>
      </c>
      <c r="DC146" s="504">
        <v>0</v>
      </c>
      <c r="DD146" s="504">
        <v>0</v>
      </c>
      <c r="DE146" s="504">
        <v>0</v>
      </c>
      <c r="DF146" s="504">
        <v>0</v>
      </c>
      <c r="DG146" s="504">
        <v>0</v>
      </c>
      <c r="DH146" s="504">
        <v>0</v>
      </c>
      <c r="DI146" s="504">
        <v>0</v>
      </c>
      <c r="DJ146" s="504">
        <v>0</v>
      </c>
      <c r="DK146" s="504">
        <v>0</v>
      </c>
      <c r="DL146" s="504">
        <v>0</v>
      </c>
      <c r="DM146" s="504">
        <v>0</v>
      </c>
      <c r="DN146" s="504">
        <v>0</v>
      </c>
      <c r="DO146" s="504">
        <v>0</v>
      </c>
      <c r="DP146" s="504">
        <v>0</v>
      </c>
      <c r="DQ146" s="504">
        <v>0</v>
      </c>
      <c r="DR146" s="504">
        <v>0</v>
      </c>
      <c r="DS146" s="504">
        <v>0</v>
      </c>
      <c r="DT146" s="504">
        <v>0</v>
      </c>
      <c r="DU146" s="504">
        <v>0</v>
      </c>
      <c r="DV146" s="504">
        <v>0</v>
      </c>
      <c r="DW146" s="504">
        <v>0</v>
      </c>
      <c r="DX146" s="504">
        <v>0</v>
      </c>
      <c r="DY146" s="504">
        <v>0</v>
      </c>
      <c r="DZ146" s="504">
        <v>0</v>
      </c>
      <c r="EA146" s="504">
        <v>0</v>
      </c>
      <c r="EB146" s="504">
        <v>0</v>
      </c>
      <c r="EC146" s="504">
        <v>0</v>
      </c>
      <c r="ED146" s="504">
        <v>0</v>
      </c>
      <c r="EE146" s="504">
        <v>0</v>
      </c>
      <c r="EF146" s="504">
        <v>0</v>
      </c>
      <c r="EG146" s="504">
        <v>0</v>
      </c>
      <c r="EH146" s="504">
        <v>0</v>
      </c>
      <c r="EI146" s="504">
        <v>0</v>
      </c>
      <c r="EJ146" s="504">
        <v>0</v>
      </c>
      <c r="EK146" s="504">
        <v>0</v>
      </c>
      <c r="EL146" s="504">
        <v>0</v>
      </c>
      <c r="EM146" s="504">
        <v>0</v>
      </c>
      <c r="EN146" s="504">
        <v>0</v>
      </c>
      <c r="EO146" s="504">
        <v>0</v>
      </c>
      <c r="EP146" s="504">
        <v>0</v>
      </c>
      <c r="EQ146" s="504">
        <v>0</v>
      </c>
      <c r="ER146" s="504">
        <v>0</v>
      </c>
      <c r="ES146" s="504">
        <v>0</v>
      </c>
      <c r="ET146" s="504">
        <v>0</v>
      </c>
      <c r="EU146" s="504">
        <v>0</v>
      </c>
      <c r="EV146" s="504">
        <v>0</v>
      </c>
      <c r="EW146" s="504">
        <v>0</v>
      </c>
      <c r="EX146" s="504">
        <v>0</v>
      </c>
      <c r="EY146" s="504">
        <v>0</v>
      </c>
      <c r="EZ146" s="504">
        <v>0</v>
      </c>
      <c r="FA146" s="504">
        <v>0</v>
      </c>
      <c r="FB146" s="504">
        <v>0</v>
      </c>
      <c r="FC146" s="504">
        <v>0</v>
      </c>
      <c r="FD146" s="504">
        <v>0</v>
      </c>
      <c r="FE146" s="504">
        <v>0</v>
      </c>
      <c r="FF146" s="504">
        <v>0</v>
      </c>
      <c r="FG146" s="504">
        <v>0</v>
      </c>
      <c r="FH146" s="504">
        <v>0</v>
      </c>
      <c r="FI146" s="504">
        <v>0</v>
      </c>
      <c r="FJ146" s="504">
        <v>0</v>
      </c>
      <c r="FK146" s="504">
        <v>0</v>
      </c>
      <c r="FL146" s="504">
        <v>0</v>
      </c>
      <c r="FM146" s="504">
        <v>0</v>
      </c>
      <c r="FN146" s="504">
        <v>0</v>
      </c>
      <c r="FO146" s="504">
        <v>0</v>
      </c>
      <c r="FP146" s="504">
        <v>0</v>
      </c>
      <c r="FQ146" s="504">
        <v>0</v>
      </c>
      <c r="FR146" s="504">
        <v>0</v>
      </c>
      <c r="FS146" s="504">
        <v>0</v>
      </c>
      <c r="FT146" s="504">
        <v>0</v>
      </c>
      <c r="FU146" s="504">
        <v>0</v>
      </c>
      <c r="FV146" s="504">
        <v>0</v>
      </c>
      <c r="FW146" s="504">
        <v>0</v>
      </c>
      <c r="FX146" s="504">
        <v>0</v>
      </c>
      <c r="FY146" s="504">
        <v>0</v>
      </c>
      <c r="FZ146" s="504">
        <v>0</v>
      </c>
      <c r="GA146" s="504">
        <v>0</v>
      </c>
      <c r="GB146" s="504">
        <v>0</v>
      </c>
      <c r="GC146" s="504">
        <v>0</v>
      </c>
      <c r="GD146" s="504">
        <v>0</v>
      </c>
      <c r="GE146" s="504">
        <v>0</v>
      </c>
      <c r="GF146" s="504">
        <v>0</v>
      </c>
      <c r="GG146" s="504">
        <v>0</v>
      </c>
      <c r="GH146" s="504">
        <v>0</v>
      </c>
      <c r="GI146" s="504">
        <v>0</v>
      </c>
      <c r="GJ146" s="504">
        <v>0</v>
      </c>
      <c r="GK146" s="504">
        <v>0</v>
      </c>
      <c r="GL146" s="504">
        <v>0</v>
      </c>
      <c r="GM146" s="504">
        <v>0</v>
      </c>
      <c r="GN146" s="504">
        <v>0</v>
      </c>
      <c r="GO146" s="504">
        <v>0</v>
      </c>
      <c r="GP146" s="504">
        <v>0</v>
      </c>
      <c r="GQ146" s="504">
        <v>0</v>
      </c>
      <c r="GR146" s="504">
        <v>0</v>
      </c>
      <c r="GS146" s="504">
        <v>0</v>
      </c>
      <c r="GT146" s="504">
        <v>0</v>
      </c>
      <c r="GU146" s="504">
        <v>0</v>
      </c>
      <c r="GV146" s="504">
        <v>0</v>
      </c>
      <c r="GW146" s="504">
        <v>0</v>
      </c>
      <c r="GX146" s="504">
        <v>0</v>
      </c>
      <c r="GY146" s="504">
        <v>0</v>
      </c>
      <c r="GZ146" s="504">
        <v>0</v>
      </c>
      <c r="HA146" s="504">
        <v>0</v>
      </c>
      <c r="HB146" s="504">
        <v>0</v>
      </c>
      <c r="HC146" s="504">
        <v>0</v>
      </c>
      <c r="HD146" s="504">
        <v>0</v>
      </c>
      <c r="HE146" s="504">
        <v>0</v>
      </c>
      <c r="HF146" s="504">
        <v>0</v>
      </c>
      <c r="HG146" s="504">
        <v>0</v>
      </c>
      <c r="HH146" s="504">
        <v>0</v>
      </c>
      <c r="HI146" s="504">
        <v>0</v>
      </c>
      <c r="HJ146" s="504">
        <v>0</v>
      </c>
      <c r="HK146" s="504">
        <v>0</v>
      </c>
      <c r="HL146" s="504">
        <v>0</v>
      </c>
      <c r="HM146" s="504">
        <v>0</v>
      </c>
      <c r="HN146" s="504">
        <v>0</v>
      </c>
      <c r="HO146" s="504">
        <v>0</v>
      </c>
      <c r="HP146" s="504">
        <v>0</v>
      </c>
      <c r="HQ146" s="504">
        <v>0</v>
      </c>
      <c r="HR146" s="504">
        <v>0</v>
      </c>
      <c r="HS146" s="504">
        <v>0</v>
      </c>
      <c r="HT146" s="504">
        <v>0</v>
      </c>
      <c r="HU146" s="504">
        <v>0</v>
      </c>
      <c r="HV146" s="504">
        <v>0</v>
      </c>
      <c r="HW146" s="504">
        <v>0</v>
      </c>
      <c r="HX146" s="504">
        <v>0</v>
      </c>
      <c r="HY146" s="504">
        <v>0</v>
      </c>
      <c r="HZ146" s="504">
        <v>0</v>
      </c>
      <c r="IA146" s="504">
        <v>0</v>
      </c>
      <c r="IB146" s="504">
        <v>0</v>
      </c>
      <c r="IC146" s="504">
        <v>0</v>
      </c>
      <c r="ID146" s="504">
        <v>0</v>
      </c>
      <c r="IE146" s="504">
        <v>0</v>
      </c>
      <c r="IF146" s="504">
        <v>0</v>
      </c>
      <c r="IG146" s="504">
        <v>0</v>
      </c>
      <c r="IH146" s="504">
        <v>0</v>
      </c>
      <c r="II146" s="504">
        <v>0</v>
      </c>
      <c r="IJ146" s="504">
        <v>0</v>
      </c>
      <c r="IK146" s="504">
        <v>0</v>
      </c>
      <c r="IL146" s="504">
        <v>0</v>
      </c>
      <c r="IM146" s="504">
        <v>0</v>
      </c>
      <c r="IN146" s="504">
        <v>0</v>
      </c>
      <c r="IO146" s="504">
        <v>0</v>
      </c>
      <c r="IP146" s="504">
        <v>0</v>
      </c>
      <c r="IQ146" s="504">
        <v>0</v>
      </c>
      <c r="IR146" s="504">
        <v>0</v>
      </c>
      <c r="IS146" s="504">
        <v>0</v>
      </c>
      <c r="IT146" s="504">
        <v>0</v>
      </c>
      <c r="IU146" s="504">
        <v>0</v>
      </c>
      <c r="IV146" s="504">
        <v>0</v>
      </c>
      <c r="IW146" s="504">
        <v>0</v>
      </c>
      <c r="IX146" s="504">
        <v>0</v>
      </c>
      <c r="IY146" s="504">
        <v>0</v>
      </c>
      <c r="IZ146" s="504">
        <v>0</v>
      </c>
      <c r="JA146" s="504">
        <v>0</v>
      </c>
      <c r="JB146" s="504">
        <v>0</v>
      </c>
      <c r="JC146" s="504">
        <v>0</v>
      </c>
      <c r="JD146" s="504">
        <v>0</v>
      </c>
      <c r="JE146" s="504">
        <v>0</v>
      </c>
      <c r="JF146" s="504">
        <v>0</v>
      </c>
      <c r="JG146" s="504">
        <v>0</v>
      </c>
      <c r="JH146" s="504">
        <v>0</v>
      </c>
      <c r="JI146" s="504">
        <v>0</v>
      </c>
      <c r="JJ146" s="504">
        <v>0</v>
      </c>
      <c r="JK146" s="504">
        <v>0</v>
      </c>
      <c r="JL146" s="504">
        <v>0</v>
      </c>
      <c r="JM146" s="504">
        <v>0</v>
      </c>
      <c r="JN146" s="504">
        <v>0</v>
      </c>
      <c r="JO146" s="504">
        <v>0</v>
      </c>
      <c r="JP146" s="504">
        <v>0</v>
      </c>
      <c r="JQ146" s="504">
        <v>0</v>
      </c>
      <c r="JR146" s="504">
        <v>0</v>
      </c>
      <c r="JS146" s="504">
        <v>0</v>
      </c>
      <c r="JT146" s="504">
        <v>0</v>
      </c>
      <c r="JU146" s="504">
        <v>0</v>
      </c>
      <c r="JV146" s="504">
        <v>0</v>
      </c>
      <c r="JW146" s="504">
        <v>0</v>
      </c>
      <c r="JX146" s="504">
        <v>0</v>
      </c>
      <c r="JY146" s="504">
        <v>0</v>
      </c>
      <c r="JZ146" s="504">
        <v>0</v>
      </c>
      <c r="KA146" s="504">
        <v>0</v>
      </c>
      <c r="KB146" s="504">
        <v>0</v>
      </c>
      <c r="KC146" s="504">
        <v>0</v>
      </c>
      <c r="KD146" s="504">
        <v>0</v>
      </c>
      <c r="KE146" s="504">
        <v>0</v>
      </c>
      <c r="KF146" s="504">
        <v>0</v>
      </c>
      <c r="KG146" s="504">
        <v>0</v>
      </c>
      <c r="KH146" s="504">
        <v>0</v>
      </c>
      <c r="KI146" s="504">
        <v>0</v>
      </c>
      <c r="KJ146" s="504">
        <v>0</v>
      </c>
      <c r="KK146" s="504">
        <v>0</v>
      </c>
      <c r="KL146" s="504">
        <v>0</v>
      </c>
      <c r="KM146" s="504">
        <v>0</v>
      </c>
      <c r="KN146" s="504">
        <v>0</v>
      </c>
      <c r="KO146" s="504">
        <v>0</v>
      </c>
      <c r="KP146" s="504">
        <v>0</v>
      </c>
      <c r="KQ146" s="504">
        <v>0</v>
      </c>
      <c r="KR146" s="504">
        <v>0</v>
      </c>
      <c r="KS146" s="504">
        <v>0</v>
      </c>
      <c r="KT146" s="504">
        <v>0</v>
      </c>
      <c r="KU146" s="504">
        <v>0</v>
      </c>
      <c r="KV146" s="504">
        <v>0</v>
      </c>
      <c r="KW146" s="504">
        <v>0</v>
      </c>
      <c r="KX146" s="504">
        <v>0</v>
      </c>
      <c r="KY146" s="504">
        <v>0</v>
      </c>
      <c r="KZ146" s="504">
        <v>0</v>
      </c>
      <c r="LA146" s="504">
        <v>0</v>
      </c>
      <c r="LB146" s="504">
        <v>0</v>
      </c>
      <c r="LC146" s="504">
        <v>0</v>
      </c>
      <c r="LD146" s="504">
        <v>0</v>
      </c>
      <c r="LE146" s="504">
        <v>0</v>
      </c>
      <c r="LF146" s="504">
        <v>0</v>
      </c>
      <c r="LG146" s="504">
        <v>0</v>
      </c>
      <c r="LH146" s="504">
        <v>0</v>
      </c>
      <c r="LI146" s="504">
        <v>0</v>
      </c>
      <c r="LJ146" s="504">
        <v>0</v>
      </c>
      <c r="LK146" s="504">
        <v>0</v>
      </c>
      <c r="LL146" s="504">
        <v>0</v>
      </c>
      <c r="LM146" s="504">
        <v>0</v>
      </c>
      <c r="LN146" s="504">
        <v>0</v>
      </c>
      <c r="LO146" s="504">
        <v>0</v>
      </c>
      <c r="LP146" s="504">
        <v>0</v>
      </c>
      <c r="LQ146" s="504">
        <v>0</v>
      </c>
      <c r="LR146" s="504">
        <v>0</v>
      </c>
      <c r="LS146" s="504">
        <v>0</v>
      </c>
      <c r="LT146" s="504">
        <v>0</v>
      </c>
      <c r="LU146" s="504">
        <v>0</v>
      </c>
      <c r="LV146" s="504">
        <v>0</v>
      </c>
      <c r="LW146" s="504">
        <v>0</v>
      </c>
      <c r="LX146" s="504">
        <v>0</v>
      </c>
      <c r="LY146" s="504">
        <v>0</v>
      </c>
      <c r="LZ146" s="504">
        <v>0</v>
      </c>
      <c r="MA146" s="504">
        <v>0</v>
      </c>
      <c r="MB146" s="504">
        <v>0</v>
      </c>
      <c r="MC146" s="504">
        <v>0</v>
      </c>
      <c r="MD146" s="504">
        <v>0</v>
      </c>
      <c r="ME146" s="504">
        <v>0</v>
      </c>
      <c r="MF146" s="504">
        <v>0</v>
      </c>
      <c r="MG146" s="504">
        <v>0</v>
      </c>
      <c r="MH146" s="504">
        <v>0</v>
      </c>
      <c r="MI146" s="504">
        <v>0</v>
      </c>
      <c r="MJ146" s="504">
        <v>0</v>
      </c>
      <c r="MK146" s="504">
        <v>0</v>
      </c>
      <c r="ML146" s="504">
        <v>0</v>
      </c>
      <c r="MM146" s="504">
        <v>0</v>
      </c>
      <c r="MN146" s="504">
        <v>0</v>
      </c>
      <c r="MO146" s="504">
        <v>0</v>
      </c>
      <c r="MP146" s="504">
        <v>0</v>
      </c>
      <c r="MQ146" s="504">
        <v>0</v>
      </c>
      <c r="MR146" s="504">
        <v>0</v>
      </c>
      <c r="MS146" s="504">
        <v>0</v>
      </c>
      <c r="MT146" s="504">
        <v>0</v>
      </c>
      <c r="MU146" s="504">
        <v>0</v>
      </c>
      <c r="MV146" s="504">
        <v>0</v>
      </c>
      <c r="MW146" s="504">
        <v>0</v>
      </c>
      <c r="MX146" s="504">
        <v>0</v>
      </c>
      <c r="MY146" s="504">
        <v>0</v>
      </c>
      <c r="MZ146" s="504">
        <v>0</v>
      </c>
      <c r="NA146" s="504">
        <v>0</v>
      </c>
      <c r="NB146" s="504">
        <v>0</v>
      </c>
      <c r="NC146" s="504">
        <v>0</v>
      </c>
      <c r="ND146" s="504">
        <v>0</v>
      </c>
      <c r="NE146" s="504">
        <v>0</v>
      </c>
      <c r="NF146" s="504">
        <v>0</v>
      </c>
      <c r="NG146" s="504">
        <v>0</v>
      </c>
      <c r="NH146" s="504">
        <v>0</v>
      </c>
      <c r="NI146" s="504">
        <v>0</v>
      </c>
      <c r="NJ146" s="504">
        <v>0</v>
      </c>
      <c r="NK146" s="504">
        <v>0</v>
      </c>
      <c r="NL146" s="504">
        <v>0</v>
      </c>
      <c r="NM146" s="504">
        <v>0</v>
      </c>
      <c r="NN146" s="504">
        <v>0</v>
      </c>
      <c r="NO146" s="504">
        <v>0</v>
      </c>
      <c r="NP146" s="504">
        <v>0</v>
      </c>
      <c r="NQ146" s="504">
        <v>0</v>
      </c>
      <c r="NR146" s="504">
        <v>0</v>
      </c>
      <c r="NS146" s="504">
        <v>0</v>
      </c>
      <c r="NT146" s="504">
        <v>0</v>
      </c>
      <c r="NU146" s="504">
        <v>0</v>
      </c>
      <c r="NV146" s="504">
        <v>0</v>
      </c>
      <c r="NW146" s="504">
        <v>0</v>
      </c>
      <c r="NX146" s="504">
        <v>0</v>
      </c>
      <c r="NY146" s="504">
        <v>0</v>
      </c>
      <c r="NZ146" s="504">
        <v>0</v>
      </c>
      <c r="OA146" s="504">
        <v>0</v>
      </c>
      <c r="OB146" s="504">
        <v>0</v>
      </c>
      <c r="OC146" s="504">
        <v>0</v>
      </c>
      <c r="OD146" s="504">
        <v>0</v>
      </c>
      <c r="OE146" s="504">
        <v>0</v>
      </c>
      <c r="OF146" s="504">
        <v>0</v>
      </c>
      <c r="OG146" s="504">
        <v>0</v>
      </c>
      <c r="OH146" s="504">
        <v>0</v>
      </c>
      <c r="OI146" s="504">
        <v>0</v>
      </c>
      <c r="OJ146" s="504">
        <v>0</v>
      </c>
      <c r="OK146" s="504">
        <v>0</v>
      </c>
      <c r="OL146" s="504">
        <v>0</v>
      </c>
      <c r="OM146" s="504">
        <v>0</v>
      </c>
      <c r="ON146" s="494"/>
    </row>
    <row r="147" spans="1:404" ht="18.75" customHeight="1" x14ac:dyDescent="0.4">
      <c r="A147" s="511" t="s">
        <v>417</v>
      </c>
      <c r="B147" s="512">
        <v>252</v>
      </c>
      <c r="C147" s="511" t="s">
        <v>60</v>
      </c>
      <c r="D147" s="501">
        <v>44.29</v>
      </c>
      <c r="E147" s="502">
        <v>3890</v>
      </c>
      <c r="F147" s="501">
        <v>44.28</v>
      </c>
      <c r="G147" s="502">
        <v>6107</v>
      </c>
      <c r="H147" s="501">
        <v>44.28</v>
      </c>
      <c r="I147" s="502">
        <v>17653</v>
      </c>
      <c r="J147" s="501">
        <v>44.28</v>
      </c>
      <c r="K147" s="502">
        <v>20033</v>
      </c>
      <c r="V147" s="501"/>
      <c r="W147" s="503"/>
      <c r="X147" s="501"/>
      <c r="Y147" s="503"/>
      <c r="Z147" s="501"/>
      <c r="AA147" s="503"/>
      <c r="AB147" s="495"/>
      <c r="AC147" s="504">
        <v>0</v>
      </c>
      <c r="AD147" s="504">
        <v>0</v>
      </c>
      <c r="AE147" s="504">
        <v>0</v>
      </c>
      <c r="AF147" s="504">
        <v>0</v>
      </c>
      <c r="AG147" s="504">
        <v>0</v>
      </c>
      <c r="AH147" s="504">
        <v>0</v>
      </c>
      <c r="AI147" s="504">
        <v>0</v>
      </c>
      <c r="AJ147" s="504">
        <v>0</v>
      </c>
      <c r="AK147" s="504">
        <v>0</v>
      </c>
      <c r="AL147" s="504">
        <v>0</v>
      </c>
      <c r="AM147" s="504">
        <v>0</v>
      </c>
      <c r="AN147" s="504">
        <v>0</v>
      </c>
      <c r="AO147" s="504">
        <v>0</v>
      </c>
      <c r="AP147" s="504">
        <v>0</v>
      </c>
      <c r="AQ147" s="504">
        <v>0</v>
      </c>
      <c r="AR147" s="504">
        <v>0</v>
      </c>
      <c r="AS147" s="504">
        <v>0</v>
      </c>
      <c r="AT147" s="504">
        <v>0</v>
      </c>
      <c r="AU147" s="504">
        <v>0</v>
      </c>
      <c r="AV147" s="504">
        <v>0</v>
      </c>
      <c r="AW147" s="504">
        <v>0</v>
      </c>
      <c r="AX147" s="504">
        <v>0</v>
      </c>
      <c r="AY147" s="504">
        <v>0</v>
      </c>
      <c r="AZ147" s="504">
        <v>0</v>
      </c>
      <c r="BA147" s="504">
        <v>0</v>
      </c>
      <c r="BB147" s="504">
        <v>0</v>
      </c>
      <c r="BC147" s="504">
        <v>0</v>
      </c>
      <c r="BD147" s="504">
        <v>0</v>
      </c>
      <c r="BE147" s="504">
        <v>0</v>
      </c>
      <c r="BF147" s="504">
        <v>0</v>
      </c>
      <c r="BG147" s="504">
        <v>0</v>
      </c>
      <c r="BH147" s="504">
        <v>0</v>
      </c>
      <c r="BI147" s="504">
        <v>0</v>
      </c>
      <c r="BJ147" s="504">
        <v>0</v>
      </c>
      <c r="BK147" s="504">
        <v>0</v>
      </c>
      <c r="BL147" s="504">
        <v>0</v>
      </c>
      <c r="BM147" s="504">
        <v>0</v>
      </c>
      <c r="BN147" s="504">
        <v>0</v>
      </c>
      <c r="BO147" s="504">
        <v>0</v>
      </c>
      <c r="BP147" s="504">
        <v>0</v>
      </c>
      <c r="BQ147" s="504">
        <v>0</v>
      </c>
      <c r="BR147" s="504">
        <v>0</v>
      </c>
      <c r="BS147" s="504">
        <v>0</v>
      </c>
      <c r="BT147" s="504">
        <v>0</v>
      </c>
      <c r="BU147" s="504">
        <v>0</v>
      </c>
      <c r="BV147" s="504">
        <v>0</v>
      </c>
      <c r="BW147" s="504">
        <v>0</v>
      </c>
      <c r="BX147" s="504">
        <v>0</v>
      </c>
      <c r="BY147" s="504">
        <v>0</v>
      </c>
      <c r="BZ147" s="504">
        <v>0</v>
      </c>
      <c r="CA147" s="504">
        <v>0</v>
      </c>
      <c r="CB147" s="504">
        <v>0</v>
      </c>
      <c r="CC147" s="504">
        <v>0</v>
      </c>
      <c r="CD147" s="504">
        <v>0</v>
      </c>
      <c r="CE147" s="504">
        <v>0</v>
      </c>
      <c r="CF147" s="504">
        <v>0</v>
      </c>
      <c r="CG147" s="504">
        <v>0</v>
      </c>
      <c r="CH147" s="504">
        <v>0</v>
      </c>
      <c r="CI147" s="504">
        <v>0</v>
      </c>
      <c r="CJ147" s="504">
        <v>0</v>
      </c>
      <c r="CK147" s="504">
        <v>0</v>
      </c>
      <c r="CL147" s="504">
        <v>0</v>
      </c>
      <c r="CM147" s="504">
        <v>0</v>
      </c>
      <c r="CN147" s="504">
        <v>0</v>
      </c>
      <c r="CO147" s="504">
        <v>0</v>
      </c>
      <c r="CP147" s="504">
        <v>0</v>
      </c>
      <c r="CQ147" s="504">
        <v>0</v>
      </c>
      <c r="CR147" s="504">
        <v>0</v>
      </c>
      <c r="CS147" s="504">
        <v>0</v>
      </c>
      <c r="CT147" s="504">
        <v>0</v>
      </c>
      <c r="CU147" s="504">
        <v>0</v>
      </c>
      <c r="CV147" s="504">
        <v>0</v>
      </c>
      <c r="CW147" s="504">
        <v>0</v>
      </c>
      <c r="CX147" s="504">
        <v>0</v>
      </c>
      <c r="CY147" s="504">
        <v>0</v>
      </c>
      <c r="CZ147" s="504">
        <v>0</v>
      </c>
      <c r="DA147" s="504">
        <v>0</v>
      </c>
      <c r="DB147" s="504">
        <v>0</v>
      </c>
      <c r="DC147" s="504">
        <v>0</v>
      </c>
      <c r="DD147" s="504">
        <v>0</v>
      </c>
      <c r="DE147" s="504">
        <v>0</v>
      </c>
      <c r="DF147" s="504">
        <v>0</v>
      </c>
      <c r="DG147" s="504">
        <v>0</v>
      </c>
      <c r="DH147" s="504">
        <v>0</v>
      </c>
      <c r="DI147" s="504">
        <v>0</v>
      </c>
      <c r="DJ147" s="504">
        <v>0</v>
      </c>
      <c r="DK147" s="504">
        <v>0</v>
      </c>
      <c r="DL147" s="504">
        <v>0</v>
      </c>
      <c r="DM147" s="504">
        <v>0</v>
      </c>
      <c r="DN147" s="504">
        <v>0</v>
      </c>
      <c r="DO147" s="504">
        <v>0</v>
      </c>
      <c r="DP147" s="504">
        <v>0</v>
      </c>
      <c r="DQ147" s="504">
        <v>0</v>
      </c>
      <c r="DR147" s="504">
        <v>0</v>
      </c>
      <c r="DS147" s="504">
        <v>0</v>
      </c>
      <c r="DT147" s="504">
        <v>0</v>
      </c>
      <c r="DU147" s="504">
        <v>0</v>
      </c>
      <c r="DV147" s="504">
        <v>0</v>
      </c>
      <c r="DW147" s="504">
        <v>0</v>
      </c>
      <c r="DX147" s="504">
        <v>0</v>
      </c>
      <c r="DY147" s="504">
        <v>0</v>
      </c>
      <c r="DZ147" s="504">
        <v>0</v>
      </c>
      <c r="EA147" s="504">
        <v>0</v>
      </c>
      <c r="EB147" s="504">
        <v>0</v>
      </c>
      <c r="EC147" s="504">
        <v>0</v>
      </c>
      <c r="ED147" s="504">
        <v>0</v>
      </c>
      <c r="EE147" s="504">
        <v>0</v>
      </c>
      <c r="EF147" s="504">
        <v>0</v>
      </c>
      <c r="EG147" s="504">
        <v>0</v>
      </c>
      <c r="EH147" s="504">
        <v>0</v>
      </c>
      <c r="EI147" s="504">
        <v>0</v>
      </c>
      <c r="EJ147" s="504">
        <v>0</v>
      </c>
      <c r="EK147" s="504">
        <v>0</v>
      </c>
      <c r="EL147" s="504">
        <v>0</v>
      </c>
      <c r="EM147" s="504">
        <v>0</v>
      </c>
      <c r="EN147" s="504">
        <v>0</v>
      </c>
      <c r="EO147" s="504">
        <v>0</v>
      </c>
      <c r="EP147" s="504">
        <v>0</v>
      </c>
      <c r="EQ147" s="504">
        <v>0</v>
      </c>
      <c r="ER147" s="504">
        <v>0</v>
      </c>
      <c r="ES147" s="504">
        <v>0</v>
      </c>
      <c r="ET147" s="504">
        <v>0</v>
      </c>
      <c r="EU147" s="504">
        <v>0</v>
      </c>
      <c r="EV147" s="504">
        <v>0</v>
      </c>
      <c r="EW147" s="504">
        <v>0</v>
      </c>
      <c r="EX147" s="504">
        <v>0</v>
      </c>
      <c r="EY147" s="504">
        <v>0</v>
      </c>
      <c r="EZ147" s="504">
        <v>0</v>
      </c>
      <c r="FA147" s="504">
        <v>0</v>
      </c>
      <c r="FB147" s="504">
        <v>0</v>
      </c>
      <c r="FC147" s="504">
        <v>0</v>
      </c>
      <c r="FD147" s="504">
        <v>0</v>
      </c>
      <c r="FE147" s="504">
        <v>0</v>
      </c>
      <c r="FF147" s="504">
        <v>0</v>
      </c>
      <c r="FG147" s="504">
        <v>0</v>
      </c>
      <c r="FH147" s="504">
        <v>0</v>
      </c>
      <c r="FI147" s="504">
        <v>0</v>
      </c>
      <c r="FJ147" s="504">
        <v>0</v>
      </c>
      <c r="FK147" s="504">
        <v>0</v>
      </c>
      <c r="FL147" s="504">
        <v>0</v>
      </c>
      <c r="FM147" s="504">
        <v>0</v>
      </c>
      <c r="FN147" s="504">
        <v>0</v>
      </c>
      <c r="FO147" s="504">
        <v>0</v>
      </c>
      <c r="FP147" s="504">
        <v>0</v>
      </c>
      <c r="FQ147" s="504">
        <v>0</v>
      </c>
      <c r="FR147" s="504">
        <v>0</v>
      </c>
      <c r="FS147" s="504">
        <v>0</v>
      </c>
      <c r="FT147" s="504">
        <v>0</v>
      </c>
      <c r="FU147" s="504">
        <v>0</v>
      </c>
      <c r="FV147" s="504">
        <v>0</v>
      </c>
      <c r="FW147" s="504">
        <v>0</v>
      </c>
      <c r="FX147" s="504">
        <v>0</v>
      </c>
      <c r="FY147" s="504">
        <v>0</v>
      </c>
      <c r="FZ147" s="504">
        <v>0</v>
      </c>
      <c r="GA147" s="504">
        <v>0</v>
      </c>
      <c r="GB147" s="504">
        <v>0</v>
      </c>
      <c r="GC147" s="504">
        <v>0</v>
      </c>
      <c r="GD147" s="504">
        <v>0</v>
      </c>
      <c r="GE147" s="504">
        <v>0</v>
      </c>
      <c r="GF147" s="504">
        <v>0</v>
      </c>
      <c r="GG147" s="504">
        <v>0</v>
      </c>
      <c r="GH147" s="504">
        <v>0</v>
      </c>
      <c r="GI147" s="504">
        <v>0</v>
      </c>
      <c r="GJ147" s="504">
        <v>0</v>
      </c>
      <c r="GK147" s="504">
        <v>0</v>
      </c>
      <c r="GL147" s="504">
        <v>0</v>
      </c>
      <c r="GM147" s="504">
        <v>0</v>
      </c>
      <c r="GN147" s="504">
        <v>0</v>
      </c>
      <c r="GO147" s="504">
        <v>0</v>
      </c>
      <c r="GP147" s="504">
        <v>0</v>
      </c>
      <c r="GQ147" s="504">
        <v>0</v>
      </c>
      <c r="GR147" s="504">
        <v>0</v>
      </c>
      <c r="GS147" s="504">
        <v>0</v>
      </c>
      <c r="GT147" s="504">
        <v>0</v>
      </c>
      <c r="GU147" s="504">
        <v>0</v>
      </c>
      <c r="GV147" s="504">
        <v>0</v>
      </c>
      <c r="GW147" s="504">
        <v>0</v>
      </c>
      <c r="GX147" s="504">
        <v>0</v>
      </c>
      <c r="GY147" s="504">
        <v>0</v>
      </c>
      <c r="GZ147" s="504">
        <v>0</v>
      </c>
      <c r="HA147" s="504">
        <v>0</v>
      </c>
      <c r="HB147" s="504">
        <v>0</v>
      </c>
      <c r="HC147" s="504">
        <v>0</v>
      </c>
      <c r="HD147" s="504">
        <v>0</v>
      </c>
      <c r="HE147" s="504">
        <v>0</v>
      </c>
      <c r="HF147" s="504">
        <v>0</v>
      </c>
      <c r="HG147" s="504">
        <v>0</v>
      </c>
      <c r="HH147" s="504">
        <v>0</v>
      </c>
      <c r="HI147" s="504">
        <v>0</v>
      </c>
      <c r="HJ147" s="504">
        <v>0</v>
      </c>
      <c r="HK147" s="504">
        <v>0</v>
      </c>
      <c r="HL147" s="504">
        <v>0</v>
      </c>
      <c r="HM147" s="504">
        <v>0</v>
      </c>
      <c r="HN147" s="504">
        <v>0</v>
      </c>
      <c r="HO147" s="504">
        <v>0</v>
      </c>
      <c r="HP147" s="504">
        <v>0</v>
      </c>
      <c r="HQ147" s="504">
        <v>0</v>
      </c>
      <c r="HR147" s="504">
        <v>0</v>
      </c>
      <c r="HS147" s="504">
        <v>0</v>
      </c>
      <c r="HT147" s="504">
        <v>0</v>
      </c>
      <c r="HU147" s="504">
        <v>0</v>
      </c>
      <c r="HV147" s="504">
        <v>0</v>
      </c>
      <c r="HW147" s="504">
        <v>0</v>
      </c>
      <c r="HX147" s="504">
        <v>0</v>
      </c>
      <c r="HY147" s="504">
        <v>0</v>
      </c>
      <c r="HZ147" s="504">
        <v>0</v>
      </c>
      <c r="IA147" s="504">
        <v>0</v>
      </c>
      <c r="IB147" s="504">
        <v>0</v>
      </c>
      <c r="IC147" s="504">
        <v>0</v>
      </c>
      <c r="ID147" s="504">
        <v>0</v>
      </c>
      <c r="IE147" s="504">
        <v>0</v>
      </c>
      <c r="IF147" s="504">
        <v>0</v>
      </c>
      <c r="IG147" s="504">
        <v>0</v>
      </c>
      <c r="IH147" s="504">
        <v>0</v>
      </c>
      <c r="II147" s="504">
        <v>0</v>
      </c>
      <c r="IJ147" s="504">
        <v>0</v>
      </c>
      <c r="IK147" s="504">
        <v>0</v>
      </c>
      <c r="IL147" s="504">
        <v>0</v>
      </c>
      <c r="IM147" s="504">
        <v>0</v>
      </c>
      <c r="IN147" s="504">
        <v>0</v>
      </c>
      <c r="IO147" s="504">
        <v>0</v>
      </c>
      <c r="IP147" s="504">
        <v>0</v>
      </c>
      <c r="IQ147" s="504">
        <v>0</v>
      </c>
      <c r="IR147" s="504">
        <v>0</v>
      </c>
      <c r="IS147" s="504">
        <v>0</v>
      </c>
      <c r="IT147" s="504">
        <v>0</v>
      </c>
      <c r="IU147" s="504">
        <v>0</v>
      </c>
      <c r="IV147" s="504">
        <v>0</v>
      </c>
      <c r="IW147" s="504">
        <v>0</v>
      </c>
      <c r="IX147" s="504">
        <v>0</v>
      </c>
      <c r="IY147" s="504">
        <v>0</v>
      </c>
      <c r="IZ147" s="504">
        <v>0</v>
      </c>
      <c r="JA147" s="504">
        <v>0</v>
      </c>
      <c r="JB147" s="504">
        <v>0</v>
      </c>
      <c r="JC147" s="504">
        <v>0</v>
      </c>
      <c r="JD147" s="504">
        <v>0</v>
      </c>
      <c r="JE147" s="504">
        <v>0</v>
      </c>
      <c r="JF147" s="504">
        <v>0</v>
      </c>
      <c r="JG147" s="504">
        <v>0</v>
      </c>
      <c r="JH147" s="504">
        <v>0</v>
      </c>
      <c r="JI147" s="504">
        <v>0</v>
      </c>
      <c r="JJ147" s="504">
        <v>0</v>
      </c>
      <c r="JK147" s="504">
        <v>0</v>
      </c>
      <c r="JL147" s="504">
        <v>0</v>
      </c>
      <c r="JM147" s="504">
        <v>0</v>
      </c>
      <c r="JN147" s="504">
        <v>0</v>
      </c>
      <c r="JO147" s="504">
        <v>0</v>
      </c>
      <c r="JP147" s="504">
        <v>0</v>
      </c>
      <c r="JQ147" s="504">
        <v>0</v>
      </c>
      <c r="JR147" s="504">
        <v>0</v>
      </c>
      <c r="JS147" s="504">
        <v>0</v>
      </c>
      <c r="JT147" s="504">
        <v>0</v>
      </c>
      <c r="JU147" s="504">
        <v>0</v>
      </c>
      <c r="JV147" s="504">
        <v>0</v>
      </c>
      <c r="JW147" s="504">
        <v>0</v>
      </c>
      <c r="JX147" s="504">
        <v>0</v>
      </c>
      <c r="JY147" s="504">
        <v>0</v>
      </c>
      <c r="JZ147" s="504">
        <v>0</v>
      </c>
      <c r="KA147" s="504">
        <v>0</v>
      </c>
      <c r="KB147" s="504">
        <v>0</v>
      </c>
      <c r="KC147" s="504">
        <v>0</v>
      </c>
      <c r="KD147" s="504">
        <v>0</v>
      </c>
      <c r="KE147" s="504">
        <v>0</v>
      </c>
      <c r="KF147" s="504">
        <v>0</v>
      </c>
      <c r="KG147" s="504">
        <v>0</v>
      </c>
      <c r="KH147" s="504">
        <v>0</v>
      </c>
      <c r="KI147" s="504">
        <v>0</v>
      </c>
      <c r="KJ147" s="504">
        <v>0</v>
      </c>
      <c r="KK147" s="504">
        <v>0</v>
      </c>
      <c r="KL147" s="504">
        <v>0</v>
      </c>
      <c r="KM147" s="504">
        <v>0</v>
      </c>
      <c r="KN147" s="504">
        <v>0</v>
      </c>
      <c r="KO147" s="504">
        <v>0</v>
      </c>
      <c r="KP147" s="504">
        <v>0</v>
      </c>
      <c r="KQ147" s="504">
        <v>0</v>
      </c>
      <c r="KR147" s="504">
        <v>0</v>
      </c>
      <c r="KS147" s="504">
        <v>0</v>
      </c>
      <c r="KT147" s="504">
        <v>0</v>
      </c>
      <c r="KU147" s="504">
        <v>0</v>
      </c>
      <c r="KV147" s="504">
        <v>0</v>
      </c>
      <c r="KW147" s="504">
        <v>0</v>
      </c>
      <c r="KX147" s="504">
        <v>0</v>
      </c>
      <c r="KY147" s="504">
        <v>0</v>
      </c>
      <c r="KZ147" s="504">
        <v>0</v>
      </c>
      <c r="LA147" s="504">
        <v>0</v>
      </c>
      <c r="LB147" s="504">
        <v>0</v>
      </c>
      <c r="LC147" s="504">
        <v>0</v>
      </c>
      <c r="LD147" s="504">
        <v>0</v>
      </c>
      <c r="LE147" s="504">
        <v>0</v>
      </c>
      <c r="LF147" s="504">
        <v>0</v>
      </c>
      <c r="LG147" s="504">
        <v>0</v>
      </c>
      <c r="LH147" s="504">
        <v>0</v>
      </c>
      <c r="LI147" s="504">
        <v>0</v>
      </c>
      <c r="LJ147" s="504">
        <v>0</v>
      </c>
      <c r="LK147" s="504">
        <v>0</v>
      </c>
      <c r="LL147" s="504">
        <v>0</v>
      </c>
      <c r="LM147" s="504">
        <v>0</v>
      </c>
      <c r="LN147" s="504">
        <v>0</v>
      </c>
      <c r="LO147" s="504">
        <v>0</v>
      </c>
      <c r="LP147" s="504">
        <v>0</v>
      </c>
      <c r="LQ147" s="504">
        <v>0</v>
      </c>
      <c r="LR147" s="504">
        <v>0</v>
      </c>
      <c r="LS147" s="504">
        <v>0</v>
      </c>
      <c r="LT147" s="504">
        <v>0</v>
      </c>
      <c r="LU147" s="504">
        <v>0</v>
      </c>
      <c r="LV147" s="504">
        <v>0</v>
      </c>
      <c r="LW147" s="504">
        <v>0</v>
      </c>
      <c r="LX147" s="504">
        <v>0</v>
      </c>
      <c r="LY147" s="504">
        <v>0</v>
      </c>
      <c r="LZ147" s="504">
        <v>0</v>
      </c>
      <c r="MA147" s="504">
        <v>0</v>
      </c>
      <c r="MB147" s="504">
        <v>0</v>
      </c>
      <c r="MC147" s="504">
        <v>0</v>
      </c>
      <c r="MD147" s="504">
        <v>0</v>
      </c>
      <c r="ME147" s="504">
        <v>0</v>
      </c>
      <c r="MF147" s="504">
        <v>0</v>
      </c>
      <c r="MG147" s="504">
        <v>0</v>
      </c>
      <c r="MH147" s="504">
        <v>0</v>
      </c>
      <c r="MI147" s="504">
        <v>0</v>
      </c>
      <c r="MJ147" s="504">
        <v>0</v>
      </c>
      <c r="MK147" s="504">
        <v>0</v>
      </c>
      <c r="ML147" s="504">
        <v>0</v>
      </c>
      <c r="MM147" s="504">
        <v>0</v>
      </c>
      <c r="MN147" s="504">
        <v>0</v>
      </c>
      <c r="MO147" s="504">
        <v>0</v>
      </c>
      <c r="MP147" s="504">
        <v>0</v>
      </c>
      <c r="MQ147" s="504">
        <v>0</v>
      </c>
      <c r="MR147" s="504">
        <v>0</v>
      </c>
      <c r="MS147" s="504">
        <v>0</v>
      </c>
      <c r="MT147" s="504">
        <v>0</v>
      </c>
      <c r="MU147" s="504">
        <v>0</v>
      </c>
      <c r="MV147" s="504">
        <v>0</v>
      </c>
      <c r="MW147" s="504">
        <v>0</v>
      </c>
      <c r="MX147" s="504">
        <v>0</v>
      </c>
      <c r="MY147" s="504">
        <v>0</v>
      </c>
      <c r="MZ147" s="504">
        <v>0</v>
      </c>
      <c r="NA147" s="504">
        <v>0</v>
      </c>
      <c r="NB147" s="504">
        <v>0</v>
      </c>
      <c r="NC147" s="504">
        <v>0</v>
      </c>
      <c r="ND147" s="504">
        <v>0</v>
      </c>
      <c r="NE147" s="504">
        <v>0</v>
      </c>
      <c r="NF147" s="504">
        <v>0</v>
      </c>
      <c r="NG147" s="504">
        <v>0</v>
      </c>
      <c r="NH147" s="504">
        <v>0</v>
      </c>
      <c r="NI147" s="504">
        <v>0</v>
      </c>
      <c r="NJ147" s="504">
        <v>0</v>
      </c>
      <c r="NK147" s="504">
        <v>0</v>
      </c>
      <c r="NL147" s="504">
        <v>0</v>
      </c>
      <c r="NM147" s="504">
        <v>0</v>
      </c>
      <c r="NN147" s="504">
        <v>0</v>
      </c>
      <c r="NO147" s="504">
        <v>0</v>
      </c>
      <c r="NP147" s="504">
        <v>0</v>
      </c>
      <c r="NQ147" s="504">
        <v>0</v>
      </c>
      <c r="NR147" s="504">
        <v>0</v>
      </c>
      <c r="NS147" s="504">
        <v>0</v>
      </c>
      <c r="NT147" s="504">
        <v>0</v>
      </c>
      <c r="NU147" s="504">
        <v>0</v>
      </c>
      <c r="NV147" s="504">
        <v>0</v>
      </c>
      <c r="NW147" s="504">
        <v>0</v>
      </c>
      <c r="NX147" s="504">
        <v>0</v>
      </c>
      <c r="NY147" s="504">
        <v>0</v>
      </c>
      <c r="NZ147" s="504">
        <v>0</v>
      </c>
      <c r="OA147" s="504">
        <v>0</v>
      </c>
      <c r="OB147" s="504">
        <v>0</v>
      </c>
      <c r="OC147" s="504">
        <v>0</v>
      </c>
      <c r="OD147" s="504">
        <v>0</v>
      </c>
      <c r="OE147" s="504">
        <v>0</v>
      </c>
      <c r="OF147" s="504">
        <v>0</v>
      </c>
      <c r="OG147" s="504">
        <v>0</v>
      </c>
      <c r="OH147" s="504">
        <v>0</v>
      </c>
      <c r="OI147" s="504">
        <v>0</v>
      </c>
      <c r="OJ147" s="504">
        <v>0</v>
      </c>
      <c r="OK147" s="504">
        <v>0</v>
      </c>
      <c r="OL147" s="504">
        <v>0</v>
      </c>
      <c r="OM147" s="504">
        <v>0</v>
      </c>
      <c r="ON147" s="494"/>
    </row>
    <row r="148" spans="1:404" ht="18.75" customHeight="1" x14ac:dyDescent="0.4">
      <c r="A148" s="511" t="s">
        <v>418</v>
      </c>
      <c r="B148" s="512">
        <v>218</v>
      </c>
      <c r="C148" s="511" t="s">
        <v>60</v>
      </c>
      <c r="D148" s="501">
        <v>45.34</v>
      </c>
      <c r="E148" s="502">
        <v>10624</v>
      </c>
      <c r="F148" s="501">
        <v>45.33</v>
      </c>
      <c r="G148" s="502">
        <v>4344</v>
      </c>
      <c r="H148" s="501">
        <v>45.33</v>
      </c>
      <c r="I148" s="502">
        <v>11740</v>
      </c>
      <c r="J148" s="501">
        <v>45.33</v>
      </c>
      <c r="K148" s="502">
        <v>12824</v>
      </c>
      <c r="V148" s="501"/>
      <c r="W148" s="503"/>
      <c r="X148" s="501"/>
      <c r="Y148" s="503"/>
      <c r="Z148" s="501"/>
      <c r="AA148" s="503"/>
      <c r="AB148" s="495"/>
      <c r="AC148" s="504">
        <v>0</v>
      </c>
      <c r="AD148" s="504">
        <v>0</v>
      </c>
      <c r="AE148" s="504">
        <v>0</v>
      </c>
      <c r="AF148" s="504">
        <v>0</v>
      </c>
      <c r="AG148" s="504">
        <v>0</v>
      </c>
      <c r="AH148" s="504">
        <v>0</v>
      </c>
      <c r="AI148" s="504">
        <v>0</v>
      </c>
      <c r="AJ148" s="504">
        <v>0</v>
      </c>
      <c r="AK148" s="504">
        <v>0</v>
      </c>
      <c r="AL148" s="504">
        <v>0</v>
      </c>
      <c r="AM148" s="504">
        <v>0</v>
      </c>
      <c r="AN148" s="504">
        <v>0</v>
      </c>
      <c r="AO148" s="504">
        <v>0</v>
      </c>
      <c r="AP148" s="504">
        <v>0</v>
      </c>
      <c r="AQ148" s="504">
        <v>0</v>
      </c>
      <c r="AR148" s="504">
        <v>0</v>
      </c>
      <c r="AS148" s="504">
        <v>0</v>
      </c>
      <c r="AT148" s="504">
        <v>0</v>
      </c>
      <c r="AU148" s="504">
        <v>0</v>
      </c>
      <c r="AV148" s="504">
        <v>0</v>
      </c>
      <c r="AW148" s="504">
        <v>0</v>
      </c>
      <c r="AX148" s="504">
        <v>0</v>
      </c>
      <c r="AY148" s="504">
        <v>0</v>
      </c>
      <c r="AZ148" s="504">
        <v>0</v>
      </c>
      <c r="BA148" s="504">
        <v>0</v>
      </c>
      <c r="BB148" s="504">
        <v>0</v>
      </c>
      <c r="BC148" s="504">
        <v>0</v>
      </c>
      <c r="BD148" s="504">
        <v>0</v>
      </c>
      <c r="BE148" s="504">
        <v>0</v>
      </c>
      <c r="BF148" s="504">
        <v>0</v>
      </c>
      <c r="BG148" s="504">
        <v>0</v>
      </c>
      <c r="BH148" s="504">
        <v>0</v>
      </c>
      <c r="BI148" s="504">
        <v>0</v>
      </c>
      <c r="BJ148" s="504">
        <v>0</v>
      </c>
      <c r="BK148" s="504">
        <v>0</v>
      </c>
      <c r="BL148" s="504">
        <v>0</v>
      </c>
      <c r="BM148" s="504">
        <v>0</v>
      </c>
      <c r="BN148" s="504">
        <v>0</v>
      </c>
      <c r="BO148" s="504">
        <v>0</v>
      </c>
      <c r="BP148" s="504">
        <v>0</v>
      </c>
      <c r="BQ148" s="504">
        <v>0</v>
      </c>
      <c r="BR148" s="504">
        <v>0</v>
      </c>
      <c r="BS148" s="504">
        <v>0</v>
      </c>
      <c r="BT148" s="504">
        <v>0</v>
      </c>
      <c r="BU148" s="504">
        <v>0</v>
      </c>
      <c r="BV148" s="504">
        <v>0</v>
      </c>
      <c r="BW148" s="504">
        <v>0</v>
      </c>
      <c r="BX148" s="504">
        <v>0</v>
      </c>
      <c r="BY148" s="504">
        <v>0</v>
      </c>
      <c r="BZ148" s="504">
        <v>0</v>
      </c>
      <c r="CA148" s="504">
        <v>0</v>
      </c>
      <c r="CB148" s="504">
        <v>0</v>
      </c>
      <c r="CC148" s="504">
        <v>0</v>
      </c>
      <c r="CD148" s="504">
        <v>0</v>
      </c>
      <c r="CE148" s="504">
        <v>0</v>
      </c>
      <c r="CF148" s="504">
        <v>0</v>
      </c>
      <c r="CG148" s="504">
        <v>0</v>
      </c>
      <c r="CH148" s="504">
        <v>0</v>
      </c>
      <c r="CI148" s="504">
        <v>0</v>
      </c>
      <c r="CJ148" s="504">
        <v>0</v>
      </c>
      <c r="CK148" s="504">
        <v>0</v>
      </c>
      <c r="CL148" s="504">
        <v>0</v>
      </c>
      <c r="CM148" s="504">
        <v>0</v>
      </c>
      <c r="CN148" s="504">
        <v>0</v>
      </c>
      <c r="CO148" s="504">
        <v>0</v>
      </c>
      <c r="CP148" s="504">
        <v>0</v>
      </c>
      <c r="CQ148" s="504">
        <v>0</v>
      </c>
      <c r="CR148" s="504">
        <v>0</v>
      </c>
      <c r="CS148" s="504">
        <v>0</v>
      </c>
      <c r="CT148" s="504">
        <v>0</v>
      </c>
      <c r="CU148" s="504">
        <v>0</v>
      </c>
      <c r="CV148" s="504">
        <v>0</v>
      </c>
      <c r="CW148" s="504">
        <v>0</v>
      </c>
      <c r="CX148" s="504">
        <v>0</v>
      </c>
      <c r="CY148" s="504">
        <v>0</v>
      </c>
      <c r="CZ148" s="504">
        <v>0</v>
      </c>
      <c r="DA148" s="504">
        <v>0</v>
      </c>
      <c r="DB148" s="504">
        <v>0</v>
      </c>
      <c r="DC148" s="504">
        <v>0</v>
      </c>
      <c r="DD148" s="504">
        <v>0</v>
      </c>
      <c r="DE148" s="504">
        <v>0</v>
      </c>
      <c r="DF148" s="504">
        <v>0</v>
      </c>
      <c r="DG148" s="504">
        <v>0</v>
      </c>
      <c r="DH148" s="504">
        <v>0</v>
      </c>
      <c r="DI148" s="504">
        <v>0</v>
      </c>
      <c r="DJ148" s="504">
        <v>0</v>
      </c>
      <c r="DK148" s="504">
        <v>0</v>
      </c>
      <c r="DL148" s="504">
        <v>0</v>
      </c>
      <c r="DM148" s="504">
        <v>0</v>
      </c>
      <c r="DN148" s="504">
        <v>0</v>
      </c>
      <c r="DO148" s="504">
        <v>0</v>
      </c>
      <c r="DP148" s="504">
        <v>0</v>
      </c>
      <c r="DQ148" s="504">
        <v>0</v>
      </c>
      <c r="DR148" s="504">
        <v>0</v>
      </c>
      <c r="DS148" s="504">
        <v>0</v>
      </c>
      <c r="DT148" s="504">
        <v>0</v>
      </c>
      <c r="DU148" s="504">
        <v>0</v>
      </c>
      <c r="DV148" s="504">
        <v>0</v>
      </c>
      <c r="DW148" s="504">
        <v>0</v>
      </c>
      <c r="DX148" s="504">
        <v>0</v>
      </c>
      <c r="DY148" s="504">
        <v>0</v>
      </c>
      <c r="DZ148" s="504">
        <v>0</v>
      </c>
      <c r="EA148" s="504">
        <v>0</v>
      </c>
      <c r="EB148" s="504">
        <v>0</v>
      </c>
      <c r="EC148" s="504">
        <v>0</v>
      </c>
      <c r="ED148" s="504">
        <v>0</v>
      </c>
      <c r="EE148" s="504">
        <v>0</v>
      </c>
      <c r="EF148" s="504">
        <v>0</v>
      </c>
      <c r="EG148" s="504">
        <v>0</v>
      </c>
      <c r="EH148" s="504">
        <v>0</v>
      </c>
      <c r="EI148" s="504">
        <v>0</v>
      </c>
      <c r="EJ148" s="504">
        <v>0</v>
      </c>
      <c r="EK148" s="504">
        <v>0</v>
      </c>
      <c r="EL148" s="504">
        <v>0</v>
      </c>
      <c r="EM148" s="504">
        <v>0</v>
      </c>
      <c r="EN148" s="504">
        <v>0</v>
      </c>
      <c r="EO148" s="504">
        <v>0</v>
      </c>
      <c r="EP148" s="504">
        <v>0</v>
      </c>
      <c r="EQ148" s="504">
        <v>0</v>
      </c>
      <c r="ER148" s="504">
        <v>0</v>
      </c>
      <c r="ES148" s="504">
        <v>0</v>
      </c>
      <c r="ET148" s="504">
        <v>0</v>
      </c>
      <c r="EU148" s="504">
        <v>0</v>
      </c>
      <c r="EV148" s="504">
        <v>0</v>
      </c>
      <c r="EW148" s="504">
        <v>0</v>
      </c>
      <c r="EX148" s="504">
        <v>0</v>
      </c>
      <c r="EY148" s="504">
        <v>0</v>
      </c>
      <c r="EZ148" s="504">
        <v>0</v>
      </c>
      <c r="FA148" s="504">
        <v>0</v>
      </c>
      <c r="FB148" s="504">
        <v>0</v>
      </c>
      <c r="FC148" s="504">
        <v>0</v>
      </c>
      <c r="FD148" s="504">
        <v>0</v>
      </c>
      <c r="FE148" s="504">
        <v>0</v>
      </c>
      <c r="FF148" s="504">
        <v>0</v>
      </c>
      <c r="FG148" s="504">
        <v>0</v>
      </c>
      <c r="FH148" s="504">
        <v>0</v>
      </c>
      <c r="FI148" s="504">
        <v>0</v>
      </c>
      <c r="FJ148" s="504">
        <v>0</v>
      </c>
      <c r="FK148" s="504">
        <v>0</v>
      </c>
      <c r="FL148" s="504">
        <v>0</v>
      </c>
      <c r="FM148" s="504">
        <v>0</v>
      </c>
      <c r="FN148" s="504">
        <v>0</v>
      </c>
      <c r="FO148" s="504">
        <v>0</v>
      </c>
      <c r="FP148" s="504">
        <v>0</v>
      </c>
      <c r="FQ148" s="504">
        <v>0</v>
      </c>
      <c r="FR148" s="504">
        <v>0</v>
      </c>
      <c r="FS148" s="504">
        <v>0</v>
      </c>
      <c r="FT148" s="504">
        <v>0</v>
      </c>
      <c r="FU148" s="504">
        <v>0</v>
      </c>
      <c r="FV148" s="504">
        <v>0</v>
      </c>
      <c r="FW148" s="504">
        <v>0</v>
      </c>
      <c r="FX148" s="504">
        <v>0</v>
      </c>
      <c r="FY148" s="504">
        <v>0</v>
      </c>
      <c r="FZ148" s="504">
        <v>0</v>
      </c>
      <c r="GA148" s="504">
        <v>0</v>
      </c>
      <c r="GB148" s="504">
        <v>0</v>
      </c>
      <c r="GC148" s="504">
        <v>0</v>
      </c>
      <c r="GD148" s="504">
        <v>0</v>
      </c>
      <c r="GE148" s="504">
        <v>0</v>
      </c>
      <c r="GF148" s="504">
        <v>0</v>
      </c>
      <c r="GG148" s="504">
        <v>0</v>
      </c>
      <c r="GH148" s="504">
        <v>0</v>
      </c>
      <c r="GI148" s="504">
        <v>0</v>
      </c>
      <c r="GJ148" s="504">
        <v>0</v>
      </c>
      <c r="GK148" s="504">
        <v>0</v>
      </c>
      <c r="GL148" s="504">
        <v>0</v>
      </c>
      <c r="GM148" s="504">
        <v>0</v>
      </c>
      <c r="GN148" s="504">
        <v>0</v>
      </c>
      <c r="GO148" s="504">
        <v>0</v>
      </c>
      <c r="GP148" s="504">
        <v>0</v>
      </c>
      <c r="GQ148" s="504">
        <v>0</v>
      </c>
      <c r="GR148" s="504">
        <v>0</v>
      </c>
      <c r="GS148" s="504">
        <v>0</v>
      </c>
      <c r="GT148" s="504">
        <v>0</v>
      </c>
      <c r="GU148" s="504">
        <v>0</v>
      </c>
      <c r="GV148" s="504">
        <v>0</v>
      </c>
      <c r="GW148" s="504">
        <v>0</v>
      </c>
      <c r="GX148" s="504">
        <v>0</v>
      </c>
      <c r="GY148" s="504">
        <v>0</v>
      </c>
      <c r="GZ148" s="504">
        <v>0</v>
      </c>
      <c r="HA148" s="504">
        <v>0</v>
      </c>
      <c r="HB148" s="504">
        <v>0</v>
      </c>
      <c r="HC148" s="504">
        <v>0</v>
      </c>
      <c r="HD148" s="504">
        <v>0</v>
      </c>
      <c r="HE148" s="504">
        <v>0</v>
      </c>
      <c r="HF148" s="504">
        <v>0</v>
      </c>
      <c r="HG148" s="504">
        <v>0</v>
      </c>
      <c r="HH148" s="504">
        <v>0</v>
      </c>
      <c r="HI148" s="504">
        <v>0</v>
      </c>
      <c r="HJ148" s="504">
        <v>0</v>
      </c>
      <c r="HK148" s="504">
        <v>0</v>
      </c>
      <c r="HL148" s="504">
        <v>0</v>
      </c>
      <c r="HM148" s="504">
        <v>0</v>
      </c>
      <c r="HN148" s="504">
        <v>0</v>
      </c>
      <c r="HO148" s="504">
        <v>0</v>
      </c>
      <c r="HP148" s="504">
        <v>0</v>
      </c>
      <c r="HQ148" s="504">
        <v>0</v>
      </c>
      <c r="HR148" s="504">
        <v>0</v>
      </c>
      <c r="HS148" s="504">
        <v>0</v>
      </c>
      <c r="HT148" s="504">
        <v>0</v>
      </c>
      <c r="HU148" s="504">
        <v>0</v>
      </c>
      <c r="HV148" s="504">
        <v>0</v>
      </c>
      <c r="HW148" s="504">
        <v>0</v>
      </c>
      <c r="HX148" s="504">
        <v>0</v>
      </c>
      <c r="HY148" s="504">
        <v>0</v>
      </c>
      <c r="HZ148" s="504">
        <v>0</v>
      </c>
      <c r="IA148" s="504">
        <v>0</v>
      </c>
      <c r="IB148" s="504">
        <v>0</v>
      </c>
      <c r="IC148" s="504">
        <v>0</v>
      </c>
      <c r="ID148" s="504">
        <v>0</v>
      </c>
      <c r="IE148" s="504">
        <v>0</v>
      </c>
      <c r="IF148" s="504">
        <v>0</v>
      </c>
      <c r="IG148" s="504">
        <v>0</v>
      </c>
      <c r="IH148" s="504">
        <v>0</v>
      </c>
      <c r="II148" s="504">
        <v>0</v>
      </c>
      <c r="IJ148" s="504">
        <v>0</v>
      </c>
      <c r="IK148" s="504">
        <v>0</v>
      </c>
      <c r="IL148" s="504">
        <v>0</v>
      </c>
      <c r="IM148" s="504">
        <v>0</v>
      </c>
      <c r="IN148" s="504">
        <v>0</v>
      </c>
      <c r="IO148" s="504">
        <v>0</v>
      </c>
      <c r="IP148" s="504">
        <v>0</v>
      </c>
      <c r="IQ148" s="504">
        <v>0</v>
      </c>
      <c r="IR148" s="504">
        <v>0</v>
      </c>
      <c r="IS148" s="504">
        <v>0</v>
      </c>
      <c r="IT148" s="504">
        <v>0</v>
      </c>
      <c r="IU148" s="504">
        <v>0</v>
      </c>
      <c r="IV148" s="504">
        <v>0</v>
      </c>
      <c r="IW148" s="504">
        <v>0</v>
      </c>
      <c r="IX148" s="504">
        <v>0</v>
      </c>
      <c r="IY148" s="504">
        <v>0</v>
      </c>
      <c r="IZ148" s="504">
        <v>0</v>
      </c>
      <c r="JA148" s="504">
        <v>0</v>
      </c>
      <c r="JB148" s="504">
        <v>0</v>
      </c>
      <c r="JC148" s="504">
        <v>0</v>
      </c>
      <c r="JD148" s="504">
        <v>0</v>
      </c>
      <c r="JE148" s="504">
        <v>0</v>
      </c>
      <c r="JF148" s="504">
        <v>0</v>
      </c>
      <c r="JG148" s="504">
        <v>0</v>
      </c>
      <c r="JH148" s="504">
        <v>0</v>
      </c>
      <c r="JI148" s="504">
        <v>0</v>
      </c>
      <c r="JJ148" s="504">
        <v>0</v>
      </c>
      <c r="JK148" s="504">
        <v>0</v>
      </c>
      <c r="JL148" s="504">
        <v>0</v>
      </c>
      <c r="JM148" s="504">
        <v>0</v>
      </c>
      <c r="JN148" s="504">
        <v>0</v>
      </c>
      <c r="JO148" s="504">
        <v>0</v>
      </c>
      <c r="JP148" s="504">
        <v>0</v>
      </c>
      <c r="JQ148" s="504">
        <v>0</v>
      </c>
      <c r="JR148" s="504">
        <v>0</v>
      </c>
      <c r="JS148" s="504">
        <v>0</v>
      </c>
      <c r="JT148" s="504">
        <v>0</v>
      </c>
      <c r="JU148" s="504">
        <v>0</v>
      </c>
      <c r="JV148" s="504">
        <v>0</v>
      </c>
      <c r="JW148" s="504">
        <v>0</v>
      </c>
      <c r="JX148" s="504">
        <v>0</v>
      </c>
      <c r="JY148" s="504">
        <v>0</v>
      </c>
      <c r="JZ148" s="504">
        <v>0</v>
      </c>
      <c r="KA148" s="504">
        <v>0</v>
      </c>
      <c r="KB148" s="504">
        <v>0</v>
      </c>
      <c r="KC148" s="504">
        <v>0</v>
      </c>
      <c r="KD148" s="504">
        <v>0</v>
      </c>
      <c r="KE148" s="504">
        <v>0</v>
      </c>
      <c r="KF148" s="504">
        <v>0</v>
      </c>
      <c r="KG148" s="504">
        <v>0</v>
      </c>
      <c r="KH148" s="504">
        <v>0</v>
      </c>
      <c r="KI148" s="504">
        <v>0</v>
      </c>
      <c r="KJ148" s="504">
        <v>0</v>
      </c>
      <c r="KK148" s="504">
        <v>0</v>
      </c>
      <c r="KL148" s="504">
        <v>0</v>
      </c>
      <c r="KM148" s="504">
        <v>0</v>
      </c>
      <c r="KN148" s="504">
        <v>0</v>
      </c>
      <c r="KO148" s="504">
        <v>0</v>
      </c>
      <c r="KP148" s="504">
        <v>0</v>
      </c>
      <c r="KQ148" s="504">
        <v>0</v>
      </c>
      <c r="KR148" s="504">
        <v>0</v>
      </c>
      <c r="KS148" s="504">
        <v>0</v>
      </c>
      <c r="KT148" s="504">
        <v>0</v>
      </c>
      <c r="KU148" s="504">
        <v>0</v>
      </c>
      <c r="KV148" s="504">
        <v>0</v>
      </c>
      <c r="KW148" s="504">
        <v>0</v>
      </c>
      <c r="KX148" s="504">
        <v>0</v>
      </c>
      <c r="KY148" s="504">
        <v>0</v>
      </c>
      <c r="KZ148" s="504">
        <v>0</v>
      </c>
      <c r="LA148" s="504">
        <v>0</v>
      </c>
      <c r="LB148" s="504">
        <v>0</v>
      </c>
      <c r="LC148" s="504">
        <v>0</v>
      </c>
      <c r="LD148" s="504">
        <v>0</v>
      </c>
      <c r="LE148" s="504">
        <v>0</v>
      </c>
      <c r="LF148" s="504">
        <v>0</v>
      </c>
      <c r="LG148" s="504">
        <v>0</v>
      </c>
      <c r="LH148" s="504">
        <v>0</v>
      </c>
      <c r="LI148" s="504">
        <v>0</v>
      </c>
      <c r="LJ148" s="504">
        <v>0</v>
      </c>
      <c r="LK148" s="504">
        <v>0</v>
      </c>
      <c r="LL148" s="504">
        <v>0</v>
      </c>
      <c r="LM148" s="504">
        <v>0</v>
      </c>
      <c r="LN148" s="504">
        <v>0</v>
      </c>
      <c r="LO148" s="504">
        <v>0</v>
      </c>
      <c r="LP148" s="504">
        <v>0</v>
      </c>
      <c r="LQ148" s="504">
        <v>0</v>
      </c>
      <c r="LR148" s="504">
        <v>0</v>
      </c>
      <c r="LS148" s="504">
        <v>0</v>
      </c>
      <c r="LT148" s="504">
        <v>0</v>
      </c>
      <c r="LU148" s="504">
        <v>0</v>
      </c>
      <c r="LV148" s="504">
        <v>0</v>
      </c>
      <c r="LW148" s="504">
        <v>0</v>
      </c>
      <c r="LX148" s="504">
        <v>0</v>
      </c>
      <c r="LY148" s="504">
        <v>0</v>
      </c>
      <c r="LZ148" s="504">
        <v>0</v>
      </c>
      <c r="MA148" s="504">
        <v>0</v>
      </c>
      <c r="MB148" s="504">
        <v>0</v>
      </c>
      <c r="MC148" s="504">
        <v>0</v>
      </c>
      <c r="MD148" s="504">
        <v>0</v>
      </c>
      <c r="ME148" s="504">
        <v>0</v>
      </c>
      <c r="MF148" s="504">
        <v>0</v>
      </c>
      <c r="MG148" s="504">
        <v>0</v>
      </c>
      <c r="MH148" s="504">
        <v>0</v>
      </c>
      <c r="MI148" s="504">
        <v>0</v>
      </c>
      <c r="MJ148" s="504">
        <v>0</v>
      </c>
      <c r="MK148" s="504">
        <v>0</v>
      </c>
      <c r="ML148" s="504">
        <v>0</v>
      </c>
      <c r="MM148" s="504">
        <v>0</v>
      </c>
      <c r="MN148" s="504">
        <v>0</v>
      </c>
      <c r="MO148" s="504">
        <v>0</v>
      </c>
      <c r="MP148" s="504">
        <v>0</v>
      </c>
      <c r="MQ148" s="504">
        <v>0</v>
      </c>
      <c r="MR148" s="504">
        <v>0</v>
      </c>
      <c r="MS148" s="504">
        <v>0</v>
      </c>
      <c r="MT148" s="504">
        <v>0</v>
      </c>
      <c r="MU148" s="504">
        <v>0</v>
      </c>
      <c r="MV148" s="504">
        <v>0</v>
      </c>
      <c r="MW148" s="504">
        <v>0</v>
      </c>
      <c r="MX148" s="504">
        <v>0</v>
      </c>
      <c r="MY148" s="504">
        <v>0</v>
      </c>
      <c r="MZ148" s="504">
        <v>0</v>
      </c>
      <c r="NA148" s="504">
        <v>0</v>
      </c>
      <c r="NB148" s="504">
        <v>0</v>
      </c>
      <c r="NC148" s="504">
        <v>0</v>
      </c>
      <c r="ND148" s="504">
        <v>0</v>
      </c>
      <c r="NE148" s="504">
        <v>0</v>
      </c>
      <c r="NF148" s="504">
        <v>0</v>
      </c>
      <c r="NG148" s="504">
        <v>0</v>
      </c>
      <c r="NH148" s="504">
        <v>0</v>
      </c>
      <c r="NI148" s="504">
        <v>0</v>
      </c>
      <c r="NJ148" s="504">
        <v>0</v>
      </c>
      <c r="NK148" s="504">
        <v>0</v>
      </c>
      <c r="NL148" s="504">
        <v>0</v>
      </c>
      <c r="NM148" s="504">
        <v>0</v>
      </c>
      <c r="NN148" s="504">
        <v>0</v>
      </c>
      <c r="NO148" s="504">
        <v>0</v>
      </c>
      <c r="NP148" s="504">
        <v>0</v>
      </c>
      <c r="NQ148" s="504">
        <v>0</v>
      </c>
      <c r="NR148" s="504">
        <v>0</v>
      </c>
      <c r="NS148" s="504">
        <v>0</v>
      </c>
      <c r="NT148" s="504">
        <v>0</v>
      </c>
      <c r="NU148" s="504">
        <v>0</v>
      </c>
      <c r="NV148" s="504">
        <v>0</v>
      </c>
      <c r="NW148" s="504">
        <v>0</v>
      </c>
      <c r="NX148" s="504">
        <v>0</v>
      </c>
      <c r="NY148" s="504">
        <v>0</v>
      </c>
      <c r="NZ148" s="504">
        <v>0</v>
      </c>
      <c r="OA148" s="504">
        <v>0</v>
      </c>
      <c r="OB148" s="504">
        <v>0</v>
      </c>
      <c r="OC148" s="504">
        <v>0</v>
      </c>
      <c r="OD148" s="504">
        <v>0</v>
      </c>
      <c r="OE148" s="504">
        <v>0</v>
      </c>
      <c r="OF148" s="504">
        <v>0</v>
      </c>
      <c r="OG148" s="504">
        <v>0</v>
      </c>
      <c r="OH148" s="504">
        <v>0</v>
      </c>
      <c r="OI148" s="504">
        <v>0</v>
      </c>
      <c r="OJ148" s="504">
        <v>0</v>
      </c>
      <c r="OK148" s="504">
        <v>0</v>
      </c>
      <c r="OL148" s="504">
        <v>0</v>
      </c>
      <c r="OM148" s="504">
        <v>0</v>
      </c>
      <c r="ON148" s="494"/>
    </row>
    <row r="149" spans="1:404" ht="18.75" customHeight="1" x14ac:dyDescent="0.4">
      <c r="A149" s="511" t="s">
        <v>419</v>
      </c>
      <c r="B149" s="512">
        <v>217</v>
      </c>
      <c r="C149" s="511" t="s">
        <v>60</v>
      </c>
      <c r="D149" s="501">
        <v>45.69</v>
      </c>
      <c r="E149" s="502">
        <v>7974</v>
      </c>
      <c r="F149" s="501">
        <v>45.67</v>
      </c>
      <c r="G149" s="502">
        <v>2612</v>
      </c>
      <c r="H149" s="501">
        <v>45.68</v>
      </c>
      <c r="I149" s="502">
        <v>7175</v>
      </c>
      <c r="J149" s="501">
        <v>45.68</v>
      </c>
      <c r="K149" s="502">
        <v>7830</v>
      </c>
      <c r="V149" s="501"/>
      <c r="W149" s="503"/>
      <c r="X149" s="501"/>
      <c r="Y149" s="503"/>
      <c r="Z149" s="501"/>
      <c r="AA149" s="503"/>
      <c r="AB149" s="495"/>
      <c r="AC149" s="504">
        <v>0</v>
      </c>
      <c r="AD149" s="504">
        <v>0</v>
      </c>
      <c r="AE149" s="504">
        <v>0</v>
      </c>
      <c r="AF149" s="504">
        <v>0</v>
      </c>
      <c r="AG149" s="504">
        <v>0</v>
      </c>
      <c r="AH149" s="504">
        <v>0</v>
      </c>
      <c r="AI149" s="504">
        <v>0</v>
      </c>
      <c r="AJ149" s="504">
        <v>0</v>
      </c>
      <c r="AK149" s="504">
        <v>0</v>
      </c>
      <c r="AL149" s="504">
        <v>0</v>
      </c>
      <c r="AM149" s="504">
        <v>0</v>
      </c>
      <c r="AN149" s="504">
        <v>0</v>
      </c>
      <c r="AO149" s="504">
        <v>0</v>
      </c>
      <c r="AP149" s="504">
        <v>0</v>
      </c>
      <c r="AQ149" s="504">
        <v>0</v>
      </c>
      <c r="AR149" s="504">
        <v>0</v>
      </c>
      <c r="AS149" s="504">
        <v>0</v>
      </c>
      <c r="AT149" s="504">
        <v>0</v>
      </c>
      <c r="AU149" s="504">
        <v>0</v>
      </c>
      <c r="AV149" s="504">
        <v>0</v>
      </c>
      <c r="AW149" s="504">
        <v>0</v>
      </c>
      <c r="AX149" s="504">
        <v>0</v>
      </c>
      <c r="AY149" s="504">
        <v>0</v>
      </c>
      <c r="AZ149" s="504">
        <v>0</v>
      </c>
      <c r="BA149" s="504">
        <v>0</v>
      </c>
      <c r="BB149" s="504">
        <v>0</v>
      </c>
      <c r="BC149" s="504">
        <v>0</v>
      </c>
      <c r="BD149" s="504">
        <v>0</v>
      </c>
      <c r="BE149" s="504">
        <v>0</v>
      </c>
      <c r="BF149" s="504">
        <v>0</v>
      </c>
      <c r="BG149" s="504">
        <v>0</v>
      </c>
      <c r="BH149" s="504">
        <v>0</v>
      </c>
      <c r="BI149" s="504">
        <v>0</v>
      </c>
      <c r="BJ149" s="504">
        <v>0</v>
      </c>
      <c r="BK149" s="504">
        <v>0</v>
      </c>
      <c r="BL149" s="504">
        <v>0</v>
      </c>
      <c r="BM149" s="504">
        <v>0</v>
      </c>
      <c r="BN149" s="504">
        <v>0</v>
      </c>
      <c r="BO149" s="504">
        <v>0</v>
      </c>
      <c r="BP149" s="504">
        <v>0</v>
      </c>
      <c r="BQ149" s="504">
        <v>0</v>
      </c>
      <c r="BR149" s="504">
        <v>0</v>
      </c>
      <c r="BS149" s="504">
        <v>0</v>
      </c>
      <c r="BT149" s="504">
        <v>0</v>
      </c>
      <c r="BU149" s="504">
        <v>0</v>
      </c>
      <c r="BV149" s="504">
        <v>0</v>
      </c>
      <c r="BW149" s="504">
        <v>0</v>
      </c>
      <c r="BX149" s="504">
        <v>0</v>
      </c>
      <c r="BY149" s="504">
        <v>0</v>
      </c>
      <c r="BZ149" s="504">
        <v>0</v>
      </c>
      <c r="CA149" s="504">
        <v>0</v>
      </c>
      <c r="CB149" s="504">
        <v>0</v>
      </c>
      <c r="CC149" s="504">
        <v>0</v>
      </c>
      <c r="CD149" s="504">
        <v>0</v>
      </c>
      <c r="CE149" s="504">
        <v>0</v>
      </c>
      <c r="CF149" s="504">
        <v>0</v>
      </c>
      <c r="CG149" s="504">
        <v>0</v>
      </c>
      <c r="CH149" s="504">
        <v>0</v>
      </c>
      <c r="CI149" s="504">
        <v>0</v>
      </c>
      <c r="CJ149" s="504">
        <v>0</v>
      </c>
      <c r="CK149" s="504">
        <v>0</v>
      </c>
      <c r="CL149" s="504">
        <v>0</v>
      </c>
      <c r="CM149" s="504">
        <v>0</v>
      </c>
      <c r="CN149" s="504">
        <v>0</v>
      </c>
      <c r="CO149" s="504">
        <v>0</v>
      </c>
      <c r="CP149" s="504">
        <v>0</v>
      </c>
      <c r="CQ149" s="504">
        <v>0</v>
      </c>
      <c r="CR149" s="504">
        <v>0</v>
      </c>
      <c r="CS149" s="504">
        <v>0</v>
      </c>
      <c r="CT149" s="504">
        <v>0</v>
      </c>
      <c r="CU149" s="504">
        <v>0</v>
      </c>
      <c r="CV149" s="504">
        <v>0</v>
      </c>
      <c r="CW149" s="504">
        <v>0</v>
      </c>
      <c r="CX149" s="504">
        <v>0</v>
      </c>
      <c r="CY149" s="504">
        <v>0</v>
      </c>
      <c r="CZ149" s="504">
        <v>0</v>
      </c>
      <c r="DA149" s="504">
        <v>0</v>
      </c>
      <c r="DB149" s="504">
        <v>0</v>
      </c>
      <c r="DC149" s="504">
        <v>0</v>
      </c>
      <c r="DD149" s="504">
        <v>0</v>
      </c>
      <c r="DE149" s="504">
        <v>0</v>
      </c>
      <c r="DF149" s="504">
        <v>0</v>
      </c>
      <c r="DG149" s="504">
        <v>0</v>
      </c>
      <c r="DH149" s="504">
        <v>0</v>
      </c>
      <c r="DI149" s="504">
        <v>0</v>
      </c>
      <c r="DJ149" s="504">
        <v>0</v>
      </c>
      <c r="DK149" s="504">
        <v>0</v>
      </c>
      <c r="DL149" s="504">
        <v>0</v>
      </c>
      <c r="DM149" s="504">
        <v>0</v>
      </c>
      <c r="DN149" s="504">
        <v>0</v>
      </c>
      <c r="DO149" s="504">
        <v>0</v>
      </c>
      <c r="DP149" s="504">
        <v>0</v>
      </c>
      <c r="DQ149" s="504">
        <v>0</v>
      </c>
      <c r="DR149" s="504">
        <v>0</v>
      </c>
      <c r="DS149" s="504">
        <v>0</v>
      </c>
      <c r="DT149" s="504">
        <v>0</v>
      </c>
      <c r="DU149" s="504">
        <v>0</v>
      </c>
      <c r="DV149" s="504">
        <v>0</v>
      </c>
      <c r="DW149" s="504">
        <v>0</v>
      </c>
      <c r="DX149" s="504">
        <v>0</v>
      </c>
      <c r="DY149" s="504">
        <v>0</v>
      </c>
      <c r="DZ149" s="504">
        <v>0</v>
      </c>
      <c r="EA149" s="504">
        <v>0</v>
      </c>
      <c r="EB149" s="504">
        <v>0</v>
      </c>
      <c r="EC149" s="504">
        <v>0</v>
      </c>
      <c r="ED149" s="504">
        <v>0</v>
      </c>
      <c r="EE149" s="504">
        <v>0</v>
      </c>
      <c r="EF149" s="504">
        <v>0</v>
      </c>
      <c r="EG149" s="504">
        <v>0</v>
      </c>
      <c r="EH149" s="504">
        <v>0</v>
      </c>
      <c r="EI149" s="504">
        <v>0</v>
      </c>
      <c r="EJ149" s="504">
        <v>0</v>
      </c>
      <c r="EK149" s="504">
        <v>0</v>
      </c>
      <c r="EL149" s="504">
        <v>0</v>
      </c>
      <c r="EM149" s="504">
        <v>0</v>
      </c>
      <c r="EN149" s="504">
        <v>0</v>
      </c>
      <c r="EO149" s="504">
        <v>0</v>
      </c>
      <c r="EP149" s="504">
        <v>0</v>
      </c>
      <c r="EQ149" s="504">
        <v>0</v>
      </c>
      <c r="ER149" s="504">
        <v>0</v>
      </c>
      <c r="ES149" s="504">
        <v>0</v>
      </c>
      <c r="ET149" s="504">
        <v>0</v>
      </c>
      <c r="EU149" s="504">
        <v>0</v>
      </c>
      <c r="EV149" s="504">
        <v>0</v>
      </c>
      <c r="EW149" s="504">
        <v>0</v>
      </c>
      <c r="EX149" s="504">
        <v>0</v>
      </c>
      <c r="EY149" s="504">
        <v>0</v>
      </c>
      <c r="EZ149" s="504">
        <v>0</v>
      </c>
      <c r="FA149" s="504">
        <v>0</v>
      </c>
      <c r="FB149" s="504">
        <v>0</v>
      </c>
      <c r="FC149" s="504">
        <v>0</v>
      </c>
      <c r="FD149" s="504">
        <v>0</v>
      </c>
      <c r="FE149" s="504">
        <v>0</v>
      </c>
      <c r="FF149" s="504">
        <v>0</v>
      </c>
      <c r="FG149" s="504">
        <v>0</v>
      </c>
      <c r="FH149" s="504">
        <v>0</v>
      </c>
      <c r="FI149" s="504">
        <v>0</v>
      </c>
      <c r="FJ149" s="504">
        <v>0</v>
      </c>
      <c r="FK149" s="504">
        <v>0</v>
      </c>
      <c r="FL149" s="504">
        <v>0</v>
      </c>
      <c r="FM149" s="504">
        <v>0</v>
      </c>
      <c r="FN149" s="504">
        <v>0</v>
      </c>
      <c r="FO149" s="504">
        <v>0</v>
      </c>
      <c r="FP149" s="504">
        <v>0</v>
      </c>
      <c r="FQ149" s="504">
        <v>0</v>
      </c>
      <c r="FR149" s="504">
        <v>0</v>
      </c>
      <c r="FS149" s="504">
        <v>0</v>
      </c>
      <c r="FT149" s="504">
        <v>0</v>
      </c>
      <c r="FU149" s="504">
        <v>0</v>
      </c>
      <c r="FV149" s="504">
        <v>0</v>
      </c>
      <c r="FW149" s="504">
        <v>0</v>
      </c>
      <c r="FX149" s="504">
        <v>0</v>
      </c>
      <c r="FY149" s="504">
        <v>0</v>
      </c>
      <c r="FZ149" s="504">
        <v>0</v>
      </c>
      <c r="GA149" s="504">
        <v>0</v>
      </c>
      <c r="GB149" s="504">
        <v>0</v>
      </c>
      <c r="GC149" s="504">
        <v>0</v>
      </c>
      <c r="GD149" s="504">
        <v>0</v>
      </c>
      <c r="GE149" s="504">
        <v>0</v>
      </c>
      <c r="GF149" s="504">
        <v>0</v>
      </c>
      <c r="GG149" s="504">
        <v>0</v>
      </c>
      <c r="GH149" s="504">
        <v>0</v>
      </c>
      <c r="GI149" s="504">
        <v>0</v>
      </c>
      <c r="GJ149" s="504">
        <v>0</v>
      </c>
      <c r="GK149" s="504">
        <v>0</v>
      </c>
      <c r="GL149" s="504">
        <v>0</v>
      </c>
      <c r="GM149" s="504">
        <v>0</v>
      </c>
      <c r="GN149" s="504">
        <v>0</v>
      </c>
      <c r="GO149" s="504">
        <v>0</v>
      </c>
      <c r="GP149" s="504">
        <v>0</v>
      </c>
      <c r="GQ149" s="504">
        <v>0</v>
      </c>
      <c r="GR149" s="504">
        <v>0</v>
      </c>
      <c r="GS149" s="504">
        <v>0</v>
      </c>
      <c r="GT149" s="504">
        <v>0</v>
      </c>
      <c r="GU149" s="504">
        <v>0</v>
      </c>
      <c r="GV149" s="504">
        <v>0</v>
      </c>
      <c r="GW149" s="504">
        <v>0</v>
      </c>
      <c r="GX149" s="504">
        <v>0</v>
      </c>
      <c r="GY149" s="504">
        <v>0</v>
      </c>
      <c r="GZ149" s="504">
        <v>0</v>
      </c>
      <c r="HA149" s="504">
        <v>0</v>
      </c>
      <c r="HB149" s="504">
        <v>0</v>
      </c>
      <c r="HC149" s="504">
        <v>0</v>
      </c>
      <c r="HD149" s="504">
        <v>0</v>
      </c>
      <c r="HE149" s="504">
        <v>0</v>
      </c>
      <c r="HF149" s="504">
        <v>0</v>
      </c>
      <c r="HG149" s="504">
        <v>0</v>
      </c>
      <c r="HH149" s="504">
        <v>0</v>
      </c>
      <c r="HI149" s="504">
        <v>0</v>
      </c>
      <c r="HJ149" s="504">
        <v>0</v>
      </c>
      <c r="HK149" s="504">
        <v>0</v>
      </c>
      <c r="HL149" s="504">
        <v>0</v>
      </c>
      <c r="HM149" s="504">
        <v>0</v>
      </c>
      <c r="HN149" s="504">
        <v>0</v>
      </c>
      <c r="HO149" s="504">
        <v>0</v>
      </c>
      <c r="HP149" s="504">
        <v>0</v>
      </c>
      <c r="HQ149" s="504">
        <v>0</v>
      </c>
      <c r="HR149" s="504">
        <v>0</v>
      </c>
      <c r="HS149" s="504">
        <v>0</v>
      </c>
      <c r="HT149" s="504">
        <v>0</v>
      </c>
      <c r="HU149" s="504">
        <v>0</v>
      </c>
      <c r="HV149" s="504">
        <v>0</v>
      </c>
      <c r="HW149" s="504">
        <v>0</v>
      </c>
      <c r="HX149" s="504">
        <v>0</v>
      </c>
      <c r="HY149" s="504">
        <v>0</v>
      </c>
      <c r="HZ149" s="504">
        <v>0</v>
      </c>
      <c r="IA149" s="504">
        <v>0</v>
      </c>
      <c r="IB149" s="504">
        <v>0</v>
      </c>
      <c r="IC149" s="504">
        <v>0</v>
      </c>
      <c r="ID149" s="504">
        <v>0</v>
      </c>
      <c r="IE149" s="504">
        <v>0</v>
      </c>
      <c r="IF149" s="504">
        <v>0</v>
      </c>
      <c r="IG149" s="504">
        <v>0</v>
      </c>
      <c r="IH149" s="504">
        <v>0</v>
      </c>
      <c r="II149" s="504">
        <v>0</v>
      </c>
      <c r="IJ149" s="504">
        <v>0</v>
      </c>
      <c r="IK149" s="504">
        <v>0</v>
      </c>
      <c r="IL149" s="504">
        <v>0</v>
      </c>
      <c r="IM149" s="504">
        <v>0</v>
      </c>
      <c r="IN149" s="504">
        <v>0</v>
      </c>
      <c r="IO149" s="504">
        <v>0</v>
      </c>
      <c r="IP149" s="504">
        <v>0</v>
      </c>
      <c r="IQ149" s="504">
        <v>0</v>
      </c>
      <c r="IR149" s="504">
        <v>0</v>
      </c>
      <c r="IS149" s="504">
        <v>0</v>
      </c>
      <c r="IT149" s="504">
        <v>0</v>
      </c>
      <c r="IU149" s="504">
        <v>0</v>
      </c>
      <c r="IV149" s="504">
        <v>0</v>
      </c>
      <c r="IW149" s="504">
        <v>0</v>
      </c>
      <c r="IX149" s="504">
        <v>0</v>
      </c>
      <c r="IY149" s="504">
        <v>0</v>
      </c>
      <c r="IZ149" s="504">
        <v>0</v>
      </c>
      <c r="JA149" s="504">
        <v>0</v>
      </c>
      <c r="JB149" s="504">
        <v>0</v>
      </c>
      <c r="JC149" s="504">
        <v>0</v>
      </c>
      <c r="JD149" s="504">
        <v>0</v>
      </c>
      <c r="JE149" s="504">
        <v>0</v>
      </c>
      <c r="JF149" s="504">
        <v>0</v>
      </c>
      <c r="JG149" s="504">
        <v>0</v>
      </c>
      <c r="JH149" s="504">
        <v>0</v>
      </c>
      <c r="JI149" s="504">
        <v>0</v>
      </c>
      <c r="JJ149" s="504">
        <v>0</v>
      </c>
      <c r="JK149" s="504">
        <v>0</v>
      </c>
      <c r="JL149" s="504">
        <v>0</v>
      </c>
      <c r="JM149" s="504">
        <v>0</v>
      </c>
      <c r="JN149" s="504">
        <v>0</v>
      </c>
      <c r="JO149" s="504">
        <v>0</v>
      </c>
      <c r="JP149" s="504">
        <v>0</v>
      </c>
      <c r="JQ149" s="504">
        <v>0</v>
      </c>
      <c r="JR149" s="504">
        <v>0</v>
      </c>
      <c r="JS149" s="504">
        <v>0</v>
      </c>
      <c r="JT149" s="504">
        <v>0</v>
      </c>
      <c r="JU149" s="504">
        <v>0</v>
      </c>
      <c r="JV149" s="504">
        <v>0</v>
      </c>
      <c r="JW149" s="504">
        <v>0</v>
      </c>
      <c r="JX149" s="504">
        <v>0</v>
      </c>
      <c r="JY149" s="504">
        <v>0</v>
      </c>
      <c r="JZ149" s="504">
        <v>0</v>
      </c>
      <c r="KA149" s="504">
        <v>0</v>
      </c>
      <c r="KB149" s="504">
        <v>0</v>
      </c>
      <c r="KC149" s="504">
        <v>0</v>
      </c>
      <c r="KD149" s="504">
        <v>0</v>
      </c>
      <c r="KE149" s="504">
        <v>0</v>
      </c>
      <c r="KF149" s="504">
        <v>0</v>
      </c>
      <c r="KG149" s="504">
        <v>0</v>
      </c>
      <c r="KH149" s="504">
        <v>0</v>
      </c>
      <c r="KI149" s="504">
        <v>0</v>
      </c>
      <c r="KJ149" s="504">
        <v>0</v>
      </c>
      <c r="KK149" s="504">
        <v>0</v>
      </c>
      <c r="KL149" s="504">
        <v>0</v>
      </c>
      <c r="KM149" s="504">
        <v>0</v>
      </c>
      <c r="KN149" s="504">
        <v>0</v>
      </c>
      <c r="KO149" s="504">
        <v>0</v>
      </c>
      <c r="KP149" s="504">
        <v>0</v>
      </c>
      <c r="KQ149" s="504">
        <v>0</v>
      </c>
      <c r="KR149" s="504">
        <v>0</v>
      </c>
      <c r="KS149" s="504">
        <v>0</v>
      </c>
      <c r="KT149" s="504">
        <v>0</v>
      </c>
      <c r="KU149" s="504">
        <v>0</v>
      </c>
      <c r="KV149" s="504">
        <v>0</v>
      </c>
      <c r="KW149" s="504">
        <v>0</v>
      </c>
      <c r="KX149" s="504">
        <v>0</v>
      </c>
      <c r="KY149" s="504">
        <v>0</v>
      </c>
      <c r="KZ149" s="504">
        <v>0</v>
      </c>
      <c r="LA149" s="504">
        <v>0</v>
      </c>
      <c r="LB149" s="504">
        <v>0</v>
      </c>
      <c r="LC149" s="504">
        <v>0</v>
      </c>
      <c r="LD149" s="504">
        <v>0</v>
      </c>
      <c r="LE149" s="504">
        <v>0</v>
      </c>
      <c r="LF149" s="504">
        <v>0</v>
      </c>
      <c r="LG149" s="504">
        <v>0</v>
      </c>
      <c r="LH149" s="504">
        <v>0</v>
      </c>
      <c r="LI149" s="504">
        <v>0</v>
      </c>
      <c r="LJ149" s="504">
        <v>0</v>
      </c>
      <c r="LK149" s="504">
        <v>0</v>
      </c>
      <c r="LL149" s="504">
        <v>0</v>
      </c>
      <c r="LM149" s="504">
        <v>0</v>
      </c>
      <c r="LN149" s="504">
        <v>0</v>
      </c>
      <c r="LO149" s="504">
        <v>0</v>
      </c>
      <c r="LP149" s="504">
        <v>0</v>
      </c>
      <c r="LQ149" s="504">
        <v>0</v>
      </c>
      <c r="LR149" s="504">
        <v>0</v>
      </c>
      <c r="LS149" s="504">
        <v>0</v>
      </c>
      <c r="LT149" s="504">
        <v>0</v>
      </c>
      <c r="LU149" s="504">
        <v>0</v>
      </c>
      <c r="LV149" s="504">
        <v>0</v>
      </c>
      <c r="LW149" s="504">
        <v>0</v>
      </c>
      <c r="LX149" s="504">
        <v>0</v>
      </c>
      <c r="LY149" s="504">
        <v>0</v>
      </c>
      <c r="LZ149" s="504">
        <v>0</v>
      </c>
      <c r="MA149" s="504">
        <v>0</v>
      </c>
      <c r="MB149" s="504">
        <v>0</v>
      </c>
      <c r="MC149" s="504">
        <v>0</v>
      </c>
      <c r="MD149" s="504">
        <v>0</v>
      </c>
      <c r="ME149" s="504">
        <v>0</v>
      </c>
      <c r="MF149" s="504">
        <v>0</v>
      </c>
      <c r="MG149" s="504">
        <v>0</v>
      </c>
      <c r="MH149" s="504">
        <v>0</v>
      </c>
      <c r="MI149" s="504">
        <v>0</v>
      </c>
      <c r="MJ149" s="504">
        <v>0</v>
      </c>
      <c r="MK149" s="504">
        <v>0</v>
      </c>
      <c r="ML149" s="504">
        <v>0</v>
      </c>
      <c r="MM149" s="504">
        <v>0</v>
      </c>
      <c r="MN149" s="504">
        <v>0</v>
      </c>
      <c r="MO149" s="504">
        <v>0</v>
      </c>
      <c r="MP149" s="504">
        <v>0</v>
      </c>
      <c r="MQ149" s="504">
        <v>0</v>
      </c>
      <c r="MR149" s="504">
        <v>0</v>
      </c>
      <c r="MS149" s="504">
        <v>0</v>
      </c>
      <c r="MT149" s="504">
        <v>0</v>
      </c>
      <c r="MU149" s="504">
        <v>0</v>
      </c>
      <c r="MV149" s="504">
        <v>0</v>
      </c>
      <c r="MW149" s="504">
        <v>0</v>
      </c>
      <c r="MX149" s="504">
        <v>0</v>
      </c>
      <c r="MY149" s="504">
        <v>0</v>
      </c>
      <c r="MZ149" s="504">
        <v>0</v>
      </c>
      <c r="NA149" s="504">
        <v>0</v>
      </c>
      <c r="NB149" s="504">
        <v>0</v>
      </c>
      <c r="NC149" s="504">
        <v>0</v>
      </c>
      <c r="ND149" s="504">
        <v>0</v>
      </c>
      <c r="NE149" s="504">
        <v>0</v>
      </c>
      <c r="NF149" s="504">
        <v>0</v>
      </c>
      <c r="NG149" s="504">
        <v>0</v>
      </c>
      <c r="NH149" s="504">
        <v>0</v>
      </c>
      <c r="NI149" s="504">
        <v>0</v>
      </c>
      <c r="NJ149" s="504">
        <v>0</v>
      </c>
      <c r="NK149" s="504">
        <v>0</v>
      </c>
      <c r="NL149" s="504">
        <v>0</v>
      </c>
      <c r="NM149" s="504">
        <v>0</v>
      </c>
      <c r="NN149" s="504">
        <v>0</v>
      </c>
      <c r="NO149" s="504">
        <v>0</v>
      </c>
      <c r="NP149" s="504">
        <v>0</v>
      </c>
      <c r="NQ149" s="504">
        <v>0</v>
      </c>
      <c r="NR149" s="504">
        <v>0</v>
      </c>
      <c r="NS149" s="504">
        <v>0</v>
      </c>
      <c r="NT149" s="504">
        <v>0</v>
      </c>
      <c r="NU149" s="504">
        <v>0</v>
      </c>
      <c r="NV149" s="504">
        <v>0</v>
      </c>
      <c r="NW149" s="504">
        <v>0</v>
      </c>
      <c r="NX149" s="504">
        <v>0</v>
      </c>
      <c r="NY149" s="504">
        <v>0</v>
      </c>
      <c r="NZ149" s="504">
        <v>0</v>
      </c>
      <c r="OA149" s="504">
        <v>0</v>
      </c>
      <c r="OB149" s="504">
        <v>0</v>
      </c>
      <c r="OC149" s="504">
        <v>0</v>
      </c>
      <c r="OD149" s="504">
        <v>0</v>
      </c>
      <c r="OE149" s="504">
        <v>0</v>
      </c>
      <c r="OF149" s="504">
        <v>0</v>
      </c>
      <c r="OG149" s="504">
        <v>0</v>
      </c>
      <c r="OH149" s="504">
        <v>0</v>
      </c>
      <c r="OI149" s="504">
        <v>0</v>
      </c>
      <c r="OJ149" s="504">
        <v>0</v>
      </c>
      <c r="OK149" s="504">
        <v>0</v>
      </c>
      <c r="OL149" s="504">
        <v>0</v>
      </c>
      <c r="OM149" s="504">
        <v>0</v>
      </c>
      <c r="ON149" s="494"/>
    </row>
    <row r="150" spans="1:404" ht="18.75" customHeight="1" x14ac:dyDescent="0.4">
      <c r="A150" s="511" t="s">
        <v>420</v>
      </c>
      <c r="B150" s="512">
        <v>217</v>
      </c>
      <c r="C150" s="511" t="s">
        <v>60</v>
      </c>
      <c r="D150" s="501">
        <v>46.05</v>
      </c>
      <c r="E150" s="502">
        <v>11590</v>
      </c>
      <c r="F150" s="501">
        <v>46.04</v>
      </c>
      <c r="G150" s="502">
        <v>4380</v>
      </c>
      <c r="H150" s="501">
        <v>46.04</v>
      </c>
      <c r="I150" s="502">
        <v>11658</v>
      </c>
      <c r="J150" s="501">
        <v>46.04</v>
      </c>
      <c r="K150" s="502">
        <v>12899</v>
      </c>
      <c r="V150" s="501"/>
      <c r="W150" s="503"/>
      <c r="X150" s="501"/>
      <c r="Y150" s="503"/>
      <c r="Z150" s="501"/>
      <c r="AA150" s="503"/>
      <c r="AB150" s="495"/>
      <c r="AC150" s="504">
        <v>0</v>
      </c>
      <c r="AD150" s="504">
        <v>0</v>
      </c>
      <c r="AE150" s="504">
        <v>0</v>
      </c>
      <c r="AF150" s="504">
        <v>0</v>
      </c>
      <c r="AG150" s="504">
        <v>0</v>
      </c>
      <c r="AH150" s="504">
        <v>0</v>
      </c>
      <c r="AI150" s="504">
        <v>0</v>
      </c>
      <c r="AJ150" s="504">
        <v>0</v>
      </c>
      <c r="AK150" s="504">
        <v>0</v>
      </c>
      <c r="AL150" s="504">
        <v>0</v>
      </c>
      <c r="AM150" s="504">
        <v>0</v>
      </c>
      <c r="AN150" s="504">
        <v>0</v>
      </c>
      <c r="AO150" s="504">
        <v>0</v>
      </c>
      <c r="AP150" s="504">
        <v>0</v>
      </c>
      <c r="AQ150" s="504">
        <v>0</v>
      </c>
      <c r="AR150" s="504">
        <v>0</v>
      </c>
      <c r="AS150" s="504">
        <v>0</v>
      </c>
      <c r="AT150" s="504">
        <v>0</v>
      </c>
      <c r="AU150" s="504">
        <v>0</v>
      </c>
      <c r="AV150" s="504">
        <v>0</v>
      </c>
      <c r="AW150" s="504">
        <v>0</v>
      </c>
      <c r="AX150" s="504">
        <v>0</v>
      </c>
      <c r="AY150" s="504">
        <v>0</v>
      </c>
      <c r="AZ150" s="504">
        <v>0</v>
      </c>
      <c r="BA150" s="504">
        <v>0</v>
      </c>
      <c r="BB150" s="504">
        <v>0</v>
      </c>
      <c r="BC150" s="504">
        <v>0</v>
      </c>
      <c r="BD150" s="504">
        <v>0</v>
      </c>
      <c r="BE150" s="504">
        <v>0</v>
      </c>
      <c r="BF150" s="504">
        <v>0</v>
      </c>
      <c r="BG150" s="504">
        <v>0</v>
      </c>
      <c r="BH150" s="504">
        <v>0</v>
      </c>
      <c r="BI150" s="504">
        <v>0</v>
      </c>
      <c r="BJ150" s="504">
        <v>0</v>
      </c>
      <c r="BK150" s="504">
        <v>0</v>
      </c>
      <c r="BL150" s="504">
        <v>0</v>
      </c>
      <c r="BM150" s="504">
        <v>0</v>
      </c>
      <c r="BN150" s="504">
        <v>0</v>
      </c>
      <c r="BO150" s="504">
        <v>0</v>
      </c>
      <c r="BP150" s="504">
        <v>0</v>
      </c>
      <c r="BQ150" s="504">
        <v>0</v>
      </c>
      <c r="BR150" s="504">
        <v>0</v>
      </c>
      <c r="BS150" s="504">
        <v>0</v>
      </c>
      <c r="BT150" s="504">
        <v>0</v>
      </c>
      <c r="BU150" s="504">
        <v>0</v>
      </c>
      <c r="BV150" s="504">
        <v>0</v>
      </c>
      <c r="BW150" s="504">
        <v>0</v>
      </c>
      <c r="BX150" s="504">
        <v>0</v>
      </c>
      <c r="BY150" s="504">
        <v>0</v>
      </c>
      <c r="BZ150" s="504">
        <v>0</v>
      </c>
      <c r="CA150" s="504">
        <v>0</v>
      </c>
      <c r="CB150" s="504">
        <v>0</v>
      </c>
      <c r="CC150" s="504">
        <v>0</v>
      </c>
      <c r="CD150" s="504">
        <v>0</v>
      </c>
      <c r="CE150" s="504">
        <v>0</v>
      </c>
      <c r="CF150" s="504">
        <v>0</v>
      </c>
      <c r="CG150" s="504">
        <v>0</v>
      </c>
      <c r="CH150" s="504">
        <v>0</v>
      </c>
      <c r="CI150" s="504">
        <v>0</v>
      </c>
      <c r="CJ150" s="504">
        <v>0</v>
      </c>
      <c r="CK150" s="504">
        <v>0</v>
      </c>
      <c r="CL150" s="504">
        <v>0</v>
      </c>
      <c r="CM150" s="504">
        <v>0</v>
      </c>
      <c r="CN150" s="504">
        <v>0</v>
      </c>
      <c r="CO150" s="504">
        <v>0</v>
      </c>
      <c r="CP150" s="504">
        <v>0</v>
      </c>
      <c r="CQ150" s="504">
        <v>0</v>
      </c>
      <c r="CR150" s="504">
        <v>0</v>
      </c>
      <c r="CS150" s="504">
        <v>0</v>
      </c>
      <c r="CT150" s="504">
        <v>0</v>
      </c>
      <c r="CU150" s="504">
        <v>0</v>
      </c>
      <c r="CV150" s="504">
        <v>0</v>
      </c>
      <c r="CW150" s="504">
        <v>0</v>
      </c>
      <c r="CX150" s="504">
        <v>0</v>
      </c>
      <c r="CY150" s="504">
        <v>0</v>
      </c>
      <c r="CZ150" s="504">
        <v>0</v>
      </c>
      <c r="DA150" s="504">
        <v>0</v>
      </c>
      <c r="DB150" s="504">
        <v>0</v>
      </c>
      <c r="DC150" s="504">
        <v>0</v>
      </c>
      <c r="DD150" s="504">
        <v>0</v>
      </c>
      <c r="DE150" s="504">
        <v>0</v>
      </c>
      <c r="DF150" s="504">
        <v>0</v>
      </c>
      <c r="DG150" s="504">
        <v>0</v>
      </c>
      <c r="DH150" s="504">
        <v>0</v>
      </c>
      <c r="DI150" s="504">
        <v>0</v>
      </c>
      <c r="DJ150" s="504">
        <v>0</v>
      </c>
      <c r="DK150" s="504">
        <v>0</v>
      </c>
      <c r="DL150" s="504">
        <v>0</v>
      </c>
      <c r="DM150" s="504">
        <v>0</v>
      </c>
      <c r="DN150" s="504">
        <v>0</v>
      </c>
      <c r="DO150" s="504">
        <v>0</v>
      </c>
      <c r="DP150" s="504">
        <v>0</v>
      </c>
      <c r="DQ150" s="504">
        <v>0</v>
      </c>
      <c r="DR150" s="504">
        <v>0</v>
      </c>
      <c r="DS150" s="504">
        <v>0</v>
      </c>
      <c r="DT150" s="504">
        <v>0</v>
      </c>
      <c r="DU150" s="504">
        <v>0</v>
      </c>
      <c r="DV150" s="504">
        <v>0</v>
      </c>
      <c r="DW150" s="504">
        <v>0</v>
      </c>
      <c r="DX150" s="504">
        <v>0</v>
      </c>
      <c r="DY150" s="504">
        <v>0</v>
      </c>
      <c r="DZ150" s="504">
        <v>0</v>
      </c>
      <c r="EA150" s="504">
        <v>0</v>
      </c>
      <c r="EB150" s="504">
        <v>0</v>
      </c>
      <c r="EC150" s="504">
        <v>0</v>
      </c>
      <c r="ED150" s="504">
        <v>0</v>
      </c>
      <c r="EE150" s="504">
        <v>0</v>
      </c>
      <c r="EF150" s="504">
        <v>0</v>
      </c>
      <c r="EG150" s="504">
        <v>0</v>
      </c>
      <c r="EH150" s="504">
        <v>0</v>
      </c>
      <c r="EI150" s="504">
        <v>0</v>
      </c>
      <c r="EJ150" s="504">
        <v>0</v>
      </c>
      <c r="EK150" s="504">
        <v>0</v>
      </c>
      <c r="EL150" s="504">
        <v>0</v>
      </c>
      <c r="EM150" s="504">
        <v>0</v>
      </c>
      <c r="EN150" s="504">
        <v>0</v>
      </c>
      <c r="EO150" s="504">
        <v>0</v>
      </c>
      <c r="EP150" s="504">
        <v>0</v>
      </c>
      <c r="EQ150" s="504">
        <v>0</v>
      </c>
      <c r="ER150" s="504">
        <v>0</v>
      </c>
      <c r="ES150" s="504">
        <v>0</v>
      </c>
      <c r="ET150" s="504">
        <v>0</v>
      </c>
      <c r="EU150" s="504">
        <v>0</v>
      </c>
      <c r="EV150" s="504">
        <v>0</v>
      </c>
      <c r="EW150" s="504">
        <v>0</v>
      </c>
      <c r="EX150" s="504">
        <v>0</v>
      </c>
      <c r="EY150" s="504">
        <v>0</v>
      </c>
      <c r="EZ150" s="504">
        <v>0</v>
      </c>
      <c r="FA150" s="504">
        <v>0</v>
      </c>
      <c r="FB150" s="504">
        <v>0</v>
      </c>
      <c r="FC150" s="504">
        <v>0</v>
      </c>
      <c r="FD150" s="504">
        <v>0</v>
      </c>
      <c r="FE150" s="504">
        <v>0</v>
      </c>
      <c r="FF150" s="504">
        <v>0</v>
      </c>
      <c r="FG150" s="504">
        <v>0</v>
      </c>
      <c r="FH150" s="504">
        <v>0</v>
      </c>
      <c r="FI150" s="504">
        <v>0</v>
      </c>
      <c r="FJ150" s="504">
        <v>0</v>
      </c>
      <c r="FK150" s="504">
        <v>0</v>
      </c>
      <c r="FL150" s="504">
        <v>0</v>
      </c>
      <c r="FM150" s="504">
        <v>0</v>
      </c>
      <c r="FN150" s="504">
        <v>0</v>
      </c>
      <c r="FO150" s="504">
        <v>0</v>
      </c>
      <c r="FP150" s="504">
        <v>0</v>
      </c>
      <c r="FQ150" s="504">
        <v>0</v>
      </c>
      <c r="FR150" s="504">
        <v>0</v>
      </c>
      <c r="FS150" s="504">
        <v>0</v>
      </c>
      <c r="FT150" s="504">
        <v>0</v>
      </c>
      <c r="FU150" s="504">
        <v>0</v>
      </c>
      <c r="FV150" s="504">
        <v>0</v>
      </c>
      <c r="FW150" s="504">
        <v>0</v>
      </c>
      <c r="FX150" s="504">
        <v>0</v>
      </c>
      <c r="FY150" s="504">
        <v>0</v>
      </c>
      <c r="FZ150" s="504">
        <v>0</v>
      </c>
      <c r="GA150" s="504">
        <v>0</v>
      </c>
      <c r="GB150" s="504">
        <v>0</v>
      </c>
      <c r="GC150" s="504">
        <v>0</v>
      </c>
      <c r="GD150" s="504">
        <v>0</v>
      </c>
      <c r="GE150" s="504">
        <v>0</v>
      </c>
      <c r="GF150" s="504">
        <v>0</v>
      </c>
      <c r="GG150" s="504">
        <v>0</v>
      </c>
      <c r="GH150" s="504">
        <v>0</v>
      </c>
      <c r="GI150" s="504">
        <v>0</v>
      </c>
      <c r="GJ150" s="504">
        <v>0</v>
      </c>
      <c r="GK150" s="504">
        <v>0</v>
      </c>
      <c r="GL150" s="504">
        <v>0</v>
      </c>
      <c r="GM150" s="504">
        <v>0</v>
      </c>
      <c r="GN150" s="504">
        <v>0</v>
      </c>
      <c r="GO150" s="504">
        <v>0</v>
      </c>
      <c r="GP150" s="504">
        <v>0</v>
      </c>
      <c r="GQ150" s="504">
        <v>0</v>
      </c>
      <c r="GR150" s="504">
        <v>0</v>
      </c>
      <c r="GS150" s="504">
        <v>0</v>
      </c>
      <c r="GT150" s="504">
        <v>0</v>
      </c>
      <c r="GU150" s="504">
        <v>0</v>
      </c>
      <c r="GV150" s="504">
        <v>0</v>
      </c>
      <c r="GW150" s="504">
        <v>0</v>
      </c>
      <c r="GX150" s="504">
        <v>0</v>
      </c>
      <c r="GY150" s="504">
        <v>0</v>
      </c>
      <c r="GZ150" s="504">
        <v>0</v>
      </c>
      <c r="HA150" s="504">
        <v>0</v>
      </c>
      <c r="HB150" s="504">
        <v>0</v>
      </c>
      <c r="HC150" s="504">
        <v>0</v>
      </c>
      <c r="HD150" s="504">
        <v>0</v>
      </c>
      <c r="HE150" s="504">
        <v>0</v>
      </c>
      <c r="HF150" s="504">
        <v>0</v>
      </c>
      <c r="HG150" s="504">
        <v>0</v>
      </c>
      <c r="HH150" s="504">
        <v>0</v>
      </c>
      <c r="HI150" s="504">
        <v>0</v>
      </c>
      <c r="HJ150" s="504">
        <v>0</v>
      </c>
      <c r="HK150" s="504">
        <v>0</v>
      </c>
      <c r="HL150" s="504">
        <v>0</v>
      </c>
      <c r="HM150" s="504">
        <v>0</v>
      </c>
      <c r="HN150" s="504">
        <v>0</v>
      </c>
      <c r="HO150" s="504">
        <v>0</v>
      </c>
      <c r="HP150" s="504">
        <v>0</v>
      </c>
      <c r="HQ150" s="504">
        <v>0</v>
      </c>
      <c r="HR150" s="504">
        <v>0</v>
      </c>
      <c r="HS150" s="504">
        <v>0</v>
      </c>
      <c r="HT150" s="504">
        <v>0</v>
      </c>
      <c r="HU150" s="504">
        <v>0</v>
      </c>
      <c r="HV150" s="504">
        <v>0</v>
      </c>
      <c r="HW150" s="504">
        <v>0</v>
      </c>
      <c r="HX150" s="504">
        <v>0</v>
      </c>
      <c r="HY150" s="504">
        <v>0</v>
      </c>
      <c r="HZ150" s="504">
        <v>0</v>
      </c>
      <c r="IA150" s="504">
        <v>0</v>
      </c>
      <c r="IB150" s="504">
        <v>0</v>
      </c>
      <c r="IC150" s="504">
        <v>0</v>
      </c>
      <c r="ID150" s="504">
        <v>0</v>
      </c>
      <c r="IE150" s="504">
        <v>0</v>
      </c>
      <c r="IF150" s="504">
        <v>0</v>
      </c>
      <c r="IG150" s="504">
        <v>0</v>
      </c>
      <c r="IH150" s="504">
        <v>0</v>
      </c>
      <c r="II150" s="504">
        <v>0</v>
      </c>
      <c r="IJ150" s="504">
        <v>0</v>
      </c>
      <c r="IK150" s="504">
        <v>0</v>
      </c>
      <c r="IL150" s="504">
        <v>0</v>
      </c>
      <c r="IM150" s="504">
        <v>0</v>
      </c>
      <c r="IN150" s="504">
        <v>0</v>
      </c>
      <c r="IO150" s="504">
        <v>0</v>
      </c>
      <c r="IP150" s="504">
        <v>0</v>
      </c>
      <c r="IQ150" s="504">
        <v>0</v>
      </c>
      <c r="IR150" s="504">
        <v>0</v>
      </c>
      <c r="IS150" s="504">
        <v>0</v>
      </c>
      <c r="IT150" s="504">
        <v>0</v>
      </c>
      <c r="IU150" s="504">
        <v>0</v>
      </c>
      <c r="IV150" s="504">
        <v>0</v>
      </c>
      <c r="IW150" s="504">
        <v>0</v>
      </c>
      <c r="IX150" s="504">
        <v>0</v>
      </c>
      <c r="IY150" s="504">
        <v>0</v>
      </c>
      <c r="IZ150" s="504">
        <v>0</v>
      </c>
      <c r="JA150" s="504">
        <v>0</v>
      </c>
      <c r="JB150" s="504">
        <v>0</v>
      </c>
      <c r="JC150" s="504">
        <v>0</v>
      </c>
      <c r="JD150" s="504">
        <v>0</v>
      </c>
      <c r="JE150" s="504">
        <v>0</v>
      </c>
      <c r="JF150" s="504">
        <v>0</v>
      </c>
      <c r="JG150" s="504">
        <v>0</v>
      </c>
      <c r="JH150" s="504">
        <v>0</v>
      </c>
      <c r="JI150" s="504">
        <v>0</v>
      </c>
      <c r="JJ150" s="504">
        <v>0</v>
      </c>
      <c r="JK150" s="504">
        <v>0</v>
      </c>
      <c r="JL150" s="504">
        <v>0</v>
      </c>
      <c r="JM150" s="504">
        <v>0</v>
      </c>
      <c r="JN150" s="504">
        <v>0</v>
      </c>
      <c r="JO150" s="504">
        <v>0</v>
      </c>
      <c r="JP150" s="504">
        <v>0</v>
      </c>
      <c r="JQ150" s="504">
        <v>0</v>
      </c>
      <c r="JR150" s="504">
        <v>0</v>
      </c>
      <c r="JS150" s="504">
        <v>0</v>
      </c>
      <c r="JT150" s="504">
        <v>0</v>
      </c>
      <c r="JU150" s="504">
        <v>0</v>
      </c>
      <c r="JV150" s="504">
        <v>0</v>
      </c>
      <c r="JW150" s="504">
        <v>0</v>
      </c>
      <c r="JX150" s="504">
        <v>0</v>
      </c>
      <c r="JY150" s="504">
        <v>0</v>
      </c>
      <c r="JZ150" s="504">
        <v>0</v>
      </c>
      <c r="KA150" s="504">
        <v>0</v>
      </c>
      <c r="KB150" s="504">
        <v>0</v>
      </c>
      <c r="KC150" s="504">
        <v>0</v>
      </c>
      <c r="KD150" s="504">
        <v>0</v>
      </c>
      <c r="KE150" s="504">
        <v>0</v>
      </c>
      <c r="KF150" s="504">
        <v>0</v>
      </c>
      <c r="KG150" s="504">
        <v>0</v>
      </c>
      <c r="KH150" s="504">
        <v>0</v>
      </c>
      <c r="KI150" s="504">
        <v>0</v>
      </c>
      <c r="KJ150" s="504">
        <v>0</v>
      </c>
      <c r="KK150" s="504">
        <v>0</v>
      </c>
      <c r="KL150" s="504">
        <v>0</v>
      </c>
      <c r="KM150" s="504">
        <v>0</v>
      </c>
      <c r="KN150" s="504">
        <v>0</v>
      </c>
      <c r="KO150" s="504">
        <v>0</v>
      </c>
      <c r="KP150" s="504">
        <v>0</v>
      </c>
      <c r="KQ150" s="504">
        <v>0</v>
      </c>
      <c r="KR150" s="504">
        <v>0</v>
      </c>
      <c r="KS150" s="504">
        <v>0</v>
      </c>
      <c r="KT150" s="504">
        <v>0</v>
      </c>
      <c r="KU150" s="504">
        <v>0</v>
      </c>
      <c r="KV150" s="504">
        <v>0</v>
      </c>
      <c r="KW150" s="504">
        <v>0</v>
      </c>
      <c r="KX150" s="504">
        <v>0</v>
      </c>
      <c r="KY150" s="504">
        <v>0</v>
      </c>
      <c r="KZ150" s="504">
        <v>0</v>
      </c>
      <c r="LA150" s="504">
        <v>0</v>
      </c>
      <c r="LB150" s="504">
        <v>0</v>
      </c>
      <c r="LC150" s="504">
        <v>0</v>
      </c>
      <c r="LD150" s="504">
        <v>0</v>
      </c>
      <c r="LE150" s="504">
        <v>0</v>
      </c>
      <c r="LF150" s="504">
        <v>0</v>
      </c>
      <c r="LG150" s="504">
        <v>0</v>
      </c>
      <c r="LH150" s="504">
        <v>0</v>
      </c>
      <c r="LI150" s="504">
        <v>0</v>
      </c>
      <c r="LJ150" s="504">
        <v>0</v>
      </c>
      <c r="LK150" s="504">
        <v>0</v>
      </c>
      <c r="LL150" s="504">
        <v>0</v>
      </c>
      <c r="LM150" s="504">
        <v>0</v>
      </c>
      <c r="LN150" s="504">
        <v>0</v>
      </c>
      <c r="LO150" s="504">
        <v>0</v>
      </c>
      <c r="LP150" s="504">
        <v>0</v>
      </c>
      <c r="LQ150" s="504">
        <v>0</v>
      </c>
      <c r="LR150" s="504">
        <v>0</v>
      </c>
      <c r="LS150" s="504">
        <v>0</v>
      </c>
      <c r="LT150" s="504">
        <v>0</v>
      </c>
      <c r="LU150" s="504">
        <v>0</v>
      </c>
      <c r="LV150" s="504">
        <v>0</v>
      </c>
      <c r="LW150" s="504">
        <v>0</v>
      </c>
      <c r="LX150" s="504">
        <v>0</v>
      </c>
      <c r="LY150" s="504">
        <v>0</v>
      </c>
      <c r="LZ150" s="504">
        <v>0</v>
      </c>
      <c r="MA150" s="504">
        <v>0</v>
      </c>
      <c r="MB150" s="504">
        <v>0</v>
      </c>
      <c r="MC150" s="504">
        <v>0</v>
      </c>
      <c r="MD150" s="504">
        <v>0</v>
      </c>
      <c r="ME150" s="504">
        <v>0</v>
      </c>
      <c r="MF150" s="504">
        <v>0</v>
      </c>
      <c r="MG150" s="504">
        <v>0</v>
      </c>
      <c r="MH150" s="504">
        <v>0</v>
      </c>
      <c r="MI150" s="504">
        <v>0</v>
      </c>
      <c r="MJ150" s="504">
        <v>0</v>
      </c>
      <c r="MK150" s="504">
        <v>0</v>
      </c>
      <c r="ML150" s="504">
        <v>0</v>
      </c>
      <c r="MM150" s="504">
        <v>0</v>
      </c>
      <c r="MN150" s="504">
        <v>0</v>
      </c>
      <c r="MO150" s="504">
        <v>0</v>
      </c>
      <c r="MP150" s="504">
        <v>0</v>
      </c>
      <c r="MQ150" s="504">
        <v>0</v>
      </c>
      <c r="MR150" s="504">
        <v>0</v>
      </c>
      <c r="MS150" s="504">
        <v>0</v>
      </c>
      <c r="MT150" s="504">
        <v>0</v>
      </c>
      <c r="MU150" s="504">
        <v>0</v>
      </c>
      <c r="MV150" s="504">
        <v>0</v>
      </c>
      <c r="MW150" s="504">
        <v>0</v>
      </c>
      <c r="MX150" s="504">
        <v>0</v>
      </c>
      <c r="MY150" s="504">
        <v>0</v>
      </c>
      <c r="MZ150" s="504">
        <v>0</v>
      </c>
      <c r="NA150" s="504">
        <v>0</v>
      </c>
      <c r="NB150" s="504">
        <v>0</v>
      </c>
      <c r="NC150" s="504">
        <v>0</v>
      </c>
      <c r="ND150" s="504">
        <v>0</v>
      </c>
      <c r="NE150" s="504">
        <v>0</v>
      </c>
      <c r="NF150" s="504">
        <v>0</v>
      </c>
      <c r="NG150" s="504">
        <v>0</v>
      </c>
      <c r="NH150" s="504">
        <v>0</v>
      </c>
      <c r="NI150" s="504">
        <v>0</v>
      </c>
      <c r="NJ150" s="504">
        <v>0</v>
      </c>
      <c r="NK150" s="504">
        <v>0</v>
      </c>
      <c r="NL150" s="504">
        <v>0</v>
      </c>
      <c r="NM150" s="504">
        <v>0</v>
      </c>
      <c r="NN150" s="504">
        <v>0</v>
      </c>
      <c r="NO150" s="504">
        <v>0</v>
      </c>
      <c r="NP150" s="504">
        <v>0</v>
      </c>
      <c r="NQ150" s="504">
        <v>0</v>
      </c>
      <c r="NR150" s="504">
        <v>0</v>
      </c>
      <c r="NS150" s="504">
        <v>0</v>
      </c>
      <c r="NT150" s="504">
        <v>0</v>
      </c>
      <c r="NU150" s="504">
        <v>0</v>
      </c>
      <c r="NV150" s="504">
        <v>0</v>
      </c>
      <c r="NW150" s="504">
        <v>0</v>
      </c>
      <c r="NX150" s="504">
        <v>0</v>
      </c>
      <c r="NY150" s="504">
        <v>0</v>
      </c>
      <c r="NZ150" s="504">
        <v>0</v>
      </c>
      <c r="OA150" s="504">
        <v>0</v>
      </c>
      <c r="OB150" s="504">
        <v>0</v>
      </c>
      <c r="OC150" s="504">
        <v>0</v>
      </c>
      <c r="OD150" s="504">
        <v>0</v>
      </c>
      <c r="OE150" s="504">
        <v>0</v>
      </c>
      <c r="OF150" s="504">
        <v>0</v>
      </c>
      <c r="OG150" s="504">
        <v>0</v>
      </c>
      <c r="OH150" s="504">
        <v>0</v>
      </c>
      <c r="OI150" s="504">
        <v>0</v>
      </c>
      <c r="OJ150" s="504">
        <v>0</v>
      </c>
      <c r="OK150" s="504">
        <v>0</v>
      </c>
      <c r="OL150" s="504">
        <v>0</v>
      </c>
      <c r="OM150" s="504">
        <v>0</v>
      </c>
      <c r="ON150" s="494"/>
    </row>
    <row r="151" spans="1:404" ht="18.75" customHeight="1" x14ac:dyDescent="0.4">
      <c r="A151" s="511" t="s">
        <v>421</v>
      </c>
      <c r="B151" s="512">
        <v>177</v>
      </c>
      <c r="C151" s="511" t="s">
        <v>60</v>
      </c>
      <c r="D151" s="501">
        <v>46.45</v>
      </c>
      <c r="E151" s="502">
        <v>7182</v>
      </c>
      <c r="F151" s="501">
        <v>46.44</v>
      </c>
      <c r="G151" s="502">
        <v>9078</v>
      </c>
      <c r="H151" s="501">
        <v>46.45</v>
      </c>
      <c r="I151" s="502">
        <v>22521</v>
      </c>
      <c r="J151" s="501">
        <v>46.45</v>
      </c>
      <c r="K151" s="502">
        <v>24265</v>
      </c>
      <c r="V151" s="501"/>
      <c r="W151" s="503"/>
      <c r="X151" s="501"/>
      <c r="Y151" s="503"/>
      <c r="Z151" s="501"/>
      <c r="AA151" s="503"/>
      <c r="AB151" s="495"/>
      <c r="AC151" s="504">
        <v>0</v>
      </c>
      <c r="AD151" s="504">
        <v>0</v>
      </c>
      <c r="AE151" s="504">
        <v>0</v>
      </c>
      <c r="AF151" s="504">
        <v>0</v>
      </c>
      <c r="AG151" s="504">
        <v>0</v>
      </c>
      <c r="AH151" s="504">
        <v>0</v>
      </c>
      <c r="AI151" s="504">
        <v>0</v>
      </c>
      <c r="AJ151" s="504">
        <v>0</v>
      </c>
      <c r="AK151" s="504">
        <v>0</v>
      </c>
      <c r="AL151" s="504">
        <v>0</v>
      </c>
      <c r="AM151" s="504">
        <v>0</v>
      </c>
      <c r="AN151" s="504">
        <v>0</v>
      </c>
      <c r="AO151" s="504">
        <v>0</v>
      </c>
      <c r="AP151" s="504">
        <v>0</v>
      </c>
      <c r="AQ151" s="504">
        <v>0</v>
      </c>
      <c r="AR151" s="504">
        <v>0</v>
      </c>
      <c r="AS151" s="504">
        <v>0</v>
      </c>
      <c r="AT151" s="504">
        <v>0</v>
      </c>
      <c r="AU151" s="504">
        <v>0</v>
      </c>
      <c r="AV151" s="504">
        <v>0</v>
      </c>
      <c r="AW151" s="504">
        <v>0</v>
      </c>
      <c r="AX151" s="504">
        <v>0</v>
      </c>
      <c r="AY151" s="504">
        <v>0</v>
      </c>
      <c r="AZ151" s="504">
        <v>0</v>
      </c>
      <c r="BA151" s="504">
        <v>0</v>
      </c>
      <c r="BB151" s="504">
        <v>0</v>
      </c>
      <c r="BC151" s="504">
        <v>0</v>
      </c>
      <c r="BD151" s="504">
        <v>0</v>
      </c>
      <c r="BE151" s="504">
        <v>0</v>
      </c>
      <c r="BF151" s="504">
        <v>0</v>
      </c>
      <c r="BG151" s="504">
        <v>0</v>
      </c>
      <c r="BH151" s="504">
        <v>0</v>
      </c>
      <c r="BI151" s="504">
        <v>0</v>
      </c>
      <c r="BJ151" s="504">
        <v>0</v>
      </c>
      <c r="BK151" s="504">
        <v>0</v>
      </c>
      <c r="BL151" s="504">
        <v>0</v>
      </c>
      <c r="BM151" s="504">
        <v>0</v>
      </c>
      <c r="BN151" s="504">
        <v>0</v>
      </c>
      <c r="BO151" s="504">
        <v>0</v>
      </c>
      <c r="BP151" s="504">
        <v>0</v>
      </c>
      <c r="BQ151" s="504">
        <v>0</v>
      </c>
      <c r="BR151" s="504">
        <v>0</v>
      </c>
      <c r="BS151" s="504">
        <v>0</v>
      </c>
      <c r="BT151" s="504">
        <v>0</v>
      </c>
      <c r="BU151" s="504">
        <v>0</v>
      </c>
      <c r="BV151" s="504">
        <v>0</v>
      </c>
      <c r="BW151" s="504">
        <v>0</v>
      </c>
      <c r="BX151" s="504">
        <v>0</v>
      </c>
      <c r="BY151" s="504">
        <v>0</v>
      </c>
      <c r="BZ151" s="504">
        <v>0</v>
      </c>
      <c r="CA151" s="504">
        <v>0</v>
      </c>
      <c r="CB151" s="504">
        <v>0</v>
      </c>
      <c r="CC151" s="504">
        <v>0</v>
      </c>
      <c r="CD151" s="504">
        <v>0</v>
      </c>
      <c r="CE151" s="504">
        <v>0</v>
      </c>
      <c r="CF151" s="504">
        <v>0</v>
      </c>
      <c r="CG151" s="504">
        <v>0</v>
      </c>
      <c r="CH151" s="504">
        <v>0</v>
      </c>
      <c r="CI151" s="504">
        <v>0</v>
      </c>
      <c r="CJ151" s="504">
        <v>0</v>
      </c>
      <c r="CK151" s="504">
        <v>0</v>
      </c>
      <c r="CL151" s="504">
        <v>0</v>
      </c>
      <c r="CM151" s="504">
        <v>0</v>
      </c>
      <c r="CN151" s="504">
        <v>0</v>
      </c>
      <c r="CO151" s="504">
        <v>0</v>
      </c>
      <c r="CP151" s="504">
        <v>0</v>
      </c>
      <c r="CQ151" s="504">
        <v>0</v>
      </c>
      <c r="CR151" s="504">
        <v>0</v>
      </c>
      <c r="CS151" s="504">
        <v>0</v>
      </c>
      <c r="CT151" s="504">
        <v>0</v>
      </c>
      <c r="CU151" s="504">
        <v>0</v>
      </c>
      <c r="CV151" s="504">
        <v>0</v>
      </c>
      <c r="CW151" s="504">
        <v>0</v>
      </c>
      <c r="CX151" s="504">
        <v>0</v>
      </c>
      <c r="CY151" s="504">
        <v>0</v>
      </c>
      <c r="CZ151" s="504">
        <v>0</v>
      </c>
      <c r="DA151" s="504">
        <v>0</v>
      </c>
      <c r="DB151" s="504">
        <v>0</v>
      </c>
      <c r="DC151" s="504">
        <v>0</v>
      </c>
      <c r="DD151" s="504">
        <v>0</v>
      </c>
      <c r="DE151" s="504">
        <v>0</v>
      </c>
      <c r="DF151" s="504">
        <v>0</v>
      </c>
      <c r="DG151" s="504">
        <v>0</v>
      </c>
      <c r="DH151" s="504">
        <v>0</v>
      </c>
      <c r="DI151" s="504">
        <v>0</v>
      </c>
      <c r="DJ151" s="504">
        <v>0</v>
      </c>
      <c r="DK151" s="504">
        <v>0</v>
      </c>
      <c r="DL151" s="504">
        <v>0</v>
      </c>
      <c r="DM151" s="504">
        <v>0</v>
      </c>
      <c r="DN151" s="504">
        <v>0</v>
      </c>
      <c r="DO151" s="504">
        <v>0</v>
      </c>
      <c r="DP151" s="504">
        <v>0</v>
      </c>
      <c r="DQ151" s="504">
        <v>0</v>
      </c>
      <c r="DR151" s="504">
        <v>0</v>
      </c>
      <c r="DS151" s="504">
        <v>0</v>
      </c>
      <c r="DT151" s="504">
        <v>0</v>
      </c>
      <c r="DU151" s="504">
        <v>0</v>
      </c>
      <c r="DV151" s="504">
        <v>0</v>
      </c>
      <c r="DW151" s="504">
        <v>0</v>
      </c>
      <c r="DX151" s="504">
        <v>0</v>
      </c>
      <c r="DY151" s="504">
        <v>0</v>
      </c>
      <c r="DZ151" s="504">
        <v>0</v>
      </c>
      <c r="EA151" s="504">
        <v>0</v>
      </c>
      <c r="EB151" s="504">
        <v>0</v>
      </c>
      <c r="EC151" s="504">
        <v>0</v>
      </c>
      <c r="ED151" s="504">
        <v>0</v>
      </c>
      <c r="EE151" s="504">
        <v>0</v>
      </c>
      <c r="EF151" s="504">
        <v>0</v>
      </c>
      <c r="EG151" s="504">
        <v>0</v>
      </c>
      <c r="EH151" s="504">
        <v>0</v>
      </c>
      <c r="EI151" s="504">
        <v>0</v>
      </c>
      <c r="EJ151" s="504">
        <v>0</v>
      </c>
      <c r="EK151" s="504">
        <v>0</v>
      </c>
      <c r="EL151" s="504">
        <v>0</v>
      </c>
      <c r="EM151" s="504">
        <v>0</v>
      </c>
      <c r="EN151" s="504">
        <v>0</v>
      </c>
      <c r="EO151" s="504">
        <v>0</v>
      </c>
      <c r="EP151" s="504">
        <v>0</v>
      </c>
      <c r="EQ151" s="504">
        <v>0</v>
      </c>
      <c r="ER151" s="504">
        <v>0</v>
      </c>
      <c r="ES151" s="504">
        <v>0</v>
      </c>
      <c r="ET151" s="504">
        <v>0</v>
      </c>
      <c r="EU151" s="504">
        <v>0</v>
      </c>
      <c r="EV151" s="504">
        <v>0</v>
      </c>
      <c r="EW151" s="504">
        <v>0</v>
      </c>
      <c r="EX151" s="504">
        <v>0</v>
      </c>
      <c r="EY151" s="504">
        <v>0</v>
      </c>
      <c r="EZ151" s="504">
        <v>0</v>
      </c>
      <c r="FA151" s="504">
        <v>0</v>
      </c>
      <c r="FB151" s="504">
        <v>0</v>
      </c>
      <c r="FC151" s="504">
        <v>0</v>
      </c>
      <c r="FD151" s="504">
        <v>0</v>
      </c>
      <c r="FE151" s="504">
        <v>0</v>
      </c>
      <c r="FF151" s="504">
        <v>0</v>
      </c>
      <c r="FG151" s="504">
        <v>0</v>
      </c>
      <c r="FH151" s="504">
        <v>0</v>
      </c>
      <c r="FI151" s="504">
        <v>0</v>
      </c>
      <c r="FJ151" s="504">
        <v>0</v>
      </c>
      <c r="FK151" s="504">
        <v>0</v>
      </c>
      <c r="FL151" s="504">
        <v>0</v>
      </c>
      <c r="FM151" s="504">
        <v>0</v>
      </c>
      <c r="FN151" s="504">
        <v>0</v>
      </c>
      <c r="FO151" s="504">
        <v>0</v>
      </c>
      <c r="FP151" s="504">
        <v>0</v>
      </c>
      <c r="FQ151" s="504">
        <v>0</v>
      </c>
      <c r="FR151" s="504">
        <v>0</v>
      </c>
      <c r="FS151" s="504">
        <v>0</v>
      </c>
      <c r="FT151" s="504">
        <v>0</v>
      </c>
      <c r="FU151" s="504">
        <v>0</v>
      </c>
      <c r="FV151" s="504">
        <v>0</v>
      </c>
      <c r="FW151" s="504">
        <v>0</v>
      </c>
      <c r="FX151" s="504">
        <v>0</v>
      </c>
      <c r="FY151" s="504">
        <v>0</v>
      </c>
      <c r="FZ151" s="504">
        <v>0</v>
      </c>
      <c r="GA151" s="504">
        <v>0</v>
      </c>
      <c r="GB151" s="504">
        <v>0</v>
      </c>
      <c r="GC151" s="504">
        <v>0</v>
      </c>
      <c r="GD151" s="504">
        <v>0</v>
      </c>
      <c r="GE151" s="504">
        <v>0</v>
      </c>
      <c r="GF151" s="504">
        <v>0</v>
      </c>
      <c r="GG151" s="504">
        <v>0</v>
      </c>
      <c r="GH151" s="504">
        <v>0</v>
      </c>
      <c r="GI151" s="504">
        <v>0</v>
      </c>
      <c r="GJ151" s="504">
        <v>0</v>
      </c>
      <c r="GK151" s="504">
        <v>0</v>
      </c>
      <c r="GL151" s="504">
        <v>0</v>
      </c>
      <c r="GM151" s="504">
        <v>0</v>
      </c>
      <c r="GN151" s="504">
        <v>0</v>
      </c>
      <c r="GO151" s="504">
        <v>0</v>
      </c>
      <c r="GP151" s="504">
        <v>0</v>
      </c>
      <c r="GQ151" s="504">
        <v>0</v>
      </c>
      <c r="GR151" s="504">
        <v>0</v>
      </c>
      <c r="GS151" s="504">
        <v>0</v>
      </c>
      <c r="GT151" s="504">
        <v>0</v>
      </c>
      <c r="GU151" s="504">
        <v>0</v>
      </c>
      <c r="GV151" s="504">
        <v>0</v>
      </c>
      <c r="GW151" s="504">
        <v>0</v>
      </c>
      <c r="GX151" s="504">
        <v>0</v>
      </c>
      <c r="GY151" s="504">
        <v>0</v>
      </c>
      <c r="GZ151" s="504">
        <v>0</v>
      </c>
      <c r="HA151" s="504">
        <v>0</v>
      </c>
      <c r="HB151" s="504">
        <v>0</v>
      </c>
      <c r="HC151" s="504">
        <v>0</v>
      </c>
      <c r="HD151" s="504">
        <v>0</v>
      </c>
      <c r="HE151" s="504">
        <v>0</v>
      </c>
      <c r="HF151" s="504">
        <v>0</v>
      </c>
      <c r="HG151" s="504">
        <v>0</v>
      </c>
      <c r="HH151" s="504">
        <v>0</v>
      </c>
      <c r="HI151" s="504">
        <v>0</v>
      </c>
      <c r="HJ151" s="504">
        <v>0</v>
      </c>
      <c r="HK151" s="504">
        <v>0</v>
      </c>
      <c r="HL151" s="504">
        <v>0</v>
      </c>
      <c r="HM151" s="504">
        <v>0</v>
      </c>
      <c r="HN151" s="504">
        <v>0</v>
      </c>
      <c r="HO151" s="504">
        <v>0</v>
      </c>
      <c r="HP151" s="504">
        <v>0</v>
      </c>
      <c r="HQ151" s="504">
        <v>0</v>
      </c>
      <c r="HR151" s="504">
        <v>0</v>
      </c>
      <c r="HS151" s="504">
        <v>0</v>
      </c>
      <c r="HT151" s="504">
        <v>0</v>
      </c>
      <c r="HU151" s="504">
        <v>0</v>
      </c>
      <c r="HV151" s="504">
        <v>0</v>
      </c>
      <c r="HW151" s="504">
        <v>0</v>
      </c>
      <c r="HX151" s="504">
        <v>0</v>
      </c>
      <c r="HY151" s="504">
        <v>0</v>
      </c>
      <c r="HZ151" s="504">
        <v>0</v>
      </c>
      <c r="IA151" s="504">
        <v>0</v>
      </c>
      <c r="IB151" s="504">
        <v>0</v>
      </c>
      <c r="IC151" s="504">
        <v>0</v>
      </c>
      <c r="ID151" s="504">
        <v>0</v>
      </c>
      <c r="IE151" s="504">
        <v>0</v>
      </c>
      <c r="IF151" s="504">
        <v>0</v>
      </c>
      <c r="IG151" s="504">
        <v>0</v>
      </c>
      <c r="IH151" s="504">
        <v>0</v>
      </c>
      <c r="II151" s="504">
        <v>0</v>
      </c>
      <c r="IJ151" s="504">
        <v>0</v>
      </c>
      <c r="IK151" s="504">
        <v>0</v>
      </c>
      <c r="IL151" s="504">
        <v>0</v>
      </c>
      <c r="IM151" s="504">
        <v>0</v>
      </c>
      <c r="IN151" s="504">
        <v>0</v>
      </c>
      <c r="IO151" s="504">
        <v>0</v>
      </c>
      <c r="IP151" s="504">
        <v>0</v>
      </c>
      <c r="IQ151" s="504">
        <v>0</v>
      </c>
      <c r="IR151" s="504">
        <v>0</v>
      </c>
      <c r="IS151" s="504">
        <v>0</v>
      </c>
      <c r="IT151" s="504">
        <v>0</v>
      </c>
      <c r="IU151" s="504">
        <v>0</v>
      </c>
      <c r="IV151" s="504">
        <v>0</v>
      </c>
      <c r="IW151" s="504">
        <v>0</v>
      </c>
      <c r="IX151" s="504">
        <v>0</v>
      </c>
      <c r="IY151" s="504">
        <v>0</v>
      </c>
      <c r="IZ151" s="504">
        <v>0</v>
      </c>
      <c r="JA151" s="504">
        <v>0</v>
      </c>
      <c r="JB151" s="504">
        <v>0</v>
      </c>
      <c r="JC151" s="504">
        <v>0</v>
      </c>
      <c r="JD151" s="504">
        <v>0</v>
      </c>
      <c r="JE151" s="504">
        <v>0</v>
      </c>
      <c r="JF151" s="504">
        <v>0</v>
      </c>
      <c r="JG151" s="504">
        <v>0</v>
      </c>
      <c r="JH151" s="504">
        <v>0</v>
      </c>
      <c r="JI151" s="504">
        <v>0</v>
      </c>
      <c r="JJ151" s="504">
        <v>0</v>
      </c>
      <c r="JK151" s="504">
        <v>0</v>
      </c>
      <c r="JL151" s="504">
        <v>0</v>
      </c>
      <c r="JM151" s="504">
        <v>0</v>
      </c>
      <c r="JN151" s="504">
        <v>0</v>
      </c>
      <c r="JO151" s="504">
        <v>0</v>
      </c>
      <c r="JP151" s="504">
        <v>0</v>
      </c>
      <c r="JQ151" s="504">
        <v>0</v>
      </c>
      <c r="JR151" s="504">
        <v>0</v>
      </c>
      <c r="JS151" s="504">
        <v>0</v>
      </c>
      <c r="JT151" s="504">
        <v>0</v>
      </c>
      <c r="JU151" s="504">
        <v>0</v>
      </c>
      <c r="JV151" s="504">
        <v>0</v>
      </c>
      <c r="JW151" s="504">
        <v>0</v>
      </c>
      <c r="JX151" s="504">
        <v>0</v>
      </c>
      <c r="JY151" s="504">
        <v>0</v>
      </c>
      <c r="JZ151" s="504">
        <v>0</v>
      </c>
      <c r="KA151" s="504">
        <v>0</v>
      </c>
      <c r="KB151" s="504">
        <v>0</v>
      </c>
      <c r="KC151" s="504">
        <v>0</v>
      </c>
      <c r="KD151" s="504">
        <v>0</v>
      </c>
      <c r="KE151" s="504">
        <v>0</v>
      </c>
      <c r="KF151" s="504">
        <v>0</v>
      </c>
      <c r="KG151" s="504">
        <v>0</v>
      </c>
      <c r="KH151" s="504">
        <v>0</v>
      </c>
      <c r="KI151" s="504">
        <v>0</v>
      </c>
      <c r="KJ151" s="504">
        <v>0</v>
      </c>
      <c r="KK151" s="504">
        <v>0</v>
      </c>
      <c r="KL151" s="504">
        <v>0</v>
      </c>
      <c r="KM151" s="504">
        <v>0</v>
      </c>
      <c r="KN151" s="504">
        <v>0</v>
      </c>
      <c r="KO151" s="504">
        <v>0</v>
      </c>
      <c r="KP151" s="504">
        <v>0</v>
      </c>
      <c r="KQ151" s="504">
        <v>0</v>
      </c>
      <c r="KR151" s="504">
        <v>0</v>
      </c>
      <c r="KS151" s="504">
        <v>0</v>
      </c>
      <c r="KT151" s="504">
        <v>0</v>
      </c>
      <c r="KU151" s="504">
        <v>0</v>
      </c>
      <c r="KV151" s="504">
        <v>0</v>
      </c>
      <c r="KW151" s="504">
        <v>0</v>
      </c>
      <c r="KX151" s="504">
        <v>0</v>
      </c>
      <c r="KY151" s="504">
        <v>0</v>
      </c>
      <c r="KZ151" s="504">
        <v>0</v>
      </c>
      <c r="LA151" s="504">
        <v>0</v>
      </c>
      <c r="LB151" s="504">
        <v>0</v>
      </c>
      <c r="LC151" s="504">
        <v>0</v>
      </c>
      <c r="LD151" s="504">
        <v>0</v>
      </c>
      <c r="LE151" s="504">
        <v>0</v>
      </c>
      <c r="LF151" s="504">
        <v>0</v>
      </c>
      <c r="LG151" s="504">
        <v>0</v>
      </c>
      <c r="LH151" s="504">
        <v>0</v>
      </c>
      <c r="LI151" s="504">
        <v>0</v>
      </c>
      <c r="LJ151" s="504">
        <v>0</v>
      </c>
      <c r="LK151" s="504">
        <v>0</v>
      </c>
      <c r="LL151" s="504">
        <v>0</v>
      </c>
      <c r="LM151" s="504">
        <v>0</v>
      </c>
      <c r="LN151" s="504">
        <v>0</v>
      </c>
      <c r="LO151" s="504">
        <v>0</v>
      </c>
      <c r="LP151" s="504">
        <v>0</v>
      </c>
      <c r="LQ151" s="504">
        <v>0</v>
      </c>
      <c r="LR151" s="504">
        <v>0</v>
      </c>
      <c r="LS151" s="504">
        <v>0</v>
      </c>
      <c r="LT151" s="504">
        <v>0</v>
      </c>
      <c r="LU151" s="504">
        <v>0</v>
      </c>
      <c r="LV151" s="504">
        <v>0</v>
      </c>
      <c r="LW151" s="504">
        <v>0</v>
      </c>
      <c r="LX151" s="504">
        <v>0</v>
      </c>
      <c r="LY151" s="504">
        <v>0</v>
      </c>
      <c r="LZ151" s="504">
        <v>0</v>
      </c>
      <c r="MA151" s="504">
        <v>0</v>
      </c>
      <c r="MB151" s="504">
        <v>0</v>
      </c>
      <c r="MC151" s="504">
        <v>0</v>
      </c>
      <c r="MD151" s="504">
        <v>0</v>
      </c>
      <c r="ME151" s="504">
        <v>0</v>
      </c>
      <c r="MF151" s="504">
        <v>0</v>
      </c>
      <c r="MG151" s="504">
        <v>0</v>
      </c>
      <c r="MH151" s="504">
        <v>0</v>
      </c>
      <c r="MI151" s="504">
        <v>0</v>
      </c>
      <c r="MJ151" s="504">
        <v>0</v>
      </c>
      <c r="MK151" s="504">
        <v>0</v>
      </c>
      <c r="ML151" s="504">
        <v>0</v>
      </c>
      <c r="MM151" s="504">
        <v>0</v>
      </c>
      <c r="MN151" s="504">
        <v>0</v>
      </c>
      <c r="MO151" s="504">
        <v>0</v>
      </c>
      <c r="MP151" s="504">
        <v>0</v>
      </c>
      <c r="MQ151" s="504">
        <v>0</v>
      </c>
      <c r="MR151" s="504">
        <v>0</v>
      </c>
      <c r="MS151" s="504">
        <v>0</v>
      </c>
      <c r="MT151" s="504">
        <v>0</v>
      </c>
      <c r="MU151" s="504">
        <v>0</v>
      </c>
      <c r="MV151" s="504">
        <v>0</v>
      </c>
      <c r="MW151" s="504">
        <v>0</v>
      </c>
      <c r="MX151" s="504">
        <v>0</v>
      </c>
      <c r="MY151" s="504">
        <v>0</v>
      </c>
      <c r="MZ151" s="504">
        <v>0</v>
      </c>
      <c r="NA151" s="504">
        <v>0</v>
      </c>
      <c r="NB151" s="504">
        <v>0</v>
      </c>
      <c r="NC151" s="504">
        <v>0</v>
      </c>
      <c r="ND151" s="504">
        <v>0</v>
      </c>
      <c r="NE151" s="504">
        <v>0</v>
      </c>
      <c r="NF151" s="504">
        <v>0</v>
      </c>
      <c r="NG151" s="504">
        <v>0</v>
      </c>
      <c r="NH151" s="504">
        <v>0</v>
      </c>
      <c r="NI151" s="504">
        <v>0</v>
      </c>
      <c r="NJ151" s="504">
        <v>0</v>
      </c>
      <c r="NK151" s="504">
        <v>0</v>
      </c>
      <c r="NL151" s="504">
        <v>0</v>
      </c>
      <c r="NM151" s="504">
        <v>0</v>
      </c>
      <c r="NN151" s="504">
        <v>0</v>
      </c>
      <c r="NO151" s="504">
        <v>0</v>
      </c>
      <c r="NP151" s="504">
        <v>0</v>
      </c>
      <c r="NQ151" s="504">
        <v>0</v>
      </c>
      <c r="NR151" s="504">
        <v>0</v>
      </c>
      <c r="NS151" s="504">
        <v>0</v>
      </c>
      <c r="NT151" s="504">
        <v>0</v>
      </c>
      <c r="NU151" s="504">
        <v>0</v>
      </c>
      <c r="NV151" s="504">
        <v>0</v>
      </c>
      <c r="NW151" s="504">
        <v>0</v>
      </c>
      <c r="NX151" s="504">
        <v>0</v>
      </c>
      <c r="NY151" s="504">
        <v>0</v>
      </c>
      <c r="NZ151" s="504">
        <v>0</v>
      </c>
      <c r="OA151" s="504">
        <v>0</v>
      </c>
      <c r="OB151" s="504">
        <v>0</v>
      </c>
      <c r="OC151" s="504">
        <v>0</v>
      </c>
      <c r="OD151" s="504">
        <v>0</v>
      </c>
      <c r="OE151" s="504">
        <v>0</v>
      </c>
      <c r="OF151" s="504">
        <v>0</v>
      </c>
      <c r="OG151" s="504">
        <v>0</v>
      </c>
      <c r="OH151" s="504">
        <v>0</v>
      </c>
      <c r="OI151" s="504">
        <v>0</v>
      </c>
      <c r="OJ151" s="504">
        <v>0</v>
      </c>
      <c r="OK151" s="504">
        <v>0</v>
      </c>
      <c r="OL151" s="504">
        <v>0</v>
      </c>
      <c r="OM151" s="504">
        <v>0</v>
      </c>
      <c r="ON151" s="494"/>
    </row>
    <row r="152" spans="1:404" ht="18.75" customHeight="1" x14ac:dyDescent="0.4">
      <c r="A152" s="511" t="s">
        <v>422</v>
      </c>
      <c r="B152" s="512">
        <v>217</v>
      </c>
      <c r="C152" s="511" t="s">
        <v>60</v>
      </c>
      <c r="D152" s="501">
        <v>46.78</v>
      </c>
      <c r="E152" s="502">
        <v>15937</v>
      </c>
      <c r="F152" s="501">
        <v>46.76</v>
      </c>
      <c r="G152" s="502">
        <v>3594</v>
      </c>
      <c r="H152" s="501">
        <v>46.76</v>
      </c>
      <c r="I152" s="502">
        <v>9867</v>
      </c>
      <c r="J152" s="501">
        <v>46.76</v>
      </c>
      <c r="K152" s="502">
        <v>10902</v>
      </c>
      <c r="V152" s="501"/>
      <c r="W152" s="503"/>
      <c r="X152" s="501"/>
      <c r="Y152" s="503"/>
      <c r="Z152" s="501"/>
      <c r="AA152" s="503"/>
      <c r="AB152" s="495"/>
      <c r="AC152" s="504">
        <v>0</v>
      </c>
      <c r="AD152" s="504">
        <v>0</v>
      </c>
      <c r="AE152" s="504">
        <v>0</v>
      </c>
      <c r="AF152" s="504">
        <v>0</v>
      </c>
      <c r="AG152" s="504">
        <v>0</v>
      </c>
      <c r="AH152" s="504">
        <v>0</v>
      </c>
      <c r="AI152" s="504">
        <v>0</v>
      </c>
      <c r="AJ152" s="504">
        <v>0</v>
      </c>
      <c r="AK152" s="504">
        <v>0</v>
      </c>
      <c r="AL152" s="504">
        <v>0</v>
      </c>
      <c r="AM152" s="504">
        <v>0</v>
      </c>
      <c r="AN152" s="504">
        <v>0</v>
      </c>
      <c r="AO152" s="504">
        <v>0</v>
      </c>
      <c r="AP152" s="504">
        <v>0</v>
      </c>
      <c r="AQ152" s="504">
        <v>0</v>
      </c>
      <c r="AR152" s="504">
        <v>0</v>
      </c>
      <c r="AS152" s="504">
        <v>0</v>
      </c>
      <c r="AT152" s="504">
        <v>0</v>
      </c>
      <c r="AU152" s="504">
        <v>0</v>
      </c>
      <c r="AV152" s="504">
        <v>0</v>
      </c>
      <c r="AW152" s="504">
        <v>0</v>
      </c>
      <c r="AX152" s="504">
        <v>0</v>
      </c>
      <c r="AY152" s="504">
        <v>0</v>
      </c>
      <c r="AZ152" s="504">
        <v>0</v>
      </c>
      <c r="BA152" s="504">
        <v>0</v>
      </c>
      <c r="BB152" s="504">
        <v>0</v>
      </c>
      <c r="BC152" s="504">
        <v>0</v>
      </c>
      <c r="BD152" s="504">
        <v>0</v>
      </c>
      <c r="BE152" s="504">
        <v>0</v>
      </c>
      <c r="BF152" s="504">
        <v>0</v>
      </c>
      <c r="BG152" s="504">
        <v>0</v>
      </c>
      <c r="BH152" s="504">
        <v>0</v>
      </c>
      <c r="BI152" s="504">
        <v>0</v>
      </c>
      <c r="BJ152" s="504">
        <v>0</v>
      </c>
      <c r="BK152" s="504">
        <v>0</v>
      </c>
      <c r="BL152" s="504">
        <v>0</v>
      </c>
      <c r="BM152" s="504">
        <v>0</v>
      </c>
      <c r="BN152" s="504">
        <v>0</v>
      </c>
      <c r="BO152" s="504">
        <v>0</v>
      </c>
      <c r="BP152" s="504">
        <v>0</v>
      </c>
      <c r="BQ152" s="504">
        <v>0</v>
      </c>
      <c r="BR152" s="504">
        <v>0</v>
      </c>
      <c r="BS152" s="504">
        <v>0</v>
      </c>
      <c r="BT152" s="504">
        <v>0</v>
      </c>
      <c r="BU152" s="504">
        <v>0</v>
      </c>
      <c r="BV152" s="504">
        <v>0</v>
      </c>
      <c r="BW152" s="504">
        <v>0</v>
      </c>
      <c r="BX152" s="504">
        <v>0</v>
      </c>
      <c r="BY152" s="504">
        <v>0</v>
      </c>
      <c r="BZ152" s="504">
        <v>0</v>
      </c>
      <c r="CA152" s="504">
        <v>0</v>
      </c>
      <c r="CB152" s="504">
        <v>0</v>
      </c>
      <c r="CC152" s="504">
        <v>0</v>
      </c>
      <c r="CD152" s="504">
        <v>0</v>
      </c>
      <c r="CE152" s="504">
        <v>0</v>
      </c>
      <c r="CF152" s="504">
        <v>0</v>
      </c>
      <c r="CG152" s="504">
        <v>0</v>
      </c>
      <c r="CH152" s="504">
        <v>0</v>
      </c>
      <c r="CI152" s="504">
        <v>0</v>
      </c>
      <c r="CJ152" s="504">
        <v>0</v>
      </c>
      <c r="CK152" s="504">
        <v>0</v>
      </c>
      <c r="CL152" s="504">
        <v>0</v>
      </c>
      <c r="CM152" s="504">
        <v>0</v>
      </c>
      <c r="CN152" s="504">
        <v>0</v>
      </c>
      <c r="CO152" s="504">
        <v>0</v>
      </c>
      <c r="CP152" s="504">
        <v>0</v>
      </c>
      <c r="CQ152" s="504">
        <v>0</v>
      </c>
      <c r="CR152" s="504">
        <v>0</v>
      </c>
      <c r="CS152" s="504">
        <v>0</v>
      </c>
      <c r="CT152" s="504">
        <v>0</v>
      </c>
      <c r="CU152" s="504">
        <v>0</v>
      </c>
      <c r="CV152" s="504">
        <v>0</v>
      </c>
      <c r="CW152" s="504">
        <v>0</v>
      </c>
      <c r="CX152" s="504">
        <v>0</v>
      </c>
      <c r="CY152" s="504">
        <v>0</v>
      </c>
      <c r="CZ152" s="504">
        <v>0</v>
      </c>
      <c r="DA152" s="504">
        <v>0</v>
      </c>
      <c r="DB152" s="504">
        <v>0</v>
      </c>
      <c r="DC152" s="504">
        <v>0</v>
      </c>
      <c r="DD152" s="504">
        <v>0</v>
      </c>
      <c r="DE152" s="504">
        <v>0</v>
      </c>
      <c r="DF152" s="504">
        <v>0</v>
      </c>
      <c r="DG152" s="504">
        <v>0</v>
      </c>
      <c r="DH152" s="504">
        <v>0</v>
      </c>
      <c r="DI152" s="504">
        <v>0</v>
      </c>
      <c r="DJ152" s="504">
        <v>0</v>
      </c>
      <c r="DK152" s="504">
        <v>0</v>
      </c>
      <c r="DL152" s="504">
        <v>0</v>
      </c>
      <c r="DM152" s="504">
        <v>0</v>
      </c>
      <c r="DN152" s="504">
        <v>0</v>
      </c>
      <c r="DO152" s="504">
        <v>0</v>
      </c>
      <c r="DP152" s="504">
        <v>0</v>
      </c>
      <c r="DQ152" s="504">
        <v>0</v>
      </c>
      <c r="DR152" s="504">
        <v>0</v>
      </c>
      <c r="DS152" s="504">
        <v>0</v>
      </c>
      <c r="DT152" s="504">
        <v>0</v>
      </c>
      <c r="DU152" s="504">
        <v>0</v>
      </c>
      <c r="DV152" s="504">
        <v>0</v>
      </c>
      <c r="DW152" s="504">
        <v>0</v>
      </c>
      <c r="DX152" s="504">
        <v>0</v>
      </c>
      <c r="DY152" s="504">
        <v>0</v>
      </c>
      <c r="DZ152" s="504">
        <v>0</v>
      </c>
      <c r="EA152" s="504">
        <v>0</v>
      </c>
      <c r="EB152" s="504">
        <v>0</v>
      </c>
      <c r="EC152" s="504">
        <v>0</v>
      </c>
      <c r="ED152" s="504">
        <v>0</v>
      </c>
      <c r="EE152" s="504">
        <v>0</v>
      </c>
      <c r="EF152" s="504">
        <v>0</v>
      </c>
      <c r="EG152" s="504">
        <v>0</v>
      </c>
      <c r="EH152" s="504">
        <v>0</v>
      </c>
      <c r="EI152" s="504">
        <v>0</v>
      </c>
      <c r="EJ152" s="504">
        <v>0</v>
      </c>
      <c r="EK152" s="504">
        <v>0</v>
      </c>
      <c r="EL152" s="504">
        <v>0</v>
      </c>
      <c r="EM152" s="504">
        <v>0</v>
      </c>
      <c r="EN152" s="504">
        <v>0</v>
      </c>
      <c r="EO152" s="504">
        <v>0</v>
      </c>
      <c r="EP152" s="504">
        <v>0</v>
      </c>
      <c r="EQ152" s="504">
        <v>0</v>
      </c>
      <c r="ER152" s="504">
        <v>0</v>
      </c>
      <c r="ES152" s="504">
        <v>0</v>
      </c>
      <c r="ET152" s="504">
        <v>0</v>
      </c>
      <c r="EU152" s="504">
        <v>0</v>
      </c>
      <c r="EV152" s="504">
        <v>0</v>
      </c>
      <c r="EW152" s="504">
        <v>0</v>
      </c>
      <c r="EX152" s="504">
        <v>0</v>
      </c>
      <c r="EY152" s="504">
        <v>0</v>
      </c>
      <c r="EZ152" s="504">
        <v>0</v>
      </c>
      <c r="FA152" s="504">
        <v>0</v>
      </c>
      <c r="FB152" s="504">
        <v>0</v>
      </c>
      <c r="FC152" s="504">
        <v>0</v>
      </c>
      <c r="FD152" s="504">
        <v>0</v>
      </c>
      <c r="FE152" s="504">
        <v>0</v>
      </c>
      <c r="FF152" s="504">
        <v>0</v>
      </c>
      <c r="FG152" s="504">
        <v>0</v>
      </c>
      <c r="FH152" s="504">
        <v>0</v>
      </c>
      <c r="FI152" s="504">
        <v>0</v>
      </c>
      <c r="FJ152" s="504">
        <v>0</v>
      </c>
      <c r="FK152" s="504">
        <v>0</v>
      </c>
      <c r="FL152" s="504">
        <v>0</v>
      </c>
      <c r="FM152" s="504">
        <v>0</v>
      </c>
      <c r="FN152" s="504">
        <v>0</v>
      </c>
      <c r="FO152" s="504">
        <v>0</v>
      </c>
      <c r="FP152" s="504">
        <v>0</v>
      </c>
      <c r="FQ152" s="504">
        <v>0</v>
      </c>
      <c r="FR152" s="504">
        <v>0</v>
      </c>
      <c r="FS152" s="504">
        <v>0</v>
      </c>
      <c r="FT152" s="504">
        <v>0</v>
      </c>
      <c r="FU152" s="504">
        <v>0</v>
      </c>
      <c r="FV152" s="504">
        <v>0</v>
      </c>
      <c r="FW152" s="504">
        <v>0</v>
      </c>
      <c r="FX152" s="504">
        <v>0</v>
      </c>
      <c r="FY152" s="504">
        <v>0</v>
      </c>
      <c r="FZ152" s="504">
        <v>0</v>
      </c>
      <c r="GA152" s="504">
        <v>0</v>
      </c>
      <c r="GB152" s="504">
        <v>0</v>
      </c>
      <c r="GC152" s="504">
        <v>0</v>
      </c>
      <c r="GD152" s="504">
        <v>0</v>
      </c>
      <c r="GE152" s="504">
        <v>0</v>
      </c>
      <c r="GF152" s="504">
        <v>0</v>
      </c>
      <c r="GG152" s="504">
        <v>0</v>
      </c>
      <c r="GH152" s="504">
        <v>0</v>
      </c>
      <c r="GI152" s="504">
        <v>0</v>
      </c>
      <c r="GJ152" s="504">
        <v>0</v>
      </c>
      <c r="GK152" s="504">
        <v>0</v>
      </c>
      <c r="GL152" s="504">
        <v>0</v>
      </c>
      <c r="GM152" s="504">
        <v>0</v>
      </c>
      <c r="GN152" s="504">
        <v>0</v>
      </c>
      <c r="GO152" s="504">
        <v>0</v>
      </c>
      <c r="GP152" s="504">
        <v>0</v>
      </c>
      <c r="GQ152" s="504">
        <v>0</v>
      </c>
      <c r="GR152" s="504">
        <v>0</v>
      </c>
      <c r="GS152" s="504">
        <v>0</v>
      </c>
      <c r="GT152" s="504">
        <v>0</v>
      </c>
      <c r="GU152" s="504">
        <v>0</v>
      </c>
      <c r="GV152" s="504">
        <v>0</v>
      </c>
      <c r="GW152" s="504">
        <v>0</v>
      </c>
      <c r="GX152" s="504">
        <v>0</v>
      </c>
      <c r="GY152" s="504">
        <v>0</v>
      </c>
      <c r="GZ152" s="504">
        <v>0</v>
      </c>
      <c r="HA152" s="504">
        <v>0</v>
      </c>
      <c r="HB152" s="504">
        <v>0</v>
      </c>
      <c r="HC152" s="504">
        <v>0</v>
      </c>
      <c r="HD152" s="504">
        <v>0</v>
      </c>
      <c r="HE152" s="504">
        <v>0</v>
      </c>
      <c r="HF152" s="504">
        <v>0</v>
      </c>
      <c r="HG152" s="504">
        <v>0</v>
      </c>
      <c r="HH152" s="504">
        <v>0</v>
      </c>
      <c r="HI152" s="504">
        <v>0</v>
      </c>
      <c r="HJ152" s="504">
        <v>0</v>
      </c>
      <c r="HK152" s="504">
        <v>0</v>
      </c>
      <c r="HL152" s="504">
        <v>0</v>
      </c>
      <c r="HM152" s="504">
        <v>0</v>
      </c>
      <c r="HN152" s="504">
        <v>0</v>
      </c>
      <c r="HO152" s="504">
        <v>0</v>
      </c>
      <c r="HP152" s="504">
        <v>0</v>
      </c>
      <c r="HQ152" s="504">
        <v>0</v>
      </c>
      <c r="HR152" s="504">
        <v>0</v>
      </c>
      <c r="HS152" s="504">
        <v>0</v>
      </c>
      <c r="HT152" s="504">
        <v>0</v>
      </c>
      <c r="HU152" s="504">
        <v>0</v>
      </c>
      <c r="HV152" s="504">
        <v>0</v>
      </c>
      <c r="HW152" s="504">
        <v>0</v>
      </c>
      <c r="HX152" s="504">
        <v>0</v>
      </c>
      <c r="HY152" s="504">
        <v>0</v>
      </c>
      <c r="HZ152" s="504">
        <v>0</v>
      </c>
      <c r="IA152" s="504">
        <v>0</v>
      </c>
      <c r="IB152" s="504">
        <v>0</v>
      </c>
      <c r="IC152" s="504">
        <v>0</v>
      </c>
      <c r="ID152" s="504">
        <v>0</v>
      </c>
      <c r="IE152" s="504">
        <v>0</v>
      </c>
      <c r="IF152" s="504">
        <v>0</v>
      </c>
      <c r="IG152" s="504">
        <v>0</v>
      </c>
      <c r="IH152" s="504">
        <v>0</v>
      </c>
      <c r="II152" s="504">
        <v>0</v>
      </c>
      <c r="IJ152" s="504">
        <v>0</v>
      </c>
      <c r="IK152" s="504">
        <v>0</v>
      </c>
      <c r="IL152" s="504">
        <v>0</v>
      </c>
      <c r="IM152" s="504">
        <v>0</v>
      </c>
      <c r="IN152" s="504">
        <v>0</v>
      </c>
      <c r="IO152" s="504">
        <v>0</v>
      </c>
      <c r="IP152" s="504">
        <v>0</v>
      </c>
      <c r="IQ152" s="504">
        <v>0</v>
      </c>
      <c r="IR152" s="504">
        <v>0</v>
      </c>
      <c r="IS152" s="504">
        <v>0</v>
      </c>
      <c r="IT152" s="504">
        <v>0</v>
      </c>
      <c r="IU152" s="504">
        <v>0</v>
      </c>
      <c r="IV152" s="504">
        <v>0</v>
      </c>
      <c r="IW152" s="504">
        <v>0</v>
      </c>
      <c r="IX152" s="504">
        <v>0</v>
      </c>
      <c r="IY152" s="504">
        <v>0</v>
      </c>
      <c r="IZ152" s="504">
        <v>0</v>
      </c>
      <c r="JA152" s="504">
        <v>0</v>
      </c>
      <c r="JB152" s="504">
        <v>0</v>
      </c>
      <c r="JC152" s="504">
        <v>0</v>
      </c>
      <c r="JD152" s="504">
        <v>0</v>
      </c>
      <c r="JE152" s="504">
        <v>0</v>
      </c>
      <c r="JF152" s="504">
        <v>0</v>
      </c>
      <c r="JG152" s="504">
        <v>0</v>
      </c>
      <c r="JH152" s="504">
        <v>0</v>
      </c>
      <c r="JI152" s="504">
        <v>0</v>
      </c>
      <c r="JJ152" s="504">
        <v>0</v>
      </c>
      <c r="JK152" s="504">
        <v>0</v>
      </c>
      <c r="JL152" s="504">
        <v>0</v>
      </c>
      <c r="JM152" s="504">
        <v>0</v>
      </c>
      <c r="JN152" s="504">
        <v>0</v>
      </c>
      <c r="JO152" s="504">
        <v>0</v>
      </c>
      <c r="JP152" s="504">
        <v>0</v>
      </c>
      <c r="JQ152" s="504">
        <v>0</v>
      </c>
      <c r="JR152" s="504">
        <v>0</v>
      </c>
      <c r="JS152" s="504">
        <v>0</v>
      </c>
      <c r="JT152" s="504">
        <v>0</v>
      </c>
      <c r="JU152" s="504">
        <v>0</v>
      </c>
      <c r="JV152" s="504">
        <v>0</v>
      </c>
      <c r="JW152" s="504">
        <v>0</v>
      </c>
      <c r="JX152" s="504">
        <v>0</v>
      </c>
      <c r="JY152" s="504">
        <v>0</v>
      </c>
      <c r="JZ152" s="504">
        <v>0</v>
      </c>
      <c r="KA152" s="504">
        <v>0</v>
      </c>
      <c r="KB152" s="504">
        <v>0</v>
      </c>
      <c r="KC152" s="504">
        <v>0</v>
      </c>
      <c r="KD152" s="504">
        <v>0</v>
      </c>
      <c r="KE152" s="504">
        <v>0</v>
      </c>
      <c r="KF152" s="504">
        <v>0</v>
      </c>
      <c r="KG152" s="504">
        <v>0</v>
      </c>
      <c r="KH152" s="504">
        <v>0</v>
      </c>
      <c r="KI152" s="504">
        <v>0</v>
      </c>
      <c r="KJ152" s="504">
        <v>0</v>
      </c>
      <c r="KK152" s="504">
        <v>0</v>
      </c>
      <c r="KL152" s="504">
        <v>0</v>
      </c>
      <c r="KM152" s="504">
        <v>0</v>
      </c>
      <c r="KN152" s="504">
        <v>0</v>
      </c>
      <c r="KO152" s="504">
        <v>0</v>
      </c>
      <c r="KP152" s="504">
        <v>0</v>
      </c>
      <c r="KQ152" s="504">
        <v>0</v>
      </c>
      <c r="KR152" s="504">
        <v>0</v>
      </c>
      <c r="KS152" s="504">
        <v>0</v>
      </c>
      <c r="KT152" s="504">
        <v>0</v>
      </c>
      <c r="KU152" s="504">
        <v>0</v>
      </c>
      <c r="KV152" s="504">
        <v>0</v>
      </c>
      <c r="KW152" s="504">
        <v>0</v>
      </c>
      <c r="KX152" s="504">
        <v>0</v>
      </c>
      <c r="KY152" s="504">
        <v>0</v>
      </c>
      <c r="KZ152" s="504">
        <v>0</v>
      </c>
      <c r="LA152" s="504">
        <v>0</v>
      </c>
      <c r="LB152" s="504">
        <v>0</v>
      </c>
      <c r="LC152" s="504">
        <v>0</v>
      </c>
      <c r="LD152" s="504">
        <v>0</v>
      </c>
      <c r="LE152" s="504">
        <v>0</v>
      </c>
      <c r="LF152" s="504">
        <v>0</v>
      </c>
      <c r="LG152" s="504">
        <v>0</v>
      </c>
      <c r="LH152" s="504">
        <v>0</v>
      </c>
      <c r="LI152" s="504">
        <v>0</v>
      </c>
      <c r="LJ152" s="504">
        <v>0</v>
      </c>
      <c r="LK152" s="504">
        <v>0</v>
      </c>
      <c r="LL152" s="504">
        <v>0</v>
      </c>
      <c r="LM152" s="504">
        <v>0</v>
      </c>
      <c r="LN152" s="504">
        <v>0</v>
      </c>
      <c r="LO152" s="504">
        <v>0</v>
      </c>
      <c r="LP152" s="504">
        <v>0</v>
      </c>
      <c r="LQ152" s="504">
        <v>0</v>
      </c>
      <c r="LR152" s="504">
        <v>0</v>
      </c>
      <c r="LS152" s="504">
        <v>0</v>
      </c>
      <c r="LT152" s="504">
        <v>0</v>
      </c>
      <c r="LU152" s="504">
        <v>0</v>
      </c>
      <c r="LV152" s="504">
        <v>0</v>
      </c>
      <c r="LW152" s="504">
        <v>0</v>
      </c>
      <c r="LX152" s="504">
        <v>0</v>
      </c>
      <c r="LY152" s="504">
        <v>0</v>
      </c>
      <c r="LZ152" s="504">
        <v>0</v>
      </c>
      <c r="MA152" s="504">
        <v>0</v>
      </c>
      <c r="MB152" s="504">
        <v>0</v>
      </c>
      <c r="MC152" s="504">
        <v>0</v>
      </c>
      <c r="MD152" s="504">
        <v>0</v>
      </c>
      <c r="ME152" s="504">
        <v>0</v>
      </c>
      <c r="MF152" s="504">
        <v>0</v>
      </c>
      <c r="MG152" s="504">
        <v>0</v>
      </c>
      <c r="MH152" s="504">
        <v>0</v>
      </c>
      <c r="MI152" s="504">
        <v>0</v>
      </c>
      <c r="MJ152" s="504">
        <v>0</v>
      </c>
      <c r="MK152" s="504">
        <v>0</v>
      </c>
      <c r="ML152" s="504">
        <v>0</v>
      </c>
      <c r="MM152" s="504">
        <v>0</v>
      </c>
      <c r="MN152" s="504">
        <v>0</v>
      </c>
      <c r="MO152" s="504">
        <v>0</v>
      </c>
      <c r="MP152" s="504">
        <v>0</v>
      </c>
      <c r="MQ152" s="504">
        <v>0</v>
      </c>
      <c r="MR152" s="504">
        <v>0</v>
      </c>
      <c r="MS152" s="504">
        <v>0</v>
      </c>
      <c r="MT152" s="504">
        <v>0</v>
      </c>
      <c r="MU152" s="504">
        <v>0</v>
      </c>
      <c r="MV152" s="504">
        <v>0</v>
      </c>
      <c r="MW152" s="504">
        <v>0</v>
      </c>
      <c r="MX152" s="504">
        <v>0</v>
      </c>
      <c r="MY152" s="504">
        <v>0</v>
      </c>
      <c r="MZ152" s="504">
        <v>0</v>
      </c>
      <c r="NA152" s="504">
        <v>0</v>
      </c>
      <c r="NB152" s="504">
        <v>0</v>
      </c>
      <c r="NC152" s="504">
        <v>0</v>
      </c>
      <c r="ND152" s="504">
        <v>0</v>
      </c>
      <c r="NE152" s="504">
        <v>0</v>
      </c>
      <c r="NF152" s="504">
        <v>0</v>
      </c>
      <c r="NG152" s="504">
        <v>0</v>
      </c>
      <c r="NH152" s="504">
        <v>0</v>
      </c>
      <c r="NI152" s="504">
        <v>0</v>
      </c>
      <c r="NJ152" s="504">
        <v>0</v>
      </c>
      <c r="NK152" s="504">
        <v>0</v>
      </c>
      <c r="NL152" s="504">
        <v>0</v>
      </c>
      <c r="NM152" s="504">
        <v>0</v>
      </c>
      <c r="NN152" s="504">
        <v>0</v>
      </c>
      <c r="NO152" s="504">
        <v>0</v>
      </c>
      <c r="NP152" s="504">
        <v>0</v>
      </c>
      <c r="NQ152" s="504">
        <v>0</v>
      </c>
      <c r="NR152" s="504">
        <v>0</v>
      </c>
      <c r="NS152" s="504">
        <v>0</v>
      </c>
      <c r="NT152" s="504">
        <v>0</v>
      </c>
      <c r="NU152" s="504">
        <v>0</v>
      </c>
      <c r="NV152" s="504">
        <v>0</v>
      </c>
      <c r="NW152" s="504">
        <v>0</v>
      </c>
      <c r="NX152" s="504">
        <v>0</v>
      </c>
      <c r="NY152" s="504">
        <v>0</v>
      </c>
      <c r="NZ152" s="504">
        <v>0</v>
      </c>
      <c r="OA152" s="504">
        <v>0</v>
      </c>
      <c r="OB152" s="504">
        <v>0</v>
      </c>
      <c r="OC152" s="504">
        <v>0</v>
      </c>
      <c r="OD152" s="504">
        <v>0</v>
      </c>
      <c r="OE152" s="504">
        <v>0</v>
      </c>
      <c r="OF152" s="504">
        <v>0</v>
      </c>
      <c r="OG152" s="504">
        <v>0</v>
      </c>
      <c r="OH152" s="504">
        <v>0</v>
      </c>
      <c r="OI152" s="504">
        <v>0</v>
      </c>
      <c r="OJ152" s="504">
        <v>0</v>
      </c>
      <c r="OK152" s="504">
        <v>0</v>
      </c>
      <c r="OL152" s="504">
        <v>0</v>
      </c>
      <c r="OM152" s="504">
        <v>0</v>
      </c>
      <c r="ON152" s="494"/>
    </row>
    <row r="153" spans="1:404" ht="18.75" customHeight="1" x14ac:dyDescent="0.4">
      <c r="A153" s="511" t="s">
        <v>423</v>
      </c>
      <c r="B153" s="512">
        <v>191</v>
      </c>
      <c r="C153" s="511" t="s">
        <v>60</v>
      </c>
      <c r="D153" s="501">
        <v>46.88</v>
      </c>
      <c r="E153" s="502">
        <v>19032</v>
      </c>
      <c r="F153" s="501">
        <v>46.86</v>
      </c>
      <c r="G153" s="502">
        <v>13814</v>
      </c>
      <c r="H153" s="501">
        <v>46.86</v>
      </c>
      <c r="I153" s="502">
        <v>34721</v>
      </c>
      <c r="J153" s="501">
        <v>46.86</v>
      </c>
      <c r="K153" s="502">
        <v>34326</v>
      </c>
      <c r="V153" s="501"/>
      <c r="W153" s="503"/>
      <c r="X153" s="501"/>
      <c r="Y153" s="503"/>
      <c r="Z153" s="501"/>
      <c r="AA153" s="503"/>
      <c r="AB153" s="495"/>
      <c r="AC153" s="504">
        <v>0</v>
      </c>
      <c r="AD153" s="504">
        <v>0</v>
      </c>
      <c r="AE153" s="504">
        <v>0</v>
      </c>
      <c r="AF153" s="504">
        <v>0</v>
      </c>
      <c r="AG153" s="504">
        <v>0</v>
      </c>
      <c r="AH153" s="504">
        <v>0</v>
      </c>
      <c r="AI153" s="504">
        <v>0</v>
      </c>
      <c r="AJ153" s="504">
        <v>0</v>
      </c>
      <c r="AK153" s="504">
        <v>0</v>
      </c>
      <c r="AL153" s="504">
        <v>0</v>
      </c>
      <c r="AM153" s="504">
        <v>0</v>
      </c>
      <c r="AN153" s="504">
        <v>0</v>
      </c>
      <c r="AO153" s="504">
        <v>0</v>
      </c>
      <c r="AP153" s="504">
        <v>0</v>
      </c>
      <c r="AQ153" s="504">
        <v>0</v>
      </c>
      <c r="AR153" s="504">
        <v>0</v>
      </c>
      <c r="AS153" s="504">
        <v>0</v>
      </c>
      <c r="AT153" s="504">
        <v>0</v>
      </c>
      <c r="AU153" s="504">
        <v>0</v>
      </c>
      <c r="AV153" s="504">
        <v>0</v>
      </c>
      <c r="AW153" s="504">
        <v>0</v>
      </c>
      <c r="AX153" s="504">
        <v>0</v>
      </c>
      <c r="AY153" s="504">
        <v>0</v>
      </c>
      <c r="AZ153" s="504">
        <v>0</v>
      </c>
      <c r="BA153" s="504">
        <v>0</v>
      </c>
      <c r="BB153" s="504">
        <v>0</v>
      </c>
      <c r="BC153" s="504">
        <v>0</v>
      </c>
      <c r="BD153" s="504">
        <v>0</v>
      </c>
      <c r="BE153" s="504">
        <v>0</v>
      </c>
      <c r="BF153" s="504">
        <v>0</v>
      </c>
      <c r="BG153" s="504">
        <v>0</v>
      </c>
      <c r="BH153" s="504">
        <v>0</v>
      </c>
      <c r="BI153" s="504">
        <v>0</v>
      </c>
      <c r="BJ153" s="504">
        <v>0</v>
      </c>
      <c r="BK153" s="504">
        <v>0</v>
      </c>
      <c r="BL153" s="504">
        <v>0</v>
      </c>
      <c r="BM153" s="504">
        <v>0</v>
      </c>
      <c r="BN153" s="504">
        <v>0</v>
      </c>
      <c r="BO153" s="504">
        <v>0</v>
      </c>
      <c r="BP153" s="504">
        <v>0</v>
      </c>
      <c r="BQ153" s="504">
        <v>0</v>
      </c>
      <c r="BR153" s="504">
        <v>0</v>
      </c>
      <c r="BS153" s="504">
        <v>0</v>
      </c>
      <c r="BT153" s="504">
        <v>0</v>
      </c>
      <c r="BU153" s="504">
        <v>0</v>
      </c>
      <c r="BV153" s="504">
        <v>0</v>
      </c>
      <c r="BW153" s="504">
        <v>0</v>
      </c>
      <c r="BX153" s="504">
        <v>0</v>
      </c>
      <c r="BY153" s="504">
        <v>0</v>
      </c>
      <c r="BZ153" s="504">
        <v>0</v>
      </c>
      <c r="CA153" s="504">
        <v>0</v>
      </c>
      <c r="CB153" s="504">
        <v>0</v>
      </c>
      <c r="CC153" s="504">
        <v>0</v>
      </c>
      <c r="CD153" s="504">
        <v>0</v>
      </c>
      <c r="CE153" s="504">
        <v>0</v>
      </c>
      <c r="CF153" s="504">
        <v>0</v>
      </c>
      <c r="CG153" s="504">
        <v>0</v>
      </c>
      <c r="CH153" s="504">
        <v>0</v>
      </c>
      <c r="CI153" s="504">
        <v>0</v>
      </c>
      <c r="CJ153" s="504">
        <v>0</v>
      </c>
      <c r="CK153" s="504">
        <v>0</v>
      </c>
      <c r="CL153" s="504">
        <v>0</v>
      </c>
      <c r="CM153" s="504">
        <v>0</v>
      </c>
      <c r="CN153" s="504">
        <v>0</v>
      </c>
      <c r="CO153" s="504">
        <v>0</v>
      </c>
      <c r="CP153" s="504">
        <v>0</v>
      </c>
      <c r="CQ153" s="504">
        <v>0</v>
      </c>
      <c r="CR153" s="504">
        <v>0</v>
      </c>
      <c r="CS153" s="504">
        <v>0</v>
      </c>
      <c r="CT153" s="504">
        <v>0</v>
      </c>
      <c r="CU153" s="504">
        <v>0</v>
      </c>
      <c r="CV153" s="504">
        <v>0</v>
      </c>
      <c r="CW153" s="504">
        <v>0</v>
      </c>
      <c r="CX153" s="504">
        <v>0</v>
      </c>
      <c r="CY153" s="504">
        <v>0</v>
      </c>
      <c r="CZ153" s="504">
        <v>0</v>
      </c>
      <c r="DA153" s="504">
        <v>0</v>
      </c>
      <c r="DB153" s="504">
        <v>0</v>
      </c>
      <c r="DC153" s="504">
        <v>0</v>
      </c>
      <c r="DD153" s="504">
        <v>0</v>
      </c>
      <c r="DE153" s="504">
        <v>0</v>
      </c>
      <c r="DF153" s="504">
        <v>0</v>
      </c>
      <c r="DG153" s="504">
        <v>0</v>
      </c>
      <c r="DH153" s="504">
        <v>0</v>
      </c>
      <c r="DI153" s="504">
        <v>0</v>
      </c>
      <c r="DJ153" s="504">
        <v>0</v>
      </c>
      <c r="DK153" s="504">
        <v>0</v>
      </c>
      <c r="DL153" s="504">
        <v>0</v>
      </c>
      <c r="DM153" s="504">
        <v>0</v>
      </c>
      <c r="DN153" s="504">
        <v>0</v>
      </c>
      <c r="DO153" s="504">
        <v>0</v>
      </c>
      <c r="DP153" s="504">
        <v>0</v>
      </c>
      <c r="DQ153" s="504">
        <v>0</v>
      </c>
      <c r="DR153" s="504">
        <v>0</v>
      </c>
      <c r="DS153" s="504">
        <v>0</v>
      </c>
      <c r="DT153" s="504">
        <v>0</v>
      </c>
      <c r="DU153" s="504">
        <v>0</v>
      </c>
      <c r="DV153" s="504">
        <v>0</v>
      </c>
      <c r="DW153" s="504">
        <v>0</v>
      </c>
      <c r="DX153" s="504">
        <v>0</v>
      </c>
      <c r="DY153" s="504">
        <v>0</v>
      </c>
      <c r="DZ153" s="504">
        <v>0</v>
      </c>
      <c r="EA153" s="504">
        <v>0</v>
      </c>
      <c r="EB153" s="504">
        <v>0</v>
      </c>
      <c r="EC153" s="504">
        <v>0</v>
      </c>
      <c r="ED153" s="504">
        <v>0</v>
      </c>
      <c r="EE153" s="504">
        <v>0</v>
      </c>
      <c r="EF153" s="504">
        <v>0</v>
      </c>
      <c r="EG153" s="504">
        <v>0</v>
      </c>
      <c r="EH153" s="504">
        <v>0</v>
      </c>
      <c r="EI153" s="504">
        <v>0</v>
      </c>
      <c r="EJ153" s="504">
        <v>0</v>
      </c>
      <c r="EK153" s="504">
        <v>0</v>
      </c>
      <c r="EL153" s="504">
        <v>0</v>
      </c>
      <c r="EM153" s="504">
        <v>0</v>
      </c>
      <c r="EN153" s="504">
        <v>0</v>
      </c>
      <c r="EO153" s="504">
        <v>0</v>
      </c>
      <c r="EP153" s="504">
        <v>0</v>
      </c>
      <c r="EQ153" s="504">
        <v>0</v>
      </c>
      <c r="ER153" s="504">
        <v>0</v>
      </c>
      <c r="ES153" s="504">
        <v>0</v>
      </c>
      <c r="ET153" s="504">
        <v>0</v>
      </c>
      <c r="EU153" s="504">
        <v>0</v>
      </c>
      <c r="EV153" s="504">
        <v>0</v>
      </c>
      <c r="EW153" s="504">
        <v>0</v>
      </c>
      <c r="EX153" s="504">
        <v>0</v>
      </c>
      <c r="EY153" s="504">
        <v>0</v>
      </c>
      <c r="EZ153" s="504">
        <v>0</v>
      </c>
      <c r="FA153" s="504">
        <v>0</v>
      </c>
      <c r="FB153" s="504">
        <v>0</v>
      </c>
      <c r="FC153" s="504">
        <v>0</v>
      </c>
      <c r="FD153" s="504">
        <v>0</v>
      </c>
      <c r="FE153" s="504">
        <v>0</v>
      </c>
      <c r="FF153" s="504">
        <v>0</v>
      </c>
      <c r="FG153" s="504">
        <v>0</v>
      </c>
      <c r="FH153" s="504">
        <v>0</v>
      </c>
      <c r="FI153" s="504">
        <v>0</v>
      </c>
      <c r="FJ153" s="504">
        <v>0</v>
      </c>
      <c r="FK153" s="504">
        <v>0</v>
      </c>
      <c r="FL153" s="504">
        <v>0</v>
      </c>
      <c r="FM153" s="504">
        <v>0</v>
      </c>
      <c r="FN153" s="504">
        <v>0</v>
      </c>
      <c r="FO153" s="504">
        <v>0</v>
      </c>
      <c r="FP153" s="504">
        <v>0</v>
      </c>
      <c r="FQ153" s="504">
        <v>0</v>
      </c>
      <c r="FR153" s="504">
        <v>0</v>
      </c>
      <c r="FS153" s="504">
        <v>0</v>
      </c>
      <c r="FT153" s="504">
        <v>0</v>
      </c>
      <c r="FU153" s="504">
        <v>0</v>
      </c>
      <c r="FV153" s="504">
        <v>0</v>
      </c>
      <c r="FW153" s="504">
        <v>0</v>
      </c>
      <c r="FX153" s="504">
        <v>0</v>
      </c>
      <c r="FY153" s="504">
        <v>0</v>
      </c>
      <c r="FZ153" s="504">
        <v>0</v>
      </c>
      <c r="GA153" s="504">
        <v>0</v>
      </c>
      <c r="GB153" s="504">
        <v>0</v>
      </c>
      <c r="GC153" s="504">
        <v>0</v>
      </c>
      <c r="GD153" s="504">
        <v>0</v>
      </c>
      <c r="GE153" s="504">
        <v>0</v>
      </c>
      <c r="GF153" s="504">
        <v>0</v>
      </c>
      <c r="GG153" s="504">
        <v>0</v>
      </c>
      <c r="GH153" s="504">
        <v>0</v>
      </c>
      <c r="GI153" s="504">
        <v>0</v>
      </c>
      <c r="GJ153" s="504">
        <v>0</v>
      </c>
      <c r="GK153" s="504">
        <v>0</v>
      </c>
      <c r="GL153" s="504">
        <v>0</v>
      </c>
      <c r="GM153" s="504">
        <v>0</v>
      </c>
      <c r="GN153" s="504">
        <v>0</v>
      </c>
      <c r="GO153" s="504">
        <v>0</v>
      </c>
      <c r="GP153" s="504">
        <v>0</v>
      </c>
      <c r="GQ153" s="504">
        <v>0</v>
      </c>
      <c r="GR153" s="504">
        <v>0</v>
      </c>
      <c r="GS153" s="504">
        <v>0</v>
      </c>
      <c r="GT153" s="504">
        <v>0</v>
      </c>
      <c r="GU153" s="504">
        <v>0</v>
      </c>
      <c r="GV153" s="504">
        <v>0</v>
      </c>
      <c r="GW153" s="504">
        <v>0</v>
      </c>
      <c r="GX153" s="504">
        <v>0</v>
      </c>
      <c r="GY153" s="504">
        <v>0</v>
      </c>
      <c r="GZ153" s="504">
        <v>0</v>
      </c>
      <c r="HA153" s="504">
        <v>0</v>
      </c>
      <c r="HB153" s="504">
        <v>0</v>
      </c>
      <c r="HC153" s="504">
        <v>0</v>
      </c>
      <c r="HD153" s="504">
        <v>0</v>
      </c>
      <c r="HE153" s="504">
        <v>0</v>
      </c>
      <c r="HF153" s="504">
        <v>0</v>
      </c>
      <c r="HG153" s="504">
        <v>0</v>
      </c>
      <c r="HH153" s="504">
        <v>0</v>
      </c>
      <c r="HI153" s="504">
        <v>0</v>
      </c>
      <c r="HJ153" s="504">
        <v>0</v>
      </c>
      <c r="HK153" s="504">
        <v>0</v>
      </c>
      <c r="HL153" s="504">
        <v>0</v>
      </c>
      <c r="HM153" s="504">
        <v>0</v>
      </c>
      <c r="HN153" s="504">
        <v>0</v>
      </c>
      <c r="HO153" s="504">
        <v>0</v>
      </c>
      <c r="HP153" s="504">
        <v>0</v>
      </c>
      <c r="HQ153" s="504">
        <v>0</v>
      </c>
      <c r="HR153" s="504">
        <v>0</v>
      </c>
      <c r="HS153" s="504">
        <v>0</v>
      </c>
      <c r="HT153" s="504">
        <v>0</v>
      </c>
      <c r="HU153" s="504">
        <v>0</v>
      </c>
      <c r="HV153" s="504">
        <v>0</v>
      </c>
      <c r="HW153" s="504">
        <v>0</v>
      </c>
      <c r="HX153" s="504">
        <v>0</v>
      </c>
      <c r="HY153" s="504">
        <v>0</v>
      </c>
      <c r="HZ153" s="504">
        <v>0</v>
      </c>
      <c r="IA153" s="504">
        <v>0</v>
      </c>
      <c r="IB153" s="504">
        <v>0</v>
      </c>
      <c r="IC153" s="504">
        <v>0</v>
      </c>
      <c r="ID153" s="504">
        <v>0</v>
      </c>
      <c r="IE153" s="504">
        <v>0</v>
      </c>
      <c r="IF153" s="504">
        <v>0</v>
      </c>
      <c r="IG153" s="504">
        <v>0</v>
      </c>
      <c r="IH153" s="504">
        <v>0</v>
      </c>
      <c r="II153" s="504">
        <v>0</v>
      </c>
      <c r="IJ153" s="504">
        <v>0</v>
      </c>
      <c r="IK153" s="504">
        <v>0</v>
      </c>
      <c r="IL153" s="504">
        <v>0</v>
      </c>
      <c r="IM153" s="504">
        <v>0</v>
      </c>
      <c r="IN153" s="504">
        <v>0</v>
      </c>
      <c r="IO153" s="504">
        <v>0</v>
      </c>
      <c r="IP153" s="504">
        <v>0</v>
      </c>
      <c r="IQ153" s="504">
        <v>0</v>
      </c>
      <c r="IR153" s="504">
        <v>0</v>
      </c>
      <c r="IS153" s="504">
        <v>0</v>
      </c>
      <c r="IT153" s="504">
        <v>0</v>
      </c>
      <c r="IU153" s="504">
        <v>0</v>
      </c>
      <c r="IV153" s="504">
        <v>0</v>
      </c>
      <c r="IW153" s="504">
        <v>0</v>
      </c>
      <c r="IX153" s="504">
        <v>0</v>
      </c>
      <c r="IY153" s="504">
        <v>0</v>
      </c>
      <c r="IZ153" s="504">
        <v>0</v>
      </c>
      <c r="JA153" s="504">
        <v>0</v>
      </c>
      <c r="JB153" s="504">
        <v>0</v>
      </c>
      <c r="JC153" s="504">
        <v>0</v>
      </c>
      <c r="JD153" s="504">
        <v>0</v>
      </c>
      <c r="JE153" s="504">
        <v>0</v>
      </c>
      <c r="JF153" s="504">
        <v>0</v>
      </c>
      <c r="JG153" s="504">
        <v>0</v>
      </c>
      <c r="JH153" s="504">
        <v>0</v>
      </c>
      <c r="JI153" s="504">
        <v>0</v>
      </c>
      <c r="JJ153" s="504">
        <v>0</v>
      </c>
      <c r="JK153" s="504">
        <v>0</v>
      </c>
      <c r="JL153" s="504">
        <v>0</v>
      </c>
      <c r="JM153" s="504">
        <v>0</v>
      </c>
      <c r="JN153" s="504">
        <v>0</v>
      </c>
      <c r="JO153" s="504">
        <v>0</v>
      </c>
      <c r="JP153" s="504">
        <v>0</v>
      </c>
      <c r="JQ153" s="504">
        <v>0</v>
      </c>
      <c r="JR153" s="504">
        <v>0</v>
      </c>
      <c r="JS153" s="504">
        <v>0</v>
      </c>
      <c r="JT153" s="504">
        <v>0</v>
      </c>
      <c r="JU153" s="504">
        <v>0</v>
      </c>
      <c r="JV153" s="504">
        <v>0</v>
      </c>
      <c r="JW153" s="504">
        <v>0</v>
      </c>
      <c r="JX153" s="504">
        <v>0</v>
      </c>
      <c r="JY153" s="504">
        <v>0</v>
      </c>
      <c r="JZ153" s="504">
        <v>0</v>
      </c>
      <c r="KA153" s="504">
        <v>0</v>
      </c>
      <c r="KB153" s="504">
        <v>0</v>
      </c>
      <c r="KC153" s="504">
        <v>0</v>
      </c>
      <c r="KD153" s="504">
        <v>0</v>
      </c>
      <c r="KE153" s="504">
        <v>0</v>
      </c>
      <c r="KF153" s="504">
        <v>0</v>
      </c>
      <c r="KG153" s="504">
        <v>0</v>
      </c>
      <c r="KH153" s="504">
        <v>0</v>
      </c>
      <c r="KI153" s="504">
        <v>0</v>
      </c>
      <c r="KJ153" s="504">
        <v>0</v>
      </c>
      <c r="KK153" s="504">
        <v>0</v>
      </c>
      <c r="KL153" s="504">
        <v>0</v>
      </c>
      <c r="KM153" s="504">
        <v>0</v>
      </c>
      <c r="KN153" s="504">
        <v>0</v>
      </c>
      <c r="KO153" s="504">
        <v>0</v>
      </c>
      <c r="KP153" s="504">
        <v>0</v>
      </c>
      <c r="KQ153" s="504">
        <v>0</v>
      </c>
      <c r="KR153" s="504">
        <v>0</v>
      </c>
      <c r="KS153" s="504">
        <v>0</v>
      </c>
      <c r="KT153" s="504">
        <v>0</v>
      </c>
      <c r="KU153" s="504">
        <v>0</v>
      </c>
      <c r="KV153" s="504">
        <v>0</v>
      </c>
      <c r="KW153" s="504">
        <v>0</v>
      </c>
      <c r="KX153" s="504">
        <v>0</v>
      </c>
      <c r="KY153" s="504">
        <v>0</v>
      </c>
      <c r="KZ153" s="504">
        <v>0</v>
      </c>
      <c r="LA153" s="504">
        <v>0</v>
      </c>
      <c r="LB153" s="504">
        <v>0</v>
      </c>
      <c r="LC153" s="504">
        <v>0</v>
      </c>
      <c r="LD153" s="504">
        <v>0</v>
      </c>
      <c r="LE153" s="504">
        <v>0</v>
      </c>
      <c r="LF153" s="504">
        <v>0</v>
      </c>
      <c r="LG153" s="504">
        <v>0</v>
      </c>
      <c r="LH153" s="504">
        <v>0</v>
      </c>
      <c r="LI153" s="504">
        <v>0</v>
      </c>
      <c r="LJ153" s="504">
        <v>0</v>
      </c>
      <c r="LK153" s="504">
        <v>0</v>
      </c>
      <c r="LL153" s="504">
        <v>0</v>
      </c>
      <c r="LM153" s="504">
        <v>0</v>
      </c>
      <c r="LN153" s="504">
        <v>0</v>
      </c>
      <c r="LO153" s="504">
        <v>0</v>
      </c>
      <c r="LP153" s="504">
        <v>0</v>
      </c>
      <c r="LQ153" s="504">
        <v>0</v>
      </c>
      <c r="LR153" s="504">
        <v>0</v>
      </c>
      <c r="LS153" s="504">
        <v>0</v>
      </c>
      <c r="LT153" s="504">
        <v>0</v>
      </c>
      <c r="LU153" s="504">
        <v>0</v>
      </c>
      <c r="LV153" s="504">
        <v>0</v>
      </c>
      <c r="LW153" s="504">
        <v>0</v>
      </c>
      <c r="LX153" s="504">
        <v>0</v>
      </c>
      <c r="LY153" s="504">
        <v>0</v>
      </c>
      <c r="LZ153" s="504">
        <v>0</v>
      </c>
      <c r="MA153" s="504">
        <v>0</v>
      </c>
      <c r="MB153" s="504">
        <v>0</v>
      </c>
      <c r="MC153" s="504">
        <v>0</v>
      </c>
      <c r="MD153" s="504">
        <v>0</v>
      </c>
      <c r="ME153" s="504">
        <v>0</v>
      </c>
      <c r="MF153" s="504">
        <v>0</v>
      </c>
      <c r="MG153" s="504">
        <v>0</v>
      </c>
      <c r="MH153" s="504">
        <v>0</v>
      </c>
      <c r="MI153" s="504">
        <v>0</v>
      </c>
      <c r="MJ153" s="504">
        <v>0</v>
      </c>
      <c r="MK153" s="504">
        <v>0</v>
      </c>
      <c r="ML153" s="504">
        <v>0</v>
      </c>
      <c r="MM153" s="504">
        <v>0</v>
      </c>
      <c r="MN153" s="504">
        <v>0</v>
      </c>
      <c r="MO153" s="504">
        <v>0</v>
      </c>
      <c r="MP153" s="504">
        <v>0</v>
      </c>
      <c r="MQ153" s="504">
        <v>0</v>
      </c>
      <c r="MR153" s="504">
        <v>0</v>
      </c>
      <c r="MS153" s="504">
        <v>0</v>
      </c>
      <c r="MT153" s="504">
        <v>0</v>
      </c>
      <c r="MU153" s="504">
        <v>0</v>
      </c>
      <c r="MV153" s="504">
        <v>0</v>
      </c>
      <c r="MW153" s="504">
        <v>0</v>
      </c>
      <c r="MX153" s="504">
        <v>0</v>
      </c>
      <c r="MY153" s="504">
        <v>0</v>
      </c>
      <c r="MZ153" s="504">
        <v>0</v>
      </c>
      <c r="NA153" s="504">
        <v>0</v>
      </c>
      <c r="NB153" s="504">
        <v>0</v>
      </c>
      <c r="NC153" s="504">
        <v>0</v>
      </c>
      <c r="ND153" s="504">
        <v>0</v>
      </c>
      <c r="NE153" s="504">
        <v>0</v>
      </c>
      <c r="NF153" s="504">
        <v>0</v>
      </c>
      <c r="NG153" s="504">
        <v>0</v>
      </c>
      <c r="NH153" s="504">
        <v>0</v>
      </c>
      <c r="NI153" s="504">
        <v>0</v>
      </c>
      <c r="NJ153" s="504">
        <v>0</v>
      </c>
      <c r="NK153" s="504">
        <v>0</v>
      </c>
      <c r="NL153" s="504">
        <v>0</v>
      </c>
      <c r="NM153" s="504">
        <v>0</v>
      </c>
      <c r="NN153" s="504">
        <v>0</v>
      </c>
      <c r="NO153" s="504">
        <v>0</v>
      </c>
      <c r="NP153" s="504">
        <v>0</v>
      </c>
      <c r="NQ153" s="504">
        <v>0</v>
      </c>
      <c r="NR153" s="504">
        <v>0</v>
      </c>
      <c r="NS153" s="504">
        <v>0</v>
      </c>
      <c r="NT153" s="504">
        <v>0</v>
      </c>
      <c r="NU153" s="504">
        <v>0</v>
      </c>
      <c r="NV153" s="504">
        <v>0</v>
      </c>
      <c r="NW153" s="504">
        <v>0</v>
      </c>
      <c r="NX153" s="504">
        <v>0</v>
      </c>
      <c r="NY153" s="504">
        <v>0</v>
      </c>
      <c r="NZ153" s="504">
        <v>0</v>
      </c>
      <c r="OA153" s="504">
        <v>0</v>
      </c>
      <c r="OB153" s="504">
        <v>0</v>
      </c>
      <c r="OC153" s="504">
        <v>0</v>
      </c>
      <c r="OD153" s="504">
        <v>0</v>
      </c>
      <c r="OE153" s="504">
        <v>0</v>
      </c>
      <c r="OF153" s="504">
        <v>0</v>
      </c>
      <c r="OG153" s="504">
        <v>0</v>
      </c>
      <c r="OH153" s="504">
        <v>0</v>
      </c>
      <c r="OI153" s="504">
        <v>0</v>
      </c>
      <c r="OJ153" s="504">
        <v>0</v>
      </c>
      <c r="OK153" s="504">
        <v>0</v>
      </c>
      <c r="OL153" s="504">
        <v>0</v>
      </c>
      <c r="OM153" s="504">
        <v>0</v>
      </c>
      <c r="ON153" s="494"/>
    </row>
    <row r="154" spans="1:404" ht="18.75" customHeight="1" x14ac:dyDescent="0.4">
      <c r="A154" s="511" t="s">
        <v>424</v>
      </c>
      <c r="B154" s="512">
        <v>191</v>
      </c>
      <c r="C154" s="511" t="s">
        <v>60</v>
      </c>
      <c r="D154" s="501">
        <v>48.24</v>
      </c>
      <c r="E154" s="502">
        <v>14691</v>
      </c>
      <c r="F154" s="501">
        <v>48.22</v>
      </c>
      <c r="G154" s="502">
        <v>7697</v>
      </c>
      <c r="H154" s="501">
        <v>48.23</v>
      </c>
      <c r="I154" s="502">
        <v>21271</v>
      </c>
      <c r="J154" s="501">
        <v>48.23</v>
      </c>
      <c r="K154" s="502">
        <v>22241</v>
      </c>
      <c r="V154" s="501"/>
      <c r="W154" s="503"/>
      <c r="X154" s="501"/>
      <c r="Y154" s="503"/>
      <c r="Z154" s="501"/>
      <c r="AA154" s="503"/>
      <c r="AB154" s="495"/>
      <c r="AC154" s="504">
        <v>0</v>
      </c>
      <c r="AD154" s="504">
        <v>0</v>
      </c>
      <c r="AE154" s="504">
        <v>0</v>
      </c>
      <c r="AF154" s="504">
        <v>0</v>
      </c>
      <c r="AG154" s="504">
        <v>0</v>
      </c>
      <c r="AH154" s="504">
        <v>0</v>
      </c>
      <c r="AI154" s="504">
        <v>0</v>
      </c>
      <c r="AJ154" s="504">
        <v>0</v>
      </c>
      <c r="AK154" s="504">
        <v>0</v>
      </c>
      <c r="AL154" s="504">
        <v>0</v>
      </c>
      <c r="AM154" s="504">
        <v>0</v>
      </c>
      <c r="AN154" s="504">
        <v>0</v>
      </c>
      <c r="AO154" s="504">
        <v>0</v>
      </c>
      <c r="AP154" s="504">
        <v>0</v>
      </c>
      <c r="AQ154" s="504">
        <v>0</v>
      </c>
      <c r="AR154" s="504">
        <v>0</v>
      </c>
      <c r="AS154" s="504">
        <v>0</v>
      </c>
      <c r="AT154" s="504">
        <v>0</v>
      </c>
      <c r="AU154" s="504">
        <v>0</v>
      </c>
      <c r="AV154" s="504">
        <v>0</v>
      </c>
      <c r="AW154" s="504">
        <v>0</v>
      </c>
      <c r="AX154" s="504">
        <v>0</v>
      </c>
      <c r="AY154" s="504">
        <v>0</v>
      </c>
      <c r="AZ154" s="504">
        <v>0</v>
      </c>
      <c r="BA154" s="504">
        <v>0</v>
      </c>
      <c r="BB154" s="504">
        <v>0</v>
      </c>
      <c r="BC154" s="504">
        <v>0</v>
      </c>
      <c r="BD154" s="504">
        <v>0</v>
      </c>
      <c r="BE154" s="504">
        <v>0</v>
      </c>
      <c r="BF154" s="504">
        <v>0</v>
      </c>
      <c r="BG154" s="504">
        <v>0</v>
      </c>
      <c r="BH154" s="504">
        <v>0</v>
      </c>
      <c r="BI154" s="504">
        <v>0</v>
      </c>
      <c r="BJ154" s="504">
        <v>0</v>
      </c>
      <c r="BK154" s="504">
        <v>0</v>
      </c>
      <c r="BL154" s="504">
        <v>0</v>
      </c>
      <c r="BM154" s="504">
        <v>0</v>
      </c>
      <c r="BN154" s="504">
        <v>0</v>
      </c>
      <c r="BO154" s="504">
        <v>0</v>
      </c>
      <c r="BP154" s="504">
        <v>0</v>
      </c>
      <c r="BQ154" s="504">
        <v>0</v>
      </c>
      <c r="BR154" s="504">
        <v>0</v>
      </c>
      <c r="BS154" s="504">
        <v>0</v>
      </c>
      <c r="BT154" s="504">
        <v>0</v>
      </c>
      <c r="BU154" s="504">
        <v>0</v>
      </c>
      <c r="BV154" s="504">
        <v>0</v>
      </c>
      <c r="BW154" s="504">
        <v>0</v>
      </c>
      <c r="BX154" s="504">
        <v>0</v>
      </c>
      <c r="BY154" s="504">
        <v>0</v>
      </c>
      <c r="BZ154" s="504">
        <v>0</v>
      </c>
      <c r="CA154" s="504">
        <v>0</v>
      </c>
      <c r="CB154" s="504">
        <v>0</v>
      </c>
      <c r="CC154" s="504">
        <v>0</v>
      </c>
      <c r="CD154" s="504">
        <v>0</v>
      </c>
      <c r="CE154" s="504">
        <v>0</v>
      </c>
      <c r="CF154" s="504">
        <v>0</v>
      </c>
      <c r="CG154" s="504">
        <v>0</v>
      </c>
      <c r="CH154" s="504">
        <v>0</v>
      </c>
      <c r="CI154" s="504">
        <v>0</v>
      </c>
      <c r="CJ154" s="504">
        <v>0</v>
      </c>
      <c r="CK154" s="504">
        <v>0</v>
      </c>
      <c r="CL154" s="504">
        <v>0</v>
      </c>
      <c r="CM154" s="504">
        <v>0</v>
      </c>
      <c r="CN154" s="504">
        <v>0</v>
      </c>
      <c r="CO154" s="504">
        <v>0</v>
      </c>
      <c r="CP154" s="504">
        <v>0</v>
      </c>
      <c r="CQ154" s="504">
        <v>0</v>
      </c>
      <c r="CR154" s="504">
        <v>0</v>
      </c>
      <c r="CS154" s="504">
        <v>0</v>
      </c>
      <c r="CT154" s="504">
        <v>0</v>
      </c>
      <c r="CU154" s="504">
        <v>0</v>
      </c>
      <c r="CV154" s="504">
        <v>0</v>
      </c>
      <c r="CW154" s="504">
        <v>0</v>
      </c>
      <c r="CX154" s="504">
        <v>0</v>
      </c>
      <c r="CY154" s="504">
        <v>0</v>
      </c>
      <c r="CZ154" s="504">
        <v>0</v>
      </c>
      <c r="DA154" s="504">
        <v>0</v>
      </c>
      <c r="DB154" s="504">
        <v>0</v>
      </c>
      <c r="DC154" s="504">
        <v>0</v>
      </c>
      <c r="DD154" s="504">
        <v>0</v>
      </c>
      <c r="DE154" s="504">
        <v>0</v>
      </c>
      <c r="DF154" s="504">
        <v>0</v>
      </c>
      <c r="DG154" s="504">
        <v>0</v>
      </c>
      <c r="DH154" s="504">
        <v>0</v>
      </c>
      <c r="DI154" s="504">
        <v>0</v>
      </c>
      <c r="DJ154" s="504">
        <v>0</v>
      </c>
      <c r="DK154" s="504">
        <v>0</v>
      </c>
      <c r="DL154" s="504">
        <v>0</v>
      </c>
      <c r="DM154" s="504">
        <v>0</v>
      </c>
      <c r="DN154" s="504">
        <v>0</v>
      </c>
      <c r="DO154" s="504">
        <v>0</v>
      </c>
      <c r="DP154" s="504">
        <v>0</v>
      </c>
      <c r="DQ154" s="504">
        <v>0</v>
      </c>
      <c r="DR154" s="504">
        <v>0</v>
      </c>
      <c r="DS154" s="504">
        <v>0</v>
      </c>
      <c r="DT154" s="504">
        <v>0</v>
      </c>
      <c r="DU154" s="504">
        <v>0</v>
      </c>
      <c r="DV154" s="504">
        <v>0</v>
      </c>
      <c r="DW154" s="504">
        <v>0</v>
      </c>
      <c r="DX154" s="504">
        <v>0</v>
      </c>
      <c r="DY154" s="504">
        <v>0</v>
      </c>
      <c r="DZ154" s="504">
        <v>0</v>
      </c>
      <c r="EA154" s="504">
        <v>0</v>
      </c>
      <c r="EB154" s="504">
        <v>0</v>
      </c>
      <c r="EC154" s="504">
        <v>0</v>
      </c>
      <c r="ED154" s="504">
        <v>0</v>
      </c>
      <c r="EE154" s="504">
        <v>0</v>
      </c>
      <c r="EF154" s="504">
        <v>0</v>
      </c>
      <c r="EG154" s="504">
        <v>0</v>
      </c>
      <c r="EH154" s="504">
        <v>0</v>
      </c>
      <c r="EI154" s="504">
        <v>0</v>
      </c>
      <c r="EJ154" s="504">
        <v>0</v>
      </c>
      <c r="EK154" s="504">
        <v>0</v>
      </c>
      <c r="EL154" s="504">
        <v>0</v>
      </c>
      <c r="EM154" s="504">
        <v>0</v>
      </c>
      <c r="EN154" s="504">
        <v>0</v>
      </c>
      <c r="EO154" s="504">
        <v>0</v>
      </c>
      <c r="EP154" s="504">
        <v>0</v>
      </c>
      <c r="EQ154" s="504">
        <v>0</v>
      </c>
      <c r="ER154" s="504">
        <v>0</v>
      </c>
      <c r="ES154" s="504">
        <v>0</v>
      </c>
      <c r="ET154" s="504">
        <v>0</v>
      </c>
      <c r="EU154" s="504">
        <v>0</v>
      </c>
      <c r="EV154" s="504">
        <v>0</v>
      </c>
      <c r="EW154" s="504">
        <v>0</v>
      </c>
      <c r="EX154" s="504">
        <v>0</v>
      </c>
      <c r="EY154" s="504">
        <v>0</v>
      </c>
      <c r="EZ154" s="504">
        <v>0</v>
      </c>
      <c r="FA154" s="504">
        <v>0</v>
      </c>
      <c r="FB154" s="504">
        <v>0</v>
      </c>
      <c r="FC154" s="504">
        <v>0</v>
      </c>
      <c r="FD154" s="504">
        <v>0</v>
      </c>
      <c r="FE154" s="504">
        <v>0</v>
      </c>
      <c r="FF154" s="504">
        <v>0</v>
      </c>
      <c r="FG154" s="504">
        <v>0</v>
      </c>
      <c r="FH154" s="504">
        <v>0</v>
      </c>
      <c r="FI154" s="504">
        <v>0</v>
      </c>
      <c r="FJ154" s="504">
        <v>0</v>
      </c>
      <c r="FK154" s="504">
        <v>0</v>
      </c>
      <c r="FL154" s="504">
        <v>0</v>
      </c>
      <c r="FM154" s="504">
        <v>0</v>
      </c>
      <c r="FN154" s="504">
        <v>0</v>
      </c>
      <c r="FO154" s="504">
        <v>0</v>
      </c>
      <c r="FP154" s="504">
        <v>0</v>
      </c>
      <c r="FQ154" s="504">
        <v>0</v>
      </c>
      <c r="FR154" s="504">
        <v>0</v>
      </c>
      <c r="FS154" s="504">
        <v>0</v>
      </c>
      <c r="FT154" s="504">
        <v>0</v>
      </c>
      <c r="FU154" s="504">
        <v>0</v>
      </c>
      <c r="FV154" s="504">
        <v>0</v>
      </c>
      <c r="FW154" s="504">
        <v>0</v>
      </c>
      <c r="FX154" s="504">
        <v>0</v>
      </c>
      <c r="FY154" s="504">
        <v>0</v>
      </c>
      <c r="FZ154" s="504">
        <v>0</v>
      </c>
      <c r="GA154" s="504">
        <v>0</v>
      </c>
      <c r="GB154" s="504">
        <v>0</v>
      </c>
      <c r="GC154" s="504">
        <v>0</v>
      </c>
      <c r="GD154" s="504">
        <v>0</v>
      </c>
      <c r="GE154" s="504">
        <v>0</v>
      </c>
      <c r="GF154" s="504">
        <v>0</v>
      </c>
      <c r="GG154" s="504">
        <v>0</v>
      </c>
      <c r="GH154" s="504">
        <v>0</v>
      </c>
      <c r="GI154" s="504">
        <v>0</v>
      </c>
      <c r="GJ154" s="504">
        <v>0</v>
      </c>
      <c r="GK154" s="504">
        <v>0</v>
      </c>
      <c r="GL154" s="504">
        <v>0</v>
      </c>
      <c r="GM154" s="504">
        <v>0</v>
      </c>
      <c r="GN154" s="504">
        <v>0</v>
      </c>
      <c r="GO154" s="504">
        <v>0</v>
      </c>
      <c r="GP154" s="504">
        <v>0</v>
      </c>
      <c r="GQ154" s="504">
        <v>0</v>
      </c>
      <c r="GR154" s="504">
        <v>0</v>
      </c>
      <c r="GS154" s="504">
        <v>0</v>
      </c>
      <c r="GT154" s="504">
        <v>0</v>
      </c>
      <c r="GU154" s="504">
        <v>0</v>
      </c>
      <c r="GV154" s="504">
        <v>0</v>
      </c>
      <c r="GW154" s="504">
        <v>0</v>
      </c>
      <c r="GX154" s="504">
        <v>0</v>
      </c>
      <c r="GY154" s="504">
        <v>0</v>
      </c>
      <c r="GZ154" s="504">
        <v>0</v>
      </c>
      <c r="HA154" s="504">
        <v>0</v>
      </c>
      <c r="HB154" s="504">
        <v>0</v>
      </c>
      <c r="HC154" s="504">
        <v>0</v>
      </c>
      <c r="HD154" s="504">
        <v>0</v>
      </c>
      <c r="HE154" s="504">
        <v>0</v>
      </c>
      <c r="HF154" s="504">
        <v>0</v>
      </c>
      <c r="HG154" s="504">
        <v>0</v>
      </c>
      <c r="HH154" s="504">
        <v>0</v>
      </c>
      <c r="HI154" s="504">
        <v>0</v>
      </c>
      <c r="HJ154" s="504">
        <v>0</v>
      </c>
      <c r="HK154" s="504">
        <v>0</v>
      </c>
      <c r="HL154" s="504">
        <v>0</v>
      </c>
      <c r="HM154" s="504">
        <v>0</v>
      </c>
      <c r="HN154" s="504">
        <v>0</v>
      </c>
      <c r="HO154" s="504">
        <v>0</v>
      </c>
      <c r="HP154" s="504">
        <v>0</v>
      </c>
      <c r="HQ154" s="504">
        <v>0</v>
      </c>
      <c r="HR154" s="504">
        <v>0</v>
      </c>
      <c r="HS154" s="504">
        <v>0</v>
      </c>
      <c r="HT154" s="504">
        <v>0</v>
      </c>
      <c r="HU154" s="504">
        <v>0</v>
      </c>
      <c r="HV154" s="504">
        <v>0</v>
      </c>
      <c r="HW154" s="504">
        <v>0</v>
      </c>
      <c r="HX154" s="504">
        <v>0</v>
      </c>
      <c r="HY154" s="504">
        <v>0</v>
      </c>
      <c r="HZ154" s="504">
        <v>0</v>
      </c>
      <c r="IA154" s="504">
        <v>0</v>
      </c>
      <c r="IB154" s="504">
        <v>0</v>
      </c>
      <c r="IC154" s="504">
        <v>0</v>
      </c>
      <c r="ID154" s="504">
        <v>0</v>
      </c>
      <c r="IE154" s="504">
        <v>0</v>
      </c>
      <c r="IF154" s="504">
        <v>0</v>
      </c>
      <c r="IG154" s="504">
        <v>0</v>
      </c>
      <c r="IH154" s="504">
        <v>0</v>
      </c>
      <c r="II154" s="504">
        <v>0</v>
      </c>
      <c r="IJ154" s="504">
        <v>0</v>
      </c>
      <c r="IK154" s="504">
        <v>0</v>
      </c>
      <c r="IL154" s="504">
        <v>0</v>
      </c>
      <c r="IM154" s="504">
        <v>0</v>
      </c>
      <c r="IN154" s="504">
        <v>0</v>
      </c>
      <c r="IO154" s="504">
        <v>0</v>
      </c>
      <c r="IP154" s="504">
        <v>0</v>
      </c>
      <c r="IQ154" s="504">
        <v>0</v>
      </c>
      <c r="IR154" s="504">
        <v>0</v>
      </c>
      <c r="IS154" s="504">
        <v>0</v>
      </c>
      <c r="IT154" s="504">
        <v>0</v>
      </c>
      <c r="IU154" s="504">
        <v>0</v>
      </c>
      <c r="IV154" s="504">
        <v>0</v>
      </c>
      <c r="IW154" s="504">
        <v>0</v>
      </c>
      <c r="IX154" s="504">
        <v>0</v>
      </c>
      <c r="IY154" s="504">
        <v>0</v>
      </c>
      <c r="IZ154" s="504">
        <v>0</v>
      </c>
      <c r="JA154" s="504">
        <v>0</v>
      </c>
      <c r="JB154" s="504">
        <v>0</v>
      </c>
      <c r="JC154" s="504">
        <v>0</v>
      </c>
      <c r="JD154" s="504">
        <v>0</v>
      </c>
      <c r="JE154" s="504">
        <v>0</v>
      </c>
      <c r="JF154" s="504">
        <v>0</v>
      </c>
      <c r="JG154" s="504">
        <v>0</v>
      </c>
      <c r="JH154" s="504">
        <v>0</v>
      </c>
      <c r="JI154" s="504">
        <v>0</v>
      </c>
      <c r="JJ154" s="504">
        <v>0</v>
      </c>
      <c r="JK154" s="504">
        <v>0</v>
      </c>
      <c r="JL154" s="504">
        <v>0</v>
      </c>
      <c r="JM154" s="504">
        <v>0</v>
      </c>
      <c r="JN154" s="504">
        <v>0</v>
      </c>
      <c r="JO154" s="504">
        <v>0</v>
      </c>
      <c r="JP154" s="504">
        <v>0</v>
      </c>
      <c r="JQ154" s="504">
        <v>0</v>
      </c>
      <c r="JR154" s="504">
        <v>0</v>
      </c>
      <c r="JS154" s="504">
        <v>0</v>
      </c>
      <c r="JT154" s="504">
        <v>0</v>
      </c>
      <c r="JU154" s="504">
        <v>0</v>
      </c>
      <c r="JV154" s="504">
        <v>0</v>
      </c>
      <c r="JW154" s="504">
        <v>0</v>
      </c>
      <c r="JX154" s="504">
        <v>0</v>
      </c>
      <c r="JY154" s="504">
        <v>0</v>
      </c>
      <c r="JZ154" s="504">
        <v>0</v>
      </c>
      <c r="KA154" s="504">
        <v>0</v>
      </c>
      <c r="KB154" s="504">
        <v>0</v>
      </c>
      <c r="KC154" s="504">
        <v>0</v>
      </c>
      <c r="KD154" s="504">
        <v>0</v>
      </c>
      <c r="KE154" s="504">
        <v>0</v>
      </c>
      <c r="KF154" s="504">
        <v>0</v>
      </c>
      <c r="KG154" s="504">
        <v>0</v>
      </c>
      <c r="KH154" s="504">
        <v>0</v>
      </c>
      <c r="KI154" s="504">
        <v>0</v>
      </c>
      <c r="KJ154" s="504">
        <v>0</v>
      </c>
      <c r="KK154" s="504">
        <v>0</v>
      </c>
      <c r="KL154" s="504">
        <v>0</v>
      </c>
      <c r="KM154" s="504">
        <v>0</v>
      </c>
      <c r="KN154" s="504">
        <v>0</v>
      </c>
      <c r="KO154" s="504">
        <v>0</v>
      </c>
      <c r="KP154" s="504">
        <v>0</v>
      </c>
      <c r="KQ154" s="504">
        <v>0</v>
      </c>
      <c r="KR154" s="504">
        <v>0</v>
      </c>
      <c r="KS154" s="504">
        <v>0</v>
      </c>
      <c r="KT154" s="504">
        <v>0</v>
      </c>
      <c r="KU154" s="504">
        <v>0</v>
      </c>
      <c r="KV154" s="504">
        <v>0</v>
      </c>
      <c r="KW154" s="504">
        <v>0</v>
      </c>
      <c r="KX154" s="504">
        <v>0</v>
      </c>
      <c r="KY154" s="504">
        <v>0</v>
      </c>
      <c r="KZ154" s="504">
        <v>0</v>
      </c>
      <c r="LA154" s="504">
        <v>0</v>
      </c>
      <c r="LB154" s="504">
        <v>0</v>
      </c>
      <c r="LC154" s="504">
        <v>0</v>
      </c>
      <c r="LD154" s="504">
        <v>0</v>
      </c>
      <c r="LE154" s="504">
        <v>0</v>
      </c>
      <c r="LF154" s="504">
        <v>0</v>
      </c>
      <c r="LG154" s="504">
        <v>0</v>
      </c>
      <c r="LH154" s="504">
        <v>0</v>
      </c>
      <c r="LI154" s="504">
        <v>0</v>
      </c>
      <c r="LJ154" s="504">
        <v>0</v>
      </c>
      <c r="LK154" s="504">
        <v>0</v>
      </c>
      <c r="LL154" s="504">
        <v>0</v>
      </c>
      <c r="LM154" s="504">
        <v>0</v>
      </c>
      <c r="LN154" s="504">
        <v>0</v>
      </c>
      <c r="LO154" s="504">
        <v>0</v>
      </c>
      <c r="LP154" s="504">
        <v>0</v>
      </c>
      <c r="LQ154" s="504">
        <v>0</v>
      </c>
      <c r="LR154" s="504">
        <v>0</v>
      </c>
      <c r="LS154" s="504">
        <v>0</v>
      </c>
      <c r="LT154" s="504">
        <v>0</v>
      </c>
      <c r="LU154" s="504">
        <v>0</v>
      </c>
      <c r="LV154" s="504">
        <v>0</v>
      </c>
      <c r="LW154" s="504">
        <v>0</v>
      </c>
      <c r="LX154" s="504">
        <v>0</v>
      </c>
      <c r="LY154" s="504">
        <v>0</v>
      </c>
      <c r="LZ154" s="504">
        <v>0</v>
      </c>
      <c r="MA154" s="504">
        <v>0</v>
      </c>
      <c r="MB154" s="504">
        <v>0</v>
      </c>
      <c r="MC154" s="504">
        <v>0</v>
      </c>
      <c r="MD154" s="504">
        <v>0</v>
      </c>
      <c r="ME154" s="504">
        <v>0</v>
      </c>
      <c r="MF154" s="504">
        <v>0</v>
      </c>
      <c r="MG154" s="504">
        <v>0</v>
      </c>
      <c r="MH154" s="504">
        <v>0</v>
      </c>
      <c r="MI154" s="504">
        <v>0</v>
      </c>
      <c r="MJ154" s="504">
        <v>0</v>
      </c>
      <c r="MK154" s="504">
        <v>0</v>
      </c>
      <c r="ML154" s="504">
        <v>0</v>
      </c>
      <c r="MM154" s="504">
        <v>0</v>
      </c>
      <c r="MN154" s="504">
        <v>0</v>
      </c>
      <c r="MO154" s="504">
        <v>0</v>
      </c>
      <c r="MP154" s="504">
        <v>0</v>
      </c>
      <c r="MQ154" s="504">
        <v>0</v>
      </c>
      <c r="MR154" s="504">
        <v>0</v>
      </c>
      <c r="MS154" s="504">
        <v>0</v>
      </c>
      <c r="MT154" s="504">
        <v>0</v>
      </c>
      <c r="MU154" s="504">
        <v>0</v>
      </c>
      <c r="MV154" s="504">
        <v>0</v>
      </c>
      <c r="MW154" s="504">
        <v>0</v>
      </c>
      <c r="MX154" s="504">
        <v>0</v>
      </c>
      <c r="MY154" s="504">
        <v>0</v>
      </c>
      <c r="MZ154" s="504">
        <v>0</v>
      </c>
      <c r="NA154" s="504">
        <v>0</v>
      </c>
      <c r="NB154" s="504">
        <v>0</v>
      </c>
      <c r="NC154" s="504">
        <v>0</v>
      </c>
      <c r="ND154" s="504">
        <v>0</v>
      </c>
      <c r="NE154" s="504">
        <v>0</v>
      </c>
      <c r="NF154" s="504">
        <v>0</v>
      </c>
      <c r="NG154" s="504">
        <v>0</v>
      </c>
      <c r="NH154" s="504">
        <v>0</v>
      </c>
      <c r="NI154" s="504">
        <v>0</v>
      </c>
      <c r="NJ154" s="504">
        <v>0</v>
      </c>
      <c r="NK154" s="504">
        <v>0</v>
      </c>
      <c r="NL154" s="504">
        <v>0</v>
      </c>
      <c r="NM154" s="504">
        <v>0</v>
      </c>
      <c r="NN154" s="504">
        <v>0</v>
      </c>
      <c r="NO154" s="504">
        <v>0</v>
      </c>
      <c r="NP154" s="504">
        <v>0</v>
      </c>
      <c r="NQ154" s="504">
        <v>0</v>
      </c>
      <c r="NR154" s="504">
        <v>0</v>
      </c>
      <c r="NS154" s="504">
        <v>0</v>
      </c>
      <c r="NT154" s="504">
        <v>0</v>
      </c>
      <c r="NU154" s="504">
        <v>0</v>
      </c>
      <c r="NV154" s="504">
        <v>0</v>
      </c>
      <c r="NW154" s="504">
        <v>0</v>
      </c>
      <c r="NX154" s="504">
        <v>0</v>
      </c>
      <c r="NY154" s="504">
        <v>0</v>
      </c>
      <c r="NZ154" s="504">
        <v>0</v>
      </c>
      <c r="OA154" s="504">
        <v>0</v>
      </c>
      <c r="OB154" s="504">
        <v>0</v>
      </c>
      <c r="OC154" s="504">
        <v>0</v>
      </c>
      <c r="OD154" s="504">
        <v>0</v>
      </c>
      <c r="OE154" s="504">
        <v>0</v>
      </c>
      <c r="OF154" s="504">
        <v>0</v>
      </c>
      <c r="OG154" s="504">
        <v>0</v>
      </c>
      <c r="OH154" s="504">
        <v>0</v>
      </c>
      <c r="OI154" s="504">
        <v>0</v>
      </c>
      <c r="OJ154" s="504">
        <v>0</v>
      </c>
      <c r="OK154" s="504">
        <v>0</v>
      </c>
      <c r="OL154" s="504">
        <v>0</v>
      </c>
      <c r="OM154" s="504">
        <v>0</v>
      </c>
      <c r="ON154" s="494"/>
    </row>
    <row r="155" spans="1:404" ht="18.75" customHeight="1" x14ac:dyDescent="0.4">
      <c r="A155" s="511" t="s">
        <v>425</v>
      </c>
      <c r="B155" s="512">
        <v>191</v>
      </c>
      <c r="C155" s="511" t="s">
        <v>60</v>
      </c>
      <c r="D155" s="501">
        <v>49.84</v>
      </c>
      <c r="E155" s="502">
        <v>48332</v>
      </c>
      <c r="F155" s="501">
        <v>49.83</v>
      </c>
      <c r="G155" s="502">
        <v>14536</v>
      </c>
      <c r="H155" s="501">
        <v>49.83</v>
      </c>
      <c r="I155" s="502">
        <v>40687</v>
      </c>
      <c r="J155" s="501">
        <v>49.83</v>
      </c>
      <c r="K155" s="502">
        <v>45031</v>
      </c>
      <c r="V155" s="501"/>
      <c r="W155" s="503"/>
      <c r="X155" s="501"/>
      <c r="Y155" s="503"/>
      <c r="Z155" s="501"/>
      <c r="AA155" s="503"/>
      <c r="AB155" s="495"/>
      <c r="AC155" s="504">
        <v>0</v>
      </c>
      <c r="AD155" s="504">
        <v>0</v>
      </c>
      <c r="AE155" s="504">
        <v>0</v>
      </c>
      <c r="AF155" s="504">
        <v>0</v>
      </c>
      <c r="AG155" s="504">
        <v>0</v>
      </c>
      <c r="AH155" s="504">
        <v>0</v>
      </c>
      <c r="AI155" s="504">
        <v>0</v>
      </c>
      <c r="AJ155" s="504">
        <v>0</v>
      </c>
      <c r="AK155" s="504">
        <v>0</v>
      </c>
      <c r="AL155" s="504">
        <v>0</v>
      </c>
      <c r="AM155" s="504">
        <v>0</v>
      </c>
      <c r="AN155" s="504">
        <v>0</v>
      </c>
      <c r="AO155" s="504">
        <v>0</v>
      </c>
      <c r="AP155" s="504">
        <v>0</v>
      </c>
      <c r="AQ155" s="504">
        <v>0</v>
      </c>
      <c r="AR155" s="504">
        <v>0</v>
      </c>
      <c r="AS155" s="504">
        <v>0</v>
      </c>
      <c r="AT155" s="504">
        <v>0</v>
      </c>
      <c r="AU155" s="504">
        <v>0</v>
      </c>
      <c r="AV155" s="504">
        <v>0</v>
      </c>
      <c r="AW155" s="504">
        <v>0</v>
      </c>
      <c r="AX155" s="504">
        <v>0</v>
      </c>
      <c r="AY155" s="504">
        <v>0</v>
      </c>
      <c r="AZ155" s="504">
        <v>0</v>
      </c>
      <c r="BA155" s="504">
        <v>0</v>
      </c>
      <c r="BB155" s="504">
        <v>0</v>
      </c>
      <c r="BC155" s="504">
        <v>0</v>
      </c>
      <c r="BD155" s="504">
        <v>0</v>
      </c>
      <c r="BE155" s="504">
        <v>0</v>
      </c>
      <c r="BF155" s="504">
        <v>0</v>
      </c>
      <c r="BG155" s="504">
        <v>0</v>
      </c>
      <c r="BH155" s="504">
        <v>0</v>
      </c>
      <c r="BI155" s="504">
        <v>0</v>
      </c>
      <c r="BJ155" s="504">
        <v>0</v>
      </c>
      <c r="BK155" s="504">
        <v>0</v>
      </c>
      <c r="BL155" s="504">
        <v>0</v>
      </c>
      <c r="BM155" s="504">
        <v>0</v>
      </c>
      <c r="BN155" s="504">
        <v>0</v>
      </c>
      <c r="BO155" s="504">
        <v>0</v>
      </c>
      <c r="BP155" s="504">
        <v>0</v>
      </c>
      <c r="BQ155" s="504">
        <v>0</v>
      </c>
      <c r="BR155" s="504">
        <v>0</v>
      </c>
      <c r="BS155" s="504">
        <v>0</v>
      </c>
      <c r="BT155" s="504">
        <v>0</v>
      </c>
      <c r="BU155" s="504">
        <v>0</v>
      </c>
      <c r="BV155" s="504">
        <v>0</v>
      </c>
      <c r="BW155" s="504">
        <v>0</v>
      </c>
      <c r="BX155" s="504">
        <v>0</v>
      </c>
      <c r="BY155" s="504">
        <v>0</v>
      </c>
      <c r="BZ155" s="504">
        <v>0</v>
      </c>
      <c r="CA155" s="504">
        <v>0</v>
      </c>
      <c r="CB155" s="504">
        <v>0</v>
      </c>
      <c r="CC155" s="504">
        <v>0</v>
      </c>
      <c r="CD155" s="504">
        <v>0</v>
      </c>
      <c r="CE155" s="504">
        <v>0</v>
      </c>
      <c r="CF155" s="504">
        <v>0</v>
      </c>
      <c r="CG155" s="504">
        <v>0</v>
      </c>
      <c r="CH155" s="504">
        <v>0</v>
      </c>
      <c r="CI155" s="504">
        <v>0</v>
      </c>
      <c r="CJ155" s="504">
        <v>0</v>
      </c>
      <c r="CK155" s="504">
        <v>0</v>
      </c>
      <c r="CL155" s="504">
        <v>0</v>
      </c>
      <c r="CM155" s="504">
        <v>0</v>
      </c>
      <c r="CN155" s="504">
        <v>0</v>
      </c>
      <c r="CO155" s="504">
        <v>0</v>
      </c>
      <c r="CP155" s="504">
        <v>0</v>
      </c>
      <c r="CQ155" s="504">
        <v>0</v>
      </c>
      <c r="CR155" s="504">
        <v>0</v>
      </c>
      <c r="CS155" s="504">
        <v>0</v>
      </c>
      <c r="CT155" s="504">
        <v>0</v>
      </c>
      <c r="CU155" s="504">
        <v>0</v>
      </c>
      <c r="CV155" s="504">
        <v>0</v>
      </c>
      <c r="CW155" s="504">
        <v>0</v>
      </c>
      <c r="CX155" s="504">
        <v>0</v>
      </c>
      <c r="CY155" s="504">
        <v>0</v>
      </c>
      <c r="CZ155" s="504">
        <v>0</v>
      </c>
      <c r="DA155" s="504">
        <v>0</v>
      </c>
      <c r="DB155" s="504">
        <v>0</v>
      </c>
      <c r="DC155" s="504">
        <v>0</v>
      </c>
      <c r="DD155" s="504">
        <v>0</v>
      </c>
      <c r="DE155" s="504">
        <v>0</v>
      </c>
      <c r="DF155" s="504">
        <v>0</v>
      </c>
      <c r="DG155" s="504">
        <v>0</v>
      </c>
      <c r="DH155" s="504">
        <v>0</v>
      </c>
      <c r="DI155" s="504">
        <v>0</v>
      </c>
      <c r="DJ155" s="504">
        <v>0</v>
      </c>
      <c r="DK155" s="504">
        <v>0</v>
      </c>
      <c r="DL155" s="504">
        <v>0</v>
      </c>
      <c r="DM155" s="504">
        <v>0</v>
      </c>
      <c r="DN155" s="504">
        <v>0</v>
      </c>
      <c r="DO155" s="504">
        <v>0</v>
      </c>
      <c r="DP155" s="504">
        <v>0</v>
      </c>
      <c r="DQ155" s="504">
        <v>0</v>
      </c>
      <c r="DR155" s="504">
        <v>0</v>
      </c>
      <c r="DS155" s="504">
        <v>0</v>
      </c>
      <c r="DT155" s="504">
        <v>0</v>
      </c>
      <c r="DU155" s="504">
        <v>0</v>
      </c>
      <c r="DV155" s="504">
        <v>0</v>
      </c>
      <c r="DW155" s="504">
        <v>0</v>
      </c>
      <c r="DX155" s="504">
        <v>0</v>
      </c>
      <c r="DY155" s="504">
        <v>0</v>
      </c>
      <c r="DZ155" s="504">
        <v>0</v>
      </c>
      <c r="EA155" s="504">
        <v>0</v>
      </c>
      <c r="EB155" s="504">
        <v>0</v>
      </c>
      <c r="EC155" s="504">
        <v>0</v>
      </c>
      <c r="ED155" s="504">
        <v>0</v>
      </c>
      <c r="EE155" s="504">
        <v>0</v>
      </c>
      <c r="EF155" s="504">
        <v>0</v>
      </c>
      <c r="EG155" s="504">
        <v>0</v>
      </c>
      <c r="EH155" s="504">
        <v>0</v>
      </c>
      <c r="EI155" s="504">
        <v>0</v>
      </c>
      <c r="EJ155" s="504">
        <v>0</v>
      </c>
      <c r="EK155" s="504">
        <v>0</v>
      </c>
      <c r="EL155" s="504">
        <v>0</v>
      </c>
      <c r="EM155" s="504">
        <v>0</v>
      </c>
      <c r="EN155" s="504">
        <v>0</v>
      </c>
      <c r="EO155" s="504">
        <v>0</v>
      </c>
      <c r="EP155" s="504">
        <v>0</v>
      </c>
      <c r="EQ155" s="504">
        <v>0</v>
      </c>
      <c r="ER155" s="504">
        <v>0</v>
      </c>
      <c r="ES155" s="504">
        <v>0</v>
      </c>
      <c r="ET155" s="504">
        <v>0</v>
      </c>
      <c r="EU155" s="504">
        <v>0</v>
      </c>
      <c r="EV155" s="504">
        <v>0</v>
      </c>
      <c r="EW155" s="504">
        <v>0</v>
      </c>
      <c r="EX155" s="504">
        <v>0</v>
      </c>
      <c r="EY155" s="504">
        <v>0</v>
      </c>
      <c r="EZ155" s="504">
        <v>0</v>
      </c>
      <c r="FA155" s="504">
        <v>0</v>
      </c>
      <c r="FB155" s="504">
        <v>0</v>
      </c>
      <c r="FC155" s="504">
        <v>0</v>
      </c>
      <c r="FD155" s="504">
        <v>0</v>
      </c>
      <c r="FE155" s="504">
        <v>0</v>
      </c>
      <c r="FF155" s="504">
        <v>0</v>
      </c>
      <c r="FG155" s="504">
        <v>0</v>
      </c>
      <c r="FH155" s="504">
        <v>0</v>
      </c>
      <c r="FI155" s="504">
        <v>0</v>
      </c>
      <c r="FJ155" s="504">
        <v>0</v>
      </c>
      <c r="FK155" s="504">
        <v>0</v>
      </c>
      <c r="FL155" s="504">
        <v>0</v>
      </c>
      <c r="FM155" s="504">
        <v>0</v>
      </c>
      <c r="FN155" s="504">
        <v>0</v>
      </c>
      <c r="FO155" s="504">
        <v>0</v>
      </c>
      <c r="FP155" s="504">
        <v>0</v>
      </c>
      <c r="FQ155" s="504">
        <v>0</v>
      </c>
      <c r="FR155" s="504">
        <v>0</v>
      </c>
      <c r="FS155" s="504">
        <v>0</v>
      </c>
      <c r="FT155" s="504">
        <v>0</v>
      </c>
      <c r="FU155" s="504">
        <v>0</v>
      </c>
      <c r="FV155" s="504">
        <v>0</v>
      </c>
      <c r="FW155" s="504">
        <v>0</v>
      </c>
      <c r="FX155" s="504">
        <v>0</v>
      </c>
      <c r="FY155" s="504">
        <v>0</v>
      </c>
      <c r="FZ155" s="504">
        <v>0</v>
      </c>
      <c r="GA155" s="504">
        <v>0</v>
      </c>
      <c r="GB155" s="504">
        <v>0</v>
      </c>
      <c r="GC155" s="504">
        <v>0</v>
      </c>
      <c r="GD155" s="504">
        <v>0</v>
      </c>
      <c r="GE155" s="504">
        <v>0</v>
      </c>
      <c r="GF155" s="504">
        <v>0</v>
      </c>
      <c r="GG155" s="504">
        <v>0</v>
      </c>
      <c r="GH155" s="504">
        <v>0</v>
      </c>
      <c r="GI155" s="504">
        <v>0</v>
      </c>
      <c r="GJ155" s="504">
        <v>0</v>
      </c>
      <c r="GK155" s="504">
        <v>0</v>
      </c>
      <c r="GL155" s="504">
        <v>0</v>
      </c>
      <c r="GM155" s="504">
        <v>0</v>
      </c>
      <c r="GN155" s="504">
        <v>0</v>
      </c>
      <c r="GO155" s="504">
        <v>0</v>
      </c>
      <c r="GP155" s="504">
        <v>0</v>
      </c>
      <c r="GQ155" s="504">
        <v>0</v>
      </c>
      <c r="GR155" s="504">
        <v>0</v>
      </c>
      <c r="GS155" s="504">
        <v>0</v>
      </c>
      <c r="GT155" s="504">
        <v>0</v>
      </c>
      <c r="GU155" s="504">
        <v>0</v>
      </c>
      <c r="GV155" s="504">
        <v>0</v>
      </c>
      <c r="GW155" s="504">
        <v>0</v>
      </c>
      <c r="GX155" s="504">
        <v>0</v>
      </c>
      <c r="GY155" s="504">
        <v>0</v>
      </c>
      <c r="GZ155" s="504">
        <v>0</v>
      </c>
      <c r="HA155" s="504">
        <v>0</v>
      </c>
      <c r="HB155" s="504">
        <v>0</v>
      </c>
      <c r="HC155" s="504">
        <v>0</v>
      </c>
      <c r="HD155" s="504">
        <v>0</v>
      </c>
      <c r="HE155" s="504">
        <v>0</v>
      </c>
      <c r="HF155" s="504">
        <v>0</v>
      </c>
      <c r="HG155" s="504">
        <v>0</v>
      </c>
      <c r="HH155" s="504">
        <v>0</v>
      </c>
      <c r="HI155" s="504">
        <v>0</v>
      </c>
      <c r="HJ155" s="504">
        <v>0</v>
      </c>
      <c r="HK155" s="504">
        <v>0</v>
      </c>
      <c r="HL155" s="504">
        <v>0</v>
      </c>
      <c r="HM155" s="504">
        <v>0</v>
      </c>
      <c r="HN155" s="504">
        <v>0</v>
      </c>
      <c r="HO155" s="504">
        <v>0</v>
      </c>
      <c r="HP155" s="504">
        <v>0</v>
      </c>
      <c r="HQ155" s="504">
        <v>0</v>
      </c>
      <c r="HR155" s="504">
        <v>0</v>
      </c>
      <c r="HS155" s="504">
        <v>0</v>
      </c>
      <c r="HT155" s="504">
        <v>0</v>
      </c>
      <c r="HU155" s="504">
        <v>0</v>
      </c>
      <c r="HV155" s="504">
        <v>0</v>
      </c>
      <c r="HW155" s="504">
        <v>0</v>
      </c>
      <c r="HX155" s="504">
        <v>0</v>
      </c>
      <c r="HY155" s="504">
        <v>0</v>
      </c>
      <c r="HZ155" s="504">
        <v>0</v>
      </c>
      <c r="IA155" s="504">
        <v>0</v>
      </c>
      <c r="IB155" s="504">
        <v>0</v>
      </c>
      <c r="IC155" s="504">
        <v>0</v>
      </c>
      <c r="ID155" s="504">
        <v>0</v>
      </c>
      <c r="IE155" s="504">
        <v>0</v>
      </c>
      <c r="IF155" s="504">
        <v>0</v>
      </c>
      <c r="IG155" s="504">
        <v>0</v>
      </c>
      <c r="IH155" s="504">
        <v>0</v>
      </c>
      <c r="II155" s="504">
        <v>0</v>
      </c>
      <c r="IJ155" s="504">
        <v>0</v>
      </c>
      <c r="IK155" s="504">
        <v>0</v>
      </c>
      <c r="IL155" s="504">
        <v>0</v>
      </c>
      <c r="IM155" s="504">
        <v>0</v>
      </c>
      <c r="IN155" s="504">
        <v>0</v>
      </c>
      <c r="IO155" s="504">
        <v>0</v>
      </c>
      <c r="IP155" s="504">
        <v>0</v>
      </c>
      <c r="IQ155" s="504">
        <v>0</v>
      </c>
      <c r="IR155" s="504">
        <v>0</v>
      </c>
      <c r="IS155" s="504">
        <v>0</v>
      </c>
      <c r="IT155" s="504">
        <v>0</v>
      </c>
      <c r="IU155" s="504">
        <v>0</v>
      </c>
      <c r="IV155" s="504">
        <v>0</v>
      </c>
      <c r="IW155" s="504">
        <v>0</v>
      </c>
      <c r="IX155" s="504">
        <v>0</v>
      </c>
      <c r="IY155" s="504">
        <v>0</v>
      </c>
      <c r="IZ155" s="504">
        <v>0</v>
      </c>
      <c r="JA155" s="504">
        <v>0</v>
      </c>
      <c r="JB155" s="504">
        <v>0</v>
      </c>
      <c r="JC155" s="504">
        <v>0</v>
      </c>
      <c r="JD155" s="504">
        <v>0</v>
      </c>
      <c r="JE155" s="504">
        <v>0</v>
      </c>
      <c r="JF155" s="504">
        <v>0</v>
      </c>
      <c r="JG155" s="504">
        <v>0</v>
      </c>
      <c r="JH155" s="504">
        <v>0</v>
      </c>
      <c r="JI155" s="504">
        <v>0</v>
      </c>
      <c r="JJ155" s="504">
        <v>0</v>
      </c>
      <c r="JK155" s="504">
        <v>0</v>
      </c>
      <c r="JL155" s="504">
        <v>0</v>
      </c>
      <c r="JM155" s="504">
        <v>0</v>
      </c>
      <c r="JN155" s="504">
        <v>0</v>
      </c>
      <c r="JO155" s="504">
        <v>0</v>
      </c>
      <c r="JP155" s="504">
        <v>0</v>
      </c>
      <c r="JQ155" s="504">
        <v>0</v>
      </c>
      <c r="JR155" s="504">
        <v>0</v>
      </c>
      <c r="JS155" s="504">
        <v>0</v>
      </c>
      <c r="JT155" s="504">
        <v>0</v>
      </c>
      <c r="JU155" s="504">
        <v>0</v>
      </c>
      <c r="JV155" s="504">
        <v>0</v>
      </c>
      <c r="JW155" s="504">
        <v>0</v>
      </c>
      <c r="JX155" s="504">
        <v>0</v>
      </c>
      <c r="JY155" s="504">
        <v>0</v>
      </c>
      <c r="JZ155" s="504">
        <v>0</v>
      </c>
      <c r="KA155" s="504">
        <v>0</v>
      </c>
      <c r="KB155" s="504">
        <v>0</v>
      </c>
      <c r="KC155" s="504">
        <v>0</v>
      </c>
      <c r="KD155" s="504">
        <v>0</v>
      </c>
      <c r="KE155" s="504">
        <v>0</v>
      </c>
      <c r="KF155" s="504">
        <v>0</v>
      </c>
      <c r="KG155" s="504">
        <v>0</v>
      </c>
      <c r="KH155" s="504">
        <v>0</v>
      </c>
      <c r="KI155" s="504">
        <v>0</v>
      </c>
      <c r="KJ155" s="504">
        <v>0</v>
      </c>
      <c r="KK155" s="504">
        <v>0</v>
      </c>
      <c r="KL155" s="504">
        <v>0</v>
      </c>
      <c r="KM155" s="504">
        <v>0</v>
      </c>
      <c r="KN155" s="504">
        <v>0</v>
      </c>
      <c r="KO155" s="504">
        <v>0</v>
      </c>
      <c r="KP155" s="504">
        <v>0</v>
      </c>
      <c r="KQ155" s="504">
        <v>0</v>
      </c>
      <c r="KR155" s="504">
        <v>0</v>
      </c>
      <c r="KS155" s="504">
        <v>0</v>
      </c>
      <c r="KT155" s="504">
        <v>0</v>
      </c>
      <c r="KU155" s="504">
        <v>0</v>
      </c>
      <c r="KV155" s="504">
        <v>0</v>
      </c>
      <c r="KW155" s="504">
        <v>0</v>
      </c>
      <c r="KX155" s="504">
        <v>0</v>
      </c>
      <c r="KY155" s="504">
        <v>0</v>
      </c>
      <c r="KZ155" s="504">
        <v>0</v>
      </c>
      <c r="LA155" s="504">
        <v>0</v>
      </c>
      <c r="LB155" s="504">
        <v>0</v>
      </c>
      <c r="LC155" s="504">
        <v>0</v>
      </c>
      <c r="LD155" s="504">
        <v>0</v>
      </c>
      <c r="LE155" s="504">
        <v>0</v>
      </c>
      <c r="LF155" s="504">
        <v>0</v>
      </c>
      <c r="LG155" s="504">
        <v>0</v>
      </c>
      <c r="LH155" s="504">
        <v>0</v>
      </c>
      <c r="LI155" s="504">
        <v>0</v>
      </c>
      <c r="LJ155" s="504">
        <v>0</v>
      </c>
      <c r="LK155" s="504">
        <v>0</v>
      </c>
      <c r="LL155" s="504">
        <v>0</v>
      </c>
      <c r="LM155" s="504">
        <v>0</v>
      </c>
      <c r="LN155" s="504">
        <v>0</v>
      </c>
      <c r="LO155" s="504">
        <v>0</v>
      </c>
      <c r="LP155" s="504">
        <v>0</v>
      </c>
      <c r="LQ155" s="504">
        <v>0</v>
      </c>
      <c r="LR155" s="504">
        <v>0</v>
      </c>
      <c r="LS155" s="504">
        <v>0</v>
      </c>
      <c r="LT155" s="504">
        <v>0</v>
      </c>
      <c r="LU155" s="504">
        <v>0</v>
      </c>
      <c r="LV155" s="504">
        <v>0</v>
      </c>
      <c r="LW155" s="504">
        <v>0</v>
      </c>
      <c r="LX155" s="504">
        <v>0</v>
      </c>
      <c r="LY155" s="504">
        <v>0</v>
      </c>
      <c r="LZ155" s="504">
        <v>0</v>
      </c>
      <c r="MA155" s="504">
        <v>0</v>
      </c>
      <c r="MB155" s="504">
        <v>0</v>
      </c>
      <c r="MC155" s="504">
        <v>0</v>
      </c>
      <c r="MD155" s="504">
        <v>0</v>
      </c>
      <c r="ME155" s="504">
        <v>0</v>
      </c>
      <c r="MF155" s="504">
        <v>0</v>
      </c>
      <c r="MG155" s="504">
        <v>0</v>
      </c>
      <c r="MH155" s="504">
        <v>0</v>
      </c>
      <c r="MI155" s="504">
        <v>0</v>
      </c>
      <c r="MJ155" s="504">
        <v>0</v>
      </c>
      <c r="MK155" s="504">
        <v>0</v>
      </c>
      <c r="ML155" s="504">
        <v>0</v>
      </c>
      <c r="MM155" s="504">
        <v>0</v>
      </c>
      <c r="MN155" s="504">
        <v>0</v>
      </c>
      <c r="MO155" s="504">
        <v>0</v>
      </c>
      <c r="MP155" s="504">
        <v>0</v>
      </c>
      <c r="MQ155" s="504">
        <v>0</v>
      </c>
      <c r="MR155" s="504">
        <v>0</v>
      </c>
      <c r="MS155" s="504">
        <v>0</v>
      </c>
      <c r="MT155" s="504">
        <v>0</v>
      </c>
      <c r="MU155" s="504">
        <v>0</v>
      </c>
      <c r="MV155" s="504">
        <v>0</v>
      </c>
      <c r="MW155" s="504">
        <v>0</v>
      </c>
      <c r="MX155" s="504">
        <v>0</v>
      </c>
      <c r="MY155" s="504">
        <v>0</v>
      </c>
      <c r="MZ155" s="504">
        <v>0</v>
      </c>
      <c r="NA155" s="504">
        <v>0</v>
      </c>
      <c r="NB155" s="504">
        <v>0</v>
      </c>
      <c r="NC155" s="504">
        <v>0</v>
      </c>
      <c r="ND155" s="504">
        <v>0</v>
      </c>
      <c r="NE155" s="504">
        <v>0</v>
      </c>
      <c r="NF155" s="504">
        <v>0</v>
      </c>
      <c r="NG155" s="504">
        <v>0</v>
      </c>
      <c r="NH155" s="504">
        <v>0</v>
      </c>
      <c r="NI155" s="504">
        <v>0</v>
      </c>
      <c r="NJ155" s="504">
        <v>0</v>
      </c>
      <c r="NK155" s="504">
        <v>0</v>
      </c>
      <c r="NL155" s="504">
        <v>0</v>
      </c>
      <c r="NM155" s="504">
        <v>0</v>
      </c>
      <c r="NN155" s="504">
        <v>0</v>
      </c>
      <c r="NO155" s="504">
        <v>0</v>
      </c>
      <c r="NP155" s="504">
        <v>0</v>
      </c>
      <c r="NQ155" s="504">
        <v>0</v>
      </c>
      <c r="NR155" s="504">
        <v>0</v>
      </c>
      <c r="NS155" s="504">
        <v>0</v>
      </c>
      <c r="NT155" s="504">
        <v>0</v>
      </c>
      <c r="NU155" s="504">
        <v>0</v>
      </c>
      <c r="NV155" s="504">
        <v>0</v>
      </c>
      <c r="NW155" s="504">
        <v>0</v>
      </c>
      <c r="NX155" s="504">
        <v>0</v>
      </c>
      <c r="NY155" s="504">
        <v>0</v>
      </c>
      <c r="NZ155" s="504">
        <v>0</v>
      </c>
      <c r="OA155" s="504">
        <v>0</v>
      </c>
      <c r="OB155" s="504">
        <v>0</v>
      </c>
      <c r="OC155" s="504">
        <v>0</v>
      </c>
      <c r="OD155" s="504">
        <v>0</v>
      </c>
      <c r="OE155" s="504">
        <v>0</v>
      </c>
      <c r="OF155" s="504">
        <v>0</v>
      </c>
      <c r="OG155" s="504">
        <v>0</v>
      </c>
      <c r="OH155" s="504">
        <v>0</v>
      </c>
      <c r="OI155" s="504">
        <v>0</v>
      </c>
      <c r="OJ155" s="504">
        <v>0</v>
      </c>
      <c r="OK155" s="504">
        <v>0</v>
      </c>
      <c r="OL155" s="504">
        <v>0</v>
      </c>
      <c r="OM155" s="504">
        <v>0</v>
      </c>
      <c r="ON155" s="494"/>
    </row>
    <row r="156" spans="1:404" ht="18.75" customHeight="1" x14ac:dyDescent="0.4">
      <c r="D156" s="514"/>
      <c r="E156" s="495"/>
      <c r="F156" s="514"/>
      <c r="G156" s="495"/>
      <c r="H156" s="515"/>
      <c r="I156" s="495"/>
      <c r="J156" s="514"/>
      <c r="K156" s="495"/>
      <c r="L156" s="514"/>
      <c r="M156" s="495"/>
      <c r="N156" s="514"/>
      <c r="O156" s="495"/>
      <c r="P156" s="514"/>
      <c r="Q156" s="495"/>
      <c r="R156" s="514"/>
      <c r="S156" s="495"/>
      <c r="T156" s="514"/>
      <c r="U156" s="495"/>
      <c r="V156" s="514"/>
      <c r="W156" s="495"/>
      <c r="X156" s="514"/>
      <c r="Y156" s="495"/>
      <c r="Z156" s="514"/>
      <c r="AA156" s="495"/>
      <c r="AB156" s="495"/>
      <c r="AC156" s="495"/>
      <c r="AD156" s="495"/>
      <c r="AE156" s="495"/>
      <c r="AF156" s="495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/>
      <c r="AT156" s="495"/>
      <c r="AU156" s="495"/>
      <c r="AV156" s="495"/>
      <c r="AW156" s="495"/>
      <c r="AX156" s="495"/>
      <c r="AY156" s="495"/>
      <c r="AZ156" s="495"/>
      <c r="BA156" s="495"/>
      <c r="BB156" s="495"/>
      <c r="BC156" s="495"/>
      <c r="BD156" s="495"/>
      <c r="BE156" s="495"/>
      <c r="BF156" s="495"/>
      <c r="BG156" s="495"/>
      <c r="BH156" s="495"/>
      <c r="BI156" s="495"/>
      <c r="BJ156" s="495"/>
      <c r="BK156" s="495"/>
      <c r="BL156" s="495"/>
      <c r="BM156" s="495"/>
      <c r="BN156" s="495"/>
      <c r="BO156" s="495"/>
      <c r="BP156" s="495"/>
      <c r="BQ156" s="495"/>
      <c r="BR156" s="495"/>
      <c r="BS156" s="495"/>
      <c r="BT156" s="495"/>
      <c r="BU156" s="495"/>
      <c r="BV156" s="495"/>
      <c r="BW156" s="495"/>
      <c r="BX156" s="495"/>
      <c r="BY156" s="495"/>
      <c r="BZ156" s="495"/>
      <c r="CA156" s="495"/>
      <c r="CB156" s="495"/>
      <c r="CC156" s="495"/>
      <c r="CD156" s="495"/>
      <c r="CE156" s="495"/>
      <c r="CF156" s="495"/>
      <c r="CG156" s="495"/>
      <c r="CH156" s="495"/>
      <c r="CI156" s="495"/>
      <c r="CJ156" s="495"/>
      <c r="CK156" s="495"/>
      <c r="CL156" s="495"/>
      <c r="CM156" s="495"/>
      <c r="CN156" s="495"/>
      <c r="CO156" s="495"/>
      <c r="CP156" s="495"/>
      <c r="CQ156" s="495"/>
      <c r="CR156" s="495"/>
      <c r="CS156" s="495"/>
      <c r="CT156" s="495"/>
      <c r="CU156" s="495"/>
      <c r="CV156" s="495"/>
      <c r="CW156" s="495"/>
      <c r="CX156" s="495"/>
      <c r="CY156" s="495"/>
      <c r="CZ156" s="495"/>
      <c r="DA156" s="495"/>
      <c r="DB156" s="495"/>
      <c r="DC156" s="495"/>
      <c r="DD156" s="495"/>
      <c r="DE156" s="495"/>
      <c r="DF156" s="495"/>
      <c r="DG156" s="495"/>
      <c r="DH156" s="495"/>
      <c r="DI156" s="495"/>
      <c r="DJ156" s="495"/>
      <c r="DK156" s="495"/>
      <c r="DL156" s="495"/>
      <c r="DM156" s="495"/>
      <c r="DN156" s="495"/>
      <c r="DO156" s="495"/>
      <c r="DP156" s="495"/>
      <c r="DQ156" s="495"/>
      <c r="DR156" s="495"/>
      <c r="DS156" s="495"/>
      <c r="DT156" s="495"/>
      <c r="DU156" s="495"/>
      <c r="DV156" s="495"/>
      <c r="DW156" s="495"/>
      <c r="DX156" s="495"/>
      <c r="DY156" s="495"/>
      <c r="DZ156" s="495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95"/>
      <c r="ES156" s="495"/>
      <c r="ET156" s="495"/>
      <c r="EU156" s="495"/>
      <c r="EV156" s="495"/>
      <c r="EW156" s="495"/>
      <c r="EX156" s="495"/>
      <c r="EY156" s="495"/>
      <c r="EZ156" s="495"/>
      <c r="FA156" s="495"/>
      <c r="FB156" s="495"/>
      <c r="FC156" s="495"/>
      <c r="FD156" s="495"/>
      <c r="FE156" s="495"/>
      <c r="FF156" s="495"/>
      <c r="FG156" s="495"/>
      <c r="FH156" s="495"/>
      <c r="FI156" s="495"/>
      <c r="FJ156" s="495"/>
      <c r="FK156" s="495"/>
      <c r="FL156" s="495"/>
      <c r="FM156" s="495"/>
      <c r="FN156" s="495"/>
      <c r="FO156" s="495"/>
      <c r="FP156" s="495"/>
      <c r="FQ156" s="495"/>
      <c r="FR156" s="495"/>
      <c r="FS156" s="495"/>
      <c r="FT156" s="495"/>
      <c r="FU156" s="495"/>
      <c r="FV156" s="495"/>
      <c r="FW156" s="495"/>
      <c r="FX156" s="495"/>
      <c r="FY156" s="495"/>
      <c r="FZ156" s="495"/>
      <c r="GA156" s="495"/>
      <c r="GB156" s="495"/>
      <c r="GC156" s="495"/>
      <c r="GD156" s="495"/>
      <c r="GE156" s="495"/>
      <c r="GF156" s="495"/>
      <c r="GG156" s="495"/>
      <c r="GH156" s="495"/>
      <c r="GI156" s="495"/>
      <c r="GJ156" s="495"/>
      <c r="GK156" s="495"/>
      <c r="GL156" s="495"/>
      <c r="GM156" s="495"/>
      <c r="GN156" s="495"/>
      <c r="GO156" s="495"/>
      <c r="GP156" s="495"/>
      <c r="GQ156" s="495"/>
      <c r="GR156" s="495"/>
      <c r="GS156" s="495"/>
      <c r="GT156" s="495"/>
      <c r="GU156" s="495"/>
      <c r="GV156" s="495"/>
      <c r="GW156" s="495"/>
      <c r="GX156" s="495"/>
      <c r="GY156" s="495"/>
      <c r="GZ156" s="495"/>
      <c r="HA156" s="495"/>
      <c r="HB156" s="495"/>
      <c r="HC156" s="495"/>
      <c r="HD156" s="495"/>
      <c r="HE156" s="495"/>
      <c r="HF156" s="495"/>
      <c r="HG156" s="495"/>
      <c r="HH156" s="495"/>
      <c r="HI156" s="495"/>
      <c r="HJ156" s="495"/>
      <c r="HK156" s="495"/>
      <c r="HL156" s="495"/>
      <c r="HM156" s="495"/>
      <c r="HN156" s="495"/>
      <c r="HO156" s="495"/>
      <c r="HP156" s="495"/>
      <c r="HQ156" s="495"/>
      <c r="HR156" s="495"/>
      <c r="HS156" s="495"/>
      <c r="HT156" s="495"/>
      <c r="HU156" s="495"/>
      <c r="HV156" s="495"/>
      <c r="HW156" s="495"/>
      <c r="HX156" s="495"/>
      <c r="HY156" s="495"/>
      <c r="HZ156" s="495"/>
      <c r="IA156" s="495"/>
      <c r="IB156" s="495"/>
      <c r="IC156" s="495"/>
      <c r="ID156" s="495"/>
      <c r="IE156" s="495"/>
      <c r="IF156" s="495"/>
      <c r="IG156" s="495"/>
      <c r="IH156" s="495"/>
      <c r="II156" s="495"/>
      <c r="IJ156" s="495"/>
      <c r="IK156" s="495"/>
      <c r="IL156" s="495"/>
      <c r="IM156" s="495"/>
      <c r="IN156" s="495"/>
      <c r="IO156" s="495"/>
      <c r="IP156" s="495"/>
      <c r="IQ156" s="495"/>
      <c r="IR156" s="495"/>
      <c r="IS156" s="495"/>
      <c r="IT156" s="495"/>
      <c r="IU156" s="495"/>
      <c r="IV156" s="495"/>
      <c r="IW156" s="495"/>
      <c r="IX156" s="495"/>
      <c r="IY156" s="495"/>
      <c r="IZ156" s="495"/>
      <c r="JA156" s="495"/>
      <c r="JB156" s="495"/>
      <c r="JC156" s="495"/>
      <c r="JD156" s="495"/>
      <c r="JE156" s="495"/>
      <c r="JF156" s="495"/>
      <c r="JG156" s="495"/>
      <c r="JH156" s="495"/>
      <c r="JI156" s="495"/>
      <c r="JJ156" s="495"/>
      <c r="JK156" s="495"/>
      <c r="JL156" s="495"/>
      <c r="JM156" s="495"/>
      <c r="JN156" s="495"/>
      <c r="JO156" s="495"/>
      <c r="JP156" s="495"/>
      <c r="JQ156" s="495"/>
      <c r="JR156" s="495"/>
      <c r="JS156" s="495"/>
      <c r="JT156" s="495"/>
      <c r="JU156" s="495"/>
      <c r="JV156" s="495"/>
      <c r="JW156" s="495"/>
      <c r="JX156" s="495"/>
      <c r="JY156" s="495"/>
      <c r="JZ156" s="495"/>
      <c r="KA156" s="495"/>
      <c r="KB156" s="495"/>
      <c r="KC156" s="495"/>
      <c r="KD156" s="495"/>
      <c r="KE156" s="495"/>
      <c r="KF156" s="495"/>
      <c r="KG156" s="495"/>
      <c r="KH156" s="495"/>
      <c r="KI156" s="495"/>
      <c r="KJ156" s="495"/>
      <c r="KK156" s="495"/>
      <c r="KL156" s="495"/>
      <c r="KM156" s="495"/>
      <c r="KN156" s="495"/>
      <c r="KO156" s="495"/>
      <c r="KP156" s="495"/>
      <c r="KQ156" s="495"/>
      <c r="KR156" s="495"/>
      <c r="KS156" s="495"/>
      <c r="KT156" s="495"/>
      <c r="KU156" s="495"/>
      <c r="KV156" s="495"/>
      <c r="KW156" s="495"/>
      <c r="KX156" s="495"/>
      <c r="KY156" s="495"/>
      <c r="KZ156" s="495"/>
      <c r="LA156" s="495"/>
      <c r="LB156" s="495"/>
      <c r="LC156" s="495"/>
      <c r="LD156" s="495"/>
      <c r="LE156" s="495"/>
      <c r="LF156" s="495"/>
      <c r="LG156" s="495"/>
      <c r="LH156" s="495"/>
      <c r="LI156" s="495"/>
      <c r="LJ156" s="495"/>
      <c r="LK156" s="495"/>
      <c r="LL156" s="495"/>
      <c r="LM156" s="495"/>
      <c r="LN156" s="495"/>
      <c r="LO156" s="495"/>
      <c r="LP156" s="495"/>
      <c r="LQ156" s="495"/>
      <c r="LR156" s="495"/>
      <c r="LS156" s="495"/>
      <c r="LT156" s="495"/>
      <c r="LU156" s="495"/>
      <c r="LV156" s="495"/>
      <c r="LW156" s="495"/>
      <c r="LX156" s="495"/>
      <c r="LY156" s="495"/>
      <c r="LZ156" s="495"/>
      <c r="MA156" s="495"/>
      <c r="MB156" s="495"/>
      <c r="MC156" s="495"/>
      <c r="MD156" s="495"/>
      <c r="ME156" s="495"/>
      <c r="MF156" s="495"/>
      <c r="MG156" s="495"/>
      <c r="MH156" s="495"/>
      <c r="MI156" s="495"/>
      <c r="MJ156" s="495"/>
      <c r="MK156" s="495"/>
      <c r="ML156" s="495"/>
      <c r="MM156" s="495"/>
      <c r="MN156" s="495"/>
      <c r="MO156" s="495"/>
      <c r="MP156" s="495"/>
      <c r="MQ156" s="495"/>
      <c r="MR156" s="495"/>
      <c r="MS156" s="495"/>
      <c r="MT156" s="495"/>
      <c r="MU156" s="495"/>
      <c r="MV156" s="495"/>
      <c r="MW156" s="495"/>
      <c r="MX156" s="495"/>
      <c r="MY156" s="495"/>
      <c r="MZ156" s="495"/>
      <c r="NA156" s="495"/>
      <c r="NB156" s="495"/>
      <c r="NC156" s="495"/>
      <c r="ND156" s="495"/>
      <c r="NE156" s="495"/>
      <c r="NF156" s="495"/>
      <c r="NG156" s="495"/>
      <c r="NH156" s="495"/>
      <c r="NI156" s="495"/>
      <c r="NJ156" s="495"/>
      <c r="NK156" s="495"/>
      <c r="NL156" s="495"/>
      <c r="NM156" s="495"/>
      <c r="NN156" s="495"/>
      <c r="NO156" s="495"/>
      <c r="NP156" s="495"/>
      <c r="NQ156" s="495"/>
      <c r="NR156" s="495"/>
      <c r="NS156" s="495"/>
      <c r="NT156" s="495"/>
      <c r="NU156" s="495"/>
      <c r="NV156" s="495"/>
      <c r="NW156" s="495"/>
      <c r="NX156" s="495"/>
      <c r="NY156" s="495"/>
      <c r="NZ156" s="495"/>
      <c r="OA156" s="495"/>
      <c r="OB156" s="495"/>
      <c r="OC156" s="495"/>
      <c r="OD156" s="495"/>
      <c r="OE156" s="495"/>
      <c r="OF156" s="495"/>
      <c r="OG156" s="495"/>
      <c r="OH156" s="495"/>
      <c r="OI156" s="495"/>
      <c r="OJ156" s="495"/>
      <c r="OK156" s="495"/>
      <c r="OL156" s="495"/>
      <c r="OM156" s="495"/>
      <c r="ON156" s="516"/>
    </row>
    <row r="157" spans="1:404" ht="18.75" customHeight="1" x14ac:dyDescent="0.4">
      <c r="D157" s="514"/>
      <c r="E157" s="495"/>
      <c r="F157" s="514"/>
      <c r="G157" s="495"/>
      <c r="H157" s="515"/>
      <c r="I157" s="495"/>
      <c r="J157" s="514"/>
      <c r="K157" s="495"/>
      <c r="L157" s="514"/>
      <c r="M157" s="495"/>
      <c r="N157" s="514"/>
      <c r="O157" s="495"/>
      <c r="P157" s="514"/>
      <c r="Q157" s="495"/>
      <c r="R157" s="514"/>
      <c r="S157" s="495"/>
      <c r="T157" s="514"/>
      <c r="U157" s="495"/>
      <c r="V157" s="514"/>
      <c r="W157" s="495"/>
      <c r="X157" s="514"/>
      <c r="Y157" s="495"/>
    </row>
    <row r="158" spans="1:404" ht="18.75" customHeight="1" x14ac:dyDescent="0.4">
      <c r="D158" s="514"/>
      <c r="E158" s="495"/>
      <c r="F158" s="514"/>
      <c r="G158" s="495"/>
      <c r="H158" s="515"/>
      <c r="I158" s="495"/>
      <c r="J158" s="514"/>
      <c r="K158" s="495"/>
      <c r="L158" s="514"/>
      <c r="M158" s="495"/>
      <c r="N158" s="514"/>
      <c r="O158" s="495"/>
      <c r="P158" s="514"/>
      <c r="Q158" s="495"/>
      <c r="R158" s="514"/>
      <c r="S158" s="495"/>
      <c r="T158" s="514"/>
      <c r="U158" s="495"/>
      <c r="V158" s="514"/>
      <c r="W158" s="495"/>
      <c r="X158" s="514"/>
      <c r="Y158" s="495"/>
    </row>
    <row r="159" spans="1:404" ht="18.75" customHeight="1" x14ac:dyDescent="0.4">
      <c r="D159" s="514"/>
      <c r="E159" s="495"/>
      <c r="F159" s="514"/>
      <c r="G159" s="495"/>
      <c r="H159" s="515"/>
      <c r="I159" s="495"/>
      <c r="J159" s="514"/>
      <c r="K159" s="495"/>
      <c r="L159" s="514"/>
      <c r="M159" s="495"/>
      <c r="N159" s="514"/>
      <c r="O159" s="495"/>
      <c r="P159" s="514"/>
      <c r="Q159" s="495"/>
      <c r="R159" s="514"/>
      <c r="S159" s="495"/>
      <c r="T159" s="514"/>
      <c r="U159" s="495"/>
      <c r="V159" s="514"/>
      <c r="W159" s="495"/>
    </row>
  </sheetData>
  <mergeCells count="1">
    <mergeCell ref="R1:T1"/>
  </mergeCells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W379"/>
  <sheetViews>
    <sheetView topLeftCell="A160" workbookViewId="0">
      <selection activeCell="A156" sqref="A156"/>
    </sheetView>
  </sheetViews>
  <sheetFormatPr defaultRowHeight="14.6" x14ac:dyDescent="0.4"/>
  <cols>
    <col min="1" max="1" width="28.15234375" style="409" bestFit="1" customWidth="1"/>
    <col min="2" max="2" width="2.84375" style="5" bestFit="1" customWidth="1"/>
    <col min="3" max="3" width="14.15234375" style="410" bestFit="1" customWidth="1"/>
    <col min="4" max="4" width="13" style="410" bestFit="1" customWidth="1"/>
    <col min="5" max="5" width="10.84375" style="410" bestFit="1" customWidth="1"/>
    <col min="6" max="6" width="10.4609375" style="2" bestFit="1" customWidth="1"/>
    <col min="7" max="7" width="10.4609375" style="409" bestFit="1" customWidth="1"/>
    <col min="8" max="8" width="9.15234375" style="2" bestFit="1" customWidth="1"/>
    <col min="9" max="11" width="9.15234375" style="410" bestFit="1" customWidth="1"/>
    <col min="12" max="15" width="9.15234375" style="2" bestFit="1" customWidth="1"/>
    <col min="16" max="16" width="15.15234375" style="2" bestFit="1" customWidth="1"/>
    <col min="17" max="19" width="9.15234375" style="2" bestFit="1" customWidth="1"/>
    <col min="20" max="20" width="8.15234375" style="2" bestFit="1" customWidth="1"/>
    <col min="21" max="101" width="9.15234375" style="2" bestFit="1" customWidth="1"/>
    <col min="102" max="102" width="10" style="2" bestFit="1" customWidth="1"/>
    <col min="103" max="202" width="13.53515625" style="2" bestFit="1" customWidth="1"/>
    <col min="203" max="205" width="13.53515625" bestFit="1" customWidth="1"/>
  </cols>
  <sheetData>
    <row r="1" spans="1:23" ht="18.75" customHeight="1" x14ac:dyDescent="0.4">
      <c r="A1" s="1" t="s">
        <v>426</v>
      </c>
    </row>
    <row r="2" spans="1:23" ht="18.75" customHeight="1" x14ac:dyDescent="0.4">
      <c r="G2" s="104">
        <f>E2+1</f>
        <v>1</v>
      </c>
      <c r="I2" s="104">
        <f>G2+1</f>
        <v>2</v>
      </c>
      <c r="K2" s="104">
        <f>I2+1</f>
        <v>3</v>
      </c>
      <c r="L2" s="411" t="s">
        <v>427</v>
      </c>
      <c r="M2" s="104">
        <f>K2+1</f>
        <v>4</v>
      </c>
      <c r="O2" s="104">
        <f>M2+1</f>
        <v>5</v>
      </c>
      <c r="Q2" s="104">
        <f>O2+1</f>
        <v>6</v>
      </c>
      <c r="S2" s="104">
        <f>Q2+1</f>
        <v>7</v>
      </c>
      <c r="U2" s="104">
        <f>S2+1</f>
        <v>8</v>
      </c>
      <c r="W2" s="104">
        <f>U2+1</f>
        <v>9</v>
      </c>
    </row>
    <row r="3" spans="1:23" ht="19.5" customHeight="1" x14ac:dyDescent="0.75">
      <c r="A3" s="412"/>
    </row>
    <row r="4" spans="1:23" ht="18.75" customHeight="1" x14ac:dyDescent="0.4">
      <c r="C4" s="31" t="s">
        <v>428</v>
      </c>
      <c r="D4" s="31" t="s">
        <v>429</v>
      </c>
      <c r="L4" s="411" t="s">
        <v>430</v>
      </c>
    </row>
    <row r="5" spans="1:23" ht="18.75" customHeight="1" x14ac:dyDescent="0.4">
      <c r="A5" s="1" t="s">
        <v>431</v>
      </c>
      <c r="C5" s="31" t="s">
        <v>432</v>
      </c>
      <c r="D5" s="31" t="s">
        <v>432</v>
      </c>
    </row>
    <row r="6" spans="1:23" ht="18.75" customHeight="1" x14ac:dyDescent="0.4">
      <c r="C6" s="413">
        <v>1</v>
      </c>
      <c r="D6" s="413">
        <v>4</v>
      </c>
    </row>
    <row r="7" spans="1:23" ht="18.75" customHeight="1" x14ac:dyDescent="0.4">
      <c r="A7" s="414" t="s">
        <v>96</v>
      </c>
      <c r="B7" s="73"/>
      <c r="C7" s="174" t="str">
        <f>HLOOKUP(C$6,$C$91:$GT$172,2,0)</f>
        <v>Sintef i</v>
      </c>
      <c r="D7" s="174" t="str">
        <f>HLOOKUP(D$6,$C$91:$GT$172,2,0)</f>
        <v>C</v>
      </c>
      <c r="E7" s="71"/>
      <c r="F7" s="415" t="s">
        <v>185</v>
      </c>
      <c r="G7" s="416" t="s">
        <v>186</v>
      </c>
      <c r="H7" s="199">
        <v>1</v>
      </c>
      <c r="I7" s="197" t="s">
        <v>236</v>
      </c>
      <c r="J7" s="186"/>
      <c r="K7" s="186"/>
      <c r="L7" s="186"/>
      <c r="M7" s="186"/>
      <c r="N7" s="186"/>
      <c r="O7" s="735" t="s">
        <v>433</v>
      </c>
      <c r="P7" s="736"/>
      <c r="Q7" s="736"/>
      <c r="R7" s="736"/>
      <c r="S7" s="737"/>
    </row>
    <row r="8" spans="1:23" ht="18.75" customHeight="1" x14ac:dyDescent="0.4">
      <c r="A8" s="417" t="s">
        <v>99</v>
      </c>
      <c r="B8" s="213"/>
      <c r="C8" s="124">
        <f>HLOOKUP(C$6,$C$91:$GT$172,3,0)</f>
        <v>0</v>
      </c>
      <c r="D8" s="124">
        <f>HLOOKUP(D$6,$C$91:$GT$172,3,0)</f>
        <v>0</v>
      </c>
      <c r="E8" s="91"/>
      <c r="F8" s="99" t="s">
        <v>100</v>
      </c>
      <c r="G8" s="297" t="s">
        <v>98</v>
      </c>
      <c r="H8" s="418" t="s">
        <v>187</v>
      </c>
      <c r="I8" s="177"/>
      <c r="J8" s="12" t="s">
        <v>237</v>
      </c>
      <c r="L8" s="99"/>
      <c r="M8" s="99"/>
      <c r="N8" s="297">
        <f>COUNT(G10:G52)</f>
        <v>40</v>
      </c>
      <c r="O8" s="738" t="s">
        <v>434</v>
      </c>
      <c r="P8" s="739"/>
      <c r="Q8" s="739"/>
      <c r="R8" s="739"/>
      <c r="S8" s="740"/>
      <c r="U8" s="99"/>
    </row>
    <row r="9" spans="1:23" ht="18.75" customHeight="1" x14ac:dyDescent="0.4">
      <c r="A9" s="419" t="s">
        <v>102</v>
      </c>
      <c r="B9" s="195"/>
      <c r="C9" s="420">
        <f>HLOOKUP(C$6,$C$91:$GT$172,4,0)</f>
        <v>0</v>
      </c>
      <c r="D9" s="420">
        <f>HLOOKUP(D$6,$C$91:$GT$172,4,0)</f>
        <v>0</v>
      </c>
      <c r="E9" s="54" t="s">
        <v>93</v>
      </c>
      <c r="F9" s="99"/>
      <c r="G9" s="297" t="s">
        <v>100</v>
      </c>
      <c r="H9" s="421" t="s">
        <v>188</v>
      </c>
      <c r="I9" s="177"/>
      <c r="J9" s="12" t="s">
        <v>238</v>
      </c>
      <c r="L9" s="12"/>
      <c r="M9" s="99"/>
      <c r="N9" s="99" t="e">
        <f>IF(N8&lt;3,"",SUM(G10:G52))</f>
        <v>#REF!</v>
      </c>
      <c r="O9" s="422" t="s">
        <v>435</v>
      </c>
      <c r="P9" s="423" t="s">
        <v>436</v>
      </c>
      <c r="Q9" s="424" t="s">
        <v>437</v>
      </c>
      <c r="R9" s="37" t="s">
        <v>438</v>
      </c>
      <c r="S9" s="425" t="s">
        <v>439</v>
      </c>
    </row>
    <row r="10" spans="1:23" ht="18.75" customHeight="1" x14ac:dyDescent="0.4">
      <c r="A10" s="237" t="s">
        <v>104</v>
      </c>
      <c r="B10" s="73"/>
      <c r="C10" s="415">
        <f>HLOOKUP(C$6,$C$91:$GT$172,5,0)</f>
        <v>146.99760698981578</v>
      </c>
      <c r="D10" s="415">
        <f>HLOOKUP(D$6,$C$91:$GT$172,5,0)</f>
        <v>184.16647291327598</v>
      </c>
      <c r="E10" s="426">
        <f t="shared" ref="E10:E47" si="0">AVERAGE(C10:D10)</f>
        <v>165.58203995154588</v>
      </c>
      <c r="F10" s="426">
        <f t="shared" ref="F10:F47" si="1">IF(H10=1,(C10-D10)/E10*100,"")</f>
        <v>-22.447401864560245</v>
      </c>
      <c r="G10" s="71">
        <f t="shared" ref="G10:G47" si="2">IF(AND(E10&gt;0.01,H10=1),F10*F10,"")</f>
        <v>503.88585046906275</v>
      </c>
      <c r="H10" s="247">
        <v>1</v>
      </c>
      <c r="I10" s="177"/>
      <c r="J10" s="12" t="s">
        <v>239</v>
      </c>
      <c r="L10" s="12"/>
      <c r="M10" s="99"/>
      <c r="N10" s="69" t="e">
        <f>IF(N8&lt;3,"",SQRT(N9/2/N8))</f>
        <v>#REF!</v>
      </c>
      <c r="O10" s="96">
        <f t="shared" ref="O10:O19" si="3">G180</f>
        <v>2</v>
      </c>
      <c r="P10" s="175" t="str">
        <f t="shared" ref="P10:P19" si="4">HLOOKUP($O10,$C$91:$GT$172,2,0)</f>
        <v>A</v>
      </c>
      <c r="Q10" s="385">
        <f t="shared" ref="Q10:Q19" si="5">I180</f>
        <v>2.5292262964229644</v>
      </c>
      <c r="R10" s="385">
        <f t="shared" ref="R10:R19" si="6">J180</f>
        <v>5.5363891613838154</v>
      </c>
      <c r="S10" s="427">
        <f t="shared" ref="S10:S19" si="7">K180</f>
        <v>3.9760817369798733</v>
      </c>
      <c r="U10" s="428"/>
    </row>
    <row r="11" spans="1:23" ht="18.75" customHeight="1" x14ac:dyDescent="0.4">
      <c r="A11" s="29" t="s">
        <v>105</v>
      </c>
      <c r="B11" s="213"/>
      <c r="C11" s="99">
        <f>HLOOKUP(C$6,$C$91:$GT$172,6,0)</f>
        <v>118.61331896358168</v>
      </c>
      <c r="D11" s="99">
        <f>HLOOKUP(D$6,$C$91:$GT$172,6,0)</f>
        <v>214.08108108108107</v>
      </c>
      <c r="E11" s="260">
        <f t="shared" si="0"/>
        <v>166.34720002233138</v>
      </c>
      <c r="F11" s="260">
        <f t="shared" si="1"/>
        <v>-57.390663686965141</v>
      </c>
      <c r="G11" s="91">
        <f t="shared" si="2"/>
        <v>3293.6882784303393</v>
      </c>
      <c r="H11" s="249">
        <v>1</v>
      </c>
      <c r="I11" s="177" t="s">
        <v>240</v>
      </c>
      <c r="J11" s="99"/>
      <c r="K11" s="99"/>
      <c r="L11" s="99"/>
      <c r="M11" s="99"/>
      <c r="N11" s="99"/>
      <c r="O11" s="96">
        <f t="shared" si="3"/>
        <v>3</v>
      </c>
      <c r="P11" s="178" t="str">
        <f t="shared" si="4"/>
        <v>B</v>
      </c>
      <c r="Q11" s="385">
        <f t="shared" si="5"/>
        <v>105.31975913688083</v>
      </c>
      <c r="R11" s="385">
        <f t="shared" si="6"/>
        <v>109.34726928290965</v>
      </c>
      <c r="S11" s="427">
        <f t="shared" si="7"/>
        <v>107.14025670407311</v>
      </c>
    </row>
    <row r="12" spans="1:23" ht="18.75" customHeight="1" x14ac:dyDescent="0.4">
      <c r="A12" s="29" t="s">
        <v>106</v>
      </c>
      <c r="B12" s="213"/>
      <c r="C12" s="99">
        <f>HLOOKUP(C$6,$C$91:$GT$172,7,0)</f>
        <v>111.35885570046278</v>
      </c>
      <c r="D12" s="99">
        <f>HLOOKUP(D$6,$C$91:$GT$172,7,0)</f>
        <v>34.135392783878366</v>
      </c>
      <c r="E12" s="260">
        <f t="shared" si="0"/>
        <v>72.747124242170571</v>
      </c>
      <c r="F12" s="260">
        <f t="shared" si="1"/>
        <v>106.15328608662577</v>
      </c>
      <c r="G12" s="91">
        <f t="shared" si="2"/>
        <v>11268.520146989016</v>
      </c>
      <c r="H12" s="249">
        <v>1</v>
      </c>
      <c r="I12" s="177"/>
      <c r="J12" s="12" t="s">
        <v>237</v>
      </c>
      <c r="L12" s="99"/>
      <c r="M12" s="99"/>
      <c r="N12" s="297">
        <f>COUNT(G53:G87)</f>
        <v>24</v>
      </c>
      <c r="O12" s="96">
        <f t="shared" si="3"/>
        <v>4</v>
      </c>
      <c r="P12" s="178" t="str">
        <f t="shared" si="4"/>
        <v>C</v>
      </c>
      <c r="Q12" s="385">
        <f t="shared" si="5"/>
        <v>105.33119670337992</v>
      </c>
      <c r="R12" s="385">
        <f t="shared" si="6"/>
        <v>109.46050268392972</v>
      </c>
      <c r="S12" s="427">
        <f t="shared" si="7"/>
        <v>107.19818205832894</v>
      </c>
    </row>
    <row r="13" spans="1:23" ht="18.75" customHeight="1" x14ac:dyDescent="0.4">
      <c r="A13" s="29" t="s">
        <v>107</v>
      </c>
      <c r="B13" s="213"/>
      <c r="C13" s="99">
        <f>HLOOKUP(C$6,$C$91:$GT$172,8,0)</f>
        <v>48.093762629664553</v>
      </c>
      <c r="D13" s="99">
        <f>HLOOKUP(D$6,$C$91:$GT$172,8,0)</f>
        <v>79.270270270270274</v>
      </c>
      <c r="E13" s="260">
        <f t="shared" si="0"/>
        <v>63.682016449967414</v>
      </c>
      <c r="F13" s="260">
        <f t="shared" si="1"/>
        <v>-48.956533380345988</v>
      </c>
      <c r="G13" s="91">
        <f t="shared" si="2"/>
        <v>2396.7421606209309</v>
      </c>
      <c r="H13" s="249">
        <v>1</v>
      </c>
      <c r="I13" s="177"/>
      <c r="J13" s="12" t="s">
        <v>238</v>
      </c>
      <c r="L13" s="12"/>
      <c r="M13" s="99"/>
      <c r="N13" s="100">
        <f>IF(N12&lt;3,"",SUM(G53:G89))</f>
        <v>99964.492012004834</v>
      </c>
      <c r="O13" s="96">
        <f t="shared" si="3"/>
        <v>5</v>
      </c>
      <c r="P13" s="427">
        <f t="shared" si="4"/>
        <v>0</v>
      </c>
      <c r="Q13" s="385">
        <f t="shared" si="5"/>
        <v>141.42077073290432</v>
      </c>
      <c r="R13" s="385">
        <f t="shared" si="6"/>
        <v>141.41979522482487</v>
      </c>
      <c r="S13" s="427">
        <f t="shared" si="7"/>
        <v>141.42039217832914</v>
      </c>
    </row>
    <row r="14" spans="1:23" ht="18.75" customHeight="1" x14ac:dyDescent="0.4">
      <c r="A14" s="29" t="s">
        <v>108</v>
      </c>
      <c r="B14" s="213"/>
      <c r="C14" s="99">
        <f>HLOOKUP(C$6,$C$91:$GT$172,9,0)</f>
        <v>87.442673072723295</v>
      </c>
      <c r="D14" s="99">
        <f>HLOOKUP(D$6,$C$91:$GT$172,9,0)</f>
        <v>99.757673667205168</v>
      </c>
      <c r="E14" s="260">
        <f t="shared" si="0"/>
        <v>93.600173369964239</v>
      </c>
      <c r="F14" s="260">
        <f t="shared" si="1"/>
        <v>-13.15702754716658</v>
      </c>
      <c r="G14" s="91">
        <f t="shared" si="2"/>
        <v>173.10737387690023</v>
      </c>
      <c r="H14" s="249">
        <v>1</v>
      </c>
      <c r="I14" s="177"/>
      <c r="J14" s="12" t="s">
        <v>239</v>
      </c>
      <c r="L14" s="12"/>
      <c r="M14" s="99"/>
      <c r="N14" s="298">
        <f>IF(N12&lt;3,"",SQRT(N13/2/N12))</f>
        <v>45.635442186785411</v>
      </c>
      <c r="O14" s="96">
        <f t="shared" si="3"/>
        <v>6</v>
      </c>
      <c r="P14" s="427">
        <f t="shared" si="4"/>
        <v>0</v>
      </c>
      <c r="Q14" s="385">
        <f t="shared" si="5"/>
        <v>141.42077073290432</v>
      </c>
      <c r="R14" s="385">
        <f t="shared" si="6"/>
        <v>141.41979522482487</v>
      </c>
      <c r="S14" s="427">
        <f t="shared" si="7"/>
        <v>141.42039217832914</v>
      </c>
    </row>
    <row r="15" spans="1:23" ht="18.75" customHeight="1" x14ac:dyDescent="0.4">
      <c r="A15" s="29" t="s">
        <v>109</v>
      </c>
      <c r="B15" s="213"/>
      <c r="C15" s="99">
        <f>HLOOKUP(C$6,$C$91:$GT$172,10,0)</f>
        <v>30.687502583819093</v>
      </c>
      <c r="D15" s="99">
        <f>HLOOKUP(D$6,$C$91:$GT$172,10,0)</f>
        <v>37.571080422420792</v>
      </c>
      <c r="E15" s="260">
        <f t="shared" si="0"/>
        <v>34.129291503119944</v>
      </c>
      <c r="F15" s="260">
        <f t="shared" si="1"/>
        <v>-20.16912023495253</v>
      </c>
      <c r="G15" s="91">
        <f t="shared" si="2"/>
        <v>406.79341105197159</v>
      </c>
      <c r="H15" s="249">
        <v>1</v>
      </c>
      <c r="I15" s="177" t="s">
        <v>241</v>
      </c>
      <c r="K15" s="12"/>
      <c r="L15" s="12"/>
      <c r="M15" s="99"/>
      <c r="N15" s="299"/>
      <c r="O15" s="96">
        <f t="shared" si="3"/>
        <v>7</v>
      </c>
      <c r="P15" s="427">
        <f t="shared" si="4"/>
        <v>0</v>
      </c>
      <c r="Q15" s="385">
        <f t="shared" si="5"/>
        <v>141.42077073290432</v>
      </c>
      <c r="R15" s="385">
        <f t="shared" si="6"/>
        <v>141.41979522482487</v>
      </c>
      <c r="S15" s="427">
        <f t="shared" si="7"/>
        <v>141.42039217832914</v>
      </c>
    </row>
    <row r="16" spans="1:23" ht="18.75" customHeight="1" x14ac:dyDescent="0.4">
      <c r="A16" s="29" t="s">
        <v>110</v>
      </c>
      <c r="B16" s="213"/>
      <c r="C16" s="99">
        <f>HLOOKUP(C$6,$C$91:$GT$172,11,0)</f>
        <v>106.1488325454806</v>
      </c>
      <c r="D16" s="99">
        <f>HLOOKUP(D$6,$C$91:$GT$172,11,0)</f>
        <v>105.4147723037937</v>
      </c>
      <c r="E16" s="260">
        <f t="shared" si="0"/>
        <v>105.78180242463715</v>
      </c>
      <c r="F16" s="260">
        <f t="shared" si="1"/>
        <v>0.69393811115090065</v>
      </c>
      <c r="G16" s="91">
        <f t="shared" si="2"/>
        <v>0.48155010210767973</v>
      </c>
      <c r="H16" s="249">
        <v>1</v>
      </c>
      <c r="I16" s="177"/>
      <c r="J16" s="12" t="s">
        <v>237</v>
      </c>
      <c r="L16" s="12"/>
      <c r="M16" s="99"/>
      <c r="N16" s="297">
        <f>COUNT(G10:G87)</f>
        <v>64</v>
      </c>
      <c r="O16" s="96">
        <f t="shared" si="3"/>
        <v>8</v>
      </c>
      <c r="P16" s="427">
        <f t="shared" si="4"/>
        <v>0</v>
      </c>
      <c r="Q16" s="385">
        <f t="shared" si="5"/>
        <v>141.42077073290432</v>
      </c>
      <c r="R16" s="385">
        <f t="shared" si="6"/>
        <v>141.41979522482487</v>
      </c>
      <c r="S16" s="427">
        <f t="shared" si="7"/>
        <v>141.42039217832914</v>
      </c>
    </row>
    <row r="17" spans="1:19" ht="18.75" customHeight="1" x14ac:dyDescent="0.4">
      <c r="A17" s="29" t="s">
        <v>111</v>
      </c>
      <c r="B17" s="213"/>
      <c r="C17" s="99">
        <f>HLOOKUP(C$6,$C$91:$GT$172,12,0)</f>
        <v>35.739865348803896</v>
      </c>
      <c r="D17" s="99">
        <f>HLOOKUP(D$6,$C$91:$GT$172,12,0)</f>
        <v>13.080420362227024</v>
      </c>
      <c r="E17" s="260">
        <f t="shared" si="0"/>
        <v>24.41014285551546</v>
      </c>
      <c r="F17" s="260">
        <f t="shared" si="1"/>
        <v>92.82799007240132</v>
      </c>
      <c r="G17" s="91">
        <f t="shared" si="2"/>
        <v>8617.0357408818381</v>
      </c>
      <c r="H17" s="249">
        <v>1</v>
      </c>
      <c r="I17" s="177"/>
      <c r="J17" s="12" t="s">
        <v>238</v>
      </c>
      <c r="L17" s="12"/>
      <c r="M17" s="99"/>
      <c r="N17" s="99" t="e">
        <f>IF(N16&lt;3,"",SUM(G10:G87))</f>
        <v>#REF!</v>
      </c>
      <c r="O17" s="96">
        <f t="shared" si="3"/>
        <v>9</v>
      </c>
      <c r="P17" s="427">
        <f t="shared" si="4"/>
        <v>0</v>
      </c>
      <c r="Q17" s="385">
        <f t="shared" si="5"/>
        <v>141.42077073290432</v>
      </c>
      <c r="R17" s="385">
        <f t="shared" si="6"/>
        <v>141.41979522482487</v>
      </c>
      <c r="S17" s="427">
        <f t="shared" si="7"/>
        <v>141.42039217832914</v>
      </c>
    </row>
    <row r="18" spans="1:19" ht="18.75" customHeight="1" x14ac:dyDescent="0.4">
      <c r="A18" s="29" t="s">
        <v>112</v>
      </c>
      <c r="B18" s="213"/>
      <c r="C18" s="99">
        <f>HLOOKUP(C$6,$C$91:$GT$172,13,0)</f>
        <v>119.9960251810154</v>
      </c>
      <c r="D18" s="99">
        <f>HLOOKUP(D$6,$C$91:$GT$172,13,0)</f>
        <v>81.023546040610881</v>
      </c>
      <c r="E18" s="260">
        <f t="shared" si="0"/>
        <v>100.50978561081314</v>
      </c>
      <c r="F18" s="260">
        <f t="shared" si="1"/>
        <v>38.774810734659191</v>
      </c>
      <c r="G18" s="91">
        <f t="shared" si="2"/>
        <v>1503.4859475086416</v>
      </c>
      <c r="H18" s="249">
        <v>1</v>
      </c>
      <c r="I18" s="177"/>
      <c r="J18" s="12" t="s">
        <v>239</v>
      </c>
      <c r="L18" s="12"/>
      <c r="M18" s="99"/>
      <c r="N18" s="69" t="e">
        <f>IF(N16&lt;3,"",SQRT(N17/2/N16))</f>
        <v>#REF!</v>
      </c>
      <c r="O18" s="96">
        <f t="shared" si="3"/>
        <v>10</v>
      </c>
      <c r="P18" s="427">
        <f t="shared" si="4"/>
        <v>0</v>
      </c>
      <c r="Q18" s="385">
        <f t="shared" si="5"/>
        <v>141.42077073290432</v>
      </c>
      <c r="R18" s="385">
        <f t="shared" si="6"/>
        <v>141.41979522482487</v>
      </c>
      <c r="S18" s="427">
        <f t="shared" si="7"/>
        <v>141.42039217832914</v>
      </c>
    </row>
    <row r="19" spans="1:19" ht="18.75" customHeight="1" x14ac:dyDescent="0.4">
      <c r="A19" s="29" t="s">
        <v>113</v>
      </c>
      <c r="B19" s="213"/>
      <c r="C19" s="99">
        <f>HLOOKUP(C$6,$C$91:$GT$172,14,0)</f>
        <v>34.443447452892151</v>
      </c>
      <c r="D19" s="99">
        <f>HLOOKUP(D$6,$C$91:$GT$172,14,0)</f>
        <v>28.007009718018161</v>
      </c>
      <c r="E19" s="260">
        <f t="shared" si="0"/>
        <v>31.225228585455156</v>
      </c>
      <c r="F19" s="260">
        <f t="shared" si="1"/>
        <v>20.61294032567022</v>
      </c>
      <c r="G19" s="91">
        <f t="shared" si="2"/>
        <v>424.89330886964149</v>
      </c>
      <c r="H19" s="249">
        <v>1</v>
      </c>
      <c r="I19" s="181"/>
      <c r="J19" s="429"/>
      <c r="K19" s="429"/>
      <c r="L19" s="429"/>
      <c r="M19" s="429"/>
      <c r="N19" s="429"/>
      <c r="O19" s="419">
        <f t="shared" si="3"/>
        <v>11</v>
      </c>
      <c r="P19" s="430">
        <f t="shared" si="4"/>
        <v>0</v>
      </c>
      <c r="Q19" s="431">
        <f t="shared" si="5"/>
        <v>141.42077073290432</v>
      </c>
      <c r="R19" s="431">
        <f t="shared" si="6"/>
        <v>141.41979522482487</v>
      </c>
      <c r="S19" s="430">
        <f t="shared" si="7"/>
        <v>141.42039217832914</v>
      </c>
    </row>
    <row r="20" spans="1:19" ht="18.75" customHeight="1" x14ac:dyDescent="0.4">
      <c r="A20" s="29" t="s">
        <v>114</v>
      </c>
      <c r="B20" s="213"/>
      <c r="C20" s="99">
        <f>HLOOKUP(C$6,$C$91:$GT$172,15,0)</f>
        <v>50.638674116297011</v>
      </c>
      <c r="D20" s="99">
        <f>HLOOKUP(D$6,$C$91:$GT$172,15,0)</f>
        <v>53.234298275159098</v>
      </c>
      <c r="E20" s="260">
        <f t="shared" si="0"/>
        <v>51.936486195728051</v>
      </c>
      <c r="F20" s="260">
        <f t="shared" si="1"/>
        <v>-4.9976891949913735</v>
      </c>
      <c r="G20" s="91">
        <f t="shared" si="2"/>
        <v>24.976897289733522</v>
      </c>
      <c r="H20" s="249">
        <v>1</v>
      </c>
      <c r="I20" s="177"/>
      <c r="J20" s="12"/>
      <c r="L20" s="99"/>
      <c r="M20" s="99"/>
      <c r="N20" s="99"/>
    </row>
    <row r="21" spans="1:19" ht="18.75" customHeight="1" x14ac:dyDescent="0.4">
      <c r="A21" s="29" t="s">
        <v>116</v>
      </c>
      <c r="B21" s="213"/>
      <c r="C21" s="99">
        <f>HLOOKUP(C$6,$C$91:$GT$172,16,0)</f>
        <v>27.663122129239287</v>
      </c>
      <c r="D21" s="99">
        <f>HLOOKUP(D$6,$C$91:$GT$172,16,0)</f>
        <v>24.002203415293703</v>
      </c>
      <c r="E21" s="260">
        <f t="shared" si="0"/>
        <v>25.832662772266495</v>
      </c>
      <c r="F21" s="260">
        <f t="shared" si="1"/>
        <v>14.171666104339362</v>
      </c>
      <c r="G21" s="91">
        <f t="shared" si="2"/>
        <v>200.83612017288118</v>
      </c>
      <c r="H21" s="249">
        <v>1</v>
      </c>
      <c r="I21" s="177"/>
      <c r="J21" s="12"/>
      <c r="L21" s="12"/>
      <c r="M21" s="99"/>
      <c r="N21" s="100"/>
    </row>
    <row r="22" spans="1:19" ht="18.75" customHeight="1" x14ac:dyDescent="0.4">
      <c r="A22" s="29" t="s">
        <v>117</v>
      </c>
      <c r="B22" s="213"/>
      <c r="C22" s="99">
        <f>HLOOKUP(C$6,$C$91:$GT$172,17,0)</f>
        <v>242.19518862766537</v>
      </c>
      <c r="D22" s="99">
        <f>HLOOKUP(D$6,$C$91:$GT$172,17,0)</f>
        <v>255.35738536055405</v>
      </c>
      <c r="E22" s="260">
        <f t="shared" si="0"/>
        <v>248.77628699410971</v>
      </c>
      <c r="F22" s="260">
        <f t="shared" si="1"/>
        <v>-5.2907762600381263</v>
      </c>
      <c r="G22" s="91">
        <f t="shared" si="2"/>
        <v>27.992313433783021</v>
      </c>
      <c r="H22" s="249">
        <v>1</v>
      </c>
      <c r="I22" s="177"/>
      <c r="J22" s="12"/>
      <c r="L22" s="12"/>
      <c r="M22" s="99"/>
      <c r="N22" s="298"/>
    </row>
    <row r="23" spans="1:19" ht="18.75" customHeight="1" x14ac:dyDescent="0.4">
      <c r="A23" s="29" t="s">
        <v>118</v>
      </c>
      <c r="B23" s="213"/>
      <c r="C23" s="99">
        <f>HLOOKUP(C$6,$C$91:$GT$172,18,0)</f>
        <v>121.27577814781607</v>
      </c>
      <c r="D23" s="99">
        <f>HLOOKUP(D$6,$C$91:$GT$172,18,0)</f>
        <v>122.90249433106577</v>
      </c>
      <c r="E23" s="260">
        <f t="shared" si="0"/>
        <v>122.08913623944092</v>
      </c>
      <c r="F23" s="260">
        <f t="shared" si="1"/>
        <v>-1.3324004357434278</v>
      </c>
      <c r="G23" s="91">
        <f t="shared" si="2"/>
        <v>1.7752909211692762</v>
      </c>
      <c r="H23" s="249">
        <v>1</v>
      </c>
    </row>
    <row r="24" spans="1:19" ht="18.75" customHeight="1" x14ac:dyDescent="0.4">
      <c r="A24" s="29" t="s">
        <v>119</v>
      </c>
      <c r="B24" s="213"/>
      <c r="C24" s="99">
        <f>HLOOKUP(C$6,$C$91:$GT$172,19,0)</f>
        <v>140.92817428798367</v>
      </c>
      <c r="D24" s="99">
        <f>HLOOKUP(D$6,$C$91:$GT$172,19,0)</f>
        <v>248.89634469362528</v>
      </c>
      <c r="E24" s="260">
        <f t="shared" si="0"/>
        <v>194.91225949080447</v>
      </c>
      <c r="F24" s="260">
        <f t="shared" si="1"/>
        <v>-55.393216767227159</v>
      </c>
      <c r="G24" s="91">
        <f t="shared" si="2"/>
        <v>3068.4084638210161</v>
      </c>
      <c r="H24" s="249">
        <v>1</v>
      </c>
    </row>
    <row r="25" spans="1:19" ht="18.75" customHeight="1" x14ac:dyDescent="0.4">
      <c r="A25" s="29" t="s">
        <v>120</v>
      </c>
      <c r="B25" s="213"/>
      <c r="C25" s="99">
        <f>HLOOKUP(C$6,$C$91:$GT$172,20,0)</f>
        <v>103.95982016537239</v>
      </c>
      <c r="D25" s="99">
        <f>HLOOKUP(D$6,$C$91:$GT$172,20,0)</f>
        <v>179.41885187810064</v>
      </c>
      <c r="E25" s="260">
        <f t="shared" si="0"/>
        <v>141.68933602173652</v>
      </c>
      <c r="F25" s="260">
        <f t="shared" si="1"/>
        <v>-53.256676777109114</v>
      </c>
      <c r="G25" s="91">
        <f t="shared" si="2"/>
        <v>2836.2736213414732</v>
      </c>
      <c r="H25" s="249">
        <v>1</v>
      </c>
    </row>
    <row r="26" spans="1:19" ht="12.75" customHeight="1" x14ac:dyDescent="0.4">
      <c r="A26" s="29" t="s">
        <v>121</v>
      </c>
      <c r="B26" s="213"/>
      <c r="C26" s="99">
        <f>HLOOKUP(C$6,$C$91:$GT$172,21,0)</f>
        <v>276.69087903962424</v>
      </c>
      <c r="D26" s="99">
        <f>HLOOKUP(D$6,$C$91:$GT$172,21,0)</f>
        <v>217.93188663217236</v>
      </c>
      <c r="E26" s="260">
        <f t="shared" si="0"/>
        <v>247.31138283589831</v>
      </c>
      <c r="F26" s="260">
        <f t="shared" si="1"/>
        <v>23.759113605555704</v>
      </c>
      <c r="G26" s="91">
        <f t="shared" si="2"/>
        <v>564.49547932170219</v>
      </c>
      <c r="H26" s="249">
        <v>1</v>
      </c>
    </row>
    <row r="27" spans="1:19" ht="12.75" customHeight="1" x14ac:dyDescent="0.5">
      <c r="A27" s="29" t="s">
        <v>122</v>
      </c>
      <c r="B27" s="213"/>
      <c r="C27" s="99">
        <f>HLOOKUP(C$6,$C$91:$GT$172,22,0)</f>
        <v>18.506991850614384</v>
      </c>
      <c r="D27" s="99">
        <f>HLOOKUP(D$6,$C$91:$GT$172,22,0)</f>
        <v>15.942846068464913</v>
      </c>
      <c r="E27" s="260">
        <f t="shared" si="0"/>
        <v>17.22491895953965</v>
      </c>
      <c r="F27" s="260">
        <f t="shared" si="1"/>
        <v>14.886257451617057</v>
      </c>
      <c r="G27" s="91">
        <f t="shared" si="2"/>
        <v>221.60066091582436</v>
      </c>
      <c r="H27" s="249">
        <v>1</v>
      </c>
      <c r="J27" s="432"/>
    </row>
    <row r="28" spans="1:19" ht="18.75" customHeight="1" x14ac:dyDescent="0.4">
      <c r="A28" s="29" t="s">
        <v>440</v>
      </c>
      <c r="B28" s="213"/>
      <c r="C28" s="99">
        <f>HLOOKUP(C$6,$C$91:$GT$172,23,0)</f>
        <v>333.36788518452141</v>
      </c>
      <c r="D28" s="99">
        <f>HLOOKUP(D$6,$C$91:$GT$172,23,0)</f>
        <v>311.17956707504192</v>
      </c>
      <c r="E28" s="260">
        <f t="shared" si="0"/>
        <v>322.27372612978166</v>
      </c>
      <c r="F28" s="260">
        <f t="shared" si="1"/>
        <v>6.8849292729945111</v>
      </c>
      <c r="G28" s="91">
        <f t="shared" si="2"/>
        <v>47.40225109413673</v>
      </c>
      <c r="H28" s="249">
        <v>1</v>
      </c>
    </row>
    <row r="29" spans="1:19" ht="18.75" customHeight="1" x14ac:dyDescent="0.4">
      <c r="A29" s="29" t="s">
        <v>124</v>
      </c>
      <c r="B29" s="213"/>
      <c r="C29" s="99">
        <f>HLOOKUP(C$6,$C$91:$GT$172,24,0)</f>
        <v>83.839462655534263</v>
      </c>
      <c r="D29" s="99">
        <f>HLOOKUP(D$6,$C$91:$GT$172,24,0)</f>
        <v>186.98633160210102</v>
      </c>
      <c r="E29" s="260">
        <f t="shared" si="0"/>
        <v>135.41289712881763</v>
      </c>
      <c r="F29" s="260">
        <f t="shared" si="1"/>
        <v>-76.172115901518339</v>
      </c>
      <c r="G29" s="91">
        <f t="shared" si="2"/>
        <v>5802.1912409143433</v>
      </c>
      <c r="H29" s="249">
        <v>1</v>
      </c>
    </row>
    <row r="30" spans="1:19" ht="18.75" customHeight="1" x14ac:dyDescent="0.4">
      <c r="A30" s="29" t="s">
        <v>441</v>
      </c>
      <c r="B30" s="213"/>
      <c r="C30" s="99">
        <f>HLOOKUP(C$6,$C$91:$GT$172,25,0)</f>
        <v>265.48723238361328</v>
      </c>
      <c r="D30" s="99">
        <f>HLOOKUP(D$6,$C$91:$GT$172,25,0)</f>
        <v>547.56131652125305</v>
      </c>
      <c r="E30" s="260">
        <f t="shared" si="0"/>
        <v>406.52427445243313</v>
      </c>
      <c r="F30" s="260">
        <f t="shared" si="1"/>
        <v>-69.386775123718934</v>
      </c>
      <c r="G30" s="91">
        <f t="shared" si="2"/>
        <v>4814.5245620695405</v>
      </c>
      <c r="H30" s="249">
        <v>1</v>
      </c>
    </row>
    <row r="31" spans="1:19" ht="18.75" customHeight="1" x14ac:dyDescent="0.4">
      <c r="A31" s="29" t="s">
        <v>126</v>
      </c>
      <c r="B31" s="213"/>
      <c r="C31" s="99">
        <f>HLOOKUP(C$6,$C$91:$GT$172,26,0)</f>
        <v>286.92452048451173</v>
      </c>
      <c r="D31" s="99">
        <f>HLOOKUP(D$6,$C$91:$GT$172,26,0)</f>
        <v>351.8957545187053</v>
      </c>
      <c r="E31" s="260">
        <f t="shared" si="0"/>
        <v>319.41013750160852</v>
      </c>
      <c r="F31" s="260">
        <f t="shared" si="1"/>
        <v>-20.341005624427428</v>
      </c>
      <c r="G31" s="91">
        <f t="shared" si="2"/>
        <v>413.75650981298827</v>
      </c>
      <c r="H31" s="249">
        <v>1</v>
      </c>
    </row>
    <row r="32" spans="1:19" ht="18.75" customHeight="1" x14ac:dyDescent="0.4">
      <c r="A32" s="29" t="s">
        <v>127</v>
      </c>
      <c r="B32" s="213"/>
      <c r="C32" s="99">
        <f>HLOOKUP(C$6,$C$91:$GT$172,27,0)</f>
        <v>67.653011375532131</v>
      </c>
      <c r="D32" s="99">
        <f>HLOOKUP(D$6,$C$91:$GT$172,27,0)</f>
        <v>59.731543624161077</v>
      </c>
      <c r="E32" s="260">
        <f t="shared" si="0"/>
        <v>63.692277499846604</v>
      </c>
      <c r="F32" s="260">
        <f t="shared" si="1"/>
        <v>12.437092944886658</v>
      </c>
      <c r="G32" s="91">
        <f t="shared" si="2"/>
        <v>154.68128091974947</v>
      </c>
      <c r="H32" s="249">
        <v>1</v>
      </c>
    </row>
    <row r="33" spans="1:8" ht="18.75" customHeight="1" x14ac:dyDescent="0.4">
      <c r="A33" s="29" t="s">
        <v>128</v>
      </c>
      <c r="B33" s="213"/>
      <c r="C33" s="99">
        <f>HLOOKUP(C$6,$C$91:$GT$172,28,0)</f>
        <v>170.15743261591595</v>
      </c>
      <c r="D33" s="99">
        <f>HLOOKUP(D$6,$C$91:$GT$172,28,0)</f>
        <v>186.23512946116165</v>
      </c>
      <c r="E33" s="260">
        <f t="shared" si="0"/>
        <v>178.19628103853881</v>
      </c>
      <c r="F33" s="260">
        <f t="shared" si="1"/>
        <v>-9.0224648637692653</v>
      </c>
      <c r="G33" s="91">
        <f t="shared" si="2"/>
        <v>81.404872217950953</v>
      </c>
      <c r="H33" s="249">
        <v>1</v>
      </c>
    </row>
    <row r="34" spans="1:8" ht="18.75" customHeight="1" x14ac:dyDescent="0.4">
      <c r="A34" s="29" t="s">
        <v>129</v>
      </c>
      <c r="B34" s="213"/>
      <c r="C34" s="99">
        <f>HLOOKUP(C$6,$C$91:$GT$172,29,0)</f>
        <v>1E-4</v>
      </c>
      <c r="D34" s="99">
        <f>HLOOKUP(D$6,$C$91:$GT$172,29,0)</f>
        <v>1E-4</v>
      </c>
      <c r="E34" s="260">
        <f t="shared" si="0"/>
        <v>1E-4</v>
      </c>
      <c r="F34" s="260">
        <f t="shared" si="1"/>
        <v>0</v>
      </c>
      <c r="G34" s="91" t="str">
        <f t="shared" si="2"/>
        <v/>
      </c>
      <c r="H34" s="249">
        <v>1</v>
      </c>
    </row>
    <row r="35" spans="1:8" ht="18.75" customHeight="1" x14ac:dyDescent="0.4">
      <c r="A35" s="29" t="s">
        <v>130</v>
      </c>
      <c r="B35" s="213"/>
      <c r="C35" s="99">
        <f>HLOOKUP(C$6,$C$91:$GT$172,30,0)</f>
        <v>38.053614995176574</v>
      </c>
      <c r="D35" s="99" t="e">
        <f>HLOOKUP(D$6,$C$91:$GT$172,30,0)</f>
        <v>#REF!</v>
      </c>
      <c r="E35" s="260" t="e">
        <f t="shared" si="0"/>
        <v>#REF!</v>
      </c>
      <c r="F35" s="260" t="e">
        <f t="shared" si="1"/>
        <v>#REF!</v>
      </c>
      <c r="G35" s="433" t="e">
        <f t="shared" si="2"/>
        <v>#REF!</v>
      </c>
      <c r="H35" s="249">
        <v>1</v>
      </c>
    </row>
    <row r="36" spans="1:8" ht="18.75" customHeight="1" x14ac:dyDescent="0.4">
      <c r="A36" s="29" t="s">
        <v>131</v>
      </c>
      <c r="B36" s="213"/>
      <c r="C36" s="99">
        <f>HLOOKUP(C$6,$C$91:$GT$172,31,0)</f>
        <v>17.309876574370882</v>
      </c>
      <c r="D36" s="99">
        <f>HLOOKUP(D$6,$C$91:$GT$172,31,0)</f>
        <v>12.385028812056738</v>
      </c>
      <c r="E36" s="260">
        <f t="shared" si="0"/>
        <v>14.84745269321381</v>
      </c>
      <c r="F36" s="260">
        <f t="shared" si="1"/>
        <v>33.169647777797593</v>
      </c>
      <c r="G36" s="91">
        <f t="shared" si="2"/>
        <v>1100.2255337031529</v>
      </c>
      <c r="H36" s="249">
        <v>1</v>
      </c>
    </row>
    <row r="37" spans="1:8" ht="18.75" customHeight="1" x14ac:dyDescent="0.4">
      <c r="A37" s="29" t="s">
        <v>132</v>
      </c>
      <c r="B37" s="213"/>
      <c r="C37" s="99">
        <f>HLOOKUP(C$6,$C$91:$GT$172,32,0)</f>
        <v>697.88444040036404</v>
      </c>
      <c r="D37" s="99">
        <f>HLOOKUP(D$6,$C$91:$GT$172,32,0)</f>
        <v>168.28296247093988</v>
      </c>
      <c r="E37" s="260">
        <f t="shared" si="0"/>
        <v>433.08370143565196</v>
      </c>
      <c r="F37" s="260">
        <f t="shared" si="1"/>
        <v>122.28617151230128</v>
      </c>
      <c r="G37" s="91">
        <f t="shared" si="2"/>
        <v>14953.907743135966</v>
      </c>
      <c r="H37" s="249">
        <v>1</v>
      </c>
    </row>
    <row r="38" spans="1:8" ht="18.75" customHeight="1" x14ac:dyDescent="0.4">
      <c r="A38" s="29" t="s">
        <v>133</v>
      </c>
      <c r="B38" s="213"/>
      <c r="C38" s="99">
        <f>HLOOKUP(C$6,$C$91:$GT$172,33,0)</f>
        <v>69.007294479921256</v>
      </c>
      <c r="D38" s="99">
        <f>HLOOKUP(D$6,$C$91:$GT$172,33,0)</f>
        <v>36.975011081560282</v>
      </c>
      <c r="E38" s="260">
        <f t="shared" si="0"/>
        <v>52.991152780740769</v>
      </c>
      <c r="F38" s="260">
        <f t="shared" si="1"/>
        <v>60.448361127185869</v>
      </c>
      <c r="G38" s="91">
        <f t="shared" si="2"/>
        <v>3654.0043629626757</v>
      </c>
      <c r="H38" s="249">
        <v>1</v>
      </c>
    </row>
    <row r="39" spans="1:8" ht="18.75" customHeight="1" x14ac:dyDescent="0.4">
      <c r="A39" s="29" t="s">
        <v>134</v>
      </c>
      <c r="B39" s="213"/>
      <c r="C39" s="99">
        <f>HLOOKUP(C$6,$C$91:$GT$172,34,0)</f>
        <v>1E-4</v>
      </c>
      <c r="D39" s="99">
        <f>HLOOKUP(D$6,$C$91:$GT$172,34,0)</f>
        <v>1E-4</v>
      </c>
      <c r="E39" s="260">
        <f t="shared" si="0"/>
        <v>1E-4</v>
      </c>
      <c r="F39" s="260">
        <f t="shared" si="1"/>
        <v>0</v>
      </c>
      <c r="G39" s="91" t="str">
        <f t="shared" si="2"/>
        <v/>
      </c>
      <c r="H39" s="249">
        <v>1</v>
      </c>
    </row>
    <row r="40" spans="1:8" ht="18.75" customHeight="1" x14ac:dyDescent="0.4">
      <c r="A40" s="29" t="s">
        <v>135</v>
      </c>
      <c r="B40" s="213"/>
      <c r="C40" s="99">
        <f>HLOOKUP(C$6,$C$91:$GT$172,35,0)</f>
        <v>90.65599838461344</v>
      </c>
      <c r="D40" s="99">
        <f>HLOOKUP(D$6,$C$91:$GT$172,35,0)</f>
        <v>93.097573138297875</v>
      </c>
      <c r="E40" s="260">
        <f t="shared" si="0"/>
        <v>91.876785761455665</v>
      </c>
      <c r="F40" s="260">
        <f t="shared" si="1"/>
        <v>-2.6574446781623582</v>
      </c>
      <c r="G40" s="91">
        <f t="shared" si="2"/>
        <v>7.0620122174934394</v>
      </c>
      <c r="H40" s="249">
        <v>1</v>
      </c>
    </row>
    <row r="41" spans="1:8" ht="18.75" customHeight="1" x14ac:dyDescent="0.4">
      <c r="A41" s="29" t="s">
        <v>136</v>
      </c>
      <c r="B41" s="213"/>
      <c r="C41" s="99">
        <f>HLOOKUP(C$6,$C$91:$GT$172,36,0)</f>
        <v>71.066912340038868</v>
      </c>
      <c r="D41" s="99">
        <f>HLOOKUP(D$6,$C$91:$GT$172,36,0)</f>
        <v>88.1565824468085</v>
      </c>
      <c r="E41" s="260">
        <f t="shared" si="0"/>
        <v>79.611747393423684</v>
      </c>
      <c r="F41" s="260">
        <f t="shared" si="1"/>
        <v>-21.46626680898769</v>
      </c>
      <c r="G41" s="91">
        <f t="shared" si="2"/>
        <v>460.80061071464655</v>
      </c>
      <c r="H41" s="249">
        <v>1</v>
      </c>
    </row>
    <row r="42" spans="1:8" ht="18.75" customHeight="1" x14ac:dyDescent="0.4">
      <c r="A42" s="29" t="s">
        <v>137</v>
      </c>
      <c r="B42" s="213"/>
      <c r="C42" s="99">
        <f>HLOOKUP(C$6,$C$91:$GT$172,37,0)</f>
        <v>142.81225451688923</v>
      </c>
      <c r="D42" s="99">
        <f>HLOOKUP(D$6,$C$91:$GT$172,37,0)</f>
        <v>158.21882514599795</v>
      </c>
      <c r="E42" s="260">
        <f t="shared" si="0"/>
        <v>150.51553983144359</v>
      </c>
      <c r="F42" s="260">
        <f t="shared" si="1"/>
        <v>-10.23586710472682</v>
      </c>
      <c r="G42" s="91">
        <f t="shared" si="2"/>
        <v>104.77297538562861</v>
      </c>
      <c r="H42" s="249">
        <v>1</v>
      </c>
    </row>
    <row r="43" spans="1:8" ht="18.75" customHeight="1" x14ac:dyDescent="0.4">
      <c r="A43" s="29" t="s">
        <v>138</v>
      </c>
      <c r="B43" s="213"/>
      <c r="C43" s="99">
        <f>HLOOKUP(C$6,$C$91:$GT$172,38,0)</f>
        <v>81.623526936026934</v>
      </c>
      <c r="D43" s="99">
        <f>HLOOKUP(D$6,$C$91:$GT$172,38,0)</f>
        <v>110.05540734660373</v>
      </c>
      <c r="E43" s="260">
        <f t="shared" si="0"/>
        <v>95.839467141315339</v>
      </c>
      <c r="F43" s="260">
        <f t="shared" si="1"/>
        <v>-29.666150343525988</v>
      </c>
      <c r="G43" s="91">
        <f t="shared" si="2"/>
        <v>880.0804762046871</v>
      </c>
      <c r="H43" s="249">
        <v>1</v>
      </c>
    </row>
    <row r="44" spans="1:8" ht="18.75" customHeight="1" x14ac:dyDescent="0.4">
      <c r="A44" s="29" t="s">
        <v>139</v>
      </c>
      <c r="B44" s="213"/>
      <c r="C44" s="99">
        <f>HLOOKUP(C$6,$C$91:$GT$172,39,0)</f>
        <v>17.416625927264224</v>
      </c>
      <c r="D44" s="99">
        <f>HLOOKUP(D$6,$C$91:$GT$172,39,0)</f>
        <v>16.711150873530652</v>
      </c>
      <c r="E44" s="260">
        <f t="shared" si="0"/>
        <v>17.063888400397438</v>
      </c>
      <c r="F44" s="260">
        <f t="shared" si="1"/>
        <v>4.1343159142856374</v>
      </c>
      <c r="G44" s="91">
        <f t="shared" si="2"/>
        <v>17.092568079115487</v>
      </c>
      <c r="H44" s="249">
        <v>1</v>
      </c>
    </row>
    <row r="45" spans="1:8" ht="18.75" customHeight="1" x14ac:dyDescent="0.4">
      <c r="A45" s="29" t="s">
        <v>140</v>
      </c>
      <c r="B45" s="213"/>
      <c r="C45" s="99">
        <f>HLOOKUP(C$6,$C$91:$GT$172,40,0)</f>
        <v>32.6875082096414</v>
      </c>
      <c r="D45" s="99">
        <f>HLOOKUP(D$6,$C$91:$GT$172,40,0)</f>
        <v>1E-4</v>
      </c>
      <c r="E45" s="260">
        <f t="shared" si="0"/>
        <v>16.343804104820702</v>
      </c>
      <c r="F45" s="260">
        <f t="shared" si="1"/>
        <v>199.99877629468193</v>
      </c>
      <c r="G45" s="91">
        <f t="shared" si="2"/>
        <v>39999.510519370226</v>
      </c>
      <c r="H45" s="249">
        <v>1</v>
      </c>
    </row>
    <row r="46" spans="1:8" ht="18.75" customHeight="1" x14ac:dyDescent="0.4">
      <c r="A46" s="29" t="s">
        <v>141</v>
      </c>
      <c r="B46" s="213"/>
      <c r="C46" s="99">
        <f>HLOOKUP(C$6,$C$91:$GT$172,41,0)</f>
        <v>22.486733125030998</v>
      </c>
      <c r="D46" s="99">
        <f>HLOOKUP(D$6,$C$91:$GT$172,41,0)</f>
        <v>13.449141380252987</v>
      </c>
      <c r="E46" s="260">
        <f t="shared" si="0"/>
        <v>17.967937252641992</v>
      </c>
      <c r="F46" s="260">
        <f t="shared" si="1"/>
        <v>50.298437810100495</v>
      </c>
      <c r="G46" s="91">
        <f t="shared" si="2"/>
        <v>2529.9328461365471</v>
      </c>
      <c r="H46" s="249">
        <v>1</v>
      </c>
    </row>
    <row r="47" spans="1:8" ht="18.75" customHeight="1" x14ac:dyDescent="0.4">
      <c r="A47" s="29" t="s">
        <v>142</v>
      </c>
      <c r="B47" s="213"/>
      <c r="C47" s="99">
        <f>HLOOKUP(C$6,$C$91:$GT$172,42,0)</f>
        <v>7.6944332263481199</v>
      </c>
      <c r="D47" s="99">
        <f>HLOOKUP(D$6,$C$91:$GT$172,42,0)</f>
        <v>15.092323367876936</v>
      </c>
      <c r="E47" s="260">
        <f t="shared" si="0"/>
        <v>11.393378297112529</v>
      </c>
      <c r="F47" s="260">
        <f t="shared" si="1"/>
        <v>-64.931488699920507</v>
      </c>
      <c r="G47" s="91">
        <f t="shared" si="2"/>
        <v>4216.0982247879047</v>
      </c>
      <c r="H47" s="249">
        <v>1</v>
      </c>
    </row>
    <row r="48" spans="1:8" ht="18.75" customHeight="1" x14ac:dyDescent="0.4">
      <c r="A48" s="29" t="s">
        <v>143</v>
      </c>
      <c r="B48" s="213"/>
      <c r="C48" s="99">
        <f>HLOOKUP(C$6,$C$91:$GT$172,43,0)</f>
        <v>64.118393975217828</v>
      </c>
      <c r="D48" s="99">
        <f>HLOOKUP(D$6,$C$91:$GT$172,43,0)</f>
        <v>1E-4</v>
      </c>
      <c r="E48" s="260">
        <f>AVERAGE(C43:D43)</f>
        <v>95.839467141315339</v>
      </c>
      <c r="F48" s="260">
        <f>IF(H43=1,(C43-D43)/E43*100,"")</f>
        <v>-29.666150343525988</v>
      </c>
      <c r="G48" s="91">
        <f>IF(AND(E43&gt;0.01,H43=1),F43*F43,"")</f>
        <v>880.0804762046871</v>
      </c>
      <c r="H48" s="249">
        <v>1</v>
      </c>
    </row>
    <row r="49" spans="1:8" ht="18.75" customHeight="1" x14ac:dyDescent="0.4">
      <c r="A49" s="29" t="s">
        <v>144</v>
      </c>
      <c r="B49" s="213"/>
      <c r="C49" s="99">
        <f>HLOOKUP(C$6,$C$91:$GT$172,44,0)</f>
        <v>49.601462367419813</v>
      </c>
      <c r="D49" s="99">
        <f>HLOOKUP(D$6,$C$91:$GT$172,44,0)</f>
        <v>46.112974974527198</v>
      </c>
      <c r="E49" s="260">
        <f t="shared" ref="E49:E87" si="8">AVERAGE(C49:D49)</f>
        <v>47.857218670973509</v>
      </c>
      <c r="F49" s="260">
        <f t="shared" ref="F49:F87" si="9">IF(H49=1,(C49-D49)/E49*100,"")</f>
        <v>7.2893650942746122</v>
      </c>
      <c r="G49" s="91">
        <f t="shared" ref="G49:G87" si="10">IF(AND(E49&gt;0.01,H49=1),F49*F49,"")</f>
        <v>53.134843477629126</v>
      </c>
      <c r="H49" s="249">
        <v>1</v>
      </c>
    </row>
    <row r="50" spans="1:8" ht="18.75" customHeight="1" x14ac:dyDescent="0.4">
      <c r="A50" s="29" t="s">
        <v>145</v>
      </c>
      <c r="B50" s="213"/>
      <c r="C50" s="99">
        <f>HLOOKUP(C$6,$C$91:$GT$172,45,0)</f>
        <v>7.7766205425779891</v>
      </c>
      <c r="D50" s="99">
        <f>HLOOKUP(D$6,$C$91:$GT$172,45,0)</f>
        <v>7.9022838539725138</v>
      </c>
      <c r="E50" s="260">
        <f t="shared" si="8"/>
        <v>7.8394521982752519</v>
      </c>
      <c r="F50" s="260">
        <f t="shared" si="9"/>
        <v>-1.6029603627428421</v>
      </c>
      <c r="G50" s="91">
        <f t="shared" si="10"/>
        <v>2.5694819245246641</v>
      </c>
      <c r="H50" s="249">
        <v>1</v>
      </c>
    </row>
    <row r="51" spans="1:8" ht="18.75" customHeight="1" x14ac:dyDescent="0.4">
      <c r="A51" s="29" t="s">
        <v>146</v>
      </c>
      <c r="B51" s="213"/>
      <c r="C51" s="99">
        <f>HLOOKUP(C$6,$C$91:$GT$172,46,0)</f>
        <v>68.632602127939052</v>
      </c>
      <c r="D51" s="99">
        <f>HLOOKUP(D$6,$C$91:$GT$172,46,0)</f>
        <v>51.037719600413368</v>
      </c>
      <c r="E51" s="260">
        <f t="shared" si="8"/>
        <v>59.83516086417621</v>
      </c>
      <c r="F51" s="260">
        <f t="shared" si="9"/>
        <v>29.405590748666111</v>
      </c>
      <c r="G51" s="91">
        <f t="shared" si="10"/>
        <v>864.68876727803797</v>
      </c>
      <c r="H51" s="249">
        <v>1</v>
      </c>
    </row>
    <row r="52" spans="1:8" ht="18.75" customHeight="1" x14ac:dyDescent="0.4">
      <c r="A52" s="29" t="s">
        <v>147</v>
      </c>
      <c r="B52" s="213"/>
      <c r="C52" s="99">
        <f>HLOOKUP(C$6,$C$91:$GT$172,47,0)</f>
        <v>41.937495128984494</v>
      </c>
      <c r="D52" s="99">
        <f>HLOOKUP(D$6,$C$91:$GT$172,47,0)</f>
        <v>30.846193990904347</v>
      </c>
      <c r="E52" s="260">
        <f t="shared" si="8"/>
        <v>36.391844559944417</v>
      </c>
      <c r="F52" s="260">
        <f t="shared" si="9"/>
        <v>30.477436008528301</v>
      </c>
      <c r="G52" s="91">
        <f t="shared" si="10"/>
        <v>928.87410565393748</v>
      </c>
      <c r="H52" s="249">
        <v>1</v>
      </c>
    </row>
    <row r="53" spans="1:8" ht="18.75" customHeight="1" x14ac:dyDescent="0.4">
      <c r="A53" s="82" t="s">
        <v>148</v>
      </c>
      <c r="B53" s="293"/>
      <c r="C53" s="434">
        <f>HLOOKUP(C$6,$C$91:$GT$172,43,0)</f>
        <v>64.118393975217828</v>
      </c>
      <c r="D53" s="434">
        <f>HLOOKUP(D$6,$C$91:$GT$172,43,0)</f>
        <v>1E-4</v>
      </c>
      <c r="E53" s="435">
        <f t="shared" si="8"/>
        <v>32.059246987608915</v>
      </c>
      <c r="F53" s="435">
        <f t="shared" si="9"/>
        <v>199.99937615502921</v>
      </c>
      <c r="G53" s="54">
        <f t="shared" si="10"/>
        <v>39999.750462400865</v>
      </c>
      <c r="H53" s="436">
        <v>1</v>
      </c>
    </row>
    <row r="54" spans="1:8" ht="18.75" customHeight="1" x14ac:dyDescent="0.4">
      <c r="A54" s="240" t="s">
        <v>149</v>
      </c>
      <c r="B54" s="213"/>
      <c r="C54" s="99">
        <f>HLOOKUP(C$6,$C$91:$GT$172,49,0)</f>
        <v>172.93102142803059</v>
      </c>
      <c r="D54" s="99">
        <f>HLOOKUP(D$6,$C$91:$GT$172,49,0)</f>
        <v>97.731767874426637</v>
      </c>
      <c r="E54" s="260">
        <f t="shared" si="8"/>
        <v>135.33139465122861</v>
      </c>
      <c r="F54" s="260">
        <f t="shared" si="9"/>
        <v>55.566746908509202</v>
      </c>
      <c r="G54" s="91">
        <f t="shared" si="10"/>
        <v>3087.6633619943168</v>
      </c>
      <c r="H54" s="249">
        <v>1</v>
      </c>
    </row>
    <row r="55" spans="1:8" ht="18.75" customHeight="1" x14ac:dyDescent="0.4">
      <c r="A55" s="240" t="s">
        <v>150</v>
      </c>
      <c r="B55" s="92">
        <v>50</v>
      </c>
      <c r="C55" s="99">
        <f>HLOOKUP(C$6,$C$91:$GT$172,50,0)</f>
        <v>145.94982871035472</v>
      </c>
      <c r="D55" s="99">
        <f>HLOOKUP(D$6,$C$91:$GT$172,50,0)</f>
        <v>215.20557869951097</v>
      </c>
      <c r="E55" s="260">
        <f t="shared" si="8"/>
        <v>180.57770370493284</v>
      </c>
      <c r="F55" s="260">
        <f t="shared" si="9"/>
        <v>-38.352326210948704</v>
      </c>
      <c r="G55" s="91">
        <f t="shared" si="10"/>
        <v>1470.9009257910229</v>
      </c>
      <c r="H55" s="249">
        <v>1</v>
      </c>
    </row>
    <row r="56" spans="1:8" ht="18.75" customHeight="1" x14ac:dyDescent="0.4">
      <c r="A56" s="240" t="s">
        <v>151</v>
      </c>
      <c r="B56" s="92">
        <v>51</v>
      </c>
      <c r="C56" s="99">
        <f>HLOOKUP(C$6,$C$91:$GT$172,51,0)</f>
        <v>40.985002292226078</v>
      </c>
      <c r="D56" s="99">
        <f>HLOOKUP(D$6,$C$91:$GT$172,51,0)</f>
        <v>58.007320048800324</v>
      </c>
      <c r="E56" s="260">
        <f t="shared" si="8"/>
        <v>49.496161170513204</v>
      </c>
      <c r="F56" s="260">
        <f t="shared" si="9"/>
        <v>-34.391187829562639</v>
      </c>
      <c r="G56" s="91">
        <f t="shared" si="10"/>
        <v>1182.7538003282575</v>
      </c>
      <c r="H56" s="249">
        <v>1</v>
      </c>
    </row>
    <row r="57" spans="1:8" ht="18.75" customHeight="1" x14ac:dyDescent="0.4">
      <c r="A57" s="240" t="s">
        <v>152</v>
      </c>
      <c r="B57" s="92">
        <v>52</v>
      </c>
      <c r="C57" s="99">
        <f>HLOOKUP(C$6,$C$91:$GT$172,52,0)</f>
        <v>51.408855664174816</v>
      </c>
      <c r="D57" s="99">
        <f>HLOOKUP(D$6,$C$91:$GT$172,52,0)</f>
        <v>81.639194139194132</v>
      </c>
      <c r="E57" s="260">
        <f t="shared" si="8"/>
        <v>66.52402490168447</v>
      </c>
      <c r="F57" s="260">
        <f t="shared" si="9"/>
        <v>-45.442738198262333</v>
      </c>
      <c r="G57" s="91">
        <f t="shared" si="10"/>
        <v>2065.0424549558106</v>
      </c>
      <c r="H57" s="249">
        <v>1</v>
      </c>
    </row>
    <row r="58" spans="1:8" ht="18.75" customHeight="1" x14ac:dyDescent="0.4">
      <c r="A58" s="240" t="s">
        <v>153</v>
      </c>
      <c r="B58" s="92">
        <v>53</v>
      </c>
      <c r="C58" s="99">
        <f>HLOOKUP(C$6,$C$91:$GT$172,53,0)</f>
        <v>102.20103545459791</v>
      </c>
      <c r="D58" s="99">
        <f>HLOOKUP(D$6,$C$91:$GT$172,53,0)</f>
        <v>79.477800719237564</v>
      </c>
      <c r="E58" s="260">
        <f t="shared" si="8"/>
        <v>90.839418086917732</v>
      </c>
      <c r="F58" s="260">
        <f t="shared" si="9"/>
        <v>25.014729523716362</v>
      </c>
      <c r="G58" s="91">
        <f t="shared" si="10"/>
        <v>625.73669314468702</v>
      </c>
      <c r="H58" s="249">
        <v>1</v>
      </c>
    </row>
    <row r="59" spans="1:8" ht="18.75" customHeight="1" x14ac:dyDescent="0.4">
      <c r="A59" s="240" t="s">
        <v>154</v>
      </c>
      <c r="B59" s="92">
        <v>54</v>
      </c>
      <c r="C59" s="99">
        <f>HLOOKUP(C$6,$C$91:$GT$172,54,0)</f>
        <v>202.35290582366727</v>
      </c>
      <c r="D59" s="99">
        <f>HLOOKUP(D$6,$C$91:$GT$172,54,0)</f>
        <v>113.94473271388922</v>
      </c>
      <c r="E59" s="260">
        <f t="shared" si="8"/>
        <v>158.14881926877825</v>
      </c>
      <c r="F59" s="260">
        <f t="shared" si="9"/>
        <v>55.901886285680021</v>
      </c>
      <c r="G59" s="91">
        <f t="shared" si="10"/>
        <v>3125.0208902970999</v>
      </c>
      <c r="H59" s="249">
        <v>1</v>
      </c>
    </row>
    <row r="60" spans="1:8" ht="18.75" customHeight="1" x14ac:dyDescent="0.4">
      <c r="A60" s="240" t="s">
        <v>155</v>
      </c>
      <c r="B60" s="92">
        <v>55</v>
      </c>
      <c r="C60" s="99">
        <f>HLOOKUP(C$6,$C$91:$GT$172,55,0)</f>
        <v>32.058017872378642</v>
      </c>
      <c r="D60" s="99">
        <f>HLOOKUP(D$6,$C$91:$GT$172,55,0)</f>
        <v>53.054054054054056</v>
      </c>
      <c r="E60" s="260">
        <f t="shared" si="8"/>
        <v>42.556035963216345</v>
      </c>
      <c r="F60" s="260">
        <f t="shared" si="9"/>
        <v>-49.337387062609658</v>
      </c>
      <c r="G60" s="91">
        <f t="shared" si="10"/>
        <v>2434.1777621657629</v>
      </c>
      <c r="H60" s="249">
        <v>1</v>
      </c>
    </row>
    <row r="61" spans="1:8" ht="18.75" customHeight="1" x14ac:dyDescent="0.4">
      <c r="A61" s="240" t="s">
        <v>156</v>
      </c>
      <c r="B61" s="92">
        <v>56</v>
      </c>
      <c r="C61" s="99">
        <f>HLOOKUP(C$6,$C$91:$GT$172,56,0)</f>
        <v>10.794913280812906</v>
      </c>
      <c r="D61" s="99">
        <f>HLOOKUP(D$6,$C$91:$GT$172,56,0)</f>
        <v>11.63098435771844</v>
      </c>
      <c r="E61" s="260">
        <f t="shared" si="8"/>
        <v>11.212948819265673</v>
      </c>
      <c r="F61" s="260">
        <f t="shared" si="9"/>
        <v>-7.4562997689691297</v>
      </c>
      <c r="G61" s="91">
        <f t="shared" si="10"/>
        <v>55.596406244729096</v>
      </c>
      <c r="H61" s="249">
        <v>1</v>
      </c>
    </row>
    <row r="62" spans="1:8" ht="18.75" customHeight="1" x14ac:dyDescent="0.4">
      <c r="A62" s="240" t="s">
        <v>157</v>
      </c>
      <c r="B62" s="92">
        <v>57</v>
      </c>
      <c r="C62" s="99">
        <f>HLOOKUP(C$6,$C$91:$GT$172,57,0)</f>
        <v>38.764308287844187</v>
      </c>
      <c r="D62" s="99">
        <f>HLOOKUP(D$6,$C$91:$GT$172,57,0)</f>
        <v>37.020066361194502</v>
      </c>
      <c r="E62" s="260">
        <f t="shared" si="8"/>
        <v>37.892187324519341</v>
      </c>
      <c r="F62" s="260">
        <f t="shared" si="9"/>
        <v>4.6031703361738074</v>
      </c>
      <c r="G62" s="91">
        <f t="shared" si="10"/>
        <v>21.189177143830484</v>
      </c>
      <c r="H62" s="249">
        <v>1</v>
      </c>
    </row>
    <row r="63" spans="1:8" ht="18.75" customHeight="1" x14ac:dyDescent="0.4">
      <c r="A63" s="240" t="s">
        <v>158</v>
      </c>
      <c r="B63" s="92">
        <v>58</v>
      </c>
      <c r="C63" s="99">
        <f>HLOOKUP(C$6,$C$91:$GT$172,58,0)</f>
        <v>172.98245614035088</v>
      </c>
      <c r="D63" s="99">
        <f>HLOOKUP(D$6,$C$91:$GT$172,58,0)</f>
        <v>319.91807475678445</v>
      </c>
      <c r="E63" s="260">
        <f t="shared" si="8"/>
        <v>246.45026544856768</v>
      </c>
      <c r="F63" s="260">
        <f t="shared" si="9"/>
        <v>-59.620799494370168</v>
      </c>
      <c r="G63" s="91">
        <f t="shared" si="10"/>
        <v>3554.63973234789</v>
      </c>
      <c r="H63" s="249">
        <v>1</v>
      </c>
    </row>
    <row r="64" spans="1:8" ht="18.75" customHeight="1" x14ac:dyDescent="0.4">
      <c r="A64" s="240" t="s">
        <v>159</v>
      </c>
      <c r="B64" s="92">
        <v>59</v>
      </c>
      <c r="C64" s="99">
        <f>HLOOKUP(C$6,$C$91:$GT$172,59,0)</f>
        <v>104.90744134897361</v>
      </c>
      <c r="D64" s="99">
        <f>HLOOKUP(D$6,$C$91:$GT$172,59,0)</f>
        <v>150.49176704608246</v>
      </c>
      <c r="E64" s="260">
        <f t="shared" si="8"/>
        <v>127.69960419752803</v>
      </c>
      <c r="F64" s="260">
        <f t="shared" si="9"/>
        <v>-35.696528570752811</v>
      </c>
      <c r="G64" s="91">
        <f t="shared" si="10"/>
        <v>1274.2421520025716</v>
      </c>
      <c r="H64" s="249">
        <v>1</v>
      </c>
    </row>
    <row r="65" spans="1:8" ht="18.75" customHeight="1" x14ac:dyDescent="0.4">
      <c r="A65" s="240" t="s">
        <v>160</v>
      </c>
      <c r="B65" s="92">
        <v>60</v>
      </c>
      <c r="C65" s="99">
        <f>HLOOKUP(C$6,$C$91:$GT$172,60,0)</f>
        <v>72.182403070150684</v>
      </c>
      <c r="D65" s="99">
        <f>HLOOKUP(D$6,$C$91:$GT$172,60,0)</f>
        <v>68.229600609810149</v>
      </c>
      <c r="E65" s="260">
        <f t="shared" si="8"/>
        <v>70.206001839980416</v>
      </c>
      <c r="F65" s="260">
        <f t="shared" si="9"/>
        <v>5.6302913664704963</v>
      </c>
      <c r="G65" s="91">
        <f t="shared" si="10"/>
        <v>31.70018087135221</v>
      </c>
      <c r="H65" s="249">
        <v>1</v>
      </c>
    </row>
    <row r="66" spans="1:8" ht="18.75" customHeight="1" x14ac:dyDescent="0.4">
      <c r="A66" s="240" t="s">
        <v>161</v>
      </c>
      <c r="B66" s="92">
        <v>61</v>
      </c>
      <c r="C66" s="99">
        <f>HLOOKUP(C$6,$C$91:$GT$172,61,0)</f>
        <v>59.340455481559751</v>
      </c>
      <c r="D66" s="99">
        <f>HLOOKUP(D$6,$C$91:$GT$172,61,0)</f>
        <v>84.181102757251494</v>
      </c>
      <c r="E66" s="260">
        <f t="shared" si="8"/>
        <v>71.760779119405626</v>
      </c>
      <c r="F66" s="260">
        <f t="shared" si="9"/>
        <v>-34.615910780955147</v>
      </c>
      <c r="G66" s="91">
        <f t="shared" si="10"/>
        <v>1198.2612791950469</v>
      </c>
      <c r="H66" s="249">
        <v>1</v>
      </c>
    </row>
    <row r="67" spans="1:8" ht="18.75" customHeight="1" x14ac:dyDescent="0.4">
      <c r="A67" s="240" t="s">
        <v>162</v>
      </c>
      <c r="B67" s="92">
        <v>62</v>
      </c>
      <c r="C67" s="99">
        <f>HLOOKUP(C$6,$C$91:$GT$172,62,0)</f>
        <v>1E-4</v>
      </c>
      <c r="D67" s="99">
        <f>HLOOKUP(D$6,$C$91:$GT$172,62,0)</f>
        <v>1E-4</v>
      </c>
      <c r="E67" s="260">
        <f t="shared" si="8"/>
        <v>1E-4</v>
      </c>
      <c r="F67" s="260">
        <f t="shared" si="9"/>
        <v>0</v>
      </c>
      <c r="G67" s="91" t="str">
        <f t="shared" si="10"/>
        <v/>
      </c>
      <c r="H67" s="249">
        <v>1</v>
      </c>
    </row>
    <row r="68" spans="1:8" ht="18.75" customHeight="1" x14ac:dyDescent="0.4">
      <c r="A68" s="240" t="s">
        <v>163</v>
      </c>
      <c r="B68" s="92">
        <v>63</v>
      </c>
      <c r="C68" s="99">
        <f>HLOOKUP(C$6,$C$91:$GT$172,63,0)</f>
        <v>1E-4</v>
      </c>
      <c r="D68" s="99">
        <f>HLOOKUP(D$6,$C$91:$GT$172,63,0)</f>
        <v>1E-4</v>
      </c>
      <c r="E68" s="260">
        <f t="shared" si="8"/>
        <v>1E-4</v>
      </c>
      <c r="F68" s="260">
        <f t="shared" si="9"/>
        <v>0</v>
      </c>
      <c r="G68" s="91" t="str">
        <f t="shared" si="10"/>
        <v/>
      </c>
      <c r="H68" s="249">
        <v>1</v>
      </c>
    </row>
    <row r="69" spans="1:8" ht="18.75" customHeight="1" x14ac:dyDescent="0.4">
      <c r="A69" s="240" t="s">
        <v>164</v>
      </c>
      <c r="B69" s="92">
        <v>64</v>
      </c>
      <c r="C69" s="99">
        <f>HLOOKUP(C$6,$C$91:$GT$172,64,0)</f>
        <v>1E-4</v>
      </c>
      <c r="D69" s="99">
        <f>HLOOKUP(D$6,$C$91:$GT$172,64,0)</f>
        <v>1E-4</v>
      </c>
      <c r="E69" s="260">
        <f t="shared" si="8"/>
        <v>1E-4</v>
      </c>
      <c r="F69" s="260">
        <f t="shared" si="9"/>
        <v>0</v>
      </c>
      <c r="G69" s="91" t="str">
        <f t="shared" si="10"/>
        <v/>
      </c>
      <c r="H69" s="249">
        <v>1</v>
      </c>
    </row>
    <row r="70" spans="1:8" ht="18.75" customHeight="1" x14ac:dyDescent="0.4">
      <c r="A70" s="240" t="s">
        <v>165</v>
      </c>
      <c r="B70" s="92">
        <v>65</v>
      </c>
      <c r="C70" s="99">
        <f>HLOOKUP(C$6,$C$91:$GT$172,65,0)</f>
        <v>77.747537509192725</v>
      </c>
      <c r="D70" s="99">
        <f>HLOOKUP(D$6,$C$91:$GT$172,65,0)</f>
        <v>80.289269612263297</v>
      </c>
      <c r="E70" s="260">
        <f t="shared" si="8"/>
        <v>79.018403560728018</v>
      </c>
      <c r="F70" s="260">
        <f t="shared" si="9"/>
        <v>-3.2166330734803754</v>
      </c>
      <c r="G70" s="91">
        <f t="shared" si="10"/>
        <v>10.346728329407807</v>
      </c>
      <c r="H70" s="249">
        <v>1</v>
      </c>
    </row>
    <row r="71" spans="1:8" ht="18.75" customHeight="1" x14ac:dyDescent="0.4">
      <c r="A71" s="240" t="s">
        <v>166</v>
      </c>
      <c r="B71" s="92">
        <v>66</v>
      </c>
      <c r="C71" s="99">
        <f>HLOOKUP(C$6,$C$91:$GT$172,66,0)</f>
        <v>28.633208836738088</v>
      </c>
      <c r="D71" s="99">
        <f>HLOOKUP(D$6,$C$91:$GT$172,66,0)</f>
        <v>35.325485858745459</v>
      </c>
      <c r="E71" s="260">
        <f t="shared" si="8"/>
        <v>31.979347347741772</v>
      </c>
      <c r="F71" s="260">
        <f t="shared" si="9"/>
        <v>-20.926871800214982</v>
      </c>
      <c r="G71" s="91">
        <f t="shared" si="10"/>
        <v>437.93396334263304</v>
      </c>
      <c r="H71" s="249">
        <v>1</v>
      </c>
    </row>
    <row r="72" spans="1:8" ht="18.75" customHeight="1" x14ac:dyDescent="0.4">
      <c r="A72" s="240" t="s">
        <v>167</v>
      </c>
      <c r="B72" s="92">
        <v>67</v>
      </c>
      <c r="C72" s="99">
        <f>HLOOKUP(C$6,$C$91:$GT$172,67,0)</f>
        <v>1E-4</v>
      </c>
      <c r="D72" s="99">
        <f>HLOOKUP(D$6,$C$91:$GT$172,67,0)</f>
        <v>1E-4</v>
      </c>
      <c r="E72" s="260">
        <f t="shared" si="8"/>
        <v>1E-4</v>
      </c>
      <c r="F72" s="260">
        <f t="shared" si="9"/>
        <v>0</v>
      </c>
      <c r="G72" s="91" t="str">
        <f t="shared" si="10"/>
        <v/>
      </c>
      <c r="H72" s="249">
        <v>1</v>
      </c>
    </row>
    <row r="73" spans="1:8" ht="18.75" customHeight="1" x14ac:dyDescent="0.4">
      <c r="A73" s="240" t="s">
        <v>168</v>
      </c>
      <c r="B73" s="92">
        <v>68</v>
      </c>
      <c r="C73" s="99">
        <f>HLOOKUP(C$6,$C$91:$GT$172,68,0)</f>
        <v>1E-4</v>
      </c>
      <c r="D73" s="99">
        <f>HLOOKUP(D$6,$C$91:$GT$172,68,0)</f>
        <v>1E-4</v>
      </c>
      <c r="E73" s="260">
        <f t="shared" si="8"/>
        <v>1E-4</v>
      </c>
      <c r="F73" s="260">
        <f t="shared" si="9"/>
        <v>0</v>
      </c>
      <c r="G73" s="91" t="str">
        <f t="shared" si="10"/>
        <v/>
      </c>
      <c r="H73" s="249">
        <v>1</v>
      </c>
    </row>
    <row r="74" spans="1:8" ht="18.75" customHeight="1" x14ac:dyDescent="0.4">
      <c r="A74" s="240" t="s">
        <v>169</v>
      </c>
      <c r="B74" s="92">
        <v>69</v>
      </c>
      <c r="C74" s="99">
        <f>HLOOKUP(C$6,$C$91:$GT$172,69,0)</f>
        <v>1E-4</v>
      </c>
      <c r="D74" s="99">
        <f>HLOOKUP(D$6,$C$91:$GT$172,69,0)</f>
        <v>1E-4</v>
      </c>
      <c r="E74" s="260">
        <f t="shared" si="8"/>
        <v>1E-4</v>
      </c>
      <c r="F74" s="260">
        <f t="shared" si="9"/>
        <v>0</v>
      </c>
      <c r="G74" s="91" t="str">
        <f t="shared" si="10"/>
        <v/>
      </c>
      <c r="H74" s="249">
        <v>1</v>
      </c>
    </row>
    <row r="75" spans="1:8" ht="18.75" customHeight="1" x14ac:dyDescent="0.4">
      <c r="A75" s="240" t="s">
        <v>170</v>
      </c>
      <c r="B75" s="92">
        <v>70</v>
      </c>
      <c r="C75" s="99">
        <f>HLOOKUP(C$6,$C$91:$GT$172,70,0)</f>
        <v>1E-4</v>
      </c>
      <c r="D75" s="99">
        <f>HLOOKUP(D$6,$C$91:$GT$172,70,0)</f>
        <v>1E-4</v>
      </c>
      <c r="E75" s="260">
        <f t="shared" si="8"/>
        <v>1E-4</v>
      </c>
      <c r="F75" s="260">
        <f t="shared" si="9"/>
        <v>0</v>
      </c>
      <c r="G75" s="91" t="str">
        <f t="shared" si="10"/>
        <v/>
      </c>
      <c r="H75" s="249">
        <v>1</v>
      </c>
    </row>
    <row r="76" spans="1:8" ht="18.75" customHeight="1" x14ac:dyDescent="0.4">
      <c r="A76" s="240" t="s">
        <v>171</v>
      </c>
      <c r="B76" s="92">
        <v>71</v>
      </c>
      <c r="C76" s="99">
        <f>HLOOKUP(C$6,$C$91:$GT$172,71,0)</f>
        <v>15.945447010511247</v>
      </c>
      <c r="D76" s="99">
        <f>HLOOKUP(D$6,$C$91:$GT$172,71,0)</f>
        <v>14.300865842605626</v>
      </c>
      <c r="E76" s="260">
        <f t="shared" si="8"/>
        <v>15.123156426558436</v>
      </c>
      <c r="F76" s="260">
        <f t="shared" si="9"/>
        <v>10.874589414531874</v>
      </c>
      <c r="G76" s="91">
        <f t="shared" si="10"/>
        <v>118.25669493464869</v>
      </c>
      <c r="H76" s="249">
        <v>1</v>
      </c>
    </row>
    <row r="77" spans="1:8" ht="18.75" customHeight="1" x14ac:dyDescent="0.4">
      <c r="A77" s="240" t="s">
        <v>172</v>
      </c>
      <c r="B77" s="92">
        <v>72</v>
      </c>
      <c r="C77" s="99">
        <f>HLOOKUP(C$6,$C$91:$GT$172,72,0)</f>
        <v>42.718782498517797</v>
      </c>
      <c r="D77" s="99">
        <f>HLOOKUP(D$6,$C$91:$GT$172,72,0)</f>
        <v>23.623161307709502</v>
      </c>
      <c r="E77" s="260">
        <f t="shared" si="8"/>
        <v>33.170971903113653</v>
      </c>
      <c r="F77" s="260">
        <f t="shared" si="9"/>
        <v>57.567264675219995</v>
      </c>
      <c r="G77" s="91">
        <f t="shared" si="10"/>
        <v>3313.9899621868317</v>
      </c>
      <c r="H77" s="249">
        <v>1</v>
      </c>
    </row>
    <row r="78" spans="1:8" ht="18.75" customHeight="1" x14ac:dyDescent="0.4">
      <c r="A78" s="240" t="s">
        <v>173</v>
      </c>
      <c r="B78" s="92">
        <v>73</v>
      </c>
      <c r="C78" s="99">
        <f>HLOOKUP(C$6,$C$91:$GT$172,73,0)</f>
        <v>1E-4</v>
      </c>
      <c r="D78" s="99">
        <f>HLOOKUP(D$6,$C$91:$GT$172,73,0)</f>
        <v>1E-4</v>
      </c>
      <c r="E78" s="260">
        <f t="shared" si="8"/>
        <v>1E-4</v>
      </c>
      <c r="F78" s="260">
        <f t="shared" si="9"/>
        <v>0</v>
      </c>
      <c r="G78" s="91" t="str">
        <f t="shared" si="10"/>
        <v/>
      </c>
      <c r="H78" s="249">
        <v>1</v>
      </c>
    </row>
    <row r="79" spans="1:8" ht="18.75" customHeight="1" x14ac:dyDescent="0.4">
      <c r="A79" s="240" t="s">
        <v>174</v>
      </c>
      <c r="B79" s="92">
        <v>74</v>
      </c>
      <c r="C79" s="99">
        <f>HLOOKUP(C$6,$C$91:$GT$172,74,0)</f>
        <v>1E-4</v>
      </c>
      <c r="D79" s="99">
        <f>HLOOKUP(D$6,$C$91:$GT$172,74,0)</f>
        <v>1E-4</v>
      </c>
      <c r="E79" s="260">
        <f t="shared" si="8"/>
        <v>1E-4</v>
      </c>
      <c r="F79" s="260">
        <f t="shared" si="9"/>
        <v>0</v>
      </c>
      <c r="G79" s="91" t="str">
        <f t="shared" si="10"/>
        <v/>
      </c>
      <c r="H79" s="249">
        <v>1</v>
      </c>
    </row>
    <row r="80" spans="1:8" ht="18.75" customHeight="1" x14ac:dyDescent="0.4">
      <c r="A80" s="240" t="s">
        <v>175</v>
      </c>
      <c r="B80" s="92">
        <v>75</v>
      </c>
      <c r="C80" s="99">
        <f>HLOOKUP(C$6,$C$91:$GT$172,75,0)</f>
        <v>1E-4</v>
      </c>
      <c r="D80" s="99">
        <f>HLOOKUP(D$6,$C$91:$GT$172,75,0)</f>
        <v>1E-4</v>
      </c>
      <c r="E80" s="260">
        <f t="shared" si="8"/>
        <v>1E-4</v>
      </c>
      <c r="F80" s="260">
        <f t="shared" si="9"/>
        <v>0</v>
      </c>
      <c r="G80" s="91" t="str">
        <f t="shared" si="10"/>
        <v/>
      </c>
      <c r="H80" s="249">
        <v>1</v>
      </c>
    </row>
    <row r="81" spans="1:202" ht="18.75" customHeight="1" x14ac:dyDescent="0.4">
      <c r="A81" s="240" t="s">
        <v>176</v>
      </c>
      <c r="B81" s="92">
        <v>76</v>
      </c>
      <c r="C81" s="99">
        <f>HLOOKUP(C$6,$C$91:$GT$172,76,0)</f>
        <v>73.144236572118288</v>
      </c>
      <c r="D81" s="99">
        <f>HLOOKUP(D$6,$C$91:$GT$172,76,0)</f>
        <v>546.19033501334127</v>
      </c>
      <c r="E81" s="260">
        <f t="shared" si="8"/>
        <v>309.66728579272979</v>
      </c>
      <c r="F81" s="260">
        <f t="shared" si="9"/>
        <v>-152.75946803042277</v>
      </c>
      <c r="G81" s="91">
        <f t="shared" si="10"/>
        <v>23335.455072937755</v>
      </c>
      <c r="H81" s="249">
        <v>1</v>
      </c>
    </row>
    <row r="82" spans="1:202" ht="18.75" customHeight="1" x14ac:dyDescent="0.4">
      <c r="A82" s="240" t="s">
        <v>177</v>
      </c>
      <c r="B82" s="92">
        <v>77</v>
      </c>
      <c r="C82" s="99">
        <f>HLOOKUP(C$6,$C$91:$GT$172,77,0)</f>
        <v>1E-4</v>
      </c>
      <c r="D82" s="99">
        <f>HLOOKUP(D$6,$C$91:$GT$172,77,0)</f>
        <v>1E-4</v>
      </c>
      <c r="E82" s="260">
        <f t="shared" si="8"/>
        <v>1E-4</v>
      </c>
      <c r="F82" s="260">
        <f t="shared" si="9"/>
        <v>0</v>
      </c>
      <c r="G82" s="91" t="str">
        <f t="shared" si="10"/>
        <v/>
      </c>
      <c r="H82" s="249">
        <v>1</v>
      </c>
    </row>
    <row r="83" spans="1:202" ht="18.75" customHeight="1" x14ac:dyDescent="0.4">
      <c r="A83" s="240" t="s">
        <v>178</v>
      </c>
      <c r="B83" s="92">
        <v>78</v>
      </c>
      <c r="C83" s="99">
        <f>HLOOKUP(C$6,$C$91:$GT$172,78,0)</f>
        <v>98.813760379596687</v>
      </c>
      <c r="D83" s="99">
        <f>HLOOKUP(D$6,$C$91:$GT$172,78,0)</f>
        <v>46.782006920415228</v>
      </c>
      <c r="E83" s="260">
        <f t="shared" si="8"/>
        <v>72.797883650005957</v>
      </c>
      <c r="F83" s="260">
        <f t="shared" si="9"/>
        <v>71.474266627498579</v>
      </c>
      <c r="G83" s="91">
        <f t="shared" si="10"/>
        <v>5108.5707899387571</v>
      </c>
      <c r="H83" s="249">
        <v>1</v>
      </c>
    </row>
    <row r="84" spans="1:202" ht="18.75" customHeight="1" x14ac:dyDescent="0.4">
      <c r="A84" s="240" t="s">
        <v>179</v>
      </c>
      <c r="B84" s="92">
        <v>79</v>
      </c>
      <c r="C84" s="99">
        <f>HLOOKUP(C$6,$C$91:$GT$172,79,0)</f>
        <v>23.991856035728361</v>
      </c>
      <c r="D84" s="99">
        <f>HLOOKUP(D$6,$C$91:$GT$172,79,0)</f>
        <v>24.888046848088187</v>
      </c>
      <c r="E84" s="260">
        <f t="shared" si="8"/>
        <v>24.439951441908274</v>
      </c>
      <c r="F84" s="260">
        <f t="shared" si="9"/>
        <v>-3.6669091364195108</v>
      </c>
      <c r="G84" s="91">
        <f t="shared" si="10"/>
        <v>13.446222614756882</v>
      </c>
      <c r="H84" s="249">
        <v>1</v>
      </c>
    </row>
    <row r="85" spans="1:202" ht="18.75" customHeight="1" x14ac:dyDescent="0.4">
      <c r="A85" s="240" t="s">
        <v>180</v>
      </c>
      <c r="B85" s="92">
        <v>80</v>
      </c>
      <c r="C85" s="99">
        <f>HLOOKUP(C$6,$C$91:$GT$172,80,0)</f>
        <v>4.357344782876698</v>
      </c>
      <c r="D85" s="99">
        <f>HLOOKUP(D$6,$C$91:$GT$172,80,0)</f>
        <v>3.2371579810631474</v>
      </c>
      <c r="E85" s="260">
        <f t="shared" si="8"/>
        <v>3.7972513819699225</v>
      </c>
      <c r="F85" s="260">
        <f t="shared" si="9"/>
        <v>29.499937958609014</v>
      </c>
      <c r="G85" s="91">
        <f t="shared" si="10"/>
        <v>870.24633956178093</v>
      </c>
      <c r="H85" s="249">
        <v>1</v>
      </c>
    </row>
    <row r="86" spans="1:202" ht="18.75" customHeight="1" x14ac:dyDescent="0.4">
      <c r="A86" s="240" t="s">
        <v>181</v>
      </c>
      <c r="B86" s="92">
        <v>81</v>
      </c>
      <c r="C86" s="99">
        <f>HLOOKUP(C$6,$C$91:$GT$172,81,0)</f>
        <v>353.59897172236504</v>
      </c>
      <c r="D86" s="99">
        <f>HLOOKUP(D$6,$C$91:$GT$172,81,0)</f>
        <v>178.20096840213648</v>
      </c>
      <c r="E86" s="260">
        <f t="shared" si="8"/>
        <v>265.89997006225076</v>
      </c>
      <c r="F86" s="260">
        <f t="shared" si="9"/>
        <v>65.963904877148167</v>
      </c>
      <c r="G86" s="91">
        <f t="shared" si="10"/>
        <v>4351.2367466414516</v>
      </c>
      <c r="H86" s="249">
        <v>1</v>
      </c>
    </row>
    <row r="87" spans="1:202" ht="18.75" customHeight="1" x14ac:dyDescent="0.4">
      <c r="A87" s="243" t="s">
        <v>182</v>
      </c>
      <c r="B87" s="437">
        <v>82</v>
      </c>
      <c r="C87" s="429">
        <f>HLOOKUP(C$6,$C$91:$GT$172,82,0)</f>
        <v>72.723850160005014</v>
      </c>
      <c r="D87" s="429">
        <f>HLOOKUP(D$6,$C$91:$GT$172,82,0)</f>
        <v>118.3177398642451</v>
      </c>
      <c r="E87" s="282">
        <f t="shared" si="8"/>
        <v>95.520795012125063</v>
      </c>
      <c r="F87" s="282">
        <f t="shared" si="9"/>
        <v>-47.731899319360316</v>
      </c>
      <c r="G87" s="111">
        <f t="shared" si="10"/>
        <v>2278.3342126335497</v>
      </c>
      <c r="H87" s="438">
        <v>1</v>
      </c>
    </row>
    <row r="88" spans="1:202" ht="18.75" customHeight="1" x14ac:dyDescent="0.4"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</row>
    <row r="89" spans="1:202" ht="18.75" customHeight="1" x14ac:dyDescent="0.4">
      <c r="A89" s="1" t="s">
        <v>442</v>
      </c>
    </row>
    <row r="90" spans="1:202" ht="18.75" customHeight="1" x14ac:dyDescent="0.4">
      <c r="C90" s="99"/>
      <c r="D90" s="99"/>
      <c r="E90" s="99"/>
      <c r="F90" s="99"/>
      <c r="G90" s="297"/>
    </row>
    <row r="91" spans="1:202" ht="18.75" customHeight="1" x14ac:dyDescent="0.4">
      <c r="C91" s="439">
        <v>1</v>
      </c>
      <c r="D91" s="439">
        <v>2</v>
      </c>
      <c r="E91" s="439">
        <v>3</v>
      </c>
      <c r="F91" s="439">
        <v>4</v>
      </c>
      <c r="G91" s="439">
        <v>5</v>
      </c>
      <c r="H91" s="439">
        <v>6</v>
      </c>
      <c r="I91" s="439">
        <v>7</v>
      </c>
      <c r="J91" s="439">
        <v>8</v>
      </c>
      <c r="K91" s="439">
        <v>9</v>
      </c>
      <c r="L91" s="439">
        <v>10</v>
      </c>
      <c r="M91" s="439">
        <v>11</v>
      </c>
      <c r="N91" s="439">
        <v>12</v>
      </c>
      <c r="O91" s="439">
        <v>13</v>
      </c>
      <c r="P91" s="439">
        <v>14</v>
      </c>
      <c r="Q91" s="439">
        <v>15</v>
      </c>
      <c r="R91" s="439">
        <v>16</v>
      </c>
      <c r="S91" s="439">
        <v>17</v>
      </c>
      <c r="T91" s="439">
        <v>18</v>
      </c>
      <c r="U91" s="439">
        <v>19</v>
      </c>
      <c r="V91" s="439">
        <v>20</v>
      </c>
      <c r="W91" s="439">
        <v>21</v>
      </c>
      <c r="X91" s="439">
        <v>22</v>
      </c>
      <c r="Y91" s="439">
        <v>23</v>
      </c>
      <c r="Z91" s="439">
        <v>24</v>
      </c>
      <c r="AA91" s="439">
        <v>25</v>
      </c>
      <c r="AB91" s="439">
        <v>26</v>
      </c>
      <c r="AC91" s="439">
        <v>27</v>
      </c>
      <c r="AD91" s="439">
        <v>28</v>
      </c>
      <c r="AE91" s="439">
        <v>29</v>
      </c>
      <c r="AF91" s="439">
        <v>30</v>
      </c>
      <c r="AG91" s="439">
        <v>31</v>
      </c>
      <c r="AH91" s="439">
        <v>32</v>
      </c>
      <c r="AI91" s="439">
        <v>33</v>
      </c>
      <c r="AJ91" s="439">
        <v>34</v>
      </c>
      <c r="AK91" s="439">
        <v>35</v>
      </c>
      <c r="AL91" s="439">
        <v>36</v>
      </c>
      <c r="AM91" s="439">
        <v>37</v>
      </c>
      <c r="AN91" s="439">
        <v>38</v>
      </c>
      <c r="AO91" s="439">
        <v>39</v>
      </c>
      <c r="AP91" s="439">
        <v>40</v>
      </c>
      <c r="AQ91" s="439">
        <v>41</v>
      </c>
      <c r="AR91" s="439">
        <v>42</v>
      </c>
      <c r="AS91" s="439">
        <v>43</v>
      </c>
      <c r="AT91" s="439">
        <v>44</v>
      </c>
      <c r="AU91" s="439">
        <v>45</v>
      </c>
      <c r="AV91" s="439">
        <v>46</v>
      </c>
      <c r="AW91" s="439">
        <v>47</v>
      </c>
      <c r="AX91" s="439">
        <v>43</v>
      </c>
      <c r="AY91" s="439">
        <v>49</v>
      </c>
      <c r="AZ91" s="439">
        <v>50</v>
      </c>
      <c r="BA91" s="439">
        <v>51</v>
      </c>
      <c r="BB91" s="439">
        <v>52</v>
      </c>
      <c r="BC91" s="439">
        <v>53</v>
      </c>
      <c r="BD91" s="439">
        <v>54</v>
      </c>
      <c r="BE91" s="439">
        <v>55</v>
      </c>
      <c r="BF91" s="439">
        <v>56</v>
      </c>
      <c r="BG91" s="439">
        <v>57</v>
      </c>
      <c r="BH91" s="439">
        <v>58</v>
      </c>
      <c r="BI91" s="439">
        <v>59</v>
      </c>
      <c r="BJ91" s="439">
        <v>60</v>
      </c>
      <c r="BK91" s="439">
        <v>61</v>
      </c>
      <c r="BL91" s="439">
        <v>62</v>
      </c>
      <c r="BM91" s="439">
        <v>63</v>
      </c>
      <c r="BN91" s="439">
        <v>64</v>
      </c>
      <c r="BO91" s="439">
        <v>65</v>
      </c>
      <c r="BP91" s="439">
        <v>66</v>
      </c>
      <c r="BQ91" s="439">
        <v>67</v>
      </c>
      <c r="BR91" s="439">
        <v>68</v>
      </c>
      <c r="BS91" s="439">
        <v>69</v>
      </c>
      <c r="BT91" s="439">
        <v>70</v>
      </c>
      <c r="BU91" s="439">
        <v>71</v>
      </c>
      <c r="BV91" s="439">
        <v>72</v>
      </c>
      <c r="BW91" s="439">
        <v>73</v>
      </c>
      <c r="BX91" s="439">
        <v>74</v>
      </c>
      <c r="BY91" s="439">
        <v>75</v>
      </c>
      <c r="BZ91" s="439">
        <v>76</v>
      </c>
      <c r="CA91" s="439">
        <v>77</v>
      </c>
      <c r="CB91" s="439">
        <v>78</v>
      </c>
      <c r="CC91" s="439">
        <v>79</v>
      </c>
      <c r="CD91" s="439">
        <v>80</v>
      </c>
      <c r="CE91" s="439">
        <v>81</v>
      </c>
      <c r="CF91" s="439">
        <v>82</v>
      </c>
      <c r="CG91" s="439">
        <v>83</v>
      </c>
      <c r="CH91" s="439">
        <v>84</v>
      </c>
      <c r="CI91" s="439">
        <v>85</v>
      </c>
      <c r="CJ91" s="439">
        <v>86</v>
      </c>
      <c r="CK91" s="439">
        <v>87</v>
      </c>
      <c r="CL91" s="439">
        <v>88</v>
      </c>
      <c r="CM91" s="439">
        <v>89</v>
      </c>
      <c r="CN91" s="439">
        <v>90</v>
      </c>
      <c r="CO91" s="439">
        <v>91</v>
      </c>
      <c r="CP91" s="439">
        <v>92</v>
      </c>
      <c r="CQ91" s="439">
        <v>93</v>
      </c>
      <c r="CR91" s="439">
        <v>94</v>
      </c>
      <c r="CS91" s="439">
        <v>95</v>
      </c>
      <c r="CT91" s="439">
        <v>96</v>
      </c>
      <c r="CU91" s="439">
        <v>97</v>
      </c>
      <c r="CV91" s="439">
        <v>98</v>
      </c>
      <c r="CW91" s="439">
        <v>99</v>
      </c>
      <c r="CX91" s="439">
        <v>100</v>
      </c>
      <c r="CY91" s="439">
        <v>101</v>
      </c>
      <c r="CZ91" s="439">
        <v>102</v>
      </c>
      <c r="DA91" s="439">
        <v>103</v>
      </c>
      <c r="DB91" s="439">
        <v>104</v>
      </c>
      <c r="DC91" s="439">
        <v>105</v>
      </c>
      <c r="DD91" s="439">
        <v>106</v>
      </c>
      <c r="DE91" s="439">
        <v>107</v>
      </c>
      <c r="DF91" s="439">
        <v>108</v>
      </c>
      <c r="DG91" s="439">
        <v>109</v>
      </c>
      <c r="DH91" s="439">
        <v>110</v>
      </c>
      <c r="DI91" s="439">
        <v>111</v>
      </c>
      <c r="DJ91" s="439">
        <v>112</v>
      </c>
      <c r="DK91" s="439">
        <v>113</v>
      </c>
      <c r="DL91" s="439">
        <v>114</v>
      </c>
      <c r="DM91" s="439">
        <v>115</v>
      </c>
      <c r="DN91" s="439">
        <v>116</v>
      </c>
      <c r="DO91" s="439">
        <v>117</v>
      </c>
      <c r="DP91" s="439">
        <v>118</v>
      </c>
      <c r="DQ91" s="439">
        <v>119</v>
      </c>
      <c r="DR91" s="439">
        <v>120</v>
      </c>
      <c r="DS91" s="439">
        <v>121</v>
      </c>
      <c r="DT91" s="439">
        <v>122</v>
      </c>
      <c r="DU91" s="439">
        <v>123</v>
      </c>
      <c r="DV91" s="439">
        <v>124</v>
      </c>
      <c r="DW91" s="439">
        <v>125</v>
      </c>
      <c r="DX91" s="439">
        <v>126</v>
      </c>
      <c r="DY91" s="439">
        <v>127</v>
      </c>
      <c r="DZ91" s="439">
        <v>128</v>
      </c>
      <c r="EA91" s="439">
        <v>129</v>
      </c>
      <c r="EB91" s="439">
        <v>130</v>
      </c>
      <c r="EC91" s="439">
        <v>131</v>
      </c>
      <c r="ED91" s="439">
        <v>132</v>
      </c>
      <c r="EE91" s="439">
        <v>133</v>
      </c>
      <c r="EF91" s="439">
        <v>134</v>
      </c>
      <c r="EG91" s="439">
        <v>135</v>
      </c>
      <c r="EH91" s="439">
        <v>136</v>
      </c>
      <c r="EI91" s="439">
        <v>137</v>
      </c>
      <c r="EJ91" s="439">
        <v>138</v>
      </c>
      <c r="EK91" s="439">
        <v>139</v>
      </c>
      <c r="EL91" s="439">
        <v>140</v>
      </c>
      <c r="EM91" s="439">
        <v>141</v>
      </c>
      <c r="EN91" s="439">
        <v>142</v>
      </c>
      <c r="EO91" s="439">
        <v>143</v>
      </c>
      <c r="EP91" s="439">
        <v>144</v>
      </c>
      <c r="EQ91" s="439">
        <v>145</v>
      </c>
      <c r="ER91" s="439">
        <v>146</v>
      </c>
      <c r="ES91" s="439">
        <v>147</v>
      </c>
      <c r="ET91" s="439">
        <v>143</v>
      </c>
      <c r="EU91" s="439">
        <v>149</v>
      </c>
      <c r="EV91" s="439">
        <v>150</v>
      </c>
      <c r="EW91" s="439">
        <v>151</v>
      </c>
      <c r="EX91" s="439">
        <v>152</v>
      </c>
      <c r="EY91" s="439">
        <v>153</v>
      </c>
      <c r="EZ91" s="439">
        <v>154</v>
      </c>
      <c r="FA91" s="439">
        <v>155</v>
      </c>
      <c r="FB91" s="439">
        <v>156</v>
      </c>
      <c r="FC91" s="439">
        <v>157</v>
      </c>
      <c r="FD91" s="439">
        <v>158</v>
      </c>
      <c r="FE91" s="439">
        <v>159</v>
      </c>
      <c r="FF91" s="439">
        <v>160</v>
      </c>
      <c r="FG91" s="439">
        <v>161</v>
      </c>
      <c r="FH91" s="439">
        <v>162</v>
      </c>
      <c r="FI91" s="439">
        <v>163</v>
      </c>
      <c r="FJ91" s="439">
        <v>164</v>
      </c>
      <c r="FK91" s="439">
        <v>165</v>
      </c>
      <c r="FL91" s="439">
        <v>166</v>
      </c>
      <c r="FM91" s="439">
        <v>167</v>
      </c>
      <c r="FN91" s="439">
        <v>168</v>
      </c>
      <c r="FO91" s="439">
        <v>169</v>
      </c>
      <c r="FP91" s="439">
        <v>170</v>
      </c>
      <c r="FQ91" s="439">
        <v>171</v>
      </c>
      <c r="FR91" s="439">
        <v>172</v>
      </c>
      <c r="FS91" s="439">
        <v>173</v>
      </c>
      <c r="FT91" s="439">
        <v>174</v>
      </c>
      <c r="FU91" s="439">
        <v>175</v>
      </c>
      <c r="FV91" s="439">
        <v>176</v>
      </c>
      <c r="FW91" s="439">
        <v>177</v>
      </c>
      <c r="FX91" s="439">
        <v>178</v>
      </c>
      <c r="FY91" s="439">
        <v>179</v>
      </c>
      <c r="FZ91" s="439">
        <v>180</v>
      </c>
      <c r="GA91" s="439">
        <v>181</v>
      </c>
      <c r="GB91" s="439">
        <v>182</v>
      </c>
      <c r="GC91" s="439">
        <v>183</v>
      </c>
      <c r="GD91" s="439">
        <v>184</v>
      </c>
      <c r="GE91" s="439">
        <v>185</v>
      </c>
      <c r="GF91" s="439">
        <v>186</v>
      </c>
      <c r="GG91" s="439">
        <v>187</v>
      </c>
      <c r="GH91" s="439">
        <v>188</v>
      </c>
      <c r="GI91" s="439">
        <v>189</v>
      </c>
      <c r="GJ91" s="439">
        <v>190</v>
      </c>
      <c r="GK91" s="439">
        <v>191</v>
      </c>
      <c r="GL91" s="439">
        <v>192</v>
      </c>
      <c r="GM91" s="439">
        <v>193</v>
      </c>
      <c r="GN91" s="439">
        <v>194</v>
      </c>
      <c r="GO91" s="439">
        <v>195</v>
      </c>
      <c r="GP91" s="439">
        <v>196</v>
      </c>
      <c r="GQ91" s="439">
        <v>197</v>
      </c>
      <c r="GR91" s="439">
        <v>198</v>
      </c>
      <c r="GS91" s="439">
        <v>199</v>
      </c>
      <c r="GT91" s="305">
        <v>200</v>
      </c>
    </row>
    <row r="92" spans="1:202" ht="18.75" customHeight="1" x14ac:dyDescent="0.4">
      <c r="A92" s="303" t="s">
        <v>96</v>
      </c>
      <c r="B92" s="303"/>
      <c r="C92" s="174" t="str">
        <f>Database!E7</f>
        <v>Sintef i</v>
      </c>
      <c r="D92" s="174" t="str">
        <f>Database!G7</f>
        <v>A</v>
      </c>
      <c r="E92" s="174" t="str">
        <f>Database!I7</f>
        <v>B</v>
      </c>
      <c r="F92" s="174" t="str">
        <f>Database!K7</f>
        <v>C</v>
      </c>
      <c r="G92" s="440">
        <f>Database!M7</f>
        <v>0</v>
      </c>
      <c r="H92" s="440">
        <f>Database!O7</f>
        <v>0</v>
      </c>
      <c r="I92" s="440">
        <f>Database!Q7</f>
        <v>0</v>
      </c>
      <c r="J92" s="440">
        <f>Database!S7</f>
        <v>0</v>
      </c>
      <c r="K92" s="440">
        <f>Database!U7</f>
        <v>0</v>
      </c>
      <c r="L92" s="440">
        <f>Database!W7</f>
        <v>0</v>
      </c>
      <c r="M92" s="440">
        <f>Database!Y7</f>
        <v>0</v>
      </c>
      <c r="N92" s="440">
        <f>Database!AA7</f>
        <v>0</v>
      </c>
      <c r="O92" s="440">
        <f>Database!AC7</f>
        <v>0</v>
      </c>
      <c r="P92" s="440">
        <f>Database!AE7</f>
        <v>0</v>
      </c>
      <c r="Q92" s="440">
        <f>Database!AG7</f>
        <v>0</v>
      </c>
      <c r="R92" s="440">
        <f>Database!AI7</f>
        <v>0</v>
      </c>
      <c r="S92" s="440">
        <f>Database!AK7</f>
        <v>0</v>
      </c>
      <c r="T92" s="440">
        <f>Database!AM7</f>
        <v>0</v>
      </c>
      <c r="U92" s="440">
        <f>Database!AO7</f>
        <v>0</v>
      </c>
      <c r="V92" s="440">
        <f>Database!AQ7</f>
        <v>0</v>
      </c>
      <c r="W92" s="73">
        <f>Database!AS7</f>
        <v>0</v>
      </c>
      <c r="X92" s="440">
        <f>Database!AU7</f>
        <v>0</v>
      </c>
      <c r="Y92" s="440">
        <f>Database!AW7</f>
        <v>0</v>
      </c>
      <c r="Z92" s="440">
        <f>Database!AY7</f>
        <v>0</v>
      </c>
      <c r="AA92" s="440">
        <f>Database!BA7</f>
        <v>0</v>
      </c>
      <c r="AB92" s="440">
        <f>Database!BC7</f>
        <v>0</v>
      </c>
      <c r="AC92" s="440">
        <f>Database!BE7</f>
        <v>0</v>
      </c>
      <c r="AD92" s="440">
        <f>Database!BG7</f>
        <v>0</v>
      </c>
      <c r="AE92" s="440">
        <f>Database!BI7</f>
        <v>0</v>
      </c>
      <c r="AF92" s="440">
        <f>Database!BK7</f>
        <v>0</v>
      </c>
      <c r="AG92" s="440">
        <f>Database!BM7</f>
        <v>0</v>
      </c>
      <c r="AH92" s="440">
        <f>Database!BO7</f>
        <v>0</v>
      </c>
      <c r="AI92" s="440">
        <f>Database!BQ7</f>
        <v>0</v>
      </c>
      <c r="AJ92" s="440">
        <f>Database!BS7</f>
        <v>0</v>
      </c>
      <c r="AK92" s="440">
        <f>Database!BU7</f>
        <v>0</v>
      </c>
      <c r="AL92" s="440">
        <f>Database!BW7</f>
        <v>0</v>
      </c>
      <c r="AM92" s="440">
        <f>Database!BY7</f>
        <v>0</v>
      </c>
      <c r="AN92" s="440">
        <f>Database!CA7</f>
        <v>0</v>
      </c>
      <c r="AO92" s="440">
        <f>Database!CC7</f>
        <v>0</v>
      </c>
      <c r="AP92" s="440">
        <f>Database!CE7</f>
        <v>0</v>
      </c>
      <c r="AQ92" s="440">
        <f>Database!CG7</f>
        <v>0</v>
      </c>
      <c r="AR92" s="440">
        <f>Database!CI7</f>
        <v>0</v>
      </c>
      <c r="AS92" s="440">
        <f>Database!CK7</f>
        <v>0</v>
      </c>
      <c r="AT92" s="440">
        <f>Database!CM7</f>
        <v>0</v>
      </c>
      <c r="AU92" s="440">
        <f>Database!CO7</f>
        <v>0</v>
      </c>
      <c r="AV92" s="440">
        <f>Database!CQ7</f>
        <v>0</v>
      </c>
      <c r="AW92" s="440">
        <f>Database!CS7</f>
        <v>0</v>
      </c>
      <c r="AX92" s="440">
        <f>Database!CU7</f>
        <v>0</v>
      </c>
      <c r="AY92" s="440">
        <f>Database!CW7</f>
        <v>0</v>
      </c>
      <c r="AZ92" s="440">
        <f>Database!CY7</f>
        <v>0</v>
      </c>
      <c r="BA92" s="440">
        <f>Database!DA7</f>
        <v>0</v>
      </c>
      <c r="BB92" s="440">
        <f>Database!DC7</f>
        <v>0</v>
      </c>
      <c r="BC92" s="440">
        <f>Database!DE7</f>
        <v>0</v>
      </c>
      <c r="BD92" s="440">
        <f>Database!DG7</f>
        <v>0</v>
      </c>
      <c r="BE92" s="440">
        <f>Database!DI7</f>
        <v>0</v>
      </c>
      <c r="BF92" s="440">
        <f>Database!DK7</f>
        <v>0</v>
      </c>
      <c r="BG92" s="440">
        <f>Database!DM7</f>
        <v>0</v>
      </c>
      <c r="BH92" s="440">
        <f>Database!DO7</f>
        <v>0</v>
      </c>
      <c r="BI92" s="440">
        <f>Database!DQ7</f>
        <v>0</v>
      </c>
      <c r="BJ92" s="440">
        <f>Database!DS7</f>
        <v>0</v>
      </c>
      <c r="BK92" s="440">
        <f>Database!DU7</f>
        <v>0</v>
      </c>
      <c r="BL92" s="440">
        <f>Database!DW7</f>
        <v>0</v>
      </c>
      <c r="BM92" s="440">
        <f>Database!DY7</f>
        <v>0</v>
      </c>
      <c r="BN92" s="440">
        <f>Database!EA7</f>
        <v>0</v>
      </c>
      <c r="BO92" s="440">
        <f>Database!EC7</f>
        <v>0</v>
      </c>
      <c r="BP92" s="440">
        <f>Database!EE7</f>
        <v>0</v>
      </c>
      <c r="BQ92" s="440">
        <f>Database!EG7</f>
        <v>0</v>
      </c>
      <c r="BR92" s="440">
        <f>Database!EI7</f>
        <v>0</v>
      </c>
      <c r="BS92" s="440">
        <f>Database!EK7</f>
        <v>0</v>
      </c>
      <c r="BT92" s="440">
        <f>Database!EM7</f>
        <v>0</v>
      </c>
      <c r="BU92" s="440">
        <f>Database!EO7</f>
        <v>0</v>
      </c>
      <c r="BV92" s="440">
        <f>Database!EQ7</f>
        <v>0</v>
      </c>
      <c r="BW92" s="440">
        <f>Database!ES7</f>
        <v>0</v>
      </c>
      <c r="BX92" s="440">
        <f>Database!EU7</f>
        <v>0</v>
      </c>
      <c r="BY92" s="440">
        <f>Database!EW7</f>
        <v>0</v>
      </c>
      <c r="BZ92" s="440">
        <f>Database!EY7</f>
        <v>0</v>
      </c>
      <c r="CA92" s="440">
        <f>Database!FA7</f>
        <v>0</v>
      </c>
      <c r="CB92" s="440">
        <f>Database!FC7</f>
        <v>0</v>
      </c>
      <c r="CC92" s="440">
        <f>Database!FE7</f>
        <v>0</v>
      </c>
      <c r="CD92" s="440">
        <f>Database!FG7</f>
        <v>0</v>
      </c>
      <c r="CE92" s="440">
        <f>Database!FI7</f>
        <v>0</v>
      </c>
      <c r="CF92" s="440">
        <f>Database!FK7</f>
        <v>0</v>
      </c>
      <c r="CG92" s="440">
        <f>Database!FM7</f>
        <v>0</v>
      </c>
      <c r="CH92" s="440">
        <f>Database!FO7</f>
        <v>0</v>
      </c>
      <c r="CI92" s="440">
        <f>Database!FQ7</f>
        <v>0</v>
      </c>
      <c r="CJ92" s="440">
        <f>Database!FS7</f>
        <v>0</v>
      </c>
      <c r="CK92" s="440">
        <f>Database!FU7</f>
        <v>0</v>
      </c>
      <c r="CL92" s="440">
        <f>Database!FW7</f>
        <v>0</v>
      </c>
      <c r="CM92" s="440">
        <f>Database!FY7</f>
        <v>0</v>
      </c>
      <c r="CN92" s="440">
        <f>Database!GA7</f>
        <v>0</v>
      </c>
      <c r="CO92" s="440">
        <f>Database!GC7</f>
        <v>0</v>
      </c>
      <c r="CP92" s="440">
        <f>Database!GE7</f>
        <v>0</v>
      </c>
      <c r="CQ92" s="440">
        <f>Database!GG7</f>
        <v>0</v>
      </c>
      <c r="CR92" s="440">
        <f>Database!GI7</f>
        <v>0</v>
      </c>
      <c r="CS92" s="440">
        <f>Database!GK7</f>
        <v>0</v>
      </c>
      <c r="CT92" s="440">
        <f>Database!GM7</f>
        <v>0</v>
      </c>
      <c r="CU92" s="440">
        <f>Database!GO7</f>
        <v>0</v>
      </c>
      <c r="CV92" s="440">
        <f>Database!GQ7</f>
        <v>0</v>
      </c>
      <c r="CW92" s="440">
        <f>Database!GS7</f>
        <v>0</v>
      </c>
      <c r="CX92" s="440">
        <f>Database!GU7</f>
        <v>0</v>
      </c>
      <c r="CY92" s="440">
        <f>Database!GW7</f>
        <v>0</v>
      </c>
      <c r="CZ92" s="440">
        <f>Database!GY7</f>
        <v>0</v>
      </c>
      <c r="DA92" s="440">
        <f>Database!HA7</f>
        <v>0</v>
      </c>
      <c r="DB92" s="440">
        <f>Database!HC7</f>
        <v>0</v>
      </c>
      <c r="DC92" s="440">
        <f>Database!HE7</f>
        <v>0</v>
      </c>
      <c r="DD92" s="440">
        <f>Database!HG7</f>
        <v>0</v>
      </c>
      <c r="DE92" s="440">
        <f>Database!HI7</f>
        <v>0</v>
      </c>
      <c r="DF92" s="440">
        <f>Database!HK7</f>
        <v>0</v>
      </c>
      <c r="DG92" s="440">
        <f>Database!HM7</f>
        <v>0</v>
      </c>
      <c r="DH92" s="440">
        <f>Database!HO7</f>
        <v>0</v>
      </c>
      <c r="DI92" s="440">
        <f>Database!HQ7</f>
        <v>0</v>
      </c>
      <c r="DJ92" s="440">
        <f>Database!HS7</f>
        <v>0</v>
      </c>
      <c r="DK92" s="440">
        <f>Database!HU7</f>
        <v>0</v>
      </c>
      <c r="DL92" s="440">
        <f>Database!HW7</f>
        <v>0</v>
      </c>
      <c r="DM92" s="440">
        <f>Database!HY7</f>
        <v>0</v>
      </c>
      <c r="DN92" s="440">
        <f>Database!IA7</f>
        <v>0</v>
      </c>
      <c r="DO92" s="440">
        <f>Database!IC7</f>
        <v>0</v>
      </c>
      <c r="DP92" s="440">
        <f>Database!IE7</f>
        <v>0</v>
      </c>
      <c r="DQ92" s="440">
        <f>Database!IG7</f>
        <v>0</v>
      </c>
      <c r="DR92" s="440">
        <f>Database!II7</f>
        <v>0</v>
      </c>
      <c r="DS92" s="440">
        <f>Database!IK7</f>
        <v>0</v>
      </c>
      <c r="DT92" s="440">
        <f>Database!IM7</f>
        <v>0</v>
      </c>
      <c r="DU92" s="440">
        <f>Database!IO7</f>
        <v>0</v>
      </c>
      <c r="DV92" s="440">
        <f>Database!IQ7</f>
        <v>0</v>
      </c>
      <c r="DW92" s="440">
        <f>Database!IS7</f>
        <v>0</v>
      </c>
      <c r="DX92" s="440">
        <f>Database!IU7</f>
        <v>0</v>
      </c>
      <c r="DY92" s="440">
        <f>Database!IW7</f>
        <v>0</v>
      </c>
      <c r="DZ92" s="440">
        <f>Database!IY7</f>
        <v>0</v>
      </c>
      <c r="EA92" s="440">
        <f>Database!JA7</f>
        <v>0</v>
      </c>
      <c r="EB92" s="440">
        <f>Database!JC7</f>
        <v>0</v>
      </c>
      <c r="EC92" s="440">
        <f>Database!JE7</f>
        <v>0</v>
      </c>
      <c r="ED92" s="440">
        <f>Database!JG7</f>
        <v>0</v>
      </c>
      <c r="EE92" s="440">
        <f>Database!JI7</f>
        <v>0</v>
      </c>
      <c r="EF92" s="440">
        <f>Database!JK7</f>
        <v>0</v>
      </c>
      <c r="EG92" s="440">
        <f>Database!JM7</f>
        <v>0</v>
      </c>
      <c r="EH92" s="440">
        <f>Database!JO7</f>
        <v>0</v>
      </c>
      <c r="EI92" s="440">
        <f>Database!JQ7</f>
        <v>0</v>
      </c>
      <c r="EJ92" s="440">
        <f>Database!JS7</f>
        <v>0</v>
      </c>
      <c r="EK92" s="440">
        <f>Database!JU7</f>
        <v>0</v>
      </c>
      <c r="EL92" s="440">
        <f>Database!JW7</f>
        <v>0</v>
      </c>
      <c r="EM92" s="440">
        <f>Database!JY7</f>
        <v>0</v>
      </c>
      <c r="EN92" s="440">
        <f>Database!KA7</f>
        <v>0</v>
      </c>
      <c r="EO92" s="440">
        <f>Database!KC7</f>
        <v>0</v>
      </c>
      <c r="EP92" s="440">
        <f>Database!KE7</f>
        <v>0</v>
      </c>
      <c r="EQ92" s="440">
        <f>Database!KG7</f>
        <v>0</v>
      </c>
      <c r="ER92" s="440">
        <f>Database!KI7</f>
        <v>0</v>
      </c>
      <c r="ES92" s="440">
        <f>Database!KK7</f>
        <v>0</v>
      </c>
      <c r="ET92" s="440">
        <f>Database!KM7</f>
        <v>0</v>
      </c>
      <c r="EU92" s="440">
        <f>Database!KO7</f>
        <v>0</v>
      </c>
      <c r="EV92" s="440">
        <f>Database!KQ7</f>
        <v>0</v>
      </c>
      <c r="EW92" s="440">
        <f>Database!KS7</f>
        <v>0</v>
      </c>
      <c r="EX92" s="440">
        <f>Database!KU7</f>
        <v>0</v>
      </c>
      <c r="EY92" s="440">
        <f>Database!KW7</f>
        <v>0</v>
      </c>
      <c r="EZ92" s="440">
        <f>Database!KY7</f>
        <v>0</v>
      </c>
      <c r="FA92" s="440">
        <f>Database!LA7</f>
        <v>0</v>
      </c>
      <c r="FB92" s="440">
        <f>Database!LC7</f>
        <v>0</v>
      </c>
      <c r="FC92" s="440">
        <f>Database!LE7</f>
        <v>0</v>
      </c>
      <c r="FD92" s="440">
        <f>Database!LG7</f>
        <v>0</v>
      </c>
      <c r="FE92" s="440">
        <f>Database!LI7</f>
        <v>0</v>
      </c>
      <c r="FF92" s="440">
        <f>Database!LK7</f>
        <v>0</v>
      </c>
      <c r="FG92" s="440">
        <f>Database!LM7</f>
        <v>0</v>
      </c>
      <c r="FH92" s="440">
        <f>Database!LO7</f>
        <v>0</v>
      </c>
      <c r="FI92" s="440">
        <f>Database!LQ7</f>
        <v>0</v>
      </c>
      <c r="FJ92" s="440">
        <f>Database!LS7</f>
        <v>0</v>
      </c>
      <c r="FK92" s="440">
        <f>Database!LU7</f>
        <v>0</v>
      </c>
      <c r="FL92" s="440">
        <f>Database!LW7</f>
        <v>0</v>
      </c>
      <c r="FM92" s="440">
        <f>Database!LY7</f>
        <v>0</v>
      </c>
      <c r="FN92" s="440">
        <f>Database!MA7</f>
        <v>0</v>
      </c>
      <c r="FO92" s="440">
        <f>Database!MC7</f>
        <v>0</v>
      </c>
      <c r="FP92" s="440">
        <f>Database!ME7</f>
        <v>0</v>
      </c>
      <c r="FQ92" s="440">
        <f>Database!MG7</f>
        <v>0</v>
      </c>
      <c r="FR92" s="440">
        <f>Database!MI7</f>
        <v>0</v>
      </c>
      <c r="FS92" s="440">
        <f>Database!MK7</f>
        <v>0</v>
      </c>
      <c r="FT92" s="440">
        <f>Database!MM7</f>
        <v>0</v>
      </c>
      <c r="FU92" s="440">
        <f>Database!MO7</f>
        <v>0</v>
      </c>
      <c r="FV92" s="440">
        <f>Database!MQ7</f>
        <v>0</v>
      </c>
      <c r="FW92" s="440">
        <f>Database!MS7</f>
        <v>0</v>
      </c>
      <c r="FX92" s="440">
        <f>Database!MU7</f>
        <v>0</v>
      </c>
      <c r="FY92" s="440">
        <f>Database!MW7</f>
        <v>0</v>
      </c>
      <c r="FZ92" s="440">
        <f>Database!MY7</f>
        <v>0</v>
      </c>
      <c r="GA92" s="440">
        <f>Database!NA7</f>
        <v>0</v>
      </c>
      <c r="GB92" s="440">
        <f>Database!NC7</f>
        <v>0</v>
      </c>
      <c r="GC92" s="440">
        <f>Database!NE7</f>
        <v>0</v>
      </c>
      <c r="GD92" s="440">
        <f>Database!NG7</f>
        <v>0</v>
      </c>
      <c r="GE92" s="440">
        <f>Database!NI7</f>
        <v>0</v>
      </c>
      <c r="GF92" s="440">
        <f>Database!NK7</f>
        <v>0</v>
      </c>
      <c r="GG92" s="440">
        <f>Database!NM7</f>
        <v>0</v>
      </c>
      <c r="GH92" s="440">
        <f>Database!NO7</f>
        <v>0</v>
      </c>
      <c r="GI92" s="440">
        <f>Database!NQ7</f>
        <v>0</v>
      </c>
      <c r="GJ92" s="440">
        <f>Database!NS7</f>
        <v>0</v>
      </c>
      <c r="GK92" s="440">
        <f>Database!NU7</f>
        <v>0</v>
      </c>
      <c r="GL92" s="440">
        <f>Database!NW7</f>
        <v>0</v>
      </c>
      <c r="GM92" s="440">
        <f>Database!NY7</f>
        <v>0</v>
      </c>
      <c r="GN92" s="440">
        <f>Database!OA7</f>
        <v>0</v>
      </c>
      <c r="GO92" s="440">
        <f>Database!OC7</f>
        <v>0</v>
      </c>
      <c r="GP92" s="440">
        <f>Database!OE7</f>
        <v>0</v>
      </c>
      <c r="GQ92" s="440">
        <f>Database!OG7</f>
        <v>0</v>
      </c>
      <c r="GR92" s="440">
        <f>Database!OI7</f>
        <v>0</v>
      </c>
      <c r="GS92" s="440">
        <f>Database!OK7</f>
        <v>0</v>
      </c>
      <c r="GT92" s="73">
        <f>Database!OM7</f>
        <v>0</v>
      </c>
    </row>
    <row r="93" spans="1:202" ht="18.75" customHeight="1" x14ac:dyDescent="0.4">
      <c r="A93" s="306" t="s">
        <v>99</v>
      </c>
      <c r="B93" s="306"/>
      <c r="C93" s="240">
        <f>Database!E8</f>
        <v>0</v>
      </c>
      <c r="D93" s="240">
        <f>Database!G8</f>
        <v>0</v>
      </c>
      <c r="E93" s="240">
        <f>Database!I8</f>
        <v>0</v>
      </c>
      <c r="F93" s="240">
        <f>Database!K8</f>
        <v>0</v>
      </c>
      <c r="G93" s="240">
        <f>Database!M8</f>
        <v>0</v>
      </c>
      <c r="H93" s="240">
        <f>Database!O8</f>
        <v>0</v>
      </c>
      <c r="I93" s="240">
        <f>Database!Q8</f>
        <v>0</v>
      </c>
      <c r="J93" s="240">
        <f>Database!S8</f>
        <v>0</v>
      </c>
      <c r="K93" s="240">
        <f>Database!U8</f>
        <v>0</v>
      </c>
      <c r="L93" s="240">
        <f>Database!W8</f>
        <v>0</v>
      </c>
      <c r="M93" s="240">
        <f>Database!Y8</f>
        <v>0</v>
      </c>
      <c r="N93" s="240">
        <f>Database!AA8</f>
        <v>0</v>
      </c>
      <c r="O93" s="240">
        <f>Database!AC8</f>
        <v>0</v>
      </c>
      <c r="P93" s="240">
        <f>Database!AE8</f>
        <v>0</v>
      </c>
      <c r="Q93" s="240">
        <f>Database!AG8</f>
        <v>0</v>
      </c>
      <c r="R93" s="240">
        <f>Database!AI8</f>
        <v>0</v>
      </c>
      <c r="S93" s="240">
        <f>Database!AK8</f>
        <v>0</v>
      </c>
      <c r="T93" s="240">
        <f>Database!AM8</f>
        <v>0</v>
      </c>
      <c r="U93" s="240">
        <f>Database!AO8</f>
        <v>0</v>
      </c>
      <c r="V93" s="240">
        <f>Database!AQ8</f>
        <v>0</v>
      </c>
      <c r="W93" s="213">
        <f>Database!AS8</f>
        <v>0</v>
      </c>
      <c r="X93" s="240">
        <f>Database!AU8</f>
        <v>0</v>
      </c>
      <c r="Y93" s="240">
        <f>Database!AW8</f>
        <v>0</v>
      </c>
      <c r="Z93" s="240">
        <f>Database!AY8</f>
        <v>0</v>
      </c>
      <c r="AA93" s="240">
        <f>Database!BA8</f>
        <v>0</v>
      </c>
      <c r="AB93" s="240">
        <f>Database!BC8</f>
        <v>0</v>
      </c>
      <c r="AC93" s="240">
        <f>Database!BE8</f>
        <v>0</v>
      </c>
      <c r="AD93" s="240">
        <f>Database!BG8</f>
        <v>0</v>
      </c>
      <c r="AE93" s="240">
        <f>Database!BI8</f>
        <v>0</v>
      </c>
      <c r="AF93" s="240">
        <f>Database!BK8</f>
        <v>0</v>
      </c>
      <c r="AG93" s="240">
        <f>Database!BM8</f>
        <v>0</v>
      </c>
      <c r="AH93" s="240">
        <f>Database!BO8</f>
        <v>0</v>
      </c>
      <c r="AI93" s="240">
        <f>Database!BQ8</f>
        <v>0</v>
      </c>
      <c r="AJ93" s="240">
        <f>Database!BS8</f>
        <v>0</v>
      </c>
      <c r="AK93" s="240">
        <f>Database!BU8</f>
        <v>0</v>
      </c>
      <c r="AL93" s="240">
        <f>Database!BW8</f>
        <v>0</v>
      </c>
      <c r="AM93" s="240">
        <f>Database!BY8</f>
        <v>0</v>
      </c>
      <c r="AN93" s="240">
        <f>Database!CA8</f>
        <v>0</v>
      </c>
      <c r="AO93" s="240">
        <f>Database!CC8</f>
        <v>0</v>
      </c>
      <c r="AP93" s="240">
        <f>Database!CE8</f>
        <v>0</v>
      </c>
      <c r="AQ93" s="240">
        <f>Database!CG8</f>
        <v>0</v>
      </c>
      <c r="AR93" s="240">
        <f>Database!CI8</f>
        <v>0</v>
      </c>
      <c r="AS93" s="240">
        <f>Database!CK8</f>
        <v>0</v>
      </c>
      <c r="AT93" s="240">
        <f>Database!CM8</f>
        <v>0</v>
      </c>
      <c r="AU93" s="240">
        <f>Database!CO8</f>
        <v>0</v>
      </c>
      <c r="AV93" s="240">
        <f>Database!CQ8</f>
        <v>0</v>
      </c>
      <c r="AW93" s="240">
        <f>Database!CS8</f>
        <v>0</v>
      </c>
      <c r="AX93" s="240">
        <f>Database!CU8</f>
        <v>0</v>
      </c>
      <c r="AY93" s="240">
        <f>Database!CW8</f>
        <v>0</v>
      </c>
      <c r="AZ93" s="240">
        <f>Database!CY8</f>
        <v>0</v>
      </c>
      <c r="BA93" s="240">
        <f>Database!DA8</f>
        <v>0</v>
      </c>
      <c r="BB93" s="240">
        <f>Database!DC8</f>
        <v>0</v>
      </c>
      <c r="BC93" s="240">
        <f>Database!DE8</f>
        <v>0</v>
      </c>
      <c r="BD93" s="240">
        <f>Database!DG8</f>
        <v>0</v>
      </c>
      <c r="BE93" s="240">
        <f>Database!DI8</f>
        <v>0</v>
      </c>
      <c r="BF93" s="240">
        <f>Database!DK8</f>
        <v>0</v>
      </c>
      <c r="BG93" s="240">
        <f>Database!DM8</f>
        <v>0</v>
      </c>
      <c r="BH93" s="240">
        <f>Database!DO8</f>
        <v>0</v>
      </c>
      <c r="BI93" s="240">
        <f>Database!DQ8</f>
        <v>0</v>
      </c>
      <c r="BJ93" s="240">
        <f>Database!DS8</f>
        <v>0</v>
      </c>
      <c r="BK93" s="240">
        <f>Database!DU8</f>
        <v>0</v>
      </c>
      <c r="BL93" s="240">
        <f>Database!DW8</f>
        <v>0</v>
      </c>
      <c r="BM93" s="240">
        <f>Database!DY8</f>
        <v>0</v>
      </c>
      <c r="BN93" s="240">
        <f>Database!EA8</f>
        <v>0</v>
      </c>
      <c r="BO93" s="240">
        <f>Database!EC8</f>
        <v>0</v>
      </c>
      <c r="BP93" s="240">
        <f>Database!EE8</f>
        <v>0</v>
      </c>
      <c r="BQ93" s="240">
        <f>Database!EG8</f>
        <v>0</v>
      </c>
      <c r="BR93" s="240">
        <f>Database!EI8</f>
        <v>0</v>
      </c>
      <c r="BS93" s="240">
        <f>Database!EK8</f>
        <v>0</v>
      </c>
      <c r="BT93" s="240">
        <f>Database!EM8</f>
        <v>0</v>
      </c>
      <c r="BU93" s="240">
        <f>Database!EO8</f>
        <v>0</v>
      </c>
      <c r="BV93" s="240">
        <f>Database!EQ8</f>
        <v>0</v>
      </c>
      <c r="BW93" s="240">
        <f>Database!ES8</f>
        <v>0</v>
      </c>
      <c r="BX93" s="240">
        <f>Database!EU8</f>
        <v>0</v>
      </c>
      <c r="BY93" s="240">
        <f>Database!EW8</f>
        <v>0</v>
      </c>
      <c r="BZ93" s="240">
        <f>Database!EY8</f>
        <v>0</v>
      </c>
      <c r="CA93" s="240">
        <f>Database!FA8</f>
        <v>0</v>
      </c>
      <c r="CB93" s="240">
        <f>Database!FC8</f>
        <v>0</v>
      </c>
      <c r="CC93" s="240">
        <f>Database!FE8</f>
        <v>0</v>
      </c>
      <c r="CD93" s="240">
        <f>Database!FG8</f>
        <v>0</v>
      </c>
      <c r="CE93" s="240">
        <f>Database!FI8</f>
        <v>0</v>
      </c>
      <c r="CF93" s="240">
        <f>Database!FK8</f>
        <v>0</v>
      </c>
      <c r="CG93" s="240">
        <f>Database!FM8</f>
        <v>0</v>
      </c>
      <c r="CH93" s="240">
        <f>Database!FO8</f>
        <v>0</v>
      </c>
      <c r="CI93" s="240">
        <f>Database!FQ8</f>
        <v>0</v>
      </c>
      <c r="CJ93" s="240">
        <f>Database!FS8</f>
        <v>0</v>
      </c>
      <c r="CK93" s="240">
        <f>Database!FU8</f>
        <v>0</v>
      </c>
      <c r="CL93" s="240">
        <f>Database!FW8</f>
        <v>0</v>
      </c>
      <c r="CM93" s="240">
        <f>Database!FY8</f>
        <v>0</v>
      </c>
      <c r="CN93" s="240">
        <f>Database!GA8</f>
        <v>0</v>
      </c>
      <c r="CO93" s="240">
        <f>Database!GC8</f>
        <v>0</v>
      </c>
      <c r="CP93" s="240">
        <f>Database!GE8</f>
        <v>0</v>
      </c>
      <c r="CQ93" s="240">
        <f>Database!GG8</f>
        <v>0</v>
      </c>
      <c r="CR93" s="240">
        <f>Database!GI8</f>
        <v>0</v>
      </c>
      <c r="CS93" s="240">
        <f>Database!GK8</f>
        <v>0</v>
      </c>
      <c r="CT93" s="240">
        <f>Database!GM8</f>
        <v>0</v>
      </c>
      <c r="CU93" s="240">
        <f>Database!GO8</f>
        <v>0</v>
      </c>
      <c r="CV93" s="240">
        <f>Database!GQ8</f>
        <v>0</v>
      </c>
      <c r="CW93" s="240">
        <f>Database!GS8</f>
        <v>0</v>
      </c>
      <c r="CX93" s="240">
        <f>Database!GU8</f>
        <v>0</v>
      </c>
      <c r="CY93" s="240">
        <f>Database!GW8</f>
        <v>0</v>
      </c>
      <c r="CZ93" s="240">
        <f>Database!GY8</f>
        <v>0</v>
      </c>
      <c r="DA93" s="240">
        <f>Database!HA8</f>
        <v>0</v>
      </c>
      <c r="DB93" s="240">
        <f>Database!HC8</f>
        <v>0</v>
      </c>
      <c r="DC93" s="240">
        <f>Database!HE8</f>
        <v>0</v>
      </c>
      <c r="DD93" s="240">
        <f>Database!HG8</f>
        <v>0</v>
      </c>
      <c r="DE93" s="240">
        <f>Database!HI8</f>
        <v>0</v>
      </c>
      <c r="DF93" s="240">
        <f>Database!HK8</f>
        <v>0</v>
      </c>
      <c r="DG93" s="240">
        <f>Database!HM8</f>
        <v>0</v>
      </c>
      <c r="DH93" s="240">
        <f>Database!HO8</f>
        <v>0</v>
      </c>
      <c r="DI93" s="240">
        <f>Database!HQ8</f>
        <v>0</v>
      </c>
      <c r="DJ93" s="240">
        <f>Database!HS8</f>
        <v>0</v>
      </c>
      <c r="DK93" s="240">
        <f>Database!HU8</f>
        <v>0</v>
      </c>
      <c r="DL93" s="240">
        <f>Database!HW8</f>
        <v>0</v>
      </c>
      <c r="DM93" s="240">
        <f>Database!HY8</f>
        <v>0</v>
      </c>
      <c r="DN93" s="240">
        <f>Database!IA8</f>
        <v>0</v>
      </c>
      <c r="DO93" s="240">
        <f>Database!IC8</f>
        <v>0</v>
      </c>
      <c r="DP93" s="240">
        <f>Database!IE8</f>
        <v>0</v>
      </c>
      <c r="DQ93" s="240">
        <f>Database!IG8</f>
        <v>0</v>
      </c>
      <c r="DR93" s="240">
        <f>Database!II8</f>
        <v>0</v>
      </c>
      <c r="DS93" s="240">
        <f>Database!IK8</f>
        <v>0</v>
      </c>
      <c r="DT93" s="240">
        <f>Database!IM8</f>
        <v>0</v>
      </c>
      <c r="DU93" s="240">
        <f>Database!IO8</f>
        <v>0</v>
      </c>
      <c r="DV93" s="240">
        <f>Database!IQ8</f>
        <v>0</v>
      </c>
      <c r="DW93" s="240">
        <f>Database!IS8</f>
        <v>0</v>
      </c>
      <c r="DX93" s="240">
        <f>Database!IU8</f>
        <v>0</v>
      </c>
      <c r="DY93" s="240">
        <f>Database!IW8</f>
        <v>0</v>
      </c>
      <c r="DZ93" s="240">
        <f>Database!IY8</f>
        <v>0</v>
      </c>
      <c r="EA93" s="240">
        <f>Database!JA8</f>
        <v>0</v>
      </c>
      <c r="EB93" s="240">
        <f>Database!JC8</f>
        <v>0</v>
      </c>
      <c r="EC93" s="240">
        <f>Database!JE8</f>
        <v>0</v>
      </c>
      <c r="ED93" s="240">
        <f>Database!JG8</f>
        <v>0</v>
      </c>
      <c r="EE93" s="240">
        <f>Database!JI8</f>
        <v>0</v>
      </c>
      <c r="EF93" s="240">
        <f>Database!JK8</f>
        <v>0</v>
      </c>
      <c r="EG93" s="240">
        <f>Database!JM8</f>
        <v>0</v>
      </c>
      <c r="EH93" s="240">
        <f>Database!JO8</f>
        <v>0</v>
      </c>
      <c r="EI93" s="240">
        <f>Database!JQ8</f>
        <v>0</v>
      </c>
      <c r="EJ93" s="240">
        <f>Database!JS8</f>
        <v>0</v>
      </c>
      <c r="EK93" s="240">
        <f>Database!JU8</f>
        <v>0</v>
      </c>
      <c r="EL93" s="240">
        <f>Database!JW8</f>
        <v>0</v>
      </c>
      <c r="EM93" s="240">
        <f>Database!JY8</f>
        <v>0</v>
      </c>
      <c r="EN93" s="240">
        <f>Database!KA8</f>
        <v>0</v>
      </c>
      <c r="EO93" s="240">
        <f>Database!KC8</f>
        <v>0</v>
      </c>
      <c r="EP93" s="240">
        <f>Database!KE8</f>
        <v>0</v>
      </c>
      <c r="EQ93" s="240">
        <f>Database!KG8</f>
        <v>0</v>
      </c>
      <c r="ER93" s="240">
        <f>Database!KI8</f>
        <v>0</v>
      </c>
      <c r="ES93" s="240">
        <f>Database!KK8</f>
        <v>0</v>
      </c>
      <c r="ET93" s="240">
        <f>Database!KM8</f>
        <v>0</v>
      </c>
      <c r="EU93" s="240">
        <f>Database!KO8</f>
        <v>0</v>
      </c>
      <c r="EV93" s="240">
        <f>Database!KQ8</f>
        <v>0</v>
      </c>
      <c r="EW93" s="240">
        <f>Database!KS8</f>
        <v>0</v>
      </c>
      <c r="EX93" s="240">
        <f>Database!KU8</f>
        <v>0</v>
      </c>
      <c r="EY93" s="240">
        <f>Database!KW8</f>
        <v>0</v>
      </c>
      <c r="EZ93" s="240">
        <f>Database!KY8</f>
        <v>0</v>
      </c>
      <c r="FA93" s="240">
        <f>Database!LA8</f>
        <v>0</v>
      </c>
      <c r="FB93" s="240">
        <f>Database!LC8</f>
        <v>0</v>
      </c>
      <c r="FC93" s="240">
        <f>Database!LE8</f>
        <v>0</v>
      </c>
      <c r="FD93" s="240">
        <f>Database!LG8</f>
        <v>0</v>
      </c>
      <c r="FE93" s="240">
        <f>Database!LI8</f>
        <v>0</v>
      </c>
      <c r="FF93" s="240">
        <f>Database!LK8</f>
        <v>0</v>
      </c>
      <c r="FG93" s="240">
        <f>Database!LM8</f>
        <v>0</v>
      </c>
      <c r="FH93" s="240">
        <f>Database!LO8</f>
        <v>0</v>
      </c>
      <c r="FI93" s="240">
        <f>Database!LQ8</f>
        <v>0</v>
      </c>
      <c r="FJ93" s="240">
        <f>Database!LS8</f>
        <v>0</v>
      </c>
      <c r="FK93" s="240">
        <f>Database!LU8</f>
        <v>0</v>
      </c>
      <c r="FL93" s="240">
        <f>Database!LW8</f>
        <v>0</v>
      </c>
      <c r="FM93" s="240">
        <f>Database!LY8</f>
        <v>0</v>
      </c>
      <c r="FN93" s="240">
        <f>Database!MA8</f>
        <v>0</v>
      </c>
      <c r="FO93" s="240">
        <f>Database!MC8</f>
        <v>0</v>
      </c>
      <c r="FP93" s="240">
        <f>Database!ME8</f>
        <v>0</v>
      </c>
      <c r="FQ93" s="240">
        <f>Database!MG8</f>
        <v>0</v>
      </c>
      <c r="FR93" s="240">
        <f>Database!MI8</f>
        <v>0</v>
      </c>
      <c r="FS93" s="240">
        <f>Database!MK8</f>
        <v>0</v>
      </c>
      <c r="FT93" s="240">
        <f>Database!MM8</f>
        <v>0</v>
      </c>
      <c r="FU93" s="240">
        <f>Database!MO8</f>
        <v>0</v>
      </c>
      <c r="FV93" s="240">
        <f>Database!MQ8</f>
        <v>0</v>
      </c>
      <c r="FW93" s="240">
        <f>Database!MS8</f>
        <v>0</v>
      </c>
      <c r="FX93" s="240">
        <f>Database!MU8</f>
        <v>0</v>
      </c>
      <c r="FY93" s="240">
        <f>Database!MW8</f>
        <v>0</v>
      </c>
      <c r="FZ93" s="240">
        <f>Database!MY8</f>
        <v>0</v>
      </c>
      <c r="GA93" s="240">
        <f>Database!NA8</f>
        <v>0</v>
      </c>
      <c r="GB93" s="240">
        <f>Database!NC8</f>
        <v>0</v>
      </c>
      <c r="GC93" s="240">
        <f>Database!NE8</f>
        <v>0</v>
      </c>
      <c r="GD93" s="240">
        <f>Database!NG8</f>
        <v>0</v>
      </c>
      <c r="GE93" s="240">
        <f>Database!NI8</f>
        <v>0</v>
      </c>
      <c r="GF93" s="240">
        <f>Database!NK8</f>
        <v>0</v>
      </c>
      <c r="GG93" s="240">
        <f>Database!NM8</f>
        <v>0</v>
      </c>
      <c r="GH93" s="240">
        <f>Database!NO8</f>
        <v>0</v>
      </c>
      <c r="GI93" s="240">
        <f>Database!NQ8</f>
        <v>0</v>
      </c>
      <c r="GJ93" s="240">
        <f>Database!NS8</f>
        <v>0</v>
      </c>
      <c r="GK93" s="240">
        <f>Database!NU8</f>
        <v>0</v>
      </c>
      <c r="GL93" s="240">
        <f>Database!NW8</f>
        <v>0</v>
      </c>
      <c r="GM93" s="240">
        <f>Database!NY8</f>
        <v>0</v>
      </c>
      <c r="GN93" s="240">
        <f>Database!OA8</f>
        <v>0</v>
      </c>
      <c r="GO93" s="240">
        <f>Database!OC8</f>
        <v>0</v>
      </c>
      <c r="GP93" s="240">
        <f>Database!OE8</f>
        <v>0</v>
      </c>
      <c r="GQ93" s="240">
        <f>Database!OG8</f>
        <v>0</v>
      </c>
      <c r="GR93" s="240">
        <f>Database!OI8</f>
        <v>0</v>
      </c>
      <c r="GS93" s="240">
        <f>Database!OK8</f>
        <v>0</v>
      </c>
      <c r="GT93" s="213">
        <f>Database!OM8</f>
        <v>0</v>
      </c>
    </row>
    <row r="94" spans="1:202" ht="18.75" customHeight="1" x14ac:dyDescent="0.4">
      <c r="A94" s="441" t="s">
        <v>102</v>
      </c>
      <c r="B94" s="433"/>
      <c r="C94" s="240">
        <f>Database!E9</f>
        <v>0</v>
      </c>
      <c r="D94" s="240">
        <f>Database!G9</f>
        <v>0</v>
      </c>
      <c r="E94" s="240">
        <f>Database!I9</f>
        <v>0</v>
      </c>
      <c r="F94" s="240">
        <f>Database!K9</f>
        <v>0</v>
      </c>
      <c r="G94" s="240">
        <f>Database!M9</f>
        <v>0</v>
      </c>
      <c r="H94" s="240">
        <f>Database!O9</f>
        <v>0</v>
      </c>
      <c r="I94" s="240">
        <f>Database!Q9</f>
        <v>0</v>
      </c>
      <c r="J94" s="240">
        <f>Database!S9</f>
        <v>0</v>
      </c>
      <c r="K94" s="240">
        <f>Database!U9</f>
        <v>0</v>
      </c>
      <c r="L94" s="240">
        <f>Database!W9</f>
        <v>0</v>
      </c>
      <c r="M94" s="240">
        <f>Database!Y9</f>
        <v>0</v>
      </c>
      <c r="N94" s="240">
        <f>Database!AA9</f>
        <v>0</v>
      </c>
      <c r="O94" s="240">
        <f>Database!AC9</f>
        <v>0</v>
      </c>
      <c r="P94" s="240">
        <f>Database!AE9</f>
        <v>0</v>
      </c>
      <c r="Q94" s="240">
        <f>Database!AG9</f>
        <v>0</v>
      </c>
      <c r="R94" s="240">
        <f>Database!AI9</f>
        <v>0</v>
      </c>
      <c r="S94" s="240">
        <f>Database!AK9</f>
        <v>0</v>
      </c>
      <c r="T94" s="240">
        <f>Database!AM9</f>
        <v>0</v>
      </c>
      <c r="U94" s="240">
        <f>Database!AO9</f>
        <v>0</v>
      </c>
      <c r="V94" s="240">
        <f>Database!AQ9</f>
        <v>0</v>
      </c>
      <c r="W94" s="195">
        <f>Database!AS9</f>
        <v>0</v>
      </c>
      <c r="X94" s="240">
        <f>Database!AU9</f>
        <v>0</v>
      </c>
      <c r="Y94" s="240">
        <f>Database!AW9</f>
        <v>0</v>
      </c>
      <c r="Z94" s="240">
        <f>Database!AY9</f>
        <v>0</v>
      </c>
      <c r="AA94" s="240">
        <f>Database!BA9</f>
        <v>0</v>
      </c>
      <c r="AB94" s="240">
        <f>Database!BC9</f>
        <v>0</v>
      </c>
      <c r="AC94" s="240">
        <f>Database!BE9</f>
        <v>0</v>
      </c>
      <c r="AD94" s="240">
        <f>Database!BG9</f>
        <v>0</v>
      </c>
      <c r="AE94" s="240">
        <f>Database!BI9</f>
        <v>0</v>
      </c>
      <c r="AF94" s="240">
        <f>Database!BK9</f>
        <v>0</v>
      </c>
      <c r="AG94" s="240">
        <f>Database!BM9</f>
        <v>0</v>
      </c>
      <c r="AH94" s="240">
        <f>Database!BO9</f>
        <v>0</v>
      </c>
      <c r="AI94" s="240">
        <f>Database!BQ9</f>
        <v>0</v>
      </c>
      <c r="AJ94" s="240">
        <f>Database!BS9</f>
        <v>0</v>
      </c>
      <c r="AK94" s="240">
        <f>Database!BU9</f>
        <v>0</v>
      </c>
      <c r="AL94" s="240">
        <f>Database!BW9</f>
        <v>0</v>
      </c>
      <c r="AM94" s="240">
        <f>Database!BY9</f>
        <v>0</v>
      </c>
      <c r="AN94" s="240">
        <f>Database!CA9</f>
        <v>0</v>
      </c>
      <c r="AO94" s="240">
        <f>Database!CC9</f>
        <v>0</v>
      </c>
      <c r="AP94" s="240">
        <f>Database!CE9</f>
        <v>0</v>
      </c>
      <c r="AQ94" s="240">
        <f>Database!CG9</f>
        <v>0</v>
      </c>
      <c r="AR94" s="240">
        <f>Database!CI9</f>
        <v>0</v>
      </c>
      <c r="AS94" s="240">
        <f>Database!CK9</f>
        <v>0</v>
      </c>
      <c r="AT94" s="240">
        <f>Database!CM9</f>
        <v>0</v>
      </c>
      <c r="AU94" s="240">
        <f>Database!CO9</f>
        <v>0</v>
      </c>
      <c r="AV94" s="240">
        <f>Database!CQ9</f>
        <v>0</v>
      </c>
      <c r="AW94" s="240">
        <f>Database!CS9</f>
        <v>0</v>
      </c>
      <c r="AX94" s="240">
        <f>Database!CU9</f>
        <v>0</v>
      </c>
      <c r="AY94" s="240">
        <f>Database!CW9</f>
        <v>0</v>
      </c>
      <c r="AZ94" s="240">
        <f>Database!CY9</f>
        <v>0</v>
      </c>
      <c r="BA94" s="240">
        <f>Database!DA9</f>
        <v>0</v>
      </c>
      <c r="BB94" s="240">
        <f>Database!DC9</f>
        <v>0</v>
      </c>
      <c r="BC94" s="240">
        <f>Database!DE9</f>
        <v>0</v>
      </c>
      <c r="BD94" s="240">
        <f>Database!DG9</f>
        <v>0</v>
      </c>
      <c r="BE94" s="240">
        <f>Database!DI9</f>
        <v>0</v>
      </c>
      <c r="BF94" s="240">
        <f>Database!DK9</f>
        <v>0</v>
      </c>
      <c r="BG94" s="240">
        <f>Database!DM9</f>
        <v>0</v>
      </c>
      <c r="BH94" s="240">
        <f>Database!DO9</f>
        <v>0</v>
      </c>
      <c r="BI94" s="240">
        <f>Database!DQ9</f>
        <v>0</v>
      </c>
      <c r="BJ94" s="240">
        <f>Database!DS9</f>
        <v>0</v>
      </c>
      <c r="BK94" s="240">
        <f>Database!DU9</f>
        <v>0</v>
      </c>
      <c r="BL94" s="240">
        <f>Database!DW9</f>
        <v>0</v>
      </c>
      <c r="BM94" s="240">
        <f>Database!DY9</f>
        <v>0</v>
      </c>
      <c r="BN94" s="240">
        <f>Database!EA9</f>
        <v>0</v>
      </c>
      <c r="BO94" s="240">
        <f>Database!EC9</f>
        <v>0</v>
      </c>
      <c r="BP94" s="240">
        <f>Database!EE9</f>
        <v>0</v>
      </c>
      <c r="BQ94" s="240">
        <f>Database!EG9</f>
        <v>0</v>
      </c>
      <c r="BR94" s="240">
        <f>Database!EI9</f>
        <v>0</v>
      </c>
      <c r="BS94" s="240">
        <f>Database!EK9</f>
        <v>0</v>
      </c>
      <c r="BT94" s="240">
        <f>Database!EM9</f>
        <v>0</v>
      </c>
      <c r="BU94" s="240">
        <f>Database!EO9</f>
        <v>0</v>
      </c>
      <c r="BV94" s="240">
        <f>Database!EQ9</f>
        <v>0</v>
      </c>
      <c r="BW94" s="240">
        <f>Database!ES9</f>
        <v>0</v>
      </c>
      <c r="BX94" s="240">
        <f>Database!EU9</f>
        <v>0</v>
      </c>
      <c r="BY94" s="240">
        <f>Database!EW9</f>
        <v>0</v>
      </c>
      <c r="BZ94" s="240">
        <f>Database!EY9</f>
        <v>0</v>
      </c>
      <c r="CA94" s="240">
        <f>Database!FA9</f>
        <v>0</v>
      </c>
      <c r="CB94" s="240">
        <f>Database!FC9</f>
        <v>0</v>
      </c>
      <c r="CC94" s="240">
        <f>Database!FE9</f>
        <v>0</v>
      </c>
      <c r="CD94" s="240">
        <f>Database!FG9</f>
        <v>0</v>
      </c>
      <c r="CE94" s="240">
        <f>Database!FI9</f>
        <v>0</v>
      </c>
      <c r="CF94" s="240">
        <f>Database!FK9</f>
        <v>0</v>
      </c>
      <c r="CG94" s="240">
        <f>Database!FM9</f>
        <v>0</v>
      </c>
      <c r="CH94" s="240">
        <f>Database!FO9</f>
        <v>0</v>
      </c>
      <c r="CI94" s="240">
        <f>Database!FQ9</f>
        <v>0</v>
      </c>
      <c r="CJ94" s="240">
        <f>Database!FS9</f>
        <v>0</v>
      </c>
      <c r="CK94" s="240">
        <f>Database!FU9</f>
        <v>0</v>
      </c>
      <c r="CL94" s="240">
        <f>Database!FW9</f>
        <v>0</v>
      </c>
      <c r="CM94" s="240">
        <f>Database!FY9</f>
        <v>0</v>
      </c>
      <c r="CN94" s="240">
        <f>Database!GA9</f>
        <v>0</v>
      </c>
      <c r="CO94" s="240">
        <f>Database!GC9</f>
        <v>0</v>
      </c>
      <c r="CP94" s="240">
        <f>Database!GE9</f>
        <v>0</v>
      </c>
      <c r="CQ94" s="240">
        <f>Database!GG9</f>
        <v>0</v>
      </c>
      <c r="CR94" s="240">
        <f>Database!GI9</f>
        <v>0</v>
      </c>
      <c r="CS94" s="240">
        <f>Database!GK9</f>
        <v>0</v>
      </c>
      <c r="CT94" s="240">
        <f>Database!GM9</f>
        <v>0</v>
      </c>
      <c r="CU94" s="240">
        <f>Database!GO9</f>
        <v>0</v>
      </c>
      <c r="CV94" s="240">
        <f>Database!GQ9</f>
        <v>0</v>
      </c>
      <c r="CW94" s="240">
        <f>Database!GS9</f>
        <v>0</v>
      </c>
      <c r="CX94" s="240">
        <f>Database!GU9</f>
        <v>0</v>
      </c>
      <c r="CY94" s="240">
        <f>Database!GW9</f>
        <v>0</v>
      </c>
      <c r="CZ94" s="240">
        <f>Database!GY9</f>
        <v>0</v>
      </c>
      <c r="DA94" s="240">
        <f>Database!HA9</f>
        <v>0</v>
      </c>
      <c r="DB94" s="240">
        <f>Database!HC9</f>
        <v>0</v>
      </c>
      <c r="DC94" s="240">
        <f>Database!HE9</f>
        <v>0</v>
      </c>
      <c r="DD94" s="240">
        <f>Database!HG9</f>
        <v>0</v>
      </c>
      <c r="DE94" s="240">
        <f>Database!HI9</f>
        <v>0</v>
      </c>
      <c r="DF94" s="240">
        <f>Database!HK9</f>
        <v>0</v>
      </c>
      <c r="DG94" s="240">
        <f>Database!HM9</f>
        <v>0</v>
      </c>
      <c r="DH94" s="240">
        <f>Database!HO9</f>
        <v>0</v>
      </c>
      <c r="DI94" s="240">
        <f>Database!HQ9</f>
        <v>0</v>
      </c>
      <c r="DJ94" s="240">
        <f>Database!HS9</f>
        <v>0</v>
      </c>
      <c r="DK94" s="240">
        <f>Database!HU9</f>
        <v>0</v>
      </c>
      <c r="DL94" s="240">
        <f>Database!HW9</f>
        <v>0</v>
      </c>
      <c r="DM94" s="240">
        <f>Database!HY9</f>
        <v>0</v>
      </c>
      <c r="DN94" s="240">
        <f>Database!IA9</f>
        <v>0</v>
      </c>
      <c r="DO94" s="240">
        <f>Database!IC9</f>
        <v>0</v>
      </c>
      <c r="DP94" s="240">
        <f>Database!IE9</f>
        <v>0</v>
      </c>
      <c r="DQ94" s="240">
        <f>Database!IG9</f>
        <v>0</v>
      </c>
      <c r="DR94" s="240">
        <f>Database!II9</f>
        <v>0</v>
      </c>
      <c r="DS94" s="240">
        <f>Database!IK9</f>
        <v>0</v>
      </c>
      <c r="DT94" s="240">
        <f>Database!IM9</f>
        <v>0</v>
      </c>
      <c r="DU94" s="240">
        <f>Database!IO9</f>
        <v>0</v>
      </c>
      <c r="DV94" s="240">
        <f>Database!IQ9</f>
        <v>0</v>
      </c>
      <c r="DW94" s="240">
        <f>Database!IS9</f>
        <v>0</v>
      </c>
      <c r="DX94" s="240">
        <f>Database!IU9</f>
        <v>0</v>
      </c>
      <c r="DY94" s="240">
        <f>Database!IW9</f>
        <v>0</v>
      </c>
      <c r="DZ94" s="240">
        <f>Database!IY9</f>
        <v>0</v>
      </c>
      <c r="EA94" s="240">
        <f>Database!JA9</f>
        <v>0</v>
      </c>
      <c r="EB94" s="240">
        <f>Database!JC9</f>
        <v>0</v>
      </c>
      <c r="EC94" s="240">
        <f>Database!JE9</f>
        <v>0</v>
      </c>
      <c r="ED94" s="240">
        <f>Database!JG9</f>
        <v>0</v>
      </c>
      <c r="EE94" s="240">
        <f>Database!JI9</f>
        <v>0</v>
      </c>
      <c r="EF94" s="240">
        <f>Database!JK9</f>
        <v>0</v>
      </c>
      <c r="EG94" s="240">
        <f>Database!JM9</f>
        <v>0</v>
      </c>
      <c r="EH94" s="240">
        <f>Database!JO9</f>
        <v>0</v>
      </c>
      <c r="EI94" s="240">
        <f>Database!JQ9</f>
        <v>0</v>
      </c>
      <c r="EJ94" s="240">
        <f>Database!JS9</f>
        <v>0</v>
      </c>
      <c r="EK94" s="240">
        <f>Database!JU9</f>
        <v>0</v>
      </c>
      <c r="EL94" s="240">
        <f>Database!JW9</f>
        <v>0</v>
      </c>
      <c r="EM94" s="240">
        <f>Database!JY9</f>
        <v>0</v>
      </c>
      <c r="EN94" s="240">
        <f>Database!KA9</f>
        <v>0</v>
      </c>
      <c r="EO94" s="240">
        <f>Database!KC9</f>
        <v>0</v>
      </c>
      <c r="EP94" s="240">
        <f>Database!KE9</f>
        <v>0</v>
      </c>
      <c r="EQ94" s="240">
        <f>Database!KG9</f>
        <v>0</v>
      </c>
      <c r="ER94" s="240">
        <f>Database!KI9</f>
        <v>0</v>
      </c>
      <c r="ES94" s="240">
        <f>Database!KK9</f>
        <v>0</v>
      </c>
      <c r="ET94" s="240">
        <f>Database!KM9</f>
        <v>0</v>
      </c>
      <c r="EU94" s="240">
        <f>Database!KO9</f>
        <v>0</v>
      </c>
      <c r="EV94" s="240">
        <f>Database!KQ9</f>
        <v>0</v>
      </c>
      <c r="EW94" s="240">
        <f>Database!KS9</f>
        <v>0</v>
      </c>
      <c r="EX94" s="240">
        <f>Database!KU9</f>
        <v>0</v>
      </c>
      <c r="EY94" s="240">
        <f>Database!KW9</f>
        <v>0</v>
      </c>
      <c r="EZ94" s="240">
        <f>Database!KY9</f>
        <v>0</v>
      </c>
      <c r="FA94" s="240">
        <f>Database!LA9</f>
        <v>0</v>
      </c>
      <c r="FB94" s="240">
        <f>Database!LC9</f>
        <v>0</v>
      </c>
      <c r="FC94" s="240">
        <f>Database!LE9</f>
        <v>0</v>
      </c>
      <c r="FD94" s="240">
        <f>Database!LG9</f>
        <v>0</v>
      </c>
      <c r="FE94" s="240">
        <f>Database!LI9</f>
        <v>0</v>
      </c>
      <c r="FF94" s="240">
        <f>Database!LK9</f>
        <v>0</v>
      </c>
      <c r="FG94" s="240">
        <f>Database!LM9</f>
        <v>0</v>
      </c>
      <c r="FH94" s="240">
        <f>Database!LO9</f>
        <v>0</v>
      </c>
      <c r="FI94" s="240">
        <f>Database!LQ9</f>
        <v>0</v>
      </c>
      <c r="FJ94" s="240">
        <f>Database!LS9</f>
        <v>0</v>
      </c>
      <c r="FK94" s="240">
        <f>Database!LU9</f>
        <v>0</v>
      </c>
      <c r="FL94" s="240">
        <f>Database!LW9</f>
        <v>0</v>
      </c>
      <c r="FM94" s="240">
        <f>Database!LY9</f>
        <v>0</v>
      </c>
      <c r="FN94" s="240">
        <f>Database!MA9</f>
        <v>0</v>
      </c>
      <c r="FO94" s="240">
        <f>Database!MC9</f>
        <v>0</v>
      </c>
      <c r="FP94" s="240">
        <f>Database!ME9</f>
        <v>0</v>
      </c>
      <c r="FQ94" s="240">
        <f>Database!MG9</f>
        <v>0</v>
      </c>
      <c r="FR94" s="240">
        <f>Database!MI9</f>
        <v>0</v>
      </c>
      <c r="FS94" s="240">
        <f>Database!MK9</f>
        <v>0</v>
      </c>
      <c r="FT94" s="240">
        <f>Database!MM9</f>
        <v>0</v>
      </c>
      <c r="FU94" s="240">
        <f>Database!MO9</f>
        <v>0</v>
      </c>
      <c r="FV94" s="240">
        <f>Database!MQ9</f>
        <v>0</v>
      </c>
      <c r="FW94" s="240">
        <f>Database!MS9</f>
        <v>0</v>
      </c>
      <c r="FX94" s="240">
        <f>Database!MU9</f>
        <v>0</v>
      </c>
      <c r="FY94" s="240">
        <f>Database!MW9</f>
        <v>0</v>
      </c>
      <c r="FZ94" s="240">
        <f>Database!MY9</f>
        <v>0</v>
      </c>
      <c r="GA94" s="240">
        <f>Database!NA9</f>
        <v>0</v>
      </c>
      <c r="GB94" s="240">
        <f>Database!NC9</f>
        <v>0</v>
      </c>
      <c r="GC94" s="240">
        <f>Database!NE9</f>
        <v>0</v>
      </c>
      <c r="GD94" s="240">
        <f>Database!NG9</f>
        <v>0</v>
      </c>
      <c r="GE94" s="240">
        <f>Database!NI9</f>
        <v>0</v>
      </c>
      <c r="GF94" s="240">
        <f>Database!NK9</f>
        <v>0</v>
      </c>
      <c r="GG94" s="240">
        <f>Database!NM9</f>
        <v>0</v>
      </c>
      <c r="GH94" s="240">
        <f>Database!NO9</f>
        <v>0</v>
      </c>
      <c r="GI94" s="240">
        <f>Database!NQ9</f>
        <v>0</v>
      </c>
      <c r="GJ94" s="240">
        <f>Database!NS9</f>
        <v>0</v>
      </c>
      <c r="GK94" s="240">
        <f>Database!NU9</f>
        <v>0</v>
      </c>
      <c r="GL94" s="240">
        <f>Database!NW9</f>
        <v>0</v>
      </c>
      <c r="GM94" s="240">
        <f>Database!NY9</f>
        <v>0</v>
      </c>
      <c r="GN94" s="240">
        <f>Database!OA9</f>
        <v>0</v>
      </c>
      <c r="GO94" s="240">
        <f>Database!OC9</f>
        <v>0</v>
      </c>
      <c r="GP94" s="240">
        <f>Database!OE9</f>
        <v>0</v>
      </c>
      <c r="GQ94" s="240">
        <f>Database!OG9</f>
        <v>0</v>
      </c>
      <c r="GR94" s="240">
        <f>Database!OI9</f>
        <v>0</v>
      </c>
      <c r="GS94" s="240">
        <f>Database!OK9</f>
        <v>0</v>
      </c>
      <c r="GT94" s="195">
        <f>Database!OM9</f>
        <v>0</v>
      </c>
    </row>
    <row r="95" spans="1:202" ht="18.75" customHeight="1" x14ac:dyDescent="0.4">
      <c r="A95" s="29" t="s">
        <v>104</v>
      </c>
      <c r="B95" s="303"/>
      <c r="C95" s="415">
        <f>IF(AND(Database!E11&gt;1,Database!E12&gt;1),100*(Database!E11/(Database!E12)),0.0001)</f>
        <v>146.99760698981578</v>
      </c>
      <c r="D95" s="415">
        <f>IF(AND(Database!G11&gt;1,Database!G12&gt;1),100*(Database!G11/(Database!G12)),0.0001)</f>
        <v>110.31950055086301</v>
      </c>
      <c r="E95" s="415">
        <f>IF(AND(Database!I11&gt;1,Database!I12&gt;1),100*(Database!I11/(Database!I12)),0.0001)</f>
        <v>154.05917658207855</v>
      </c>
      <c r="F95" s="415">
        <f>IF(AND(Database!K11&gt;1,Database!K12&gt;1),100*(Database!K11/(Database!K12)),0.0001)</f>
        <v>184.16647291327598</v>
      </c>
      <c r="G95" s="415">
        <f>IF(AND(Database!M11&gt;1,Database!M12&gt;1),100*(Database!M11/(Database!M12)),0.0001)</f>
        <v>1E-4</v>
      </c>
      <c r="H95" s="415">
        <f>IF(AND(Database!O11&gt;1,Database!O12&gt;1),100*(Database!O11/(Database!O12)),0.0001)</f>
        <v>1E-4</v>
      </c>
      <c r="I95" s="415">
        <f>IF(AND(Database!Q11&gt;1,Database!Q12&gt;1),100*(Database!Q11/(Database!Q12)),0.0001)</f>
        <v>1E-4</v>
      </c>
      <c r="J95" s="415">
        <f>IF(AND(Database!S11&gt;1,Database!S12&gt;1),100*(Database!S11/(Database!S12)),0.0001)</f>
        <v>1E-4</v>
      </c>
      <c r="K95" s="415">
        <f>IF(AND(Database!U11&gt;1,Database!U12&gt;1),100*(Database!U11/(Database!U12)),0.0001)</f>
        <v>1E-4</v>
      </c>
      <c r="L95" s="415">
        <f>IF(AND(Database!W11&gt;1,Database!W12&gt;1),100*(Database!W11/(Database!W12)),0.0001)</f>
        <v>1E-4</v>
      </c>
      <c r="M95" s="415">
        <f>IF(AND(Database!Y11&gt;1,Database!Y12&gt;1),100*(Database!Y11/(Database!Y12)),0.0001)</f>
        <v>1E-4</v>
      </c>
      <c r="N95" s="415">
        <f>IF(AND(Database!AA11&gt;1,Database!AA12&gt;1),100*(Database!AA11/(Database!AA12)),0.0001)</f>
        <v>1E-4</v>
      </c>
      <c r="O95" s="415">
        <f>IF(AND(Database!AC11&gt;1,Database!AC12&gt;1),100*(Database!AC11/(Database!AC12)),0.0001)</f>
        <v>1E-4</v>
      </c>
      <c r="P95" s="415">
        <f>IF(AND(Database!AE11&gt;1,Database!AE12&gt;1),100*(Database!AE11/(Database!AE12)),0.0001)</f>
        <v>1E-4</v>
      </c>
      <c r="Q95" s="415">
        <f>IF(AND(Database!AG11&gt;1,Database!AG12&gt;1),100*(Database!AG11/(Database!AG12)),0.0001)</f>
        <v>1E-4</v>
      </c>
      <c r="R95" s="415">
        <f>IF(AND(Database!AI11&gt;1,Database!AI12&gt;1),100*(Database!AI11/(Database!AI12)),0.0001)</f>
        <v>1E-4</v>
      </c>
      <c r="S95" s="415">
        <f>IF(AND(Database!AK11&gt;1,Database!AK12&gt;1),100*(Database!AK11/(Database!AK12)),0.0001)</f>
        <v>1E-4</v>
      </c>
      <c r="T95" s="415">
        <f>IF(AND(Database!AM11&gt;1,Database!AM12&gt;1),100*(Database!AM11/(Database!AM12)),0.0001)</f>
        <v>1E-4</v>
      </c>
      <c r="U95" s="415">
        <f>IF(AND(Database!AO11&gt;1,Database!AO12&gt;1),100*(Database!AO11/(Database!AO12)),0.0001)</f>
        <v>1E-4</v>
      </c>
      <c r="V95" s="415">
        <f>IF(AND(Database!AQ11&gt;1,Database!AQ12&gt;1),100*(Database!AQ11/(Database!AQ12)),0.0001)</f>
        <v>1E-4</v>
      </c>
      <c r="W95" s="415">
        <f>IF(AND(Database!AS11&gt;1,Database!AS12&gt;1),100*(Database!AS11/(Database!AS12)),0.0001)</f>
        <v>1E-4</v>
      </c>
      <c r="X95" s="415">
        <f>IF(AND(Database!AU11&gt;1,Database!AU12&gt;1),100*(Database!AU11/(Database!AU12)),0.0001)</f>
        <v>1E-4</v>
      </c>
      <c r="Y95" s="415">
        <f>IF(AND(Database!AW11&gt;1,Database!AW12&gt;1),100*(Database!AW11/(Database!AW12)),0.0001)</f>
        <v>1E-4</v>
      </c>
      <c r="Z95" s="415">
        <f>IF(AND(Database!AY11&gt;1,Database!AY12&gt;1),100*(Database!AY11/(Database!AY12)),0.0001)</f>
        <v>1E-4</v>
      </c>
      <c r="AA95" s="415">
        <f>IF(AND(Database!BA11&gt;1,Database!BA12&gt;1),100*(Database!BA11/(Database!BA12)),0.0001)</f>
        <v>1E-4</v>
      </c>
      <c r="AB95" s="415">
        <f>IF(AND(Database!BC11&gt;1,Database!BC12&gt;1),100*(Database!BC11/(Database!BC12)),0.0001)</f>
        <v>1E-4</v>
      </c>
      <c r="AC95" s="415">
        <f>IF(AND(Database!BE11&gt;1,Database!BE12&gt;1),100*(Database!BE11/(Database!BE12)),0.0001)</f>
        <v>1E-4</v>
      </c>
      <c r="AD95" s="415">
        <f>IF(AND(Database!BG11&gt;1,Database!BG12&gt;1),100*(Database!BG11/(Database!BG12)),0.0001)</f>
        <v>1E-4</v>
      </c>
      <c r="AE95" s="415">
        <f>IF(AND(Database!BI11&gt;1,Database!BI12&gt;1),100*(Database!BI11/(Database!BI12)),0.0001)</f>
        <v>1E-4</v>
      </c>
      <c r="AF95" s="415">
        <f>IF(AND(Database!BK11&gt;1,Database!BK12&gt;1),100*(Database!BK11/(Database!BK12)),0.0001)</f>
        <v>1E-4</v>
      </c>
      <c r="AG95" s="415">
        <f>IF(AND(Database!BM11&gt;1,Database!BM12&gt;1),100*(Database!BM11/(Database!BM12)),0.0001)</f>
        <v>1E-4</v>
      </c>
      <c r="AH95" s="415">
        <f>IF(AND(Database!BO11&gt;1,Database!BO12&gt;1),100*(Database!BO11/(Database!BO12)),0.0001)</f>
        <v>1E-4</v>
      </c>
      <c r="AI95" s="415">
        <f>IF(AND(Database!BQ11&gt;1,Database!BQ12&gt;1),100*(Database!BQ11/(Database!BQ12)),0.0001)</f>
        <v>1E-4</v>
      </c>
      <c r="AJ95" s="415">
        <f>IF(AND(Database!BS11&gt;1,Database!BS12&gt;1),100*(Database!BS11/(Database!BS12)),0.0001)</f>
        <v>1E-4</v>
      </c>
      <c r="AK95" s="415">
        <f>IF(AND(Database!BU11&gt;1,Database!BU12&gt;1),100*(Database!BU11/(Database!BU12)),0.0001)</f>
        <v>1E-4</v>
      </c>
      <c r="AL95" s="415">
        <f>IF(AND(Database!BW11&gt;1,Database!BW12&gt;1),100*(Database!BW11/(Database!BW12)),0.0001)</f>
        <v>1E-4</v>
      </c>
      <c r="AM95" s="415">
        <f>IF(AND(Database!BY11&gt;1,Database!BY12&gt;1),100*(Database!BY11/(Database!BY12)),0.0001)</f>
        <v>1E-4</v>
      </c>
      <c r="AN95" s="415">
        <f>IF(AND(Database!CA11&gt;1,Database!CA12&gt;1),100*(Database!CA11/(Database!CA12)),0.0001)</f>
        <v>1E-4</v>
      </c>
      <c r="AO95" s="415">
        <f>IF(AND(Database!CC11&gt;1,Database!CC12&gt;1),100*(Database!CC11/(Database!CC12)),0.0001)</f>
        <v>1E-4</v>
      </c>
      <c r="AP95" s="415">
        <f>IF(AND(Database!CE11&gt;1,Database!CE12&gt;1),100*(Database!CE11/(Database!CE12)),0.0001)</f>
        <v>1E-4</v>
      </c>
      <c r="AQ95" s="415">
        <f>IF(AND(Database!CG11&gt;1,Database!CG12&gt;1),100*(Database!CG11/(Database!CG12)),0.0001)</f>
        <v>1E-4</v>
      </c>
      <c r="AR95" s="415">
        <f>IF(AND(Database!CI11&gt;1,Database!CI12&gt;1),100*(Database!CI11/(Database!CI12)),0.0001)</f>
        <v>1E-4</v>
      </c>
      <c r="AS95" s="415">
        <f>IF(AND(Database!CK11&gt;1,Database!CK12&gt;1),100*(Database!CK11/(Database!CK12)),0.0001)</f>
        <v>1E-4</v>
      </c>
      <c r="AT95" s="415">
        <f>IF(AND(Database!CM11&gt;1,Database!CM12&gt;1),100*(Database!CM11/(Database!CM12)),0.0001)</f>
        <v>1E-4</v>
      </c>
      <c r="AU95" s="415">
        <f>IF(AND(Database!CO11&gt;1,Database!CO12&gt;1),100*(Database!CO11/(Database!CO12)),0.0001)</f>
        <v>1E-4</v>
      </c>
      <c r="AV95" s="415">
        <f>IF(AND(Database!CQ11&gt;1,Database!CQ12&gt;1),100*(Database!CQ11/(Database!CQ12)),0.0001)</f>
        <v>1E-4</v>
      </c>
      <c r="AW95" s="415">
        <f>IF(AND(Database!CS11&gt;1,Database!CS12&gt;1),100*(Database!CS11/(Database!CS12)),0.0001)</f>
        <v>1E-4</v>
      </c>
      <c r="AX95" s="415">
        <f>IF(AND(Database!CU11&gt;1,Database!CU12&gt;1),100*(Database!CU11/(Database!CU12)),0.0001)</f>
        <v>1E-4</v>
      </c>
      <c r="AY95" s="415">
        <f>IF(AND(Database!CW11&gt;1,Database!CW12&gt;1),100*(Database!CW11/(Database!CW12)),0.0001)</f>
        <v>1E-4</v>
      </c>
      <c r="AZ95" s="415">
        <f>IF(AND(Database!CY11&gt;1,Database!CY12&gt;1),100*(Database!CY11/(Database!CY12)),0.0001)</f>
        <v>1E-4</v>
      </c>
      <c r="BA95" s="415">
        <f>IF(AND(Database!DA11&gt;1,Database!DA12&gt;1),100*(Database!DA11/(Database!DA12)),0.0001)</f>
        <v>1E-4</v>
      </c>
      <c r="BB95" s="415">
        <f>IF(AND(Database!DC11&gt;1,Database!DC12&gt;1),100*(Database!DC11/(Database!DC12)),0.0001)</f>
        <v>1E-4</v>
      </c>
      <c r="BC95" s="415">
        <f>IF(AND(Database!DE11&gt;1,Database!DE12&gt;1),100*(Database!DE11/(Database!DE12)),0.0001)</f>
        <v>1E-4</v>
      </c>
      <c r="BD95" s="415">
        <f>IF(AND(Database!DG11&gt;1,Database!DG12&gt;1),100*(Database!DG11/(Database!DG12)),0.0001)</f>
        <v>1E-4</v>
      </c>
      <c r="BE95" s="415">
        <f>IF(AND(Database!DI11&gt;1,Database!DI12&gt;1),100*(Database!DI11/(Database!DI12)),0.0001)</f>
        <v>1E-4</v>
      </c>
      <c r="BF95" s="415">
        <f>IF(AND(Database!DK11&gt;1,Database!DK12&gt;1),100*(Database!DK11/(Database!DK12)),0.0001)</f>
        <v>1E-4</v>
      </c>
      <c r="BG95" s="415">
        <f>IF(AND(Database!DM11&gt;1,Database!DM12&gt;1),100*(Database!DM11/(Database!DM12)),0.0001)</f>
        <v>1E-4</v>
      </c>
      <c r="BH95" s="415">
        <f>IF(AND(Database!DO11&gt;1,Database!DO12&gt;1),100*(Database!DO11/(Database!DO12)),0.0001)</f>
        <v>1E-4</v>
      </c>
      <c r="BI95" s="415">
        <f>IF(AND(Database!DQ11&gt;1,Database!DQ12&gt;1),100*(Database!DQ11/(Database!DQ12)),0.0001)</f>
        <v>1E-4</v>
      </c>
      <c r="BJ95" s="415">
        <f>IF(AND(Database!DS11&gt;1,Database!DS12&gt;1),100*(Database!DS11/(Database!DS12)),0.0001)</f>
        <v>1E-4</v>
      </c>
      <c r="BK95" s="415">
        <f>IF(AND(Database!DU11&gt;1,Database!DU12&gt;1),100*(Database!DU11/(Database!DU12)),0.0001)</f>
        <v>1E-4</v>
      </c>
      <c r="BL95" s="415">
        <f>IF(AND(Database!DW11&gt;1,Database!DW12&gt;1),100*(Database!DW11/(Database!DW12)),0.0001)</f>
        <v>1E-4</v>
      </c>
      <c r="BM95" s="415">
        <f>IF(AND(Database!DY11&gt;1,Database!DY12&gt;1),100*(Database!DY11/(Database!DY12)),0.0001)</f>
        <v>1E-4</v>
      </c>
      <c r="BN95" s="415">
        <f>IF(AND(Database!EA11&gt;1,Database!EA12&gt;1),100*(Database!EA11/(Database!EA12)),0.0001)</f>
        <v>1E-4</v>
      </c>
      <c r="BO95" s="415">
        <f>IF(AND(Database!EC11&gt;1,Database!EC12&gt;1),100*(Database!EC11/(Database!EC12)),0.0001)</f>
        <v>1E-4</v>
      </c>
      <c r="BP95" s="415">
        <f>IF(AND(Database!EE11&gt;1,Database!EE12&gt;1),100*(Database!EE11/(Database!EE12)),0.0001)</f>
        <v>1E-4</v>
      </c>
      <c r="BQ95" s="415">
        <f>IF(AND(Database!EG11&gt;1,Database!EG12&gt;1),100*(Database!EG11/(Database!EG12)),0.0001)</f>
        <v>1E-4</v>
      </c>
      <c r="BR95" s="415">
        <f>IF(AND(Database!EI11&gt;1,Database!EI12&gt;1),100*(Database!EI11/(Database!EI12)),0.0001)</f>
        <v>1E-4</v>
      </c>
      <c r="BS95" s="415">
        <f>IF(AND(Database!EK11&gt;1,Database!EK12&gt;1),100*(Database!EK11/(Database!EK12)),0.0001)</f>
        <v>1E-4</v>
      </c>
      <c r="BT95" s="415">
        <f>IF(AND(Database!EM11&gt;1,Database!EM12&gt;1),100*(Database!EM11/(Database!EM12)),0.0001)</f>
        <v>1E-4</v>
      </c>
      <c r="BU95" s="415">
        <f>IF(AND(Database!EO11&gt;1,Database!EO12&gt;1),100*(Database!EO11/(Database!EO12)),0.0001)</f>
        <v>1E-4</v>
      </c>
      <c r="BV95" s="415">
        <f>IF(AND(Database!EQ11&gt;1,Database!EQ12&gt;1),100*(Database!EQ11/(Database!EQ12)),0.0001)</f>
        <v>1E-4</v>
      </c>
      <c r="BW95" s="415">
        <f>IF(AND(Database!ES11&gt;1,Database!ES12&gt;1),100*(Database!ES11/(Database!ES12)),0.0001)</f>
        <v>1E-4</v>
      </c>
      <c r="BX95" s="415">
        <f>IF(AND(Database!EU11&gt;1,Database!EU12&gt;1),100*(Database!EU11/(Database!EU12)),0.0001)</f>
        <v>1E-4</v>
      </c>
      <c r="BY95" s="415">
        <f>IF(AND(Database!EW11&gt;1,Database!EW12&gt;1),100*(Database!EW11/(Database!EW12)),0.0001)</f>
        <v>1E-4</v>
      </c>
      <c r="BZ95" s="415">
        <f>IF(AND(Database!EY11&gt;1,Database!EY12&gt;1),100*(Database!EY11/(Database!EY12)),0.0001)</f>
        <v>1E-4</v>
      </c>
      <c r="CA95" s="415">
        <f>IF(AND(Database!FA11&gt;1,Database!FA12&gt;1),100*(Database!FA11/(Database!FA12)),0.0001)</f>
        <v>1E-4</v>
      </c>
      <c r="CB95" s="415">
        <f>IF(AND(Database!FC11&gt;1,Database!FC12&gt;1),100*(Database!FC11/(Database!FC12)),0.0001)</f>
        <v>1E-4</v>
      </c>
      <c r="CC95" s="415">
        <f>IF(AND(Database!FE11&gt;1,Database!FE12&gt;1),100*(Database!FE11/(Database!FE12)),0.0001)</f>
        <v>1E-4</v>
      </c>
      <c r="CD95" s="415">
        <f>IF(AND(Database!FG11&gt;1,Database!FG12&gt;1),100*(Database!FG11/(Database!FG12)),0.0001)</f>
        <v>1E-4</v>
      </c>
      <c r="CE95" s="415">
        <f>IF(AND(Database!FI11&gt;1,Database!FI12&gt;1),100*(Database!FI11/(Database!FI12)),0.0001)</f>
        <v>1E-4</v>
      </c>
      <c r="CF95" s="415">
        <f>IF(AND(Database!FK11&gt;1,Database!FK12&gt;1),100*(Database!FK11/(Database!FK12)),0.0001)</f>
        <v>1E-4</v>
      </c>
      <c r="CG95" s="415">
        <f>IF(AND(Database!FM11&gt;1,Database!FM12&gt;1),100*(Database!FM11/(Database!FM12)),0.0001)</f>
        <v>1E-4</v>
      </c>
      <c r="CH95" s="415">
        <f>IF(AND(Database!FO11&gt;1,Database!FO12&gt;1),100*(Database!FO11/(Database!FO12)),0.0001)</f>
        <v>1E-4</v>
      </c>
      <c r="CI95" s="415">
        <f>IF(AND(Database!FQ11&gt;1,Database!FQ12&gt;1),100*(Database!FQ11/(Database!FQ12)),0.0001)</f>
        <v>1E-4</v>
      </c>
      <c r="CJ95" s="415">
        <f>IF(AND(Database!FS11&gt;1,Database!FS12&gt;1),100*(Database!FS11/(Database!FS12)),0.0001)</f>
        <v>1E-4</v>
      </c>
      <c r="CK95" s="415">
        <f>IF(AND(Database!FU11&gt;1,Database!FU12&gt;1),100*(Database!FU11/(Database!FU12)),0.0001)</f>
        <v>1E-4</v>
      </c>
      <c r="CL95" s="415">
        <f>IF(AND(Database!FW11&gt;1,Database!FW12&gt;1),100*(Database!FW11/(Database!FW12)),0.0001)</f>
        <v>1E-4</v>
      </c>
      <c r="CM95" s="415">
        <f>IF(AND(Database!FY11&gt;1,Database!FY12&gt;1),100*(Database!FY11/(Database!FY12)),0.0001)</f>
        <v>1E-4</v>
      </c>
      <c r="CN95" s="415">
        <f>IF(AND(Database!GA11&gt;1,Database!GA12&gt;1),100*(Database!GA11/(Database!GA12)),0.0001)</f>
        <v>1E-4</v>
      </c>
      <c r="CO95" s="415">
        <f>IF(AND(Database!GC11&gt;1,Database!GC12&gt;1),100*(Database!GC11/(Database!GC12)),0.0001)</f>
        <v>1E-4</v>
      </c>
      <c r="CP95" s="415">
        <f>IF(AND(Database!GE11&gt;1,Database!GE12&gt;1),100*(Database!GE11/(Database!GE12)),0.0001)</f>
        <v>1E-4</v>
      </c>
      <c r="CQ95" s="415">
        <f>IF(AND(Database!GG11&gt;1,Database!GG12&gt;1),100*(Database!GG11/(Database!GG12)),0.0001)</f>
        <v>1E-4</v>
      </c>
      <c r="CR95" s="415">
        <f>IF(AND(Database!GI11&gt;1,Database!GI12&gt;1),100*(Database!GI11/(Database!GI12)),0.0001)</f>
        <v>1E-4</v>
      </c>
      <c r="CS95" s="415">
        <f>IF(AND(Database!GK11&gt;1,Database!GK12&gt;1),100*(Database!GK11/(Database!GK12)),0.0001)</f>
        <v>1E-4</v>
      </c>
      <c r="CT95" s="415">
        <f>IF(AND(Database!GM11&gt;1,Database!GM12&gt;1),100*(Database!GM11/(Database!GM12)),0.0001)</f>
        <v>1E-4</v>
      </c>
      <c r="CU95" s="415">
        <f>IF(AND(Database!GO11&gt;1,Database!GO12&gt;1),100*(Database!GO11/(Database!GO12)),0.0001)</f>
        <v>1E-4</v>
      </c>
      <c r="CV95" s="415">
        <f>IF(AND(Database!GQ11&gt;1,Database!GQ12&gt;1),100*(Database!GQ11/(Database!GQ12)),0.0001)</f>
        <v>1E-4</v>
      </c>
      <c r="CW95" s="415">
        <f>IF(AND(Database!GS11&gt;1,Database!GS12&gt;1),100*(Database!GS11/(Database!GS12)),0.0001)</f>
        <v>1E-4</v>
      </c>
      <c r="CX95" s="415">
        <f>IF(AND(Database!GU11&gt;1,Database!GU12&gt;1),100*(Database!GU11/(Database!GU12)),0.0001)</f>
        <v>1E-4</v>
      </c>
      <c r="CY95" s="415">
        <f>IF(AND(Database!GW11&gt;1,Database!GW12&gt;1),100*(Database!GW11/(Database!GW12)),0.0001)</f>
        <v>1E-4</v>
      </c>
      <c r="CZ95" s="415">
        <f>IF(AND(Database!GY11&gt;1,Database!GY12&gt;1),100*(Database!GY11/(Database!GY12)),0.0001)</f>
        <v>1E-4</v>
      </c>
      <c r="DA95" s="415">
        <f>IF(AND(Database!HA11&gt;1,Database!HA12&gt;1),100*(Database!HA11/(Database!HA12)),0.0001)</f>
        <v>1E-4</v>
      </c>
      <c r="DB95" s="415">
        <f>IF(AND(Database!HC11&gt;1,Database!HC12&gt;1),100*(Database!HC11/(Database!HC12)),0.0001)</f>
        <v>1E-4</v>
      </c>
      <c r="DC95" s="415">
        <f>IF(AND(Database!HE11&gt;1,Database!HE12&gt;1),100*(Database!HE11/(Database!HE12)),0.0001)</f>
        <v>1E-4</v>
      </c>
      <c r="DD95" s="415">
        <f>IF(AND(Database!HG11&gt;1,Database!HG12&gt;1),100*(Database!HG11/(Database!HG12)),0.0001)</f>
        <v>1E-4</v>
      </c>
      <c r="DE95" s="415">
        <f>IF(AND(Database!HI11&gt;1,Database!HI12&gt;1),100*(Database!HI11/(Database!HI12)),0.0001)</f>
        <v>1E-4</v>
      </c>
      <c r="DF95" s="415">
        <f>IF(AND(Database!HK11&gt;1,Database!HK12&gt;1),100*(Database!HK11/(Database!HK12)),0.0001)</f>
        <v>1E-4</v>
      </c>
      <c r="DG95" s="415">
        <f>IF(AND(Database!HM11&gt;1,Database!HM12&gt;1),100*(Database!HM11/(Database!HM12)),0.0001)</f>
        <v>1E-4</v>
      </c>
      <c r="DH95" s="415">
        <f>IF(AND(Database!HO11&gt;1,Database!HO12&gt;1),100*(Database!HO11/(Database!HO12)),0.0001)</f>
        <v>1E-4</v>
      </c>
      <c r="DI95" s="415">
        <f>IF(AND(Database!HQ11&gt;1,Database!HQ12&gt;1),100*(Database!HQ11/(Database!HQ12)),0.0001)</f>
        <v>1E-4</v>
      </c>
      <c r="DJ95" s="415">
        <f>IF(AND(Database!HS11&gt;1,Database!HS12&gt;1),100*(Database!HS11/(Database!HS12)),0.0001)</f>
        <v>1E-4</v>
      </c>
      <c r="DK95" s="415">
        <f>IF(AND(Database!HU11&gt;1,Database!HU12&gt;1),100*(Database!HU11/(Database!HU12)),0.0001)</f>
        <v>1E-4</v>
      </c>
      <c r="DL95" s="415">
        <f>IF(AND(Database!HW11&gt;1,Database!HW12&gt;1),100*(Database!HW11/(Database!HW12)),0.0001)</f>
        <v>1E-4</v>
      </c>
      <c r="DM95" s="415">
        <f>IF(AND(Database!HY11&gt;1,Database!HY12&gt;1),100*(Database!HY11/(Database!HY12)),0.0001)</f>
        <v>1E-4</v>
      </c>
      <c r="DN95" s="415">
        <f>IF(AND(Database!IA11&gt;1,Database!IA12&gt;1),100*(Database!IA11/(Database!IA12)),0.0001)</f>
        <v>1E-4</v>
      </c>
      <c r="DO95" s="415">
        <f>IF(AND(Database!IC11&gt;1,Database!IC12&gt;1),100*(Database!IC11/(Database!IC12)),0.0001)</f>
        <v>1E-4</v>
      </c>
      <c r="DP95" s="415">
        <f>IF(AND(Database!IE11&gt;1,Database!IE12&gt;1),100*(Database!IE11/(Database!IE12)),0.0001)</f>
        <v>1E-4</v>
      </c>
      <c r="DQ95" s="415">
        <f>IF(AND(Database!IG11&gt;1,Database!IG12&gt;1),100*(Database!IG11/(Database!IG12)),0.0001)</f>
        <v>1E-4</v>
      </c>
      <c r="DR95" s="415">
        <f>IF(AND(Database!II11&gt;1,Database!II12&gt;1),100*(Database!II11/(Database!II12)),0.0001)</f>
        <v>1E-4</v>
      </c>
      <c r="DS95" s="415">
        <f>IF(AND(Database!IK11&gt;1,Database!IK12&gt;1),100*(Database!IK11/(Database!IK12)),0.0001)</f>
        <v>1E-4</v>
      </c>
      <c r="DT95" s="415">
        <f>IF(AND(Database!IM11&gt;1,Database!IM12&gt;1),100*(Database!IM11/(Database!IM12)),0.0001)</f>
        <v>1E-4</v>
      </c>
      <c r="DU95" s="415">
        <f>IF(AND(Database!IO11&gt;1,Database!IO12&gt;1),100*(Database!IO11/(Database!IO12)),0.0001)</f>
        <v>1E-4</v>
      </c>
      <c r="DV95" s="415">
        <f>IF(AND(Database!IQ11&gt;1,Database!IQ12&gt;1),100*(Database!IQ11/(Database!IQ12)),0.0001)</f>
        <v>1E-4</v>
      </c>
      <c r="DW95" s="415">
        <f>IF(AND(Database!IS11&gt;1,Database!IS12&gt;1),100*(Database!IS11/(Database!IS12)),0.0001)</f>
        <v>1E-4</v>
      </c>
      <c r="DX95" s="415">
        <f>IF(AND(Database!IU11&gt;1,Database!IU12&gt;1),100*(Database!IU11/(Database!IU12)),0.0001)</f>
        <v>1E-4</v>
      </c>
      <c r="DY95" s="415">
        <f>IF(AND(Database!IW11&gt;1,Database!IW12&gt;1),100*(Database!IW11/(Database!IW12)),0.0001)</f>
        <v>1E-4</v>
      </c>
      <c r="DZ95" s="415">
        <f>IF(AND(Database!IY11&gt;1,Database!IY12&gt;1),100*(Database!IY11/(Database!IY12)),0.0001)</f>
        <v>1E-4</v>
      </c>
      <c r="EA95" s="415">
        <f>IF(AND(Database!JA11&gt;1,Database!JA12&gt;1),100*(Database!JA11/(Database!JA12)),0.0001)</f>
        <v>1E-4</v>
      </c>
      <c r="EB95" s="415">
        <f>IF(AND(Database!JC11&gt;1,Database!JC12&gt;1),100*(Database!JC11/(Database!JC12)),0.0001)</f>
        <v>1E-4</v>
      </c>
      <c r="EC95" s="415">
        <f>IF(AND(Database!JE11&gt;1,Database!JE12&gt;1),100*(Database!JE11/(Database!JE12)),0.0001)</f>
        <v>1E-4</v>
      </c>
      <c r="ED95" s="415">
        <f>IF(AND(Database!JG11&gt;1,Database!JG12&gt;1),100*(Database!JG11/(Database!JG12)),0.0001)</f>
        <v>1E-4</v>
      </c>
      <c r="EE95" s="415">
        <f>IF(AND(Database!JI11&gt;1,Database!JI12&gt;1),100*(Database!JI11/(Database!JI12)),0.0001)</f>
        <v>1E-4</v>
      </c>
      <c r="EF95" s="415">
        <f>IF(AND(Database!JK11&gt;1,Database!JK12&gt;1),100*(Database!JK11/(Database!JK12)),0.0001)</f>
        <v>1E-4</v>
      </c>
      <c r="EG95" s="415">
        <f>IF(AND(Database!JM11&gt;1,Database!JM12&gt;1),100*(Database!JM11/(Database!JM12)),0.0001)</f>
        <v>1E-4</v>
      </c>
      <c r="EH95" s="415">
        <f>IF(AND(Database!JO11&gt;1,Database!JO12&gt;1),100*(Database!JO11/(Database!JO12)),0.0001)</f>
        <v>1E-4</v>
      </c>
      <c r="EI95" s="415">
        <f>IF(AND(Database!JQ11&gt;1,Database!JQ12&gt;1),100*(Database!JQ11/(Database!JQ12)),0.0001)</f>
        <v>1E-4</v>
      </c>
      <c r="EJ95" s="415">
        <f>IF(AND(Database!JS11&gt;1,Database!JS12&gt;1),100*(Database!JS11/(Database!JS12)),0.0001)</f>
        <v>1E-4</v>
      </c>
      <c r="EK95" s="415">
        <f>IF(AND(Database!JU11&gt;1,Database!JU12&gt;1),100*(Database!JU11/(Database!JU12)),0.0001)</f>
        <v>1E-4</v>
      </c>
      <c r="EL95" s="415">
        <f>IF(AND(Database!JW11&gt;1,Database!JW12&gt;1),100*(Database!JW11/(Database!JW12)),0.0001)</f>
        <v>1E-4</v>
      </c>
      <c r="EM95" s="415">
        <f>IF(AND(Database!JY11&gt;1,Database!JY12&gt;1),100*(Database!JY11/(Database!JY12)),0.0001)</f>
        <v>1E-4</v>
      </c>
      <c r="EN95" s="415">
        <f>IF(AND(Database!KA11&gt;1,Database!KA12&gt;1),100*(Database!KA11/(Database!KA12)),0.0001)</f>
        <v>1E-4</v>
      </c>
      <c r="EO95" s="415">
        <f>IF(AND(Database!KC11&gt;1,Database!KC12&gt;1),100*(Database!KC11/(Database!KC12)),0.0001)</f>
        <v>1E-4</v>
      </c>
      <c r="EP95" s="415">
        <f>IF(AND(Database!KE11&gt;1,Database!KE12&gt;1),100*(Database!KE11/(Database!KE12)),0.0001)</f>
        <v>1E-4</v>
      </c>
      <c r="EQ95" s="415">
        <f>IF(AND(Database!KG11&gt;1,Database!KG12&gt;1),100*(Database!KG11/(Database!KG12)),0.0001)</f>
        <v>1E-4</v>
      </c>
      <c r="ER95" s="415">
        <f>IF(AND(Database!KI11&gt;1,Database!KI12&gt;1),100*(Database!KI11/(Database!KI12)),0.0001)</f>
        <v>1E-4</v>
      </c>
      <c r="ES95" s="415">
        <f>IF(AND(Database!KK11&gt;1,Database!KK12&gt;1),100*(Database!KK11/(Database!KK12)),0.0001)</f>
        <v>1E-4</v>
      </c>
      <c r="ET95" s="415">
        <f>IF(AND(Database!KM11&gt;1,Database!KM12&gt;1),100*(Database!KM11/(Database!KM12)),0.0001)</f>
        <v>1E-4</v>
      </c>
      <c r="EU95" s="415">
        <f>IF(AND(Database!KO11&gt;1,Database!KO12&gt;1),100*(Database!KO11/(Database!KO12)),0.0001)</f>
        <v>1E-4</v>
      </c>
      <c r="EV95" s="415">
        <f>IF(AND(Database!KQ11&gt;1,Database!KQ12&gt;1),100*(Database!KQ11/(Database!KQ12)),0.0001)</f>
        <v>1E-4</v>
      </c>
      <c r="EW95" s="415">
        <f>IF(AND(Database!KS11&gt;1,Database!KS12&gt;1),100*(Database!KS11/(Database!KS12)),0.0001)</f>
        <v>1E-4</v>
      </c>
      <c r="EX95" s="415">
        <f>IF(AND(Database!KU11&gt;1,Database!KU12&gt;1),100*(Database!KU11/(Database!KU12)),0.0001)</f>
        <v>1E-4</v>
      </c>
      <c r="EY95" s="415">
        <f>IF(AND(Database!KW11&gt;1,Database!KW12&gt;1),100*(Database!KW11/(Database!KW12)),0.0001)</f>
        <v>1E-4</v>
      </c>
      <c r="EZ95" s="415">
        <f>IF(AND(Database!KY11&gt;1,Database!KY12&gt;1),100*(Database!KY11/(Database!KY12)),0.0001)</f>
        <v>1E-4</v>
      </c>
      <c r="FA95" s="415">
        <f>IF(AND(Database!LA11&gt;1,Database!LA12&gt;1),100*(Database!LA11/(Database!LA12)),0.0001)</f>
        <v>1E-4</v>
      </c>
      <c r="FB95" s="415">
        <f>IF(AND(Database!LC11&gt;1,Database!LC12&gt;1),100*(Database!LC11/(Database!LC12)),0.0001)</f>
        <v>1E-4</v>
      </c>
      <c r="FC95" s="415">
        <f>IF(AND(Database!LE11&gt;1,Database!LE12&gt;1),100*(Database!LE11/(Database!LE12)),0.0001)</f>
        <v>1E-4</v>
      </c>
      <c r="FD95" s="415">
        <f>IF(AND(Database!LG11&gt;1,Database!LG12&gt;1),100*(Database!LG11/(Database!LG12)),0.0001)</f>
        <v>1E-4</v>
      </c>
      <c r="FE95" s="415">
        <f>IF(AND(Database!LI11&gt;1,Database!LI12&gt;1),100*(Database!LI11/(Database!LI12)),0.0001)</f>
        <v>1E-4</v>
      </c>
      <c r="FF95" s="415">
        <f>IF(AND(Database!LK11&gt;1,Database!LK12&gt;1),100*(Database!LK11/(Database!LK12)),0.0001)</f>
        <v>1E-4</v>
      </c>
      <c r="FG95" s="415">
        <f>IF(AND(Database!LM11&gt;1,Database!LM12&gt;1),100*(Database!LM11/(Database!LM12)),0.0001)</f>
        <v>1E-4</v>
      </c>
      <c r="FH95" s="415">
        <f>IF(AND(Database!LO11&gt;1,Database!LO12&gt;1),100*(Database!LO11/(Database!LO12)),0.0001)</f>
        <v>1E-4</v>
      </c>
      <c r="FI95" s="415">
        <f>IF(AND(Database!LQ11&gt;1,Database!LQ12&gt;1),100*(Database!LQ11/(Database!LQ12)),0.0001)</f>
        <v>1E-4</v>
      </c>
      <c r="FJ95" s="415">
        <f>IF(AND(Database!LS11&gt;1,Database!LS12&gt;1),100*(Database!LS11/(Database!LS12)),0.0001)</f>
        <v>1E-4</v>
      </c>
      <c r="FK95" s="415">
        <f>IF(AND(Database!LU11&gt;1,Database!LU12&gt;1),100*(Database!LU11/(Database!LU12)),0.0001)</f>
        <v>1E-4</v>
      </c>
      <c r="FL95" s="415">
        <f>IF(AND(Database!LW11&gt;1,Database!LW12&gt;1),100*(Database!LW11/(Database!LW12)),0.0001)</f>
        <v>1E-4</v>
      </c>
      <c r="FM95" s="415">
        <f>IF(AND(Database!LY11&gt;1,Database!LY12&gt;1),100*(Database!LY11/(Database!LY12)),0.0001)</f>
        <v>1E-4</v>
      </c>
      <c r="FN95" s="415">
        <f>IF(AND(Database!MA11&gt;1,Database!MA12&gt;1),100*(Database!MA11/(Database!MA12)),0.0001)</f>
        <v>1E-4</v>
      </c>
      <c r="FO95" s="415">
        <f>IF(AND(Database!MC11&gt;1,Database!MC12&gt;1),100*(Database!MC11/(Database!MC12)),0.0001)</f>
        <v>1E-4</v>
      </c>
      <c r="FP95" s="415">
        <f>IF(AND(Database!ME11&gt;1,Database!ME12&gt;1),100*(Database!ME11/(Database!ME12)),0.0001)</f>
        <v>1E-4</v>
      </c>
      <c r="FQ95" s="415">
        <f>IF(AND(Database!MG11&gt;1,Database!MG12&gt;1),100*(Database!MG11/(Database!MG12)),0.0001)</f>
        <v>1E-4</v>
      </c>
      <c r="FR95" s="415">
        <f>IF(AND(Database!MI11&gt;1,Database!MI12&gt;1),100*(Database!MI11/(Database!MI12)),0.0001)</f>
        <v>1E-4</v>
      </c>
      <c r="FS95" s="415">
        <f>IF(AND(Database!MK11&gt;1,Database!MK12&gt;1),100*(Database!MK11/(Database!MK12)),0.0001)</f>
        <v>1E-4</v>
      </c>
      <c r="FT95" s="415">
        <f>IF(AND(Database!MM11&gt;1,Database!MM12&gt;1),100*(Database!MM11/(Database!MM12)),0.0001)</f>
        <v>1E-4</v>
      </c>
      <c r="FU95" s="415">
        <f>IF(AND(Database!MO11&gt;1,Database!MO12&gt;1),100*(Database!MO11/(Database!MO12)),0.0001)</f>
        <v>1E-4</v>
      </c>
      <c r="FV95" s="415">
        <f>IF(AND(Database!MQ11&gt;1,Database!MQ12&gt;1),100*(Database!MQ11/(Database!MQ12)),0.0001)</f>
        <v>1E-4</v>
      </c>
      <c r="FW95" s="415">
        <f>IF(AND(Database!MS11&gt;1,Database!MS12&gt;1),100*(Database!MS11/(Database!MS12)),0.0001)</f>
        <v>1E-4</v>
      </c>
      <c r="FX95" s="415">
        <f>IF(AND(Database!MU11&gt;1,Database!MU12&gt;1),100*(Database!MU11/(Database!MU12)),0.0001)</f>
        <v>1E-4</v>
      </c>
      <c r="FY95" s="415">
        <f>IF(AND(Database!MW11&gt;1,Database!MW12&gt;1),100*(Database!MW11/(Database!MW12)),0.0001)</f>
        <v>1E-4</v>
      </c>
      <c r="FZ95" s="415">
        <f>IF(AND(Database!MY11&gt;1,Database!MY12&gt;1),100*(Database!MY11/(Database!MY12)),0.0001)</f>
        <v>1E-4</v>
      </c>
      <c r="GA95" s="415">
        <f>IF(AND(Database!NA11&gt;1,Database!NA12&gt;1),100*(Database!NA11/(Database!NA12)),0.0001)</f>
        <v>1E-4</v>
      </c>
      <c r="GB95" s="415">
        <f>IF(AND(Database!NC11&gt;1,Database!NC12&gt;1),100*(Database!NC11/(Database!NC12)),0.0001)</f>
        <v>1E-4</v>
      </c>
      <c r="GC95" s="415">
        <f>IF(AND(Database!NE11&gt;1,Database!NE12&gt;1),100*(Database!NE11/(Database!NE12)),0.0001)</f>
        <v>1E-4</v>
      </c>
      <c r="GD95" s="415">
        <f>IF(AND(Database!NG11&gt;1,Database!NG12&gt;1),100*(Database!NG11/(Database!NG12)),0.0001)</f>
        <v>1E-4</v>
      </c>
      <c r="GE95" s="415">
        <f>IF(AND(Database!NI11&gt;1,Database!NI12&gt;1),100*(Database!NI11/(Database!NI12)),0.0001)</f>
        <v>1E-4</v>
      </c>
      <c r="GF95" s="415">
        <f>IF(AND(Database!NK11&gt;1,Database!NK12&gt;1),100*(Database!NK11/(Database!NK12)),0.0001)</f>
        <v>1E-4</v>
      </c>
      <c r="GG95" s="415">
        <f>IF(AND(Database!NM11&gt;1,Database!NM12&gt;1),100*(Database!NM11/(Database!NM12)),0.0001)</f>
        <v>1E-4</v>
      </c>
      <c r="GH95" s="415">
        <f>IF(AND(Database!NO11&gt;1,Database!NO12&gt;1),100*(Database!NO11/(Database!NO12)),0.0001)</f>
        <v>1E-4</v>
      </c>
      <c r="GI95" s="415">
        <f>IF(AND(Database!NQ11&gt;1,Database!NQ12&gt;1),100*(Database!NQ11/(Database!NQ12)),0.0001)</f>
        <v>1E-4</v>
      </c>
      <c r="GJ95" s="415">
        <f>IF(AND(Database!NS11&gt;1,Database!NS12&gt;1),100*(Database!NS11/(Database!NS12)),0.0001)</f>
        <v>1E-4</v>
      </c>
      <c r="GK95" s="415">
        <f>IF(AND(Database!NU11&gt;1,Database!NU12&gt;1),100*(Database!NU11/(Database!NU12)),0.0001)</f>
        <v>1E-4</v>
      </c>
      <c r="GL95" s="415">
        <f>IF(AND(Database!NW11&gt;1,Database!NW12&gt;1),100*(Database!NW11/(Database!NW12)),0.0001)</f>
        <v>1E-4</v>
      </c>
      <c r="GM95" s="415">
        <f>IF(AND(Database!NY11&gt;1,Database!NY12&gt;1),100*(Database!NY11/(Database!NY12)),0.0001)</f>
        <v>1E-4</v>
      </c>
      <c r="GN95" s="415">
        <f>IF(AND(Database!OA11&gt;1,Database!OA12&gt;1),100*(Database!OA11/(Database!OA12)),0.0001)</f>
        <v>1E-4</v>
      </c>
      <c r="GO95" s="415">
        <f>IF(AND(Database!OC11&gt;1,Database!OC12&gt;1),100*(Database!OC11/(Database!OC12)),0.0001)</f>
        <v>1E-4</v>
      </c>
      <c r="GP95" s="415">
        <f>IF(AND(Database!OE11&gt;1,Database!OE12&gt;1),100*(Database!OE11/(Database!OE12)),0.0001)</f>
        <v>1E-4</v>
      </c>
      <c r="GQ95" s="415">
        <f>IF(AND(Database!OG11&gt;1,Database!OG12&gt;1),100*(Database!OG11/(Database!OG12)),0.0001)</f>
        <v>1E-4</v>
      </c>
      <c r="GR95" s="415">
        <f>IF(AND(Database!OI11&gt;1,Database!OI12&gt;1),100*(Database!OI11/(Database!OI12)),0.0001)</f>
        <v>1E-4</v>
      </c>
      <c r="GS95" s="415">
        <f>IF(AND(Database!OK11&gt;1,Database!OK12&gt;1),100*(Database!OK11/(Database!OK12)),0.0001)</f>
        <v>1E-4</v>
      </c>
      <c r="GT95" s="415">
        <f>IF(AND(Database!OM11&gt;1,Database!OM12&gt;1),100*(Database!OM11/(Database!OM12)),0.0001)</f>
        <v>1E-4</v>
      </c>
    </row>
    <row r="96" spans="1:202" ht="18.75" customHeight="1" x14ac:dyDescent="0.4">
      <c r="A96" s="29" t="s">
        <v>105</v>
      </c>
      <c r="B96" s="306"/>
      <c r="C96" s="99">
        <f>IF(AND(Database!E11&gt;1,Database!E18&gt;1),100*(Database!E11/(Database!E18)),0.0001)</f>
        <v>118.61331896358168</v>
      </c>
      <c r="D96" s="99">
        <f>IF(AND(Database!G11&gt;1,Database!G18&gt;1),100*(Database!G11/(Database!G18)),0.0001)</f>
        <v>106.75195451314853</v>
      </c>
      <c r="E96" s="99">
        <f>IF(AND(Database!I11&gt;1,Database!I18&gt;1),100*(Database!I11/(Database!I18)),0.0001)</f>
        <v>163.27418814864413</v>
      </c>
      <c r="F96" s="99">
        <f>IF(AND(Database!K11&gt;1,Database!K18&gt;1),100*(Database!K11/(Database!K18)),0.0001)</f>
        <v>214.08108108108107</v>
      </c>
      <c r="G96" s="99">
        <f>IF(AND(Database!M11&gt;1,Database!M18&gt;1),100*(Database!M11/(Database!M18)),0.0001)</f>
        <v>1E-4</v>
      </c>
      <c r="H96" s="99">
        <f>IF(AND(Database!O11&gt;1,Database!O18&gt;1),100*(Database!O11/(Database!O18)),0.0001)</f>
        <v>1E-4</v>
      </c>
      <c r="I96" s="99">
        <f>IF(AND(Database!Q11&gt;1,Database!Q18&gt;1),100*(Database!Q11/(Database!Q18)),0.0001)</f>
        <v>1E-4</v>
      </c>
      <c r="J96" s="99">
        <f>IF(AND(Database!S11&gt;1,Database!S18&gt;1),100*(Database!S11/(Database!S18)),0.0001)</f>
        <v>1E-4</v>
      </c>
      <c r="K96" s="99">
        <f>IF(AND(Database!U11&gt;1,Database!U18&gt;1),100*(Database!U11/(Database!U18)),0.0001)</f>
        <v>1E-4</v>
      </c>
      <c r="L96" s="99">
        <f>IF(AND(Database!W11&gt;1,Database!W18&gt;1),100*(Database!W11/(Database!W18)),0.0001)</f>
        <v>1E-4</v>
      </c>
      <c r="M96" s="99">
        <f>IF(AND(Database!Y11&gt;1,Database!Y18&gt;1),100*(Database!Y11/(Database!Y18)),0.0001)</f>
        <v>1E-4</v>
      </c>
      <c r="N96" s="99">
        <f>IF(AND(Database!AA11&gt;1,Database!AA18&gt;1),100*(Database!AA11/(Database!AA18)),0.0001)</f>
        <v>1E-4</v>
      </c>
      <c r="O96" s="99">
        <f>IF(AND(Database!AC11&gt;1,Database!AC18&gt;1),100*(Database!AC11/(Database!AC18)),0.0001)</f>
        <v>1E-4</v>
      </c>
      <c r="P96" s="99">
        <f>IF(AND(Database!AE11&gt;1,Database!AE18&gt;1),100*(Database!AE11/(Database!AE18)),0.0001)</f>
        <v>1E-4</v>
      </c>
      <c r="Q96" s="99">
        <f>IF(AND(Database!AG11&gt;1,Database!AG18&gt;1),100*(Database!AG11/(Database!AG18)),0.0001)</f>
        <v>1E-4</v>
      </c>
      <c r="R96" s="99">
        <f>IF(AND(Database!AI11&gt;1,Database!AI18&gt;1),100*(Database!AI11/(Database!AI18)),0.0001)</f>
        <v>1E-4</v>
      </c>
      <c r="S96" s="99">
        <f>IF(AND(Database!AK11&gt;1,Database!AK18&gt;1),100*(Database!AK11/(Database!AK18)),0.0001)</f>
        <v>1E-4</v>
      </c>
      <c r="T96" s="99">
        <f>IF(AND(Database!AM11&gt;1,Database!AM18&gt;1),100*(Database!AM11/(Database!AM18)),0.0001)</f>
        <v>1E-4</v>
      </c>
      <c r="U96" s="99">
        <f>IF(AND(Database!AO11&gt;1,Database!AO18&gt;1),100*(Database!AO11/(Database!AO18)),0.0001)</f>
        <v>1E-4</v>
      </c>
      <c r="V96" s="99">
        <f>IF(AND(Database!AQ11&gt;1,Database!AQ18&gt;1),100*(Database!AQ11/(Database!AQ18)),0.0001)</f>
        <v>1E-4</v>
      </c>
      <c r="W96" s="99">
        <f>IF(AND(Database!AS11&gt;1,Database!AS18&gt;1),100*(Database!AS11/(Database!AS18)),0.0001)</f>
        <v>1E-4</v>
      </c>
      <c r="X96" s="99">
        <f>IF(AND(Database!AU11&gt;1,Database!AU18&gt;1),100*(Database!AU11/(Database!AU18)),0.0001)</f>
        <v>1E-4</v>
      </c>
      <c r="Y96" s="99">
        <f>IF(AND(Database!AW11&gt;1,Database!AW18&gt;1),100*(Database!AW11/(Database!AW18)),0.0001)</f>
        <v>1E-4</v>
      </c>
      <c r="Z96" s="99">
        <f>IF(AND(Database!AY11&gt;1,Database!AY18&gt;1),100*(Database!AY11/(Database!AY18)),0.0001)</f>
        <v>1E-4</v>
      </c>
      <c r="AA96" s="99">
        <f>IF(AND(Database!BA11&gt;1,Database!BA18&gt;1),100*(Database!BA11/(Database!BA18)),0.0001)</f>
        <v>1E-4</v>
      </c>
      <c r="AB96" s="99">
        <f>IF(AND(Database!BC11&gt;1,Database!BC18&gt;1),100*(Database!BC11/(Database!BC18)),0.0001)</f>
        <v>1E-4</v>
      </c>
      <c r="AC96" s="99">
        <f>IF(AND(Database!BE11&gt;1,Database!BE18&gt;1),100*(Database!BE11/(Database!BE18)),0.0001)</f>
        <v>1E-4</v>
      </c>
      <c r="AD96" s="99">
        <f>IF(AND(Database!BG11&gt;1,Database!BG18&gt;1),100*(Database!BG11/(Database!BG18)),0.0001)</f>
        <v>1E-4</v>
      </c>
      <c r="AE96" s="99">
        <f>IF(AND(Database!BI11&gt;1,Database!BI18&gt;1),100*(Database!BI11/(Database!BI18)),0.0001)</f>
        <v>1E-4</v>
      </c>
      <c r="AF96" s="99">
        <f>IF(AND(Database!BK11&gt;1,Database!BK18&gt;1),100*(Database!BK11/(Database!BK18)),0.0001)</f>
        <v>1E-4</v>
      </c>
      <c r="AG96" s="99">
        <f>IF(AND(Database!BM11&gt;1,Database!BM18&gt;1),100*(Database!BM11/(Database!BM18)),0.0001)</f>
        <v>1E-4</v>
      </c>
      <c r="AH96" s="99">
        <f>IF(AND(Database!BO11&gt;1,Database!BO18&gt;1),100*(Database!BO11/(Database!BO18)),0.0001)</f>
        <v>1E-4</v>
      </c>
      <c r="AI96" s="99">
        <f>IF(AND(Database!BQ11&gt;1,Database!BQ18&gt;1),100*(Database!BQ11/(Database!BQ18)),0.0001)</f>
        <v>1E-4</v>
      </c>
      <c r="AJ96" s="99">
        <f>IF(AND(Database!BS11&gt;1,Database!BS18&gt;1),100*(Database!BS11/(Database!BS18)),0.0001)</f>
        <v>1E-4</v>
      </c>
      <c r="AK96" s="99">
        <f>IF(AND(Database!BU11&gt;1,Database!BU18&gt;1),100*(Database!BU11/(Database!BU18)),0.0001)</f>
        <v>1E-4</v>
      </c>
      <c r="AL96" s="99">
        <f>IF(AND(Database!BW11&gt;1,Database!BW18&gt;1),100*(Database!BW11/(Database!BW18)),0.0001)</f>
        <v>1E-4</v>
      </c>
      <c r="AM96" s="99">
        <f>IF(AND(Database!BY11&gt;1,Database!BY18&gt;1),100*(Database!BY11/(Database!BY18)),0.0001)</f>
        <v>1E-4</v>
      </c>
      <c r="AN96" s="99">
        <f>IF(AND(Database!CA11&gt;1,Database!CA18&gt;1),100*(Database!CA11/(Database!CA18)),0.0001)</f>
        <v>1E-4</v>
      </c>
      <c r="AO96" s="99">
        <f>IF(AND(Database!CC11&gt;1,Database!CC18&gt;1),100*(Database!CC11/(Database!CC18)),0.0001)</f>
        <v>1E-4</v>
      </c>
      <c r="AP96" s="99">
        <f>IF(AND(Database!CE11&gt;1,Database!CE18&gt;1),100*(Database!CE11/(Database!CE18)),0.0001)</f>
        <v>1E-4</v>
      </c>
      <c r="AQ96" s="99">
        <f>IF(AND(Database!CG11&gt;1,Database!CG18&gt;1),100*(Database!CG11/(Database!CG18)),0.0001)</f>
        <v>1E-4</v>
      </c>
      <c r="AR96" s="99">
        <f>IF(AND(Database!CI11&gt;1,Database!CI18&gt;1),100*(Database!CI11/(Database!CI18)),0.0001)</f>
        <v>1E-4</v>
      </c>
      <c r="AS96" s="99">
        <f>IF(AND(Database!CK11&gt;1,Database!CK18&gt;1),100*(Database!CK11/(Database!CK18)),0.0001)</f>
        <v>1E-4</v>
      </c>
      <c r="AT96" s="99">
        <f>IF(AND(Database!CM11&gt;1,Database!CM18&gt;1),100*(Database!CM11/(Database!CM18)),0.0001)</f>
        <v>1E-4</v>
      </c>
      <c r="AU96" s="99">
        <f>IF(AND(Database!CO11&gt;1,Database!CO18&gt;1),100*(Database!CO11/(Database!CO18)),0.0001)</f>
        <v>1E-4</v>
      </c>
      <c r="AV96" s="99">
        <f>IF(AND(Database!CQ11&gt;1,Database!CQ18&gt;1),100*(Database!CQ11/(Database!CQ18)),0.0001)</f>
        <v>1E-4</v>
      </c>
      <c r="AW96" s="99">
        <f>IF(AND(Database!CS11&gt;1,Database!CS18&gt;1),100*(Database!CS11/(Database!CS18)),0.0001)</f>
        <v>1E-4</v>
      </c>
      <c r="AX96" s="99">
        <f>IF(AND(Database!CU11&gt;1,Database!CU18&gt;1),100*(Database!CU11/(Database!CU18)),0.0001)</f>
        <v>1E-4</v>
      </c>
      <c r="AY96" s="99">
        <f>IF(AND(Database!CW11&gt;1,Database!CW18&gt;1),100*(Database!CW11/(Database!CW18)),0.0001)</f>
        <v>1E-4</v>
      </c>
      <c r="AZ96" s="99">
        <f>IF(AND(Database!CY11&gt;1,Database!CY18&gt;1),100*(Database!CY11/(Database!CY18)),0.0001)</f>
        <v>1E-4</v>
      </c>
      <c r="BA96" s="99">
        <f>IF(AND(Database!DA11&gt;1,Database!DA18&gt;1),100*(Database!DA11/(Database!DA18)),0.0001)</f>
        <v>1E-4</v>
      </c>
      <c r="BB96" s="99">
        <f>IF(AND(Database!DC11&gt;1,Database!DC18&gt;1),100*(Database!DC11/(Database!DC18)),0.0001)</f>
        <v>1E-4</v>
      </c>
      <c r="BC96" s="99">
        <f>IF(AND(Database!DE11&gt;1,Database!DE18&gt;1),100*(Database!DE11/(Database!DE18)),0.0001)</f>
        <v>1E-4</v>
      </c>
      <c r="BD96" s="99">
        <f>IF(AND(Database!DG11&gt;1,Database!DG18&gt;1),100*(Database!DG11/(Database!DG18)),0.0001)</f>
        <v>1E-4</v>
      </c>
      <c r="BE96" s="99">
        <f>IF(AND(Database!DI11&gt;1,Database!DI18&gt;1),100*(Database!DI11/(Database!DI18)),0.0001)</f>
        <v>1E-4</v>
      </c>
      <c r="BF96" s="99">
        <f>IF(AND(Database!DK11&gt;1,Database!DK18&gt;1),100*(Database!DK11/(Database!DK18)),0.0001)</f>
        <v>1E-4</v>
      </c>
      <c r="BG96" s="99">
        <f>IF(AND(Database!DM11&gt;1,Database!DM18&gt;1),100*(Database!DM11/(Database!DM18)),0.0001)</f>
        <v>1E-4</v>
      </c>
      <c r="BH96" s="99">
        <f>IF(AND(Database!DO11&gt;1,Database!DO18&gt;1),100*(Database!DO11/(Database!DO18)),0.0001)</f>
        <v>1E-4</v>
      </c>
      <c r="BI96" s="99">
        <f>IF(AND(Database!DQ11&gt;1,Database!DQ18&gt;1),100*(Database!DQ11/(Database!DQ18)),0.0001)</f>
        <v>1E-4</v>
      </c>
      <c r="BJ96" s="99">
        <f>IF(AND(Database!DS11&gt;1,Database!DS18&gt;1),100*(Database!DS11/(Database!DS18)),0.0001)</f>
        <v>1E-4</v>
      </c>
      <c r="BK96" s="99">
        <f>IF(AND(Database!DU11&gt;1,Database!DU18&gt;1),100*(Database!DU11/(Database!DU18)),0.0001)</f>
        <v>1E-4</v>
      </c>
      <c r="BL96" s="99">
        <f>IF(AND(Database!DW11&gt;1,Database!DW18&gt;1),100*(Database!DW11/(Database!DW18)),0.0001)</f>
        <v>1E-4</v>
      </c>
      <c r="BM96" s="99">
        <f>IF(AND(Database!DY11&gt;1,Database!DY18&gt;1),100*(Database!DY11/(Database!DY18)),0.0001)</f>
        <v>1E-4</v>
      </c>
      <c r="BN96" s="99">
        <f>IF(AND(Database!EA11&gt;1,Database!EA18&gt;1),100*(Database!EA11/(Database!EA18)),0.0001)</f>
        <v>1E-4</v>
      </c>
      <c r="BO96" s="99">
        <f>IF(AND(Database!EC11&gt;1,Database!EC18&gt;1),100*(Database!EC11/(Database!EC18)),0.0001)</f>
        <v>1E-4</v>
      </c>
      <c r="BP96" s="99">
        <f>IF(AND(Database!EE11&gt;1,Database!EE18&gt;1),100*(Database!EE11/(Database!EE18)),0.0001)</f>
        <v>1E-4</v>
      </c>
      <c r="BQ96" s="99">
        <f>IF(AND(Database!EG11&gt;1,Database!EG18&gt;1),100*(Database!EG11/(Database!EG18)),0.0001)</f>
        <v>1E-4</v>
      </c>
      <c r="BR96" s="99">
        <f>IF(AND(Database!EI11&gt;1,Database!EI18&gt;1),100*(Database!EI11/(Database!EI18)),0.0001)</f>
        <v>1E-4</v>
      </c>
      <c r="BS96" s="99">
        <f>IF(AND(Database!EK11&gt;1,Database!EK18&gt;1),100*(Database!EK11/(Database!EK18)),0.0001)</f>
        <v>1E-4</v>
      </c>
      <c r="BT96" s="99">
        <f>IF(AND(Database!EM11&gt;1,Database!EM18&gt;1),100*(Database!EM11/(Database!EM18)),0.0001)</f>
        <v>1E-4</v>
      </c>
      <c r="BU96" s="99">
        <f>IF(AND(Database!EO11&gt;1,Database!EO18&gt;1),100*(Database!EO11/(Database!EO18)),0.0001)</f>
        <v>1E-4</v>
      </c>
      <c r="BV96" s="99">
        <f>IF(AND(Database!EQ11&gt;1,Database!EQ18&gt;1),100*(Database!EQ11/(Database!EQ18)),0.0001)</f>
        <v>1E-4</v>
      </c>
      <c r="BW96" s="99">
        <f>IF(AND(Database!ES11&gt;1,Database!ES18&gt;1),100*(Database!ES11/(Database!ES18)),0.0001)</f>
        <v>1E-4</v>
      </c>
      <c r="BX96" s="99">
        <f>IF(AND(Database!EU11&gt;1,Database!EU18&gt;1),100*(Database!EU11/(Database!EU18)),0.0001)</f>
        <v>1E-4</v>
      </c>
      <c r="BY96" s="99">
        <f>IF(AND(Database!EW11&gt;1,Database!EW18&gt;1),100*(Database!EW11/(Database!EW18)),0.0001)</f>
        <v>1E-4</v>
      </c>
      <c r="BZ96" s="99">
        <f>IF(AND(Database!EY11&gt;1,Database!EY18&gt;1),100*(Database!EY11/(Database!EY18)),0.0001)</f>
        <v>1E-4</v>
      </c>
      <c r="CA96" s="99">
        <f>IF(AND(Database!FA11&gt;1,Database!FA18&gt;1),100*(Database!FA11/(Database!FA18)),0.0001)</f>
        <v>1E-4</v>
      </c>
      <c r="CB96" s="99">
        <f>IF(AND(Database!FC11&gt;1,Database!FC18&gt;1),100*(Database!FC11/(Database!FC18)),0.0001)</f>
        <v>1E-4</v>
      </c>
      <c r="CC96" s="99">
        <f>IF(AND(Database!FE11&gt;1,Database!FE18&gt;1),100*(Database!FE11/(Database!FE18)),0.0001)</f>
        <v>1E-4</v>
      </c>
      <c r="CD96" s="99">
        <f>IF(AND(Database!FG11&gt;1,Database!FG18&gt;1),100*(Database!FG11/(Database!FG18)),0.0001)</f>
        <v>1E-4</v>
      </c>
      <c r="CE96" s="99">
        <f>IF(AND(Database!FI11&gt;1,Database!FI18&gt;1),100*(Database!FI11/(Database!FI18)),0.0001)</f>
        <v>1E-4</v>
      </c>
      <c r="CF96" s="99">
        <f>IF(AND(Database!FK11&gt;1,Database!FK18&gt;1),100*(Database!FK11/(Database!FK18)),0.0001)</f>
        <v>1E-4</v>
      </c>
      <c r="CG96" s="99">
        <f>IF(AND(Database!FM11&gt;1,Database!FM18&gt;1),100*(Database!FM11/(Database!FM18)),0.0001)</f>
        <v>1E-4</v>
      </c>
      <c r="CH96" s="99">
        <f>IF(AND(Database!FO11&gt;1,Database!FO18&gt;1),100*(Database!FO11/(Database!FO18)),0.0001)</f>
        <v>1E-4</v>
      </c>
      <c r="CI96" s="99">
        <f>IF(AND(Database!FQ11&gt;1,Database!FQ18&gt;1),100*(Database!FQ11/(Database!FQ18)),0.0001)</f>
        <v>1E-4</v>
      </c>
      <c r="CJ96" s="99">
        <f>IF(AND(Database!FS11&gt;1,Database!FS18&gt;1),100*(Database!FS11/(Database!FS18)),0.0001)</f>
        <v>1E-4</v>
      </c>
      <c r="CK96" s="99">
        <f>IF(AND(Database!FU11&gt;1,Database!FU18&gt;1),100*(Database!FU11/(Database!FU18)),0.0001)</f>
        <v>1E-4</v>
      </c>
      <c r="CL96" s="99">
        <f>IF(AND(Database!FW11&gt;1,Database!FW18&gt;1),100*(Database!FW11/(Database!FW18)),0.0001)</f>
        <v>1E-4</v>
      </c>
      <c r="CM96" s="99">
        <f>IF(AND(Database!FY11&gt;1,Database!FY18&gt;1),100*(Database!FY11/(Database!FY18)),0.0001)</f>
        <v>1E-4</v>
      </c>
      <c r="CN96" s="99">
        <f>IF(AND(Database!GA11&gt;1,Database!GA18&gt;1),100*(Database!GA11/(Database!GA18)),0.0001)</f>
        <v>1E-4</v>
      </c>
      <c r="CO96" s="99">
        <f>IF(AND(Database!GC11&gt;1,Database!GC18&gt;1),100*(Database!GC11/(Database!GC18)),0.0001)</f>
        <v>1E-4</v>
      </c>
      <c r="CP96" s="99">
        <f>IF(AND(Database!GE11&gt;1,Database!GE18&gt;1),100*(Database!GE11/(Database!GE18)),0.0001)</f>
        <v>1E-4</v>
      </c>
      <c r="CQ96" s="99">
        <f>IF(AND(Database!GG11&gt;1,Database!GG18&gt;1),100*(Database!GG11/(Database!GG18)),0.0001)</f>
        <v>1E-4</v>
      </c>
      <c r="CR96" s="99">
        <f>IF(AND(Database!GI11&gt;1,Database!GI18&gt;1),100*(Database!GI11/(Database!GI18)),0.0001)</f>
        <v>1E-4</v>
      </c>
      <c r="CS96" s="99">
        <f>IF(AND(Database!GK11&gt;1,Database!GK18&gt;1),100*(Database!GK11/(Database!GK18)),0.0001)</f>
        <v>1E-4</v>
      </c>
      <c r="CT96" s="99">
        <f>IF(AND(Database!GM11&gt;1,Database!GM18&gt;1),100*(Database!GM11/(Database!GM18)),0.0001)</f>
        <v>1E-4</v>
      </c>
      <c r="CU96" s="99">
        <f>IF(AND(Database!GO11&gt;1,Database!GO18&gt;1),100*(Database!GO11/(Database!GO18)),0.0001)</f>
        <v>1E-4</v>
      </c>
      <c r="CV96" s="99">
        <f>IF(AND(Database!GQ11&gt;1,Database!GQ18&gt;1),100*(Database!GQ11/(Database!GQ18)),0.0001)</f>
        <v>1E-4</v>
      </c>
      <c r="CW96" s="99">
        <f>IF(AND(Database!GS11&gt;1,Database!GS18&gt;1),100*(Database!GS11/(Database!GS18)),0.0001)</f>
        <v>1E-4</v>
      </c>
      <c r="CX96" s="99">
        <f>IF(AND(Database!GU11&gt;1,Database!GU18&gt;1),100*(Database!GU11/(Database!GU18)),0.0001)</f>
        <v>1E-4</v>
      </c>
      <c r="CY96" s="99">
        <f>IF(AND(Database!GW11&gt;1,Database!GW18&gt;1),100*(Database!GW11/(Database!GW18)),0.0001)</f>
        <v>1E-4</v>
      </c>
      <c r="CZ96" s="99">
        <f>IF(AND(Database!GY11&gt;1,Database!GY18&gt;1),100*(Database!GY11/(Database!GY18)),0.0001)</f>
        <v>1E-4</v>
      </c>
      <c r="DA96" s="99">
        <f>IF(AND(Database!HA11&gt;1,Database!HA18&gt;1),100*(Database!HA11/(Database!HA18)),0.0001)</f>
        <v>1E-4</v>
      </c>
      <c r="DB96" s="99">
        <f>IF(AND(Database!HC11&gt;1,Database!HC18&gt;1),100*(Database!HC11/(Database!HC18)),0.0001)</f>
        <v>1E-4</v>
      </c>
      <c r="DC96" s="99">
        <f>IF(AND(Database!HE11&gt;1,Database!HE18&gt;1),100*(Database!HE11/(Database!HE18)),0.0001)</f>
        <v>1E-4</v>
      </c>
      <c r="DD96" s="99">
        <f>IF(AND(Database!HG11&gt;1,Database!HG18&gt;1),100*(Database!HG11/(Database!HG18)),0.0001)</f>
        <v>1E-4</v>
      </c>
      <c r="DE96" s="99">
        <f>IF(AND(Database!HI11&gt;1,Database!HI18&gt;1),100*(Database!HI11/(Database!HI18)),0.0001)</f>
        <v>1E-4</v>
      </c>
      <c r="DF96" s="99">
        <f>IF(AND(Database!HK11&gt;1,Database!HK18&gt;1),100*(Database!HK11/(Database!HK18)),0.0001)</f>
        <v>1E-4</v>
      </c>
      <c r="DG96" s="99">
        <f>IF(AND(Database!HM11&gt;1,Database!HM18&gt;1),100*(Database!HM11/(Database!HM18)),0.0001)</f>
        <v>1E-4</v>
      </c>
      <c r="DH96" s="99">
        <f>IF(AND(Database!HO11&gt;1,Database!HO18&gt;1),100*(Database!HO11/(Database!HO18)),0.0001)</f>
        <v>1E-4</v>
      </c>
      <c r="DI96" s="99">
        <f>IF(AND(Database!HQ11&gt;1,Database!HQ18&gt;1),100*(Database!HQ11/(Database!HQ18)),0.0001)</f>
        <v>1E-4</v>
      </c>
      <c r="DJ96" s="99">
        <f>IF(AND(Database!HS11&gt;1,Database!HS18&gt;1),100*(Database!HS11/(Database!HS18)),0.0001)</f>
        <v>1E-4</v>
      </c>
      <c r="DK96" s="99">
        <f>IF(AND(Database!HU11&gt;1,Database!HU18&gt;1),100*(Database!HU11/(Database!HU18)),0.0001)</f>
        <v>1E-4</v>
      </c>
      <c r="DL96" s="99">
        <f>IF(AND(Database!HW11&gt;1,Database!HW18&gt;1),100*(Database!HW11/(Database!HW18)),0.0001)</f>
        <v>1E-4</v>
      </c>
      <c r="DM96" s="99">
        <f>IF(AND(Database!HY11&gt;1,Database!HY18&gt;1),100*(Database!HY11/(Database!HY18)),0.0001)</f>
        <v>1E-4</v>
      </c>
      <c r="DN96" s="99">
        <f>IF(AND(Database!IA11&gt;1,Database!IA18&gt;1),100*(Database!IA11/(Database!IA18)),0.0001)</f>
        <v>1E-4</v>
      </c>
      <c r="DO96" s="99">
        <f>IF(AND(Database!IC11&gt;1,Database!IC18&gt;1),100*(Database!IC11/(Database!IC18)),0.0001)</f>
        <v>1E-4</v>
      </c>
      <c r="DP96" s="99">
        <f>IF(AND(Database!IE11&gt;1,Database!IE18&gt;1),100*(Database!IE11/(Database!IE18)),0.0001)</f>
        <v>1E-4</v>
      </c>
      <c r="DQ96" s="99">
        <f>IF(AND(Database!IG11&gt;1,Database!IG18&gt;1),100*(Database!IG11/(Database!IG18)),0.0001)</f>
        <v>1E-4</v>
      </c>
      <c r="DR96" s="99">
        <f>IF(AND(Database!II11&gt;1,Database!II18&gt;1),100*(Database!II11/(Database!II18)),0.0001)</f>
        <v>1E-4</v>
      </c>
      <c r="DS96" s="99">
        <f>IF(AND(Database!IK11&gt;1,Database!IK18&gt;1),100*(Database!IK11/(Database!IK18)),0.0001)</f>
        <v>1E-4</v>
      </c>
      <c r="DT96" s="99">
        <f>IF(AND(Database!IM11&gt;1,Database!IM18&gt;1),100*(Database!IM11/(Database!IM18)),0.0001)</f>
        <v>1E-4</v>
      </c>
      <c r="DU96" s="99">
        <f>IF(AND(Database!IO11&gt;1,Database!IO18&gt;1),100*(Database!IO11/(Database!IO18)),0.0001)</f>
        <v>1E-4</v>
      </c>
      <c r="DV96" s="99">
        <f>IF(AND(Database!IQ11&gt;1,Database!IQ18&gt;1),100*(Database!IQ11/(Database!IQ18)),0.0001)</f>
        <v>1E-4</v>
      </c>
      <c r="DW96" s="99">
        <f>IF(AND(Database!IS11&gt;1,Database!IS18&gt;1),100*(Database!IS11/(Database!IS18)),0.0001)</f>
        <v>1E-4</v>
      </c>
      <c r="DX96" s="99">
        <f>IF(AND(Database!IU11&gt;1,Database!IU18&gt;1),100*(Database!IU11/(Database!IU18)),0.0001)</f>
        <v>1E-4</v>
      </c>
      <c r="DY96" s="99">
        <f>IF(AND(Database!IW11&gt;1,Database!IW18&gt;1),100*(Database!IW11/(Database!IW18)),0.0001)</f>
        <v>1E-4</v>
      </c>
      <c r="DZ96" s="99">
        <f>IF(AND(Database!IY11&gt;1,Database!IY18&gt;1),100*(Database!IY11/(Database!IY18)),0.0001)</f>
        <v>1E-4</v>
      </c>
      <c r="EA96" s="99">
        <f>IF(AND(Database!JA11&gt;1,Database!JA18&gt;1),100*(Database!JA11/(Database!JA18)),0.0001)</f>
        <v>1E-4</v>
      </c>
      <c r="EB96" s="99">
        <f>IF(AND(Database!JC11&gt;1,Database!JC18&gt;1),100*(Database!JC11/(Database!JC18)),0.0001)</f>
        <v>1E-4</v>
      </c>
      <c r="EC96" s="99">
        <f>IF(AND(Database!JE11&gt;1,Database!JE18&gt;1),100*(Database!JE11/(Database!JE18)),0.0001)</f>
        <v>1E-4</v>
      </c>
      <c r="ED96" s="99">
        <f>IF(AND(Database!JG11&gt;1,Database!JG18&gt;1),100*(Database!JG11/(Database!JG18)),0.0001)</f>
        <v>1E-4</v>
      </c>
      <c r="EE96" s="99">
        <f>IF(AND(Database!JI11&gt;1,Database!JI18&gt;1),100*(Database!JI11/(Database!JI18)),0.0001)</f>
        <v>1E-4</v>
      </c>
      <c r="EF96" s="99">
        <f>IF(AND(Database!JK11&gt;1,Database!JK18&gt;1),100*(Database!JK11/(Database!JK18)),0.0001)</f>
        <v>1E-4</v>
      </c>
      <c r="EG96" s="99">
        <f>IF(AND(Database!JM11&gt;1,Database!JM18&gt;1),100*(Database!JM11/(Database!JM18)),0.0001)</f>
        <v>1E-4</v>
      </c>
      <c r="EH96" s="99">
        <f>IF(AND(Database!JO11&gt;1,Database!JO18&gt;1),100*(Database!JO11/(Database!JO18)),0.0001)</f>
        <v>1E-4</v>
      </c>
      <c r="EI96" s="99">
        <f>IF(AND(Database!JQ11&gt;1,Database!JQ18&gt;1),100*(Database!JQ11/(Database!JQ18)),0.0001)</f>
        <v>1E-4</v>
      </c>
      <c r="EJ96" s="99">
        <f>IF(AND(Database!JS11&gt;1,Database!JS18&gt;1),100*(Database!JS11/(Database!JS18)),0.0001)</f>
        <v>1E-4</v>
      </c>
      <c r="EK96" s="99">
        <f>IF(AND(Database!JU11&gt;1,Database!JU18&gt;1),100*(Database!JU11/(Database!JU18)),0.0001)</f>
        <v>1E-4</v>
      </c>
      <c r="EL96" s="99">
        <f>IF(AND(Database!JW11&gt;1,Database!JW18&gt;1),100*(Database!JW11/(Database!JW18)),0.0001)</f>
        <v>1E-4</v>
      </c>
      <c r="EM96" s="99">
        <f>IF(AND(Database!JY11&gt;1,Database!JY18&gt;1),100*(Database!JY11/(Database!JY18)),0.0001)</f>
        <v>1E-4</v>
      </c>
      <c r="EN96" s="99">
        <f>IF(AND(Database!KA11&gt;1,Database!KA18&gt;1),100*(Database!KA11/(Database!KA18)),0.0001)</f>
        <v>1E-4</v>
      </c>
      <c r="EO96" s="99">
        <f>IF(AND(Database!KC11&gt;1,Database!KC18&gt;1),100*(Database!KC11/(Database!KC18)),0.0001)</f>
        <v>1E-4</v>
      </c>
      <c r="EP96" s="99">
        <f>IF(AND(Database!KE11&gt;1,Database!KE18&gt;1),100*(Database!KE11/(Database!KE18)),0.0001)</f>
        <v>1E-4</v>
      </c>
      <c r="EQ96" s="99">
        <f>IF(AND(Database!KG11&gt;1,Database!KG18&gt;1),100*(Database!KG11/(Database!KG18)),0.0001)</f>
        <v>1E-4</v>
      </c>
      <c r="ER96" s="99">
        <f>IF(AND(Database!KI11&gt;1,Database!KI18&gt;1),100*(Database!KI11/(Database!KI18)),0.0001)</f>
        <v>1E-4</v>
      </c>
      <c r="ES96" s="99">
        <f>IF(AND(Database!KK11&gt;1,Database!KK18&gt;1),100*(Database!KK11/(Database!KK18)),0.0001)</f>
        <v>1E-4</v>
      </c>
      <c r="ET96" s="99">
        <f>IF(AND(Database!KM11&gt;1,Database!KM18&gt;1),100*(Database!KM11/(Database!KM18)),0.0001)</f>
        <v>1E-4</v>
      </c>
      <c r="EU96" s="99">
        <f>IF(AND(Database!KO11&gt;1,Database!KO18&gt;1),100*(Database!KO11/(Database!KO18)),0.0001)</f>
        <v>1E-4</v>
      </c>
      <c r="EV96" s="99">
        <f>IF(AND(Database!KQ11&gt;1,Database!KQ18&gt;1),100*(Database!KQ11/(Database!KQ18)),0.0001)</f>
        <v>1E-4</v>
      </c>
      <c r="EW96" s="99">
        <f>IF(AND(Database!KS11&gt;1,Database!KS18&gt;1),100*(Database!KS11/(Database!KS18)),0.0001)</f>
        <v>1E-4</v>
      </c>
      <c r="EX96" s="99">
        <f>IF(AND(Database!KU11&gt;1,Database!KU18&gt;1),100*(Database!KU11/(Database!KU18)),0.0001)</f>
        <v>1E-4</v>
      </c>
      <c r="EY96" s="99">
        <f>IF(AND(Database!KW11&gt;1,Database!KW18&gt;1),100*(Database!KW11/(Database!KW18)),0.0001)</f>
        <v>1E-4</v>
      </c>
      <c r="EZ96" s="99">
        <f>IF(AND(Database!KY11&gt;1,Database!KY18&gt;1),100*(Database!KY11/(Database!KY18)),0.0001)</f>
        <v>1E-4</v>
      </c>
      <c r="FA96" s="99">
        <f>IF(AND(Database!LA11&gt;1,Database!LA18&gt;1),100*(Database!LA11/(Database!LA18)),0.0001)</f>
        <v>1E-4</v>
      </c>
      <c r="FB96" s="99">
        <f>IF(AND(Database!LC11&gt;1,Database!LC18&gt;1),100*(Database!LC11/(Database!LC18)),0.0001)</f>
        <v>1E-4</v>
      </c>
      <c r="FC96" s="99">
        <f>IF(AND(Database!LE11&gt;1,Database!LE18&gt;1),100*(Database!LE11/(Database!LE18)),0.0001)</f>
        <v>1E-4</v>
      </c>
      <c r="FD96" s="99">
        <f>IF(AND(Database!LG11&gt;1,Database!LG18&gt;1),100*(Database!LG11/(Database!LG18)),0.0001)</f>
        <v>1E-4</v>
      </c>
      <c r="FE96" s="99">
        <f>IF(AND(Database!LI11&gt;1,Database!LI18&gt;1),100*(Database!LI11/(Database!LI18)),0.0001)</f>
        <v>1E-4</v>
      </c>
      <c r="FF96" s="99">
        <f>IF(AND(Database!LK11&gt;1,Database!LK18&gt;1),100*(Database!LK11/(Database!LK18)),0.0001)</f>
        <v>1E-4</v>
      </c>
      <c r="FG96" s="99">
        <f>IF(AND(Database!LM11&gt;1,Database!LM18&gt;1),100*(Database!LM11/(Database!LM18)),0.0001)</f>
        <v>1E-4</v>
      </c>
      <c r="FH96" s="99">
        <f>IF(AND(Database!LO11&gt;1,Database!LO18&gt;1),100*(Database!LO11/(Database!LO18)),0.0001)</f>
        <v>1E-4</v>
      </c>
      <c r="FI96" s="99">
        <f>IF(AND(Database!LQ11&gt;1,Database!LQ18&gt;1),100*(Database!LQ11/(Database!LQ18)),0.0001)</f>
        <v>1E-4</v>
      </c>
      <c r="FJ96" s="99">
        <f>IF(AND(Database!LS11&gt;1,Database!LS18&gt;1),100*(Database!LS11/(Database!LS18)),0.0001)</f>
        <v>1E-4</v>
      </c>
      <c r="FK96" s="99">
        <f>IF(AND(Database!LU11&gt;1,Database!LU18&gt;1),100*(Database!LU11/(Database!LU18)),0.0001)</f>
        <v>1E-4</v>
      </c>
      <c r="FL96" s="99">
        <f>IF(AND(Database!LW11&gt;1,Database!LW18&gt;1),100*(Database!LW11/(Database!LW18)),0.0001)</f>
        <v>1E-4</v>
      </c>
      <c r="FM96" s="99">
        <f>IF(AND(Database!LY11&gt;1,Database!LY18&gt;1),100*(Database!LY11/(Database!LY18)),0.0001)</f>
        <v>1E-4</v>
      </c>
      <c r="FN96" s="99">
        <f>IF(AND(Database!MA11&gt;1,Database!MA18&gt;1),100*(Database!MA11/(Database!MA18)),0.0001)</f>
        <v>1E-4</v>
      </c>
      <c r="FO96" s="99">
        <f>IF(AND(Database!MC11&gt;1,Database!MC18&gt;1),100*(Database!MC11/(Database!MC18)),0.0001)</f>
        <v>1E-4</v>
      </c>
      <c r="FP96" s="99">
        <f>IF(AND(Database!ME11&gt;1,Database!ME18&gt;1),100*(Database!ME11/(Database!ME18)),0.0001)</f>
        <v>1E-4</v>
      </c>
      <c r="FQ96" s="99">
        <f>IF(AND(Database!MG11&gt;1,Database!MG18&gt;1),100*(Database!MG11/(Database!MG18)),0.0001)</f>
        <v>1E-4</v>
      </c>
      <c r="FR96" s="99">
        <f>IF(AND(Database!MI11&gt;1,Database!MI18&gt;1),100*(Database!MI11/(Database!MI18)),0.0001)</f>
        <v>1E-4</v>
      </c>
      <c r="FS96" s="99">
        <f>IF(AND(Database!MK11&gt;1,Database!MK18&gt;1),100*(Database!MK11/(Database!MK18)),0.0001)</f>
        <v>1E-4</v>
      </c>
      <c r="FT96" s="99">
        <f>IF(AND(Database!MM11&gt;1,Database!MM18&gt;1),100*(Database!MM11/(Database!MM18)),0.0001)</f>
        <v>1E-4</v>
      </c>
      <c r="FU96" s="99">
        <f>IF(AND(Database!MO11&gt;1,Database!MO18&gt;1),100*(Database!MO11/(Database!MO18)),0.0001)</f>
        <v>1E-4</v>
      </c>
      <c r="FV96" s="99">
        <f>IF(AND(Database!MQ11&gt;1,Database!MQ18&gt;1),100*(Database!MQ11/(Database!MQ18)),0.0001)</f>
        <v>1E-4</v>
      </c>
      <c r="FW96" s="99">
        <f>IF(AND(Database!MS11&gt;1,Database!MS18&gt;1),100*(Database!MS11/(Database!MS18)),0.0001)</f>
        <v>1E-4</v>
      </c>
      <c r="FX96" s="99">
        <f>IF(AND(Database!MU11&gt;1,Database!MU18&gt;1),100*(Database!MU11/(Database!MU18)),0.0001)</f>
        <v>1E-4</v>
      </c>
      <c r="FY96" s="99">
        <f>IF(AND(Database!MW11&gt;1,Database!MW18&gt;1),100*(Database!MW11/(Database!MW18)),0.0001)</f>
        <v>1E-4</v>
      </c>
      <c r="FZ96" s="99">
        <f>IF(AND(Database!MY11&gt;1,Database!MY18&gt;1),100*(Database!MY11/(Database!MY18)),0.0001)</f>
        <v>1E-4</v>
      </c>
      <c r="GA96" s="99">
        <f>IF(AND(Database!NA11&gt;1,Database!NA18&gt;1),100*(Database!NA11/(Database!NA18)),0.0001)</f>
        <v>1E-4</v>
      </c>
      <c r="GB96" s="99">
        <f>IF(AND(Database!NC11&gt;1,Database!NC18&gt;1),100*(Database!NC11/(Database!NC18)),0.0001)</f>
        <v>1E-4</v>
      </c>
      <c r="GC96" s="99">
        <f>IF(AND(Database!NE11&gt;1,Database!NE18&gt;1),100*(Database!NE11/(Database!NE18)),0.0001)</f>
        <v>1E-4</v>
      </c>
      <c r="GD96" s="99">
        <f>IF(AND(Database!NG11&gt;1,Database!NG18&gt;1),100*(Database!NG11/(Database!NG18)),0.0001)</f>
        <v>1E-4</v>
      </c>
      <c r="GE96" s="99">
        <f>IF(AND(Database!NI11&gt;1,Database!NI18&gt;1),100*(Database!NI11/(Database!NI18)),0.0001)</f>
        <v>1E-4</v>
      </c>
      <c r="GF96" s="99">
        <f>IF(AND(Database!NK11&gt;1,Database!NK18&gt;1),100*(Database!NK11/(Database!NK18)),0.0001)</f>
        <v>1E-4</v>
      </c>
      <c r="GG96" s="99">
        <f>IF(AND(Database!NM11&gt;1,Database!NM18&gt;1),100*(Database!NM11/(Database!NM18)),0.0001)</f>
        <v>1E-4</v>
      </c>
      <c r="GH96" s="99">
        <f>IF(AND(Database!NO11&gt;1,Database!NO18&gt;1),100*(Database!NO11/(Database!NO18)),0.0001)</f>
        <v>1E-4</v>
      </c>
      <c r="GI96" s="99">
        <f>IF(AND(Database!NQ11&gt;1,Database!NQ18&gt;1),100*(Database!NQ11/(Database!NQ18)),0.0001)</f>
        <v>1E-4</v>
      </c>
      <c r="GJ96" s="99">
        <f>IF(AND(Database!NS11&gt;1,Database!NS18&gt;1),100*(Database!NS11/(Database!NS18)),0.0001)</f>
        <v>1E-4</v>
      </c>
      <c r="GK96" s="99">
        <f>IF(AND(Database!NU11&gt;1,Database!NU18&gt;1),100*(Database!NU11/(Database!NU18)),0.0001)</f>
        <v>1E-4</v>
      </c>
      <c r="GL96" s="99">
        <f>IF(AND(Database!NW11&gt;1,Database!NW18&gt;1),100*(Database!NW11/(Database!NW18)),0.0001)</f>
        <v>1E-4</v>
      </c>
      <c r="GM96" s="99">
        <f>IF(AND(Database!NY11&gt;1,Database!NY18&gt;1),100*(Database!NY11/(Database!NY18)),0.0001)</f>
        <v>1E-4</v>
      </c>
      <c r="GN96" s="99">
        <f>IF(AND(Database!OA11&gt;1,Database!OA18&gt;1),100*(Database!OA11/(Database!OA18)),0.0001)</f>
        <v>1E-4</v>
      </c>
      <c r="GO96" s="99">
        <f>IF(AND(Database!OC11&gt;1,Database!OC18&gt;1),100*(Database!OC11/(Database!OC18)),0.0001)</f>
        <v>1E-4</v>
      </c>
      <c r="GP96" s="99">
        <f>IF(AND(Database!OE11&gt;1,Database!OE18&gt;1),100*(Database!OE11/(Database!OE18)),0.0001)</f>
        <v>1E-4</v>
      </c>
      <c r="GQ96" s="99">
        <f>IF(AND(Database!OG11&gt;1,Database!OG18&gt;1),100*(Database!OG11/(Database!OG18)),0.0001)</f>
        <v>1E-4</v>
      </c>
      <c r="GR96" s="99">
        <f>IF(AND(Database!OI11&gt;1,Database!OI18&gt;1),100*(Database!OI11/(Database!OI18)),0.0001)</f>
        <v>1E-4</v>
      </c>
      <c r="GS96" s="99">
        <f>IF(AND(Database!OK11&gt;1,Database!OK18&gt;1),100*(Database!OK11/(Database!OK18)),0.0001)</f>
        <v>1E-4</v>
      </c>
      <c r="GT96" s="99">
        <f>IF(AND(Database!OM11&gt;1,Database!OM18&gt;1),100*(Database!OM11/(Database!OM18)),0.0001)</f>
        <v>1E-4</v>
      </c>
    </row>
    <row r="97" spans="1:202" ht="18.75" customHeight="1" x14ac:dyDescent="0.4">
      <c r="A97" s="29" t="s">
        <v>106</v>
      </c>
      <c r="B97" s="306"/>
      <c r="C97" s="99">
        <f>IF(AND(Database!E13&gt;1,Database!E14&gt;1),100*(Database!E13/(Database!E14)),0.0001)</f>
        <v>111.35885570046278</v>
      </c>
      <c r="D97" s="99">
        <f>IF(AND(Database!G13&gt;1,Database!G14&gt;1),100*(Database!G13/(Database!G14)),0.0001)</f>
        <v>24.03374757724319</v>
      </c>
      <c r="E97" s="99">
        <f>IF(AND(Database!I13&gt;1,Database!I14&gt;1),100*(Database!I13/(Database!I14)),0.0001)</f>
        <v>32.329108664034905</v>
      </c>
      <c r="F97" s="99">
        <f>IF(AND(Database!K13&gt;1,Database!K14&gt;1),100*(Database!K13/(Database!K14)),0.0001)</f>
        <v>34.135392783878366</v>
      </c>
      <c r="G97" s="99">
        <f>IF(AND(Database!M13&gt;1,Database!M14&gt;1),100*(Database!M13/(Database!M14)),0.0001)</f>
        <v>1E-4</v>
      </c>
      <c r="H97" s="99">
        <f>IF(AND(Database!O13&gt;1,Database!O14&gt;1),100*(Database!O13/(Database!O14)),0.0001)</f>
        <v>1E-4</v>
      </c>
      <c r="I97" s="99">
        <f>IF(AND(Database!Q13&gt;1,Database!Q14&gt;1),100*(Database!Q13/(Database!Q14)),0.0001)</f>
        <v>1E-4</v>
      </c>
      <c r="J97" s="99">
        <f>IF(AND(Database!S13&gt;1,Database!S14&gt;1),100*(Database!S13/(Database!S14)),0.0001)</f>
        <v>1E-4</v>
      </c>
      <c r="K97" s="99">
        <f>IF(AND(Database!U13&gt;1,Database!U14&gt;1),100*(Database!U13/(Database!U14)),0.0001)</f>
        <v>1E-4</v>
      </c>
      <c r="L97" s="99">
        <f>IF(AND(Database!W13&gt;1,Database!W14&gt;1),100*(Database!W13/(Database!W14)),0.0001)</f>
        <v>1E-4</v>
      </c>
      <c r="M97" s="99">
        <f>IF(AND(Database!Y13&gt;1,Database!Y14&gt;1),100*(Database!Y13/(Database!Y14)),0.0001)</f>
        <v>1E-4</v>
      </c>
      <c r="N97" s="99">
        <f>IF(AND(Database!AA13&gt;1,Database!AA14&gt;1),100*(Database!AA13/(Database!AA14)),0.0001)</f>
        <v>1E-4</v>
      </c>
      <c r="O97" s="99">
        <f>IF(AND(Database!AC13&gt;1,Database!AC14&gt;1),100*(Database!AC13/(Database!AC14)),0.0001)</f>
        <v>1E-4</v>
      </c>
      <c r="P97" s="99">
        <f>IF(AND(Database!AE13&gt;1,Database!AE14&gt;1),100*(Database!AE13/(Database!AE14)),0.0001)</f>
        <v>1E-4</v>
      </c>
      <c r="Q97" s="99">
        <f>IF(AND(Database!AG13&gt;1,Database!AG14&gt;1),100*(Database!AG13/(Database!AG14)),0.0001)</f>
        <v>1E-4</v>
      </c>
      <c r="R97" s="99">
        <f>IF(AND(Database!AI13&gt;1,Database!AI14&gt;1),100*(Database!AI13/(Database!AI14)),0.0001)</f>
        <v>1E-4</v>
      </c>
      <c r="S97" s="99">
        <f>IF(AND(Database!AK13&gt;1,Database!AK14&gt;1),100*(Database!AK13/(Database!AK14)),0.0001)</f>
        <v>1E-4</v>
      </c>
      <c r="T97" s="99">
        <f>IF(AND(Database!AM13&gt;1,Database!AM14&gt;1),100*(Database!AM13/(Database!AM14)),0.0001)</f>
        <v>1E-4</v>
      </c>
      <c r="U97" s="99">
        <f>IF(AND(Database!AO13&gt;1,Database!AO14&gt;1),100*(Database!AO13/(Database!AO14)),0.0001)</f>
        <v>1E-4</v>
      </c>
      <c r="V97" s="99">
        <f>IF(AND(Database!AQ13&gt;1,Database!AQ14&gt;1),100*(Database!AQ13/(Database!AQ14)),0.0001)</f>
        <v>1E-4</v>
      </c>
      <c r="W97" s="99">
        <f>IF(AND(Database!AS13&gt;1,Database!AS14&gt;1),100*(Database!AS13/(Database!AS14)),0.0001)</f>
        <v>1E-4</v>
      </c>
      <c r="X97" s="99">
        <f>IF(AND(Database!AU13&gt;1,Database!AU14&gt;1),100*(Database!AU13/(Database!AU14)),0.0001)</f>
        <v>1E-4</v>
      </c>
      <c r="Y97" s="99">
        <f>IF(AND(Database!AW13&gt;1,Database!AW14&gt;1),100*(Database!AW13/(Database!AW14)),0.0001)</f>
        <v>1E-4</v>
      </c>
      <c r="Z97" s="99">
        <f>IF(AND(Database!AY13&gt;1,Database!AY14&gt;1),100*(Database!AY13/(Database!AY14)),0.0001)</f>
        <v>1E-4</v>
      </c>
      <c r="AA97" s="99">
        <f>IF(AND(Database!BA13&gt;1,Database!BA14&gt;1),100*(Database!BA13/(Database!BA14)),0.0001)</f>
        <v>1E-4</v>
      </c>
      <c r="AB97" s="99">
        <f>IF(AND(Database!BC13&gt;1,Database!BC14&gt;1),100*(Database!BC13/(Database!BC14)),0.0001)</f>
        <v>1E-4</v>
      </c>
      <c r="AC97" s="99">
        <f>IF(AND(Database!BE13&gt;1,Database!BE14&gt;1),100*(Database!BE13/(Database!BE14)),0.0001)</f>
        <v>1E-4</v>
      </c>
      <c r="AD97" s="99">
        <f>IF(AND(Database!BG13&gt;1,Database!BG14&gt;1),100*(Database!BG13/(Database!BG14)),0.0001)</f>
        <v>1E-4</v>
      </c>
      <c r="AE97" s="99">
        <f>IF(AND(Database!BI13&gt;1,Database!BI14&gt;1),100*(Database!BI13/(Database!BI14)),0.0001)</f>
        <v>1E-4</v>
      </c>
      <c r="AF97" s="99">
        <f>IF(AND(Database!BK13&gt;1,Database!BK14&gt;1),100*(Database!BK13/(Database!BK14)),0.0001)</f>
        <v>1E-4</v>
      </c>
      <c r="AG97" s="99">
        <f>IF(AND(Database!BM13&gt;1,Database!BM14&gt;1),100*(Database!BM13/(Database!BM14)),0.0001)</f>
        <v>1E-4</v>
      </c>
      <c r="AH97" s="99">
        <f>IF(AND(Database!BO13&gt;1,Database!BO14&gt;1),100*(Database!BO13/(Database!BO14)),0.0001)</f>
        <v>1E-4</v>
      </c>
      <c r="AI97" s="99">
        <f>IF(AND(Database!BQ13&gt;1,Database!BQ14&gt;1),100*(Database!BQ13/(Database!BQ14)),0.0001)</f>
        <v>1E-4</v>
      </c>
      <c r="AJ97" s="99">
        <f>IF(AND(Database!BS13&gt;1,Database!BS14&gt;1),100*(Database!BS13/(Database!BS14)),0.0001)</f>
        <v>1E-4</v>
      </c>
      <c r="AK97" s="99">
        <f>IF(AND(Database!BU13&gt;1,Database!BU14&gt;1),100*(Database!BU13/(Database!BU14)),0.0001)</f>
        <v>1E-4</v>
      </c>
      <c r="AL97" s="99">
        <f>IF(AND(Database!BW13&gt;1,Database!BW14&gt;1),100*(Database!BW13/(Database!BW14)),0.0001)</f>
        <v>1E-4</v>
      </c>
      <c r="AM97" s="99">
        <f>IF(AND(Database!BY13&gt;1,Database!BY14&gt;1),100*(Database!BY13/(Database!BY14)),0.0001)</f>
        <v>1E-4</v>
      </c>
      <c r="AN97" s="99">
        <f>IF(AND(Database!CA13&gt;1,Database!CA14&gt;1),100*(Database!CA13/(Database!CA14)),0.0001)</f>
        <v>1E-4</v>
      </c>
      <c r="AO97" s="99">
        <f>IF(AND(Database!CC13&gt;1,Database!CC14&gt;1),100*(Database!CC13/(Database!CC14)),0.0001)</f>
        <v>1E-4</v>
      </c>
      <c r="AP97" s="99">
        <f>IF(AND(Database!CE13&gt;1,Database!CE14&gt;1),100*(Database!CE13/(Database!CE14)),0.0001)</f>
        <v>1E-4</v>
      </c>
      <c r="AQ97" s="99">
        <f>IF(AND(Database!CG13&gt;1,Database!CG14&gt;1),100*(Database!CG13/(Database!CG14)),0.0001)</f>
        <v>1E-4</v>
      </c>
      <c r="AR97" s="99">
        <f>IF(AND(Database!CI13&gt;1,Database!CI14&gt;1),100*(Database!CI13/(Database!CI14)),0.0001)</f>
        <v>1E-4</v>
      </c>
      <c r="AS97" s="99">
        <f>IF(AND(Database!CK13&gt;1,Database!CK14&gt;1),100*(Database!CK13/(Database!CK14)),0.0001)</f>
        <v>1E-4</v>
      </c>
      <c r="AT97" s="99">
        <f>IF(AND(Database!CM13&gt;1,Database!CM14&gt;1),100*(Database!CM13/(Database!CM14)),0.0001)</f>
        <v>1E-4</v>
      </c>
      <c r="AU97" s="99">
        <f>IF(AND(Database!CO13&gt;1,Database!CO14&gt;1),100*(Database!CO13/(Database!CO14)),0.0001)</f>
        <v>1E-4</v>
      </c>
      <c r="AV97" s="99">
        <f>IF(AND(Database!CQ13&gt;1,Database!CQ14&gt;1),100*(Database!CQ13/(Database!CQ14)),0.0001)</f>
        <v>1E-4</v>
      </c>
      <c r="AW97" s="99">
        <f>IF(AND(Database!CS13&gt;1,Database!CS14&gt;1),100*(Database!CS13/(Database!CS14)),0.0001)</f>
        <v>1E-4</v>
      </c>
      <c r="AX97" s="99">
        <f>IF(AND(Database!CU13&gt;1,Database!CU14&gt;1),100*(Database!CU13/(Database!CU14)),0.0001)</f>
        <v>1E-4</v>
      </c>
      <c r="AY97" s="99">
        <f>IF(AND(Database!CW13&gt;1,Database!CW14&gt;1),100*(Database!CW13/(Database!CW14)),0.0001)</f>
        <v>1E-4</v>
      </c>
      <c r="AZ97" s="99">
        <f>IF(AND(Database!CY13&gt;1,Database!CY14&gt;1),100*(Database!CY13/(Database!CY14)),0.0001)</f>
        <v>1E-4</v>
      </c>
      <c r="BA97" s="99">
        <f>IF(AND(Database!DA13&gt;1,Database!DA14&gt;1),100*(Database!DA13/(Database!DA14)),0.0001)</f>
        <v>1E-4</v>
      </c>
      <c r="BB97" s="99">
        <f>IF(AND(Database!DC13&gt;1,Database!DC14&gt;1),100*(Database!DC13/(Database!DC14)),0.0001)</f>
        <v>1E-4</v>
      </c>
      <c r="BC97" s="99">
        <f>IF(AND(Database!DE13&gt;1,Database!DE14&gt;1),100*(Database!DE13/(Database!DE14)),0.0001)</f>
        <v>1E-4</v>
      </c>
      <c r="BD97" s="99">
        <f>IF(AND(Database!DG13&gt;1,Database!DG14&gt;1),100*(Database!DG13/(Database!DG14)),0.0001)</f>
        <v>1E-4</v>
      </c>
      <c r="BE97" s="99">
        <f>IF(AND(Database!DI13&gt;1,Database!DI14&gt;1),100*(Database!DI13/(Database!DI14)),0.0001)</f>
        <v>1E-4</v>
      </c>
      <c r="BF97" s="99">
        <f>IF(AND(Database!DK13&gt;1,Database!DK14&gt;1),100*(Database!DK13/(Database!DK14)),0.0001)</f>
        <v>1E-4</v>
      </c>
      <c r="BG97" s="99">
        <f>IF(AND(Database!DM13&gt;1,Database!DM14&gt;1),100*(Database!DM13/(Database!DM14)),0.0001)</f>
        <v>1E-4</v>
      </c>
      <c r="BH97" s="99">
        <f>IF(AND(Database!DO13&gt;1,Database!DO14&gt;1),100*(Database!DO13/(Database!DO14)),0.0001)</f>
        <v>1E-4</v>
      </c>
      <c r="BI97" s="99">
        <f>IF(AND(Database!DQ13&gt;1,Database!DQ14&gt;1),100*(Database!DQ13/(Database!DQ14)),0.0001)</f>
        <v>1E-4</v>
      </c>
      <c r="BJ97" s="99">
        <f>IF(AND(Database!DS13&gt;1,Database!DS14&gt;1),100*(Database!DS13/(Database!DS14)),0.0001)</f>
        <v>1E-4</v>
      </c>
      <c r="BK97" s="99">
        <f>IF(AND(Database!DU13&gt;1,Database!DU14&gt;1),100*(Database!DU13/(Database!DU14)),0.0001)</f>
        <v>1E-4</v>
      </c>
      <c r="BL97" s="99">
        <f>IF(AND(Database!DW13&gt;1,Database!DW14&gt;1),100*(Database!DW13/(Database!DW14)),0.0001)</f>
        <v>1E-4</v>
      </c>
      <c r="BM97" s="99">
        <f>IF(AND(Database!DY13&gt;1,Database!DY14&gt;1),100*(Database!DY13/(Database!DY14)),0.0001)</f>
        <v>1E-4</v>
      </c>
      <c r="BN97" s="99">
        <f>IF(AND(Database!EA13&gt;1,Database!EA14&gt;1),100*(Database!EA13/(Database!EA14)),0.0001)</f>
        <v>1E-4</v>
      </c>
      <c r="BO97" s="99">
        <f>IF(AND(Database!EC13&gt;1,Database!EC14&gt;1),100*(Database!EC13/(Database!EC14)),0.0001)</f>
        <v>1E-4</v>
      </c>
      <c r="BP97" s="99">
        <f>IF(AND(Database!EE13&gt;1,Database!EE14&gt;1),100*(Database!EE13/(Database!EE14)),0.0001)</f>
        <v>1E-4</v>
      </c>
      <c r="BQ97" s="99">
        <f>IF(AND(Database!EG13&gt;1,Database!EG14&gt;1),100*(Database!EG13/(Database!EG14)),0.0001)</f>
        <v>1E-4</v>
      </c>
      <c r="BR97" s="99">
        <f>IF(AND(Database!EI13&gt;1,Database!EI14&gt;1),100*(Database!EI13/(Database!EI14)),0.0001)</f>
        <v>1E-4</v>
      </c>
      <c r="BS97" s="99">
        <f>IF(AND(Database!EK13&gt;1,Database!EK14&gt;1),100*(Database!EK13/(Database!EK14)),0.0001)</f>
        <v>1E-4</v>
      </c>
      <c r="BT97" s="99">
        <f>IF(AND(Database!EM13&gt;1,Database!EM14&gt;1),100*(Database!EM13/(Database!EM14)),0.0001)</f>
        <v>1E-4</v>
      </c>
      <c r="BU97" s="99">
        <f>IF(AND(Database!EO13&gt;1,Database!EO14&gt;1),100*(Database!EO13/(Database!EO14)),0.0001)</f>
        <v>1E-4</v>
      </c>
      <c r="BV97" s="99">
        <f>IF(AND(Database!EQ13&gt;1,Database!EQ14&gt;1),100*(Database!EQ13/(Database!EQ14)),0.0001)</f>
        <v>1E-4</v>
      </c>
      <c r="BW97" s="99">
        <f>IF(AND(Database!ES13&gt;1,Database!ES14&gt;1),100*(Database!ES13/(Database!ES14)),0.0001)</f>
        <v>1E-4</v>
      </c>
      <c r="BX97" s="99">
        <f>IF(AND(Database!EU13&gt;1,Database!EU14&gt;1),100*(Database!EU13/(Database!EU14)),0.0001)</f>
        <v>1E-4</v>
      </c>
      <c r="BY97" s="99">
        <f>IF(AND(Database!EW13&gt;1,Database!EW14&gt;1),100*(Database!EW13/(Database!EW14)),0.0001)</f>
        <v>1E-4</v>
      </c>
      <c r="BZ97" s="99">
        <f>IF(AND(Database!EY13&gt;1,Database!EY14&gt;1),100*(Database!EY13/(Database!EY14)),0.0001)</f>
        <v>1E-4</v>
      </c>
      <c r="CA97" s="99">
        <f>IF(AND(Database!FA13&gt;1,Database!FA14&gt;1),100*(Database!FA13/(Database!FA14)),0.0001)</f>
        <v>1E-4</v>
      </c>
      <c r="CB97" s="99">
        <f>IF(AND(Database!FC13&gt;1,Database!FC14&gt;1),100*(Database!FC13/(Database!FC14)),0.0001)</f>
        <v>1E-4</v>
      </c>
      <c r="CC97" s="99">
        <f>IF(AND(Database!FE13&gt;1,Database!FE14&gt;1),100*(Database!FE13/(Database!FE14)),0.0001)</f>
        <v>1E-4</v>
      </c>
      <c r="CD97" s="99">
        <f>IF(AND(Database!FG13&gt;1,Database!FG14&gt;1),100*(Database!FG13/(Database!FG14)),0.0001)</f>
        <v>1E-4</v>
      </c>
      <c r="CE97" s="99">
        <f>IF(AND(Database!FI13&gt;1,Database!FI14&gt;1),100*(Database!FI13/(Database!FI14)),0.0001)</f>
        <v>1E-4</v>
      </c>
      <c r="CF97" s="99">
        <f>IF(AND(Database!FK13&gt;1,Database!FK14&gt;1),100*(Database!FK13/(Database!FK14)),0.0001)</f>
        <v>1E-4</v>
      </c>
      <c r="CG97" s="99">
        <f>IF(AND(Database!FM13&gt;1,Database!FM14&gt;1),100*(Database!FM13/(Database!FM14)),0.0001)</f>
        <v>1E-4</v>
      </c>
      <c r="CH97" s="99">
        <f>IF(AND(Database!FO13&gt;1,Database!FO14&gt;1),100*(Database!FO13/(Database!FO14)),0.0001)</f>
        <v>1E-4</v>
      </c>
      <c r="CI97" s="99">
        <f>IF(AND(Database!FQ13&gt;1,Database!FQ14&gt;1),100*(Database!FQ13/(Database!FQ14)),0.0001)</f>
        <v>1E-4</v>
      </c>
      <c r="CJ97" s="99">
        <f>IF(AND(Database!FS13&gt;1,Database!FS14&gt;1),100*(Database!FS13/(Database!FS14)),0.0001)</f>
        <v>1E-4</v>
      </c>
      <c r="CK97" s="99">
        <f>IF(AND(Database!FU13&gt;1,Database!FU14&gt;1),100*(Database!FU13/(Database!FU14)),0.0001)</f>
        <v>1E-4</v>
      </c>
      <c r="CL97" s="99">
        <f>IF(AND(Database!FW13&gt;1,Database!FW14&gt;1),100*(Database!FW13/(Database!FW14)),0.0001)</f>
        <v>1E-4</v>
      </c>
      <c r="CM97" s="99">
        <f>IF(AND(Database!FY13&gt;1,Database!FY14&gt;1),100*(Database!FY13/(Database!FY14)),0.0001)</f>
        <v>1E-4</v>
      </c>
      <c r="CN97" s="99">
        <f>IF(AND(Database!GA13&gt;1,Database!GA14&gt;1),100*(Database!GA13/(Database!GA14)),0.0001)</f>
        <v>1E-4</v>
      </c>
      <c r="CO97" s="99">
        <f>IF(AND(Database!GC13&gt;1,Database!GC14&gt;1),100*(Database!GC13/(Database!GC14)),0.0001)</f>
        <v>1E-4</v>
      </c>
      <c r="CP97" s="99">
        <f>IF(AND(Database!GE13&gt;1,Database!GE14&gt;1),100*(Database!GE13/(Database!GE14)),0.0001)</f>
        <v>1E-4</v>
      </c>
      <c r="CQ97" s="99">
        <f>IF(AND(Database!GG13&gt;1,Database!GG14&gt;1),100*(Database!GG13/(Database!GG14)),0.0001)</f>
        <v>1E-4</v>
      </c>
      <c r="CR97" s="99">
        <f>IF(AND(Database!GI13&gt;1,Database!GI14&gt;1),100*(Database!GI13/(Database!GI14)),0.0001)</f>
        <v>1E-4</v>
      </c>
      <c r="CS97" s="99">
        <f>IF(AND(Database!GK13&gt;1,Database!GK14&gt;1),100*(Database!GK13/(Database!GK14)),0.0001)</f>
        <v>1E-4</v>
      </c>
      <c r="CT97" s="99">
        <f>IF(AND(Database!GM13&gt;1,Database!GM14&gt;1),100*(Database!GM13/(Database!GM14)),0.0001)</f>
        <v>1E-4</v>
      </c>
      <c r="CU97" s="99">
        <f>IF(AND(Database!GO13&gt;1,Database!GO14&gt;1),100*(Database!GO13/(Database!GO14)),0.0001)</f>
        <v>1E-4</v>
      </c>
      <c r="CV97" s="99">
        <f>IF(AND(Database!GQ13&gt;1,Database!GQ14&gt;1),100*(Database!GQ13/(Database!GQ14)),0.0001)</f>
        <v>1E-4</v>
      </c>
      <c r="CW97" s="99">
        <f>IF(AND(Database!GS13&gt;1,Database!GS14&gt;1),100*(Database!GS13/(Database!GS14)),0.0001)</f>
        <v>1E-4</v>
      </c>
      <c r="CX97" s="99">
        <f>IF(AND(Database!GU13&gt;1,Database!GU14&gt;1),100*(Database!GU13/(Database!GU14)),0.0001)</f>
        <v>1E-4</v>
      </c>
      <c r="CY97" s="99">
        <f>IF(AND(Database!GW13&gt;1,Database!GW14&gt;1),100*(Database!GW13/(Database!GW14)),0.0001)</f>
        <v>1E-4</v>
      </c>
      <c r="CZ97" s="99">
        <f>IF(AND(Database!GY13&gt;1,Database!GY14&gt;1),100*(Database!GY13/(Database!GY14)),0.0001)</f>
        <v>1E-4</v>
      </c>
      <c r="DA97" s="99">
        <f>IF(AND(Database!HA13&gt;1,Database!HA14&gt;1),100*(Database!HA13/(Database!HA14)),0.0001)</f>
        <v>1E-4</v>
      </c>
      <c r="DB97" s="99">
        <f>IF(AND(Database!HC13&gt;1,Database!HC14&gt;1),100*(Database!HC13/(Database!HC14)),0.0001)</f>
        <v>1E-4</v>
      </c>
      <c r="DC97" s="99">
        <f>IF(AND(Database!HE13&gt;1,Database!HE14&gt;1),100*(Database!HE13/(Database!HE14)),0.0001)</f>
        <v>1E-4</v>
      </c>
      <c r="DD97" s="99">
        <f>IF(AND(Database!HG13&gt;1,Database!HG14&gt;1),100*(Database!HG13/(Database!HG14)),0.0001)</f>
        <v>1E-4</v>
      </c>
      <c r="DE97" s="99">
        <f>IF(AND(Database!HI13&gt;1,Database!HI14&gt;1),100*(Database!HI13/(Database!HI14)),0.0001)</f>
        <v>1E-4</v>
      </c>
      <c r="DF97" s="99">
        <f>IF(AND(Database!HK13&gt;1,Database!HK14&gt;1),100*(Database!HK13/(Database!HK14)),0.0001)</f>
        <v>1E-4</v>
      </c>
      <c r="DG97" s="99">
        <f>IF(AND(Database!HM13&gt;1,Database!HM14&gt;1),100*(Database!HM13/(Database!HM14)),0.0001)</f>
        <v>1E-4</v>
      </c>
      <c r="DH97" s="99">
        <f>IF(AND(Database!HO13&gt;1,Database!HO14&gt;1),100*(Database!HO13/(Database!HO14)),0.0001)</f>
        <v>1E-4</v>
      </c>
      <c r="DI97" s="99">
        <f>IF(AND(Database!HQ13&gt;1,Database!HQ14&gt;1),100*(Database!HQ13/(Database!HQ14)),0.0001)</f>
        <v>1E-4</v>
      </c>
      <c r="DJ97" s="99">
        <f>IF(AND(Database!HS13&gt;1,Database!HS14&gt;1),100*(Database!HS13/(Database!HS14)),0.0001)</f>
        <v>1E-4</v>
      </c>
      <c r="DK97" s="99">
        <f>IF(AND(Database!HU13&gt;1,Database!HU14&gt;1),100*(Database!HU13/(Database!HU14)),0.0001)</f>
        <v>1E-4</v>
      </c>
      <c r="DL97" s="99">
        <f>IF(AND(Database!HW13&gt;1,Database!HW14&gt;1),100*(Database!HW13/(Database!HW14)),0.0001)</f>
        <v>1E-4</v>
      </c>
      <c r="DM97" s="99">
        <f>IF(AND(Database!HY13&gt;1,Database!HY14&gt;1),100*(Database!HY13/(Database!HY14)),0.0001)</f>
        <v>1E-4</v>
      </c>
      <c r="DN97" s="99">
        <f>IF(AND(Database!IA13&gt;1,Database!IA14&gt;1),100*(Database!IA13/(Database!IA14)),0.0001)</f>
        <v>1E-4</v>
      </c>
      <c r="DO97" s="99">
        <f>IF(AND(Database!IC13&gt;1,Database!IC14&gt;1),100*(Database!IC13/(Database!IC14)),0.0001)</f>
        <v>1E-4</v>
      </c>
      <c r="DP97" s="99">
        <f>IF(AND(Database!IE13&gt;1,Database!IE14&gt;1),100*(Database!IE13/(Database!IE14)),0.0001)</f>
        <v>1E-4</v>
      </c>
      <c r="DQ97" s="99">
        <f>IF(AND(Database!IG13&gt;1,Database!IG14&gt;1),100*(Database!IG13/(Database!IG14)),0.0001)</f>
        <v>1E-4</v>
      </c>
      <c r="DR97" s="99">
        <f>IF(AND(Database!II13&gt;1,Database!II14&gt;1),100*(Database!II13/(Database!II14)),0.0001)</f>
        <v>1E-4</v>
      </c>
      <c r="DS97" s="99">
        <f>IF(AND(Database!IK13&gt;1,Database!IK14&gt;1),100*(Database!IK13/(Database!IK14)),0.0001)</f>
        <v>1E-4</v>
      </c>
      <c r="DT97" s="99">
        <f>IF(AND(Database!IM13&gt;1,Database!IM14&gt;1),100*(Database!IM13/(Database!IM14)),0.0001)</f>
        <v>1E-4</v>
      </c>
      <c r="DU97" s="99">
        <f>IF(AND(Database!IO13&gt;1,Database!IO14&gt;1),100*(Database!IO13/(Database!IO14)),0.0001)</f>
        <v>1E-4</v>
      </c>
      <c r="DV97" s="99">
        <f>IF(AND(Database!IQ13&gt;1,Database!IQ14&gt;1),100*(Database!IQ13/(Database!IQ14)),0.0001)</f>
        <v>1E-4</v>
      </c>
      <c r="DW97" s="99">
        <f>IF(AND(Database!IS13&gt;1,Database!IS14&gt;1),100*(Database!IS13/(Database!IS14)),0.0001)</f>
        <v>1E-4</v>
      </c>
      <c r="DX97" s="99">
        <f>IF(AND(Database!IU13&gt;1,Database!IU14&gt;1),100*(Database!IU13/(Database!IU14)),0.0001)</f>
        <v>1E-4</v>
      </c>
      <c r="DY97" s="99">
        <f>IF(AND(Database!IW13&gt;1,Database!IW14&gt;1),100*(Database!IW13/(Database!IW14)),0.0001)</f>
        <v>1E-4</v>
      </c>
      <c r="DZ97" s="99">
        <f>IF(AND(Database!IY13&gt;1,Database!IY14&gt;1),100*(Database!IY13/(Database!IY14)),0.0001)</f>
        <v>1E-4</v>
      </c>
      <c r="EA97" s="99">
        <f>IF(AND(Database!JA13&gt;1,Database!JA14&gt;1),100*(Database!JA13/(Database!JA14)),0.0001)</f>
        <v>1E-4</v>
      </c>
      <c r="EB97" s="99">
        <f>IF(AND(Database!JC13&gt;1,Database!JC14&gt;1),100*(Database!JC13/(Database!JC14)),0.0001)</f>
        <v>1E-4</v>
      </c>
      <c r="EC97" s="99">
        <f>IF(AND(Database!JE13&gt;1,Database!JE14&gt;1),100*(Database!JE13/(Database!JE14)),0.0001)</f>
        <v>1E-4</v>
      </c>
      <c r="ED97" s="99">
        <f>IF(AND(Database!JG13&gt;1,Database!JG14&gt;1),100*(Database!JG13/(Database!JG14)),0.0001)</f>
        <v>1E-4</v>
      </c>
      <c r="EE97" s="99">
        <f>IF(AND(Database!JI13&gt;1,Database!JI14&gt;1),100*(Database!JI13/(Database!JI14)),0.0001)</f>
        <v>1E-4</v>
      </c>
      <c r="EF97" s="99">
        <f>IF(AND(Database!JK13&gt;1,Database!JK14&gt;1),100*(Database!JK13/(Database!JK14)),0.0001)</f>
        <v>1E-4</v>
      </c>
      <c r="EG97" s="99">
        <f>IF(AND(Database!JM13&gt;1,Database!JM14&gt;1),100*(Database!JM13/(Database!JM14)),0.0001)</f>
        <v>1E-4</v>
      </c>
      <c r="EH97" s="99">
        <f>IF(AND(Database!JO13&gt;1,Database!JO14&gt;1),100*(Database!JO13/(Database!JO14)),0.0001)</f>
        <v>1E-4</v>
      </c>
      <c r="EI97" s="99">
        <f>IF(AND(Database!JQ13&gt;1,Database!JQ14&gt;1),100*(Database!JQ13/(Database!JQ14)),0.0001)</f>
        <v>1E-4</v>
      </c>
      <c r="EJ97" s="99">
        <f>IF(AND(Database!JS13&gt;1,Database!JS14&gt;1),100*(Database!JS13/(Database!JS14)),0.0001)</f>
        <v>1E-4</v>
      </c>
      <c r="EK97" s="99">
        <f>IF(AND(Database!JU13&gt;1,Database!JU14&gt;1),100*(Database!JU13/(Database!JU14)),0.0001)</f>
        <v>1E-4</v>
      </c>
      <c r="EL97" s="99">
        <f>IF(AND(Database!JW13&gt;1,Database!JW14&gt;1),100*(Database!JW13/(Database!JW14)),0.0001)</f>
        <v>1E-4</v>
      </c>
      <c r="EM97" s="99">
        <f>IF(AND(Database!JY13&gt;1,Database!JY14&gt;1),100*(Database!JY13/(Database!JY14)),0.0001)</f>
        <v>1E-4</v>
      </c>
      <c r="EN97" s="99">
        <f>IF(AND(Database!KA13&gt;1,Database!KA14&gt;1),100*(Database!KA13/(Database!KA14)),0.0001)</f>
        <v>1E-4</v>
      </c>
      <c r="EO97" s="99">
        <f>IF(AND(Database!KC13&gt;1,Database!KC14&gt;1),100*(Database!KC13/(Database!KC14)),0.0001)</f>
        <v>1E-4</v>
      </c>
      <c r="EP97" s="99">
        <f>IF(AND(Database!KE13&gt;1,Database!KE14&gt;1),100*(Database!KE13/(Database!KE14)),0.0001)</f>
        <v>1E-4</v>
      </c>
      <c r="EQ97" s="99">
        <f>IF(AND(Database!KG13&gt;1,Database!KG14&gt;1),100*(Database!KG13/(Database!KG14)),0.0001)</f>
        <v>1E-4</v>
      </c>
      <c r="ER97" s="99">
        <f>IF(AND(Database!KI13&gt;1,Database!KI14&gt;1),100*(Database!KI13/(Database!KI14)),0.0001)</f>
        <v>1E-4</v>
      </c>
      <c r="ES97" s="99">
        <f>IF(AND(Database!KK13&gt;1,Database!KK14&gt;1),100*(Database!KK13/(Database!KK14)),0.0001)</f>
        <v>1E-4</v>
      </c>
      <c r="ET97" s="99">
        <f>IF(AND(Database!KM13&gt;1,Database!KM14&gt;1),100*(Database!KM13/(Database!KM14)),0.0001)</f>
        <v>1E-4</v>
      </c>
      <c r="EU97" s="99">
        <f>IF(AND(Database!KO13&gt;1,Database!KO14&gt;1),100*(Database!KO13/(Database!KO14)),0.0001)</f>
        <v>1E-4</v>
      </c>
      <c r="EV97" s="99">
        <f>IF(AND(Database!KQ13&gt;1,Database!KQ14&gt;1),100*(Database!KQ13/(Database!KQ14)),0.0001)</f>
        <v>1E-4</v>
      </c>
      <c r="EW97" s="99">
        <f>IF(AND(Database!KS13&gt;1,Database!KS14&gt;1),100*(Database!KS13/(Database!KS14)),0.0001)</f>
        <v>1E-4</v>
      </c>
      <c r="EX97" s="99">
        <f>IF(AND(Database!KU13&gt;1,Database!KU14&gt;1),100*(Database!KU13/(Database!KU14)),0.0001)</f>
        <v>1E-4</v>
      </c>
      <c r="EY97" s="99">
        <f>IF(AND(Database!KW13&gt;1,Database!KW14&gt;1),100*(Database!KW13/(Database!KW14)),0.0001)</f>
        <v>1E-4</v>
      </c>
      <c r="EZ97" s="99">
        <f>IF(AND(Database!KY13&gt;1,Database!KY14&gt;1),100*(Database!KY13/(Database!KY14)),0.0001)</f>
        <v>1E-4</v>
      </c>
      <c r="FA97" s="99">
        <f>IF(AND(Database!LA13&gt;1,Database!LA14&gt;1),100*(Database!LA13/(Database!LA14)),0.0001)</f>
        <v>1E-4</v>
      </c>
      <c r="FB97" s="99">
        <f>IF(AND(Database!LC13&gt;1,Database!LC14&gt;1),100*(Database!LC13/(Database!LC14)),0.0001)</f>
        <v>1E-4</v>
      </c>
      <c r="FC97" s="99">
        <f>IF(AND(Database!LE13&gt;1,Database!LE14&gt;1),100*(Database!LE13/(Database!LE14)),0.0001)</f>
        <v>1E-4</v>
      </c>
      <c r="FD97" s="99">
        <f>IF(AND(Database!LG13&gt;1,Database!LG14&gt;1),100*(Database!LG13/(Database!LG14)),0.0001)</f>
        <v>1E-4</v>
      </c>
      <c r="FE97" s="99">
        <f>IF(AND(Database!LI13&gt;1,Database!LI14&gt;1),100*(Database!LI13/(Database!LI14)),0.0001)</f>
        <v>1E-4</v>
      </c>
      <c r="FF97" s="99">
        <f>IF(AND(Database!LK13&gt;1,Database!LK14&gt;1),100*(Database!LK13/(Database!LK14)),0.0001)</f>
        <v>1E-4</v>
      </c>
      <c r="FG97" s="99">
        <f>IF(AND(Database!LM13&gt;1,Database!LM14&gt;1),100*(Database!LM13/(Database!LM14)),0.0001)</f>
        <v>1E-4</v>
      </c>
      <c r="FH97" s="99">
        <f>IF(AND(Database!LO13&gt;1,Database!LO14&gt;1),100*(Database!LO13/(Database!LO14)),0.0001)</f>
        <v>1E-4</v>
      </c>
      <c r="FI97" s="99">
        <f>IF(AND(Database!LQ13&gt;1,Database!LQ14&gt;1),100*(Database!LQ13/(Database!LQ14)),0.0001)</f>
        <v>1E-4</v>
      </c>
      <c r="FJ97" s="99">
        <f>IF(AND(Database!LS13&gt;1,Database!LS14&gt;1),100*(Database!LS13/(Database!LS14)),0.0001)</f>
        <v>1E-4</v>
      </c>
      <c r="FK97" s="99">
        <f>IF(AND(Database!LU13&gt;1,Database!LU14&gt;1),100*(Database!LU13/(Database!LU14)),0.0001)</f>
        <v>1E-4</v>
      </c>
      <c r="FL97" s="99">
        <f>IF(AND(Database!LW13&gt;1,Database!LW14&gt;1),100*(Database!LW13/(Database!LW14)),0.0001)</f>
        <v>1E-4</v>
      </c>
      <c r="FM97" s="99">
        <f>IF(AND(Database!LY13&gt;1,Database!LY14&gt;1),100*(Database!LY13/(Database!LY14)),0.0001)</f>
        <v>1E-4</v>
      </c>
      <c r="FN97" s="99">
        <f>IF(AND(Database!MA13&gt;1,Database!MA14&gt;1),100*(Database!MA13/(Database!MA14)),0.0001)</f>
        <v>1E-4</v>
      </c>
      <c r="FO97" s="99">
        <f>IF(AND(Database!MC13&gt;1,Database!MC14&gt;1),100*(Database!MC13/(Database!MC14)),0.0001)</f>
        <v>1E-4</v>
      </c>
      <c r="FP97" s="99">
        <f>IF(AND(Database!ME13&gt;1,Database!ME14&gt;1),100*(Database!ME13/(Database!ME14)),0.0001)</f>
        <v>1E-4</v>
      </c>
      <c r="FQ97" s="99">
        <f>IF(AND(Database!MG13&gt;1,Database!MG14&gt;1),100*(Database!MG13/(Database!MG14)),0.0001)</f>
        <v>1E-4</v>
      </c>
      <c r="FR97" s="99">
        <f>IF(AND(Database!MI13&gt;1,Database!MI14&gt;1),100*(Database!MI13/(Database!MI14)),0.0001)</f>
        <v>1E-4</v>
      </c>
      <c r="FS97" s="99">
        <f>IF(AND(Database!MK13&gt;1,Database!MK14&gt;1),100*(Database!MK13/(Database!MK14)),0.0001)</f>
        <v>1E-4</v>
      </c>
      <c r="FT97" s="99">
        <f>IF(AND(Database!MM13&gt;1,Database!MM14&gt;1),100*(Database!MM13/(Database!MM14)),0.0001)</f>
        <v>1E-4</v>
      </c>
      <c r="FU97" s="99">
        <f>IF(AND(Database!MO13&gt;1,Database!MO14&gt;1),100*(Database!MO13/(Database!MO14)),0.0001)</f>
        <v>1E-4</v>
      </c>
      <c r="FV97" s="99">
        <f>IF(AND(Database!MQ13&gt;1,Database!MQ14&gt;1),100*(Database!MQ13/(Database!MQ14)),0.0001)</f>
        <v>1E-4</v>
      </c>
      <c r="FW97" s="99">
        <f>IF(AND(Database!MS13&gt;1,Database!MS14&gt;1),100*(Database!MS13/(Database!MS14)),0.0001)</f>
        <v>1E-4</v>
      </c>
      <c r="FX97" s="99">
        <f>IF(AND(Database!MU13&gt;1,Database!MU14&gt;1),100*(Database!MU13/(Database!MU14)),0.0001)</f>
        <v>1E-4</v>
      </c>
      <c r="FY97" s="99">
        <f>IF(AND(Database!MW13&gt;1,Database!MW14&gt;1),100*(Database!MW13/(Database!MW14)),0.0001)</f>
        <v>1E-4</v>
      </c>
      <c r="FZ97" s="99">
        <f>IF(AND(Database!MY13&gt;1,Database!MY14&gt;1),100*(Database!MY13/(Database!MY14)),0.0001)</f>
        <v>1E-4</v>
      </c>
      <c r="GA97" s="99">
        <f>IF(AND(Database!NA13&gt;1,Database!NA14&gt;1),100*(Database!NA13/(Database!NA14)),0.0001)</f>
        <v>1E-4</v>
      </c>
      <c r="GB97" s="99">
        <f>IF(AND(Database!NC13&gt;1,Database!NC14&gt;1),100*(Database!NC13/(Database!NC14)),0.0001)</f>
        <v>1E-4</v>
      </c>
      <c r="GC97" s="99">
        <f>IF(AND(Database!NE13&gt;1,Database!NE14&gt;1),100*(Database!NE13/(Database!NE14)),0.0001)</f>
        <v>1E-4</v>
      </c>
      <c r="GD97" s="99">
        <f>IF(AND(Database!NG13&gt;1,Database!NG14&gt;1),100*(Database!NG13/(Database!NG14)),0.0001)</f>
        <v>1E-4</v>
      </c>
      <c r="GE97" s="99">
        <f>IF(AND(Database!NI13&gt;1,Database!NI14&gt;1),100*(Database!NI13/(Database!NI14)),0.0001)</f>
        <v>1E-4</v>
      </c>
      <c r="GF97" s="99">
        <f>IF(AND(Database!NK13&gt;1,Database!NK14&gt;1),100*(Database!NK13/(Database!NK14)),0.0001)</f>
        <v>1E-4</v>
      </c>
      <c r="GG97" s="99">
        <f>IF(AND(Database!NM13&gt;1,Database!NM14&gt;1),100*(Database!NM13/(Database!NM14)),0.0001)</f>
        <v>1E-4</v>
      </c>
      <c r="GH97" s="99">
        <f>IF(AND(Database!NO13&gt;1,Database!NO14&gt;1),100*(Database!NO13/(Database!NO14)),0.0001)</f>
        <v>1E-4</v>
      </c>
      <c r="GI97" s="99">
        <f>IF(AND(Database!NQ13&gt;1,Database!NQ14&gt;1),100*(Database!NQ13/(Database!NQ14)),0.0001)</f>
        <v>1E-4</v>
      </c>
      <c r="GJ97" s="99">
        <f>IF(AND(Database!NS13&gt;1,Database!NS14&gt;1),100*(Database!NS13/(Database!NS14)),0.0001)</f>
        <v>1E-4</v>
      </c>
      <c r="GK97" s="99">
        <f>IF(AND(Database!NU13&gt;1,Database!NU14&gt;1),100*(Database!NU13/(Database!NU14)),0.0001)</f>
        <v>1E-4</v>
      </c>
      <c r="GL97" s="99">
        <f>IF(AND(Database!NW13&gt;1,Database!NW14&gt;1),100*(Database!NW13/(Database!NW14)),0.0001)</f>
        <v>1E-4</v>
      </c>
      <c r="GM97" s="99">
        <f>IF(AND(Database!NY13&gt;1,Database!NY14&gt;1),100*(Database!NY13/(Database!NY14)),0.0001)</f>
        <v>1E-4</v>
      </c>
      <c r="GN97" s="99">
        <f>IF(AND(Database!OA13&gt;1,Database!OA14&gt;1),100*(Database!OA13/(Database!OA14)),0.0001)</f>
        <v>1E-4</v>
      </c>
      <c r="GO97" s="99">
        <f>IF(AND(Database!OC13&gt;1,Database!OC14&gt;1),100*(Database!OC13/(Database!OC14)),0.0001)</f>
        <v>1E-4</v>
      </c>
      <c r="GP97" s="99">
        <f>IF(AND(Database!OE13&gt;1,Database!OE14&gt;1),100*(Database!OE13/(Database!OE14)),0.0001)</f>
        <v>1E-4</v>
      </c>
      <c r="GQ97" s="99">
        <f>IF(AND(Database!OG13&gt;1,Database!OG14&gt;1),100*(Database!OG13/(Database!OG14)),0.0001)</f>
        <v>1E-4</v>
      </c>
      <c r="GR97" s="99">
        <f>IF(AND(Database!OI13&gt;1,Database!OI14&gt;1),100*(Database!OI13/(Database!OI14)),0.0001)</f>
        <v>1E-4</v>
      </c>
      <c r="GS97" s="99">
        <f>IF(AND(Database!OK13&gt;1,Database!OK14&gt;1),100*(Database!OK13/(Database!OK14)),0.0001)</f>
        <v>1E-4</v>
      </c>
      <c r="GT97" s="99">
        <f>IF(AND(Database!OM13&gt;1,Database!OM14&gt;1),100*(Database!OM13/(Database!OM14)),0.0001)</f>
        <v>1E-4</v>
      </c>
    </row>
    <row r="98" spans="1:202" ht="18.75" customHeight="1" x14ac:dyDescent="0.4">
      <c r="A98" s="29" t="s">
        <v>107</v>
      </c>
      <c r="B98" s="306"/>
      <c r="C98" s="99">
        <f>IF(AND(Database!E15&gt;1,Database!E18&gt;1),100*(Database!E15/(Database!E18)),0.0001)</f>
        <v>48.093762629664553</v>
      </c>
      <c r="D98" s="99">
        <f>IF(AND(Database!G15&gt;1,Database!G18&gt;1),100*(Database!G15/(Database!G18)),0.0001)</f>
        <v>67.945984363894809</v>
      </c>
      <c r="E98" s="99">
        <f>IF(AND(Database!I15&gt;1,Database!I18&gt;1),100*(Database!I15/(Database!I18)),0.0001)</f>
        <v>77.893092288807054</v>
      </c>
      <c r="F98" s="99">
        <f>IF(AND(Database!K15&gt;1,Database!K18&gt;1),100*(Database!K15/(Database!K18)),0.0001)</f>
        <v>79.270270270270274</v>
      </c>
      <c r="G98" s="99">
        <f>IF(AND(Database!M15&gt;1,Database!M18&gt;1),100*(Database!M15/(Database!M18)),0.0001)</f>
        <v>1E-4</v>
      </c>
      <c r="H98" s="99">
        <f>IF(AND(Database!O15&gt;1,Database!O18&gt;1),100*(Database!O15/(Database!O18)),0.0001)</f>
        <v>1E-4</v>
      </c>
      <c r="I98" s="99">
        <f>IF(AND(Database!Q15&gt;1,Database!Q18&gt;1),100*(Database!Q15/(Database!Q18)),0.0001)</f>
        <v>1E-4</v>
      </c>
      <c r="J98" s="99">
        <f>IF(AND(Database!S15&gt;1,Database!S18&gt;1),100*(Database!S15/(Database!S18)),0.0001)</f>
        <v>1E-4</v>
      </c>
      <c r="K98" s="99">
        <f>IF(AND(Database!U15&gt;1,Database!U18&gt;1),100*(Database!U15/(Database!U18)),0.0001)</f>
        <v>1E-4</v>
      </c>
      <c r="L98" s="99">
        <f>IF(AND(Database!W15&gt;1,Database!W18&gt;1),100*(Database!W15/(Database!W18)),0.0001)</f>
        <v>1E-4</v>
      </c>
      <c r="M98" s="99">
        <f>IF(AND(Database!Y15&gt;1,Database!Y18&gt;1),100*(Database!Y15/(Database!Y18)),0.0001)</f>
        <v>1E-4</v>
      </c>
      <c r="N98" s="99">
        <f>IF(AND(Database!AA15&gt;1,Database!AA18&gt;1),100*(Database!AA15/(Database!AA18)),0.0001)</f>
        <v>1E-4</v>
      </c>
      <c r="O98" s="99">
        <f>IF(AND(Database!AC15&gt;1,Database!AC18&gt;1),100*(Database!AC15/(Database!AC18)),0.0001)</f>
        <v>1E-4</v>
      </c>
      <c r="P98" s="99">
        <f>IF(AND(Database!AE15&gt;1,Database!AE18&gt;1),100*(Database!AE15/(Database!AE18)),0.0001)</f>
        <v>1E-4</v>
      </c>
      <c r="Q98" s="99">
        <f>IF(AND(Database!AG15&gt;1,Database!AG18&gt;1),100*(Database!AG15/(Database!AG18)),0.0001)</f>
        <v>1E-4</v>
      </c>
      <c r="R98" s="99">
        <f>IF(AND(Database!AI15&gt;1,Database!AI18&gt;1),100*(Database!AI15/(Database!AI18)),0.0001)</f>
        <v>1E-4</v>
      </c>
      <c r="S98" s="99">
        <f>IF(AND(Database!AK15&gt;1,Database!AK18&gt;1),100*(Database!AK15/(Database!AK18)),0.0001)</f>
        <v>1E-4</v>
      </c>
      <c r="T98" s="99">
        <f>IF(AND(Database!AM15&gt;1,Database!AM18&gt;1),100*(Database!AM15/(Database!AM18)),0.0001)</f>
        <v>1E-4</v>
      </c>
      <c r="U98" s="99">
        <f>IF(AND(Database!AO15&gt;1,Database!AO18&gt;1),100*(Database!AO15/(Database!AO18)),0.0001)</f>
        <v>1E-4</v>
      </c>
      <c r="V98" s="99">
        <f>IF(AND(Database!AQ15&gt;1,Database!AQ18&gt;1),100*(Database!AQ15/(Database!AQ18)),0.0001)</f>
        <v>1E-4</v>
      </c>
      <c r="W98" s="99">
        <f>IF(AND(Database!AS15&gt;1,Database!AS18&gt;1),100*(Database!AS15/(Database!AS18)),0.0001)</f>
        <v>1E-4</v>
      </c>
      <c r="X98" s="99">
        <f>IF(AND(Database!AU15&gt;1,Database!AU18&gt;1),100*(Database!AU15/(Database!AU18)),0.0001)</f>
        <v>1E-4</v>
      </c>
      <c r="Y98" s="99">
        <f>IF(AND(Database!AW15&gt;1,Database!AW18&gt;1),100*(Database!AW15/(Database!AW18)),0.0001)</f>
        <v>1E-4</v>
      </c>
      <c r="Z98" s="99">
        <f>IF(AND(Database!AY15&gt;1,Database!AY18&gt;1),100*(Database!AY15/(Database!AY18)),0.0001)</f>
        <v>1E-4</v>
      </c>
      <c r="AA98" s="99">
        <f>IF(AND(Database!BA15&gt;1,Database!BA18&gt;1),100*(Database!BA15/(Database!BA18)),0.0001)</f>
        <v>1E-4</v>
      </c>
      <c r="AB98" s="99">
        <f>IF(AND(Database!BC15&gt;1,Database!BC18&gt;1),100*(Database!BC15/(Database!BC18)),0.0001)</f>
        <v>1E-4</v>
      </c>
      <c r="AC98" s="99">
        <f>IF(AND(Database!BE15&gt;1,Database!BE18&gt;1),100*(Database!BE15/(Database!BE18)),0.0001)</f>
        <v>1E-4</v>
      </c>
      <c r="AD98" s="99">
        <f>IF(AND(Database!BG15&gt;1,Database!BG18&gt;1),100*(Database!BG15/(Database!BG18)),0.0001)</f>
        <v>1E-4</v>
      </c>
      <c r="AE98" s="99">
        <f>IF(AND(Database!BI15&gt;1,Database!BI18&gt;1),100*(Database!BI15/(Database!BI18)),0.0001)</f>
        <v>1E-4</v>
      </c>
      <c r="AF98" s="99">
        <f>IF(AND(Database!BK15&gt;1,Database!BK18&gt;1),100*(Database!BK15/(Database!BK18)),0.0001)</f>
        <v>1E-4</v>
      </c>
      <c r="AG98" s="99">
        <f>IF(AND(Database!BM15&gt;1,Database!BM18&gt;1),100*(Database!BM15/(Database!BM18)),0.0001)</f>
        <v>1E-4</v>
      </c>
      <c r="AH98" s="99">
        <f>IF(AND(Database!BO15&gt;1,Database!BO18&gt;1),100*(Database!BO15/(Database!BO18)),0.0001)</f>
        <v>1E-4</v>
      </c>
      <c r="AI98" s="99">
        <f>IF(AND(Database!BQ15&gt;1,Database!BQ18&gt;1),100*(Database!BQ15/(Database!BQ18)),0.0001)</f>
        <v>1E-4</v>
      </c>
      <c r="AJ98" s="99">
        <f>IF(AND(Database!BS15&gt;1,Database!BS18&gt;1),100*(Database!BS15/(Database!BS18)),0.0001)</f>
        <v>1E-4</v>
      </c>
      <c r="AK98" s="99">
        <f>IF(AND(Database!BU15&gt;1,Database!BU18&gt;1),100*(Database!BU15/(Database!BU18)),0.0001)</f>
        <v>1E-4</v>
      </c>
      <c r="AL98" s="99">
        <f>IF(AND(Database!BW15&gt;1,Database!BW18&gt;1),100*(Database!BW15/(Database!BW18)),0.0001)</f>
        <v>1E-4</v>
      </c>
      <c r="AM98" s="99">
        <f>IF(AND(Database!BY15&gt;1,Database!BY18&gt;1),100*(Database!BY15/(Database!BY18)),0.0001)</f>
        <v>1E-4</v>
      </c>
      <c r="AN98" s="99">
        <f>IF(AND(Database!CA15&gt;1,Database!CA18&gt;1),100*(Database!CA15/(Database!CA18)),0.0001)</f>
        <v>1E-4</v>
      </c>
      <c r="AO98" s="99">
        <f>IF(AND(Database!CC15&gt;1,Database!CC18&gt;1),100*(Database!CC15/(Database!CC18)),0.0001)</f>
        <v>1E-4</v>
      </c>
      <c r="AP98" s="99">
        <f>IF(AND(Database!CE15&gt;1,Database!CE18&gt;1),100*(Database!CE15/(Database!CE18)),0.0001)</f>
        <v>1E-4</v>
      </c>
      <c r="AQ98" s="99">
        <f>IF(AND(Database!CG15&gt;1,Database!CG18&gt;1),100*(Database!CG15/(Database!CG18)),0.0001)</f>
        <v>1E-4</v>
      </c>
      <c r="AR98" s="99">
        <f>IF(AND(Database!CI15&gt;1,Database!CI18&gt;1),100*(Database!CI15/(Database!CI18)),0.0001)</f>
        <v>1E-4</v>
      </c>
      <c r="AS98" s="99">
        <f>IF(AND(Database!CK15&gt;1,Database!CK18&gt;1),100*(Database!CK15/(Database!CK18)),0.0001)</f>
        <v>1E-4</v>
      </c>
      <c r="AT98" s="99">
        <f>IF(AND(Database!CM15&gt;1,Database!CM18&gt;1),100*(Database!CM15/(Database!CM18)),0.0001)</f>
        <v>1E-4</v>
      </c>
      <c r="AU98" s="99">
        <f>IF(AND(Database!CO15&gt;1,Database!CO18&gt;1),100*(Database!CO15/(Database!CO18)),0.0001)</f>
        <v>1E-4</v>
      </c>
      <c r="AV98" s="99">
        <f>IF(AND(Database!CQ15&gt;1,Database!CQ18&gt;1),100*(Database!CQ15/(Database!CQ18)),0.0001)</f>
        <v>1E-4</v>
      </c>
      <c r="AW98" s="99">
        <f>IF(AND(Database!CS15&gt;1,Database!CS18&gt;1),100*(Database!CS15/(Database!CS18)),0.0001)</f>
        <v>1E-4</v>
      </c>
      <c r="AX98" s="99">
        <f>IF(AND(Database!CU15&gt;1,Database!CU18&gt;1),100*(Database!CU15/(Database!CU18)),0.0001)</f>
        <v>1E-4</v>
      </c>
      <c r="AY98" s="99">
        <f>IF(AND(Database!CW15&gt;1,Database!CW18&gt;1),100*(Database!CW15/(Database!CW18)),0.0001)</f>
        <v>1E-4</v>
      </c>
      <c r="AZ98" s="99">
        <f>IF(AND(Database!CY15&gt;1,Database!CY18&gt;1),100*(Database!CY15/(Database!CY18)),0.0001)</f>
        <v>1E-4</v>
      </c>
      <c r="BA98" s="99">
        <f>IF(AND(Database!DA15&gt;1,Database!DA18&gt;1),100*(Database!DA15/(Database!DA18)),0.0001)</f>
        <v>1E-4</v>
      </c>
      <c r="BB98" s="99">
        <f>IF(AND(Database!DC15&gt;1,Database!DC18&gt;1),100*(Database!DC15/(Database!DC18)),0.0001)</f>
        <v>1E-4</v>
      </c>
      <c r="BC98" s="99">
        <f>IF(AND(Database!DE15&gt;1,Database!DE18&gt;1),100*(Database!DE15/(Database!DE18)),0.0001)</f>
        <v>1E-4</v>
      </c>
      <c r="BD98" s="99">
        <f>IF(AND(Database!DG15&gt;1,Database!DG18&gt;1),100*(Database!DG15/(Database!DG18)),0.0001)</f>
        <v>1E-4</v>
      </c>
      <c r="BE98" s="99">
        <f>IF(AND(Database!DI15&gt;1,Database!DI18&gt;1),100*(Database!DI15/(Database!DI18)),0.0001)</f>
        <v>1E-4</v>
      </c>
      <c r="BF98" s="99">
        <f>IF(AND(Database!DK15&gt;1,Database!DK18&gt;1),100*(Database!DK15/(Database!DK18)),0.0001)</f>
        <v>1E-4</v>
      </c>
      <c r="BG98" s="99">
        <f>IF(AND(Database!DM15&gt;1,Database!DM18&gt;1),100*(Database!DM15/(Database!DM18)),0.0001)</f>
        <v>1E-4</v>
      </c>
      <c r="BH98" s="99">
        <f>IF(AND(Database!DO15&gt;1,Database!DO18&gt;1),100*(Database!DO15/(Database!DO18)),0.0001)</f>
        <v>1E-4</v>
      </c>
      <c r="BI98" s="99">
        <f>IF(AND(Database!DQ15&gt;1,Database!DQ18&gt;1),100*(Database!DQ15/(Database!DQ18)),0.0001)</f>
        <v>1E-4</v>
      </c>
      <c r="BJ98" s="99">
        <f>IF(AND(Database!DS15&gt;1,Database!DS18&gt;1),100*(Database!DS15/(Database!DS18)),0.0001)</f>
        <v>1E-4</v>
      </c>
      <c r="BK98" s="99">
        <f>IF(AND(Database!DU15&gt;1,Database!DU18&gt;1),100*(Database!DU15/(Database!DU18)),0.0001)</f>
        <v>1E-4</v>
      </c>
      <c r="BL98" s="99">
        <f>IF(AND(Database!DW15&gt;1,Database!DW18&gt;1),100*(Database!DW15/(Database!DW18)),0.0001)</f>
        <v>1E-4</v>
      </c>
      <c r="BM98" s="99">
        <f>IF(AND(Database!DY15&gt;1,Database!DY18&gt;1),100*(Database!DY15/(Database!DY18)),0.0001)</f>
        <v>1E-4</v>
      </c>
      <c r="BN98" s="99">
        <f>IF(AND(Database!EA15&gt;1,Database!EA18&gt;1),100*(Database!EA15/(Database!EA18)),0.0001)</f>
        <v>1E-4</v>
      </c>
      <c r="BO98" s="99">
        <f>IF(AND(Database!EC15&gt;1,Database!EC18&gt;1),100*(Database!EC15/(Database!EC18)),0.0001)</f>
        <v>1E-4</v>
      </c>
      <c r="BP98" s="99">
        <f>IF(AND(Database!EE15&gt;1,Database!EE18&gt;1),100*(Database!EE15/(Database!EE18)),0.0001)</f>
        <v>1E-4</v>
      </c>
      <c r="BQ98" s="99">
        <f>IF(AND(Database!EG15&gt;1,Database!EG18&gt;1),100*(Database!EG15/(Database!EG18)),0.0001)</f>
        <v>1E-4</v>
      </c>
      <c r="BR98" s="99">
        <f>IF(AND(Database!EI15&gt;1,Database!EI18&gt;1),100*(Database!EI15/(Database!EI18)),0.0001)</f>
        <v>1E-4</v>
      </c>
      <c r="BS98" s="99">
        <f>IF(AND(Database!EK15&gt;1,Database!EK18&gt;1),100*(Database!EK15/(Database!EK18)),0.0001)</f>
        <v>1E-4</v>
      </c>
      <c r="BT98" s="99">
        <f>IF(AND(Database!EM15&gt;1,Database!EM18&gt;1),100*(Database!EM15/(Database!EM18)),0.0001)</f>
        <v>1E-4</v>
      </c>
      <c r="BU98" s="99">
        <f>IF(AND(Database!EO15&gt;1,Database!EO18&gt;1),100*(Database!EO15/(Database!EO18)),0.0001)</f>
        <v>1E-4</v>
      </c>
      <c r="BV98" s="99">
        <f>IF(AND(Database!EQ15&gt;1,Database!EQ18&gt;1),100*(Database!EQ15/(Database!EQ18)),0.0001)</f>
        <v>1E-4</v>
      </c>
      <c r="BW98" s="99">
        <f>IF(AND(Database!ES15&gt;1,Database!ES18&gt;1),100*(Database!ES15/(Database!ES18)),0.0001)</f>
        <v>1E-4</v>
      </c>
      <c r="BX98" s="99">
        <f>IF(AND(Database!EU15&gt;1,Database!EU18&gt;1),100*(Database!EU15/(Database!EU18)),0.0001)</f>
        <v>1E-4</v>
      </c>
      <c r="BY98" s="99">
        <f>IF(AND(Database!EW15&gt;1,Database!EW18&gt;1),100*(Database!EW15/(Database!EW18)),0.0001)</f>
        <v>1E-4</v>
      </c>
      <c r="BZ98" s="99">
        <f>IF(AND(Database!EY15&gt;1,Database!EY18&gt;1),100*(Database!EY15/(Database!EY18)),0.0001)</f>
        <v>1E-4</v>
      </c>
      <c r="CA98" s="99">
        <f>IF(AND(Database!FA15&gt;1,Database!FA18&gt;1),100*(Database!FA15/(Database!FA18)),0.0001)</f>
        <v>1E-4</v>
      </c>
      <c r="CB98" s="99">
        <f>IF(AND(Database!FC15&gt;1,Database!FC18&gt;1),100*(Database!FC15/(Database!FC18)),0.0001)</f>
        <v>1E-4</v>
      </c>
      <c r="CC98" s="99">
        <f>IF(AND(Database!FE15&gt;1,Database!FE18&gt;1),100*(Database!FE15/(Database!FE18)),0.0001)</f>
        <v>1E-4</v>
      </c>
      <c r="CD98" s="99">
        <f>IF(AND(Database!FG15&gt;1,Database!FG18&gt;1),100*(Database!FG15/(Database!FG18)),0.0001)</f>
        <v>1E-4</v>
      </c>
      <c r="CE98" s="99">
        <f>IF(AND(Database!FI15&gt;1,Database!FI18&gt;1),100*(Database!FI15/(Database!FI18)),0.0001)</f>
        <v>1E-4</v>
      </c>
      <c r="CF98" s="99">
        <f>IF(AND(Database!FK15&gt;1,Database!FK18&gt;1),100*(Database!FK15/(Database!FK18)),0.0001)</f>
        <v>1E-4</v>
      </c>
      <c r="CG98" s="99">
        <f>IF(AND(Database!FM15&gt;1,Database!FM18&gt;1),100*(Database!FM15/(Database!FM18)),0.0001)</f>
        <v>1E-4</v>
      </c>
      <c r="CH98" s="99">
        <f>IF(AND(Database!FO15&gt;1,Database!FO18&gt;1),100*(Database!FO15/(Database!FO18)),0.0001)</f>
        <v>1E-4</v>
      </c>
      <c r="CI98" s="99">
        <f>IF(AND(Database!FQ15&gt;1,Database!FQ18&gt;1),100*(Database!FQ15/(Database!FQ18)),0.0001)</f>
        <v>1E-4</v>
      </c>
      <c r="CJ98" s="99">
        <f>IF(AND(Database!FS15&gt;1,Database!FS18&gt;1),100*(Database!FS15/(Database!FS18)),0.0001)</f>
        <v>1E-4</v>
      </c>
      <c r="CK98" s="99">
        <f>IF(AND(Database!FU15&gt;1,Database!FU18&gt;1),100*(Database!FU15/(Database!FU18)),0.0001)</f>
        <v>1E-4</v>
      </c>
      <c r="CL98" s="99">
        <f>IF(AND(Database!FW15&gt;1,Database!FW18&gt;1),100*(Database!FW15/(Database!FW18)),0.0001)</f>
        <v>1E-4</v>
      </c>
      <c r="CM98" s="99">
        <f>IF(AND(Database!FY15&gt;1,Database!FY18&gt;1),100*(Database!FY15/(Database!FY18)),0.0001)</f>
        <v>1E-4</v>
      </c>
      <c r="CN98" s="99">
        <f>IF(AND(Database!GA15&gt;1,Database!GA18&gt;1),100*(Database!GA15/(Database!GA18)),0.0001)</f>
        <v>1E-4</v>
      </c>
      <c r="CO98" s="99">
        <f>IF(AND(Database!GC15&gt;1,Database!GC18&gt;1),100*(Database!GC15/(Database!GC18)),0.0001)</f>
        <v>1E-4</v>
      </c>
      <c r="CP98" s="99">
        <f>IF(AND(Database!GE15&gt;1,Database!GE18&gt;1),100*(Database!GE15/(Database!GE18)),0.0001)</f>
        <v>1E-4</v>
      </c>
      <c r="CQ98" s="99">
        <f>IF(AND(Database!GG15&gt;1,Database!GG18&gt;1),100*(Database!GG15/(Database!GG18)),0.0001)</f>
        <v>1E-4</v>
      </c>
      <c r="CR98" s="99">
        <f>IF(AND(Database!GI15&gt;1,Database!GI18&gt;1),100*(Database!GI15/(Database!GI18)),0.0001)</f>
        <v>1E-4</v>
      </c>
      <c r="CS98" s="99">
        <f>IF(AND(Database!GK15&gt;1,Database!GK18&gt;1),100*(Database!GK15/(Database!GK18)),0.0001)</f>
        <v>1E-4</v>
      </c>
      <c r="CT98" s="99">
        <f>IF(AND(Database!GM15&gt;1,Database!GM18&gt;1),100*(Database!GM15/(Database!GM18)),0.0001)</f>
        <v>1E-4</v>
      </c>
      <c r="CU98" s="99">
        <f>IF(AND(Database!GO15&gt;1,Database!GO18&gt;1),100*(Database!GO15/(Database!GO18)),0.0001)</f>
        <v>1E-4</v>
      </c>
      <c r="CV98" s="99">
        <f>IF(AND(Database!GQ15&gt;1,Database!GQ18&gt;1),100*(Database!GQ15/(Database!GQ18)),0.0001)</f>
        <v>1E-4</v>
      </c>
      <c r="CW98" s="99">
        <f>IF(AND(Database!GS15&gt;1,Database!GS18&gt;1),100*(Database!GS15/(Database!GS18)),0.0001)</f>
        <v>1E-4</v>
      </c>
      <c r="CX98" s="99">
        <f>IF(AND(Database!GU15&gt;1,Database!GU18&gt;1),100*(Database!GU15/(Database!GU18)),0.0001)</f>
        <v>1E-4</v>
      </c>
      <c r="CY98" s="99">
        <f>IF(AND(Database!GW15&gt;1,Database!GW18&gt;1),100*(Database!GW15/(Database!GW18)),0.0001)</f>
        <v>1E-4</v>
      </c>
      <c r="CZ98" s="99">
        <f>IF(AND(Database!GY15&gt;1,Database!GY18&gt;1),100*(Database!GY15/(Database!GY18)),0.0001)</f>
        <v>1E-4</v>
      </c>
      <c r="DA98" s="99">
        <f>IF(AND(Database!HA15&gt;1,Database!HA18&gt;1),100*(Database!HA15/(Database!HA18)),0.0001)</f>
        <v>1E-4</v>
      </c>
      <c r="DB98" s="99">
        <f>IF(AND(Database!HC15&gt;1,Database!HC18&gt;1),100*(Database!HC15/(Database!HC18)),0.0001)</f>
        <v>1E-4</v>
      </c>
      <c r="DC98" s="99">
        <f>IF(AND(Database!HE15&gt;1,Database!HE18&gt;1),100*(Database!HE15/(Database!HE18)),0.0001)</f>
        <v>1E-4</v>
      </c>
      <c r="DD98" s="99">
        <f>IF(AND(Database!HG15&gt;1,Database!HG18&gt;1),100*(Database!HG15/(Database!HG18)),0.0001)</f>
        <v>1E-4</v>
      </c>
      <c r="DE98" s="99">
        <f>IF(AND(Database!HI15&gt;1,Database!HI18&gt;1),100*(Database!HI15/(Database!HI18)),0.0001)</f>
        <v>1E-4</v>
      </c>
      <c r="DF98" s="99">
        <f>IF(AND(Database!HK15&gt;1,Database!HK18&gt;1),100*(Database!HK15/(Database!HK18)),0.0001)</f>
        <v>1E-4</v>
      </c>
      <c r="DG98" s="99">
        <f>IF(AND(Database!HM15&gt;1,Database!HM18&gt;1),100*(Database!HM15/(Database!HM18)),0.0001)</f>
        <v>1E-4</v>
      </c>
      <c r="DH98" s="99">
        <f>IF(AND(Database!HO15&gt;1,Database!HO18&gt;1),100*(Database!HO15/(Database!HO18)),0.0001)</f>
        <v>1E-4</v>
      </c>
      <c r="DI98" s="99">
        <f>IF(AND(Database!HQ15&gt;1,Database!HQ18&gt;1),100*(Database!HQ15/(Database!HQ18)),0.0001)</f>
        <v>1E-4</v>
      </c>
      <c r="DJ98" s="99">
        <f>IF(AND(Database!HS15&gt;1,Database!HS18&gt;1),100*(Database!HS15/(Database!HS18)),0.0001)</f>
        <v>1E-4</v>
      </c>
      <c r="DK98" s="99">
        <f>IF(AND(Database!HU15&gt;1,Database!HU18&gt;1),100*(Database!HU15/(Database!HU18)),0.0001)</f>
        <v>1E-4</v>
      </c>
      <c r="DL98" s="99">
        <f>IF(AND(Database!HW15&gt;1,Database!HW18&gt;1),100*(Database!HW15/(Database!HW18)),0.0001)</f>
        <v>1E-4</v>
      </c>
      <c r="DM98" s="99">
        <f>IF(AND(Database!HY15&gt;1,Database!HY18&gt;1),100*(Database!HY15/(Database!HY18)),0.0001)</f>
        <v>1E-4</v>
      </c>
      <c r="DN98" s="99">
        <f>IF(AND(Database!IA15&gt;1,Database!IA18&gt;1),100*(Database!IA15/(Database!IA18)),0.0001)</f>
        <v>1E-4</v>
      </c>
      <c r="DO98" s="99">
        <f>IF(AND(Database!IC15&gt;1,Database!IC18&gt;1),100*(Database!IC15/(Database!IC18)),0.0001)</f>
        <v>1E-4</v>
      </c>
      <c r="DP98" s="99">
        <f>IF(AND(Database!IE15&gt;1,Database!IE18&gt;1),100*(Database!IE15/(Database!IE18)),0.0001)</f>
        <v>1E-4</v>
      </c>
      <c r="DQ98" s="99">
        <f>IF(AND(Database!IG15&gt;1,Database!IG18&gt;1),100*(Database!IG15/(Database!IG18)),0.0001)</f>
        <v>1E-4</v>
      </c>
      <c r="DR98" s="99">
        <f>IF(AND(Database!II15&gt;1,Database!II18&gt;1),100*(Database!II15/(Database!II18)),0.0001)</f>
        <v>1E-4</v>
      </c>
      <c r="DS98" s="99">
        <f>IF(AND(Database!IK15&gt;1,Database!IK18&gt;1),100*(Database!IK15/(Database!IK18)),0.0001)</f>
        <v>1E-4</v>
      </c>
      <c r="DT98" s="99">
        <f>IF(AND(Database!IM15&gt;1,Database!IM18&gt;1),100*(Database!IM15/(Database!IM18)),0.0001)</f>
        <v>1E-4</v>
      </c>
      <c r="DU98" s="99">
        <f>IF(AND(Database!IO15&gt;1,Database!IO18&gt;1),100*(Database!IO15/(Database!IO18)),0.0001)</f>
        <v>1E-4</v>
      </c>
      <c r="DV98" s="99">
        <f>IF(AND(Database!IQ15&gt;1,Database!IQ18&gt;1),100*(Database!IQ15/(Database!IQ18)),0.0001)</f>
        <v>1E-4</v>
      </c>
      <c r="DW98" s="99">
        <f>IF(AND(Database!IS15&gt;1,Database!IS18&gt;1),100*(Database!IS15/(Database!IS18)),0.0001)</f>
        <v>1E-4</v>
      </c>
      <c r="DX98" s="99">
        <f>IF(AND(Database!IU15&gt;1,Database!IU18&gt;1),100*(Database!IU15/(Database!IU18)),0.0001)</f>
        <v>1E-4</v>
      </c>
      <c r="DY98" s="99">
        <f>IF(AND(Database!IW15&gt;1,Database!IW18&gt;1),100*(Database!IW15/(Database!IW18)),0.0001)</f>
        <v>1E-4</v>
      </c>
      <c r="DZ98" s="99">
        <f>IF(AND(Database!IY15&gt;1,Database!IY18&gt;1),100*(Database!IY15/(Database!IY18)),0.0001)</f>
        <v>1E-4</v>
      </c>
      <c r="EA98" s="99">
        <f>IF(AND(Database!JA15&gt;1,Database!JA18&gt;1),100*(Database!JA15/(Database!JA18)),0.0001)</f>
        <v>1E-4</v>
      </c>
      <c r="EB98" s="99">
        <f>IF(AND(Database!JC15&gt;1,Database!JC18&gt;1),100*(Database!JC15/(Database!JC18)),0.0001)</f>
        <v>1E-4</v>
      </c>
      <c r="EC98" s="99">
        <f>IF(AND(Database!JE15&gt;1,Database!JE18&gt;1),100*(Database!JE15/(Database!JE18)),0.0001)</f>
        <v>1E-4</v>
      </c>
      <c r="ED98" s="99">
        <f>IF(AND(Database!JG15&gt;1,Database!JG18&gt;1),100*(Database!JG15/(Database!JG18)),0.0001)</f>
        <v>1E-4</v>
      </c>
      <c r="EE98" s="99">
        <f>IF(AND(Database!JI15&gt;1,Database!JI18&gt;1),100*(Database!JI15/(Database!JI18)),0.0001)</f>
        <v>1E-4</v>
      </c>
      <c r="EF98" s="99">
        <f>IF(AND(Database!JK15&gt;1,Database!JK18&gt;1),100*(Database!JK15/(Database!JK18)),0.0001)</f>
        <v>1E-4</v>
      </c>
      <c r="EG98" s="99">
        <f>IF(AND(Database!JM15&gt;1,Database!JM18&gt;1),100*(Database!JM15/(Database!JM18)),0.0001)</f>
        <v>1E-4</v>
      </c>
      <c r="EH98" s="99">
        <f>IF(AND(Database!JO15&gt;1,Database!JO18&gt;1),100*(Database!JO15/(Database!JO18)),0.0001)</f>
        <v>1E-4</v>
      </c>
      <c r="EI98" s="99">
        <f>IF(AND(Database!JQ15&gt;1,Database!JQ18&gt;1),100*(Database!JQ15/(Database!JQ18)),0.0001)</f>
        <v>1E-4</v>
      </c>
      <c r="EJ98" s="99">
        <f>IF(AND(Database!JS15&gt;1,Database!JS18&gt;1),100*(Database!JS15/(Database!JS18)),0.0001)</f>
        <v>1E-4</v>
      </c>
      <c r="EK98" s="99">
        <f>IF(AND(Database!JU15&gt;1,Database!JU18&gt;1),100*(Database!JU15/(Database!JU18)),0.0001)</f>
        <v>1E-4</v>
      </c>
      <c r="EL98" s="99">
        <f>IF(AND(Database!JW15&gt;1,Database!JW18&gt;1),100*(Database!JW15/(Database!JW18)),0.0001)</f>
        <v>1E-4</v>
      </c>
      <c r="EM98" s="99">
        <f>IF(AND(Database!JY15&gt;1,Database!JY18&gt;1),100*(Database!JY15/(Database!JY18)),0.0001)</f>
        <v>1E-4</v>
      </c>
      <c r="EN98" s="99">
        <f>IF(AND(Database!KA15&gt;1,Database!KA18&gt;1),100*(Database!KA15/(Database!KA18)),0.0001)</f>
        <v>1E-4</v>
      </c>
      <c r="EO98" s="99">
        <f>IF(AND(Database!KC15&gt;1,Database!KC18&gt;1),100*(Database!KC15/(Database!KC18)),0.0001)</f>
        <v>1E-4</v>
      </c>
      <c r="EP98" s="99">
        <f>IF(AND(Database!KE15&gt;1,Database!KE18&gt;1),100*(Database!KE15/(Database!KE18)),0.0001)</f>
        <v>1E-4</v>
      </c>
      <c r="EQ98" s="99">
        <f>IF(AND(Database!KG15&gt;1,Database!KG18&gt;1),100*(Database!KG15/(Database!KG18)),0.0001)</f>
        <v>1E-4</v>
      </c>
      <c r="ER98" s="99">
        <f>IF(AND(Database!KI15&gt;1,Database!KI18&gt;1),100*(Database!KI15/(Database!KI18)),0.0001)</f>
        <v>1E-4</v>
      </c>
      <c r="ES98" s="99">
        <f>IF(AND(Database!KK15&gt;1,Database!KK18&gt;1),100*(Database!KK15/(Database!KK18)),0.0001)</f>
        <v>1E-4</v>
      </c>
      <c r="ET98" s="99">
        <f>IF(AND(Database!KM15&gt;1,Database!KM18&gt;1),100*(Database!KM15/(Database!KM18)),0.0001)</f>
        <v>1E-4</v>
      </c>
      <c r="EU98" s="99">
        <f>IF(AND(Database!KO15&gt;1,Database!KO18&gt;1),100*(Database!KO15/(Database!KO18)),0.0001)</f>
        <v>1E-4</v>
      </c>
      <c r="EV98" s="99">
        <f>IF(AND(Database!KQ15&gt;1,Database!KQ18&gt;1),100*(Database!KQ15/(Database!KQ18)),0.0001)</f>
        <v>1E-4</v>
      </c>
      <c r="EW98" s="99">
        <f>IF(AND(Database!KS15&gt;1,Database!KS18&gt;1),100*(Database!KS15/(Database!KS18)),0.0001)</f>
        <v>1E-4</v>
      </c>
      <c r="EX98" s="99">
        <f>IF(AND(Database!KU15&gt;1,Database!KU18&gt;1),100*(Database!KU15/(Database!KU18)),0.0001)</f>
        <v>1E-4</v>
      </c>
      <c r="EY98" s="99">
        <f>IF(AND(Database!KW15&gt;1,Database!KW18&gt;1),100*(Database!KW15/(Database!KW18)),0.0001)</f>
        <v>1E-4</v>
      </c>
      <c r="EZ98" s="99">
        <f>IF(AND(Database!KY15&gt;1,Database!KY18&gt;1),100*(Database!KY15/(Database!KY18)),0.0001)</f>
        <v>1E-4</v>
      </c>
      <c r="FA98" s="99">
        <f>IF(AND(Database!LA15&gt;1,Database!LA18&gt;1),100*(Database!LA15/(Database!LA18)),0.0001)</f>
        <v>1E-4</v>
      </c>
      <c r="FB98" s="99">
        <f>IF(AND(Database!LC15&gt;1,Database!LC18&gt;1),100*(Database!LC15/(Database!LC18)),0.0001)</f>
        <v>1E-4</v>
      </c>
      <c r="FC98" s="99">
        <f>IF(AND(Database!LE15&gt;1,Database!LE18&gt;1),100*(Database!LE15/(Database!LE18)),0.0001)</f>
        <v>1E-4</v>
      </c>
      <c r="FD98" s="99">
        <f>IF(AND(Database!LG15&gt;1,Database!LG18&gt;1),100*(Database!LG15/(Database!LG18)),0.0001)</f>
        <v>1E-4</v>
      </c>
      <c r="FE98" s="99">
        <f>IF(AND(Database!LI15&gt;1,Database!LI18&gt;1),100*(Database!LI15/(Database!LI18)),0.0001)</f>
        <v>1E-4</v>
      </c>
      <c r="FF98" s="99">
        <f>IF(AND(Database!LK15&gt;1,Database!LK18&gt;1),100*(Database!LK15/(Database!LK18)),0.0001)</f>
        <v>1E-4</v>
      </c>
      <c r="FG98" s="99">
        <f>IF(AND(Database!LM15&gt;1,Database!LM18&gt;1),100*(Database!LM15/(Database!LM18)),0.0001)</f>
        <v>1E-4</v>
      </c>
      <c r="FH98" s="99">
        <f>IF(AND(Database!LO15&gt;1,Database!LO18&gt;1),100*(Database!LO15/(Database!LO18)),0.0001)</f>
        <v>1E-4</v>
      </c>
      <c r="FI98" s="99">
        <f>IF(AND(Database!LQ15&gt;1,Database!LQ18&gt;1),100*(Database!LQ15/(Database!LQ18)),0.0001)</f>
        <v>1E-4</v>
      </c>
      <c r="FJ98" s="99">
        <f>IF(AND(Database!LS15&gt;1,Database!LS18&gt;1),100*(Database!LS15/(Database!LS18)),0.0001)</f>
        <v>1E-4</v>
      </c>
      <c r="FK98" s="99">
        <f>IF(AND(Database!LU15&gt;1,Database!LU18&gt;1),100*(Database!LU15/(Database!LU18)),0.0001)</f>
        <v>1E-4</v>
      </c>
      <c r="FL98" s="99">
        <f>IF(AND(Database!LW15&gt;1,Database!LW18&gt;1),100*(Database!LW15/(Database!LW18)),0.0001)</f>
        <v>1E-4</v>
      </c>
      <c r="FM98" s="99">
        <f>IF(AND(Database!LY15&gt;1,Database!LY18&gt;1),100*(Database!LY15/(Database!LY18)),0.0001)</f>
        <v>1E-4</v>
      </c>
      <c r="FN98" s="99">
        <f>IF(AND(Database!MA15&gt;1,Database!MA18&gt;1),100*(Database!MA15/(Database!MA18)),0.0001)</f>
        <v>1E-4</v>
      </c>
      <c r="FO98" s="99">
        <f>IF(AND(Database!MC15&gt;1,Database!MC18&gt;1),100*(Database!MC15/(Database!MC18)),0.0001)</f>
        <v>1E-4</v>
      </c>
      <c r="FP98" s="99">
        <f>IF(AND(Database!ME15&gt;1,Database!ME18&gt;1),100*(Database!ME15/(Database!ME18)),0.0001)</f>
        <v>1E-4</v>
      </c>
      <c r="FQ98" s="99">
        <f>IF(AND(Database!MG15&gt;1,Database!MG18&gt;1),100*(Database!MG15/(Database!MG18)),0.0001)</f>
        <v>1E-4</v>
      </c>
      <c r="FR98" s="99">
        <f>IF(AND(Database!MI15&gt;1,Database!MI18&gt;1),100*(Database!MI15/(Database!MI18)),0.0001)</f>
        <v>1E-4</v>
      </c>
      <c r="FS98" s="99">
        <f>IF(AND(Database!MK15&gt;1,Database!MK18&gt;1),100*(Database!MK15/(Database!MK18)),0.0001)</f>
        <v>1E-4</v>
      </c>
      <c r="FT98" s="99">
        <f>IF(AND(Database!MM15&gt;1,Database!MM18&gt;1),100*(Database!MM15/(Database!MM18)),0.0001)</f>
        <v>1E-4</v>
      </c>
      <c r="FU98" s="99">
        <f>IF(AND(Database!MO15&gt;1,Database!MO18&gt;1),100*(Database!MO15/(Database!MO18)),0.0001)</f>
        <v>1E-4</v>
      </c>
      <c r="FV98" s="99">
        <f>IF(AND(Database!MQ15&gt;1,Database!MQ18&gt;1),100*(Database!MQ15/(Database!MQ18)),0.0001)</f>
        <v>1E-4</v>
      </c>
      <c r="FW98" s="99">
        <f>IF(AND(Database!MS15&gt;1,Database!MS18&gt;1),100*(Database!MS15/(Database!MS18)),0.0001)</f>
        <v>1E-4</v>
      </c>
      <c r="FX98" s="99">
        <f>IF(AND(Database!MU15&gt;1,Database!MU18&gt;1),100*(Database!MU15/(Database!MU18)),0.0001)</f>
        <v>1E-4</v>
      </c>
      <c r="FY98" s="99">
        <f>IF(AND(Database!MW15&gt;1,Database!MW18&gt;1),100*(Database!MW15/(Database!MW18)),0.0001)</f>
        <v>1E-4</v>
      </c>
      <c r="FZ98" s="99">
        <f>IF(AND(Database!MY15&gt;1,Database!MY18&gt;1),100*(Database!MY15/(Database!MY18)),0.0001)</f>
        <v>1E-4</v>
      </c>
      <c r="GA98" s="99">
        <f>IF(AND(Database!NA15&gt;1,Database!NA18&gt;1),100*(Database!NA15/(Database!NA18)),0.0001)</f>
        <v>1E-4</v>
      </c>
      <c r="GB98" s="99">
        <f>IF(AND(Database!NC15&gt;1,Database!NC18&gt;1),100*(Database!NC15/(Database!NC18)),0.0001)</f>
        <v>1E-4</v>
      </c>
      <c r="GC98" s="99">
        <f>IF(AND(Database!NE15&gt;1,Database!NE18&gt;1),100*(Database!NE15/(Database!NE18)),0.0001)</f>
        <v>1E-4</v>
      </c>
      <c r="GD98" s="99">
        <f>IF(AND(Database!NG15&gt;1,Database!NG18&gt;1),100*(Database!NG15/(Database!NG18)),0.0001)</f>
        <v>1E-4</v>
      </c>
      <c r="GE98" s="99">
        <f>IF(AND(Database!NI15&gt;1,Database!NI18&gt;1),100*(Database!NI15/(Database!NI18)),0.0001)</f>
        <v>1E-4</v>
      </c>
      <c r="GF98" s="99">
        <f>IF(AND(Database!NK15&gt;1,Database!NK18&gt;1),100*(Database!NK15/(Database!NK18)),0.0001)</f>
        <v>1E-4</v>
      </c>
      <c r="GG98" s="99">
        <f>IF(AND(Database!NM15&gt;1,Database!NM18&gt;1),100*(Database!NM15/(Database!NM18)),0.0001)</f>
        <v>1E-4</v>
      </c>
      <c r="GH98" s="99">
        <f>IF(AND(Database!NO15&gt;1,Database!NO18&gt;1),100*(Database!NO15/(Database!NO18)),0.0001)</f>
        <v>1E-4</v>
      </c>
      <c r="GI98" s="99">
        <f>IF(AND(Database!NQ15&gt;1,Database!NQ18&gt;1),100*(Database!NQ15/(Database!NQ18)),0.0001)</f>
        <v>1E-4</v>
      </c>
      <c r="GJ98" s="99">
        <f>IF(AND(Database!NS15&gt;1,Database!NS18&gt;1),100*(Database!NS15/(Database!NS18)),0.0001)</f>
        <v>1E-4</v>
      </c>
      <c r="GK98" s="99">
        <f>IF(AND(Database!NU15&gt;1,Database!NU18&gt;1),100*(Database!NU15/(Database!NU18)),0.0001)</f>
        <v>1E-4</v>
      </c>
      <c r="GL98" s="99">
        <f>IF(AND(Database!NW15&gt;1,Database!NW18&gt;1),100*(Database!NW15/(Database!NW18)),0.0001)</f>
        <v>1E-4</v>
      </c>
      <c r="GM98" s="99">
        <f>IF(AND(Database!NY15&gt;1,Database!NY18&gt;1),100*(Database!NY15/(Database!NY18)),0.0001)</f>
        <v>1E-4</v>
      </c>
      <c r="GN98" s="99">
        <f>IF(AND(Database!OA15&gt;1,Database!OA18&gt;1),100*(Database!OA15/(Database!OA18)),0.0001)</f>
        <v>1E-4</v>
      </c>
      <c r="GO98" s="99">
        <f>IF(AND(Database!OC15&gt;1,Database!OC18&gt;1),100*(Database!OC15/(Database!OC18)),0.0001)</f>
        <v>1E-4</v>
      </c>
      <c r="GP98" s="99">
        <f>IF(AND(Database!OE15&gt;1,Database!OE18&gt;1),100*(Database!OE15/(Database!OE18)),0.0001)</f>
        <v>1E-4</v>
      </c>
      <c r="GQ98" s="99">
        <f>IF(AND(Database!OG15&gt;1,Database!OG18&gt;1),100*(Database!OG15/(Database!OG18)),0.0001)</f>
        <v>1E-4</v>
      </c>
      <c r="GR98" s="99">
        <f>IF(AND(Database!OI15&gt;1,Database!OI18&gt;1),100*(Database!OI15/(Database!OI18)),0.0001)</f>
        <v>1E-4</v>
      </c>
      <c r="GS98" s="99">
        <f>IF(AND(Database!OK15&gt;1,Database!OK18&gt;1),100*(Database!OK15/(Database!OK18)),0.0001)</f>
        <v>1E-4</v>
      </c>
      <c r="GT98" s="99">
        <f>IF(AND(Database!OM15&gt;1,Database!OM18&gt;1),100*(Database!OM15/(Database!OM18)),0.0001)</f>
        <v>1E-4</v>
      </c>
    </row>
    <row r="99" spans="1:202" ht="18.75" customHeight="1" x14ac:dyDescent="0.4">
      <c r="A99" s="29" t="s">
        <v>108</v>
      </c>
      <c r="B99" s="306"/>
      <c r="C99" s="99">
        <f>IF(AND(Database!E16&gt;1,Database!E22&gt;1),100*(Database!E16/(Database!E22)),0.0001)</f>
        <v>87.442673072723295</v>
      </c>
      <c r="D99" s="99">
        <f>IF(AND(Database!G16&gt;1,Database!G22&gt;1),100*(Database!G16/(Database!G22)),0.0001)</f>
        <v>73.248209280597948</v>
      </c>
      <c r="E99" s="99">
        <f>IF(AND(Database!I16&gt;1,Database!I22&gt;1),100*(Database!I16/(Database!I22)),0.0001)</f>
        <v>94.378050833193058</v>
      </c>
      <c r="F99" s="99">
        <f>IF(AND(Database!K16&gt;1,Database!K22&gt;1),100*(Database!K16/(Database!K22)),0.0001)</f>
        <v>99.757673667205168</v>
      </c>
      <c r="G99" s="99">
        <f>IF(AND(Database!M16&gt;1,Database!M22&gt;1),100*(Database!M16/(Database!M22)),0.0001)</f>
        <v>1E-4</v>
      </c>
      <c r="H99" s="99">
        <f>IF(AND(Database!O16&gt;1,Database!O22&gt;1),100*(Database!O16/(Database!O22)),0.0001)</f>
        <v>1E-4</v>
      </c>
      <c r="I99" s="99">
        <f>IF(AND(Database!Q16&gt;1,Database!Q22&gt;1),100*(Database!Q16/(Database!Q22)),0.0001)</f>
        <v>1E-4</v>
      </c>
      <c r="J99" s="99">
        <f>IF(AND(Database!S16&gt;1,Database!S22&gt;1),100*(Database!S16/(Database!S22)),0.0001)</f>
        <v>1E-4</v>
      </c>
      <c r="K99" s="99">
        <f>IF(AND(Database!U16&gt;1,Database!U22&gt;1),100*(Database!U16/(Database!U22)),0.0001)</f>
        <v>1E-4</v>
      </c>
      <c r="L99" s="99">
        <f>IF(AND(Database!W16&gt;1,Database!W22&gt;1),100*(Database!W16/(Database!W22)),0.0001)</f>
        <v>1E-4</v>
      </c>
      <c r="M99" s="99">
        <f>IF(AND(Database!Y16&gt;1,Database!Y22&gt;1),100*(Database!Y16/(Database!Y22)),0.0001)</f>
        <v>1E-4</v>
      </c>
      <c r="N99" s="99">
        <f>IF(AND(Database!AA16&gt;1,Database!AA22&gt;1),100*(Database!AA16/(Database!AA22)),0.0001)</f>
        <v>1E-4</v>
      </c>
      <c r="O99" s="99">
        <f>IF(AND(Database!AC16&gt;1,Database!AC22&gt;1),100*(Database!AC16/(Database!AC22)),0.0001)</f>
        <v>1E-4</v>
      </c>
      <c r="P99" s="99">
        <f>IF(AND(Database!AE16&gt;1,Database!AE22&gt;1),100*(Database!AE16/(Database!AE22)),0.0001)</f>
        <v>1E-4</v>
      </c>
      <c r="Q99" s="99">
        <f>IF(AND(Database!AG16&gt;1,Database!AG22&gt;1),100*(Database!AG16/(Database!AG22)),0.0001)</f>
        <v>1E-4</v>
      </c>
      <c r="R99" s="99">
        <f>IF(AND(Database!AI16&gt;1,Database!AI22&gt;1),100*(Database!AI16/(Database!AI22)),0.0001)</f>
        <v>1E-4</v>
      </c>
      <c r="S99" s="99">
        <f>IF(AND(Database!AK16&gt;1,Database!AK22&gt;1),100*(Database!AK16/(Database!AK22)),0.0001)</f>
        <v>1E-4</v>
      </c>
      <c r="T99" s="99">
        <f>IF(AND(Database!AM16&gt;1,Database!AM22&gt;1),100*(Database!AM16/(Database!AM22)),0.0001)</f>
        <v>1E-4</v>
      </c>
      <c r="U99" s="99">
        <f>IF(AND(Database!AO16&gt;1,Database!AO22&gt;1),100*(Database!AO16/(Database!AO22)),0.0001)</f>
        <v>1E-4</v>
      </c>
      <c r="V99" s="99">
        <f>IF(AND(Database!AQ16&gt;1,Database!AQ22&gt;1),100*(Database!AQ16/(Database!AQ22)),0.0001)</f>
        <v>1E-4</v>
      </c>
      <c r="W99" s="99">
        <f>IF(AND(Database!AS16&gt;1,Database!AS22&gt;1),100*(Database!AS16/(Database!AS22)),0.0001)</f>
        <v>1E-4</v>
      </c>
      <c r="X99" s="99">
        <f>IF(AND(Database!AU16&gt;1,Database!AU22&gt;1),100*(Database!AU16/(Database!AU22)),0.0001)</f>
        <v>1E-4</v>
      </c>
      <c r="Y99" s="99">
        <f>IF(AND(Database!AW16&gt;1,Database!AW22&gt;1),100*(Database!AW16/(Database!AW22)),0.0001)</f>
        <v>1E-4</v>
      </c>
      <c r="Z99" s="99">
        <f>IF(AND(Database!AY16&gt;1,Database!AY22&gt;1),100*(Database!AY16/(Database!AY22)),0.0001)</f>
        <v>1E-4</v>
      </c>
      <c r="AA99" s="99">
        <f>IF(AND(Database!BA16&gt;1,Database!BA22&gt;1),100*(Database!BA16/(Database!BA22)),0.0001)</f>
        <v>1E-4</v>
      </c>
      <c r="AB99" s="99">
        <f>IF(AND(Database!BC16&gt;1,Database!BC22&gt;1),100*(Database!BC16/(Database!BC22)),0.0001)</f>
        <v>1E-4</v>
      </c>
      <c r="AC99" s="99">
        <f>IF(AND(Database!BE16&gt;1,Database!BE22&gt;1),100*(Database!BE16/(Database!BE22)),0.0001)</f>
        <v>1E-4</v>
      </c>
      <c r="AD99" s="99">
        <f>IF(AND(Database!BG16&gt;1,Database!BG22&gt;1),100*(Database!BG16/(Database!BG22)),0.0001)</f>
        <v>1E-4</v>
      </c>
      <c r="AE99" s="99">
        <f>IF(AND(Database!BI16&gt;1,Database!BI22&gt;1),100*(Database!BI16/(Database!BI22)),0.0001)</f>
        <v>1E-4</v>
      </c>
      <c r="AF99" s="99">
        <f>IF(AND(Database!BK16&gt;1,Database!BK22&gt;1),100*(Database!BK16/(Database!BK22)),0.0001)</f>
        <v>1E-4</v>
      </c>
      <c r="AG99" s="99">
        <f>IF(AND(Database!BM16&gt;1,Database!BM22&gt;1),100*(Database!BM16/(Database!BM22)),0.0001)</f>
        <v>1E-4</v>
      </c>
      <c r="AH99" s="99">
        <f>IF(AND(Database!BO16&gt;1,Database!BO22&gt;1),100*(Database!BO16/(Database!BO22)),0.0001)</f>
        <v>1E-4</v>
      </c>
      <c r="AI99" s="99">
        <f>IF(AND(Database!BQ16&gt;1,Database!BQ22&gt;1),100*(Database!BQ16/(Database!BQ22)),0.0001)</f>
        <v>1E-4</v>
      </c>
      <c r="AJ99" s="99">
        <f>IF(AND(Database!BS16&gt;1,Database!BS22&gt;1),100*(Database!BS16/(Database!BS22)),0.0001)</f>
        <v>1E-4</v>
      </c>
      <c r="AK99" s="99">
        <f>IF(AND(Database!BU16&gt;1,Database!BU22&gt;1),100*(Database!BU16/(Database!BU22)),0.0001)</f>
        <v>1E-4</v>
      </c>
      <c r="AL99" s="99">
        <f>IF(AND(Database!BW16&gt;1,Database!BW22&gt;1),100*(Database!BW16/(Database!BW22)),0.0001)</f>
        <v>1E-4</v>
      </c>
      <c r="AM99" s="99">
        <f>IF(AND(Database!BY16&gt;1,Database!BY22&gt;1),100*(Database!BY16/(Database!BY22)),0.0001)</f>
        <v>1E-4</v>
      </c>
      <c r="AN99" s="99">
        <f>IF(AND(Database!CA16&gt;1,Database!CA22&gt;1),100*(Database!CA16/(Database!CA22)),0.0001)</f>
        <v>1E-4</v>
      </c>
      <c r="AO99" s="99">
        <f>IF(AND(Database!CC16&gt;1,Database!CC22&gt;1),100*(Database!CC16/(Database!CC22)),0.0001)</f>
        <v>1E-4</v>
      </c>
      <c r="AP99" s="99">
        <f>IF(AND(Database!CE16&gt;1,Database!CE22&gt;1),100*(Database!CE16/(Database!CE22)),0.0001)</f>
        <v>1E-4</v>
      </c>
      <c r="AQ99" s="99">
        <f>IF(AND(Database!CG16&gt;1,Database!CG22&gt;1),100*(Database!CG16/(Database!CG22)),0.0001)</f>
        <v>1E-4</v>
      </c>
      <c r="AR99" s="99">
        <f>IF(AND(Database!CI16&gt;1,Database!CI22&gt;1),100*(Database!CI16/(Database!CI22)),0.0001)</f>
        <v>1E-4</v>
      </c>
      <c r="AS99" s="99">
        <f>IF(AND(Database!CK16&gt;1,Database!CK22&gt;1),100*(Database!CK16/(Database!CK22)),0.0001)</f>
        <v>1E-4</v>
      </c>
      <c r="AT99" s="99">
        <f>IF(AND(Database!CM16&gt;1,Database!CM22&gt;1),100*(Database!CM16/(Database!CM22)),0.0001)</f>
        <v>1E-4</v>
      </c>
      <c r="AU99" s="99">
        <f>IF(AND(Database!CO16&gt;1,Database!CO22&gt;1),100*(Database!CO16/(Database!CO22)),0.0001)</f>
        <v>1E-4</v>
      </c>
      <c r="AV99" s="99">
        <f>IF(AND(Database!CQ16&gt;1,Database!CQ22&gt;1),100*(Database!CQ16/(Database!CQ22)),0.0001)</f>
        <v>1E-4</v>
      </c>
      <c r="AW99" s="99">
        <f>IF(AND(Database!CS16&gt;1,Database!CS22&gt;1),100*(Database!CS16/(Database!CS22)),0.0001)</f>
        <v>1E-4</v>
      </c>
      <c r="AX99" s="99">
        <f>IF(AND(Database!CU16&gt;1,Database!CU22&gt;1),100*(Database!CU16/(Database!CU22)),0.0001)</f>
        <v>1E-4</v>
      </c>
      <c r="AY99" s="99">
        <f>IF(AND(Database!CW16&gt;1,Database!CW22&gt;1),100*(Database!CW16/(Database!CW22)),0.0001)</f>
        <v>1E-4</v>
      </c>
      <c r="AZ99" s="99">
        <f>IF(AND(Database!CY16&gt;1,Database!CY22&gt;1),100*(Database!CY16/(Database!CY22)),0.0001)</f>
        <v>1E-4</v>
      </c>
      <c r="BA99" s="99">
        <f>IF(AND(Database!DA16&gt;1,Database!DA22&gt;1),100*(Database!DA16/(Database!DA22)),0.0001)</f>
        <v>1E-4</v>
      </c>
      <c r="BB99" s="99">
        <f>IF(AND(Database!DC16&gt;1,Database!DC22&gt;1),100*(Database!DC16/(Database!DC22)),0.0001)</f>
        <v>1E-4</v>
      </c>
      <c r="BC99" s="99">
        <f>IF(AND(Database!DE16&gt;1,Database!DE22&gt;1),100*(Database!DE16/(Database!DE22)),0.0001)</f>
        <v>1E-4</v>
      </c>
      <c r="BD99" s="99">
        <f>IF(AND(Database!DG16&gt;1,Database!DG22&gt;1),100*(Database!DG16/(Database!DG22)),0.0001)</f>
        <v>1E-4</v>
      </c>
      <c r="BE99" s="99">
        <f>IF(AND(Database!DI16&gt;1,Database!DI22&gt;1),100*(Database!DI16/(Database!DI22)),0.0001)</f>
        <v>1E-4</v>
      </c>
      <c r="BF99" s="99">
        <f>IF(AND(Database!DK16&gt;1,Database!DK22&gt;1),100*(Database!DK16/(Database!DK22)),0.0001)</f>
        <v>1E-4</v>
      </c>
      <c r="BG99" s="99">
        <f>IF(AND(Database!DM16&gt;1,Database!DM22&gt;1),100*(Database!DM16/(Database!DM22)),0.0001)</f>
        <v>1E-4</v>
      </c>
      <c r="BH99" s="99">
        <f>IF(AND(Database!DO16&gt;1,Database!DO22&gt;1),100*(Database!DO16/(Database!DO22)),0.0001)</f>
        <v>1E-4</v>
      </c>
      <c r="BI99" s="99">
        <f>IF(AND(Database!DQ16&gt;1,Database!DQ22&gt;1),100*(Database!DQ16/(Database!DQ22)),0.0001)</f>
        <v>1E-4</v>
      </c>
      <c r="BJ99" s="99">
        <f>IF(AND(Database!DS16&gt;1,Database!DS22&gt;1),100*(Database!DS16/(Database!DS22)),0.0001)</f>
        <v>1E-4</v>
      </c>
      <c r="BK99" s="99">
        <f>IF(AND(Database!DU16&gt;1,Database!DU22&gt;1),100*(Database!DU16/(Database!DU22)),0.0001)</f>
        <v>1E-4</v>
      </c>
      <c r="BL99" s="99">
        <f>IF(AND(Database!DW16&gt;1,Database!DW22&gt;1),100*(Database!DW16/(Database!DW22)),0.0001)</f>
        <v>1E-4</v>
      </c>
      <c r="BM99" s="99">
        <f>IF(AND(Database!DY16&gt;1,Database!DY22&gt;1),100*(Database!DY16/(Database!DY22)),0.0001)</f>
        <v>1E-4</v>
      </c>
      <c r="BN99" s="99">
        <f>IF(AND(Database!EA16&gt;1,Database!EA22&gt;1),100*(Database!EA16/(Database!EA22)),0.0001)</f>
        <v>1E-4</v>
      </c>
      <c r="BO99" s="99">
        <f>IF(AND(Database!EC16&gt;1,Database!EC22&gt;1),100*(Database!EC16/(Database!EC22)),0.0001)</f>
        <v>1E-4</v>
      </c>
      <c r="BP99" s="99">
        <f>IF(AND(Database!EE16&gt;1,Database!EE22&gt;1),100*(Database!EE16/(Database!EE22)),0.0001)</f>
        <v>1E-4</v>
      </c>
      <c r="BQ99" s="99">
        <f>IF(AND(Database!EG16&gt;1,Database!EG22&gt;1),100*(Database!EG16/(Database!EG22)),0.0001)</f>
        <v>1E-4</v>
      </c>
      <c r="BR99" s="99">
        <f>IF(AND(Database!EI16&gt;1,Database!EI22&gt;1),100*(Database!EI16/(Database!EI22)),0.0001)</f>
        <v>1E-4</v>
      </c>
      <c r="BS99" s="99">
        <f>IF(AND(Database!EK16&gt;1,Database!EK22&gt;1),100*(Database!EK16/(Database!EK22)),0.0001)</f>
        <v>1E-4</v>
      </c>
      <c r="BT99" s="99">
        <f>IF(AND(Database!EM16&gt;1,Database!EM22&gt;1),100*(Database!EM16/(Database!EM22)),0.0001)</f>
        <v>1E-4</v>
      </c>
      <c r="BU99" s="99">
        <f>IF(AND(Database!EO16&gt;1,Database!EO22&gt;1),100*(Database!EO16/(Database!EO22)),0.0001)</f>
        <v>1E-4</v>
      </c>
      <c r="BV99" s="99">
        <f>IF(AND(Database!EQ16&gt;1,Database!EQ22&gt;1),100*(Database!EQ16/(Database!EQ22)),0.0001)</f>
        <v>1E-4</v>
      </c>
      <c r="BW99" s="99">
        <f>IF(AND(Database!ES16&gt;1,Database!ES22&gt;1),100*(Database!ES16/(Database!ES22)),0.0001)</f>
        <v>1E-4</v>
      </c>
      <c r="BX99" s="99">
        <f>IF(AND(Database!EU16&gt;1,Database!EU22&gt;1),100*(Database!EU16/(Database!EU22)),0.0001)</f>
        <v>1E-4</v>
      </c>
      <c r="BY99" s="99">
        <f>IF(AND(Database!EW16&gt;1,Database!EW22&gt;1),100*(Database!EW16/(Database!EW22)),0.0001)</f>
        <v>1E-4</v>
      </c>
      <c r="BZ99" s="99">
        <f>IF(AND(Database!EY16&gt;1,Database!EY22&gt;1),100*(Database!EY16/(Database!EY22)),0.0001)</f>
        <v>1E-4</v>
      </c>
      <c r="CA99" s="99">
        <f>IF(AND(Database!FA16&gt;1,Database!FA22&gt;1),100*(Database!FA16/(Database!FA22)),0.0001)</f>
        <v>1E-4</v>
      </c>
      <c r="CB99" s="99">
        <f>IF(AND(Database!FC16&gt;1,Database!FC22&gt;1),100*(Database!FC16/(Database!FC22)),0.0001)</f>
        <v>1E-4</v>
      </c>
      <c r="CC99" s="99">
        <f>IF(AND(Database!FE16&gt;1,Database!FE22&gt;1),100*(Database!FE16/(Database!FE22)),0.0001)</f>
        <v>1E-4</v>
      </c>
      <c r="CD99" s="99">
        <f>IF(AND(Database!FG16&gt;1,Database!FG22&gt;1),100*(Database!FG16/(Database!FG22)),0.0001)</f>
        <v>1E-4</v>
      </c>
      <c r="CE99" s="99">
        <f>IF(AND(Database!FI16&gt;1,Database!FI22&gt;1),100*(Database!FI16/(Database!FI22)),0.0001)</f>
        <v>1E-4</v>
      </c>
      <c r="CF99" s="99">
        <f>IF(AND(Database!FK16&gt;1,Database!FK22&gt;1),100*(Database!FK16/(Database!FK22)),0.0001)</f>
        <v>1E-4</v>
      </c>
      <c r="CG99" s="99">
        <f>IF(AND(Database!FM16&gt;1,Database!FM22&gt;1),100*(Database!FM16/(Database!FM22)),0.0001)</f>
        <v>1E-4</v>
      </c>
      <c r="CH99" s="99">
        <f>IF(AND(Database!FO16&gt;1,Database!FO22&gt;1),100*(Database!FO16/(Database!FO22)),0.0001)</f>
        <v>1E-4</v>
      </c>
      <c r="CI99" s="99">
        <f>IF(AND(Database!FQ16&gt;1,Database!FQ22&gt;1),100*(Database!FQ16/(Database!FQ22)),0.0001)</f>
        <v>1E-4</v>
      </c>
      <c r="CJ99" s="99">
        <f>IF(AND(Database!FS16&gt;1,Database!FS22&gt;1),100*(Database!FS16/(Database!FS22)),0.0001)</f>
        <v>1E-4</v>
      </c>
      <c r="CK99" s="99">
        <f>IF(AND(Database!FU16&gt;1,Database!FU22&gt;1),100*(Database!FU16/(Database!FU22)),0.0001)</f>
        <v>1E-4</v>
      </c>
      <c r="CL99" s="99">
        <f>IF(AND(Database!FW16&gt;1,Database!FW22&gt;1),100*(Database!FW16/(Database!FW22)),0.0001)</f>
        <v>1E-4</v>
      </c>
      <c r="CM99" s="99">
        <f>IF(AND(Database!FY16&gt;1,Database!FY22&gt;1),100*(Database!FY16/(Database!FY22)),0.0001)</f>
        <v>1E-4</v>
      </c>
      <c r="CN99" s="99">
        <f>IF(AND(Database!GA16&gt;1,Database!GA22&gt;1),100*(Database!GA16/(Database!GA22)),0.0001)</f>
        <v>1E-4</v>
      </c>
      <c r="CO99" s="99">
        <f>IF(AND(Database!GC16&gt;1,Database!GC22&gt;1),100*(Database!GC16/(Database!GC22)),0.0001)</f>
        <v>1E-4</v>
      </c>
      <c r="CP99" s="99">
        <f>IF(AND(Database!GE16&gt;1,Database!GE22&gt;1),100*(Database!GE16/(Database!GE22)),0.0001)</f>
        <v>1E-4</v>
      </c>
      <c r="CQ99" s="99">
        <f>IF(AND(Database!GG16&gt;1,Database!GG22&gt;1),100*(Database!GG16/(Database!GG22)),0.0001)</f>
        <v>1E-4</v>
      </c>
      <c r="CR99" s="99">
        <f>IF(AND(Database!GI16&gt;1,Database!GI22&gt;1),100*(Database!GI16/(Database!GI22)),0.0001)</f>
        <v>1E-4</v>
      </c>
      <c r="CS99" s="99">
        <f>IF(AND(Database!GK16&gt;1,Database!GK22&gt;1),100*(Database!GK16/(Database!GK22)),0.0001)</f>
        <v>1E-4</v>
      </c>
      <c r="CT99" s="99">
        <f>IF(AND(Database!GM16&gt;1,Database!GM22&gt;1),100*(Database!GM16/(Database!GM22)),0.0001)</f>
        <v>1E-4</v>
      </c>
      <c r="CU99" s="99">
        <f>IF(AND(Database!GO16&gt;1,Database!GO22&gt;1),100*(Database!GO16/(Database!GO22)),0.0001)</f>
        <v>1E-4</v>
      </c>
      <c r="CV99" s="99">
        <f>IF(AND(Database!GQ16&gt;1,Database!GQ22&gt;1),100*(Database!GQ16/(Database!GQ22)),0.0001)</f>
        <v>1E-4</v>
      </c>
      <c r="CW99" s="99">
        <f>IF(AND(Database!GS16&gt;1,Database!GS22&gt;1),100*(Database!GS16/(Database!GS22)),0.0001)</f>
        <v>1E-4</v>
      </c>
      <c r="CX99" s="99">
        <f>IF(AND(Database!GU16&gt;1,Database!GU22&gt;1),100*(Database!GU16/(Database!GU22)),0.0001)</f>
        <v>1E-4</v>
      </c>
      <c r="CY99" s="99">
        <f>IF(AND(Database!GW16&gt;1,Database!GW22&gt;1),100*(Database!GW16/(Database!GW22)),0.0001)</f>
        <v>1E-4</v>
      </c>
      <c r="CZ99" s="99">
        <f>IF(AND(Database!GY16&gt;1,Database!GY22&gt;1),100*(Database!GY16/(Database!GY22)),0.0001)</f>
        <v>1E-4</v>
      </c>
      <c r="DA99" s="99">
        <f>IF(AND(Database!HA16&gt;1,Database!HA22&gt;1),100*(Database!HA16/(Database!HA22)),0.0001)</f>
        <v>1E-4</v>
      </c>
      <c r="DB99" s="99">
        <f>IF(AND(Database!HC16&gt;1,Database!HC22&gt;1),100*(Database!HC16/(Database!HC22)),0.0001)</f>
        <v>1E-4</v>
      </c>
      <c r="DC99" s="99">
        <f>IF(AND(Database!HE16&gt;1,Database!HE22&gt;1),100*(Database!HE16/(Database!HE22)),0.0001)</f>
        <v>1E-4</v>
      </c>
      <c r="DD99" s="99">
        <f>IF(AND(Database!HG16&gt;1,Database!HG22&gt;1),100*(Database!HG16/(Database!HG22)),0.0001)</f>
        <v>1E-4</v>
      </c>
      <c r="DE99" s="99">
        <f>IF(AND(Database!HI16&gt;1,Database!HI22&gt;1),100*(Database!HI16/(Database!HI22)),0.0001)</f>
        <v>1E-4</v>
      </c>
      <c r="DF99" s="99">
        <f>IF(AND(Database!HK16&gt;1,Database!HK22&gt;1),100*(Database!HK16/(Database!HK22)),0.0001)</f>
        <v>1E-4</v>
      </c>
      <c r="DG99" s="99">
        <f>IF(AND(Database!HM16&gt;1,Database!HM22&gt;1),100*(Database!HM16/(Database!HM22)),0.0001)</f>
        <v>1E-4</v>
      </c>
      <c r="DH99" s="99">
        <f>IF(AND(Database!HO16&gt;1,Database!HO22&gt;1),100*(Database!HO16/(Database!HO22)),0.0001)</f>
        <v>1E-4</v>
      </c>
      <c r="DI99" s="99">
        <f>IF(AND(Database!HQ16&gt;1,Database!HQ22&gt;1),100*(Database!HQ16/(Database!HQ22)),0.0001)</f>
        <v>1E-4</v>
      </c>
      <c r="DJ99" s="99">
        <f>IF(AND(Database!HS16&gt;1,Database!HS22&gt;1),100*(Database!HS16/(Database!HS22)),0.0001)</f>
        <v>1E-4</v>
      </c>
      <c r="DK99" s="99">
        <f>IF(AND(Database!HU16&gt;1,Database!HU22&gt;1),100*(Database!HU16/(Database!HU22)),0.0001)</f>
        <v>1E-4</v>
      </c>
      <c r="DL99" s="99">
        <f>IF(AND(Database!HW16&gt;1,Database!HW22&gt;1),100*(Database!HW16/(Database!HW22)),0.0001)</f>
        <v>1E-4</v>
      </c>
      <c r="DM99" s="99">
        <f>IF(AND(Database!HY16&gt;1,Database!HY22&gt;1),100*(Database!HY16/(Database!HY22)),0.0001)</f>
        <v>1E-4</v>
      </c>
      <c r="DN99" s="99">
        <f>IF(AND(Database!IA16&gt;1,Database!IA22&gt;1),100*(Database!IA16/(Database!IA22)),0.0001)</f>
        <v>1E-4</v>
      </c>
      <c r="DO99" s="99">
        <f>IF(AND(Database!IC16&gt;1,Database!IC22&gt;1),100*(Database!IC16/(Database!IC22)),0.0001)</f>
        <v>1E-4</v>
      </c>
      <c r="DP99" s="99">
        <f>IF(AND(Database!IE16&gt;1,Database!IE22&gt;1),100*(Database!IE16/(Database!IE22)),0.0001)</f>
        <v>1E-4</v>
      </c>
      <c r="DQ99" s="99">
        <f>IF(AND(Database!IG16&gt;1,Database!IG22&gt;1),100*(Database!IG16/(Database!IG22)),0.0001)</f>
        <v>1E-4</v>
      </c>
      <c r="DR99" s="99">
        <f>IF(AND(Database!II16&gt;1,Database!II22&gt;1),100*(Database!II16/(Database!II22)),0.0001)</f>
        <v>1E-4</v>
      </c>
      <c r="DS99" s="99">
        <f>IF(AND(Database!IK16&gt;1,Database!IK22&gt;1),100*(Database!IK16/(Database!IK22)),0.0001)</f>
        <v>1E-4</v>
      </c>
      <c r="DT99" s="99">
        <f>IF(AND(Database!IM16&gt;1,Database!IM22&gt;1),100*(Database!IM16/(Database!IM22)),0.0001)</f>
        <v>1E-4</v>
      </c>
      <c r="DU99" s="99">
        <f>IF(AND(Database!IO16&gt;1,Database!IO22&gt;1),100*(Database!IO16/(Database!IO22)),0.0001)</f>
        <v>1E-4</v>
      </c>
      <c r="DV99" s="99">
        <f>IF(AND(Database!IQ16&gt;1,Database!IQ22&gt;1),100*(Database!IQ16/(Database!IQ22)),0.0001)</f>
        <v>1E-4</v>
      </c>
      <c r="DW99" s="99">
        <f>IF(AND(Database!IS16&gt;1,Database!IS22&gt;1),100*(Database!IS16/(Database!IS22)),0.0001)</f>
        <v>1E-4</v>
      </c>
      <c r="DX99" s="99">
        <f>IF(AND(Database!IU16&gt;1,Database!IU22&gt;1),100*(Database!IU16/(Database!IU22)),0.0001)</f>
        <v>1E-4</v>
      </c>
      <c r="DY99" s="99">
        <f>IF(AND(Database!IW16&gt;1,Database!IW22&gt;1),100*(Database!IW16/(Database!IW22)),0.0001)</f>
        <v>1E-4</v>
      </c>
      <c r="DZ99" s="99">
        <f>IF(AND(Database!IY16&gt;1,Database!IY22&gt;1),100*(Database!IY16/(Database!IY22)),0.0001)</f>
        <v>1E-4</v>
      </c>
      <c r="EA99" s="99">
        <f>IF(AND(Database!JA16&gt;1,Database!JA22&gt;1),100*(Database!JA16/(Database!JA22)),0.0001)</f>
        <v>1E-4</v>
      </c>
      <c r="EB99" s="99">
        <f>IF(AND(Database!JC16&gt;1,Database!JC22&gt;1),100*(Database!JC16/(Database!JC22)),0.0001)</f>
        <v>1E-4</v>
      </c>
      <c r="EC99" s="99">
        <f>IF(AND(Database!JE16&gt;1,Database!JE22&gt;1),100*(Database!JE16/(Database!JE22)),0.0001)</f>
        <v>1E-4</v>
      </c>
      <c r="ED99" s="99">
        <f>IF(AND(Database!JG16&gt;1,Database!JG22&gt;1),100*(Database!JG16/(Database!JG22)),0.0001)</f>
        <v>1E-4</v>
      </c>
      <c r="EE99" s="99">
        <f>IF(AND(Database!JI16&gt;1,Database!JI22&gt;1),100*(Database!JI16/(Database!JI22)),0.0001)</f>
        <v>1E-4</v>
      </c>
      <c r="EF99" s="99">
        <f>IF(AND(Database!JK16&gt;1,Database!JK22&gt;1),100*(Database!JK16/(Database!JK22)),0.0001)</f>
        <v>1E-4</v>
      </c>
      <c r="EG99" s="99">
        <f>IF(AND(Database!JM16&gt;1,Database!JM22&gt;1),100*(Database!JM16/(Database!JM22)),0.0001)</f>
        <v>1E-4</v>
      </c>
      <c r="EH99" s="99">
        <f>IF(AND(Database!JO16&gt;1,Database!JO22&gt;1),100*(Database!JO16/(Database!JO22)),0.0001)</f>
        <v>1E-4</v>
      </c>
      <c r="EI99" s="99">
        <f>IF(AND(Database!JQ16&gt;1,Database!JQ22&gt;1),100*(Database!JQ16/(Database!JQ22)),0.0001)</f>
        <v>1E-4</v>
      </c>
      <c r="EJ99" s="99">
        <f>IF(AND(Database!JS16&gt;1,Database!JS22&gt;1),100*(Database!JS16/(Database!JS22)),0.0001)</f>
        <v>1E-4</v>
      </c>
      <c r="EK99" s="99">
        <f>IF(AND(Database!JU16&gt;1,Database!JU22&gt;1),100*(Database!JU16/(Database!JU22)),0.0001)</f>
        <v>1E-4</v>
      </c>
      <c r="EL99" s="99">
        <f>IF(AND(Database!JW16&gt;1,Database!JW22&gt;1),100*(Database!JW16/(Database!JW22)),0.0001)</f>
        <v>1E-4</v>
      </c>
      <c r="EM99" s="99">
        <f>IF(AND(Database!JY16&gt;1,Database!JY22&gt;1),100*(Database!JY16/(Database!JY22)),0.0001)</f>
        <v>1E-4</v>
      </c>
      <c r="EN99" s="99">
        <f>IF(AND(Database!KA16&gt;1,Database!KA22&gt;1),100*(Database!KA16/(Database!KA22)),0.0001)</f>
        <v>1E-4</v>
      </c>
      <c r="EO99" s="99">
        <f>IF(AND(Database!KC16&gt;1,Database!KC22&gt;1),100*(Database!KC16/(Database!KC22)),0.0001)</f>
        <v>1E-4</v>
      </c>
      <c r="EP99" s="99">
        <f>IF(AND(Database!KE16&gt;1,Database!KE22&gt;1),100*(Database!KE16/(Database!KE22)),0.0001)</f>
        <v>1E-4</v>
      </c>
      <c r="EQ99" s="99">
        <f>IF(AND(Database!KG16&gt;1,Database!KG22&gt;1),100*(Database!KG16/(Database!KG22)),0.0001)</f>
        <v>1E-4</v>
      </c>
      <c r="ER99" s="99">
        <f>IF(AND(Database!KI16&gt;1,Database!KI22&gt;1),100*(Database!KI16/(Database!KI22)),0.0001)</f>
        <v>1E-4</v>
      </c>
      <c r="ES99" s="99">
        <f>IF(AND(Database!KK16&gt;1,Database!KK22&gt;1),100*(Database!KK16/(Database!KK22)),0.0001)</f>
        <v>1E-4</v>
      </c>
      <c r="ET99" s="99">
        <f>IF(AND(Database!KM16&gt;1,Database!KM22&gt;1),100*(Database!KM16/(Database!KM22)),0.0001)</f>
        <v>1E-4</v>
      </c>
      <c r="EU99" s="99">
        <f>IF(AND(Database!KO16&gt;1,Database!KO22&gt;1),100*(Database!KO16/(Database!KO22)),0.0001)</f>
        <v>1E-4</v>
      </c>
      <c r="EV99" s="99">
        <f>IF(AND(Database!KQ16&gt;1,Database!KQ22&gt;1),100*(Database!KQ16/(Database!KQ22)),0.0001)</f>
        <v>1E-4</v>
      </c>
      <c r="EW99" s="99">
        <f>IF(AND(Database!KS16&gt;1,Database!KS22&gt;1),100*(Database!KS16/(Database!KS22)),0.0001)</f>
        <v>1E-4</v>
      </c>
      <c r="EX99" s="99">
        <f>IF(AND(Database!KU16&gt;1,Database!KU22&gt;1),100*(Database!KU16/(Database!KU22)),0.0001)</f>
        <v>1E-4</v>
      </c>
      <c r="EY99" s="99">
        <f>IF(AND(Database!KW16&gt;1,Database!KW22&gt;1),100*(Database!KW16/(Database!KW22)),0.0001)</f>
        <v>1E-4</v>
      </c>
      <c r="EZ99" s="99">
        <f>IF(AND(Database!KY16&gt;1,Database!KY22&gt;1),100*(Database!KY16/(Database!KY22)),0.0001)</f>
        <v>1E-4</v>
      </c>
      <c r="FA99" s="99">
        <f>IF(AND(Database!LA16&gt;1,Database!LA22&gt;1),100*(Database!LA16/(Database!LA22)),0.0001)</f>
        <v>1E-4</v>
      </c>
      <c r="FB99" s="99">
        <f>IF(AND(Database!LC16&gt;1,Database!LC22&gt;1),100*(Database!LC16/(Database!LC22)),0.0001)</f>
        <v>1E-4</v>
      </c>
      <c r="FC99" s="99">
        <f>IF(AND(Database!LE16&gt;1,Database!LE22&gt;1),100*(Database!LE16/(Database!LE22)),0.0001)</f>
        <v>1E-4</v>
      </c>
      <c r="FD99" s="99">
        <f>IF(AND(Database!LG16&gt;1,Database!LG22&gt;1),100*(Database!LG16/(Database!LG22)),0.0001)</f>
        <v>1E-4</v>
      </c>
      <c r="FE99" s="99">
        <f>IF(AND(Database!LI16&gt;1,Database!LI22&gt;1),100*(Database!LI16/(Database!LI22)),0.0001)</f>
        <v>1E-4</v>
      </c>
      <c r="FF99" s="99">
        <f>IF(AND(Database!LK16&gt;1,Database!LK22&gt;1),100*(Database!LK16/(Database!LK22)),0.0001)</f>
        <v>1E-4</v>
      </c>
      <c r="FG99" s="99">
        <f>IF(AND(Database!LM16&gt;1,Database!LM22&gt;1),100*(Database!LM16/(Database!LM22)),0.0001)</f>
        <v>1E-4</v>
      </c>
      <c r="FH99" s="99">
        <f>IF(AND(Database!LO16&gt;1,Database!LO22&gt;1),100*(Database!LO16/(Database!LO22)),0.0001)</f>
        <v>1E-4</v>
      </c>
      <c r="FI99" s="99">
        <f>IF(AND(Database!LQ16&gt;1,Database!LQ22&gt;1),100*(Database!LQ16/(Database!LQ22)),0.0001)</f>
        <v>1E-4</v>
      </c>
      <c r="FJ99" s="99">
        <f>IF(AND(Database!LS16&gt;1,Database!LS22&gt;1),100*(Database!LS16/(Database!LS22)),0.0001)</f>
        <v>1E-4</v>
      </c>
      <c r="FK99" s="99">
        <f>IF(AND(Database!LU16&gt;1,Database!LU22&gt;1),100*(Database!LU16/(Database!LU22)),0.0001)</f>
        <v>1E-4</v>
      </c>
      <c r="FL99" s="99">
        <f>IF(AND(Database!LW16&gt;1,Database!LW22&gt;1),100*(Database!LW16/(Database!LW22)),0.0001)</f>
        <v>1E-4</v>
      </c>
      <c r="FM99" s="99">
        <f>IF(AND(Database!LY16&gt;1,Database!LY22&gt;1),100*(Database!LY16/(Database!LY22)),0.0001)</f>
        <v>1E-4</v>
      </c>
      <c r="FN99" s="99">
        <f>IF(AND(Database!MA16&gt;1,Database!MA22&gt;1),100*(Database!MA16/(Database!MA22)),0.0001)</f>
        <v>1E-4</v>
      </c>
      <c r="FO99" s="99">
        <f>IF(AND(Database!MC16&gt;1,Database!MC22&gt;1),100*(Database!MC16/(Database!MC22)),0.0001)</f>
        <v>1E-4</v>
      </c>
      <c r="FP99" s="99">
        <f>IF(AND(Database!ME16&gt;1,Database!ME22&gt;1),100*(Database!ME16/(Database!ME22)),0.0001)</f>
        <v>1E-4</v>
      </c>
      <c r="FQ99" s="99">
        <f>IF(AND(Database!MG16&gt;1,Database!MG22&gt;1),100*(Database!MG16/(Database!MG22)),0.0001)</f>
        <v>1E-4</v>
      </c>
      <c r="FR99" s="99">
        <f>IF(AND(Database!MI16&gt;1,Database!MI22&gt;1),100*(Database!MI16/(Database!MI22)),0.0001)</f>
        <v>1E-4</v>
      </c>
      <c r="FS99" s="99">
        <f>IF(AND(Database!MK16&gt;1,Database!MK22&gt;1),100*(Database!MK16/(Database!MK22)),0.0001)</f>
        <v>1E-4</v>
      </c>
      <c r="FT99" s="99">
        <f>IF(AND(Database!MM16&gt;1,Database!MM22&gt;1),100*(Database!MM16/(Database!MM22)),0.0001)</f>
        <v>1E-4</v>
      </c>
      <c r="FU99" s="99">
        <f>IF(AND(Database!MO16&gt;1,Database!MO22&gt;1),100*(Database!MO16/(Database!MO22)),0.0001)</f>
        <v>1E-4</v>
      </c>
      <c r="FV99" s="99">
        <f>IF(AND(Database!MQ16&gt;1,Database!MQ22&gt;1),100*(Database!MQ16/(Database!MQ22)),0.0001)</f>
        <v>1E-4</v>
      </c>
      <c r="FW99" s="99">
        <f>IF(AND(Database!MS16&gt;1,Database!MS22&gt;1),100*(Database!MS16/(Database!MS22)),0.0001)</f>
        <v>1E-4</v>
      </c>
      <c r="FX99" s="99">
        <f>IF(AND(Database!MU16&gt;1,Database!MU22&gt;1),100*(Database!MU16/(Database!MU22)),0.0001)</f>
        <v>1E-4</v>
      </c>
      <c r="FY99" s="99">
        <f>IF(AND(Database!MW16&gt;1,Database!MW22&gt;1),100*(Database!MW16/(Database!MW22)),0.0001)</f>
        <v>1E-4</v>
      </c>
      <c r="FZ99" s="99">
        <f>IF(AND(Database!MY16&gt;1,Database!MY22&gt;1),100*(Database!MY16/(Database!MY22)),0.0001)</f>
        <v>1E-4</v>
      </c>
      <c r="GA99" s="99">
        <f>IF(AND(Database!NA16&gt;1,Database!NA22&gt;1),100*(Database!NA16/(Database!NA22)),0.0001)</f>
        <v>1E-4</v>
      </c>
      <c r="GB99" s="99">
        <f>IF(AND(Database!NC16&gt;1,Database!NC22&gt;1),100*(Database!NC16/(Database!NC22)),0.0001)</f>
        <v>1E-4</v>
      </c>
      <c r="GC99" s="99">
        <f>IF(AND(Database!NE16&gt;1,Database!NE22&gt;1),100*(Database!NE16/(Database!NE22)),0.0001)</f>
        <v>1E-4</v>
      </c>
      <c r="GD99" s="99">
        <f>IF(AND(Database!NG16&gt;1,Database!NG22&gt;1),100*(Database!NG16/(Database!NG22)),0.0001)</f>
        <v>1E-4</v>
      </c>
      <c r="GE99" s="99">
        <f>IF(AND(Database!NI16&gt;1,Database!NI22&gt;1),100*(Database!NI16/(Database!NI22)),0.0001)</f>
        <v>1E-4</v>
      </c>
      <c r="GF99" s="99">
        <f>IF(AND(Database!NK16&gt;1,Database!NK22&gt;1),100*(Database!NK16/(Database!NK22)),0.0001)</f>
        <v>1E-4</v>
      </c>
      <c r="GG99" s="99">
        <f>IF(AND(Database!NM16&gt;1,Database!NM22&gt;1),100*(Database!NM16/(Database!NM22)),0.0001)</f>
        <v>1E-4</v>
      </c>
      <c r="GH99" s="99">
        <f>IF(AND(Database!NO16&gt;1,Database!NO22&gt;1),100*(Database!NO16/(Database!NO22)),0.0001)</f>
        <v>1E-4</v>
      </c>
      <c r="GI99" s="99">
        <f>IF(AND(Database!NQ16&gt;1,Database!NQ22&gt;1),100*(Database!NQ16/(Database!NQ22)),0.0001)</f>
        <v>1E-4</v>
      </c>
      <c r="GJ99" s="99">
        <f>IF(AND(Database!NS16&gt;1,Database!NS22&gt;1),100*(Database!NS16/(Database!NS22)),0.0001)</f>
        <v>1E-4</v>
      </c>
      <c r="GK99" s="99">
        <f>IF(AND(Database!NU16&gt;1,Database!NU22&gt;1),100*(Database!NU16/(Database!NU22)),0.0001)</f>
        <v>1E-4</v>
      </c>
      <c r="GL99" s="99">
        <f>IF(AND(Database!NW16&gt;1,Database!NW22&gt;1),100*(Database!NW16/(Database!NW22)),0.0001)</f>
        <v>1E-4</v>
      </c>
      <c r="GM99" s="99">
        <f>IF(AND(Database!NY16&gt;1,Database!NY22&gt;1),100*(Database!NY16/(Database!NY22)),0.0001)</f>
        <v>1E-4</v>
      </c>
      <c r="GN99" s="99">
        <f>IF(AND(Database!OA16&gt;1,Database!OA22&gt;1),100*(Database!OA16/(Database!OA22)),0.0001)</f>
        <v>1E-4</v>
      </c>
      <c r="GO99" s="99">
        <f>IF(AND(Database!OC16&gt;1,Database!OC22&gt;1),100*(Database!OC16/(Database!OC22)),0.0001)</f>
        <v>1E-4</v>
      </c>
      <c r="GP99" s="99">
        <f>IF(AND(Database!OE16&gt;1,Database!OE22&gt;1),100*(Database!OE16/(Database!OE22)),0.0001)</f>
        <v>1E-4</v>
      </c>
      <c r="GQ99" s="99">
        <f>IF(AND(Database!OG16&gt;1,Database!OG22&gt;1),100*(Database!OG16/(Database!OG22)),0.0001)</f>
        <v>1E-4</v>
      </c>
      <c r="GR99" s="99">
        <f>IF(AND(Database!OI16&gt;1,Database!OI22&gt;1),100*(Database!OI16/(Database!OI22)),0.0001)</f>
        <v>1E-4</v>
      </c>
      <c r="GS99" s="99">
        <f>IF(AND(Database!OK16&gt;1,Database!OK22&gt;1),100*(Database!OK16/(Database!OK22)),0.0001)</f>
        <v>1E-4</v>
      </c>
      <c r="GT99" s="99">
        <f>IF(AND(Database!OM16&gt;1,Database!OM22&gt;1),100*(Database!OM16/(Database!OM22)),0.0001)</f>
        <v>1E-4</v>
      </c>
    </row>
    <row r="100" spans="1:202" ht="18.75" customHeight="1" x14ac:dyDescent="0.4">
      <c r="A100" s="29" t="s">
        <v>109</v>
      </c>
      <c r="B100" s="306"/>
      <c r="C100" s="99">
        <f>IF(AND(Database!E18&gt;1,Database!E17&gt;1),100*(Database!E18/(Database!E17)),0.0001)</f>
        <v>30.687502583819093</v>
      </c>
      <c r="D100" s="99">
        <f>IF(AND(Database!G18&gt;1,Database!G17&gt;1),100*(Database!G18/(Database!G17)),0.0001)</f>
        <v>38.306561393955896</v>
      </c>
      <c r="E100" s="99">
        <f>IF(AND(Database!I18&gt;1,Database!I17&gt;1),100*(Database!I18/(Database!I17)),0.0001)</f>
        <v>36.386892435132175</v>
      </c>
      <c r="F100" s="99">
        <f>IF(AND(Database!K18&gt;1,Database!K17&gt;1),100*(Database!K18/(Database!K17)),0.0001)</f>
        <v>37.571080422420792</v>
      </c>
      <c r="G100" s="99">
        <f>IF(AND(Database!M18&gt;1,Database!M17&gt;1),100*(Database!M18/(Database!M17)),0.0001)</f>
        <v>1E-4</v>
      </c>
      <c r="H100" s="99">
        <f>IF(AND(Database!O18&gt;1,Database!O17&gt;1),100*(Database!O18/(Database!O17)),0.0001)</f>
        <v>1E-4</v>
      </c>
      <c r="I100" s="99">
        <f>IF(AND(Database!Q18&gt;1,Database!Q17&gt;1),100*(Database!Q18/(Database!Q17)),0.0001)</f>
        <v>1E-4</v>
      </c>
      <c r="J100" s="99">
        <f>IF(AND(Database!S18&gt;1,Database!S17&gt;1),100*(Database!S18/(Database!S17)),0.0001)</f>
        <v>1E-4</v>
      </c>
      <c r="K100" s="99">
        <f>IF(AND(Database!U18&gt;1,Database!U17&gt;1),100*(Database!U18/(Database!U17)),0.0001)</f>
        <v>1E-4</v>
      </c>
      <c r="L100" s="99">
        <f>IF(AND(Database!W18&gt;1,Database!W17&gt;1),100*(Database!W18/(Database!W17)),0.0001)</f>
        <v>1E-4</v>
      </c>
      <c r="M100" s="99">
        <f>IF(AND(Database!Y18&gt;1,Database!Y17&gt;1),100*(Database!Y18/(Database!Y17)),0.0001)</f>
        <v>1E-4</v>
      </c>
      <c r="N100" s="99">
        <f>IF(AND(Database!AA18&gt;1,Database!AA17&gt;1),100*(Database!AA18/(Database!AA17)),0.0001)</f>
        <v>1E-4</v>
      </c>
      <c r="O100" s="99">
        <f>IF(AND(Database!AC18&gt;1,Database!AC17&gt;1),100*(Database!AC18/(Database!AC17)),0.0001)</f>
        <v>1E-4</v>
      </c>
      <c r="P100" s="99">
        <f>IF(AND(Database!AE18&gt;1,Database!AE17&gt;1),100*(Database!AE18/(Database!AE17)),0.0001)</f>
        <v>1E-4</v>
      </c>
      <c r="Q100" s="99">
        <f>IF(AND(Database!AG18&gt;1,Database!AG17&gt;1),100*(Database!AG18/(Database!AG17)),0.0001)</f>
        <v>1E-4</v>
      </c>
      <c r="R100" s="99">
        <f>IF(AND(Database!AI18&gt;1,Database!AI17&gt;1),100*(Database!AI18/(Database!AI17)),0.0001)</f>
        <v>1E-4</v>
      </c>
      <c r="S100" s="99">
        <f>IF(AND(Database!AK18&gt;1,Database!AK17&gt;1),100*(Database!AK18/(Database!AK17)),0.0001)</f>
        <v>1E-4</v>
      </c>
      <c r="T100" s="99">
        <f>IF(AND(Database!AM18&gt;1,Database!AM17&gt;1),100*(Database!AM18/(Database!AM17)),0.0001)</f>
        <v>1E-4</v>
      </c>
      <c r="U100" s="99">
        <f>IF(AND(Database!AO18&gt;1,Database!AO17&gt;1),100*(Database!AO18/(Database!AO17)),0.0001)</f>
        <v>1E-4</v>
      </c>
      <c r="V100" s="99">
        <f>IF(AND(Database!AQ18&gt;1,Database!AQ17&gt;1),100*(Database!AQ18/(Database!AQ17)),0.0001)</f>
        <v>1E-4</v>
      </c>
      <c r="W100" s="99">
        <f>IF(AND(Database!AS18&gt;1,Database!AS17&gt;1),100*(Database!AS18/(Database!AS17)),0.0001)</f>
        <v>1E-4</v>
      </c>
      <c r="X100" s="99">
        <f>IF(AND(Database!AU18&gt;1,Database!AU17&gt;1),100*(Database!AU18/(Database!AU17)),0.0001)</f>
        <v>1E-4</v>
      </c>
      <c r="Y100" s="99">
        <f>IF(AND(Database!AW18&gt;1,Database!AW17&gt;1),100*(Database!AW18/(Database!AW17)),0.0001)</f>
        <v>1E-4</v>
      </c>
      <c r="Z100" s="99">
        <f>IF(AND(Database!AY18&gt;1,Database!AY17&gt;1),100*(Database!AY18/(Database!AY17)),0.0001)</f>
        <v>1E-4</v>
      </c>
      <c r="AA100" s="99">
        <f>IF(AND(Database!BA18&gt;1,Database!BA17&gt;1),100*(Database!BA18/(Database!BA17)),0.0001)</f>
        <v>1E-4</v>
      </c>
      <c r="AB100" s="99">
        <f>IF(AND(Database!BC18&gt;1,Database!BC17&gt;1),100*(Database!BC18/(Database!BC17)),0.0001)</f>
        <v>1E-4</v>
      </c>
      <c r="AC100" s="99">
        <f>IF(AND(Database!BE18&gt;1,Database!BE17&gt;1),100*(Database!BE18/(Database!BE17)),0.0001)</f>
        <v>1E-4</v>
      </c>
      <c r="AD100" s="99">
        <f>IF(AND(Database!BG18&gt;1,Database!BG17&gt;1),100*(Database!BG18/(Database!BG17)),0.0001)</f>
        <v>1E-4</v>
      </c>
      <c r="AE100" s="99">
        <f>IF(AND(Database!BI18&gt;1,Database!BI17&gt;1),100*(Database!BI18/(Database!BI17)),0.0001)</f>
        <v>1E-4</v>
      </c>
      <c r="AF100" s="99">
        <f>IF(AND(Database!BK18&gt;1,Database!BK17&gt;1),100*(Database!BK18/(Database!BK17)),0.0001)</f>
        <v>1E-4</v>
      </c>
      <c r="AG100" s="99">
        <f>IF(AND(Database!BM18&gt;1,Database!BM17&gt;1),100*(Database!BM18/(Database!BM17)),0.0001)</f>
        <v>1E-4</v>
      </c>
      <c r="AH100" s="99">
        <f>IF(AND(Database!BO18&gt;1,Database!BO17&gt;1),100*(Database!BO18/(Database!BO17)),0.0001)</f>
        <v>1E-4</v>
      </c>
      <c r="AI100" s="99">
        <f>IF(AND(Database!BQ18&gt;1,Database!BQ17&gt;1),100*(Database!BQ18/(Database!BQ17)),0.0001)</f>
        <v>1E-4</v>
      </c>
      <c r="AJ100" s="99">
        <f>IF(AND(Database!BS18&gt;1,Database!BS17&gt;1),100*(Database!BS18/(Database!BS17)),0.0001)</f>
        <v>1E-4</v>
      </c>
      <c r="AK100" s="99">
        <f>IF(AND(Database!BU18&gt;1,Database!BU17&gt;1),100*(Database!BU18/(Database!BU17)),0.0001)</f>
        <v>1E-4</v>
      </c>
      <c r="AL100" s="99">
        <f>IF(AND(Database!BW18&gt;1,Database!BW17&gt;1),100*(Database!BW18/(Database!BW17)),0.0001)</f>
        <v>1E-4</v>
      </c>
      <c r="AM100" s="99">
        <f>IF(AND(Database!BY18&gt;1,Database!BY17&gt;1),100*(Database!BY18/(Database!BY17)),0.0001)</f>
        <v>1E-4</v>
      </c>
      <c r="AN100" s="99">
        <f>IF(AND(Database!CA18&gt;1,Database!CA17&gt;1),100*(Database!CA18/(Database!CA17)),0.0001)</f>
        <v>1E-4</v>
      </c>
      <c r="AO100" s="99">
        <f>IF(AND(Database!CC18&gt;1,Database!CC17&gt;1),100*(Database!CC18/(Database!CC17)),0.0001)</f>
        <v>1E-4</v>
      </c>
      <c r="AP100" s="99">
        <f>IF(AND(Database!CE18&gt;1,Database!CE17&gt;1),100*(Database!CE18/(Database!CE17)),0.0001)</f>
        <v>1E-4</v>
      </c>
      <c r="AQ100" s="99">
        <f>IF(AND(Database!CG18&gt;1,Database!CG17&gt;1),100*(Database!CG18/(Database!CG17)),0.0001)</f>
        <v>1E-4</v>
      </c>
      <c r="AR100" s="99">
        <f>IF(AND(Database!CI18&gt;1,Database!CI17&gt;1),100*(Database!CI18/(Database!CI17)),0.0001)</f>
        <v>1E-4</v>
      </c>
      <c r="AS100" s="99">
        <f>IF(AND(Database!CK18&gt;1,Database!CK17&gt;1),100*(Database!CK18/(Database!CK17)),0.0001)</f>
        <v>1E-4</v>
      </c>
      <c r="AT100" s="99">
        <f>IF(AND(Database!CM18&gt;1,Database!CM17&gt;1),100*(Database!CM18/(Database!CM17)),0.0001)</f>
        <v>1E-4</v>
      </c>
      <c r="AU100" s="99">
        <f>IF(AND(Database!CO18&gt;1,Database!CO17&gt;1),100*(Database!CO18/(Database!CO17)),0.0001)</f>
        <v>1E-4</v>
      </c>
      <c r="AV100" s="99">
        <f>IF(AND(Database!CQ18&gt;1,Database!CQ17&gt;1),100*(Database!CQ18/(Database!CQ17)),0.0001)</f>
        <v>1E-4</v>
      </c>
      <c r="AW100" s="99">
        <f>IF(AND(Database!CS18&gt;1,Database!CS17&gt;1),100*(Database!CS18/(Database!CS17)),0.0001)</f>
        <v>1E-4</v>
      </c>
      <c r="AX100" s="99">
        <f>IF(AND(Database!CU18&gt;1,Database!CU17&gt;1),100*(Database!CU18/(Database!CU17)),0.0001)</f>
        <v>1E-4</v>
      </c>
      <c r="AY100" s="99">
        <f>IF(AND(Database!CW18&gt;1,Database!CW17&gt;1),100*(Database!CW18/(Database!CW17)),0.0001)</f>
        <v>1E-4</v>
      </c>
      <c r="AZ100" s="99">
        <f>IF(AND(Database!CY18&gt;1,Database!CY17&gt;1),100*(Database!CY18/(Database!CY17)),0.0001)</f>
        <v>1E-4</v>
      </c>
      <c r="BA100" s="99">
        <f>IF(AND(Database!DA18&gt;1,Database!DA17&gt;1),100*(Database!DA18/(Database!DA17)),0.0001)</f>
        <v>1E-4</v>
      </c>
      <c r="BB100" s="99">
        <f>IF(AND(Database!DC18&gt;1,Database!DC17&gt;1),100*(Database!DC18/(Database!DC17)),0.0001)</f>
        <v>1E-4</v>
      </c>
      <c r="BC100" s="99">
        <f>IF(AND(Database!DE18&gt;1,Database!DE17&gt;1),100*(Database!DE18/(Database!DE17)),0.0001)</f>
        <v>1E-4</v>
      </c>
      <c r="BD100" s="99">
        <f>IF(AND(Database!DG18&gt;1,Database!DG17&gt;1),100*(Database!DG18/(Database!DG17)),0.0001)</f>
        <v>1E-4</v>
      </c>
      <c r="BE100" s="99">
        <f>IF(AND(Database!DI18&gt;1,Database!DI17&gt;1),100*(Database!DI18/(Database!DI17)),0.0001)</f>
        <v>1E-4</v>
      </c>
      <c r="BF100" s="99">
        <f>IF(AND(Database!DK18&gt;1,Database!DK17&gt;1),100*(Database!DK18/(Database!DK17)),0.0001)</f>
        <v>1E-4</v>
      </c>
      <c r="BG100" s="99">
        <f>IF(AND(Database!DM18&gt;1,Database!DM17&gt;1),100*(Database!DM18/(Database!DM17)),0.0001)</f>
        <v>1E-4</v>
      </c>
      <c r="BH100" s="99">
        <f>IF(AND(Database!DO18&gt;1,Database!DO17&gt;1),100*(Database!DO18/(Database!DO17)),0.0001)</f>
        <v>1E-4</v>
      </c>
      <c r="BI100" s="99">
        <f>IF(AND(Database!DQ18&gt;1,Database!DQ17&gt;1),100*(Database!DQ18/(Database!DQ17)),0.0001)</f>
        <v>1E-4</v>
      </c>
      <c r="BJ100" s="99">
        <f>IF(AND(Database!DS18&gt;1,Database!DS17&gt;1),100*(Database!DS18/(Database!DS17)),0.0001)</f>
        <v>1E-4</v>
      </c>
      <c r="BK100" s="99">
        <f>IF(AND(Database!DU18&gt;1,Database!DU17&gt;1),100*(Database!DU18/(Database!DU17)),0.0001)</f>
        <v>1E-4</v>
      </c>
      <c r="BL100" s="99">
        <f>IF(AND(Database!DW18&gt;1,Database!DW17&gt;1),100*(Database!DW18/(Database!DW17)),0.0001)</f>
        <v>1E-4</v>
      </c>
      <c r="BM100" s="99">
        <f>IF(AND(Database!DY18&gt;1,Database!DY17&gt;1),100*(Database!DY18/(Database!DY17)),0.0001)</f>
        <v>1E-4</v>
      </c>
      <c r="BN100" s="99">
        <f>IF(AND(Database!EA18&gt;1,Database!EA17&gt;1),100*(Database!EA18/(Database!EA17)),0.0001)</f>
        <v>1E-4</v>
      </c>
      <c r="BO100" s="99">
        <f>IF(AND(Database!EC18&gt;1,Database!EC17&gt;1),100*(Database!EC18/(Database!EC17)),0.0001)</f>
        <v>1E-4</v>
      </c>
      <c r="BP100" s="99">
        <f>IF(AND(Database!EE18&gt;1,Database!EE17&gt;1),100*(Database!EE18/(Database!EE17)),0.0001)</f>
        <v>1E-4</v>
      </c>
      <c r="BQ100" s="99">
        <f>IF(AND(Database!EG18&gt;1,Database!EG17&gt;1),100*(Database!EG18/(Database!EG17)),0.0001)</f>
        <v>1E-4</v>
      </c>
      <c r="BR100" s="99">
        <f>IF(AND(Database!EI18&gt;1,Database!EI17&gt;1),100*(Database!EI18/(Database!EI17)),0.0001)</f>
        <v>1E-4</v>
      </c>
      <c r="BS100" s="99">
        <f>IF(AND(Database!EK18&gt;1,Database!EK17&gt;1),100*(Database!EK18/(Database!EK17)),0.0001)</f>
        <v>1E-4</v>
      </c>
      <c r="BT100" s="99">
        <f>IF(AND(Database!EM18&gt;1,Database!EM17&gt;1),100*(Database!EM18/(Database!EM17)),0.0001)</f>
        <v>1E-4</v>
      </c>
      <c r="BU100" s="99">
        <f>IF(AND(Database!EO18&gt;1,Database!EO17&gt;1),100*(Database!EO18/(Database!EO17)),0.0001)</f>
        <v>1E-4</v>
      </c>
      <c r="BV100" s="99">
        <f>IF(AND(Database!EQ18&gt;1,Database!EQ17&gt;1),100*(Database!EQ18/(Database!EQ17)),0.0001)</f>
        <v>1E-4</v>
      </c>
      <c r="BW100" s="99">
        <f>IF(AND(Database!ES18&gt;1,Database!ES17&gt;1),100*(Database!ES18/(Database!ES17)),0.0001)</f>
        <v>1E-4</v>
      </c>
      <c r="BX100" s="99">
        <f>IF(AND(Database!EU18&gt;1,Database!EU17&gt;1),100*(Database!EU18/(Database!EU17)),0.0001)</f>
        <v>1E-4</v>
      </c>
      <c r="BY100" s="99">
        <f>IF(AND(Database!EW18&gt;1,Database!EW17&gt;1),100*(Database!EW18/(Database!EW17)),0.0001)</f>
        <v>1E-4</v>
      </c>
      <c r="BZ100" s="99">
        <f>IF(AND(Database!EY18&gt;1,Database!EY17&gt;1),100*(Database!EY18/(Database!EY17)),0.0001)</f>
        <v>1E-4</v>
      </c>
      <c r="CA100" s="99">
        <f>IF(AND(Database!FA18&gt;1,Database!FA17&gt;1),100*(Database!FA18/(Database!FA17)),0.0001)</f>
        <v>1E-4</v>
      </c>
      <c r="CB100" s="99">
        <f>IF(AND(Database!FC18&gt;1,Database!FC17&gt;1),100*(Database!FC18/(Database!FC17)),0.0001)</f>
        <v>1E-4</v>
      </c>
      <c r="CC100" s="99">
        <f>IF(AND(Database!FE18&gt;1,Database!FE17&gt;1),100*(Database!FE18/(Database!FE17)),0.0001)</f>
        <v>1E-4</v>
      </c>
      <c r="CD100" s="99">
        <f>IF(AND(Database!FG18&gt;1,Database!FG17&gt;1),100*(Database!FG18/(Database!FG17)),0.0001)</f>
        <v>1E-4</v>
      </c>
      <c r="CE100" s="99">
        <f>IF(AND(Database!FI18&gt;1,Database!FI17&gt;1),100*(Database!FI18/(Database!FI17)),0.0001)</f>
        <v>1E-4</v>
      </c>
      <c r="CF100" s="99">
        <f>IF(AND(Database!FK18&gt;1,Database!FK17&gt;1),100*(Database!FK18/(Database!FK17)),0.0001)</f>
        <v>1E-4</v>
      </c>
      <c r="CG100" s="99">
        <f>IF(AND(Database!FM18&gt;1,Database!FM17&gt;1),100*(Database!FM18/(Database!FM17)),0.0001)</f>
        <v>1E-4</v>
      </c>
      <c r="CH100" s="99">
        <f>IF(AND(Database!FO18&gt;1,Database!FO17&gt;1),100*(Database!FO18/(Database!FO17)),0.0001)</f>
        <v>1E-4</v>
      </c>
      <c r="CI100" s="99">
        <f>IF(AND(Database!FQ18&gt;1,Database!FQ17&gt;1),100*(Database!FQ18/(Database!FQ17)),0.0001)</f>
        <v>1E-4</v>
      </c>
      <c r="CJ100" s="99">
        <f>IF(AND(Database!FS18&gt;1,Database!FS17&gt;1),100*(Database!FS18/(Database!FS17)),0.0001)</f>
        <v>1E-4</v>
      </c>
      <c r="CK100" s="99">
        <f>IF(AND(Database!FU18&gt;1,Database!FU17&gt;1),100*(Database!FU18/(Database!FU17)),0.0001)</f>
        <v>1E-4</v>
      </c>
      <c r="CL100" s="99">
        <f>IF(AND(Database!FW18&gt;1,Database!FW17&gt;1),100*(Database!FW18/(Database!FW17)),0.0001)</f>
        <v>1E-4</v>
      </c>
      <c r="CM100" s="99">
        <f>IF(AND(Database!FY18&gt;1,Database!FY17&gt;1),100*(Database!FY18/(Database!FY17)),0.0001)</f>
        <v>1E-4</v>
      </c>
      <c r="CN100" s="99">
        <f>IF(AND(Database!GA18&gt;1,Database!GA17&gt;1),100*(Database!GA18/(Database!GA17)),0.0001)</f>
        <v>1E-4</v>
      </c>
      <c r="CO100" s="99">
        <f>IF(AND(Database!GC18&gt;1,Database!GC17&gt;1),100*(Database!GC18/(Database!GC17)),0.0001)</f>
        <v>1E-4</v>
      </c>
      <c r="CP100" s="99">
        <f>IF(AND(Database!GE18&gt;1,Database!GE17&gt;1),100*(Database!GE18/(Database!GE17)),0.0001)</f>
        <v>1E-4</v>
      </c>
      <c r="CQ100" s="99">
        <f>IF(AND(Database!GG18&gt;1,Database!GG17&gt;1),100*(Database!GG18/(Database!GG17)),0.0001)</f>
        <v>1E-4</v>
      </c>
      <c r="CR100" s="99">
        <f>IF(AND(Database!GI18&gt;1,Database!GI17&gt;1),100*(Database!GI18/(Database!GI17)),0.0001)</f>
        <v>1E-4</v>
      </c>
      <c r="CS100" s="99">
        <f>IF(AND(Database!GK18&gt;1,Database!GK17&gt;1),100*(Database!GK18/(Database!GK17)),0.0001)</f>
        <v>1E-4</v>
      </c>
      <c r="CT100" s="99">
        <f>IF(AND(Database!GM18&gt;1,Database!GM17&gt;1),100*(Database!GM18/(Database!GM17)),0.0001)</f>
        <v>1E-4</v>
      </c>
      <c r="CU100" s="99">
        <f>IF(AND(Database!GO18&gt;1,Database!GO17&gt;1),100*(Database!GO18/(Database!GO17)),0.0001)</f>
        <v>1E-4</v>
      </c>
      <c r="CV100" s="99">
        <f>IF(AND(Database!GQ18&gt;1,Database!GQ17&gt;1),100*(Database!GQ18/(Database!GQ17)),0.0001)</f>
        <v>1E-4</v>
      </c>
      <c r="CW100" s="99">
        <f>IF(AND(Database!GS18&gt;1,Database!GS17&gt;1),100*(Database!GS18/(Database!GS17)),0.0001)</f>
        <v>1E-4</v>
      </c>
      <c r="CX100" s="99">
        <f>IF(AND(Database!GU18&gt;1,Database!GU17&gt;1),100*(Database!GU18/(Database!GU17)),0.0001)</f>
        <v>1E-4</v>
      </c>
      <c r="CY100" s="99">
        <f>IF(AND(Database!GW18&gt;1,Database!GW17&gt;1),100*(Database!GW18/(Database!GW17)),0.0001)</f>
        <v>1E-4</v>
      </c>
      <c r="CZ100" s="99">
        <f>IF(AND(Database!GY18&gt;1,Database!GY17&gt;1),100*(Database!GY18/(Database!GY17)),0.0001)</f>
        <v>1E-4</v>
      </c>
      <c r="DA100" s="99">
        <f>IF(AND(Database!HA18&gt;1,Database!HA17&gt;1),100*(Database!HA18/(Database!HA17)),0.0001)</f>
        <v>1E-4</v>
      </c>
      <c r="DB100" s="99">
        <f>IF(AND(Database!HC18&gt;1,Database!HC17&gt;1),100*(Database!HC18/(Database!HC17)),0.0001)</f>
        <v>1E-4</v>
      </c>
      <c r="DC100" s="99">
        <f>IF(AND(Database!HE18&gt;1,Database!HE17&gt;1),100*(Database!HE18/(Database!HE17)),0.0001)</f>
        <v>1E-4</v>
      </c>
      <c r="DD100" s="99">
        <f>IF(AND(Database!HG18&gt;1,Database!HG17&gt;1),100*(Database!HG18/(Database!HG17)),0.0001)</f>
        <v>1E-4</v>
      </c>
      <c r="DE100" s="99">
        <f>IF(AND(Database!HI18&gt;1,Database!HI17&gt;1),100*(Database!HI18/(Database!HI17)),0.0001)</f>
        <v>1E-4</v>
      </c>
      <c r="DF100" s="99">
        <f>IF(AND(Database!HK18&gt;1,Database!HK17&gt;1),100*(Database!HK18/(Database!HK17)),0.0001)</f>
        <v>1E-4</v>
      </c>
      <c r="DG100" s="99">
        <f>IF(AND(Database!HM18&gt;1,Database!HM17&gt;1),100*(Database!HM18/(Database!HM17)),0.0001)</f>
        <v>1E-4</v>
      </c>
      <c r="DH100" s="99">
        <f>IF(AND(Database!HO18&gt;1,Database!HO17&gt;1),100*(Database!HO18/(Database!HO17)),0.0001)</f>
        <v>1E-4</v>
      </c>
      <c r="DI100" s="99">
        <f>IF(AND(Database!HQ18&gt;1,Database!HQ17&gt;1),100*(Database!HQ18/(Database!HQ17)),0.0001)</f>
        <v>1E-4</v>
      </c>
      <c r="DJ100" s="99">
        <f>IF(AND(Database!HS18&gt;1,Database!HS17&gt;1),100*(Database!HS18/(Database!HS17)),0.0001)</f>
        <v>1E-4</v>
      </c>
      <c r="DK100" s="99">
        <f>IF(AND(Database!HU18&gt;1,Database!HU17&gt;1),100*(Database!HU18/(Database!HU17)),0.0001)</f>
        <v>1E-4</v>
      </c>
      <c r="DL100" s="99">
        <f>IF(AND(Database!HW18&gt;1,Database!HW17&gt;1),100*(Database!HW18/(Database!HW17)),0.0001)</f>
        <v>1E-4</v>
      </c>
      <c r="DM100" s="99">
        <f>IF(AND(Database!HY18&gt;1,Database!HY17&gt;1),100*(Database!HY18/(Database!HY17)),0.0001)</f>
        <v>1E-4</v>
      </c>
      <c r="DN100" s="99">
        <f>IF(AND(Database!IA18&gt;1,Database!IA17&gt;1),100*(Database!IA18/(Database!IA17)),0.0001)</f>
        <v>1E-4</v>
      </c>
      <c r="DO100" s="99">
        <f>IF(AND(Database!IC18&gt;1,Database!IC17&gt;1),100*(Database!IC18/(Database!IC17)),0.0001)</f>
        <v>1E-4</v>
      </c>
      <c r="DP100" s="99">
        <f>IF(AND(Database!IE18&gt;1,Database!IE17&gt;1),100*(Database!IE18/(Database!IE17)),0.0001)</f>
        <v>1E-4</v>
      </c>
      <c r="DQ100" s="99">
        <f>IF(AND(Database!IG18&gt;1,Database!IG17&gt;1),100*(Database!IG18/(Database!IG17)),0.0001)</f>
        <v>1E-4</v>
      </c>
      <c r="DR100" s="99">
        <f>IF(AND(Database!II18&gt;1,Database!II17&gt;1),100*(Database!II18/(Database!II17)),0.0001)</f>
        <v>1E-4</v>
      </c>
      <c r="DS100" s="99">
        <f>IF(AND(Database!IK18&gt;1,Database!IK17&gt;1),100*(Database!IK18/(Database!IK17)),0.0001)</f>
        <v>1E-4</v>
      </c>
      <c r="DT100" s="99">
        <f>IF(AND(Database!IM18&gt;1,Database!IM17&gt;1),100*(Database!IM18/(Database!IM17)),0.0001)</f>
        <v>1E-4</v>
      </c>
      <c r="DU100" s="99">
        <f>IF(AND(Database!IO18&gt;1,Database!IO17&gt;1),100*(Database!IO18/(Database!IO17)),0.0001)</f>
        <v>1E-4</v>
      </c>
      <c r="DV100" s="99">
        <f>IF(AND(Database!IQ18&gt;1,Database!IQ17&gt;1),100*(Database!IQ18/(Database!IQ17)),0.0001)</f>
        <v>1E-4</v>
      </c>
      <c r="DW100" s="99">
        <f>IF(AND(Database!IS18&gt;1,Database!IS17&gt;1),100*(Database!IS18/(Database!IS17)),0.0001)</f>
        <v>1E-4</v>
      </c>
      <c r="DX100" s="99">
        <f>IF(AND(Database!IU18&gt;1,Database!IU17&gt;1),100*(Database!IU18/(Database!IU17)),0.0001)</f>
        <v>1E-4</v>
      </c>
      <c r="DY100" s="99">
        <f>IF(AND(Database!IW18&gt;1,Database!IW17&gt;1),100*(Database!IW18/(Database!IW17)),0.0001)</f>
        <v>1E-4</v>
      </c>
      <c r="DZ100" s="99">
        <f>IF(AND(Database!IY18&gt;1,Database!IY17&gt;1),100*(Database!IY18/(Database!IY17)),0.0001)</f>
        <v>1E-4</v>
      </c>
      <c r="EA100" s="99">
        <f>IF(AND(Database!JA18&gt;1,Database!JA17&gt;1),100*(Database!JA18/(Database!JA17)),0.0001)</f>
        <v>1E-4</v>
      </c>
      <c r="EB100" s="99">
        <f>IF(AND(Database!JC18&gt;1,Database!JC17&gt;1),100*(Database!JC18/(Database!JC17)),0.0001)</f>
        <v>1E-4</v>
      </c>
      <c r="EC100" s="99">
        <f>IF(AND(Database!JE18&gt;1,Database!JE17&gt;1),100*(Database!JE18/(Database!JE17)),0.0001)</f>
        <v>1E-4</v>
      </c>
      <c r="ED100" s="99">
        <f>IF(AND(Database!JG18&gt;1,Database!JG17&gt;1),100*(Database!JG18/(Database!JG17)),0.0001)</f>
        <v>1E-4</v>
      </c>
      <c r="EE100" s="99">
        <f>IF(AND(Database!JI18&gt;1,Database!JI17&gt;1),100*(Database!JI18/(Database!JI17)),0.0001)</f>
        <v>1E-4</v>
      </c>
      <c r="EF100" s="99">
        <f>IF(AND(Database!JK18&gt;1,Database!JK17&gt;1),100*(Database!JK18/(Database!JK17)),0.0001)</f>
        <v>1E-4</v>
      </c>
      <c r="EG100" s="99">
        <f>IF(AND(Database!JM18&gt;1,Database!JM17&gt;1),100*(Database!JM18/(Database!JM17)),0.0001)</f>
        <v>1E-4</v>
      </c>
      <c r="EH100" s="99">
        <f>IF(AND(Database!JO18&gt;1,Database!JO17&gt;1),100*(Database!JO18/(Database!JO17)),0.0001)</f>
        <v>1E-4</v>
      </c>
      <c r="EI100" s="99">
        <f>IF(AND(Database!JQ18&gt;1,Database!JQ17&gt;1),100*(Database!JQ18/(Database!JQ17)),0.0001)</f>
        <v>1E-4</v>
      </c>
      <c r="EJ100" s="99">
        <f>IF(AND(Database!JS18&gt;1,Database!JS17&gt;1),100*(Database!JS18/(Database!JS17)),0.0001)</f>
        <v>1E-4</v>
      </c>
      <c r="EK100" s="99">
        <f>IF(AND(Database!JU18&gt;1,Database!JU17&gt;1),100*(Database!JU18/(Database!JU17)),0.0001)</f>
        <v>1E-4</v>
      </c>
      <c r="EL100" s="99">
        <f>IF(AND(Database!JW18&gt;1,Database!JW17&gt;1),100*(Database!JW18/(Database!JW17)),0.0001)</f>
        <v>1E-4</v>
      </c>
      <c r="EM100" s="99">
        <f>IF(AND(Database!JY18&gt;1,Database!JY17&gt;1),100*(Database!JY18/(Database!JY17)),0.0001)</f>
        <v>1E-4</v>
      </c>
      <c r="EN100" s="99">
        <f>IF(AND(Database!KA18&gt;1,Database!KA17&gt;1),100*(Database!KA18/(Database!KA17)),0.0001)</f>
        <v>1E-4</v>
      </c>
      <c r="EO100" s="99">
        <f>IF(AND(Database!KC18&gt;1,Database!KC17&gt;1),100*(Database!KC18/(Database!KC17)),0.0001)</f>
        <v>1E-4</v>
      </c>
      <c r="EP100" s="99">
        <f>IF(AND(Database!KE18&gt;1,Database!KE17&gt;1),100*(Database!KE18/(Database!KE17)),0.0001)</f>
        <v>1E-4</v>
      </c>
      <c r="EQ100" s="99">
        <f>IF(AND(Database!KG18&gt;1,Database!KG17&gt;1),100*(Database!KG18/(Database!KG17)),0.0001)</f>
        <v>1E-4</v>
      </c>
      <c r="ER100" s="99">
        <f>IF(AND(Database!KI18&gt;1,Database!KI17&gt;1),100*(Database!KI18/(Database!KI17)),0.0001)</f>
        <v>1E-4</v>
      </c>
      <c r="ES100" s="99">
        <f>IF(AND(Database!KK18&gt;1,Database!KK17&gt;1),100*(Database!KK18/(Database!KK17)),0.0001)</f>
        <v>1E-4</v>
      </c>
      <c r="ET100" s="99">
        <f>IF(AND(Database!KM18&gt;1,Database!KM17&gt;1),100*(Database!KM18/(Database!KM17)),0.0001)</f>
        <v>1E-4</v>
      </c>
      <c r="EU100" s="99">
        <f>IF(AND(Database!KO18&gt;1,Database!KO17&gt;1),100*(Database!KO18/(Database!KO17)),0.0001)</f>
        <v>1E-4</v>
      </c>
      <c r="EV100" s="99">
        <f>IF(AND(Database!KQ18&gt;1,Database!KQ17&gt;1),100*(Database!KQ18/(Database!KQ17)),0.0001)</f>
        <v>1E-4</v>
      </c>
      <c r="EW100" s="99">
        <f>IF(AND(Database!KS18&gt;1,Database!KS17&gt;1),100*(Database!KS18/(Database!KS17)),0.0001)</f>
        <v>1E-4</v>
      </c>
      <c r="EX100" s="99">
        <f>IF(AND(Database!KU18&gt;1,Database!KU17&gt;1),100*(Database!KU18/(Database!KU17)),0.0001)</f>
        <v>1E-4</v>
      </c>
      <c r="EY100" s="99">
        <f>IF(AND(Database!KW18&gt;1,Database!KW17&gt;1),100*(Database!KW18/(Database!KW17)),0.0001)</f>
        <v>1E-4</v>
      </c>
      <c r="EZ100" s="99">
        <f>IF(AND(Database!KY18&gt;1,Database!KY17&gt;1),100*(Database!KY18/(Database!KY17)),0.0001)</f>
        <v>1E-4</v>
      </c>
      <c r="FA100" s="99">
        <f>IF(AND(Database!LA18&gt;1,Database!LA17&gt;1),100*(Database!LA18/(Database!LA17)),0.0001)</f>
        <v>1E-4</v>
      </c>
      <c r="FB100" s="99">
        <f>IF(AND(Database!LC18&gt;1,Database!LC17&gt;1),100*(Database!LC18/(Database!LC17)),0.0001)</f>
        <v>1E-4</v>
      </c>
      <c r="FC100" s="99">
        <f>IF(AND(Database!LE18&gt;1,Database!LE17&gt;1),100*(Database!LE18/(Database!LE17)),0.0001)</f>
        <v>1E-4</v>
      </c>
      <c r="FD100" s="99">
        <f>IF(AND(Database!LG18&gt;1,Database!LG17&gt;1),100*(Database!LG18/(Database!LG17)),0.0001)</f>
        <v>1E-4</v>
      </c>
      <c r="FE100" s="99">
        <f>IF(AND(Database!LI18&gt;1,Database!LI17&gt;1),100*(Database!LI18/(Database!LI17)),0.0001)</f>
        <v>1E-4</v>
      </c>
      <c r="FF100" s="99">
        <f>IF(AND(Database!LK18&gt;1,Database!LK17&gt;1),100*(Database!LK18/(Database!LK17)),0.0001)</f>
        <v>1E-4</v>
      </c>
      <c r="FG100" s="99">
        <f>IF(AND(Database!LM18&gt;1,Database!LM17&gt;1),100*(Database!LM18/(Database!LM17)),0.0001)</f>
        <v>1E-4</v>
      </c>
      <c r="FH100" s="99">
        <f>IF(AND(Database!LO18&gt;1,Database!LO17&gt;1),100*(Database!LO18/(Database!LO17)),0.0001)</f>
        <v>1E-4</v>
      </c>
      <c r="FI100" s="99">
        <f>IF(AND(Database!LQ18&gt;1,Database!LQ17&gt;1),100*(Database!LQ18/(Database!LQ17)),0.0001)</f>
        <v>1E-4</v>
      </c>
      <c r="FJ100" s="99">
        <f>IF(AND(Database!LS18&gt;1,Database!LS17&gt;1),100*(Database!LS18/(Database!LS17)),0.0001)</f>
        <v>1E-4</v>
      </c>
      <c r="FK100" s="99">
        <f>IF(AND(Database!LU18&gt;1,Database!LU17&gt;1),100*(Database!LU18/(Database!LU17)),0.0001)</f>
        <v>1E-4</v>
      </c>
      <c r="FL100" s="99">
        <f>IF(AND(Database!LW18&gt;1,Database!LW17&gt;1),100*(Database!LW18/(Database!LW17)),0.0001)</f>
        <v>1E-4</v>
      </c>
      <c r="FM100" s="99">
        <f>IF(AND(Database!LY18&gt;1,Database!LY17&gt;1),100*(Database!LY18/(Database!LY17)),0.0001)</f>
        <v>1E-4</v>
      </c>
      <c r="FN100" s="99">
        <f>IF(AND(Database!MA18&gt;1,Database!MA17&gt;1),100*(Database!MA18/(Database!MA17)),0.0001)</f>
        <v>1E-4</v>
      </c>
      <c r="FO100" s="99">
        <f>IF(AND(Database!MC18&gt;1,Database!MC17&gt;1),100*(Database!MC18/(Database!MC17)),0.0001)</f>
        <v>1E-4</v>
      </c>
      <c r="FP100" s="99">
        <f>IF(AND(Database!ME18&gt;1,Database!ME17&gt;1),100*(Database!ME18/(Database!ME17)),0.0001)</f>
        <v>1E-4</v>
      </c>
      <c r="FQ100" s="99">
        <f>IF(AND(Database!MG18&gt;1,Database!MG17&gt;1),100*(Database!MG18/(Database!MG17)),0.0001)</f>
        <v>1E-4</v>
      </c>
      <c r="FR100" s="99">
        <f>IF(AND(Database!MI18&gt;1,Database!MI17&gt;1),100*(Database!MI18/(Database!MI17)),0.0001)</f>
        <v>1E-4</v>
      </c>
      <c r="FS100" s="99">
        <f>IF(AND(Database!MK18&gt;1,Database!MK17&gt;1),100*(Database!MK18/(Database!MK17)),0.0001)</f>
        <v>1E-4</v>
      </c>
      <c r="FT100" s="99">
        <f>IF(AND(Database!MM18&gt;1,Database!MM17&gt;1),100*(Database!MM18/(Database!MM17)),0.0001)</f>
        <v>1E-4</v>
      </c>
      <c r="FU100" s="99">
        <f>IF(AND(Database!MO18&gt;1,Database!MO17&gt;1),100*(Database!MO18/(Database!MO17)),0.0001)</f>
        <v>1E-4</v>
      </c>
      <c r="FV100" s="99">
        <f>IF(AND(Database!MQ18&gt;1,Database!MQ17&gt;1),100*(Database!MQ18/(Database!MQ17)),0.0001)</f>
        <v>1E-4</v>
      </c>
      <c r="FW100" s="99">
        <f>IF(AND(Database!MS18&gt;1,Database!MS17&gt;1),100*(Database!MS18/(Database!MS17)),0.0001)</f>
        <v>1E-4</v>
      </c>
      <c r="FX100" s="99">
        <f>IF(AND(Database!MU18&gt;1,Database!MU17&gt;1),100*(Database!MU18/(Database!MU17)),0.0001)</f>
        <v>1E-4</v>
      </c>
      <c r="FY100" s="99">
        <f>IF(AND(Database!MW18&gt;1,Database!MW17&gt;1),100*(Database!MW18/(Database!MW17)),0.0001)</f>
        <v>1E-4</v>
      </c>
      <c r="FZ100" s="99">
        <f>IF(AND(Database!MY18&gt;1,Database!MY17&gt;1),100*(Database!MY18/(Database!MY17)),0.0001)</f>
        <v>1E-4</v>
      </c>
      <c r="GA100" s="99">
        <f>IF(AND(Database!NA18&gt;1,Database!NA17&gt;1),100*(Database!NA18/(Database!NA17)),0.0001)</f>
        <v>1E-4</v>
      </c>
      <c r="GB100" s="99">
        <f>IF(AND(Database!NC18&gt;1,Database!NC17&gt;1),100*(Database!NC18/(Database!NC17)),0.0001)</f>
        <v>1E-4</v>
      </c>
      <c r="GC100" s="99">
        <f>IF(AND(Database!NE18&gt;1,Database!NE17&gt;1),100*(Database!NE18/(Database!NE17)),0.0001)</f>
        <v>1E-4</v>
      </c>
      <c r="GD100" s="99">
        <f>IF(AND(Database!NG18&gt;1,Database!NG17&gt;1),100*(Database!NG18/(Database!NG17)),0.0001)</f>
        <v>1E-4</v>
      </c>
      <c r="GE100" s="99">
        <f>IF(AND(Database!NI18&gt;1,Database!NI17&gt;1),100*(Database!NI18/(Database!NI17)),0.0001)</f>
        <v>1E-4</v>
      </c>
      <c r="GF100" s="99">
        <f>IF(AND(Database!NK18&gt;1,Database!NK17&gt;1),100*(Database!NK18/(Database!NK17)),0.0001)</f>
        <v>1E-4</v>
      </c>
      <c r="GG100" s="99">
        <f>IF(AND(Database!NM18&gt;1,Database!NM17&gt;1),100*(Database!NM18/(Database!NM17)),0.0001)</f>
        <v>1E-4</v>
      </c>
      <c r="GH100" s="99">
        <f>IF(AND(Database!NO18&gt;1,Database!NO17&gt;1),100*(Database!NO18/(Database!NO17)),0.0001)</f>
        <v>1E-4</v>
      </c>
      <c r="GI100" s="99">
        <f>IF(AND(Database!NQ18&gt;1,Database!NQ17&gt;1),100*(Database!NQ18/(Database!NQ17)),0.0001)</f>
        <v>1E-4</v>
      </c>
      <c r="GJ100" s="99">
        <f>IF(AND(Database!NS18&gt;1,Database!NS17&gt;1),100*(Database!NS18/(Database!NS17)),0.0001)</f>
        <v>1E-4</v>
      </c>
      <c r="GK100" s="99">
        <f>IF(AND(Database!NU18&gt;1,Database!NU17&gt;1),100*(Database!NU18/(Database!NU17)),0.0001)</f>
        <v>1E-4</v>
      </c>
      <c r="GL100" s="99">
        <f>IF(AND(Database!NW18&gt;1,Database!NW17&gt;1),100*(Database!NW18/(Database!NW17)),0.0001)</f>
        <v>1E-4</v>
      </c>
      <c r="GM100" s="99">
        <f>IF(AND(Database!NY18&gt;1,Database!NY17&gt;1),100*(Database!NY18/(Database!NY17)),0.0001)</f>
        <v>1E-4</v>
      </c>
      <c r="GN100" s="99">
        <f>IF(AND(Database!OA18&gt;1,Database!OA17&gt;1),100*(Database!OA18/(Database!OA17)),0.0001)</f>
        <v>1E-4</v>
      </c>
      <c r="GO100" s="99">
        <f>IF(AND(Database!OC18&gt;1,Database!OC17&gt;1),100*(Database!OC18/(Database!OC17)),0.0001)</f>
        <v>1E-4</v>
      </c>
      <c r="GP100" s="99">
        <f>IF(AND(Database!OE18&gt;1,Database!OE17&gt;1),100*(Database!OE18/(Database!OE17)),0.0001)</f>
        <v>1E-4</v>
      </c>
      <c r="GQ100" s="99">
        <f>IF(AND(Database!OG18&gt;1,Database!OG17&gt;1),100*(Database!OG18/(Database!OG17)),0.0001)</f>
        <v>1E-4</v>
      </c>
      <c r="GR100" s="99">
        <f>IF(AND(Database!OI18&gt;1,Database!OI17&gt;1),100*(Database!OI18/(Database!OI17)),0.0001)</f>
        <v>1E-4</v>
      </c>
      <c r="GS100" s="99">
        <f>IF(AND(Database!OK18&gt;1,Database!OK17&gt;1),100*(Database!OK18/(Database!OK17)),0.0001)</f>
        <v>1E-4</v>
      </c>
      <c r="GT100" s="99">
        <f>IF(AND(Database!OM18&gt;1,Database!OM17&gt;1),100*(Database!OM18/(Database!OM17)),0.0001)</f>
        <v>1E-4</v>
      </c>
    </row>
    <row r="101" spans="1:202" ht="18.75" customHeight="1" x14ac:dyDescent="0.4">
      <c r="A101" s="29" t="s">
        <v>110</v>
      </c>
      <c r="B101" s="306"/>
      <c r="C101" s="99">
        <f>IF(AND(Database!E19&gt;1,Database!E21&gt;1),100*(Database!E19/(Database!E21)),0.0001)</f>
        <v>106.1488325454806</v>
      </c>
      <c r="D101" s="99">
        <f>IF(AND(Database!G19&gt;1,Database!G21&gt;1),100*(Database!G19/(Database!G21)),0.0001)</f>
        <v>100.70494744937196</v>
      </c>
      <c r="E101" s="99">
        <f>IF(AND(Database!I19&gt;1,Database!I21&gt;1),100*(Database!I19/(Database!I21)),0.0001)</f>
        <v>108.70515795109763</v>
      </c>
      <c r="F101" s="99">
        <f>IF(AND(Database!K19&gt;1,Database!K21&gt;1),100*(Database!K19/(Database!K21)),0.0001)</f>
        <v>105.4147723037937</v>
      </c>
      <c r="G101" s="99">
        <f>IF(AND(Database!M19&gt;1,Database!M21&gt;1),100*(Database!M19/(Database!M21)),0.0001)</f>
        <v>1E-4</v>
      </c>
      <c r="H101" s="99">
        <f>IF(AND(Database!O19&gt;1,Database!O21&gt;1),100*(Database!O19/(Database!O21)),0.0001)</f>
        <v>1E-4</v>
      </c>
      <c r="I101" s="99">
        <f>IF(AND(Database!Q19&gt;1,Database!Q21&gt;1),100*(Database!Q19/(Database!Q21)),0.0001)</f>
        <v>1E-4</v>
      </c>
      <c r="J101" s="99">
        <f>IF(AND(Database!S19&gt;1,Database!S21&gt;1),100*(Database!S19/(Database!S21)),0.0001)</f>
        <v>1E-4</v>
      </c>
      <c r="K101" s="99">
        <f>IF(AND(Database!U19&gt;1,Database!U21&gt;1),100*(Database!U19/(Database!U21)),0.0001)</f>
        <v>1E-4</v>
      </c>
      <c r="L101" s="99">
        <f>IF(AND(Database!W19&gt;1,Database!W21&gt;1),100*(Database!W19/(Database!W21)),0.0001)</f>
        <v>1E-4</v>
      </c>
      <c r="M101" s="99">
        <f>IF(AND(Database!Y19&gt;1,Database!Y21&gt;1),100*(Database!Y19/(Database!Y21)),0.0001)</f>
        <v>1E-4</v>
      </c>
      <c r="N101" s="99">
        <f>IF(AND(Database!AA19&gt;1,Database!AA21&gt;1),100*(Database!AA19/(Database!AA21)),0.0001)</f>
        <v>1E-4</v>
      </c>
      <c r="O101" s="99">
        <f>IF(AND(Database!AC19&gt;1,Database!AC21&gt;1),100*(Database!AC19/(Database!AC21)),0.0001)</f>
        <v>1E-4</v>
      </c>
      <c r="P101" s="99">
        <f>IF(AND(Database!AE19&gt;1,Database!AE21&gt;1),100*(Database!AE19/(Database!AE21)),0.0001)</f>
        <v>1E-4</v>
      </c>
      <c r="Q101" s="99">
        <f>IF(AND(Database!AG19&gt;1,Database!AG21&gt;1),100*(Database!AG19/(Database!AG21)),0.0001)</f>
        <v>1E-4</v>
      </c>
      <c r="R101" s="99">
        <f>IF(AND(Database!AI19&gt;1,Database!AI21&gt;1),100*(Database!AI19/(Database!AI21)),0.0001)</f>
        <v>1E-4</v>
      </c>
      <c r="S101" s="99">
        <f>IF(AND(Database!AK19&gt;1,Database!AK21&gt;1),100*(Database!AK19/(Database!AK21)),0.0001)</f>
        <v>1E-4</v>
      </c>
      <c r="T101" s="99">
        <f>IF(AND(Database!AM19&gt;1,Database!AM21&gt;1),100*(Database!AM19/(Database!AM21)),0.0001)</f>
        <v>1E-4</v>
      </c>
      <c r="U101" s="99">
        <f>IF(AND(Database!AO19&gt;1,Database!AO21&gt;1),100*(Database!AO19/(Database!AO21)),0.0001)</f>
        <v>1E-4</v>
      </c>
      <c r="V101" s="99">
        <f>IF(AND(Database!AQ19&gt;1,Database!AQ21&gt;1),100*(Database!AQ19/(Database!AQ21)),0.0001)</f>
        <v>1E-4</v>
      </c>
      <c r="W101" s="99">
        <f>IF(AND(Database!AS19&gt;1,Database!AS21&gt;1),100*(Database!AS19/(Database!AS21)),0.0001)</f>
        <v>1E-4</v>
      </c>
      <c r="X101" s="99">
        <f>IF(AND(Database!AU19&gt;1,Database!AU21&gt;1),100*(Database!AU19/(Database!AU21)),0.0001)</f>
        <v>1E-4</v>
      </c>
      <c r="Y101" s="99">
        <f>IF(AND(Database!AW19&gt;1,Database!AW21&gt;1),100*(Database!AW19/(Database!AW21)),0.0001)</f>
        <v>1E-4</v>
      </c>
      <c r="Z101" s="99">
        <f>IF(AND(Database!AY19&gt;1,Database!AY21&gt;1),100*(Database!AY19/(Database!AY21)),0.0001)</f>
        <v>1E-4</v>
      </c>
      <c r="AA101" s="99">
        <f>IF(AND(Database!BA19&gt;1,Database!BA21&gt;1),100*(Database!BA19/(Database!BA21)),0.0001)</f>
        <v>1E-4</v>
      </c>
      <c r="AB101" s="99">
        <f>IF(AND(Database!BC19&gt;1,Database!BC21&gt;1),100*(Database!BC19/(Database!BC21)),0.0001)</f>
        <v>1E-4</v>
      </c>
      <c r="AC101" s="99">
        <f>IF(AND(Database!BE19&gt;1,Database!BE21&gt;1),100*(Database!BE19/(Database!BE21)),0.0001)</f>
        <v>1E-4</v>
      </c>
      <c r="AD101" s="99">
        <f>IF(AND(Database!BG19&gt;1,Database!BG21&gt;1),100*(Database!BG19/(Database!BG21)),0.0001)</f>
        <v>1E-4</v>
      </c>
      <c r="AE101" s="99">
        <f>IF(AND(Database!BI19&gt;1,Database!BI21&gt;1),100*(Database!BI19/(Database!BI21)),0.0001)</f>
        <v>1E-4</v>
      </c>
      <c r="AF101" s="99">
        <f>IF(AND(Database!BK19&gt;1,Database!BK21&gt;1),100*(Database!BK19/(Database!BK21)),0.0001)</f>
        <v>1E-4</v>
      </c>
      <c r="AG101" s="99">
        <f>IF(AND(Database!BM19&gt;1,Database!BM21&gt;1),100*(Database!BM19/(Database!BM21)),0.0001)</f>
        <v>1E-4</v>
      </c>
      <c r="AH101" s="99">
        <f>IF(AND(Database!BO19&gt;1,Database!BO21&gt;1),100*(Database!BO19/(Database!BO21)),0.0001)</f>
        <v>1E-4</v>
      </c>
      <c r="AI101" s="99">
        <f>IF(AND(Database!BQ19&gt;1,Database!BQ21&gt;1),100*(Database!BQ19/(Database!BQ21)),0.0001)</f>
        <v>1E-4</v>
      </c>
      <c r="AJ101" s="99">
        <f>IF(AND(Database!BS19&gt;1,Database!BS21&gt;1),100*(Database!BS19/(Database!BS21)),0.0001)</f>
        <v>1E-4</v>
      </c>
      <c r="AK101" s="99">
        <f>IF(AND(Database!BU19&gt;1,Database!BU21&gt;1),100*(Database!BU19/(Database!BU21)),0.0001)</f>
        <v>1E-4</v>
      </c>
      <c r="AL101" s="99">
        <f>IF(AND(Database!BW19&gt;1,Database!BW21&gt;1),100*(Database!BW19/(Database!BW21)),0.0001)</f>
        <v>1E-4</v>
      </c>
      <c r="AM101" s="99">
        <f>IF(AND(Database!BY19&gt;1,Database!BY21&gt;1),100*(Database!BY19/(Database!BY21)),0.0001)</f>
        <v>1E-4</v>
      </c>
      <c r="AN101" s="99">
        <f>IF(AND(Database!CA19&gt;1,Database!CA21&gt;1),100*(Database!CA19/(Database!CA21)),0.0001)</f>
        <v>1E-4</v>
      </c>
      <c r="AO101" s="99">
        <f>IF(AND(Database!CC19&gt;1,Database!CC21&gt;1),100*(Database!CC19/(Database!CC21)),0.0001)</f>
        <v>1E-4</v>
      </c>
      <c r="AP101" s="99">
        <f>IF(AND(Database!CE19&gt;1,Database!CE21&gt;1),100*(Database!CE19/(Database!CE21)),0.0001)</f>
        <v>1E-4</v>
      </c>
      <c r="AQ101" s="99">
        <f>IF(AND(Database!CG19&gt;1,Database!CG21&gt;1),100*(Database!CG19/(Database!CG21)),0.0001)</f>
        <v>1E-4</v>
      </c>
      <c r="AR101" s="99">
        <f>IF(AND(Database!CI19&gt;1,Database!CI21&gt;1),100*(Database!CI19/(Database!CI21)),0.0001)</f>
        <v>1E-4</v>
      </c>
      <c r="AS101" s="99">
        <f>IF(AND(Database!CK19&gt;1,Database!CK21&gt;1),100*(Database!CK19/(Database!CK21)),0.0001)</f>
        <v>1E-4</v>
      </c>
      <c r="AT101" s="99">
        <f>IF(AND(Database!CM19&gt;1,Database!CM21&gt;1),100*(Database!CM19/(Database!CM21)),0.0001)</f>
        <v>1E-4</v>
      </c>
      <c r="AU101" s="99">
        <f>IF(AND(Database!CO19&gt;1,Database!CO21&gt;1),100*(Database!CO19/(Database!CO21)),0.0001)</f>
        <v>1E-4</v>
      </c>
      <c r="AV101" s="99">
        <f>IF(AND(Database!CQ19&gt;1,Database!CQ21&gt;1),100*(Database!CQ19/(Database!CQ21)),0.0001)</f>
        <v>1E-4</v>
      </c>
      <c r="AW101" s="99">
        <f>IF(AND(Database!CS19&gt;1,Database!CS21&gt;1),100*(Database!CS19/(Database!CS21)),0.0001)</f>
        <v>1E-4</v>
      </c>
      <c r="AX101" s="99">
        <f>IF(AND(Database!CU19&gt;1,Database!CU21&gt;1),100*(Database!CU19/(Database!CU21)),0.0001)</f>
        <v>1E-4</v>
      </c>
      <c r="AY101" s="99">
        <f>IF(AND(Database!CW19&gt;1,Database!CW21&gt;1),100*(Database!CW19/(Database!CW21)),0.0001)</f>
        <v>1E-4</v>
      </c>
      <c r="AZ101" s="99">
        <f>IF(AND(Database!CY19&gt;1,Database!CY21&gt;1),100*(Database!CY19/(Database!CY21)),0.0001)</f>
        <v>1E-4</v>
      </c>
      <c r="BA101" s="99">
        <f>IF(AND(Database!DA19&gt;1,Database!DA21&gt;1),100*(Database!DA19/(Database!DA21)),0.0001)</f>
        <v>1E-4</v>
      </c>
      <c r="BB101" s="99">
        <f>IF(AND(Database!DC19&gt;1,Database!DC21&gt;1),100*(Database!DC19/(Database!DC21)),0.0001)</f>
        <v>1E-4</v>
      </c>
      <c r="BC101" s="99">
        <f>IF(AND(Database!DE19&gt;1,Database!DE21&gt;1),100*(Database!DE19/(Database!DE21)),0.0001)</f>
        <v>1E-4</v>
      </c>
      <c r="BD101" s="99">
        <f>IF(AND(Database!DG19&gt;1,Database!DG21&gt;1),100*(Database!DG19/(Database!DG21)),0.0001)</f>
        <v>1E-4</v>
      </c>
      <c r="BE101" s="99">
        <f>IF(AND(Database!DI19&gt;1,Database!DI21&gt;1),100*(Database!DI19/(Database!DI21)),0.0001)</f>
        <v>1E-4</v>
      </c>
      <c r="BF101" s="99">
        <f>IF(AND(Database!DK19&gt;1,Database!DK21&gt;1),100*(Database!DK19/(Database!DK21)),0.0001)</f>
        <v>1E-4</v>
      </c>
      <c r="BG101" s="99">
        <f>IF(AND(Database!DM19&gt;1,Database!DM21&gt;1),100*(Database!DM19/(Database!DM21)),0.0001)</f>
        <v>1E-4</v>
      </c>
      <c r="BH101" s="99">
        <f>IF(AND(Database!DO19&gt;1,Database!DO21&gt;1),100*(Database!DO19/(Database!DO21)),0.0001)</f>
        <v>1E-4</v>
      </c>
      <c r="BI101" s="99">
        <f>IF(AND(Database!DQ19&gt;1,Database!DQ21&gt;1),100*(Database!DQ19/(Database!DQ21)),0.0001)</f>
        <v>1E-4</v>
      </c>
      <c r="BJ101" s="99">
        <f>IF(AND(Database!DS19&gt;1,Database!DS21&gt;1),100*(Database!DS19/(Database!DS21)),0.0001)</f>
        <v>1E-4</v>
      </c>
      <c r="BK101" s="99">
        <f>IF(AND(Database!DU19&gt;1,Database!DU21&gt;1),100*(Database!DU19/(Database!DU21)),0.0001)</f>
        <v>1E-4</v>
      </c>
      <c r="BL101" s="99">
        <f>IF(AND(Database!DW19&gt;1,Database!DW21&gt;1),100*(Database!DW19/(Database!DW21)),0.0001)</f>
        <v>1E-4</v>
      </c>
      <c r="BM101" s="99">
        <f>IF(AND(Database!DY19&gt;1,Database!DY21&gt;1),100*(Database!DY19/(Database!DY21)),0.0001)</f>
        <v>1E-4</v>
      </c>
      <c r="BN101" s="99">
        <f>IF(AND(Database!EA19&gt;1,Database!EA21&gt;1),100*(Database!EA19/(Database!EA21)),0.0001)</f>
        <v>1E-4</v>
      </c>
      <c r="BO101" s="99">
        <f>IF(AND(Database!EC19&gt;1,Database!EC21&gt;1),100*(Database!EC19/(Database!EC21)),0.0001)</f>
        <v>1E-4</v>
      </c>
      <c r="BP101" s="99">
        <f>IF(AND(Database!EE19&gt;1,Database!EE21&gt;1),100*(Database!EE19/(Database!EE21)),0.0001)</f>
        <v>1E-4</v>
      </c>
      <c r="BQ101" s="99">
        <f>IF(AND(Database!EG19&gt;1,Database!EG21&gt;1),100*(Database!EG19/(Database!EG21)),0.0001)</f>
        <v>1E-4</v>
      </c>
      <c r="BR101" s="99">
        <f>IF(AND(Database!EI19&gt;1,Database!EI21&gt;1),100*(Database!EI19/(Database!EI21)),0.0001)</f>
        <v>1E-4</v>
      </c>
      <c r="BS101" s="99">
        <f>IF(AND(Database!EK19&gt;1,Database!EK21&gt;1),100*(Database!EK19/(Database!EK21)),0.0001)</f>
        <v>1E-4</v>
      </c>
      <c r="BT101" s="99">
        <f>IF(AND(Database!EM19&gt;1,Database!EM21&gt;1),100*(Database!EM19/(Database!EM21)),0.0001)</f>
        <v>1E-4</v>
      </c>
      <c r="BU101" s="99">
        <f>IF(AND(Database!EO19&gt;1,Database!EO21&gt;1),100*(Database!EO19/(Database!EO21)),0.0001)</f>
        <v>1E-4</v>
      </c>
      <c r="BV101" s="99">
        <f>IF(AND(Database!EQ19&gt;1,Database!EQ21&gt;1),100*(Database!EQ19/(Database!EQ21)),0.0001)</f>
        <v>1E-4</v>
      </c>
      <c r="BW101" s="99">
        <f>IF(AND(Database!ES19&gt;1,Database!ES21&gt;1),100*(Database!ES19/(Database!ES21)),0.0001)</f>
        <v>1E-4</v>
      </c>
      <c r="BX101" s="99">
        <f>IF(AND(Database!EU19&gt;1,Database!EU21&gt;1),100*(Database!EU19/(Database!EU21)),0.0001)</f>
        <v>1E-4</v>
      </c>
      <c r="BY101" s="99">
        <f>IF(AND(Database!EW19&gt;1,Database!EW21&gt;1),100*(Database!EW19/(Database!EW21)),0.0001)</f>
        <v>1E-4</v>
      </c>
      <c r="BZ101" s="99">
        <f>IF(AND(Database!EY19&gt;1,Database!EY21&gt;1),100*(Database!EY19/(Database!EY21)),0.0001)</f>
        <v>1E-4</v>
      </c>
      <c r="CA101" s="99">
        <f>IF(AND(Database!FA19&gt;1,Database!FA21&gt;1),100*(Database!FA19/(Database!FA21)),0.0001)</f>
        <v>1E-4</v>
      </c>
      <c r="CB101" s="99">
        <f>IF(AND(Database!FC19&gt;1,Database!FC21&gt;1),100*(Database!FC19/(Database!FC21)),0.0001)</f>
        <v>1E-4</v>
      </c>
      <c r="CC101" s="99">
        <f>IF(AND(Database!FE19&gt;1,Database!FE21&gt;1),100*(Database!FE19/(Database!FE21)),0.0001)</f>
        <v>1E-4</v>
      </c>
      <c r="CD101" s="99">
        <f>IF(AND(Database!FG19&gt;1,Database!FG21&gt;1),100*(Database!FG19/(Database!FG21)),0.0001)</f>
        <v>1E-4</v>
      </c>
      <c r="CE101" s="99">
        <f>IF(AND(Database!FI19&gt;1,Database!FI21&gt;1),100*(Database!FI19/(Database!FI21)),0.0001)</f>
        <v>1E-4</v>
      </c>
      <c r="CF101" s="99">
        <f>IF(AND(Database!FK19&gt;1,Database!FK21&gt;1),100*(Database!FK19/(Database!FK21)),0.0001)</f>
        <v>1E-4</v>
      </c>
      <c r="CG101" s="99">
        <f>IF(AND(Database!FM19&gt;1,Database!FM21&gt;1),100*(Database!FM19/(Database!FM21)),0.0001)</f>
        <v>1E-4</v>
      </c>
      <c r="CH101" s="99">
        <f>IF(AND(Database!FO19&gt;1,Database!FO21&gt;1),100*(Database!FO19/(Database!FO21)),0.0001)</f>
        <v>1E-4</v>
      </c>
      <c r="CI101" s="99">
        <f>IF(AND(Database!FQ19&gt;1,Database!FQ21&gt;1),100*(Database!FQ19/(Database!FQ21)),0.0001)</f>
        <v>1E-4</v>
      </c>
      <c r="CJ101" s="99">
        <f>IF(AND(Database!FS19&gt;1,Database!FS21&gt;1),100*(Database!FS19/(Database!FS21)),0.0001)</f>
        <v>1E-4</v>
      </c>
      <c r="CK101" s="99">
        <f>IF(AND(Database!FU19&gt;1,Database!FU21&gt;1),100*(Database!FU19/(Database!FU21)),0.0001)</f>
        <v>1E-4</v>
      </c>
      <c r="CL101" s="99">
        <f>IF(AND(Database!FW19&gt;1,Database!FW21&gt;1),100*(Database!FW19/(Database!FW21)),0.0001)</f>
        <v>1E-4</v>
      </c>
      <c r="CM101" s="99">
        <f>IF(AND(Database!FY19&gt;1,Database!FY21&gt;1),100*(Database!FY19/(Database!FY21)),0.0001)</f>
        <v>1E-4</v>
      </c>
      <c r="CN101" s="99">
        <f>IF(AND(Database!GA19&gt;1,Database!GA21&gt;1),100*(Database!GA19/(Database!GA21)),0.0001)</f>
        <v>1E-4</v>
      </c>
      <c r="CO101" s="99">
        <f>IF(AND(Database!GC19&gt;1,Database!GC21&gt;1),100*(Database!GC19/(Database!GC21)),0.0001)</f>
        <v>1E-4</v>
      </c>
      <c r="CP101" s="99">
        <f>IF(AND(Database!GE19&gt;1,Database!GE21&gt;1),100*(Database!GE19/(Database!GE21)),0.0001)</f>
        <v>1E-4</v>
      </c>
      <c r="CQ101" s="99">
        <f>IF(AND(Database!GG19&gt;1,Database!GG21&gt;1),100*(Database!GG19/(Database!GG21)),0.0001)</f>
        <v>1E-4</v>
      </c>
      <c r="CR101" s="99">
        <f>IF(AND(Database!GI19&gt;1,Database!GI21&gt;1),100*(Database!GI19/(Database!GI21)),0.0001)</f>
        <v>1E-4</v>
      </c>
      <c r="CS101" s="99">
        <f>IF(AND(Database!GK19&gt;1,Database!GK21&gt;1),100*(Database!GK19/(Database!GK21)),0.0001)</f>
        <v>1E-4</v>
      </c>
      <c r="CT101" s="99">
        <f>IF(AND(Database!GM19&gt;1,Database!GM21&gt;1),100*(Database!GM19/(Database!GM21)),0.0001)</f>
        <v>1E-4</v>
      </c>
      <c r="CU101" s="99">
        <f>IF(AND(Database!GO19&gt;1,Database!GO21&gt;1),100*(Database!GO19/(Database!GO21)),0.0001)</f>
        <v>1E-4</v>
      </c>
      <c r="CV101" s="99">
        <f>IF(AND(Database!GQ19&gt;1,Database!GQ21&gt;1),100*(Database!GQ19/(Database!GQ21)),0.0001)</f>
        <v>1E-4</v>
      </c>
      <c r="CW101" s="99">
        <f>IF(AND(Database!GS19&gt;1,Database!GS21&gt;1),100*(Database!GS19/(Database!GS21)),0.0001)</f>
        <v>1E-4</v>
      </c>
      <c r="CX101" s="99">
        <f>IF(AND(Database!GU19&gt;1,Database!GU21&gt;1),100*(Database!GU19/(Database!GU21)),0.0001)</f>
        <v>1E-4</v>
      </c>
      <c r="CY101" s="99">
        <f>IF(AND(Database!GW19&gt;1,Database!GW21&gt;1),100*(Database!GW19/(Database!GW21)),0.0001)</f>
        <v>1E-4</v>
      </c>
      <c r="CZ101" s="99">
        <f>IF(AND(Database!GY19&gt;1,Database!GY21&gt;1),100*(Database!GY19/(Database!GY21)),0.0001)</f>
        <v>1E-4</v>
      </c>
      <c r="DA101" s="99">
        <f>IF(AND(Database!HA19&gt;1,Database!HA21&gt;1),100*(Database!HA19/(Database!HA21)),0.0001)</f>
        <v>1E-4</v>
      </c>
      <c r="DB101" s="99">
        <f>IF(AND(Database!HC19&gt;1,Database!HC21&gt;1),100*(Database!HC19/(Database!HC21)),0.0001)</f>
        <v>1E-4</v>
      </c>
      <c r="DC101" s="99">
        <f>IF(AND(Database!HE19&gt;1,Database!HE21&gt;1),100*(Database!HE19/(Database!HE21)),0.0001)</f>
        <v>1E-4</v>
      </c>
      <c r="DD101" s="99">
        <f>IF(AND(Database!HG19&gt;1,Database!HG21&gt;1),100*(Database!HG19/(Database!HG21)),0.0001)</f>
        <v>1E-4</v>
      </c>
      <c r="DE101" s="99">
        <f>IF(AND(Database!HI19&gt;1,Database!HI21&gt;1),100*(Database!HI19/(Database!HI21)),0.0001)</f>
        <v>1E-4</v>
      </c>
      <c r="DF101" s="99">
        <f>IF(AND(Database!HK19&gt;1,Database!HK21&gt;1),100*(Database!HK19/(Database!HK21)),0.0001)</f>
        <v>1E-4</v>
      </c>
      <c r="DG101" s="99">
        <f>IF(AND(Database!HM19&gt;1,Database!HM21&gt;1),100*(Database!HM19/(Database!HM21)),0.0001)</f>
        <v>1E-4</v>
      </c>
      <c r="DH101" s="99">
        <f>IF(AND(Database!HO19&gt;1,Database!HO21&gt;1),100*(Database!HO19/(Database!HO21)),0.0001)</f>
        <v>1E-4</v>
      </c>
      <c r="DI101" s="99">
        <f>IF(AND(Database!HQ19&gt;1,Database!HQ21&gt;1),100*(Database!HQ19/(Database!HQ21)),0.0001)</f>
        <v>1E-4</v>
      </c>
      <c r="DJ101" s="99">
        <f>IF(AND(Database!HS19&gt;1,Database!HS21&gt;1),100*(Database!HS19/(Database!HS21)),0.0001)</f>
        <v>1E-4</v>
      </c>
      <c r="DK101" s="99">
        <f>IF(AND(Database!HU19&gt;1,Database!HU21&gt;1),100*(Database!HU19/(Database!HU21)),0.0001)</f>
        <v>1E-4</v>
      </c>
      <c r="DL101" s="99">
        <f>IF(AND(Database!HW19&gt;1,Database!HW21&gt;1),100*(Database!HW19/(Database!HW21)),0.0001)</f>
        <v>1E-4</v>
      </c>
      <c r="DM101" s="99">
        <f>IF(AND(Database!HY19&gt;1,Database!HY21&gt;1),100*(Database!HY19/(Database!HY21)),0.0001)</f>
        <v>1E-4</v>
      </c>
      <c r="DN101" s="99">
        <f>IF(AND(Database!IA19&gt;1,Database!IA21&gt;1),100*(Database!IA19/(Database!IA21)),0.0001)</f>
        <v>1E-4</v>
      </c>
      <c r="DO101" s="99">
        <f>IF(AND(Database!IC19&gt;1,Database!IC21&gt;1),100*(Database!IC19/(Database!IC21)),0.0001)</f>
        <v>1E-4</v>
      </c>
      <c r="DP101" s="99">
        <f>IF(AND(Database!IE19&gt;1,Database!IE21&gt;1),100*(Database!IE19/(Database!IE21)),0.0001)</f>
        <v>1E-4</v>
      </c>
      <c r="DQ101" s="99">
        <f>IF(AND(Database!IG19&gt;1,Database!IG21&gt;1),100*(Database!IG19/(Database!IG21)),0.0001)</f>
        <v>1E-4</v>
      </c>
      <c r="DR101" s="99">
        <f>IF(AND(Database!II19&gt;1,Database!II21&gt;1),100*(Database!II19/(Database!II21)),0.0001)</f>
        <v>1E-4</v>
      </c>
      <c r="DS101" s="99">
        <f>IF(AND(Database!IK19&gt;1,Database!IK21&gt;1),100*(Database!IK19/(Database!IK21)),0.0001)</f>
        <v>1E-4</v>
      </c>
      <c r="DT101" s="99">
        <f>IF(AND(Database!IM19&gt;1,Database!IM21&gt;1),100*(Database!IM19/(Database!IM21)),0.0001)</f>
        <v>1E-4</v>
      </c>
      <c r="DU101" s="99">
        <f>IF(AND(Database!IO19&gt;1,Database!IO21&gt;1),100*(Database!IO19/(Database!IO21)),0.0001)</f>
        <v>1E-4</v>
      </c>
      <c r="DV101" s="99">
        <f>IF(AND(Database!IQ19&gt;1,Database!IQ21&gt;1),100*(Database!IQ19/(Database!IQ21)),0.0001)</f>
        <v>1E-4</v>
      </c>
      <c r="DW101" s="99">
        <f>IF(AND(Database!IS19&gt;1,Database!IS21&gt;1),100*(Database!IS19/(Database!IS21)),0.0001)</f>
        <v>1E-4</v>
      </c>
      <c r="DX101" s="99">
        <f>IF(AND(Database!IU19&gt;1,Database!IU21&gt;1),100*(Database!IU19/(Database!IU21)),0.0001)</f>
        <v>1E-4</v>
      </c>
      <c r="DY101" s="99">
        <f>IF(AND(Database!IW19&gt;1,Database!IW21&gt;1),100*(Database!IW19/(Database!IW21)),0.0001)</f>
        <v>1E-4</v>
      </c>
      <c r="DZ101" s="99">
        <f>IF(AND(Database!IY19&gt;1,Database!IY21&gt;1),100*(Database!IY19/(Database!IY21)),0.0001)</f>
        <v>1E-4</v>
      </c>
      <c r="EA101" s="99">
        <f>IF(AND(Database!JA19&gt;1,Database!JA21&gt;1),100*(Database!JA19/(Database!JA21)),0.0001)</f>
        <v>1E-4</v>
      </c>
      <c r="EB101" s="99">
        <f>IF(AND(Database!JC19&gt;1,Database!JC21&gt;1),100*(Database!JC19/(Database!JC21)),0.0001)</f>
        <v>1E-4</v>
      </c>
      <c r="EC101" s="99">
        <f>IF(AND(Database!JE19&gt;1,Database!JE21&gt;1),100*(Database!JE19/(Database!JE21)),0.0001)</f>
        <v>1E-4</v>
      </c>
      <c r="ED101" s="99">
        <f>IF(AND(Database!JG19&gt;1,Database!JG21&gt;1),100*(Database!JG19/(Database!JG21)),0.0001)</f>
        <v>1E-4</v>
      </c>
      <c r="EE101" s="99">
        <f>IF(AND(Database!JI19&gt;1,Database!JI21&gt;1),100*(Database!JI19/(Database!JI21)),0.0001)</f>
        <v>1E-4</v>
      </c>
      <c r="EF101" s="99">
        <f>IF(AND(Database!JK19&gt;1,Database!JK21&gt;1),100*(Database!JK19/(Database!JK21)),0.0001)</f>
        <v>1E-4</v>
      </c>
      <c r="EG101" s="99">
        <f>IF(AND(Database!JM19&gt;1,Database!JM21&gt;1),100*(Database!JM19/(Database!JM21)),0.0001)</f>
        <v>1E-4</v>
      </c>
      <c r="EH101" s="99">
        <f>IF(AND(Database!JO19&gt;1,Database!JO21&gt;1),100*(Database!JO19/(Database!JO21)),0.0001)</f>
        <v>1E-4</v>
      </c>
      <c r="EI101" s="99">
        <f>IF(AND(Database!JQ19&gt;1,Database!JQ21&gt;1),100*(Database!JQ19/(Database!JQ21)),0.0001)</f>
        <v>1E-4</v>
      </c>
      <c r="EJ101" s="99">
        <f>IF(AND(Database!JS19&gt;1,Database!JS21&gt;1),100*(Database!JS19/(Database!JS21)),0.0001)</f>
        <v>1E-4</v>
      </c>
      <c r="EK101" s="99">
        <f>IF(AND(Database!JU19&gt;1,Database!JU21&gt;1),100*(Database!JU19/(Database!JU21)),0.0001)</f>
        <v>1E-4</v>
      </c>
      <c r="EL101" s="99">
        <f>IF(AND(Database!JW19&gt;1,Database!JW21&gt;1),100*(Database!JW19/(Database!JW21)),0.0001)</f>
        <v>1E-4</v>
      </c>
      <c r="EM101" s="99">
        <f>IF(AND(Database!JY19&gt;1,Database!JY21&gt;1),100*(Database!JY19/(Database!JY21)),0.0001)</f>
        <v>1E-4</v>
      </c>
      <c r="EN101" s="99">
        <f>IF(AND(Database!KA19&gt;1,Database!KA21&gt;1),100*(Database!KA19/(Database!KA21)),0.0001)</f>
        <v>1E-4</v>
      </c>
      <c r="EO101" s="99">
        <f>IF(AND(Database!KC19&gt;1,Database!KC21&gt;1),100*(Database!KC19/(Database!KC21)),0.0001)</f>
        <v>1E-4</v>
      </c>
      <c r="EP101" s="99">
        <f>IF(AND(Database!KE19&gt;1,Database!KE21&gt;1),100*(Database!KE19/(Database!KE21)),0.0001)</f>
        <v>1E-4</v>
      </c>
      <c r="EQ101" s="99">
        <f>IF(AND(Database!KG19&gt;1,Database!KG21&gt;1),100*(Database!KG19/(Database!KG21)),0.0001)</f>
        <v>1E-4</v>
      </c>
      <c r="ER101" s="99">
        <f>IF(AND(Database!KI19&gt;1,Database!KI21&gt;1),100*(Database!KI19/(Database!KI21)),0.0001)</f>
        <v>1E-4</v>
      </c>
      <c r="ES101" s="99">
        <f>IF(AND(Database!KK19&gt;1,Database!KK21&gt;1),100*(Database!KK19/(Database!KK21)),0.0001)</f>
        <v>1E-4</v>
      </c>
      <c r="ET101" s="99">
        <f>IF(AND(Database!KM19&gt;1,Database!KM21&gt;1),100*(Database!KM19/(Database!KM21)),0.0001)</f>
        <v>1E-4</v>
      </c>
      <c r="EU101" s="99">
        <f>IF(AND(Database!KO19&gt;1,Database!KO21&gt;1),100*(Database!KO19/(Database!KO21)),0.0001)</f>
        <v>1E-4</v>
      </c>
      <c r="EV101" s="99">
        <f>IF(AND(Database!KQ19&gt;1,Database!KQ21&gt;1),100*(Database!KQ19/(Database!KQ21)),0.0001)</f>
        <v>1E-4</v>
      </c>
      <c r="EW101" s="99">
        <f>IF(AND(Database!KS19&gt;1,Database!KS21&gt;1),100*(Database!KS19/(Database!KS21)),0.0001)</f>
        <v>1E-4</v>
      </c>
      <c r="EX101" s="99">
        <f>IF(AND(Database!KU19&gt;1,Database!KU21&gt;1),100*(Database!KU19/(Database!KU21)),0.0001)</f>
        <v>1E-4</v>
      </c>
      <c r="EY101" s="99">
        <f>IF(AND(Database!KW19&gt;1,Database!KW21&gt;1),100*(Database!KW19/(Database!KW21)),0.0001)</f>
        <v>1E-4</v>
      </c>
      <c r="EZ101" s="99">
        <f>IF(AND(Database!KY19&gt;1,Database!KY21&gt;1),100*(Database!KY19/(Database!KY21)),0.0001)</f>
        <v>1E-4</v>
      </c>
      <c r="FA101" s="99">
        <f>IF(AND(Database!LA19&gt;1,Database!LA21&gt;1),100*(Database!LA19/(Database!LA21)),0.0001)</f>
        <v>1E-4</v>
      </c>
      <c r="FB101" s="99">
        <f>IF(AND(Database!LC19&gt;1,Database!LC21&gt;1),100*(Database!LC19/(Database!LC21)),0.0001)</f>
        <v>1E-4</v>
      </c>
      <c r="FC101" s="99">
        <f>IF(AND(Database!LE19&gt;1,Database!LE21&gt;1),100*(Database!LE19/(Database!LE21)),0.0001)</f>
        <v>1E-4</v>
      </c>
      <c r="FD101" s="99">
        <f>IF(AND(Database!LG19&gt;1,Database!LG21&gt;1),100*(Database!LG19/(Database!LG21)),0.0001)</f>
        <v>1E-4</v>
      </c>
      <c r="FE101" s="99">
        <f>IF(AND(Database!LI19&gt;1,Database!LI21&gt;1),100*(Database!LI19/(Database!LI21)),0.0001)</f>
        <v>1E-4</v>
      </c>
      <c r="FF101" s="99">
        <f>IF(AND(Database!LK19&gt;1,Database!LK21&gt;1),100*(Database!LK19/(Database!LK21)),0.0001)</f>
        <v>1E-4</v>
      </c>
      <c r="FG101" s="99">
        <f>IF(AND(Database!LM19&gt;1,Database!LM21&gt;1),100*(Database!LM19/(Database!LM21)),0.0001)</f>
        <v>1E-4</v>
      </c>
      <c r="FH101" s="99">
        <f>IF(AND(Database!LO19&gt;1,Database!LO21&gt;1),100*(Database!LO19/(Database!LO21)),0.0001)</f>
        <v>1E-4</v>
      </c>
      <c r="FI101" s="99">
        <f>IF(AND(Database!LQ19&gt;1,Database!LQ21&gt;1),100*(Database!LQ19/(Database!LQ21)),0.0001)</f>
        <v>1E-4</v>
      </c>
      <c r="FJ101" s="99">
        <f>IF(AND(Database!LS19&gt;1,Database!LS21&gt;1),100*(Database!LS19/(Database!LS21)),0.0001)</f>
        <v>1E-4</v>
      </c>
      <c r="FK101" s="99">
        <f>IF(AND(Database!LU19&gt;1,Database!LU21&gt;1),100*(Database!LU19/(Database!LU21)),0.0001)</f>
        <v>1E-4</v>
      </c>
      <c r="FL101" s="99">
        <f>IF(AND(Database!LW19&gt;1,Database!LW21&gt;1),100*(Database!LW19/(Database!LW21)),0.0001)</f>
        <v>1E-4</v>
      </c>
      <c r="FM101" s="99">
        <f>IF(AND(Database!LY19&gt;1,Database!LY21&gt;1),100*(Database!LY19/(Database!LY21)),0.0001)</f>
        <v>1E-4</v>
      </c>
      <c r="FN101" s="99">
        <f>IF(AND(Database!MA19&gt;1,Database!MA21&gt;1),100*(Database!MA19/(Database!MA21)),0.0001)</f>
        <v>1E-4</v>
      </c>
      <c r="FO101" s="99">
        <f>IF(AND(Database!MC19&gt;1,Database!MC21&gt;1),100*(Database!MC19/(Database!MC21)),0.0001)</f>
        <v>1E-4</v>
      </c>
      <c r="FP101" s="99">
        <f>IF(AND(Database!ME19&gt;1,Database!ME21&gt;1),100*(Database!ME19/(Database!ME21)),0.0001)</f>
        <v>1E-4</v>
      </c>
      <c r="FQ101" s="99">
        <f>IF(AND(Database!MG19&gt;1,Database!MG21&gt;1),100*(Database!MG19/(Database!MG21)),0.0001)</f>
        <v>1E-4</v>
      </c>
      <c r="FR101" s="99">
        <f>IF(AND(Database!MI19&gt;1,Database!MI21&gt;1),100*(Database!MI19/(Database!MI21)),0.0001)</f>
        <v>1E-4</v>
      </c>
      <c r="FS101" s="99">
        <f>IF(AND(Database!MK19&gt;1,Database!MK21&gt;1),100*(Database!MK19/(Database!MK21)),0.0001)</f>
        <v>1E-4</v>
      </c>
      <c r="FT101" s="99">
        <f>IF(AND(Database!MM19&gt;1,Database!MM21&gt;1),100*(Database!MM19/(Database!MM21)),0.0001)</f>
        <v>1E-4</v>
      </c>
      <c r="FU101" s="99">
        <f>IF(AND(Database!MO19&gt;1,Database!MO21&gt;1),100*(Database!MO19/(Database!MO21)),0.0001)</f>
        <v>1E-4</v>
      </c>
      <c r="FV101" s="99">
        <f>IF(AND(Database!MQ19&gt;1,Database!MQ21&gt;1),100*(Database!MQ19/(Database!MQ21)),0.0001)</f>
        <v>1E-4</v>
      </c>
      <c r="FW101" s="99">
        <f>IF(AND(Database!MS19&gt;1,Database!MS21&gt;1),100*(Database!MS19/(Database!MS21)),0.0001)</f>
        <v>1E-4</v>
      </c>
      <c r="FX101" s="99">
        <f>IF(AND(Database!MU19&gt;1,Database!MU21&gt;1),100*(Database!MU19/(Database!MU21)),0.0001)</f>
        <v>1E-4</v>
      </c>
      <c r="FY101" s="99">
        <f>IF(AND(Database!MW19&gt;1,Database!MW21&gt;1),100*(Database!MW19/(Database!MW21)),0.0001)</f>
        <v>1E-4</v>
      </c>
      <c r="FZ101" s="99">
        <f>IF(AND(Database!MY19&gt;1,Database!MY21&gt;1),100*(Database!MY19/(Database!MY21)),0.0001)</f>
        <v>1E-4</v>
      </c>
      <c r="GA101" s="99">
        <f>IF(AND(Database!NA19&gt;1,Database!NA21&gt;1),100*(Database!NA19/(Database!NA21)),0.0001)</f>
        <v>1E-4</v>
      </c>
      <c r="GB101" s="99">
        <f>IF(AND(Database!NC19&gt;1,Database!NC21&gt;1),100*(Database!NC19/(Database!NC21)),0.0001)</f>
        <v>1E-4</v>
      </c>
      <c r="GC101" s="99">
        <f>IF(AND(Database!NE19&gt;1,Database!NE21&gt;1),100*(Database!NE19/(Database!NE21)),0.0001)</f>
        <v>1E-4</v>
      </c>
      <c r="GD101" s="99">
        <f>IF(AND(Database!NG19&gt;1,Database!NG21&gt;1),100*(Database!NG19/(Database!NG21)),0.0001)</f>
        <v>1E-4</v>
      </c>
      <c r="GE101" s="99">
        <f>IF(AND(Database!NI19&gt;1,Database!NI21&gt;1),100*(Database!NI19/(Database!NI21)),0.0001)</f>
        <v>1E-4</v>
      </c>
      <c r="GF101" s="99">
        <f>IF(AND(Database!NK19&gt;1,Database!NK21&gt;1),100*(Database!NK19/(Database!NK21)),0.0001)</f>
        <v>1E-4</v>
      </c>
      <c r="GG101" s="99">
        <f>IF(AND(Database!NM19&gt;1,Database!NM21&gt;1),100*(Database!NM19/(Database!NM21)),0.0001)</f>
        <v>1E-4</v>
      </c>
      <c r="GH101" s="99">
        <f>IF(AND(Database!NO19&gt;1,Database!NO21&gt;1),100*(Database!NO19/(Database!NO21)),0.0001)</f>
        <v>1E-4</v>
      </c>
      <c r="GI101" s="99">
        <f>IF(AND(Database!NQ19&gt;1,Database!NQ21&gt;1),100*(Database!NQ19/(Database!NQ21)),0.0001)</f>
        <v>1E-4</v>
      </c>
      <c r="GJ101" s="99">
        <f>IF(AND(Database!NS19&gt;1,Database!NS21&gt;1),100*(Database!NS19/(Database!NS21)),0.0001)</f>
        <v>1E-4</v>
      </c>
      <c r="GK101" s="99">
        <f>IF(AND(Database!NU19&gt;1,Database!NU21&gt;1),100*(Database!NU19/(Database!NU21)),0.0001)</f>
        <v>1E-4</v>
      </c>
      <c r="GL101" s="99">
        <f>IF(AND(Database!NW19&gt;1,Database!NW21&gt;1),100*(Database!NW19/(Database!NW21)),0.0001)</f>
        <v>1E-4</v>
      </c>
      <c r="GM101" s="99">
        <f>IF(AND(Database!NY19&gt;1,Database!NY21&gt;1),100*(Database!NY19/(Database!NY21)),0.0001)</f>
        <v>1E-4</v>
      </c>
      <c r="GN101" s="99">
        <f>IF(AND(Database!OA19&gt;1,Database!OA21&gt;1),100*(Database!OA19/(Database!OA21)),0.0001)</f>
        <v>1E-4</v>
      </c>
      <c r="GO101" s="99">
        <f>IF(AND(Database!OC19&gt;1,Database!OC21&gt;1),100*(Database!OC19/(Database!OC21)),0.0001)</f>
        <v>1E-4</v>
      </c>
      <c r="GP101" s="99">
        <f>IF(AND(Database!OE19&gt;1,Database!OE21&gt;1),100*(Database!OE19/(Database!OE21)),0.0001)</f>
        <v>1E-4</v>
      </c>
      <c r="GQ101" s="99">
        <f>IF(AND(Database!OG19&gt;1,Database!OG21&gt;1),100*(Database!OG19/(Database!OG21)),0.0001)</f>
        <v>1E-4</v>
      </c>
      <c r="GR101" s="99">
        <f>IF(AND(Database!OI19&gt;1,Database!OI21&gt;1),100*(Database!OI19/(Database!OI21)),0.0001)</f>
        <v>1E-4</v>
      </c>
      <c r="GS101" s="99">
        <f>IF(AND(Database!OK19&gt;1,Database!OK21&gt;1),100*(Database!OK19/(Database!OK21)),0.0001)</f>
        <v>1E-4</v>
      </c>
      <c r="GT101" s="99">
        <f>IF(AND(Database!OM19&gt;1,Database!OM21&gt;1),100*(Database!OM19/(Database!OM21)),0.0001)</f>
        <v>1E-4</v>
      </c>
    </row>
    <row r="102" spans="1:202" ht="18.75" customHeight="1" x14ac:dyDescent="0.4">
      <c r="A102" s="29" t="s">
        <v>111</v>
      </c>
      <c r="B102" s="306"/>
      <c r="C102" s="99">
        <f>IF(AND(Database!E20&gt;1,Database!E21&gt;1),100*(Database!E20/(Database!E21)),0.0001)</f>
        <v>35.739865348803896</v>
      </c>
      <c r="D102" s="99">
        <f>IF(AND(Database!G20&gt;1,Database!G21&gt;1),100*(Database!G20/(Database!G21)),0.0001)</f>
        <v>13.21456036913612</v>
      </c>
      <c r="E102" s="99">
        <f>IF(AND(Database!I20&gt;1,Database!I21&gt;1),100*(Database!I20/(Database!I21)),0.0001)</f>
        <v>13.358914867035518</v>
      </c>
      <c r="F102" s="99">
        <f>IF(AND(Database!K20&gt;1,Database!K21&gt;1),100*(Database!K20/(Database!K21)),0.0001)</f>
        <v>13.080420362227024</v>
      </c>
      <c r="G102" s="99">
        <f>IF(AND(Database!M20&gt;1,Database!M21&gt;1),100*(Database!M20/(Database!M21)),0.0001)</f>
        <v>1E-4</v>
      </c>
      <c r="H102" s="99">
        <f>IF(AND(Database!O20&gt;1,Database!O21&gt;1),100*(Database!O20/(Database!O21)),0.0001)</f>
        <v>1E-4</v>
      </c>
      <c r="I102" s="99">
        <f>IF(AND(Database!Q20&gt;1,Database!Q21&gt;1),100*(Database!Q20/(Database!Q21)),0.0001)</f>
        <v>1E-4</v>
      </c>
      <c r="J102" s="99">
        <f>IF(AND(Database!S20&gt;1,Database!S21&gt;1),100*(Database!S20/(Database!S21)),0.0001)</f>
        <v>1E-4</v>
      </c>
      <c r="K102" s="99">
        <f>IF(AND(Database!U20&gt;1,Database!U21&gt;1),100*(Database!U20/(Database!U21)),0.0001)</f>
        <v>1E-4</v>
      </c>
      <c r="L102" s="99">
        <f>IF(AND(Database!W20&gt;1,Database!W21&gt;1),100*(Database!W20/(Database!W21)),0.0001)</f>
        <v>1E-4</v>
      </c>
      <c r="M102" s="99">
        <f>IF(AND(Database!Y20&gt;1,Database!Y21&gt;1),100*(Database!Y20/(Database!Y21)),0.0001)</f>
        <v>1E-4</v>
      </c>
      <c r="N102" s="99">
        <f>IF(AND(Database!AA20&gt;1,Database!AA21&gt;1),100*(Database!AA20/(Database!AA21)),0.0001)</f>
        <v>1E-4</v>
      </c>
      <c r="O102" s="99">
        <f>IF(AND(Database!AC20&gt;1,Database!AC21&gt;1),100*(Database!AC20/(Database!AC21)),0.0001)</f>
        <v>1E-4</v>
      </c>
      <c r="P102" s="99">
        <f>IF(AND(Database!AE20&gt;1,Database!AE21&gt;1),100*(Database!AE20/(Database!AE21)),0.0001)</f>
        <v>1E-4</v>
      </c>
      <c r="Q102" s="99">
        <f>IF(AND(Database!AG20&gt;1,Database!AG21&gt;1),100*(Database!AG20/(Database!AG21)),0.0001)</f>
        <v>1E-4</v>
      </c>
      <c r="R102" s="99">
        <f>IF(AND(Database!AI20&gt;1,Database!AI21&gt;1),100*(Database!AI20/(Database!AI21)),0.0001)</f>
        <v>1E-4</v>
      </c>
      <c r="S102" s="99">
        <f>IF(AND(Database!AK20&gt;1,Database!AK21&gt;1),100*(Database!AK20/(Database!AK21)),0.0001)</f>
        <v>1E-4</v>
      </c>
      <c r="T102" s="99">
        <f>IF(AND(Database!AM20&gt;1,Database!AM21&gt;1),100*(Database!AM20/(Database!AM21)),0.0001)</f>
        <v>1E-4</v>
      </c>
      <c r="U102" s="99">
        <f>IF(AND(Database!AO20&gt;1,Database!AO21&gt;1),100*(Database!AO20/(Database!AO21)),0.0001)</f>
        <v>1E-4</v>
      </c>
      <c r="V102" s="99">
        <f>IF(AND(Database!AQ20&gt;1,Database!AQ21&gt;1),100*(Database!AQ20/(Database!AQ21)),0.0001)</f>
        <v>1E-4</v>
      </c>
      <c r="W102" s="99">
        <f>IF(AND(Database!AS20&gt;1,Database!AS21&gt;1),100*(Database!AS20/(Database!AS21)),0.0001)</f>
        <v>1E-4</v>
      </c>
      <c r="X102" s="99">
        <f>IF(AND(Database!AU20&gt;1,Database!AU21&gt;1),100*(Database!AU20/(Database!AU21)),0.0001)</f>
        <v>1E-4</v>
      </c>
      <c r="Y102" s="99">
        <f>IF(AND(Database!AW20&gt;1,Database!AW21&gt;1),100*(Database!AW20/(Database!AW21)),0.0001)</f>
        <v>1E-4</v>
      </c>
      <c r="Z102" s="99">
        <f>IF(AND(Database!AY20&gt;1,Database!AY21&gt;1),100*(Database!AY20/(Database!AY21)),0.0001)</f>
        <v>1E-4</v>
      </c>
      <c r="AA102" s="99">
        <f>IF(AND(Database!BA20&gt;1,Database!BA21&gt;1),100*(Database!BA20/(Database!BA21)),0.0001)</f>
        <v>1E-4</v>
      </c>
      <c r="AB102" s="99">
        <f>IF(AND(Database!BC20&gt;1,Database!BC21&gt;1),100*(Database!BC20/(Database!BC21)),0.0001)</f>
        <v>1E-4</v>
      </c>
      <c r="AC102" s="99">
        <f>IF(AND(Database!BE20&gt;1,Database!BE21&gt;1),100*(Database!BE20/(Database!BE21)),0.0001)</f>
        <v>1E-4</v>
      </c>
      <c r="AD102" s="99">
        <f>IF(AND(Database!BG20&gt;1,Database!BG21&gt;1),100*(Database!BG20/(Database!BG21)),0.0001)</f>
        <v>1E-4</v>
      </c>
      <c r="AE102" s="99">
        <f>IF(AND(Database!BI20&gt;1,Database!BI21&gt;1),100*(Database!BI20/(Database!BI21)),0.0001)</f>
        <v>1E-4</v>
      </c>
      <c r="AF102" s="99">
        <f>IF(AND(Database!BK20&gt;1,Database!BK21&gt;1),100*(Database!BK20/(Database!BK21)),0.0001)</f>
        <v>1E-4</v>
      </c>
      <c r="AG102" s="99">
        <f>IF(AND(Database!BM20&gt;1,Database!BM21&gt;1),100*(Database!BM20/(Database!BM21)),0.0001)</f>
        <v>1E-4</v>
      </c>
      <c r="AH102" s="99">
        <f>IF(AND(Database!BO20&gt;1,Database!BO21&gt;1),100*(Database!BO20/(Database!BO21)),0.0001)</f>
        <v>1E-4</v>
      </c>
      <c r="AI102" s="99">
        <f>IF(AND(Database!BQ20&gt;1,Database!BQ21&gt;1),100*(Database!BQ20/(Database!BQ21)),0.0001)</f>
        <v>1E-4</v>
      </c>
      <c r="AJ102" s="99">
        <f>IF(AND(Database!BS20&gt;1,Database!BS21&gt;1),100*(Database!BS20/(Database!BS21)),0.0001)</f>
        <v>1E-4</v>
      </c>
      <c r="AK102" s="99">
        <f>IF(AND(Database!BU20&gt;1,Database!BU21&gt;1),100*(Database!BU20/(Database!BU21)),0.0001)</f>
        <v>1E-4</v>
      </c>
      <c r="AL102" s="99">
        <f>IF(AND(Database!BW20&gt;1,Database!BW21&gt;1),100*(Database!BW20/(Database!BW21)),0.0001)</f>
        <v>1E-4</v>
      </c>
      <c r="AM102" s="99">
        <f>IF(AND(Database!BY20&gt;1,Database!BY21&gt;1),100*(Database!BY20/(Database!BY21)),0.0001)</f>
        <v>1E-4</v>
      </c>
      <c r="AN102" s="99">
        <f>IF(AND(Database!CA20&gt;1,Database!CA21&gt;1),100*(Database!CA20/(Database!CA21)),0.0001)</f>
        <v>1E-4</v>
      </c>
      <c r="AO102" s="99">
        <f>IF(AND(Database!CC20&gt;1,Database!CC21&gt;1),100*(Database!CC20/(Database!CC21)),0.0001)</f>
        <v>1E-4</v>
      </c>
      <c r="AP102" s="99">
        <f>IF(AND(Database!CE20&gt;1,Database!CE21&gt;1),100*(Database!CE20/(Database!CE21)),0.0001)</f>
        <v>1E-4</v>
      </c>
      <c r="AQ102" s="99">
        <f>IF(AND(Database!CG20&gt;1,Database!CG21&gt;1),100*(Database!CG20/(Database!CG21)),0.0001)</f>
        <v>1E-4</v>
      </c>
      <c r="AR102" s="99">
        <f>IF(AND(Database!CI20&gt;1,Database!CI21&gt;1),100*(Database!CI20/(Database!CI21)),0.0001)</f>
        <v>1E-4</v>
      </c>
      <c r="AS102" s="99">
        <f>IF(AND(Database!CK20&gt;1,Database!CK21&gt;1),100*(Database!CK20/(Database!CK21)),0.0001)</f>
        <v>1E-4</v>
      </c>
      <c r="AT102" s="99">
        <f>IF(AND(Database!CM20&gt;1,Database!CM21&gt;1),100*(Database!CM20/(Database!CM21)),0.0001)</f>
        <v>1E-4</v>
      </c>
      <c r="AU102" s="99">
        <f>IF(AND(Database!CO20&gt;1,Database!CO21&gt;1),100*(Database!CO20/(Database!CO21)),0.0001)</f>
        <v>1E-4</v>
      </c>
      <c r="AV102" s="99">
        <f>IF(AND(Database!CQ20&gt;1,Database!CQ21&gt;1),100*(Database!CQ20/(Database!CQ21)),0.0001)</f>
        <v>1E-4</v>
      </c>
      <c r="AW102" s="99">
        <f>IF(AND(Database!CS20&gt;1,Database!CS21&gt;1),100*(Database!CS20/(Database!CS21)),0.0001)</f>
        <v>1E-4</v>
      </c>
      <c r="AX102" s="99">
        <f>IF(AND(Database!CU20&gt;1,Database!CU21&gt;1),100*(Database!CU20/(Database!CU21)),0.0001)</f>
        <v>1E-4</v>
      </c>
      <c r="AY102" s="99">
        <f>IF(AND(Database!CW20&gt;1,Database!CW21&gt;1),100*(Database!CW20/(Database!CW21)),0.0001)</f>
        <v>1E-4</v>
      </c>
      <c r="AZ102" s="99">
        <f>IF(AND(Database!CY20&gt;1,Database!CY21&gt;1),100*(Database!CY20/(Database!CY21)),0.0001)</f>
        <v>1E-4</v>
      </c>
      <c r="BA102" s="99">
        <f>IF(AND(Database!DA20&gt;1,Database!DA21&gt;1),100*(Database!DA20/(Database!DA21)),0.0001)</f>
        <v>1E-4</v>
      </c>
      <c r="BB102" s="99">
        <f>IF(AND(Database!DC20&gt;1,Database!DC21&gt;1),100*(Database!DC20/(Database!DC21)),0.0001)</f>
        <v>1E-4</v>
      </c>
      <c r="BC102" s="99">
        <f>IF(AND(Database!DE20&gt;1,Database!DE21&gt;1),100*(Database!DE20/(Database!DE21)),0.0001)</f>
        <v>1E-4</v>
      </c>
      <c r="BD102" s="99">
        <f>IF(AND(Database!DG20&gt;1,Database!DG21&gt;1),100*(Database!DG20/(Database!DG21)),0.0001)</f>
        <v>1E-4</v>
      </c>
      <c r="BE102" s="99">
        <f>IF(AND(Database!DI20&gt;1,Database!DI21&gt;1),100*(Database!DI20/(Database!DI21)),0.0001)</f>
        <v>1E-4</v>
      </c>
      <c r="BF102" s="99">
        <f>IF(AND(Database!DK20&gt;1,Database!DK21&gt;1),100*(Database!DK20/(Database!DK21)),0.0001)</f>
        <v>1E-4</v>
      </c>
      <c r="BG102" s="99">
        <f>IF(AND(Database!DM20&gt;1,Database!DM21&gt;1),100*(Database!DM20/(Database!DM21)),0.0001)</f>
        <v>1E-4</v>
      </c>
      <c r="BH102" s="99">
        <f>IF(AND(Database!DO20&gt;1,Database!DO21&gt;1),100*(Database!DO20/(Database!DO21)),0.0001)</f>
        <v>1E-4</v>
      </c>
      <c r="BI102" s="99">
        <f>IF(AND(Database!DQ20&gt;1,Database!DQ21&gt;1),100*(Database!DQ20/(Database!DQ21)),0.0001)</f>
        <v>1E-4</v>
      </c>
      <c r="BJ102" s="99">
        <f>IF(AND(Database!DS20&gt;1,Database!DS21&gt;1),100*(Database!DS20/(Database!DS21)),0.0001)</f>
        <v>1E-4</v>
      </c>
      <c r="BK102" s="99">
        <f>IF(AND(Database!DU20&gt;1,Database!DU21&gt;1),100*(Database!DU20/(Database!DU21)),0.0001)</f>
        <v>1E-4</v>
      </c>
      <c r="BL102" s="99">
        <f>IF(AND(Database!DW20&gt;1,Database!DW21&gt;1),100*(Database!DW20/(Database!DW21)),0.0001)</f>
        <v>1E-4</v>
      </c>
      <c r="BM102" s="99">
        <f>IF(AND(Database!DY20&gt;1,Database!DY21&gt;1),100*(Database!DY20/(Database!DY21)),0.0001)</f>
        <v>1E-4</v>
      </c>
      <c r="BN102" s="99">
        <f>IF(AND(Database!EA20&gt;1,Database!EA21&gt;1),100*(Database!EA20/(Database!EA21)),0.0001)</f>
        <v>1E-4</v>
      </c>
      <c r="BO102" s="99">
        <f>IF(AND(Database!EC20&gt;1,Database!EC21&gt;1),100*(Database!EC20/(Database!EC21)),0.0001)</f>
        <v>1E-4</v>
      </c>
      <c r="BP102" s="99">
        <f>IF(AND(Database!EE20&gt;1,Database!EE21&gt;1),100*(Database!EE20/(Database!EE21)),0.0001)</f>
        <v>1E-4</v>
      </c>
      <c r="BQ102" s="99">
        <f>IF(AND(Database!EG20&gt;1,Database!EG21&gt;1),100*(Database!EG20/(Database!EG21)),0.0001)</f>
        <v>1E-4</v>
      </c>
      <c r="BR102" s="99">
        <f>IF(AND(Database!EI20&gt;1,Database!EI21&gt;1),100*(Database!EI20/(Database!EI21)),0.0001)</f>
        <v>1E-4</v>
      </c>
      <c r="BS102" s="99">
        <f>IF(AND(Database!EK20&gt;1,Database!EK21&gt;1),100*(Database!EK20/(Database!EK21)),0.0001)</f>
        <v>1E-4</v>
      </c>
      <c r="BT102" s="99">
        <f>IF(AND(Database!EM20&gt;1,Database!EM21&gt;1),100*(Database!EM20/(Database!EM21)),0.0001)</f>
        <v>1E-4</v>
      </c>
      <c r="BU102" s="99">
        <f>IF(AND(Database!EO20&gt;1,Database!EO21&gt;1),100*(Database!EO20/(Database!EO21)),0.0001)</f>
        <v>1E-4</v>
      </c>
      <c r="BV102" s="99">
        <f>IF(AND(Database!EQ20&gt;1,Database!EQ21&gt;1),100*(Database!EQ20/(Database!EQ21)),0.0001)</f>
        <v>1E-4</v>
      </c>
      <c r="BW102" s="99">
        <f>IF(AND(Database!ES20&gt;1,Database!ES21&gt;1),100*(Database!ES20/(Database!ES21)),0.0001)</f>
        <v>1E-4</v>
      </c>
      <c r="BX102" s="99">
        <f>IF(AND(Database!EU20&gt;1,Database!EU21&gt;1),100*(Database!EU20/(Database!EU21)),0.0001)</f>
        <v>1E-4</v>
      </c>
      <c r="BY102" s="99">
        <f>IF(AND(Database!EW20&gt;1,Database!EW21&gt;1),100*(Database!EW20/(Database!EW21)),0.0001)</f>
        <v>1E-4</v>
      </c>
      <c r="BZ102" s="99">
        <f>IF(AND(Database!EY20&gt;1,Database!EY21&gt;1),100*(Database!EY20/(Database!EY21)),0.0001)</f>
        <v>1E-4</v>
      </c>
      <c r="CA102" s="99">
        <f>IF(AND(Database!FA20&gt;1,Database!FA21&gt;1),100*(Database!FA20/(Database!FA21)),0.0001)</f>
        <v>1E-4</v>
      </c>
      <c r="CB102" s="99">
        <f>IF(AND(Database!FC20&gt;1,Database!FC21&gt;1),100*(Database!FC20/(Database!FC21)),0.0001)</f>
        <v>1E-4</v>
      </c>
      <c r="CC102" s="99">
        <f>IF(AND(Database!FE20&gt;1,Database!FE21&gt;1),100*(Database!FE20/(Database!FE21)),0.0001)</f>
        <v>1E-4</v>
      </c>
      <c r="CD102" s="99">
        <f>IF(AND(Database!FG20&gt;1,Database!FG21&gt;1),100*(Database!FG20/(Database!FG21)),0.0001)</f>
        <v>1E-4</v>
      </c>
      <c r="CE102" s="99">
        <f>IF(AND(Database!FI20&gt;1,Database!FI21&gt;1),100*(Database!FI20/(Database!FI21)),0.0001)</f>
        <v>1E-4</v>
      </c>
      <c r="CF102" s="99">
        <f>IF(AND(Database!FK20&gt;1,Database!FK21&gt;1),100*(Database!FK20/(Database!FK21)),0.0001)</f>
        <v>1E-4</v>
      </c>
      <c r="CG102" s="99">
        <f>IF(AND(Database!FM20&gt;1,Database!FM21&gt;1),100*(Database!FM20/(Database!FM21)),0.0001)</f>
        <v>1E-4</v>
      </c>
      <c r="CH102" s="99">
        <f>IF(AND(Database!FO20&gt;1,Database!FO21&gt;1),100*(Database!FO20/(Database!FO21)),0.0001)</f>
        <v>1E-4</v>
      </c>
      <c r="CI102" s="99">
        <f>IF(AND(Database!FQ20&gt;1,Database!FQ21&gt;1),100*(Database!FQ20/(Database!FQ21)),0.0001)</f>
        <v>1E-4</v>
      </c>
      <c r="CJ102" s="99">
        <f>IF(AND(Database!FS20&gt;1,Database!FS21&gt;1),100*(Database!FS20/(Database!FS21)),0.0001)</f>
        <v>1E-4</v>
      </c>
      <c r="CK102" s="99">
        <f>IF(AND(Database!FU20&gt;1,Database!FU21&gt;1),100*(Database!FU20/(Database!FU21)),0.0001)</f>
        <v>1E-4</v>
      </c>
      <c r="CL102" s="99">
        <f>IF(AND(Database!FW20&gt;1,Database!FW21&gt;1),100*(Database!FW20/(Database!FW21)),0.0001)</f>
        <v>1E-4</v>
      </c>
      <c r="CM102" s="99">
        <f>IF(AND(Database!FY20&gt;1,Database!FY21&gt;1),100*(Database!FY20/(Database!FY21)),0.0001)</f>
        <v>1E-4</v>
      </c>
      <c r="CN102" s="99">
        <f>IF(AND(Database!GA20&gt;1,Database!GA21&gt;1),100*(Database!GA20/(Database!GA21)),0.0001)</f>
        <v>1E-4</v>
      </c>
      <c r="CO102" s="99">
        <f>IF(AND(Database!GC20&gt;1,Database!GC21&gt;1),100*(Database!GC20/(Database!GC21)),0.0001)</f>
        <v>1E-4</v>
      </c>
      <c r="CP102" s="99">
        <f>IF(AND(Database!GE20&gt;1,Database!GE21&gt;1),100*(Database!GE20/(Database!GE21)),0.0001)</f>
        <v>1E-4</v>
      </c>
      <c r="CQ102" s="99">
        <f>IF(AND(Database!GG20&gt;1,Database!GG21&gt;1),100*(Database!GG20/(Database!GG21)),0.0001)</f>
        <v>1E-4</v>
      </c>
      <c r="CR102" s="99">
        <f>IF(AND(Database!GI20&gt;1,Database!GI21&gt;1),100*(Database!GI20/(Database!GI21)),0.0001)</f>
        <v>1E-4</v>
      </c>
      <c r="CS102" s="99">
        <f>IF(AND(Database!GK20&gt;1,Database!GK21&gt;1),100*(Database!GK20/(Database!GK21)),0.0001)</f>
        <v>1E-4</v>
      </c>
      <c r="CT102" s="99">
        <f>IF(AND(Database!GM20&gt;1,Database!GM21&gt;1),100*(Database!GM20/(Database!GM21)),0.0001)</f>
        <v>1E-4</v>
      </c>
      <c r="CU102" s="99">
        <f>IF(AND(Database!GO20&gt;1,Database!GO21&gt;1),100*(Database!GO20/(Database!GO21)),0.0001)</f>
        <v>1E-4</v>
      </c>
      <c r="CV102" s="99">
        <f>IF(AND(Database!GQ20&gt;1,Database!GQ21&gt;1),100*(Database!GQ20/(Database!GQ21)),0.0001)</f>
        <v>1E-4</v>
      </c>
      <c r="CW102" s="99">
        <f>IF(AND(Database!GS20&gt;1,Database!GS21&gt;1),100*(Database!GS20/(Database!GS21)),0.0001)</f>
        <v>1E-4</v>
      </c>
      <c r="CX102" s="99">
        <f>IF(AND(Database!GU20&gt;1,Database!GU21&gt;1),100*(Database!GU20/(Database!GU21)),0.0001)</f>
        <v>1E-4</v>
      </c>
      <c r="CY102" s="99">
        <f>IF(AND(Database!GW20&gt;1,Database!GW21&gt;1),100*(Database!GW20/(Database!GW21)),0.0001)</f>
        <v>1E-4</v>
      </c>
      <c r="CZ102" s="99">
        <f>IF(AND(Database!GY20&gt;1,Database!GY21&gt;1),100*(Database!GY20/(Database!GY21)),0.0001)</f>
        <v>1E-4</v>
      </c>
      <c r="DA102" s="99">
        <f>IF(AND(Database!HA20&gt;1,Database!HA21&gt;1),100*(Database!HA20/(Database!HA21)),0.0001)</f>
        <v>1E-4</v>
      </c>
      <c r="DB102" s="99">
        <f>IF(AND(Database!HC20&gt;1,Database!HC21&gt;1),100*(Database!HC20/(Database!HC21)),0.0001)</f>
        <v>1E-4</v>
      </c>
      <c r="DC102" s="99">
        <f>IF(AND(Database!HE20&gt;1,Database!HE21&gt;1),100*(Database!HE20/(Database!HE21)),0.0001)</f>
        <v>1E-4</v>
      </c>
      <c r="DD102" s="99">
        <f>IF(AND(Database!HG20&gt;1,Database!HG21&gt;1),100*(Database!HG20/(Database!HG21)),0.0001)</f>
        <v>1E-4</v>
      </c>
      <c r="DE102" s="99">
        <f>IF(AND(Database!HI20&gt;1,Database!HI21&gt;1),100*(Database!HI20/(Database!HI21)),0.0001)</f>
        <v>1E-4</v>
      </c>
      <c r="DF102" s="99">
        <f>IF(AND(Database!HK20&gt;1,Database!HK21&gt;1),100*(Database!HK20/(Database!HK21)),0.0001)</f>
        <v>1E-4</v>
      </c>
      <c r="DG102" s="99">
        <f>IF(AND(Database!HM20&gt;1,Database!HM21&gt;1),100*(Database!HM20/(Database!HM21)),0.0001)</f>
        <v>1E-4</v>
      </c>
      <c r="DH102" s="99">
        <f>IF(AND(Database!HO20&gt;1,Database!HO21&gt;1),100*(Database!HO20/(Database!HO21)),0.0001)</f>
        <v>1E-4</v>
      </c>
      <c r="DI102" s="99">
        <f>IF(AND(Database!HQ20&gt;1,Database!HQ21&gt;1),100*(Database!HQ20/(Database!HQ21)),0.0001)</f>
        <v>1E-4</v>
      </c>
      <c r="DJ102" s="99">
        <f>IF(AND(Database!HS20&gt;1,Database!HS21&gt;1),100*(Database!HS20/(Database!HS21)),0.0001)</f>
        <v>1E-4</v>
      </c>
      <c r="DK102" s="99">
        <f>IF(AND(Database!HU20&gt;1,Database!HU21&gt;1),100*(Database!HU20/(Database!HU21)),0.0001)</f>
        <v>1E-4</v>
      </c>
      <c r="DL102" s="99">
        <f>IF(AND(Database!HW20&gt;1,Database!HW21&gt;1),100*(Database!HW20/(Database!HW21)),0.0001)</f>
        <v>1E-4</v>
      </c>
      <c r="DM102" s="99">
        <f>IF(AND(Database!HY20&gt;1,Database!HY21&gt;1),100*(Database!HY20/(Database!HY21)),0.0001)</f>
        <v>1E-4</v>
      </c>
      <c r="DN102" s="99">
        <f>IF(AND(Database!IA20&gt;1,Database!IA21&gt;1),100*(Database!IA20/(Database!IA21)),0.0001)</f>
        <v>1E-4</v>
      </c>
      <c r="DO102" s="99">
        <f>IF(AND(Database!IC20&gt;1,Database!IC21&gt;1),100*(Database!IC20/(Database!IC21)),0.0001)</f>
        <v>1E-4</v>
      </c>
      <c r="DP102" s="99">
        <f>IF(AND(Database!IE20&gt;1,Database!IE21&gt;1),100*(Database!IE20/(Database!IE21)),0.0001)</f>
        <v>1E-4</v>
      </c>
      <c r="DQ102" s="99">
        <f>IF(AND(Database!IG20&gt;1,Database!IG21&gt;1),100*(Database!IG20/(Database!IG21)),0.0001)</f>
        <v>1E-4</v>
      </c>
      <c r="DR102" s="99">
        <f>IF(AND(Database!II20&gt;1,Database!II21&gt;1),100*(Database!II20/(Database!II21)),0.0001)</f>
        <v>1E-4</v>
      </c>
      <c r="DS102" s="99">
        <f>IF(AND(Database!IK20&gt;1,Database!IK21&gt;1),100*(Database!IK20/(Database!IK21)),0.0001)</f>
        <v>1E-4</v>
      </c>
      <c r="DT102" s="99">
        <f>IF(AND(Database!IM20&gt;1,Database!IM21&gt;1),100*(Database!IM20/(Database!IM21)),0.0001)</f>
        <v>1E-4</v>
      </c>
      <c r="DU102" s="99">
        <f>IF(AND(Database!IO20&gt;1,Database!IO21&gt;1),100*(Database!IO20/(Database!IO21)),0.0001)</f>
        <v>1E-4</v>
      </c>
      <c r="DV102" s="99">
        <f>IF(AND(Database!IQ20&gt;1,Database!IQ21&gt;1),100*(Database!IQ20/(Database!IQ21)),0.0001)</f>
        <v>1E-4</v>
      </c>
      <c r="DW102" s="99">
        <f>IF(AND(Database!IS20&gt;1,Database!IS21&gt;1),100*(Database!IS20/(Database!IS21)),0.0001)</f>
        <v>1E-4</v>
      </c>
      <c r="DX102" s="99">
        <f>IF(AND(Database!IU20&gt;1,Database!IU21&gt;1),100*(Database!IU20/(Database!IU21)),0.0001)</f>
        <v>1E-4</v>
      </c>
      <c r="DY102" s="99">
        <f>IF(AND(Database!IW20&gt;1,Database!IW21&gt;1),100*(Database!IW20/(Database!IW21)),0.0001)</f>
        <v>1E-4</v>
      </c>
      <c r="DZ102" s="99">
        <f>IF(AND(Database!IY20&gt;1,Database!IY21&gt;1),100*(Database!IY20/(Database!IY21)),0.0001)</f>
        <v>1E-4</v>
      </c>
      <c r="EA102" s="99">
        <f>IF(AND(Database!JA20&gt;1,Database!JA21&gt;1),100*(Database!JA20/(Database!JA21)),0.0001)</f>
        <v>1E-4</v>
      </c>
      <c r="EB102" s="99">
        <f>IF(AND(Database!JC20&gt;1,Database!JC21&gt;1),100*(Database!JC20/(Database!JC21)),0.0001)</f>
        <v>1E-4</v>
      </c>
      <c r="EC102" s="99">
        <f>IF(AND(Database!JE20&gt;1,Database!JE21&gt;1),100*(Database!JE20/(Database!JE21)),0.0001)</f>
        <v>1E-4</v>
      </c>
      <c r="ED102" s="99">
        <f>IF(AND(Database!JG20&gt;1,Database!JG21&gt;1),100*(Database!JG20/(Database!JG21)),0.0001)</f>
        <v>1E-4</v>
      </c>
      <c r="EE102" s="99">
        <f>IF(AND(Database!JI20&gt;1,Database!JI21&gt;1),100*(Database!JI20/(Database!JI21)),0.0001)</f>
        <v>1E-4</v>
      </c>
      <c r="EF102" s="99">
        <f>IF(AND(Database!JK20&gt;1,Database!JK21&gt;1),100*(Database!JK20/(Database!JK21)),0.0001)</f>
        <v>1E-4</v>
      </c>
      <c r="EG102" s="99">
        <f>IF(AND(Database!JM20&gt;1,Database!JM21&gt;1),100*(Database!JM20/(Database!JM21)),0.0001)</f>
        <v>1E-4</v>
      </c>
      <c r="EH102" s="99">
        <f>IF(AND(Database!JO20&gt;1,Database!JO21&gt;1),100*(Database!JO20/(Database!JO21)),0.0001)</f>
        <v>1E-4</v>
      </c>
      <c r="EI102" s="99">
        <f>IF(AND(Database!JQ20&gt;1,Database!JQ21&gt;1),100*(Database!JQ20/(Database!JQ21)),0.0001)</f>
        <v>1E-4</v>
      </c>
      <c r="EJ102" s="99">
        <f>IF(AND(Database!JS20&gt;1,Database!JS21&gt;1),100*(Database!JS20/(Database!JS21)),0.0001)</f>
        <v>1E-4</v>
      </c>
      <c r="EK102" s="99">
        <f>IF(AND(Database!JU20&gt;1,Database!JU21&gt;1),100*(Database!JU20/(Database!JU21)),0.0001)</f>
        <v>1E-4</v>
      </c>
      <c r="EL102" s="99">
        <f>IF(AND(Database!JW20&gt;1,Database!JW21&gt;1),100*(Database!JW20/(Database!JW21)),0.0001)</f>
        <v>1E-4</v>
      </c>
      <c r="EM102" s="99">
        <f>IF(AND(Database!JY20&gt;1,Database!JY21&gt;1),100*(Database!JY20/(Database!JY21)),0.0001)</f>
        <v>1E-4</v>
      </c>
      <c r="EN102" s="99">
        <f>IF(AND(Database!KA20&gt;1,Database!KA21&gt;1),100*(Database!KA20/(Database!KA21)),0.0001)</f>
        <v>1E-4</v>
      </c>
      <c r="EO102" s="99">
        <f>IF(AND(Database!KC20&gt;1,Database!KC21&gt;1),100*(Database!KC20/(Database!KC21)),0.0001)</f>
        <v>1E-4</v>
      </c>
      <c r="EP102" s="99">
        <f>IF(AND(Database!KE20&gt;1,Database!KE21&gt;1),100*(Database!KE20/(Database!KE21)),0.0001)</f>
        <v>1E-4</v>
      </c>
      <c r="EQ102" s="99">
        <f>IF(AND(Database!KG20&gt;1,Database!KG21&gt;1),100*(Database!KG20/(Database!KG21)),0.0001)</f>
        <v>1E-4</v>
      </c>
      <c r="ER102" s="99">
        <f>IF(AND(Database!KI20&gt;1,Database!KI21&gt;1),100*(Database!KI20/(Database!KI21)),0.0001)</f>
        <v>1E-4</v>
      </c>
      <c r="ES102" s="99">
        <f>IF(AND(Database!KK20&gt;1,Database!KK21&gt;1),100*(Database!KK20/(Database!KK21)),0.0001)</f>
        <v>1E-4</v>
      </c>
      <c r="ET102" s="99">
        <f>IF(AND(Database!KM20&gt;1,Database!KM21&gt;1),100*(Database!KM20/(Database!KM21)),0.0001)</f>
        <v>1E-4</v>
      </c>
      <c r="EU102" s="99">
        <f>IF(AND(Database!KO20&gt;1,Database!KO21&gt;1),100*(Database!KO20/(Database!KO21)),0.0001)</f>
        <v>1E-4</v>
      </c>
      <c r="EV102" s="99">
        <f>IF(AND(Database!KQ20&gt;1,Database!KQ21&gt;1),100*(Database!KQ20/(Database!KQ21)),0.0001)</f>
        <v>1E-4</v>
      </c>
      <c r="EW102" s="99">
        <f>IF(AND(Database!KS20&gt;1,Database!KS21&gt;1),100*(Database!KS20/(Database!KS21)),0.0001)</f>
        <v>1E-4</v>
      </c>
      <c r="EX102" s="99">
        <f>IF(AND(Database!KU20&gt;1,Database!KU21&gt;1),100*(Database!KU20/(Database!KU21)),0.0001)</f>
        <v>1E-4</v>
      </c>
      <c r="EY102" s="99">
        <f>IF(AND(Database!KW20&gt;1,Database!KW21&gt;1),100*(Database!KW20/(Database!KW21)),0.0001)</f>
        <v>1E-4</v>
      </c>
      <c r="EZ102" s="99">
        <f>IF(AND(Database!KY20&gt;1,Database!KY21&gt;1),100*(Database!KY20/(Database!KY21)),0.0001)</f>
        <v>1E-4</v>
      </c>
      <c r="FA102" s="99">
        <f>IF(AND(Database!LA20&gt;1,Database!LA21&gt;1),100*(Database!LA20/(Database!LA21)),0.0001)</f>
        <v>1E-4</v>
      </c>
      <c r="FB102" s="99">
        <f>IF(AND(Database!LC20&gt;1,Database!LC21&gt;1),100*(Database!LC20/(Database!LC21)),0.0001)</f>
        <v>1E-4</v>
      </c>
      <c r="FC102" s="99">
        <f>IF(AND(Database!LE20&gt;1,Database!LE21&gt;1),100*(Database!LE20/(Database!LE21)),0.0001)</f>
        <v>1E-4</v>
      </c>
      <c r="FD102" s="99">
        <f>IF(AND(Database!LG20&gt;1,Database!LG21&gt;1),100*(Database!LG20/(Database!LG21)),0.0001)</f>
        <v>1E-4</v>
      </c>
      <c r="FE102" s="99">
        <f>IF(AND(Database!LI20&gt;1,Database!LI21&gt;1),100*(Database!LI20/(Database!LI21)),0.0001)</f>
        <v>1E-4</v>
      </c>
      <c r="FF102" s="99">
        <f>IF(AND(Database!LK20&gt;1,Database!LK21&gt;1),100*(Database!LK20/(Database!LK21)),0.0001)</f>
        <v>1E-4</v>
      </c>
      <c r="FG102" s="99">
        <f>IF(AND(Database!LM20&gt;1,Database!LM21&gt;1),100*(Database!LM20/(Database!LM21)),0.0001)</f>
        <v>1E-4</v>
      </c>
      <c r="FH102" s="99">
        <f>IF(AND(Database!LO20&gt;1,Database!LO21&gt;1),100*(Database!LO20/(Database!LO21)),0.0001)</f>
        <v>1E-4</v>
      </c>
      <c r="FI102" s="99">
        <f>IF(AND(Database!LQ20&gt;1,Database!LQ21&gt;1),100*(Database!LQ20/(Database!LQ21)),0.0001)</f>
        <v>1E-4</v>
      </c>
      <c r="FJ102" s="99">
        <f>IF(AND(Database!LS20&gt;1,Database!LS21&gt;1),100*(Database!LS20/(Database!LS21)),0.0001)</f>
        <v>1E-4</v>
      </c>
      <c r="FK102" s="99">
        <f>IF(AND(Database!LU20&gt;1,Database!LU21&gt;1),100*(Database!LU20/(Database!LU21)),0.0001)</f>
        <v>1E-4</v>
      </c>
      <c r="FL102" s="99">
        <f>IF(AND(Database!LW20&gt;1,Database!LW21&gt;1),100*(Database!LW20/(Database!LW21)),0.0001)</f>
        <v>1E-4</v>
      </c>
      <c r="FM102" s="99">
        <f>IF(AND(Database!LY20&gt;1,Database!LY21&gt;1),100*(Database!LY20/(Database!LY21)),0.0001)</f>
        <v>1E-4</v>
      </c>
      <c r="FN102" s="99">
        <f>IF(AND(Database!MA20&gt;1,Database!MA21&gt;1),100*(Database!MA20/(Database!MA21)),0.0001)</f>
        <v>1E-4</v>
      </c>
      <c r="FO102" s="99">
        <f>IF(AND(Database!MC20&gt;1,Database!MC21&gt;1),100*(Database!MC20/(Database!MC21)),0.0001)</f>
        <v>1E-4</v>
      </c>
      <c r="FP102" s="99">
        <f>IF(AND(Database!ME20&gt;1,Database!ME21&gt;1),100*(Database!ME20/(Database!ME21)),0.0001)</f>
        <v>1E-4</v>
      </c>
      <c r="FQ102" s="99">
        <f>IF(AND(Database!MG20&gt;1,Database!MG21&gt;1),100*(Database!MG20/(Database!MG21)),0.0001)</f>
        <v>1E-4</v>
      </c>
      <c r="FR102" s="99">
        <f>IF(AND(Database!MI20&gt;1,Database!MI21&gt;1),100*(Database!MI20/(Database!MI21)),0.0001)</f>
        <v>1E-4</v>
      </c>
      <c r="FS102" s="99">
        <f>IF(AND(Database!MK20&gt;1,Database!MK21&gt;1),100*(Database!MK20/(Database!MK21)),0.0001)</f>
        <v>1E-4</v>
      </c>
      <c r="FT102" s="99">
        <f>IF(AND(Database!MM20&gt;1,Database!MM21&gt;1),100*(Database!MM20/(Database!MM21)),0.0001)</f>
        <v>1E-4</v>
      </c>
      <c r="FU102" s="99">
        <f>IF(AND(Database!MO20&gt;1,Database!MO21&gt;1),100*(Database!MO20/(Database!MO21)),0.0001)</f>
        <v>1E-4</v>
      </c>
      <c r="FV102" s="99">
        <f>IF(AND(Database!MQ20&gt;1,Database!MQ21&gt;1),100*(Database!MQ20/(Database!MQ21)),0.0001)</f>
        <v>1E-4</v>
      </c>
      <c r="FW102" s="99">
        <f>IF(AND(Database!MS20&gt;1,Database!MS21&gt;1),100*(Database!MS20/(Database!MS21)),0.0001)</f>
        <v>1E-4</v>
      </c>
      <c r="FX102" s="99">
        <f>IF(AND(Database!MU20&gt;1,Database!MU21&gt;1),100*(Database!MU20/(Database!MU21)),0.0001)</f>
        <v>1E-4</v>
      </c>
      <c r="FY102" s="99">
        <f>IF(AND(Database!MW20&gt;1,Database!MW21&gt;1),100*(Database!MW20/(Database!MW21)),0.0001)</f>
        <v>1E-4</v>
      </c>
      <c r="FZ102" s="99">
        <f>IF(AND(Database!MY20&gt;1,Database!MY21&gt;1),100*(Database!MY20/(Database!MY21)),0.0001)</f>
        <v>1E-4</v>
      </c>
      <c r="GA102" s="99">
        <f>IF(AND(Database!NA20&gt;1,Database!NA21&gt;1),100*(Database!NA20/(Database!NA21)),0.0001)</f>
        <v>1E-4</v>
      </c>
      <c r="GB102" s="99">
        <f>IF(AND(Database!NC20&gt;1,Database!NC21&gt;1),100*(Database!NC20/(Database!NC21)),0.0001)</f>
        <v>1E-4</v>
      </c>
      <c r="GC102" s="99">
        <f>IF(AND(Database!NE20&gt;1,Database!NE21&gt;1),100*(Database!NE20/(Database!NE21)),0.0001)</f>
        <v>1E-4</v>
      </c>
      <c r="GD102" s="99">
        <f>IF(AND(Database!NG20&gt;1,Database!NG21&gt;1),100*(Database!NG20/(Database!NG21)),0.0001)</f>
        <v>1E-4</v>
      </c>
      <c r="GE102" s="99">
        <f>IF(AND(Database!NI20&gt;1,Database!NI21&gt;1),100*(Database!NI20/(Database!NI21)),0.0001)</f>
        <v>1E-4</v>
      </c>
      <c r="GF102" s="99">
        <f>IF(AND(Database!NK20&gt;1,Database!NK21&gt;1),100*(Database!NK20/(Database!NK21)),0.0001)</f>
        <v>1E-4</v>
      </c>
      <c r="GG102" s="99">
        <f>IF(AND(Database!NM20&gt;1,Database!NM21&gt;1),100*(Database!NM20/(Database!NM21)),0.0001)</f>
        <v>1E-4</v>
      </c>
      <c r="GH102" s="99">
        <f>IF(AND(Database!NO20&gt;1,Database!NO21&gt;1),100*(Database!NO20/(Database!NO21)),0.0001)</f>
        <v>1E-4</v>
      </c>
      <c r="GI102" s="99">
        <f>IF(AND(Database!NQ20&gt;1,Database!NQ21&gt;1),100*(Database!NQ20/(Database!NQ21)),0.0001)</f>
        <v>1E-4</v>
      </c>
      <c r="GJ102" s="99">
        <f>IF(AND(Database!NS20&gt;1,Database!NS21&gt;1),100*(Database!NS20/(Database!NS21)),0.0001)</f>
        <v>1E-4</v>
      </c>
      <c r="GK102" s="99">
        <f>IF(AND(Database!NU20&gt;1,Database!NU21&gt;1),100*(Database!NU20/(Database!NU21)),0.0001)</f>
        <v>1E-4</v>
      </c>
      <c r="GL102" s="99">
        <f>IF(AND(Database!NW20&gt;1,Database!NW21&gt;1),100*(Database!NW20/(Database!NW21)),0.0001)</f>
        <v>1E-4</v>
      </c>
      <c r="GM102" s="99">
        <f>IF(AND(Database!NY20&gt;1,Database!NY21&gt;1),100*(Database!NY20/(Database!NY21)),0.0001)</f>
        <v>1E-4</v>
      </c>
      <c r="GN102" s="99">
        <f>IF(AND(Database!OA20&gt;1,Database!OA21&gt;1),100*(Database!OA20/(Database!OA21)),0.0001)</f>
        <v>1E-4</v>
      </c>
      <c r="GO102" s="99">
        <f>IF(AND(Database!OC20&gt;1,Database!OC21&gt;1),100*(Database!OC20/(Database!OC21)),0.0001)</f>
        <v>1E-4</v>
      </c>
      <c r="GP102" s="99">
        <f>IF(AND(Database!OE20&gt;1,Database!OE21&gt;1),100*(Database!OE20/(Database!OE21)),0.0001)</f>
        <v>1E-4</v>
      </c>
      <c r="GQ102" s="99">
        <f>IF(AND(Database!OG20&gt;1,Database!OG21&gt;1),100*(Database!OG20/(Database!OG21)),0.0001)</f>
        <v>1E-4</v>
      </c>
      <c r="GR102" s="99">
        <f>IF(AND(Database!OI20&gt;1,Database!OI21&gt;1),100*(Database!OI20/(Database!OI21)),0.0001)</f>
        <v>1E-4</v>
      </c>
      <c r="GS102" s="99">
        <f>IF(AND(Database!OK20&gt;1,Database!OK21&gt;1),100*(Database!OK20/(Database!OK21)),0.0001)</f>
        <v>1E-4</v>
      </c>
      <c r="GT102" s="99">
        <f>IF(AND(Database!OM20&gt;1,Database!OM21&gt;1),100*(Database!OM20/(Database!OM21)),0.0001)</f>
        <v>1E-4</v>
      </c>
    </row>
    <row r="103" spans="1:202" ht="18.75" customHeight="1" x14ac:dyDescent="0.4">
      <c r="A103" s="29" t="s">
        <v>112</v>
      </c>
      <c r="B103" s="306"/>
      <c r="C103" s="99">
        <f>IF(AND(Database!E23&gt;1,Database!E24&gt;1),100*(Database!E23/(Database!E24)),0.0001)</f>
        <v>119.9960251810154</v>
      </c>
      <c r="D103" s="99">
        <f>IF(AND(Database!G23&gt;1,Database!G24&gt;1),100*(Database!G23/(Database!G24)),0.0001)</f>
        <v>83.521843630708332</v>
      </c>
      <c r="E103" s="99">
        <f>IF(AND(Database!I23&gt;1,Database!I24&gt;1),100*(Database!I23/(Database!I24)),0.0001)</f>
        <v>82.093126207340632</v>
      </c>
      <c r="F103" s="99">
        <f>IF(AND(Database!K23&gt;1,Database!K24&gt;1),100*(Database!K23/(Database!K24)),0.0001)</f>
        <v>81.023546040610881</v>
      </c>
      <c r="G103" s="99">
        <f>IF(AND(Database!M23&gt;1,Database!M24&gt;1),100*(Database!M23/(Database!M24)),0.0001)</f>
        <v>1E-4</v>
      </c>
      <c r="H103" s="99">
        <f>IF(AND(Database!O23&gt;1,Database!O24&gt;1),100*(Database!O23/(Database!O24)),0.0001)</f>
        <v>1E-4</v>
      </c>
      <c r="I103" s="99">
        <f>IF(AND(Database!Q23&gt;1,Database!Q24&gt;1),100*(Database!Q23/(Database!Q24)),0.0001)</f>
        <v>1E-4</v>
      </c>
      <c r="J103" s="99">
        <f>IF(AND(Database!S23&gt;1,Database!S24&gt;1),100*(Database!S23/(Database!S24)),0.0001)</f>
        <v>1E-4</v>
      </c>
      <c r="K103" s="99">
        <f>IF(AND(Database!U23&gt;1,Database!U24&gt;1),100*(Database!U23/(Database!U24)),0.0001)</f>
        <v>1E-4</v>
      </c>
      <c r="L103" s="99">
        <f>IF(AND(Database!W23&gt;1,Database!W24&gt;1),100*(Database!W23/(Database!W24)),0.0001)</f>
        <v>1E-4</v>
      </c>
      <c r="M103" s="99">
        <f>IF(AND(Database!Y23&gt;1,Database!Y24&gt;1),100*(Database!Y23/(Database!Y24)),0.0001)</f>
        <v>1E-4</v>
      </c>
      <c r="N103" s="99">
        <f>IF(AND(Database!AA23&gt;1,Database!AA24&gt;1),100*(Database!AA23/(Database!AA24)),0.0001)</f>
        <v>1E-4</v>
      </c>
      <c r="O103" s="99">
        <f>IF(AND(Database!AC23&gt;1,Database!AC24&gt;1),100*(Database!AC23/(Database!AC24)),0.0001)</f>
        <v>1E-4</v>
      </c>
      <c r="P103" s="99">
        <f>IF(AND(Database!AE23&gt;1,Database!AE24&gt;1),100*(Database!AE23/(Database!AE24)),0.0001)</f>
        <v>1E-4</v>
      </c>
      <c r="Q103" s="99">
        <f>IF(AND(Database!AG23&gt;1,Database!AG24&gt;1),100*(Database!AG23/(Database!AG24)),0.0001)</f>
        <v>1E-4</v>
      </c>
      <c r="R103" s="99">
        <f>IF(AND(Database!AI23&gt;1,Database!AI24&gt;1),100*(Database!AI23/(Database!AI24)),0.0001)</f>
        <v>1E-4</v>
      </c>
      <c r="S103" s="99">
        <f>IF(AND(Database!AK23&gt;1,Database!AK24&gt;1),100*(Database!AK23/(Database!AK24)),0.0001)</f>
        <v>1E-4</v>
      </c>
      <c r="T103" s="99">
        <f>IF(AND(Database!AM23&gt;1,Database!AM24&gt;1),100*(Database!AM23/(Database!AM24)),0.0001)</f>
        <v>1E-4</v>
      </c>
      <c r="U103" s="99">
        <f>IF(AND(Database!AO23&gt;1,Database!AO24&gt;1),100*(Database!AO23/(Database!AO24)),0.0001)</f>
        <v>1E-4</v>
      </c>
      <c r="V103" s="99">
        <f>IF(AND(Database!AQ23&gt;1,Database!AQ24&gt;1),100*(Database!AQ23/(Database!AQ24)),0.0001)</f>
        <v>1E-4</v>
      </c>
      <c r="W103" s="99">
        <f>IF(AND(Database!AS23&gt;1,Database!AS24&gt;1),100*(Database!AS23/(Database!AS24)),0.0001)</f>
        <v>1E-4</v>
      </c>
      <c r="X103" s="99">
        <f>IF(AND(Database!AU23&gt;1,Database!AU24&gt;1),100*(Database!AU23/(Database!AU24)),0.0001)</f>
        <v>1E-4</v>
      </c>
      <c r="Y103" s="99">
        <f>IF(AND(Database!AW23&gt;1,Database!AW24&gt;1),100*(Database!AW23/(Database!AW24)),0.0001)</f>
        <v>1E-4</v>
      </c>
      <c r="Z103" s="99">
        <f>IF(AND(Database!AY23&gt;1,Database!AY24&gt;1),100*(Database!AY23/(Database!AY24)),0.0001)</f>
        <v>1E-4</v>
      </c>
      <c r="AA103" s="99">
        <f>IF(AND(Database!BA23&gt;1,Database!BA24&gt;1),100*(Database!BA23/(Database!BA24)),0.0001)</f>
        <v>1E-4</v>
      </c>
      <c r="AB103" s="99">
        <f>IF(AND(Database!BC23&gt;1,Database!BC24&gt;1),100*(Database!BC23/(Database!BC24)),0.0001)</f>
        <v>1E-4</v>
      </c>
      <c r="AC103" s="99">
        <f>IF(AND(Database!BE23&gt;1,Database!BE24&gt;1),100*(Database!BE23/(Database!BE24)),0.0001)</f>
        <v>1E-4</v>
      </c>
      <c r="AD103" s="99">
        <f>IF(AND(Database!BG23&gt;1,Database!BG24&gt;1),100*(Database!BG23/(Database!BG24)),0.0001)</f>
        <v>1E-4</v>
      </c>
      <c r="AE103" s="99">
        <f>IF(AND(Database!BI23&gt;1,Database!BI24&gt;1),100*(Database!BI23/(Database!BI24)),0.0001)</f>
        <v>1E-4</v>
      </c>
      <c r="AF103" s="99">
        <f>IF(AND(Database!BK23&gt;1,Database!BK24&gt;1),100*(Database!BK23/(Database!BK24)),0.0001)</f>
        <v>1E-4</v>
      </c>
      <c r="AG103" s="99">
        <f>IF(AND(Database!BM23&gt;1,Database!BM24&gt;1),100*(Database!BM23/(Database!BM24)),0.0001)</f>
        <v>1E-4</v>
      </c>
      <c r="AH103" s="99">
        <f>IF(AND(Database!BO23&gt;1,Database!BO24&gt;1),100*(Database!BO23/(Database!BO24)),0.0001)</f>
        <v>1E-4</v>
      </c>
      <c r="AI103" s="99">
        <f>IF(AND(Database!BQ23&gt;1,Database!BQ24&gt;1),100*(Database!BQ23/(Database!BQ24)),0.0001)</f>
        <v>1E-4</v>
      </c>
      <c r="AJ103" s="99">
        <f>IF(AND(Database!BS23&gt;1,Database!BS24&gt;1),100*(Database!BS23/(Database!BS24)),0.0001)</f>
        <v>1E-4</v>
      </c>
      <c r="AK103" s="99">
        <f>IF(AND(Database!BU23&gt;1,Database!BU24&gt;1),100*(Database!BU23/(Database!BU24)),0.0001)</f>
        <v>1E-4</v>
      </c>
      <c r="AL103" s="99">
        <f>IF(AND(Database!BW23&gt;1,Database!BW24&gt;1),100*(Database!BW23/(Database!BW24)),0.0001)</f>
        <v>1E-4</v>
      </c>
      <c r="AM103" s="99">
        <f>IF(AND(Database!BY23&gt;1,Database!BY24&gt;1),100*(Database!BY23/(Database!BY24)),0.0001)</f>
        <v>1E-4</v>
      </c>
      <c r="AN103" s="99">
        <f>IF(AND(Database!CA23&gt;1,Database!CA24&gt;1),100*(Database!CA23/(Database!CA24)),0.0001)</f>
        <v>1E-4</v>
      </c>
      <c r="AO103" s="99">
        <f>IF(AND(Database!CC23&gt;1,Database!CC24&gt;1),100*(Database!CC23/(Database!CC24)),0.0001)</f>
        <v>1E-4</v>
      </c>
      <c r="AP103" s="99">
        <f>IF(AND(Database!CE23&gt;1,Database!CE24&gt;1),100*(Database!CE23/(Database!CE24)),0.0001)</f>
        <v>1E-4</v>
      </c>
      <c r="AQ103" s="99">
        <f>IF(AND(Database!CG23&gt;1,Database!CG24&gt;1),100*(Database!CG23/(Database!CG24)),0.0001)</f>
        <v>1E-4</v>
      </c>
      <c r="AR103" s="99">
        <f>IF(AND(Database!CI23&gt;1,Database!CI24&gt;1),100*(Database!CI23/(Database!CI24)),0.0001)</f>
        <v>1E-4</v>
      </c>
      <c r="AS103" s="99">
        <f>IF(AND(Database!CK23&gt;1,Database!CK24&gt;1),100*(Database!CK23/(Database!CK24)),0.0001)</f>
        <v>1E-4</v>
      </c>
      <c r="AT103" s="99">
        <f>IF(AND(Database!CM23&gt;1,Database!CM24&gt;1),100*(Database!CM23/(Database!CM24)),0.0001)</f>
        <v>1E-4</v>
      </c>
      <c r="AU103" s="99">
        <f>IF(AND(Database!CO23&gt;1,Database!CO24&gt;1),100*(Database!CO23/(Database!CO24)),0.0001)</f>
        <v>1E-4</v>
      </c>
      <c r="AV103" s="99">
        <f>IF(AND(Database!CQ23&gt;1,Database!CQ24&gt;1),100*(Database!CQ23/(Database!CQ24)),0.0001)</f>
        <v>1E-4</v>
      </c>
      <c r="AW103" s="99">
        <f>IF(AND(Database!CS23&gt;1,Database!CS24&gt;1),100*(Database!CS23/(Database!CS24)),0.0001)</f>
        <v>1E-4</v>
      </c>
      <c r="AX103" s="99">
        <f>IF(AND(Database!CU23&gt;1,Database!CU24&gt;1),100*(Database!CU23/(Database!CU24)),0.0001)</f>
        <v>1E-4</v>
      </c>
      <c r="AY103" s="99">
        <f>IF(AND(Database!CW23&gt;1,Database!CW24&gt;1),100*(Database!CW23/(Database!CW24)),0.0001)</f>
        <v>1E-4</v>
      </c>
      <c r="AZ103" s="99">
        <f>IF(AND(Database!CY23&gt;1,Database!CY24&gt;1),100*(Database!CY23/(Database!CY24)),0.0001)</f>
        <v>1E-4</v>
      </c>
      <c r="BA103" s="99">
        <f>IF(AND(Database!DA23&gt;1,Database!DA24&gt;1),100*(Database!DA23/(Database!DA24)),0.0001)</f>
        <v>1E-4</v>
      </c>
      <c r="BB103" s="99">
        <f>IF(AND(Database!DC23&gt;1,Database!DC24&gt;1),100*(Database!DC23/(Database!DC24)),0.0001)</f>
        <v>1E-4</v>
      </c>
      <c r="BC103" s="99">
        <f>IF(AND(Database!DE23&gt;1,Database!DE24&gt;1),100*(Database!DE23/(Database!DE24)),0.0001)</f>
        <v>1E-4</v>
      </c>
      <c r="BD103" s="99">
        <f>IF(AND(Database!DG23&gt;1,Database!DG24&gt;1),100*(Database!DG23/(Database!DG24)),0.0001)</f>
        <v>1E-4</v>
      </c>
      <c r="BE103" s="99">
        <f>IF(AND(Database!DI23&gt;1,Database!DI24&gt;1),100*(Database!DI23/(Database!DI24)),0.0001)</f>
        <v>1E-4</v>
      </c>
      <c r="BF103" s="99">
        <f>IF(AND(Database!DK23&gt;1,Database!DK24&gt;1),100*(Database!DK23/(Database!DK24)),0.0001)</f>
        <v>1E-4</v>
      </c>
      <c r="BG103" s="99">
        <f>IF(AND(Database!DM23&gt;1,Database!DM24&gt;1),100*(Database!DM23/(Database!DM24)),0.0001)</f>
        <v>1E-4</v>
      </c>
      <c r="BH103" s="99">
        <f>IF(AND(Database!DO23&gt;1,Database!DO24&gt;1),100*(Database!DO23/(Database!DO24)),0.0001)</f>
        <v>1E-4</v>
      </c>
      <c r="BI103" s="99">
        <f>IF(AND(Database!DQ23&gt;1,Database!DQ24&gt;1),100*(Database!DQ23/(Database!DQ24)),0.0001)</f>
        <v>1E-4</v>
      </c>
      <c r="BJ103" s="99">
        <f>IF(AND(Database!DS23&gt;1,Database!DS24&gt;1),100*(Database!DS23/(Database!DS24)),0.0001)</f>
        <v>1E-4</v>
      </c>
      <c r="BK103" s="99">
        <f>IF(AND(Database!DU23&gt;1,Database!DU24&gt;1),100*(Database!DU23/(Database!DU24)),0.0001)</f>
        <v>1E-4</v>
      </c>
      <c r="BL103" s="99">
        <f>IF(AND(Database!DW23&gt;1,Database!DW24&gt;1),100*(Database!DW23/(Database!DW24)),0.0001)</f>
        <v>1E-4</v>
      </c>
      <c r="BM103" s="99">
        <f>IF(AND(Database!DY23&gt;1,Database!DY24&gt;1),100*(Database!DY23/(Database!DY24)),0.0001)</f>
        <v>1E-4</v>
      </c>
      <c r="BN103" s="99">
        <f>IF(AND(Database!EA23&gt;1,Database!EA24&gt;1),100*(Database!EA23/(Database!EA24)),0.0001)</f>
        <v>1E-4</v>
      </c>
      <c r="BO103" s="99">
        <f>IF(AND(Database!EC23&gt;1,Database!EC24&gt;1),100*(Database!EC23/(Database!EC24)),0.0001)</f>
        <v>1E-4</v>
      </c>
      <c r="BP103" s="99">
        <f>IF(AND(Database!EE23&gt;1,Database!EE24&gt;1),100*(Database!EE23/(Database!EE24)),0.0001)</f>
        <v>1E-4</v>
      </c>
      <c r="BQ103" s="99">
        <f>IF(AND(Database!EG23&gt;1,Database!EG24&gt;1),100*(Database!EG23/(Database!EG24)),0.0001)</f>
        <v>1E-4</v>
      </c>
      <c r="BR103" s="99">
        <f>IF(AND(Database!EI23&gt;1,Database!EI24&gt;1),100*(Database!EI23/(Database!EI24)),0.0001)</f>
        <v>1E-4</v>
      </c>
      <c r="BS103" s="99">
        <f>IF(AND(Database!EK23&gt;1,Database!EK24&gt;1),100*(Database!EK23/(Database!EK24)),0.0001)</f>
        <v>1E-4</v>
      </c>
      <c r="BT103" s="99">
        <f>IF(AND(Database!EM23&gt;1,Database!EM24&gt;1),100*(Database!EM23/(Database!EM24)),0.0001)</f>
        <v>1E-4</v>
      </c>
      <c r="BU103" s="99">
        <f>IF(AND(Database!EO23&gt;1,Database!EO24&gt;1),100*(Database!EO23/(Database!EO24)),0.0001)</f>
        <v>1E-4</v>
      </c>
      <c r="BV103" s="99">
        <f>IF(AND(Database!EQ23&gt;1,Database!EQ24&gt;1),100*(Database!EQ23/(Database!EQ24)),0.0001)</f>
        <v>1E-4</v>
      </c>
      <c r="BW103" s="99">
        <f>IF(AND(Database!ES23&gt;1,Database!ES24&gt;1),100*(Database!ES23/(Database!ES24)),0.0001)</f>
        <v>1E-4</v>
      </c>
      <c r="BX103" s="99">
        <f>IF(AND(Database!EU23&gt;1,Database!EU24&gt;1),100*(Database!EU23/(Database!EU24)),0.0001)</f>
        <v>1E-4</v>
      </c>
      <c r="BY103" s="99">
        <f>IF(AND(Database!EW23&gt;1,Database!EW24&gt;1),100*(Database!EW23/(Database!EW24)),0.0001)</f>
        <v>1E-4</v>
      </c>
      <c r="BZ103" s="99">
        <f>IF(AND(Database!EY23&gt;1,Database!EY24&gt;1),100*(Database!EY23/(Database!EY24)),0.0001)</f>
        <v>1E-4</v>
      </c>
      <c r="CA103" s="99">
        <f>IF(AND(Database!FA23&gt;1,Database!FA24&gt;1),100*(Database!FA23/(Database!FA24)),0.0001)</f>
        <v>1E-4</v>
      </c>
      <c r="CB103" s="99">
        <f>IF(AND(Database!FC23&gt;1,Database!FC24&gt;1),100*(Database!FC23/(Database!FC24)),0.0001)</f>
        <v>1E-4</v>
      </c>
      <c r="CC103" s="99">
        <f>IF(AND(Database!FE23&gt;1,Database!FE24&gt;1),100*(Database!FE23/(Database!FE24)),0.0001)</f>
        <v>1E-4</v>
      </c>
      <c r="CD103" s="99">
        <f>IF(AND(Database!FG23&gt;1,Database!FG24&gt;1),100*(Database!FG23/(Database!FG24)),0.0001)</f>
        <v>1E-4</v>
      </c>
      <c r="CE103" s="99">
        <f>IF(AND(Database!FI23&gt;1,Database!FI24&gt;1),100*(Database!FI23/(Database!FI24)),0.0001)</f>
        <v>1E-4</v>
      </c>
      <c r="CF103" s="99">
        <f>IF(AND(Database!FK23&gt;1,Database!FK24&gt;1),100*(Database!FK23/(Database!FK24)),0.0001)</f>
        <v>1E-4</v>
      </c>
      <c r="CG103" s="99">
        <f>IF(AND(Database!FM23&gt;1,Database!FM24&gt;1),100*(Database!FM23/(Database!FM24)),0.0001)</f>
        <v>1E-4</v>
      </c>
      <c r="CH103" s="99">
        <f>IF(AND(Database!FO23&gt;1,Database!FO24&gt;1),100*(Database!FO23/(Database!FO24)),0.0001)</f>
        <v>1E-4</v>
      </c>
      <c r="CI103" s="99">
        <f>IF(AND(Database!FQ23&gt;1,Database!FQ24&gt;1),100*(Database!FQ23/(Database!FQ24)),0.0001)</f>
        <v>1E-4</v>
      </c>
      <c r="CJ103" s="99">
        <f>IF(AND(Database!FS23&gt;1,Database!FS24&gt;1),100*(Database!FS23/(Database!FS24)),0.0001)</f>
        <v>1E-4</v>
      </c>
      <c r="CK103" s="99">
        <f>IF(AND(Database!FU23&gt;1,Database!FU24&gt;1),100*(Database!FU23/(Database!FU24)),0.0001)</f>
        <v>1E-4</v>
      </c>
      <c r="CL103" s="99">
        <f>IF(AND(Database!FW23&gt;1,Database!FW24&gt;1),100*(Database!FW23/(Database!FW24)),0.0001)</f>
        <v>1E-4</v>
      </c>
      <c r="CM103" s="99">
        <f>IF(AND(Database!FY23&gt;1,Database!FY24&gt;1),100*(Database!FY23/(Database!FY24)),0.0001)</f>
        <v>1E-4</v>
      </c>
      <c r="CN103" s="99">
        <f>IF(AND(Database!GA23&gt;1,Database!GA24&gt;1),100*(Database!GA23/(Database!GA24)),0.0001)</f>
        <v>1E-4</v>
      </c>
      <c r="CO103" s="99">
        <f>IF(AND(Database!GC23&gt;1,Database!GC24&gt;1),100*(Database!GC23/(Database!GC24)),0.0001)</f>
        <v>1E-4</v>
      </c>
      <c r="CP103" s="99">
        <f>IF(AND(Database!GE23&gt;1,Database!GE24&gt;1),100*(Database!GE23/(Database!GE24)),0.0001)</f>
        <v>1E-4</v>
      </c>
      <c r="CQ103" s="99">
        <f>IF(AND(Database!GG23&gt;1,Database!GG24&gt;1),100*(Database!GG23/(Database!GG24)),0.0001)</f>
        <v>1E-4</v>
      </c>
      <c r="CR103" s="99">
        <f>IF(AND(Database!GI23&gt;1,Database!GI24&gt;1),100*(Database!GI23/(Database!GI24)),0.0001)</f>
        <v>1E-4</v>
      </c>
      <c r="CS103" s="99">
        <f>IF(AND(Database!GK23&gt;1,Database!GK24&gt;1),100*(Database!GK23/(Database!GK24)),0.0001)</f>
        <v>1E-4</v>
      </c>
      <c r="CT103" s="99">
        <f>IF(AND(Database!GM23&gt;1,Database!GM24&gt;1),100*(Database!GM23/(Database!GM24)),0.0001)</f>
        <v>1E-4</v>
      </c>
      <c r="CU103" s="99">
        <f>IF(AND(Database!GO23&gt;1,Database!GO24&gt;1),100*(Database!GO23/(Database!GO24)),0.0001)</f>
        <v>1E-4</v>
      </c>
      <c r="CV103" s="99">
        <f>IF(AND(Database!GQ23&gt;1,Database!GQ24&gt;1),100*(Database!GQ23/(Database!GQ24)),0.0001)</f>
        <v>1E-4</v>
      </c>
      <c r="CW103" s="99">
        <f>IF(AND(Database!GS23&gt;1,Database!GS24&gt;1),100*(Database!GS23/(Database!GS24)),0.0001)</f>
        <v>1E-4</v>
      </c>
      <c r="CX103" s="99">
        <f>IF(AND(Database!GU23&gt;1,Database!GU24&gt;1),100*(Database!GU23/(Database!GU24)),0.0001)</f>
        <v>1E-4</v>
      </c>
      <c r="CY103" s="99">
        <f>IF(AND(Database!GW23&gt;1,Database!GW24&gt;1),100*(Database!GW23/(Database!GW24)),0.0001)</f>
        <v>1E-4</v>
      </c>
      <c r="CZ103" s="99">
        <f>IF(AND(Database!GY23&gt;1,Database!GY24&gt;1),100*(Database!GY23/(Database!GY24)),0.0001)</f>
        <v>1E-4</v>
      </c>
      <c r="DA103" s="99">
        <f>IF(AND(Database!HA23&gt;1,Database!HA24&gt;1),100*(Database!HA23/(Database!HA24)),0.0001)</f>
        <v>1E-4</v>
      </c>
      <c r="DB103" s="99">
        <f>IF(AND(Database!HC23&gt;1,Database!HC24&gt;1),100*(Database!HC23/(Database!HC24)),0.0001)</f>
        <v>1E-4</v>
      </c>
      <c r="DC103" s="99">
        <f>IF(AND(Database!HE23&gt;1,Database!HE24&gt;1),100*(Database!HE23/(Database!HE24)),0.0001)</f>
        <v>1E-4</v>
      </c>
      <c r="DD103" s="99">
        <f>IF(AND(Database!HG23&gt;1,Database!HG24&gt;1),100*(Database!HG23/(Database!HG24)),0.0001)</f>
        <v>1E-4</v>
      </c>
      <c r="DE103" s="99">
        <f>IF(AND(Database!HI23&gt;1,Database!HI24&gt;1),100*(Database!HI23/(Database!HI24)),0.0001)</f>
        <v>1E-4</v>
      </c>
      <c r="DF103" s="99">
        <f>IF(AND(Database!HK23&gt;1,Database!HK24&gt;1),100*(Database!HK23/(Database!HK24)),0.0001)</f>
        <v>1E-4</v>
      </c>
      <c r="DG103" s="99">
        <f>IF(AND(Database!HM23&gt;1,Database!HM24&gt;1),100*(Database!HM23/(Database!HM24)),0.0001)</f>
        <v>1E-4</v>
      </c>
      <c r="DH103" s="99">
        <f>IF(AND(Database!HO23&gt;1,Database!HO24&gt;1),100*(Database!HO23/(Database!HO24)),0.0001)</f>
        <v>1E-4</v>
      </c>
      <c r="DI103" s="99">
        <f>IF(AND(Database!HQ23&gt;1,Database!HQ24&gt;1),100*(Database!HQ23/(Database!HQ24)),0.0001)</f>
        <v>1E-4</v>
      </c>
      <c r="DJ103" s="99">
        <f>IF(AND(Database!HS23&gt;1,Database!HS24&gt;1),100*(Database!HS23/(Database!HS24)),0.0001)</f>
        <v>1E-4</v>
      </c>
      <c r="DK103" s="99">
        <f>IF(AND(Database!HU23&gt;1,Database!HU24&gt;1),100*(Database!HU23/(Database!HU24)),0.0001)</f>
        <v>1E-4</v>
      </c>
      <c r="DL103" s="99">
        <f>IF(AND(Database!HW23&gt;1,Database!HW24&gt;1),100*(Database!HW23/(Database!HW24)),0.0001)</f>
        <v>1E-4</v>
      </c>
      <c r="DM103" s="99">
        <f>IF(AND(Database!HY23&gt;1,Database!HY24&gt;1),100*(Database!HY23/(Database!HY24)),0.0001)</f>
        <v>1E-4</v>
      </c>
      <c r="DN103" s="99">
        <f>IF(AND(Database!IA23&gt;1,Database!IA24&gt;1),100*(Database!IA23/(Database!IA24)),0.0001)</f>
        <v>1E-4</v>
      </c>
      <c r="DO103" s="99">
        <f>IF(AND(Database!IC23&gt;1,Database!IC24&gt;1),100*(Database!IC23/(Database!IC24)),0.0001)</f>
        <v>1E-4</v>
      </c>
      <c r="DP103" s="99">
        <f>IF(AND(Database!IE23&gt;1,Database!IE24&gt;1),100*(Database!IE23/(Database!IE24)),0.0001)</f>
        <v>1E-4</v>
      </c>
      <c r="DQ103" s="99">
        <f>IF(AND(Database!IG23&gt;1,Database!IG24&gt;1),100*(Database!IG23/(Database!IG24)),0.0001)</f>
        <v>1E-4</v>
      </c>
      <c r="DR103" s="99">
        <f>IF(AND(Database!II23&gt;1,Database!II24&gt;1),100*(Database!II23/(Database!II24)),0.0001)</f>
        <v>1E-4</v>
      </c>
      <c r="DS103" s="99">
        <f>IF(AND(Database!IK23&gt;1,Database!IK24&gt;1),100*(Database!IK23/(Database!IK24)),0.0001)</f>
        <v>1E-4</v>
      </c>
      <c r="DT103" s="99">
        <f>IF(AND(Database!IM23&gt;1,Database!IM24&gt;1),100*(Database!IM23/(Database!IM24)),0.0001)</f>
        <v>1E-4</v>
      </c>
      <c r="DU103" s="99">
        <f>IF(AND(Database!IO23&gt;1,Database!IO24&gt;1),100*(Database!IO23/(Database!IO24)),0.0001)</f>
        <v>1E-4</v>
      </c>
      <c r="DV103" s="99">
        <f>IF(AND(Database!IQ23&gt;1,Database!IQ24&gt;1),100*(Database!IQ23/(Database!IQ24)),0.0001)</f>
        <v>1E-4</v>
      </c>
      <c r="DW103" s="99">
        <f>IF(AND(Database!IS23&gt;1,Database!IS24&gt;1),100*(Database!IS23/(Database!IS24)),0.0001)</f>
        <v>1E-4</v>
      </c>
      <c r="DX103" s="99">
        <f>IF(AND(Database!IU23&gt;1,Database!IU24&gt;1),100*(Database!IU23/(Database!IU24)),0.0001)</f>
        <v>1E-4</v>
      </c>
      <c r="DY103" s="99">
        <f>IF(AND(Database!IW23&gt;1,Database!IW24&gt;1),100*(Database!IW23/(Database!IW24)),0.0001)</f>
        <v>1E-4</v>
      </c>
      <c r="DZ103" s="99">
        <f>IF(AND(Database!IY23&gt;1,Database!IY24&gt;1),100*(Database!IY23/(Database!IY24)),0.0001)</f>
        <v>1E-4</v>
      </c>
      <c r="EA103" s="99">
        <f>IF(AND(Database!JA23&gt;1,Database!JA24&gt;1),100*(Database!JA23/(Database!JA24)),0.0001)</f>
        <v>1E-4</v>
      </c>
      <c r="EB103" s="99">
        <f>IF(AND(Database!JC23&gt;1,Database!JC24&gt;1),100*(Database!JC23/(Database!JC24)),0.0001)</f>
        <v>1E-4</v>
      </c>
      <c r="EC103" s="99">
        <f>IF(AND(Database!JE23&gt;1,Database!JE24&gt;1),100*(Database!JE23/(Database!JE24)),0.0001)</f>
        <v>1E-4</v>
      </c>
      <c r="ED103" s="99">
        <f>IF(AND(Database!JG23&gt;1,Database!JG24&gt;1),100*(Database!JG23/(Database!JG24)),0.0001)</f>
        <v>1E-4</v>
      </c>
      <c r="EE103" s="99">
        <f>IF(AND(Database!JI23&gt;1,Database!JI24&gt;1),100*(Database!JI23/(Database!JI24)),0.0001)</f>
        <v>1E-4</v>
      </c>
      <c r="EF103" s="99">
        <f>IF(AND(Database!JK23&gt;1,Database!JK24&gt;1),100*(Database!JK23/(Database!JK24)),0.0001)</f>
        <v>1E-4</v>
      </c>
      <c r="EG103" s="99">
        <f>IF(AND(Database!JM23&gt;1,Database!JM24&gt;1),100*(Database!JM23/(Database!JM24)),0.0001)</f>
        <v>1E-4</v>
      </c>
      <c r="EH103" s="99">
        <f>IF(AND(Database!JO23&gt;1,Database!JO24&gt;1),100*(Database!JO23/(Database!JO24)),0.0001)</f>
        <v>1E-4</v>
      </c>
      <c r="EI103" s="99">
        <f>IF(AND(Database!JQ23&gt;1,Database!JQ24&gt;1),100*(Database!JQ23/(Database!JQ24)),0.0001)</f>
        <v>1E-4</v>
      </c>
      <c r="EJ103" s="99">
        <f>IF(AND(Database!JS23&gt;1,Database!JS24&gt;1),100*(Database!JS23/(Database!JS24)),0.0001)</f>
        <v>1E-4</v>
      </c>
      <c r="EK103" s="99">
        <f>IF(AND(Database!JU23&gt;1,Database!JU24&gt;1),100*(Database!JU23/(Database!JU24)),0.0001)</f>
        <v>1E-4</v>
      </c>
      <c r="EL103" s="99">
        <f>IF(AND(Database!JW23&gt;1,Database!JW24&gt;1),100*(Database!JW23/(Database!JW24)),0.0001)</f>
        <v>1E-4</v>
      </c>
      <c r="EM103" s="99">
        <f>IF(AND(Database!JY23&gt;1,Database!JY24&gt;1),100*(Database!JY23/(Database!JY24)),0.0001)</f>
        <v>1E-4</v>
      </c>
      <c r="EN103" s="99">
        <f>IF(AND(Database!KA23&gt;1,Database!KA24&gt;1),100*(Database!KA23/(Database!KA24)),0.0001)</f>
        <v>1E-4</v>
      </c>
      <c r="EO103" s="99">
        <f>IF(AND(Database!KC23&gt;1,Database!KC24&gt;1),100*(Database!KC23/(Database!KC24)),0.0001)</f>
        <v>1E-4</v>
      </c>
      <c r="EP103" s="99">
        <f>IF(AND(Database!KE23&gt;1,Database!KE24&gt;1),100*(Database!KE23/(Database!KE24)),0.0001)</f>
        <v>1E-4</v>
      </c>
      <c r="EQ103" s="99">
        <f>IF(AND(Database!KG23&gt;1,Database!KG24&gt;1),100*(Database!KG23/(Database!KG24)),0.0001)</f>
        <v>1E-4</v>
      </c>
      <c r="ER103" s="99">
        <f>IF(AND(Database!KI23&gt;1,Database!KI24&gt;1),100*(Database!KI23/(Database!KI24)),0.0001)</f>
        <v>1E-4</v>
      </c>
      <c r="ES103" s="99">
        <f>IF(AND(Database!KK23&gt;1,Database!KK24&gt;1),100*(Database!KK23/(Database!KK24)),0.0001)</f>
        <v>1E-4</v>
      </c>
      <c r="ET103" s="99">
        <f>IF(AND(Database!KM23&gt;1,Database!KM24&gt;1),100*(Database!KM23/(Database!KM24)),0.0001)</f>
        <v>1E-4</v>
      </c>
      <c r="EU103" s="99">
        <f>IF(AND(Database!KO23&gt;1,Database!KO24&gt;1),100*(Database!KO23/(Database!KO24)),0.0001)</f>
        <v>1E-4</v>
      </c>
      <c r="EV103" s="99">
        <f>IF(AND(Database!KQ23&gt;1,Database!KQ24&gt;1),100*(Database!KQ23/(Database!KQ24)),0.0001)</f>
        <v>1E-4</v>
      </c>
      <c r="EW103" s="99">
        <f>IF(AND(Database!KS23&gt;1,Database!KS24&gt;1),100*(Database!KS23/(Database!KS24)),0.0001)</f>
        <v>1E-4</v>
      </c>
      <c r="EX103" s="99">
        <f>IF(AND(Database!KU23&gt;1,Database!KU24&gt;1),100*(Database!KU23/(Database!KU24)),0.0001)</f>
        <v>1E-4</v>
      </c>
      <c r="EY103" s="99">
        <f>IF(AND(Database!KW23&gt;1,Database!KW24&gt;1),100*(Database!KW23/(Database!KW24)),0.0001)</f>
        <v>1E-4</v>
      </c>
      <c r="EZ103" s="99">
        <f>IF(AND(Database!KY23&gt;1,Database!KY24&gt;1),100*(Database!KY23/(Database!KY24)),0.0001)</f>
        <v>1E-4</v>
      </c>
      <c r="FA103" s="99">
        <f>IF(AND(Database!LA23&gt;1,Database!LA24&gt;1),100*(Database!LA23/(Database!LA24)),0.0001)</f>
        <v>1E-4</v>
      </c>
      <c r="FB103" s="99">
        <f>IF(AND(Database!LC23&gt;1,Database!LC24&gt;1),100*(Database!LC23/(Database!LC24)),0.0001)</f>
        <v>1E-4</v>
      </c>
      <c r="FC103" s="99">
        <f>IF(AND(Database!LE23&gt;1,Database!LE24&gt;1),100*(Database!LE23/(Database!LE24)),0.0001)</f>
        <v>1E-4</v>
      </c>
      <c r="FD103" s="99">
        <f>IF(AND(Database!LG23&gt;1,Database!LG24&gt;1),100*(Database!LG23/(Database!LG24)),0.0001)</f>
        <v>1E-4</v>
      </c>
      <c r="FE103" s="99">
        <f>IF(AND(Database!LI23&gt;1,Database!LI24&gt;1),100*(Database!LI23/(Database!LI24)),0.0001)</f>
        <v>1E-4</v>
      </c>
      <c r="FF103" s="99">
        <f>IF(AND(Database!LK23&gt;1,Database!LK24&gt;1),100*(Database!LK23/(Database!LK24)),0.0001)</f>
        <v>1E-4</v>
      </c>
      <c r="FG103" s="99">
        <f>IF(AND(Database!LM23&gt;1,Database!LM24&gt;1),100*(Database!LM23/(Database!LM24)),0.0001)</f>
        <v>1E-4</v>
      </c>
      <c r="FH103" s="99">
        <f>IF(AND(Database!LO23&gt;1,Database!LO24&gt;1),100*(Database!LO23/(Database!LO24)),0.0001)</f>
        <v>1E-4</v>
      </c>
      <c r="FI103" s="99">
        <f>IF(AND(Database!LQ23&gt;1,Database!LQ24&gt;1),100*(Database!LQ23/(Database!LQ24)),0.0001)</f>
        <v>1E-4</v>
      </c>
      <c r="FJ103" s="99">
        <f>IF(AND(Database!LS23&gt;1,Database!LS24&gt;1),100*(Database!LS23/(Database!LS24)),0.0001)</f>
        <v>1E-4</v>
      </c>
      <c r="FK103" s="99">
        <f>IF(AND(Database!LU23&gt;1,Database!LU24&gt;1),100*(Database!LU23/(Database!LU24)),0.0001)</f>
        <v>1E-4</v>
      </c>
      <c r="FL103" s="99">
        <f>IF(AND(Database!LW23&gt;1,Database!LW24&gt;1),100*(Database!LW23/(Database!LW24)),0.0001)</f>
        <v>1E-4</v>
      </c>
      <c r="FM103" s="99">
        <f>IF(AND(Database!LY23&gt;1,Database!LY24&gt;1),100*(Database!LY23/(Database!LY24)),0.0001)</f>
        <v>1E-4</v>
      </c>
      <c r="FN103" s="99">
        <f>IF(AND(Database!MA23&gt;1,Database!MA24&gt;1),100*(Database!MA23/(Database!MA24)),0.0001)</f>
        <v>1E-4</v>
      </c>
      <c r="FO103" s="99">
        <f>IF(AND(Database!MC23&gt;1,Database!MC24&gt;1),100*(Database!MC23/(Database!MC24)),0.0001)</f>
        <v>1E-4</v>
      </c>
      <c r="FP103" s="99">
        <f>IF(AND(Database!ME23&gt;1,Database!ME24&gt;1),100*(Database!ME23/(Database!ME24)),0.0001)</f>
        <v>1E-4</v>
      </c>
      <c r="FQ103" s="99">
        <f>IF(AND(Database!MG23&gt;1,Database!MG24&gt;1),100*(Database!MG23/(Database!MG24)),0.0001)</f>
        <v>1E-4</v>
      </c>
      <c r="FR103" s="99">
        <f>IF(AND(Database!MI23&gt;1,Database!MI24&gt;1),100*(Database!MI23/(Database!MI24)),0.0001)</f>
        <v>1E-4</v>
      </c>
      <c r="FS103" s="99">
        <f>IF(AND(Database!MK23&gt;1,Database!MK24&gt;1),100*(Database!MK23/(Database!MK24)),0.0001)</f>
        <v>1E-4</v>
      </c>
      <c r="FT103" s="99">
        <f>IF(AND(Database!MM23&gt;1,Database!MM24&gt;1),100*(Database!MM23/(Database!MM24)),0.0001)</f>
        <v>1E-4</v>
      </c>
      <c r="FU103" s="99">
        <f>IF(AND(Database!MO23&gt;1,Database!MO24&gt;1),100*(Database!MO23/(Database!MO24)),0.0001)</f>
        <v>1E-4</v>
      </c>
      <c r="FV103" s="99">
        <f>IF(AND(Database!MQ23&gt;1,Database!MQ24&gt;1),100*(Database!MQ23/(Database!MQ24)),0.0001)</f>
        <v>1E-4</v>
      </c>
      <c r="FW103" s="99">
        <f>IF(AND(Database!MS23&gt;1,Database!MS24&gt;1),100*(Database!MS23/(Database!MS24)),0.0001)</f>
        <v>1E-4</v>
      </c>
      <c r="FX103" s="99">
        <f>IF(AND(Database!MU23&gt;1,Database!MU24&gt;1),100*(Database!MU23/(Database!MU24)),0.0001)</f>
        <v>1E-4</v>
      </c>
      <c r="FY103" s="99">
        <f>IF(AND(Database!MW23&gt;1,Database!MW24&gt;1),100*(Database!MW23/(Database!MW24)),0.0001)</f>
        <v>1E-4</v>
      </c>
      <c r="FZ103" s="99">
        <f>IF(AND(Database!MY23&gt;1,Database!MY24&gt;1),100*(Database!MY23/(Database!MY24)),0.0001)</f>
        <v>1E-4</v>
      </c>
      <c r="GA103" s="99">
        <f>IF(AND(Database!NA23&gt;1,Database!NA24&gt;1),100*(Database!NA23/(Database!NA24)),0.0001)</f>
        <v>1E-4</v>
      </c>
      <c r="GB103" s="99">
        <f>IF(AND(Database!NC23&gt;1,Database!NC24&gt;1),100*(Database!NC23/(Database!NC24)),0.0001)</f>
        <v>1E-4</v>
      </c>
      <c r="GC103" s="99">
        <f>IF(AND(Database!NE23&gt;1,Database!NE24&gt;1),100*(Database!NE23/(Database!NE24)),0.0001)</f>
        <v>1E-4</v>
      </c>
      <c r="GD103" s="99">
        <f>IF(AND(Database!NG23&gt;1,Database!NG24&gt;1),100*(Database!NG23/(Database!NG24)),0.0001)</f>
        <v>1E-4</v>
      </c>
      <c r="GE103" s="99">
        <f>IF(AND(Database!NI23&gt;1,Database!NI24&gt;1),100*(Database!NI23/(Database!NI24)),0.0001)</f>
        <v>1E-4</v>
      </c>
      <c r="GF103" s="99">
        <f>IF(AND(Database!NK23&gt;1,Database!NK24&gt;1),100*(Database!NK23/(Database!NK24)),0.0001)</f>
        <v>1E-4</v>
      </c>
      <c r="GG103" s="99">
        <f>IF(AND(Database!NM23&gt;1,Database!NM24&gt;1),100*(Database!NM23/(Database!NM24)),0.0001)</f>
        <v>1E-4</v>
      </c>
      <c r="GH103" s="99">
        <f>IF(AND(Database!NO23&gt;1,Database!NO24&gt;1),100*(Database!NO23/(Database!NO24)),0.0001)</f>
        <v>1E-4</v>
      </c>
      <c r="GI103" s="99">
        <f>IF(AND(Database!NQ23&gt;1,Database!NQ24&gt;1),100*(Database!NQ23/(Database!NQ24)),0.0001)</f>
        <v>1E-4</v>
      </c>
      <c r="GJ103" s="99">
        <f>IF(AND(Database!NS23&gt;1,Database!NS24&gt;1),100*(Database!NS23/(Database!NS24)),0.0001)</f>
        <v>1E-4</v>
      </c>
      <c r="GK103" s="99">
        <f>IF(AND(Database!NU23&gt;1,Database!NU24&gt;1),100*(Database!NU23/(Database!NU24)),0.0001)</f>
        <v>1E-4</v>
      </c>
      <c r="GL103" s="99">
        <f>IF(AND(Database!NW23&gt;1,Database!NW24&gt;1),100*(Database!NW23/(Database!NW24)),0.0001)</f>
        <v>1E-4</v>
      </c>
      <c r="GM103" s="99">
        <f>IF(AND(Database!NY23&gt;1,Database!NY24&gt;1),100*(Database!NY23/(Database!NY24)),0.0001)</f>
        <v>1E-4</v>
      </c>
      <c r="GN103" s="99">
        <f>IF(AND(Database!OA23&gt;1,Database!OA24&gt;1),100*(Database!OA23/(Database!OA24)),0.0001)</f>
        <v>1E-4</v>
      </c>
      <c r="GO103" s="99">
        <f>IF(AND(Database!OC23&gt;1,Database!OC24&gt;1),100*(Database!OC23/(Database!OC24)),0.0001)</f>
        <v>1E-4</v>
      </c>
      <c r="GP103" s="99">
        <f>IF(AND(Database!OE23&gt;1,Database!OE24&gt;1),100*(Database!OE23/(Database!OE24)),0.0001)</f>
        <v>1E-4</v>
      </c>
      <c r="GQ103" s="99">
        <f>IF(AND(Database!OG23&gt;1,Database!OG24&gt;1),100*(Database!OG23/(Database!OG24)),0.0001)</f>
        <v>1E-4</v>
      </c>
      <c r="GR103" s="99">
        <f>IF(AND(Database!OI23&gt;1,Database!OI24&gt;1),100*(Database!OI23/(Database!OI24)),0.0001)</f>
        <v>1E-4</v>
      </c>
      <c r="GS103" s="99">
        <f>IF(AND(Database!OK23&gt;1,Database!OK24&gt;1),100*(Database!OK23/(Database!OK24)),0.0001)</f>
        <v>1E-4</v>
      </c>
      <c r="GT103" s="99">
        <f>IF(AND(Database!OM23&gt;1,Database!OM24&gt;1),100*(Database!OM23/(Database!OM24)),0.0001)</f>
        <v>1E-4</v>
      </c>
    </row>
    <row r="104" spans="1:202" ht="18.75" customHeight="1" x14ac:dyDescent="0.4">
      <c r="A104" s="29" t="s">
        <v>113</v>
      </c>
      <c r="B104" s="306"/>
      <c r="C104" s="99">
        <f>IF(AND(Database!E24&gt;1,Database!E25&gt;1),100*(Database!E24/(Database!E25)),0.0001)</f>
        <v>34.443447452892151</v>
      </c>
      <c r="D104" s="99">
        <f>IF(AND(Database!G24&gt;1,Database!G25&gt;1),100*(Database!G24/(Database!G25)),0.0001)</f>
        <v>23.498338870431894</v>
      </c>
      <c r="E104" s="99">
        <f>IF(AND(Database!I24&gt;1,Database!I25&gt;1),100*(Database!I24/(Database!I25)),0.0001)</f>
        <v>27.634066594007873</v>
      </c>
      <c r="F104" s="99">
        <f>IF(AND(Database!K24&gt;1,Database!K25&gt;1),100*(Database!K24/(Database!K25)),0.0001)</f>
        <v>28.007009718018161</v>
      </c>
      <c r="G104" s="99">
        <f>IF(AND(Database!M24&gt;1,Database!M25&gt;1),100*(Database!M24/(Database!M25)),0.0001)</f>
        <v>1E-4</v>
      </c>
      <c r="H104" s="99">
        <f>IF(AND(Database!O24&gt;1,Database!O25&gt;1),100*(Database!O24/(Database!O25)),0.0001)</f>
        <v>1E-4</v>
      </c>
      <c r="I104" s="99">
        <f>IF(AND(Database!Q24&gt;1,Database!Q25&gt;1),100*(Database!Q24/(Database!Q25)),0.0001)</f>
        <v>1E-4</v>
      </c>
      <c r="J104" s="99">
        <f>IF(AND(Database!S24&gt;1,Database!S25&gt;1),100*(Database!S24/(Database!S25)),0.0001)</f>
        <v>1E-4</v>
      </c>
      <c r="K104" s="99">
        <f>IF(AND(Database!U24&gt;1,Database!U25&gt;1),100*(Database!U24/(Database!U25)),0.0001)</f>
        <v>1E-4</v>
      </c>
      <c r="L104" s="99">
        <f>IF(AND(Database!W24&gt;1,Database!W25&gt;1),100*(Database!W24/(Database!W25)),0.0001)</f>
        <v>1E-4</v>
      </c>
      <c r="M104" s="99">
        <f>IF(AND(Database!Y24&gt;1,Database!Y25&gt;1),100*(Database!Y24/(Database!Y25)),0.0001)</f>
        <v>1E-4</v>
      </c>
      <c r="N104" s="99">
        <f>IF(AND(Database!AA24&gt;1,Database!AA25&gt;1),100*(Database!AA24/(Database!AA25)),0.0001)</f>
        <v>1E-4</v>
      </c>
      <c r="O104" s="99">
        <f>IF(AND(Database!AC24&gt;1,Database!AC25&gt;1),100*(Database!AC24/(Database!AC25)),0.0001)</f>
        <v>1E-4</v>
      </c>
      <c r="P104" s="99">
        <f>IF(AND(Database!AE24&gt;1,Database!AE25&gt;1),100*(Database!AE24/(Database!AE25)),0.0001)</f>
        <v>1E-4</v>
      </c>
      <c r="Q104" s="99">
        <f>IF(AND(Database!AG24&gt;1,Database!AG25&gt;1),100*(Database!AG24/(Database!AG25)),0.0001)</f>
        <v>1E-4</v>
      </c>
      <c r="R104" s="99">
        <f>IF(AND(Database!AI24&gt;1,Database!AI25&gt;1),100*(Database!AI24/(Database!AI25)),0.0001)</f>
        <v>1E-4</v>
      </c>
      <c r="S104" s="99">
        <f>IF(AND(Database!AK24&gt;1,Database!AK25&gt;1),100*(Database!AK24/(Database!AK25)),0.0001)</f>
        <v>1E-4</v>
      </c>
      <c r="T104" s="99">
        <f>IF(AND(Database!AM24&gt;1,Database!AM25&gt;1),100*(Database!AM24/(Database!AM25)),0.0001)</f>
        <v>1E-4</v>
      </c>
      <c r="U104" s="99">
        <f>IF(AND(Database!AO24&gt;1,Database!AO25&gt;1),100*(Database!AO24/(Database!AO25)),0.0001)</f>
        <v>1E-4</v>
      </c>
      <c r="V104" s="99">
        <f>IF(AND(Database!AQ24&gt;1,Database!AQ25&gt;1),100*(Database!AQ24/(Database!AQ25)),0.0001)</f>
        <v>1E-4</v>
      </c>
      <c r="W104" s="99">
        <f>IF(AND(Database!AS24&gt;1,Database!AS25&gt;1),100*(Database!AS24/(Database!AS25)),0.0001)</f>
        <v>1E-4</v>
      </c>
      <c r="X104" s="99">
        <f>IF(AND(Database!AU24&gt;1,Database!AU25&gt;1),100*(Database!AU24/(Database!AU25)),0.0001)</f>
        <v>1E-4</v>
      </c>
      <c r="Y104" s="99">
        <f>IF(AND(Database!AW24&gt;1,Database!AW25&gt;1),100*(Database!AW24/(Database!AW25)),0.0001)</f>
        <v>1E-4</v>
      </c>
      <c r="Z104" s="99">
        <f>IF(AND(Database!AY24&gt;1,Database!AY25&gt;1),100*(Database!AY24/(Database!AY25)),0.0001)</f>
        <v>1E-4</v>
      </c>
      <c r="AA104" s="99">
        <f>IF(AND(Database!BA24&gt;1,Database!BA25&gt;1),100*(Database!BA24/(Database!BA25)),0.0001)</f>
        <v>1E-4</v>
      </c>
      <c r="AB104" s="99">
        <f>IF(AND(Database!BC24&gt;1,Database!BC25&gt;1),100*(Database!BC24/(Database!BC25)),0.0001)</f>
        <v>1E-4</v>
      </c>
      <c r="AC104" s="99">
        <f>IF(AND(Database!BE24&gt;1,Database!BE25&gt;1),100*(Database!BE24/(Database!BE25)),0.0001)</f>
        <v>1E-4</v>
      </c>
      <c r="AD104" s="99">
        <f>IF(AND(Database!BG24&gt;1,Database!BG25&gt;1),100*(Database!BG24/(Database!BG25)),0.0001)</f>
        <v>1E-4</v>
      </c>
      <c r="AE104" s="99">
        <f>IF(AND(Database!BI24&gt;1,Database!BI25&gt;1),100*(Database!BI24/(Database!BI25)),0.0001)</f>
        <v>1E-4</v>
      </c>
      <c r="AF104" s="99">
        <f>IF(AND(Database!BK24&gt;1,Database!BK25&gt;1),100*(Database!BK24/(Database!BK25)),0.0001)</f>
        <v>1E-4</v>
      </c>
      <c r="AG104" s="99">
        <f>IF(AND(Database!BM24&gt;1,Database!BM25&gt;1),100*(Database!BM24/(Database!BM25)),0.0001)</f>
        <v>1E-4</v>
      </c>
      <c r="AH104" s="99">
        <f>IF(AND(Database!BO24&gt;1,Database!BO25&gt;1),100*(Database!BO24/(Database!BO25)),0.0001)</f>
        <v>1E-4</v>
      </c>
      <c r="AI104" s="99">
        <f>IF(AND(Database!BQ24&gt;1,Database!BQ25&gt;1),100*(Database!BQ24/(Database!BQ25)),0.0001)</f>
        <v>1E-4</v>
      </c>
      <c r="AJ104" s="99">
        <f>IF(AND(Database!BS24&gt;1,Database!BS25&gt;1),100*(Database!BS24/(Database!BS25)),0.0001)</f>
        <v>1E-4</v>
      </c>
      <c r="AK104" s="99">
        <f>IF(AND(Database!BU24&gt;1,Database!BU25&gt;1),100*(Database!BU24/(Database!BU25)),0.0001)</f>
        <v>1E-4</v>
      </c>
      <c r="AL104" s="99">
        <f>IF(AND(Database!BW24&gt;1,Database!BW25&gt;1),100*(Database!BW24/(Database!BW25)),0.0001)</f>
        <v>1E-4</v>
      </c>
      <c r="AM104" s="99">
        <f>IF(AND(Database!BY24&gt;1,Database!BY25&gt;1),100*(Database!BY24/(Database!BY25)),0.0001)</f>
        <v>1E-4</v>
      </c>
      <c r="AN104" s="99">
        <f>IF(AND(Database!CA24&gt;1,Database!CA25&gt;1),100*(Database!CA24/(Database!CA25)),0.0001)</f>
        <v>1E-4</v>
      </c>
      <c r="AO104" s="99">
        <f>IF(AND(Database!CC24&gt;1,Database!CC25&gt;1),100*(Database!CC24/(Database!CC25)),0.0001)</f>
        <v>1E-4</v>
      </c>
      <c r="AP104" s="99">
        <f>IF(AND(Database!CE24&gt;1,Database!CE25&gt;1),100*(Database!CE24/(Database!CE25)),0.0001)</f>
        <v>1E-4</v>
      </c>
      <c r="AQ104" s="99">
        <f>IF(AND(Database!CG24&gt;1,Database!CG25&gt;1),100*(Database!CG24/(Database!CG25)),0.0001)</f>
        <v>1E-4</v>
      </c>
      <c r="AR104" s="99">
        <f>IF(AND(Database!CI24&gt;1,Database!CI25&gt;1),100*(Database!CI24/(Database!CI25)),0.0001)</f>
        <v>1E-4</v>
      </c>
      <c r="AS104" s="99">
        <f>IF(AND(Database!CK24&gt;1,Database!CK25&gt;1),100*(Database!CK24/(Database!CK25)),0.0001)</f>
        <v>1E-4</v>
      </c>
      <c r="AT104" s="99">
        <f>IF(AND(Database!CM24&gt;1,Database!CM25&gt;1),100*(Database!CM24/(Database!CM25)),0.0001)</f>
        <v>1E-4</v>
      </c>
      <c r="AU104" s="99">
        <f>IF(AND(Database!CO24&gt;1,Database!CO25&gt;1),100*(Database!CO24/(Database!CO25)),0.0001)</f>
        <v>1E-4</v>
      </c>
      <c r="AV104" s="99">
        <f>IF(AND(Database!CQ24&gt;1,Database!CQ25&gt;1),100*(Database!CQ24/(Database!CQ25)),0.0001)</f>
        <v>1E-4</v>
      </c>
      <c r="AW104" s="99">
        <f>IF(AND(Database!CS24&gt;1,Database!CS25&gt;1),100*(Database!CS24/(Database!CS25)),0.0001)</f>
        <v>1E-4</v>
      </c>
      <c r="AX104" s="99">
        <f>IF(AND(Database!CU24&gt;1,Database!CU25&gt;1),100*(Database!CU24/(Database!CU25)),0.0001)</f>
        <v>1E-4</v>
      </c>
      <c r="AY104" s="99">
        <f>IF(AND(Database!CW24&gt;1,Database!CW25&gt;1),100*(Database!CW24/(Database!CW25)),0.0001)</f>
        <v>1E-4</v>
      </c>
      <c r="AZ104" s="99">
        <f>IF(AND(Database!CY24&gt;1,Database!CY25&gt;1),100*(Database!CY24/(Database!CY25)),0.0001)</f>
        <v>1E-4</v>
      </c>
      <c r="BA104" s="99">
        <f>IF(AND(Database!DA24&gt;1,Database!DA25&gt;1),100*(Database!DA24/(Database!DA25)),0.0001)</f>
        <v>1E-4</v>
      </c>
      <c r="BB104" s="99">
        <f>IF(AND(Database!DC24&gt;1,Database!DC25&gt;1),100*(Database!DC24/(Database!DC25)),0.0001)</f>
        <v>1E-4</v>
      </c>
      <c r="BC104" s="99">
        <f>IF(AND(Database!DE24&gt;1,Database!DE25&gt;1),100*(Database!DE24/(Database!DE25)),0.0001)</f>
        <v>1E-4</v>
      </c>
      <c r="BD104" s="99">
        <f>IF(AND(Database!DG24&gt;1,Database!DG25&gt;1),100*(Database!DG24/(Database!DG25)),0.0001)</f>
        <v>1E-4</v>
      </c>
      <c r="BE104" s="99">
        <f>IF(AND(Database!DI24&gt;1,Database!DI25&gt;1),100*(Database!DI24/(Database!DI25)),0.0001)</f>
        <v>1E-4</v>
      </c>
      <c r="BF104" s="99">
        <f>IF(AND(Database!DK24&gt;1,Database!DK25&gt;1),100*(Database!DK24/(Database!DK25)),0.0001)</f>
        <v>1E-4</v>
      </c>
      <c r="BG104" s="99">
        <f>IF(AND(Database!DM24&gt;1,Database!DM25&gt;1),100*(Database!DM24/(Database!DM25)),0.0001)</f>
        <v>1E-4</v>
      </c>
      <c r="BH104" s="99">
        <f>IF(AND(Database!DO24&gt;1,Database!DO25&gt;1),100*(Database!DO24/(Database!DO25)),0.0001)</f>
        <v>1E-4</v>
      </c>
      <c r="BI104" s="99">
        <f>IF(AND(Database!DQ24&gt;1,Database!DQ25&gt;1),100*(Database!DQ24/(Database!DQ25)),0.0001)</f>
        <v>1E-4</v>
      </c>
      <c r="BJ104" s="99">
        <f>IF(AND(Database!DS24&gt;1,Database!DS25&gt;1),100*(Database!DS24/(Database!DS25)),0.0001)</f>
        <v>1E-4</v>
      </c>
      <c r="BK104" s="99">
        <f>IF(AND(Database!DU24&gt;1,Database!DU25&gt;1),100*(Database!DU24/(Database!DU25)),0.0001)</f>
        <v>1E-4</v>
      </c>
      <c r="BL104" s="99">
        <f>IF(AND(Database!DW24&gt;1,Database!DW25&gt;1),100*(Database!DW24/(Database!DW25)),0.0001)</f>
        <v>1E-4</v>
      </c>
      <c r="BM104" s="99">
        <f>IF(AND(Database!DY24&gt;1,Database!DY25&gt;1),100*(Database!DY24/(Database!DY25)),0.0001)</f>
        <v>1E-4</v>
      </c>
      <c r="BN104" s="99">
        <f>IF(AND(Database!EA24&gt;1,Database!EA25&gt;1),100*(Database!EA24/(Database!EA25)),0.0001)</f>
        <v>1E-4</v>
      </c>
      <c r="BO104" s="99">
        <f>IF(AND(Database!EC24&gt;1,Database!EC25&gt;1),100*(Database!EC24/(Database!EC25)),0.0001)</f>
        <v>1E-4</v>
      </c>
      <c r="BP104" s="99">
        <f>IF(AND(Database!EE24&gt;1,Database!EE25&gt;1),100*(Database!EE24/(Database!EE25)),0.0001)</f>
        <v>1E-4</v>
      </c>
      <c r="BQ104" s="99">
        <f>IF(AND(Database!EG24&gt;1,Database!EG25&gt;1),100*(Database!EG24/(Database!EG25)),0.0001)</f>
        <v>1E-4</v>
      </c>
      <c r="BR104" s="99">
        <f>IF(AND(Database!EI24&gt;1,Database!EI25&gt;1),100*(Database!EI24/(Database!EI25)),0.0001)</f>
        <v>1E-4</v>
      </c>
      <c r="BS104" s="99">
        <f>IF(AND(Database!EK24&gt;1,Database!EK25&gt;1),100*(Database!EK24/(Database!EK25)),0.0001)</f>
        <v>1E-4</v>
      </c>
      <c r="BT104" s="99">
        <f>IF(AND(Database!EM24&gt;1,Database!EM25&gt;1),100*(Database!EM24/(Database!EM25)),0.0001)</f>
        <v>1E-4</v>
      </c>
      <c r="BU104" s="99">
        <f>IF(AND(Database!EO24&gt;1,Database!EO25&gt;1),100*(Database!EO24/(Database!EO25)),0.0001)</f>
        <v>1E-4</v>
      </c>
      <c r="BV104" s="99">
        <f>IF(AND(Database!EQ24&gt;1,Database!EQ25&gt;1),100*(Database!EQ24/(Database!EQ25)),0.0001)</f>
        <v>1E-4</v>
      </c>
      <c r="BW104" s="99">
        <f>IF(AND(Database!ES24&gt;1,Database!ES25&gt;1),100*(Database!ES24/(Database!ES25)),0.0001)</f>
        <v>1E-4</v>
      </c>
      <c r="BX104" s="99">
        <f>IF(AND(Database!EU24&gt;1,Database!EU25&gt;1),100*(Database!EU24/(Database!EU25)),0.0001)</f>
        <v>1E-4</v>
      </c>
      <c r="BY104" s="99">
        <f>IF(AND(Database!EW24&gt;1,Database!EW25&gt;1),100*(Database!EW24/(Database!EW25)),0.0001)</f>
        <v>1E-4</v>
      </c>
      <c r="BZ104" s="99">
        <f>IF(AND(Database!EY24&gt;1,Database!EY25&gt;1),100*(Database!EY24/(Database!EY25)),0.0001)</f>
        <v>1E-4</v>
      </c>
      <c r="CA104" s="99">
        <f>IF(AND(Database!FA24&gt;1,Database!FA25&gt;1),100*(Database!FA24/(Database!FA25)),0.0001)</f>
        <v>1E-4</v>
      </c>
      <c r="CB104" s="99">
        <f>IF(AND(Database!FC24&gt;1,Database!FC25&gt;1),100*(Database!FC24/(Database!FC25)),0.0001)</f>
        <v>1E-4</v>
      </c>
      <c r="CC104" s="99">
        <f>IF(AND(Database!FE24&gt;1,Database!FE25&gt;1),100*(Database!FE24/(Database!FE25)),0.0001)</f>
        <v>1E-4</v>
      </c>
      <c r="CD104" s="99">
        <f>IF(AND(Database!FG24&gt;1,Database!FG25&gt;1),100*(Database!FG24/(Database!FG25)),0.0001)</f>
        <v>1E-4</v>
      </c>
      <c r="CE104" s="99">
        <f>IF(AND(Database!FI24&gt;1,Database!FI25&gt;1),100*(Database!FI24/(Database!FI25)),0.0001)</f>
        <v>1E-4</v>
      </c>
      <c r="CF104" s="99">
        <f>IF(AND(Database!FK24&gt;1,Database!FK25&gt;1),100*(Database!FK24/(Database!FK25)),0.0001)</f>
        <v>1E-4</v>
      </c>
      <c r="CG104" s="99">
        <f>IF(AND(Database!FM24&gt;1,Database!FM25&gt;1),100*(Database!FM24/(Database!FM25)),0.0001)</f>
        <v>1E-4</v>
      </c>
      <c r="CH104" s="99">
        <f>IF(AND(Database!FO24&gt;1,Database!FO25&gt;1),100*(Database!FO24/(Database!FO25)),0.0001)</f>
        <v>1E-4</v>
      </c>
      <c r="CI104" s="99">
        <f>IF(AND(Database!FQ24&gt;1,Database!FQ25&gt;1),100*(Database!FQ24/(Database!FQ25)),0.0001)</f>
        <v>1E-4</v>
      </c>
      <c r="CJ104" s="99">
        <f>IF(AND(Database!FS24&gt;1,Database!FS25&gt;1),100*(Database!FS24/(Database!FS25)),0.0001)</f>
        <v>1E-4</v>
      </c>
      <c r="CK104" s="99">
        <f>IF(AND(Database!FU24&gt;1,Database!FU25&gt;1),100*(Database!FU24/(Database!FU25)),0.0001)</f>
        <v>1E-4</v>
      </c>
      <c r="CL104" s="99">
        <f>IF(AND(Database!FW24&gt;1,Database!FW25&gt;1),100*(Database!FW24/(Database!FW25)),0.0001)</f>
        <v>1E-4</v>
      </c>
      <c r="CM104" s="99">
        <f>IF(AND(Database!FY24&gt;1,Database!FY25&gt;1),100*(Database!FY24/(Database!FY25)),0.0001)</f>
        <v>1E-4</v>
      </c>
      <c r="CN104" s="99">
        <f>IF(AND(Database!GA24&gt;1,Database!GA25&gt;1),100*(Database!GA24/(Database!GA25)),0.0001)</f>
        <v>1E-4</v>
      </c>
      <c r="CO104" s="99">
        <f>IF(AND(Database!GC24&gt;1,Database!GC25&gt;1),100*(Database!GC24/(Database!GC25)),0.0001)</f>
        <v>1E-4</v>
      </c>
      <c r="CP104" s="99">
        <f>IF(AND(Database!GE24&gt;1,Database!GE25&gt;1),100*(Database!GE24/(Database!GE25)),0.0001)</f>
        <v>1E-4</v>
      </c>
      <c r="CQ104" s="99">
        <f>IF(AND(Database!GG24&gt;1,Database!GG25&gt;1),100*(Database!GG24/(Database!GG25)),0.0001)</f>
        <v>1E-4</v>
      </c>
      <c r="CR104" s="99">
        <f>IF(AND(Database!GI24&gt;1,Database!GI25&gt;1),100*(Database!GI24/(Database!GI25)),0.0001)</f>
        <v>1E-4</v>
      </c>
      <c r="CS104" s="99">
        <f>IF(AND(Database!GK24&gt;1,Database!GK25&gt;1),100*(Database!GK24/(Database!GK25)),0.0001)</f>
        <v>1E-4</v>
      </c>
      <c r="CT104" s="99">
        <f>IF(AND(Database!GM24&gt;1,Database!GM25&gt;1),100*(Database!GM24/(Database!GM25)),0.0001)</f>
        <v>1E-4</v>
      </c>
      <c r="CU104" s="99">
        <f>IF(AND(Database!GO24&gt;1,Database!GO25&gt;1),100*(Database!GO24/(Database!GO25)),0.0001)</f>
        <v>1E-4</v>
      </c>
      <c r="CV104" s="99">
        <f>IF(AND(Database!GQ24&gt;1,Database!GQ25&gt;1),100*(Database!GQ24/(Database!GQ25)),0.0001)</f>
        <v>1E-4</v>
      </c>
      <c r="CW104" s="99">
        <f>IF(AND(Database!GS24&gt;1,Database!GS25&gt;1),100*(Database!GS24/(Database!GS25)),0.0001)</f>
        <v>1E-4</v>
      </c>
      <c r="CX104" s="99">
        <f>IF(AND(Database!GU24&gt;1,Database!GU25&gt;1),100*(Database!GU24/(Database!GU25)),0.0001)</f>
        <v>1E-4</v>
      </c>
      <c r="CY104" s="99">
        <f>IF(AND(Database!GW24&gt;1,Database!GW25&gt;1),100*(Database!GW24/(Database!GW25)),0.0001)</f>
        <v>1E-4</v>
      </c>
      <c r="CZ104" s="99">
        <f>IF(AND(Database!GY24&gt;1,Database!GY25&gt;1),100*(Database!GY24/(Database!GY25)),0.0001)</f>
        <v>1E-4</v>
      </c>
      <c r="DA104" s="99">
        <f>IF(AND(Database!HA24&gt;1,Database!HA25&gt;1),100*(Database!HA24/(Database!HA25)),0.0001)</f>
        <v>1E-4</v>
      </c>
      <c r="DB104" s="99">
        <f>IF(AND(Database!HC24&gt;1,Database!HC25&gt;1),100*(Database!HC24/(Database!HC25)),0.0001)</f>
        <v>1E-4</v>
      </c>
      <c r="DC104" s="99">
        <f>IF(AND(Database!HE24&gt;1,Database!HE25&gt;1),100*(Database!HE24/(Database!HE25)),0.0001)</f>
        <v>1E-4</v>
      </c>
      <c r="DD104" s="99">
        <f>IF(AND(Database!HG24&gt;1,Database!HG25&gt;1),100*(Database!HG24/(Database!HG25)),0.0001)</f>
        <v>1E-4</v>
      </c>
      <c r="DE104" s="99">
        <f>IF(AND(Database!HI24&gt;1,Database!HI25&gt;1),100*(Database!HI24/(Database!HI25)),0.0001)</f>
        <v>1E-4</v>
      </c>
      <c r="DF104" s="99">
        <f>IF(AND(Database!HK24&gt;1,Database!HK25&gt;1),100*(Database!HK24/(Database!HK25)),0.0001)</f>
        <v>1E-4</v>
      </c>
      <c r="DG104" s="99">
        <f>IF(AND(Database!HM24&gt;1,Database!HM25&gt;1),100*(Database!HM24/(Database!HM25)),0.0001)</f>
        <v>1E-4</v>
      </c>
      <c r="DH104" s="99">
        <f>IF(AND(Database!HO24&gt;1,Database!HO25&gt;1),100*(Database!HO24/(Database!HO25)),0.0001)</f>
        <v>1E-4</v>
      </c>
      <c r="DI104" s="99">
        <f>IF(AND(Database!HQ24&gt;1,Database!HQ25&gt;1),100*(Database!HQ24/(Database!HQ25)),0.0001)</f>
        <v>1E-4</v>
      </c>
      <c r="DJ104" s="99">
        <f>IF(AND(Database!HS24&gt;1,Database!HS25&gt;1),100*(Database!HS24/(Database!HS25)),0.0001)</f>
        <v>1E-4</v>
      </c>
      <c r="DK104" s="99">
        <f>IF(AND(Database!HU24&gt;1,Database!HU25&gt;1),100*(Database!HU24/(Database!HU25)),0.0001)</f>
        <v>1E-4</v>
      </c>
      <c r="DL104" s="99">
        <f>IF(AND(Database!HW24&gt;1,Database!HW25&gt;1),100*(Database!HW24/(Database!HW25)),0.0001)</f>
        <v>1E-4</v>
      </c>
      <c r="DM104" s="99">
        <f>IF(AND(Database!HY24&gt;1,Database!HY25&gt;1),100*(Database!HY24/(Database!HY25)),0.0001)</f>
        <v>1E-4</v>
      </c>
      <c r="DN104" s="99">
        <f>IF(AND(Database!IA24&gt;1,Database!IA25&gt;1),100*(Database!IA24/(Database!IA25)),0.0001)</f>
        <v>1E-4</v>
      </c>
      <c r="DO104" s="99">
        <f>IF(AND(Database!IC24&gt;1,Database!IC25&gt;1),100*(Database!IC24/(Database!IC25)),0.0001)</f>
        <v>1E-4</v>
      </c>
      <c r="DP104" s="99">
        <f>IF(AND(Database!IE24&gt;1,Database!IE25&gt;1),100*(Database!IE24/(Database!IE25)),0.0001)</f>
        <v>1E-4</v>
      </c>
      <c r="DQ104" s="99">
        <f>IF(AND(Database!IG24&gt;1,Database!IG25&gt;1),100*(Database!IG24/(Database!IG25)),0.0001)</f>
        <v>1E-4</v>
      </c>
      <c r="DR104" s="99">
        <f>IF(AND(Database!II24&gt;1,Database!II25&gt;1),100*(Database!II24/(Database!II25)),0.0001)</f>
        <v>1E-4</v>
      </c>
      <c r="DS104" s="99">
        <f>IF(AND(Database!IK24&gt;1,Database!IK25&gt;1),100*(Database!IK24/(Database!IK25)),0.0001)</f>
        <v>1E-4</v>
      </c>
      <c r="DT104" s="99">
        <f>IF(AND(Database!IM24&gt;1,Database!IM25&gt;1),100*(Database!IM24/(Database!IM25)),0.0001)</f>
        <v>1E-4</v>
      </c>
      <c r="DU104" s="99">
        <f>IF(AND(Database!IO24&gt;1,Database!IO25&gt;1),100*(Database!IO24/(Database!IO25)),0.0001)</f>
        <v>1E-4</v>
      </c>
      <c r="DV104" s="99">
        <f>IF(AND(Database!IQ24&gt;1,Database!IQ25&gt;1),100*(Database!IQ24/(Database!IQ25)),0.0001)</f>
        <v>1E-4</v>
      </c>
      <c r="DW104" s="99">
        <f>IF(AND(Database!IS24&gt;1,Database!IS25&gt;1),100*(Database!IS24/(Database!IS25)),0.0001)</f>
        <v>1E-4</v>
      </c>
      <c r="DX104" s="99">
        <f>IF(AND(Database!IU24&gt;1,Database!IU25&gt;1),100*(Database!IU24/(Database!IU25)),0.0001)</f>
        <v>1E-4</v>
      </c>
      <c r="DY104" s="99">
        <f>IF(AND(Database!IW24&gt;1,Database!IW25&gt;1),100*(Database!IW24/(Database!IW25)),0.0001)</f>
        <v>1E-4</v>
      </c>
      <c r="DZ104" s="99">
        <f>IF(AND(Database!IY24&gt;1,Database!IY25&gt;1),100*(Database!IY24/(Database!IY25)),0.0001)</f>
        <v>1E-4</v>
      </c>
      <c r="EA104" s="99">
        <f>IF(AND(Database!JA24&gt;1,Database!JA25&gt;1),100*(Database!JA24/(Database!JA25)),0.0001)</f>
        <v>1E-4</v>
      </c>
      <c r="EB104" s="99">
        <f>IF(AND(Database!JC24&gt;1,Database!JC25&gt;1),100*(Database!JC24/(Database!JC25)),0.0001)</f>
        <v>1E-4</v>
      </c>
      <c r="EC104" s="99">
        <f>IF(AND(Database!JE24&gt;1,Database!JE25&gt;1),100*(Database!JE24/(Database!JE25)),0.0001)</f>
        <v>1E-4</v>
      </c>
      <c r="ED104" s="99">
        <f>IF(AND(Database!JG24&gt;1,Database!JG25&gt;1),100*(Database!JG24/(Database!JG25)),0.0001)</f>
        <v>1E-4</v>
      </c>
      <c r="EE104" s="99">
        <f>IF(AND(Database!JI24&gt;1,Database!JI25&gt;1),100*(Database!JI24/(Database!JI25)),0.0001)</f>
        <v>1E-4</v>
      </c>
      <c r="EF104" s="99">
        <f>IF(AND(Database!JK24&gt;1,Database!JK25&gt;1),100*(Database!JK24/(Database!JK25)),0.0001)</f>
        <v>1E-4</v>
      </c>
      <c r="EG104" s="99">
        <f>IF(AND(Database!JM24&gt;1,Database!JM25&gt;1),100*(Database!JM24/(Database!JM25)),0.0001)</f>
        <v>1E-4</v>
      </c>
      <c r="EH104" s="99">
        <f>IF(AND(Database!JO24&gt;1,Database!JO25&gt;1),100*(Database!JO24/(Database!JO25)),0.0001)</f>
        <v>1E-4</v>
      </c>
      <c r="EI104" s="99">
        <f>IF(AND(Database!JQ24&gt;1,Database!JQ25&gt;1),100*(Database!JQ24/(Database!JQ25)),0.0001)</f>
        <v>1E-4</v>
      </c>
      <c r="EJ104" s="99">
        <f>IF(AND(Database!JS24&gt;1,Database!JS25&gt;1),100*(Database!JS24/(Database!JS25)),0.0001)</f>
        <v>1E-4</v>
      </c>
      <c r="EK104" s="99">
        <f>IF(AND(Database!JU24&gt;1,Database!JU25&gt;1),100*(Database!JU24/(Database!JU25)),0.0001)</f>
        <v>1E-4</v>
      </c>
      <c r="EL104" s="99">
        <f>IF(AND(Database!JW24&gt;1,Database!JW25&gt;1),100*(Database!JW24/(Database!JW25)),0.0001)</f>
        <v>1E-4</v>
      </c>
      <c r="EM104" s="99">
        <f>IF(AND(Database!JY24&gt;1,Database!JY25&gt;1),100*(Database!JY24/(Database!JY25)),0.0001)</f>
        <v>1E-4</v>
      </c>
      <c r="EN104" s="99">
        <f>IF(AND(Database!KA24&gt;1,Database!KA25&gt;1),100*(Database!KA24/(Database!KA25)),0.0001)</f>
        <v>1E-4</v>
      </c>
      <c r="EO104" s="99">
        <f>IF(AND(Database!KC24&gt;1,Database!KC25&gt;1),100*(Database!KC24/(Database!KC25)),0.0001)</f>
        <v>1E-4</v>
      </c>
      <c r="EP104" s="99">
        <f>IF(AND(Database!KE24&gt;1,Database!KE25&gt;1),100*(Database!KE24/(Database!KE25)),0.0001)</f>
        <v>1E-4</v>
      </c>
      <c r="EQ104" s="99">
        <f>IF(AND(Database!KG24&gt;1,Database!KG25&gt;1),100*(Database!KG24/(Database!KG25)),0.0001)</f>
        <v>1E-4</v>
      </c>
      <c r="ER104" s="99">
        <f>IF(AND(Database!KI24&gt;1,Database!KI25&gt;1),100*(Database!KI24/(Database!KI25)),0.0001)</f>
        <v>1E-4</v>
      </c>
      <c r="ES104" s="99">
        <f>IF(AND(Database!KK24&gt;1,Database!KK25&gt;1),100*(Database!KK24/(Database!KK25)),0.0001)</f>
        <v>1E-4</v>
      </c>
      <c r="ET104" s="99">
        <f>IF(AND(Database!KM24&gt;1,Database!KM25&gt;1),100*(Database!KM24/(Database!KM25)),0.0001)</f>
        <v>1E-4</v>
      </c>
      <c r="EU104" s="99">
        <f>IF(AND(Database!KO24&gt;1,Database!KO25&gt;1),100*(Database!KO24/(Database!KO25)),0.0001)</f>
        <v>1E-4</v>
      </c>
      <c r="EV104" s="99">
        <f>IF(AND(Database!KQ24&gt;1,Database!KQ25&gt;1),100*(Database!KQ24/(Database!KQ25)),0.0001)</f>
        <v>1E-4</v>
      </c>
      <c r="EW104" s="99">
        <f>IF(AND(Database!KS24&gt;1,Database!KS25&gt;1),100*(Database!KS24/(Database!KS25)),0.0001)</f>
        <v>1E-4</v>
      </c>
      <c r="EX104" s="99">
        <f>IF(AND(Database!KU24&gt;1,Database!KU25&gt;1),100*(Database!KU24/(Database!KU25)),0.0001)</f>
        <v>1E-4</v>
      </c>
      <c r="EY104" s="99">
        <f>IF(AND(Database!KW24&gt;1,Database!KW25&gt;1),100*(Database!KW24/(Database!KW25)),0.0001)</f>
        <v>1E-4</v>
      </c>
      <c r="EZ104" s="99">
        <f>IF(AND(Database!KY24&gt;1,Database!KY25&gt;1),100*(Database!KY24/(Database!KY25)),0.0001)</f>
        <v>1E-4</v>
      </c>
      <c r="FA104" s="99">
        <f>IF(AND(Database!LA24&gt;1,Database!LA25&gt;1),100*(Database!LA24/(Database!LA25)),0.0001)</f>
        <v>1E-4</v>
      </c>
      <c r="FB104" s="99">
        <f>IF(AND(Database!LC24&gt;1,Database!LC25&gt;1),100*(Database!LC24/(Database!LC25)),0.0001)</f>
        <v>1E-4</v>
      </c>
      <c r="FC104" s="99">
        <f>IF(AND(Database!LE24&gt;1,Database!LE25&gt;1),100*(Database!LE24/(Database!LE25)),0.0001)</f>
        <v>1E-4</v>
      </c>
      <c r="FD104" s="99">
        <f>IF(AND(Database!LG24&gt;1,Database!LG25&gt;1),100*(Database!LG24/(Database!LG25)),0.0001)</f>
        <v>1E-4</v>
      </c>
      <c r="FE104" s="99">
        <f>IF(AND(Database!LI24&gt;1,Database!LI25&gt;1),100*(Database!LI24/(Database!LI25)),0.0001)</f>
        <v>1E-4</v>
      </c>
      <c r="FF104" s="99">
        <f>IF(AND(Database!LK24&gt;1,Database!LK25&gt;1),100*(Database!LK24/(Database!LK25)),0.0001)</f>
        <v>1E-4</v>
      </c>
      <c r="FG104" s="99">
        <f>IF(AND(Database!LM24&gt;1,Database!LM25&gt;1),100*(Database!LM24/(Database!LM25)),0.0001)</f>
        <v>1E-4</v>
      </c>
      <c r="FH104" s="99">
        <f>IF(AND(Database!LO24&gt;1,Database!LO25&gt;1),100*(Database!LO24/(Database!LO25)),0.0001)</f>
        <v>1E-4</v>
      </c>
      <c r="FI104" s="99">
        <f>IF(AND(Database!LQ24&gt;1,Database!LQ25&gt;1),100*(Database!LQ24/(Database!LQ25)),0.0001)</f>
        <v>1E-4</v>
      </c>
      <c r="FJ104" s="99">
        <f>IF(AND(Database!LS24&gt;1,Database!LS25&gt;1),100*(Database!LS24/(Database!LS25)),0.0001)</f>
        <v>1E-4</v>
      </c>
      <c r="FK104" s="99">
        <f>IF(AND(Database!LU24&gt;1,Database!LU25&gt;1),100*(Database!LU24/(Database!LU25)),0.0001)</f>
        <v>1E-4</v>
      </c>
      <c r="FL104" s="99">
        <f>IF(AND(Database!LW24&gt;1,Database!LW25&gt;1),100*(Database!LW24/(Database!LW25)),0.0001)</f>
        <v>1E-4</v>
      </c>
      <c r="FM104" s="99">
        <f>IF(AND(Database!LY24&gt;1,Database!LY25&gt;1),100*(Database!LY24/(Database!LY25)),0.0001)</f>
        <v>1E-4</v>
      </c>
      <c r="FN104" s="99">
        <f>IF(AND(Database!MA24&gt;1,Database!MA25&gt;1),100*(Database!MA24/(Database!MA25)),0.0001)</f>
        <v>1E-4</v>
      </c>
      <c r="FO104" s="99">
        <f>IF(AND(Database!MC24&gt;1,Database!MC25&gt;1),100*(Database!MC24/(Database!MC25)),0.0001)</f>
        <v>1E-4</v>
      </c>
      <c r="FP104" s="99">
        <f>IF(AND(Database!ME24&gt;1,Database!ME25&gt;1),100*(Database!ME24/(Database!ME25)),0.0001)</f>
        <v>1E-4</v>
      </c>
      <c r="FQ104" s="99">
        <f>IF(AND(Database!MG24&gt;1,Database!MG25&gt;1),100*(Database!MG24/(Database!MG25)),0.0001)</f>
        <v>1E-4</v>
      </c>
      <c r="FR104" s="99">
        <f>IF(AND(Database!MI24&gt;1,Database!MI25&gt;1),100*(Database!MI24/(Database!MI25)),0.0001)</f>
        <v>1E-4</v>
      </c>
      <c r="FS104" s="99">
        <f>IF(AND(Database!MK24&gt;1,Database!MK25&gt;1),100*(Database!MK24/(Database!MK25)),0.0001)</f>
        <v>1E-4</v>
      </c>
      <c r="FT104" s="99">
        <f>IF(AND(Database!MM24&gt;1,Database!MM25&gt;1),100*(Database!MM24/(Database!MM25)),0.0001)</f>
        <v>1E-4</v>
      </c>
      <c r="FU104" s="99">
        <f>IF(AND(Database!MO24&gt;1,Database!MO25&gt;1),100*(Database!MO24/(Database!MO25)),0.0001)</f>
        <v>1E-4</v>
      </c>
      <c r="FV104" s="99">
        <f>IF(AND(Database!MQ24&gt;1,Database!MQ25&gt;1),100*(Database!MQ24/(Database!MQ25)),0.0001)</f>
        <v>1E-4</v>
      </c>
      <c r="FW104" s="99">
        <f>IF(AND(Database!MS24&gt;1,Database!MS25&gt;1),100*(Database!MS24/(Database!MS25)),0.0001)</f>
        <v>1E-4</v>
      </c>
      <c r="FX104" s="99">
        <f>IF(AND(Database!MU24&gt;1,Database!MU25&gt;1),100*(Database!MU24/(Database!MU25)),0.0001)</f>
        <v>1E-4</v>
      </c>
      <c r="FY104" s="99">
        <f>IF(AND(Database!MW24&gt;1,Database!MW25&gt;1),100*(Database!MW24/(Database!MW25)),0.0001)</f>
        <v>1E-4</v>
      </c>
      <c r="FZ104" s="99">
        <f>IF(AND(Database!MY24&gt;1,Database!MY25&gt;1),100*(Database!MY24/(Database!MY25)),0.0001)</f>
        <v>1E-4</v>
      </c>
      <c r="GA104" s="99">
        <f>IF(AND(Database!NA24&gt;1,Database!NA25&gt;1),100*(Database!NA24/(Database!NA25)),0.0001)</f>
        <v>1E-4</v>
      </c>
      <c r="GB104" s="99">
        <f>IF(AND(Database!NC24&gt;1,Database!NC25&gt;1),100*(Database!NC24/(Database!NC25)),0.0001)</f>
        <v>1E-4</v>
      </c>
      <c r="GC104" s="99">
        <f>IF(AND(Database!NE24&gt;1,Database!NE25&gt;1),100*(Database!NE24/(Database!NE25)),0.0001)</f>
        <v>1E-4</v>
      </c>
      <c r="GD104" s="99">
        <f>IF(AND(Database!NG24&gt;1,Database!NG25&gt;1),100*(Database!NG24/(Database!NG25)),0.0001)</f>
        <v>1E-4</v>
      </c>
      <c r="GE104" s="99">
        <f>IF(AND(Database!NI24&gt;1,Database!NI25&gt;1),100*(Database!NI24/(Database!NI25)),0.0001)</f>
        <v>1E-4</v>
      </c>
      <c r="GF104" s="99">
        <f>IF(AND(Database!NK24&gt;1,Database!NK25&gt;1),100*(Database!NK24/(Database!NK25)),0.0001)</f>
        <v>1E-4</v>
      </c>
      <c r="GG104" s="99">
        <f>IF(AND(Database!NM24&gt;1,Database!NM25&gt;1),100*(Database!NM24/(Database!NM25)),0.0001)</f>
        <v>1E-4</v>
      </c>
      <c r="GH104" s="99">
        <f>IF(AND(Database!NO24&gt;1,Database!NO25&gt;1),100*(Database!NO24/(Database!NO25)),0.0001)</f>
        <v>1E-4</v>
      </c>
      <c r="GI104" s="99">
        <f>IF(AND(Database!NQ24&gt;1,Database!NQ25&gt;1),100*(Database!NQ24/(Database!NQ25)),0.0001)</f>
        <v>1E-4</v>
      </c>
      <c r="GJ104" s="99">
        <f>IF(AND(Database!NS24&gt;1,Database!NS25&gt;1),100*(Database!NS24/(Database!NS25)),0.0001)</f>
        <v>1E-4</v>
      </c>
      <c r="GK104" s="99">
        <f>IF(AND(Database!NU24&gt;1,Database!NU25&gt;1),100*(Database!NU24/(Database!NU25)),0.0001)</f>
        <v>1E-4</v>
      </c>
      <c r="GL104" s="99">
        <f>IF(AND(Database!NW24&gt;1,Database!NW25&gt;1),100*(Database!NW24/(Database!NW25)),0.0001)</f>
        <v>1E-4</v>
      </c>
      <c r="GM104" s="99">
        <f>IF(AND(Database!NY24&gt;1,Database!NY25&gt;1),100*(Database!NY24/(Database!NY25)),0.0001)</f>
        <v>1E-4</v>
      </c>
      <c r="GN104" s="99">
        <f>IF(AND(Database!OA24&gt;1,Database!OA25&gt;1),100*(Database!OA24/(Database!OA25)),0.0001)</f>
        <v>1E-4</v>
      </c>
      <c r="GO104" s="99">
        <f>IF(AND(Database!OC24&gt;1,Database!OC25&gt;1),100*(Database!OC24/(Database!OC25)),0.0001)</f>
        <v>1E-4</v>
      </c>
      <c r="GP104" s="99">
        <f>IF(AND(Database!OE24&gt;1,Database!OE25&gt;1),100*(Database!OE24/(Database!OE25)),0.0001)</f>
        <v>1E-4</v>
      </c>
      <c r="GQ104" s="99">
        <f>IF(AND(Database!OG24&gt;1,Database!OG25&gt;1),100*(Database!OG24/(Database!OG25)),0.0001)</f>
        <v>1E-4</v>
      </c>
      <c r="GR104" s="99">
        <f>IF(AND(Database!OI24&gt;1,Database!OI25&gt;1),100*(Database!OI24/(Database!OI25)),0.0001)</f>
        <v>1E-4</v>
      </c>
      <c r="GS104" s="99">
        <f>IF(AND(Database!OK24&gt;1,Database!OK25&gt;1),100*(Database!OK24/(Database!OK25)),0.0001)</f>
        <v>1E-4</v>
      </c>
      <c r="GT104" s="99">
        <f>IF(AND(Database!OM24&gt;1,Database!OM25&gt;1),100*(Database!OM24/(Database!OM25)),0.0001)</f>
        <v>1E-4</v>
      </c>
    </row>
    <row r="105" spans="1:202" ht="18.75" customHeight="1" x14ac:dyDescent="0.4">
      <c r="A105" s="29" t="s">
        <v>114</v>
      </c>
      <c r="B105" s="306"/>
      <c r="C105" s="99">
        <f>IF(AND(Database!E27&gt;1,Database!E28&gt;1),100*(Database!E27/(Database!E28)),0.0001)</f>
        <v>50.638674116297011</v>
      </c>
      <c r="D105" s="99">
        <f>IF(AND(Database!G27&gt;1,Database!G28&gt;1),100*(Database!G27/(Database!G28)),0.0001)</f>
        <v>53.661716358689496</v>
      </c>
      <c r="E105" s="99">
        <f>IF(AND(Database!I27&gt;1,Database!I28&gt;1),100*(Database!I27/(Database!I28)),0.0001)</f>
        <v>51.031314087395486</v>
      </c>
      <c r="F105" s="99">
        <f>IF(AND(Database!K27&gt;1,Database!K28&gt;1),100*(Database!K27/(Database!K28)),0.0001)</f>
        <v>53.234298275159098</v>
      </c>
      <c r="G105" s="99">
        <f>IF(AND(Database!M27&gt;1,Database!M28&gt;1),100*(Database!M27/(Database!M28)),0.0001)</f>
        <v>1E-4</v>
      </c>
      <c r="H105" s="99">
        <f>IF(AND(Database!O27&gt;1,Database!O28&gt;1),100*(Database!O27/(Database!O28)),0.0001)</f>
        <v>1E-4</v>
      </c>
      <c r="I105" s="99">
        <f>IF(AND(Database!Q27&gt;1,Database!Q28&gt;1),100*(Database!Q27/(Database!Q28)),0.0001)</f>
        <v>1E-4</v>
      </c>
      <c r="J105" s="99">
        <f>IF(AND(Database!S27&gt;1,Database!S28&gt;1),100*(Database!S27/(Database!S28)),0.0001)</f>
        <v>1E-4</v>
      </c>
      <c r="K105" s="99">
        <f>IF(AND(Database!U27&gt;1,Database!U28&gt;1),100*(Database!U27/(Database!U28)),0.0001)</f>
        <v>1E-4</v>
      </c>
      <c r="L105" s="99">
        <f>IF(AND(Database!W27&gt;1,Database!W28&gt;1),100*(Database!W27/(Database!W28)),0.0001)</f>
        <v>1E-4</v>
      </c>
      <c r="M105" s="99">
        <f>IF(AND(Database!Y27&gt;1,Database!Y28&gt;1),100*(Database!Y27/(Database!Y28)),0.0001)</f>
        <v>1E-4</v>
      </c>
      <c r="N105" s="99">
        <f>IF(AND(Database!AA27&gt;1,Database!AA28&gt;1),100*(Database!AA27/(Database!AA28)),0.0001)</f>
        <v>1E-4</v>
      </c>
      <c r="O105" s="99">
        <f>IF(AND(Database!AC27&gt;1,Database!AC28&gt;1),100*(Database!AC27/(Database!AC28)),0.0001)</f>
        <v>1E-4</v>
      </c>
      <c r="P105" s="99">
        <f>IF(AND(Database!AE27&gt;1,Database!AE28&gt;1),100*(Database!AE27/(Database!AE28)),0.0001)</f>
        <v>1E-4</v>
      </c>
      <c r="Q105" s="99">
        <f>IF(AND(Database!AG27&gt;1,Database!AG28&gt;1),100*(Database!AG27/(Database!AG28)),0.0001)</f>
        <v>1E-4</v>
      </c>
      <c r="R105" s="99">
        <f>IF(AND(Database!AI27&gt;1,Database!AI28&gt;1),100*(Database!AI27/(Database!AI28)),0.0001)</f>
        <v>1E-4</v>
      </c>
      <c r="S105" s="99">
        <f>IF(AND(Database!AK27&gt;1,Database!AK28&gt;1),100*(Database!AK27/(Database!AK28)),0.0001)</f>
        <v>1E-4</v>
      </c>
      <c r="T105" s="99">
        <f>IF(AND(Database!AM27&gt;1,Database!AM28&gt;1),100*(Database!AM27/(Database!AM28)),0.0001)</f>
        <v>1E-4</v>
      </c>
      <c r="U105" s="99">
        <f>IF(AND(Database!AO27&gt;1,Database!AO28&gt;1),100*(Database!AO27/(Database!AO28)),0.0001)</f>
        <v>1E-4</v>
      </c>
      <c r="V105" s="99">
        <f>IF(AND(Database!AQ27&gt;1,Database!AQ28&gt;1),100*(Database!AQ27/(Database!AQ28)),0.0001)</f>
        <v>1E-4</v>
      </c>
      <c r="W105" s="99">
        <f>IF(AND(Database!AS27&gt;1,Database!AS28&gt;1),100*(Database!AS27/(Database!AS28)),0.0001)</f>
        <v>1E-4</v>
      </c>
      <c r="X105" s="99">
        <f>IF(AND(Database!AU27&gt;1,Database!AU28&gt;1),100*(Database!AU27/(Database!AU28)),0.0001)</f>
        <v>1E-4</v>
      </c>
      <c r="Y105" s="99">
        <f>IF(AND(Database!AW27&gt;1,Database!AW28&gt;1),100*(Database!AW27/(Database!AW28)),0.0001)</f>
        <v>1E-4</v>
      </c>
      <c r="Z105" s="99">
        <f>IF(AND(Database!AY27&gt;1,Database!AY28&gt;1),100*(Database!AY27/(Database!AY28)),0.0001)</f>
        <v>1E-4</v>
      </c>
      <c r="AA105" s="99">
        <f>IF(AND(Database!BA27&gt;1,Database!BA28&gt;1),100*(Database!BA27/(Database!BA28)),0.0001)</f>
        <v>1E-4</v>
      </c>
      <c r="AB105" s="99">
        <f>IF(AND(Database!BC27&gt;1,Database!BC28&gt;1),100*(Database!BC27/(Database!BC28)),0.0001)</f>
        <v>1E-4</v>
      </c>
      <c r="AC105" s="99">
        <f>IF(AND(Database!BE27&gt;1,Database!BE28&gt;1),100*(Database!BE27/(Database!BE28)),0.0001)</f>
        <v>1E-4</v>
      </c>
      <c r="AD105" s="99">
        <f>IF(AND(Database!BG27&gt;1,Database!BG28&gt;1),100*(Database!BG27/(Database!BG28)),0.0001)</f>
        <v>1E-4</v>
      </c>
      <c r="AE105" s="99">
        <f>IF(AND(Database!BI27&gt;1,Database!BI28&gt;1),100*(Database!BI27/(Database!BI28)),0.0001)</f>
        <v>1E-4</v>
      </c>
      <c r="AF105" s="99">
        <f>IF(AND(Database!BK27&gt;1,Database!BK28&gt;1),100*(Database!BK27/(Database!BK28)),0.0001)</f>
        <v>1E-4</v>
      </c>
      <c r="AG105" s="99">
        <f>IF(AND(Database!BM27&gt;1,Database!BM28&gt;1),100*(Database!BM27/(Database!BM28)),0.0001)</f>
        <v>1E-4</v>
      </c>
      <c r="AH105" s="99">
        <f>IF(AND(Database!BO27&gt;1,Database!BO28&gt;1),100*(Database!BO27/(Database!BO28)),0.0001)</f>
        <v>1E-4</v>
      </c>
      <c r="AI105" s="99">
        <f>IF(AND(Database!BQ27&gt;1,Database!BQ28&gt;1),100*(Database!BQ27/(Database!BQ28)),0.0001)</f>
        <v>1E-4</v>
      </c>
      <c r="AJ105" s="99">
        <f>IF(AND(Database!BS27&gt;1,Database!BS28&gt;1),100*(Database!BS27/(Database!BS28)),0.0001)</f>
        <v>1E-4</v>
      </c>
      <c r="AK105" s="99">
        <f>IF(AND(Database!BU27&gt;1,Database!BU28&gt;1),100*(Database!BU27/(Database!BU28)),0.0001)</f>
        <v>1E-4</v>
      </c>
      <c r="AL105" s="99">
        <f>IF(AND(Database!BW27&gt;1,Database!BW28&gt;1),100*(Database!BW27/(Database!BW28)),0.0001)</f>
        <v>1E-4</v>
      </c>
      <c r="AM105" s="99">
        <f>IF(AND(Database!BY27&gt;1,Database!BY28&gt;1),100*(Database!BY27/(Database!BY28)),0.0001)</f>
        <v>1E-4</v>
      </c>
      <c r="AN105" s="99">
        <f>IF(AND(Database!CA27&gt;1,Database!CA28&gt;1),100*(Database!CA27/(Database!CA28)),0.0001)</f>
        <v>1E-4</v>
      </c>
      <c r="AO105" s="99">
        <f>IF(AND(Database!CC27&gt;1,Database!CC28&gt;1),100*(Database!CC27/(Database!CC28)),0.0001)</f>
        <v>1E-4</v>
      </c>
      <c r="AP105" s="99">
        <f>IF(AND(Database!CE27&gt;1,Database!CE28&gt;1),100*(Database!CE27/(Database!CE28)),0.0001)</f>
        <v>1E-4</v>
      </c>
      <c r="AQ105" s="99">
        <f>IF(AND(Database!CG27&gt;1,Database!CG28&gt;1),100*(Database!CG27/(Database!CG28)),0.0001)</f>
        <v>1E-4</v>
      </c>
      <c r="AR105" s="99">
        <f>IF(AND(Database!CI27&gt;1,Database!CI28&gt;1),100*(Database!CI27/(Database!CI28)),0.0001)</f>
        <v>1E-4</v>
      </c>
      <c r="AS105" s="99">
        <f>IF(AND(Database!CK27&gt;1,Database!CK28&gt;1),100*(Database!CK27/(Database!CK28)),0.0001)</f>
        <v>1E-4</v>
      </c>
      <c r="AT105" s="99">
        <f>IF(AND(Database!CM27&gt;1,Database!CM28&gt;1),100*(Database!CM27/(Database!CM28)),0.0001)</f>
        <v>1E-4</v>
      </c>
      <c r="AU105" s="99">
        <f>IF(AND(Database!CO27&gt;1,Database!CO28&gt;1),100*(Database!CO27/(Database!CO28)),0.0001)</f>
        <v>1E-4</v>
      </c>
      <c r="AV105" s="99">
        <f>IF(AND(Database!CQ27&gt;1,Database!CQ28&gt;1),100*(Database!CQ27/(Database!CQ28)),0.0001)</f>
        <v>1E-4</v>
      </c>
      <c r="AW105" s="99">
        <f>IF(AND(Database!CS27&gt;1,Database!CS28&gt;1),100*(Database!CS27/(Database!CS28)),0.0001)</f>
        <v>1E-4</v>
      </c>
      <c r="AX105" s="99">
        <f>IF(AND(Database!CU27&gt;1,Database!CU28&gt;1),100*(Database!CU27/(Database!CU28)),0.0001)</f>
        <v>1E-4</v>
      </c>
      <c r="AY105" s="99">
        <f>IF(AND(Database!CW27&gt;1,Database!CW28&gt;1),100*(Database!CW27/(Database!CW28)),0.0001)</f>
        <v>1E-4</v>
      </c>
      <c r="AZ105" s="99">
        <f>IF(AND(Database!CY27&gt;1,Database!CY28&gt;1),100*(Database!CY27/(Database!CY28)),0.0001)</f>
        <v>1E-4</v>
      </c>
      <c r="BA105" s="99">
        <f>IF(AND(Database!DA27&gt;1,Database!DA28&gt;1),100*(Database!DA27/(Database!DA28)),0.0001)</f>
        <v>1E-4</v>
      </c>
      <c r="BB105" s="99">
        <f>IF(AND(Database!DC27&gt;1,Database!DC28&gt;1),100*(Database!DC27/(Database!DC28)),0.0001)</f>
        <v>1E-4</v>
      </c>
      <c r="BC105" s="99">
        <f>IF(AND(Database!DE27&gt;1,Database!DE28&gt;1),100*(Database!DE27/(Database!DE28)),0.0001)</f>
        <v>1E-4</v>
      </c>
      <c r="BD105" s="99">
        <f>IF(AND(Database!DG27&gt;1,Database!DG28&gt;1),100*(Database!DG27/(Database!DG28)),0.0001)</f>
        <v>1E-4</v>
      </c>
      <c r="BE105" s="99">
        <f>IF(AND(Database!DI27&gt;1,Database!DI28&gt;1),100*(Database!DI27/(Database!DI28)),0.0001)</f>
        <v>1E-4</v>
      </c>
      <c r="BF105" s="99">
        <f>IF(AND(Database!DK27&gt;1,Database!DK28&gt;1),100*(Database!DK27/(Database!DK28)),0.0001)</f>
        <v>1E-4</v>
      </c>
      <c r="BG105" s="99">
        <f>IF(AND(Database!DM27&gt;1,Database!DM28&gt;1),100*(Database!DM27/(Database!DM28)),0.0001)</f>
        <v>1E-4</v>
      </c>
      <c r="BH105" s="99">
        <f>IF(AND(Database!DO27&gt;1,Database!DO28&gt;1),100*(Database!DO27/(Database!DO28)),0.0001)</f>
        <v>1E-4</v>
      </c>
      <c r="BI105" s="99">
        <f>IF(AND(Database!DQ27&gt;1,Database!DQ28&gt;1),100*(Database!DQ27/(Database!DQ28)),0.0001)</f>
        <v>1E-4</v>
      </c>
      <c r="BJ105" s="99">
        <f>IF(AND(Database!DS27&gt;1,Database!DS28&gt;1),100*(Database!DS27/(Database!DS28)),0.0001)</f>
        <v>1E-4</v>
      </c>
      <c r="BK105" s="99">
        <f>IF(AND(Database!DU27&gt;1,Database!DU28&gt;1),100*(Database!DU27/(Database!DU28)),0.0001)</f>
        <v>1E-4</v>
      </c>
      <c r="BL105" s="99">
        <f>IF(AND(Database!DW27&gt;1,Database!DW28&gt;1),100*(Database!DW27/(Database!DW28)),0.0001)</f>
        <v>1E-4</v>
      </c>
      <c r="BM105" s="99">
        <f>IF(AND(Database!DY27&gt;1,Database!DY28&gt;1),100*(Database!DY27/(Database!DY28)),0.0001)</f>
        <v>1E-4</v>
      </c>
      <c r="BN105" s="99">
        <f>IF(AND(Database!EA27&gt;1,Database!EA28&gt;1),100*(Database!EA27/(Database!EA28)),0.0001)</f>
        <v>1E-4</v>
      </c>
      <c r="BO105" s="99">
        <f>IF(AND(Database!EC27&gt;1,Database!EC28&gt;1),100*(Database!EC27/(Database!EC28)),0.0001)</f>
        <v>1E-4</v>
      </c>
      <c r="BP105" s="99">
        <f>IF(AND(Database!EE27&gt;1,Database!EE28&gt;1),100*(Database!EE27/(Database!EE28)),0.0001)</f>
        <v>1E-4</v>
      </c>
      <c r="BQ105" s="99">
        <f>IF(AND(Database!EG27&gt;1,Database!EG28&gt;1),100*(Database!EG27/(Database!EG28)),0.0001)</f>
        <v>1E-4</v>
      </c>
      <c r="BR105" s="99">
        <f>IF(AND(Database!EI27&gt;1,Database!EI28&gt;1),100*(Database!EI27/(Database!EI28)),0.0001)</f>
        <v>1E-4</v>
      </c>
      <c r="BS105" s="99">
        <f>IF(AND(Database!EK27&gt;1,Database!EK28&gt;1),100*(Database!EK27/(Database!EK28)),0.0001)</f>
        <v>1E-4</v>
      </c>
      <c r="BT105" s="99">
        <f>IF(AND(Database!EM27&gt;1,Database!EM28&gt;1),100*(Database!EM27/(Database!EM28)),0.0001)</f>
        <v>1E-4</v>
      </c>
      <c r="BU105" s="99">
        <f>IF(AND(Database!EO27&gt;1,Database!EO28&gt;1),100*(Database!EO27/(Database!EO28)),0.0001)</f>
        <v>1E-4</v>
      </c>
      <c r="BV105" s="99">
        <f>IF(AND(Database!EQ27&gt;1,Database!EQ28&gt;1),100*(Database!EQ27/(Database!EQ28)),0.0001)</f>
        <v>1E-4</v>
      </c>
      <c r="BW105" s="99">
        <f>IF(AND(Database!ES27&gt;1,Database!ES28&gt;1),100*(Database!ES27/(Database!ES28)),0.0001)</f>
        <v>1E-4</v>
      </c>
      <c r="BX105" s="99">
        <f>IF(AND(Database!EU27&gt;1,Database!EU28&gt;1),100*(Database!EU27/(Database!EU28)),0.0001)</f>
        <v>1E-4</v>
      </c>
      <c r="BY105" s="99">
        <f>IF(AND(Database!EW27&gt;1,Database!EW28&gt;1),100*(Database!EW27/(Database!EW28)),0.0001)</f>
        <v>1E-4</v>
      </c>
      <c r="BZ105" s="99">
        <f>IF(AND(Database!EY27&gt;1,Database!EY28&gt;1),100*(Database!EY27/(Database!EY28)),0.0001)</f>
        <v>1E-4</v>
      </c>
      <c r="CA105" s="99">
        <f>IF(AND(Database!FA27&gt;1,Database!FA28&gt;1),100*(Database!FA27/(Database!FA28)),0.0001)</f>
        <v>1E-4</v>
      </c>
      <c r="CB105" s="99">
        <f>IF(AND(Database!FC27&gt;1,Database!FC28&gt;1),100*(Database!FC27/(Database!FC28)),0.0001)</f>
        <v>1E-4</v>
      </c>
      <c r="CC105" s="99">
        <f>IF(AND(Database!FE27&gt;1,Database!FE28&gt;1),100*(Database!FE27/(Database!FE28)),0.0001)</f>
        <v>1E-4</v>
      </c>
      <c r="CD105" s="99">
        <f>IF(AND(Database!FG27&gt;1,Database!FG28&gt;1),100*(Database!FG27/(Database!FG28)),0.0001)</f>
        <v>1E-4</v>
      </c>
      <c r="CE105" s="99">
        <f>IF(AND(Database!FI27&gt;1,Database!FI28&gt;1),100*(Database!FI27/(Database!FI28)),0.0001)</f>
        <v>1E-4</v>
      </c>
      <c r="CF105" s="99">
        <f>IF(AND(Database!FK27&gt;1,Database!FK28&gt;1),100*(Database!FK27/(Database!FK28)),0.0001)</f>
        <v>1E-4</v>
      </c>
      <c r="CG105" s="99">
        <f>IF(AND(Database!FM27&gt;1,Database!FM28&gt;1),100*(Database!FM27/(Database!FM28)),0.0001)</f>
        <v>1E-4</v>
      </c>
      <c r="CH105" s="99">
        <f>IF(AND(Database!FO27&gt;1,Database!FO28&gt;1),100*(Database!FO27/(Database!FO28)),0.0001)</f>
        <v>1E-4</v>
      </c>
      <c r="CI105" s="99">
        <f>IF(AND(Database!FQ27&gt;1,Database!FQ28&gt;1),100*(Database!FQ27/(Database!FQ28)),0.0001)</f>
        <v>1E-4</v>
      </c>
      <c r="CJ105" s="99">
        <f>IF(AND(Database!FS27&gt;1,Database!FS28&gt;1),100*(Database!FS27/(Database!FS28)),0.0001)</f>
        <v>1E-4</v>
      </c>
      <c r="CK105" s="99">
        <f>IF(AND(Database!FU27&gt;1,Database!FU28&gt;1),100*(Database!FU27/(Database!FU28)),0.0001)</f>
        <v>1E-4</v>
      </c>
      <c r="CL105" s="99">
        <f>IF(AND(Database!FW27&gt;1,Database!FW28&gt;1),100*(Database!FW27/(Database!FW28)),0.0001)</f>
        <v>1E-4</v>
      </c>
      <c r="CM105" s="99">
        <f>IF(AND(Database!FY27&gt;1,Database!FY28&gt;1),100*(Database!FY27/(Database!FY28)),0.0001)</f>
        <v>1E-4</v>
      </c>
      <c r="CN105" s="99">
        <f>IF(AND(Database!GA27&gt;1,Database!GA28&gt;1),100*(Database!GA27/(Database!GA28)),0.0001)</f>
        <v>1E-4</v>
      </c>
      <c r="CO105" s="99">
        <f>IF(AND(Database!GC27&gt;1,Database!GC28&gt;1),100*(Database!GC27/(Database!GC28)),0.0001)</f>
        <v>1E-4</v>
      </c>
      <c r="CP105" s="99">
        <f>IF(AND(Database!GE27&gt;1,Database!GE28&gt;1),100*(Database!GE27/(Database!GE28)),0.0001)</f>
        <v>1E-4</v>
      </c>
      <c r="CQ105" s="99">
        <f>IF(AND(Database!GG27&gt;1,Database!GG28&gt;1),100*(Database!GG27/(Database!GG28)),0.0001)</f>
        <v>1E-4</v>
      </c>
      <c r="CR105" s="99">
        <f>IF(AND(Database!GI27&gt;1,Database!GI28&gt;1),100*(Database!GI27/(Database!GI28)),0.0001)</f>
        <v>1E-4</v>
      </c>
      <c r="CS105" s="99">
        <f>IF(AND(Database!GK27&gt;1,Database!GK28&gt;1),100*(Database!GK27/(Database!GK28)),0.0001)</f>
        <v>1E-4</v>
      </c>
      <c r="CT105" s="99">
        <f>IF(AND(Database!GM27&gt;1,Database!GM28&gt;1),100*(Database!GM27/(Database!GM28)),0.0001)</f>
        <v>1E-4</v>
      </c>
      <c r="CU105" s="99">
        <f>IF(AND(Database!GO27&gt;1,Database!GO28&gt;1),100*(Database!GO27/(Database!GO28)),0.0001)</f>
        <v>1E-4</v>
      </c>
      <c r="CV105" s="99">
        <f>IF(AND(Database!GQ27&gt;1,Database!GQ28&gt;1),100*(Database!GQ27/(Database!GQ28)),0.0001)</f>
        <v>1E-4</v>
      </c>
      <c r="CW105" s="99">
        <f>IF(AND(Database!GS27&gt;1,Database!GS28&gt;1),100*(Database!GS27/(Database!GS28)),0.0001)</f>
        <v>1E-4</v>
      </c>
      <c r="CX105" s="99">
        <f>IF(AND(Database!GU27&gt;1,Database!GU28&gt;1),100*(Database!GU27/(Database!GU28)),0.0001)</f>
        <v>1E-4</v>
      </c>
      <c r="CY105" s="99">
        <f>IF(AND(Database!GW27&gt;1,Database!GW28&gt;1),100*(Database!GW27/(Database!GW28)),0.0001)</f>
        <v>1E-4</v>
      </c>
      <c r="CZ105" s="99">
        <f>IF(AND(Database!GY27&gt;1,Database!GY28&gt;1),100*(Database!GY27/(Database!GY28)),0.0001)</f>
        <v>1E-4</v>
      </c>
      <c r="DA105" s="99">
        <f>IF(AND(Database!HA27&gt;1,Database!HA28&gt;1),100*(Database!HA27/(Database!HA28)),0.0001)</f>
        <v>1E-4</v>
      </c>
      <c r="DB105" s="99">
        <f>IF(AND(Database!HC27&gt;1,Database!HC28&gt;1),100*(Database!HC27/(Database!HC28)),0.0001)</f>
        <v>1E-4</v>
      </c>
      <c r="DC105" s="99">
        <f>IF(AND(Database!HE27&gt;1,Database!HE28&gt;1),100*(Database!HE27/(Database!HE28)),0.0001)</f>
        <v>1E-4</v>
      </c>
      <c r="DD105" s="99">
        <f>IF(AND(Database!HG27&gt;1,Database!HG28&gt;1),100*(Database!HG27/(Database!HG28)),0.0001)</f>
        <v>1E-4</v>
      </c>
      <c r="DE105" s="99">
        <f>IF(AND(Database!HI27&gt;1,Database!HI28&gt;1),100*(Database!HI27/(Database!HI28)),0.0001)</f>
        <v>1E-4</v>
      </c>
      <c r="DF105" s="99">
        <f>IF(AND(Database!HK27&gt;1,Database!HK28&gt;1),100*(Database!HK27/(Database!HK28)),0.0001)</f>
        <v>1E-4</v>
      </c>
      <c r="DG105" s="99">
        <f>IF(AND(Database!HM27&gt;1,Database!HM28&gt;1),100*(Database!HM27/(Database!HM28)),0.0001)</f>
        <v>1E-4</v>
      </c>
      <c r="DH105" s="99">
        <f>IF(AND(Database!HO27&gt;1,Database!HO28&gt;1),100*(Database!HO27/(Database!HO28)),0.0001)</f>
        <v>1E-4</v>
      </c>
      <c r="DI105" s="99">
        <f>IF(AND(Database!HQ27&gt;1,Database!HQ28&gt;1),100*(Database!HQ27/(Database!HQ28)),0.0001)</f>
        <v>1E-4</v>
      </c>
      <c r="DJ105" s="99">
        <f>IF(AND(Database!HS27&gt;1,Database!HS28&gt;1),100*(Database!HS27/(Database!HS28)),0.0001)</f>
        <v>1E-4</v>
      </c>
      <c r="DK105" s="99">
        <f>IF(AND(Database!HU27&gt;1,Database!HU28&gt;1),100*(Database!HU27/(Database!HU28)),0.0001)</f>
        <v>1E-4</v>
      </c>
      <c r="DL105" s="99">
        <f>IF(AND(Database!HW27&gt;1,Database!HW28&gt;1),100*(Database!HW27/(Database!HW28)),0.0001)</f>
        <v>1E-4</v>
      </c>
      <c r="DM105" s="99">
        <f>IF(AND(Database!HY27&gt;1,Database!HY28&gt;1),100*(Database!HY27/(Database!HY28)),0.0001)</f>
        <v>1E-4</v>
      </c>
      <c r="DN105" s="99">
        <f>IF(AND(Database!IA27&gt;1,Database!IA28&gt;1),100*(Database!IA27/(Database!IA28)),0.0001)</f>
        <v>1E-4</v>
      </c>
      <c r="DO105" s="99">
        <f>IF(AND(Database!IC27&gt;1,Database!IC28&gt;1),100*(Database!IC27/(Database!IC28)),0.0001)</f>
        <v>1E-4</v>
      </c>
      <c r="DP105" s="99">
        <f>IF(AND(Database!IE27&gt;1,Database!IE28&gt;1),100*(Database!IE27/(Database!IE28)),0.0001)</f>
        <v>1E-4</v>
      </c>
      <c r="DQ105" s="99">
        <f>IF(AND(Database!IG27&gt;1,Database!IG28&gt;1),100*(Database!IG27/(Database!IG28)),0.0001)</f>
        <v>1E-4</v>
      </c>
      <c r="DR105" s="99">
        <f>IF(AND(Database!II27&gt;1,Database!II28&gt;1),100*(Database!II27/(Database!II28)),0.0001)</f>
        <v>1E-4</v>
      </c>
      <c r="DS105" s="99">
        <f>IF(AND(Database!IK27&gt;1,Database!IK28&gt;1),100*(Database!IK27/(Database!IK28)),0.0001)</f>
        <v>1E-4</v>
      </c>
      <c r="DT105" s="99">
        <f>IF(AND(Database!IM27&gt;1,Database!IM28&gt;1),100*(Database!IM27/(Database!IM28)),0.0001)</f>
        <v>1E-4</v>
      </c>
      <c r="DU105" s="99">
        <f>IF(AND(Database!IO27&gt;1,Database!IO28&gt;1),100*(Database!IO27/(Database!IO28)),0.0001)</f>
        <v>1E-4</v>
      </c>
      <c r="DV105" s="99">
        <f>IF(AND(Database!IQ27&gt;1,Database!IQ28&gt;1),100*(Database!IQ27/(Database!IQ28)),0.0001)</f>
        <v>1E-4</v>
      </c>
      <c r="DW105" s="99">
        <f>IF(AND(Database!IS27&gt;1,Database!IS28&gt;1),100*(Database!IS27/(Database!IS28)),0.0001)</f>
        <v>1E-4</v>
      </c>
      <c r="DX105" s="99">
        <f>IF(AND(Database!IU27&gt;1,Database!IU28&gt;1),100*(Database!IU27/(Database!IU28)),0.0001)</f>
        <v>1E-4</v>
      </c>
      <c r="DY105" s="99">
        <f>IF(AND(Database!IW27&gt;1,Database!IW28&gt;1),100*(Database!IW27/(Database!IW28)),0.0001)</f>
        <v>1E-4</v>
      </c>
      <c r="DZ105" s="99">
        <f>IF(AND(Database!IY27&gt;1,Database!IY28&gt;1),100*(Database!IY27/(Database!IY28)),0.0001)</f>
        <v>1E-4</v>
      </c>
      <c r="EA105" s="99">
        <f>IF(AND(Database!JA27&gt;1,Database!JA28&gt;1),100*(Database!JA27/(Database!JA28)),0.0001)</f>
        <v>1E-4</v>
      </c>
      <c r="EB105" s="99">
        <f>IF(AND(Database!JC27&gt;1,Database!JC28&gt;1),100*(Database!JC27/(Database!JC28)),0.0001)</f>
        <v>1E-4</v>
      </c>
      <c r="EC105" s="99">
        <f>IF(AND(Database!JE27&gt;1,Database!JE28&gt;1),100*(Database!JE27/(Database!JE28)),0.0001)</f>
        <v>1E-4</v>
      </c>
      <c r="ED105" s="99">
        <f>IF(AND(Database!JG27&gt;1,Database!JG28&gt;1),100*(Database!JG27/(Database!JG28)),0.0001)</f>
        <v>1E-4</v>
      </c>
      <c r="EE105" s="99">
        <f>IF(AND(Database!JI27&gt;1,Database!JI28&gt;1),100*(Database!JI27/(Database!JI28)),0.0001)</f>
        <v>1E-4</v>
      </c>
      <c r="EF105" s="99">
        <f>IF(AND(Database!JK27&gt;1,Database!JK28&gt;1),100*(Database!JK27/(Database!JK28)),0.0001)</f>
        <v>1E-4</v>
      </c>
      <c r="EG105" s="99">
        <f>IF(AND(Database!JM27&gt;1,Database!JM28&gt;1),100*(Database!JM27/(Database!JM28)),0.0001)</f>
        <v>1E-4</v>
      </c>
      <c r="EH105" s="99">
        <f>IF(AND(Database!JO27&gt;1,Database!JO28&gt;1),100*(Database!JO27/(Database!JO28)),0.0001)</f>
        <v>1E-4</v>
      </c>
      <c r="EI105" s="99">
        <f>IF(AND(Database!JQ27&gt;1,Database!JQ28&gt;1),100*(Database!JQ27/(Database!JQ28)),0.0001)</f>
        <v>1E-4</v>
      </c>
      <c r="EJ105" s="99">
        <f>IF(AND(Database!JS27&gt;1,Database!JS28&gt;1),100*(Database!JS27/(Database!JS28)),0.0001)</f>
        <v>1E-4</v>
      </c>
      <c r="EK105" s="99">
        <f>IF(AND(Database!JU27&gt;1,Database!JU28&gt;1),100*(Database!JU27/(Database!JU28)),0.0001)</f>
        <v>1E-4</v>
      </c>
      <c r="EL105" s="99">
        <f>IF(AND(Database!JW27&gt;1,Database!JW28&gt;1),100*(Database!JW27/(Database!JW28)),0.0001)</f>
        <v>1E-4</v>
      </c>
      <c r="EM105" s="99">
        <f>IF(AND(Database!JY27&gt;1,Database!JY28&gt;1),100*(Database!JY27/(Database!JY28)),0.0001)</f>
        <v>1E-4</v>
      </c>
      <c r="EN105" s="99">
        <f>IF(AND(Database!KA27&gt;1,Database!KA28&gt;1),100*(Database!KA27/(Database!KA28)),0.0001)</f>
        <v>1E-4</v>
      </c>
      <c r="EO105" s="99">
        <f>IF(AND(Database!KC27&gt;1,Database!KC28&gt;1),100*(Database!KC27/(Database!KC28)),0.0001)</f>
        <v>1E-4</v>
      </c>
      <c r="EP105" s="99">
        <f>IF(AND(Database!KE27&gt;1,Database!KE28&gt;1),100*(Database!KE27/(Database!KE28)),0.0001)</f>
        <v>1E-4</v>
      </c>
      <c r="EQ105" s="99">
        <f>IF(AND(Database!KG27&gt;1,Database!KG28&gt;1),100*(Database!KG27/(Database!KG28)),0.0001)</f>
        <v>1E-4</v>
      </c>
      <c r="ER105" s="99">
        <f>IF(AND(Database!KI27&gt;1,Database!KI28&gt;1),100*(Database!KI27/(Database!KI28)),0.0001)</f>
        <v>1E-4</v>
      </c>
      <c r="ES105" s="99">
        <f>IF(AND(Database!KK27&gt;1,Database!KK28&gt;1),100*(Database!KK27/(Database!KK28)),0.0001)</f>
        <v>1E-4</v>
      </c>
      <c r="ET105" s="99">
        <f>IF(AND(Database!KM27&gt;1,Database!KM28&gt;1),100*(Database!KM27/(Database!KM28)),0.0001)</f>
        <v>1E-4</v>
      </c>
      <c r="EU105" s="99">
        <f>IF(AND(Database!KO27&gt;1,Database!KO28&gt;1),100*(Database!KO27/(Database!KO28)),0.0001)</f>
        <v>1E-4</v>
      </c>
      <c r="EV105" s="99">
        <f>IF(AND(Database!KQ27&gt;1,Database!KQ28&gt;1),100*(Database!KQ27/(Database!KQ28)),0.0001)</f>
        <v>1E-4</v>
      </c>
      <c r="EW105" s="99">
        <f>IF(AND(Database!KS27&gt;1,Database!KS28&gt;1),100*(Database!KS27/(Database!KS28)),0.0001)</f>
        <v>1E-4</v>
      </c>
      <c r="EX105" s="99">
        <f>IF(AND(Database!KU27&gt;1,Database!KU28&gt;1),100*(Database!KU27/(Database!KU28)),0.0001)</f>
        <v>1E-4</v>
      </c>
      <c r="EY105" s="99">
        <f>IF(AND(Database!KW27&gt;1,Database!KW28&gt;1),100*(Database!KW27/(Database!KW28)),0.0001)</f>
        <v>1E-4</v>
      </c>
      <c r="EZ105" s="99">
        <f>IF(AND(Database!KY27&gt;1,Database!KY28&gt;1),100*(Database!KY27/(Database!KY28)),0.0001)</f>
        <v>1E-4</v>
      </c>
      <c r="FA105" s="99">
        <f>IF(AND(Database!LA27&gt;1,Database!LA28&gt;1),100*(Database!LA27/(Database!LA28)),0.0001)</f>
        <v>1E-4</v>
      </c>
      <c r="FB105" s="99">
        <f>IF(AND(Database!LC27&gt;1,Database!LC28&gt;1),100*(Database!LC27/(Database!LC28)),0.0001)</f>
        <v>1E-4</v>
      </c>
      <c r="FC105" s="99">
        <f>IF(AND(Database!LE27&gt;1,Database!LE28&gt;1),100*(Database!LE27/(Database!LE28)),0.0001)</f>
        <v>1E-4</v>
      </c>
      <c r="FD105" s="99">
        <f>IF(AND(Database!LG27&gt;1,Database!LG28&gt;1),100*(Database!LG27/(Database!LG28)),0.0001)</f>
        <v>1E-4</v>
      </c>
      <c r="FE105" s="99">
        <f>IF(AND(Database!LI27&gt;1,Database!LI28&gt;1),100*(Database!LI27/(Database!LI28)),0.0001)</f>
        <v>1E-4</v>
      </c>
      <c r="FF105" s="99">
        <f>IF(AND(Database!LK27&gt;1,Database!LK28&gt;1),100*(Database!LK27/(Database!LK28)),0.0001)</f>
        <v>1E-4</v>
      </c>
      <c r="FG105" s="99">
        <f>IF(AND(Database!LM27&gt;1,Database!LM28&gt;1),100*(Database!LM27/(Database!LM28)),0.0001)</f>
        <v>1E-4</v>
      </c>
      <c r="FH105" s="99">
        <f>IF(AND(Database!LO27&gt;1,Database!LO28&gt;1),100*(Database!LO27/(Database!LO28)),0.0001)</f>
        <v>1E-4</v>
      </c>
      <c r="FI105" s="99">
        <f>IF(AND(Database!LQ27&gt;1,Database!LQ28&gt;1),100*(Database!LQ27/(Database!LQ28)),0.0001)</f>
        <v>1E-4</v>
      </c>
      <c r="FJ105" s="99">
        <f>IF(AND(Database!LS27&gt;1,Database!LS28&gt;1),100*(Database!LS27/(Database!LS28)),0.0001)</f>
        <v>1E-4</v>
      </c>
      <c r="FK105" s="99">
        <f>IF(AND(Database!LU27&gt;1,Database!LU28&gt;1),100*(Database!LU27/(Database!LU28)),0.0001)</f>
        <v>1E-4</v>
      </c>
      <c r="FL105" s="99">
        <f>IF(AND(Database!LW27&gt;1,Database!LW28&gt;1),100*(Database!LW27/(Database!LW28)),0.0001)</f>
        <v>1E-4</v>
      </c>
      <c r="FM105" s="99">
        <f>IF(AND(Database!LY27&gt;1,Database!LY28&gt;1),100*(Database!LY27/(Database!LY28)),0.0001)</f>
        <v>1E-4</v>
      </c>
      <c r="FN105" s="99">
        <f>IF(AND(Database!MA27&gt;1,Database!MA28&gt;1),100*(Database!MA27/(Database!MA28)),0.0001)</f>
        <v>1E-4</v>
      </c>
      <c r="FO105" s="99">
        <f>IF(AND(Database!MC27&gt;1,Database!MC28&gt;1),100*(Database!MC27/(Database!MC28)),0.0001)</f>
        <v>1E-4</v>
      </c>
      <c r="FP105" s="99">
        <f>IF(AND(Database!ME27&gt;1,Database!ME28&gt;1),100*(Database!ME27/(Database!ME28)),0.0001)</f>
        <v>1E-4</v>
      </c>
      <c r="FQ105" s="99">
        <f>IF(AND(Database!MG27&gt;1,Database!MG28&gt;1),100*(Database!MG27/(Database!MG28)),0.0001)</f>
        <v>1E-4</v>
      </c>
      <c r="FR105" s="99">
        <f>IF(AND(Database!MI27&gt;1,Database!MI28&gt;1),100*(Database!MI27/(Database!MI28)),0.0001)</f>
        <v>1E-4</v>
      </c>
      <c r="FS105" s="99">
        <f>IF(AND(Database!MK27&gt;1,Database!MK28&gt;1),100*(Database!MK27/(Database!MK28)),0.0001)</f>
        <v>1E-4</v>
      </c>
      <c r="FT105" s="99">
        <f>IF(AND(Database!MM27&gt;1,Database!MM28&gt;1),100*(Database!MM27/(Database!MM28)),0.0001)</f>
        <v>1E-4</v>
      </c>
      <c r="FU105" s="99">
        <f>IF(AND(Database!MO27&gt;1,Database!MO28&gt;1),100*(Database!MO27/(Database!MO28)),0.0001)</f>
        <v>1E-4</v>
      </c>
      <c r="FV105" s="99">
        <f>IF(AND(Database!MQ27&gt;1,Database!MQ28&gt;1),100*(Database!MQ27/(Database!MQ28)),0.0001)</f>
        <v>1E-4</v>
      </c>
      <c r="FW105" s="99">
        <f>IF(AND(Database!MS27&gt;1,Database!MS28&gt;1),100*(Database!MS27/(Database!MS28)),0.0001)</f>
        <v>1E-4</v>
      </c>
      <c r="FX105" s="99">
        <f>IF(AND(Database!MU27&gt;1,Database!MU28&gt;1),100*(Database!MU27/(Database!MU28)),0.0001)</f>
        <v>1E-4</v>
      </c>
      <c r="FY105" s="99">
        <f>IF(AND(Database!MW27&gt;1,Database!MW28&gt;1),100*(Database!MW27/(Database!MW28)),0.0001)</f>
        <v>1E-4</v>
      </c>
      <c r="FZ105" s="99">
        <f>IF(AND(Database!MY27&gt;1,Database!MY28&gt;1),100*(Database!MY27/(Database!MY28)),0.0001)</f>
        <v>1E-4</v>
      </c>
      <c r="GA105" s="99">
        <f>IF(AND(Database!NA27&gt;1,Database!NA28&gt;1),100*(Database!NA27/(Database!NA28)),0.0001)</f>
        <v>1E-4</v>
      </c>
      <c r="GB105" s="99">
        <f>IF(AND(Database!NC27&gt;1,Database!NC28&gt;1),100*(Database!NC27/(Database!NC28)),0.0001)</f>
        <v>1E-4</v>
      </c>
      <c r="GC105" s="99">
        <f>IF(AND(Database!NE27&gt;1,Database!NE28&gt;1),100*(Database!NE27/(Database!NE28)),0.0001)</f>
        <v>1E-4</v>
      </c>
      <c r="GD105" s="99">
        <f>IF(AND(Database!NG27&gt;1,Database!NG28&gt;1),100*(Database!NG27/(Database!NG28)),0.0001)</f>
        <v>1E-4</v>
      </c>
      <c r="GE105" s="99">
        <f>IF(AND(Database!NI27&gt;1,Database!NI28&gt;1),100*(Database!NI27/(Database!NI28)),0.0001)</f>
        <v>1E-4</v>
      </c>
      <c r="GF105" s="99">
        <f>IF(AND(Database!NK27&gt;1,Database!NK28&gt;1),100*(Database!NK27/(Database!NK28)),0.0001)</f>
        <v>1E-4</v>
      </c>
      <c r="GG105" s="99">
        <f>IF(AND(Database!NM27&gt;1,Database!NM28&gt;1),100*(Database!NM27/(Database!NM28)),0.0001)</f>
        <v>1E-4</v>
      </c>
      <c r="GH105" s="99">
        <f>IF(AND(Database!NO27&gt;1,Database!NO28&gt;1),100*(Database!NO27/(Database!NO28)),0.0001)</f>
        <v>1E-4</v>
      </c>
      <c r="GI105" s="99">
        <f>IF(AND(Database!NQ27&gt;1,Database!NQ28&gt;1),100*(Database!NQ27/(Database!NQ28)),0.0001)</f>
        <v>1E-4</v>
      </c>
      <c r="GJ105" s="99">
        <f>IF(AND(Database!NS27&gt;1,Database!NS28&gt;1),100*(Database!NS27/(Database!NS28)),0.0001)</f>
        <v>1E-4</v>
      </c>
      <c r="GK105" s="99">
        <f>IF(AND(Database!NU27&gt;1,Database!NU28&gt;1),100*(Database!NU27/(Database!NU28)),0.0001)</f>
        <v>1E-4</v>
      </c>
      <c r="GL105" s="99">
        <f>IF(AND(Database!NW27&gt;1,Database!NW28&gt;1),100*(Database!NW27/(Database!NW28)),0.0001)</f>
        <v>1E-4</v>
      </c>
      <c r="GM105" s="99">
        <f>IF(AND(Database!NY27&gt;1,Database!NY28&gt;1),100*(Database!NY27/(Database!NY28)),0.0001)</f>
        <v>1E-4</v>
      </c>
      <c r="GN105" s="99">
        <f>IF(AND(Database!OA27&gt;1,Database!OA28&gt;1),100*(Database!OA27/(Database!OA28)),0.0001)</f>
        <v>1E-4</v>
      </c>
      <c r="GO105" s="99">
        <f>IF(AND(Database!OC27&gt;1,Database!OC28&gt;1),100*(Database!OC27/(Database!OC28)),0.0001)</f>
        <v>1E-4</v>
      </c>
      <c r="GP105" s="99">
        <f>IF(AND(Database!OE27&gt;1,Database!OE28&gt;1),100*(Database!OE27/(Database!OE28)),0.0001)</f>
        <v>1E-4</v>
      </c>
      <c r="GQ105" s="99">
        <f>IF(AND(Database!OG27&gt;1,Database!OG28&gt;1),100*(Database!OG27/(Database!OG28)),0.0001)</f>
        <v>1E-4</v>
      </c>
      <c r="GR105" s="99">
        <f>IF(AND(Database!OI27&gt;1,Database!OI28&gt;1),100*(Database!OI27/(Database!OI28)),0.0001)</f>
        <v>1E-4</v>
      </c>
      <c r="GS105" s="99">
        <f>IF(AND(Database!OK27&gt;1,Database!OK28&gt;1),100*(Database!OK27/(Database!OK28)),0.0001)</f>
        <v>1E-4</v>
      </c>
      <c r="GT105" s="99">
        <f>IF(AND(Database!OM27&gt;1,Database!OM28&gt;1),100*(Database!OM27/(Database!OM28)),0.0001)</f>
        <v>1E-4</v>
      </c>
    </row>
    <row r="106" spans="1:202" ht="18.75" customHeight="1" x14ac:dyDescent="0.4">
      <c r="A106" s="29" t="s">
        <v>116</v>
      </c>
      <c r="B106" s="306"/>
      <c r="C106" s="99">
        <f>IF(AND(Database!E26&gt;1,Database!E30&gt;1),100*(Database!E26/(Database!E30)),0.0001)</f>
        <v>27.663122129239287</v>
      </c>
      <c r="D106" s="99">
        <f>IF(AND(Database!G26&gt;1,Database!G30&gt;1),100*(Database!G26/(Database!G30)),0.0001)</f>
        <v>23.476027397260275</v>
      </c>
      <c r="E106" s="99">
        <f>IF(AND(Database!I26&gt;1,Database!I30&gt;1),100*(Database!I26/(Database!I30)),0.0001)</f>
        <v>22.14818763326226</v>
      </c>
      <c r="F106" s="99">
        <f>IF(AND(Database!K26&gt;1,Database!K30&gt;1),100*(Database!K26/(Database!K30)),0.0001)</f>
        <v>24.002203415293703</v>
      </c>
      <c r="G106" s="99">
        <f>IF(AND(Database!M26&gt;1,Database!M30&gt;1),100*(Database!M26/(Database!M30)),0.0001)</f>
        <v>1E-4</v>
      </c>
      <c r="H106" s="99">
        <f>IF(AND(Database!O26&gt;1,Database!O30&gt;1),100*(Database!O26/(Database!O30)),0.0001)</f>
        <v>1E-4</v>
      </c>
      <c r="I106" s="99">
        <f>IF(AND(Database!Q26&gt;1,Database!Q30&gt;1),100*(Database!Q26/(Database!Q30)),0.0001)</f>
        <v>1E-4</v>
      </c>
      <c r="J106" s="99">
        <f>IF(AND(Database!S26&gt;1,Database!S30&gt;1),100*(Database!S26/(Database!S30)),0.0001)</f>
        <v>1E-4</v>
      </c>
      <c r="K106" s="99">
        <f>IF(AND(Database!U26&gt;1,Database!U30&gt;1),100*(Database!U26/(Database!U30)),0.0001)</f>
        <v>1E-4</v>
      </c>
      <c r="L106" s="99">
        <f>IF(AND(Database!W26&gt;1,Database!W30&gt;1),100*(Database!W26/(Database!W30)),0.0001)</f>
        <v>1E-4</v>
      </c>
      <c r="M106" s="99">
        <f>IF(AND(Database!Y26&gt;1,Database!Y30&gt;1),100*(Database!Y26/(Database!Y30)),0.0001)</f>
        <v>1E-4</v>
      </c>
      <c r="N106" s="99">
        <f>IF(AND(Database!AA26&gt;1,Database!AA30&gt;1),100*(Database!AA26/(Database!AA30)),0.0001)</f>
        <v>1E-4</v>
      </c>
      <c r="O106" s="99">
        <f>IF(AND(Database!AC26&gt;1,Database!AC30&gt;1),100*(Database!AC26/(Database!AC30)),0.0001)</f>
        <v>1E-4</v>
      </c>
      <c r="P106" s="99">
        <f>IF(AND(Database!AE26&gt;1,Database!AE30&gt;1),100*(Database!AE26/(Database!AE30)),0.0001)</f>
        <v>1E-4</v>
      </c>
      <c r="Q106" s="99">
        <f>IF(AND(Database!AG26&gt;1,Database!AG30&gt;1),100*(Database!AG26/(Database!AG30)),0.0001)</f>
        <v>1E-4</v>
      </c>
      <c r="R106" s="99">
        <f>IF(AND(Database!AI26&gt;1,Database!AI30&gt;1),100*(Database!AI26/(Database!AI30)),0.0001)</f>
        <v>1E-4</v>
      </c>
      <c r="S106" s="99">
        <f>IF(AND(Database!AK26&gt;1,Database!AK30&gt;1),100*(Database!AK26/(Database!AK30)),0.0001)</f>
        <v>1E-4</v>
      </c>
      <c r="T106" s="99">
        <f>IF(AND(Database!AM26&gt;1,Database!AM30&gt;1),100*(Database!AM26/(Database!AM30)),0.0001)</f>
        <v>1E-4</v>
      </c>
      <c r="U106" s="99">
        <f>IF(AND(Database!AO26&gt;1,Database!AO30&gt;1),100*(Database!AO26/(Database!AO30)),0.0001)</f>
        <v>1E-4</v>
      </c>
      <c r="V106" s="99">
        <f>IF(AND(Database!AQ26&gt;1,Database!AQ30&gt;1),100*(Database!AQ26/(Database!AQ30)),0.0001)</f>
        <v>1E-4</v>
      </c>
      <c r="W106" s="99">
        <f>IF(AND(Database!AS26&gt;1,Database!AS30&gt;1),100*(Database!AS26/(Database!AS30)),0.0001)</f>
        <v>1E-4</v>
      </c>
      <c r="X106" s="99">
        <f>IF(AND(Database!AU26&gt;1,Database!AU30&gt;1),100*(Database!AU26/(Database!AU30)),0.0001)</f>
        <v>1E-4</v>
      </c>
      <c r="Y106" s="99">
        <f>IF(AND(Database!AW26&gt;1,Database!AW30&gt;1),100*(Database!AW26/(Database!AW30)),0.0001)</f>
        <v>1E-4</v>
      </c>
      <c r="Z106" s="99">
        <f>IF(AND(Database!AY26&gt;1,Database!AY30&gt;1),100*(Database!AY26/(Database!AY30)),0.0001)</f>
        <v>1E-4</v>
      </c>
      <c r="AA106" s="99">
        <f>IF(AND(Database!BA26&gt;1,Database!BA30&gt;1),100*(Database!BA26/(Database!BA30)),0.0001)</f>
        <v>1E-4</v>
      </c>
      <c r="AB106" s="99">
        <f>IF(AND(Database!BC26&gt;1,Database!BC30&gt;1),100*(Database!BC26/(Database!BC30)),0.0001)</f>
        <v>1E-4</v>
      </c>
      <c r="AC106" s="99">
        <f>IF(AND(Database!BE26&gt;1,Database!BE30&gt;1),100*(Database!BE26/(Database!BE30)),0.0001)</f>
        <v>1E-4</v>
      </c>
      <c r="AD106" s="99">
        <f>IF(AND(Database!BG26&gt;1,Database!BG30&gt;1),100*(Database!BG26/(Database!BG30)),0.0001)</f>
        <v>1E-4</v>
      </c>
      <c r="AE106" s="99">
        <f>IF(AND(Database!BI26&gt;1,Database!BI30&gt;1),100*(Database!BI26/(Database!BI30)),0.0001)</f>
        <v>1E-4</v>
      </c>
      <c r="AF106" s="99">
        <f>IF(AND(Database!BK26&gt;1,Database!BK30&gt;1),100*(Database!BK26/(Database!BK30)),0.0001)</f>
        <v>1E-4</v>
      </c>
      <c r="AG106" s="99">
        <f>IF(AND(Database!BM26&gt;1,Database!BM30&gt;1),100*(Database!BM26/(Database!BM30)),0.0001)</f>
        <v>1E-4</v>
      </c>
      <c r="AH106" s="99">
        <f>IF(AND(Database!BO26&gt;1,Database!BO30&gt;1),100*(Database!BO26/(Database!BO30)),0.0001)</f>
        <v>1E-4</v>
      </c>
      <c r="AI106" s="99">
        <f>IF(AND(Database!BQ26&gt;1,Database!BQ30&gt;1),100*(Database!BQ26/(Database!BQ30)),0.0001)</f>
        <v>1E-4</v>
      </c>
      <c r="AJ106" s="99">
        <f>IF(AND(Database!BS26&gt;1,Database!BS30&gt;1),100*(Database!BS26/(Database!BS30)),0.0001)</f>
        <v>1E-4</v>
      </c>
      <c r="AK106" s="99">
        <f>IF(AND(Database!BU26&gt;1,Database!BU30&gt;1),100*(Database!BU26/(Database!BU30)),0.0001)</f>
        <v>1E-4</v>
      </c>
      <c r="AL106" s="99">
        <f>IF(AND(Database!BW26&gt;1,Database!BW30&gt;1),100*(Database!BW26/(Database!BW30)),0.0001)</f>
        <v>1E-4</v>
      </c>
      <c r="AM106" s="99">
        <f>IF(AND(Database!BY26&gt;1,Database!BY30&gt;1),100*(Database!BY26/(Database!BY30)),0.0001)</f>
        <v>1E-4</v>
      </c>
      <c r="AN106" s="99">
        <f>IF(AND(Database!CA26&gt;1,Database!CA30&gt;1),100*(Database!CA26/(Database!CA30)),0.0001)</f>
        <v>1E-4</v>
      </c>
      <c r="AO106" s="99">
        <f>IF(AND(Database!CC26&gt;1,Database!CC30&gt;1),100*(Database!CC26/(Database!CC30)),0.0001)</f>
        <v>1E-4</v>
      </c>
      <c r="AP106" s="99">
        <f>IF(AND(Database!CE26&gt;1,Database!CE30&gt;1),100*(Database!CE26/(Database!CE30)),0.0001)</f>
        <v>1E-4</v>
      </c>
      <c r="AQ106" s="99">
        <f>IF(AND(Database!CG26&gt;1,Database!CG30&gt;1),100*(Database!CG26/(Database!CG30)),0.0001)</f>
        <v>1E-4</v>
      </c>
      <c r="AR106" s="99">
        <f>IF(AND(Database!CI26&gt;1,Database!CI30&gt;1),100*(Database!CI26/(Database!CI30)),0.0001)</f>
        <v>1E-4</v>
      </c>
      <c r="AS106" s="99">
        <f>IF(AND(Database!CK26&gt;1,Database!CK30&gt;1),100*(Database!CK26/(Database!CK30)),0.0001)</f>
        <v>1E-4</v>
      </c>
      <c r="AT106" s="99">
        <f>IF(AND(Database!CM26&gt;1,Database!CM30&gt;1),100*(Database!CM26/(Database!CM30)),0.0001)</f>
        <v>1E-4</v>
      </c>
      <c r="AU106" s="99">
        <f>IF(AND(Database!CO26&gt;1,Database!CO30&gt;1),100*(Database!CO26/(Database!CO30)),0.0001)</f>
        <v>1E-4</v>
      </c>
      <c r="AV106" s="99">
        <f>IF(AND(Database!CQ26&gt;1,Database!CQ30&gt;1),100*(Database!CQ26/(Database!CQ30)),0.0001)</f>
        <v>1E-4</v>
      </c>
      <c r="AW106" s="99">
        <f>IF(AND(Database!CS26&gt;1,Database!CS30&gt;1),100*(Database!CS26/(Database!CS30)),0.0001)</f>
        <v>1E-4</v>
      </c>
      <c r="AX106" s="99">
        <f>IF(AND(Database!CU26&gt;1,Database!CU30&gt;1),100*(Database!CU26/(Database!CU30)),0.0001)</f>
        <v>1E-4</v>
      </c>
      <c r="AY106" s="99">
        <f>IF(AND(Database!CW26&gt;1,Database!CW30&gt;1),100*(Database!CW26/(Database!CW30)),0.0001)</f>
        <v>1E-4</v>
      </c>
      <c r="AZ106" s="99">
        <f>IF(AND(Database!CY26&gt;1,Database!CY30&gt;1),100*(Database!CY26/(Database!CY30)),0.0001)</f>
        <v>1E-4</v>
      </c>
      <c r="BA106" s="99">
        <f>IF(AND(Database!DA26&gt;1,Database!DA30&gt;1),100*(Database!DA26/(Database!DA30)),0.0001)</f>
        <v>1E-4</v>
      </c>
      <c r="BB106" s="99">
        <f>IF(AND(Database!DC26&gt;1,Database!DC30&gt;1),100*(Database!DC26/(Database!DC30)),0.0001)</f>
        <v>1E-4</v>
      </c>
      <c r="BC106" s="99">
        <f>IF(AND(Database!DE26&gt;1,Database!DE30&gt;1),100*(Database!DE26/(Database!DE30)),0.0001)</f>
        <v>1E-4</v>
      </c>
      <c r="BD106" s="99">
        <f>IF(AND(Database!DG26&gt;1,Database!DG30&gt;1),100*(Database!DG26/(Database!DG30)),0.0001)</f>
        <v>1E-4</v>
      </c>
      <c r="BE106" s="99">
        <f>IF(AND(Database!DI26&gt;1,Database!DI30&gt;1),100*(Database!DI26/(Database!DI30)),0.0001)</f>
        <v>1E-4</v>
      </c>
      <c r="BF106" s="99">
        <f>IF(AND(Database!DK26&gt;1,Database!DK30&gt;1),100*(Database!DK26/(Database!DK30)),0.0001)</f>
        <v>1E-4</v>
      </c>
      <c r="BG106" s="99">
        <f>IF(AND(Database!DM26&gt;1,Database!DM30&gt;1),100*(Database!DM26/(Database!DM30)),0.0001)</f>
        <v>1E-4</v>
      </c>
      <c r="BH106" s="99">
        <f>IF(AND(Database!DO26&gt;1,Database!DO30&gt;1),100*(Database!DO26/(Database!DO30)),0.0001)</f>
        <v>1E-4</v>
      </c>
      <c r="BI106" s="99">
        <f>IF(AND(Database!DQ26&gt;1,Database!DQ30&gt;1),100*(Database!DQ26/(Database!DQ30)),0.0001)</f>
        <v>1E-4</v>
      </c>
      <c r="BJ106" s="99">
        <f>IF(AND(Database!DS26&gt;1,Database!DS30&gt;1),100*(Database!DS26/(Database!DS30)),0.0001)</f>
        <v>1E-4</v>
      </c>
      <c r="BK106" s="99">
        <f>IF(AND(Database!DU26&gt;1,Database!DU30&gt;1),100*(Database!DU26/(Database!DU30)),0.0001)</f>
        <v>1E-4</v>
      </c>
      <c r="BL106" s="99">
        <f>IF(AND(Database!DW26&gt;1,Database!DW30&gt;1),100*(Database!DW26/(Database!DW30)),0.0001)</f>
        <v>1E-4</v>
      </c>
      <c r="BM106" s="99">
        <f>IF(AND(Database!DY26&gt;1,Database!DY30&gt;1),100*(Database!DY26/(Database!DY30)),0.0001)</f>
        <v>1E-4</v>
      </c>
      <c r="BN106" s="99">
        <f>IF(AND(Database!EA26&gt;1,Database!EA30&gt;1),100*(Database!EA26/(Database!EA30)),0.0001)</f>
        <v>1E-4</v>
      </c>
      <c r="BO106" s="99">
        <f>IF(AND(Database!EC26&gt;1,Database!EC30&gt;1),100*(Database!EC26/(Database!EC30)),0.0001)</f>
        <v>1E-4</v>
      </c>
      <c r="BP106" s="99">
        <f>IF(AND(Database!EE26&gt;1,Database!EE30&gt;1),100*(Database!EE26/(Database!EE30)),0.0001)</f>
        <v>1E-4</v>
      </c>
      <c r="BQ106" s="99">
        <f>IF(AND(Database!EG26&gt;1,Database!EG30&gt;1),100*(Database!EG26/(Database!EG30)),0.0001)</f>
        <v>1E-4</v>
      </c>
      <c r="BR106" s="99">
        <f>IF(AND(Database!EI26&gt;1,Database!EI30&gt;1),100*(Database!EI26/(Database!EI30)),0.0001)</f>
        <v>1E-4</v>
      </c>
      <c r="BS106" s="99">
        <f>IF(AND(Database!EK26&gt;1,Database!EK30&gt;1),100*(Database!EK26/(Database!EK30)),0.0001)</f>
        <v>1E-4</v>
      </c>
      <c r="BT106" s="99">
        <f>IF(AND(Database!EM26&gt;1,Database!EM30&gt;1),100*(Database!EM26/(Database!EM30)),0.0001)</f>
        <v>1E-4</v>
      </c>
      <c r="BU106" s="99">
        <f>IF(AND(Database!EO26&gt;1,Database!EO30&gt;1),100*(Database!EO26/(Database!EO30)),0.0001)</f>
        <v>1E-4</v>
      </c>
      <c r="BV106" s="99">
        <f>IF(AND(Database!EQ26&gt;1,Database!EQ30&gt;1),100*(Database!EQ26/(Database!EQ30)),0.0001)</f>
        <v>1E-4</v>
      </c>
      <c r="BW106" s="99">
        <f>IF(AND(Database!ES26&gt;1,Database!ES30&gt;1),100*(Database!ES26/(Database!ES30)),0.0001)</f>
        <v>1E-4</v>
      </c>
      <c r="BX106" s="99">
        <f>IF(AND(Database!EU26&gt;1,Database!EU30&gt;1),100*(Database!EU26/(Database!EU30)),0.0001)</f>
        <v>1E-4</v>
      </c>
      <c r="BY106" s="99">
        <f>IF(AND(Database!EW26&gt;1,Database!EW30&gt;1),100*(Database!EW26/(Database!EW30)),0.0001)</f>
        <v>1E-4</v>
      </c>
      <c r="BZ106" s="99">
        <f>IF(AND(Database!EY26&gt;1,Database!EY30&gt;1),100*(Database!EY26/(Database!EY30)),0.0001)</f>
        <v>1E-4</v>
      </c>
      <c r="CA106" s="99">
        <f>IF(AND(Database!FA26&gt;1,Database!FA30&gt;1),100*(Database!FA26/(Database!FA30)),0.0001)</f>
        <v>1E-4</v>
      </c>
      <c r="CB106" s="99">
        <f>IF(AND(Database!FC26&gt;1,Database!FC30&gt;1),100*(Database!FC26/(Database!FC30)),0.0001)</f>
        <v>1E-4</v>
      </c>
      <c r="CC106" s="99">
        <f>IF(AND(Database!FE26&gt;1,Database!FE30&gt;1),100*(Database!FE26/(Database!FE30)),0.0001)</f>
        <v>1E-4</v>
      </c>
      <c r="CD106" s="99">
        <f>IF(AND(Database!FG26&gt;1,Database!FG30&gt;1),100*(Database!FG26/(Database!FG30)),0.0001)</f>
        <v>1E-4</v>
      </c>
      <c r="CE106" s="99">
        <f>IF(AND(Database!FI26&gt;1,Database!FI30&gt;1),100*(Database!FI26/(Database!FI30)),0.0001)</f>
        <v>1E-4</v>
      </c>
      <c r="CF106" s="99">
        <f>IF(AND(Database!FK26&gt;1,Database!FK30&gt;1),100*(Database!FK26/(Database!FK30)),0.0001)</f>
        <v>1E-4</v>
      </c>
      <c r="CG106" s="99">
        <f>IF(AND(Database!FM26&gt;1,Database!FM30&gt;1),100*(Database!FM26/(Database!FM30)),0.0001)</f>
        <v>1E-4</v>
      </c>
      <c r="CH106" s="99">
        <f>IF(AND(Database!FO26&gt;1,Database!FO30&gt;1),100*(Database!FO26/(Database!FO30)),0.0001)</f>
        <v>1E-4</v>
      </c>
      <c r="CI106" s="99">
        <f>IF(AND(Database!FQ26&gt;1,Database!FQ30&gt;1),100*(Database!FQ26/(Database!FQ30)),0.0001)</f>
        <v>1E-4</v>
      </c>
      <c r="CJ106" s="99">
        <f>IF(AND(Database!FS26&gt;1,Database!FS30&gt;1),100*(Database!FS26/(Database!FS30)),0.0001)</f>
        <v>1E-4</v>
      </c>
      <c r="CK106" s="99">
        <f>IF(AND(Database!FU26&gt;1,Database!FU30&gt;1),100*(Database!FU26/(Database!FU30)),0.0001)</f>
        <v>1E-4</v>
      </c>
      <c r="CL106" s="99">
        <f>IF(AND(Database!FW26&gt;1,Database!FW30&gt;1),100*(Database!FW26/(Database!FW30)),0.0001)</f>
        <v>1E-4</v>
      </c>
      <c r="CM106" s="99">
        <f>IF(AND(Database!FY26&gt;1,Database!FY30&gt;1),100*(Database!FY26/(Database!FY30)),0.0001)</f>
        <v>1E-4</v>
      </c>
      <c r="CN106" s="99">
        <f>IF(AND(Database!GA26&gt;1,Database!GA30&gt;1),100*(Database!GA26/(Database!GA30)),0.0001)</f>
        <v>1E-4</v>
      </c>
      <c r="CO106" s="99">
        <f>IF(AND(Database!GC26&gt;1,Database!GC30&gt;1),100*(Database!GC26/(Database!GC30)),0.0001)</f>
        <v>1E-4</v>
      </c>
      <c r="CP106" s="99">
        <f>IF(AND(Database!GE26&gt;1,Database!GE30&gt;1),100*(Database!GE26/(Database!GE30)),0.0001)</f>
        <v>1E-4</v>
      </c>
      <c r="CQ106" s="99">
        <f>IF(AND(Database!GG26&gt;1,Database!GG30&gt;1),100*(Database!GG26/(Database!GG30)),0.0001)</f>
        <v>1E-4</v>
      </c>
      <c r="CR106" s="99">
        <f>IF(AND(Database!GI26&gt;1,Database!GI30&gt;1),100*(Database!GI26/(Database!GI30)),0.0001)</f>
        <v>1E-4</v>
      </c>
      <c r="CS106" s="99">
        <f>IF(AND(Database!GK26&gt;1,Database!GK30&gt;1),100*(Database!GK26/(Database!GK30)),0.0001)</f>
        <v>1E-4</v>
      </c>
      <c r="CT106" s="99">
        <f>IF(AND(Database!GM26&gt;1,Database!GM30&gt;1),100*(Database!GM26/(Database!GM30)),0.0001)</f>
        <v>1E-4</v>
      </c>
      <c r="CU106" s="99">
        <f>IF(AND(Database!GO26&gt;1,Database!GO30&gt;1),100*(Database!GO26/(Database!GO30)),0.0001)</f>
        <v>1E-4</v>
      </c>
      <c r="CV106" s="99">
        <f>IF(AND(Database!GQ26&gt;1,Database!GQ30&gt;1),100*(Database!GQ26/(Database!GQ30)),0.0001)</f>
        <v>1E-4</v>
      </c>
      <c r="CW106" s="99">
        <f>IF(AND(Database!GS26&gt;1,Database!GS30&gt;1),100*(Database!GS26/(Database!GS30)),0.0001)</f>
        <v>1E-4</v>
      </c>
      <c r="CX106" s="99">
        <f>IF(AND(Database!GU26&gt;1,Database!GU30&gt;1),100*(Database!GU26/(Database!GU30)),0.0001)</f>
        <v>1E-4</v>
      </c>
      <c r="CY106" s="99">
        <f>IF(AND(Database!GW26&gt;1,Database!GW30&gt;1),100*(Database!GW26/(Database!GW30)),0.0001)</f>
        <v>1E-4</v>
      </c>
      <c r="CZ106" s="99">
        <f>IF(AND(Database!GY26&gt;1,Database!GY30&gt;1),100*(Database!GY26/(Database!GY30)),0.0001)</f>
        <v>1E-4</v>
      </c>
      <c r="DA106" s="99">
        <f>IF(AND(Database!HA26&gt;1,Database!HA30&gt;1),100*(Database!HA26/(Database!HA30)),0.0001)</f>
        <v>1E-4</v>
      </c>
      <c r="DB106" s="99">
        <f>IF(AND(Database!HC26&gt;1,Database!HC30&gt;1),100*(Database!HC26/(Database!HC30)),0.0001)</f>
        <v>1E-4</v>
      </c>
      <c r="DC106" s="99">
        <f>IF(AND(Database!HE26&gt;1,Database!HE30&gt;1),100*(Database!HE26/(Database!HE30)),0.0001)</f>
        <v>1E-4</v>
      </c>
      <c r="DD106" s="99">
        <f>IF(AND(Database!HG26&gt;1,Database!HG30&gt;1),100*(Database!HG26/(Database!HG30)),0.0001)</f>
        <v>1E-4</v>
      </c>
      <c r="DE106" s="99">
        <f>IF(AND(Database!HI26&gt;1,Database!HI30&gt;1),100*(Database!HI26/(Database!HI30)),0.0001)</f>
        <v>1E-4</v>
      </c>
      <c r="DF106" s="99">
        <f>IF(AND(Database!HK26&gt;1,Database!HK30&gt;1),100*(Database!HK26/(Database!HK30)),0.0001)</f>
        <v>1E-4</v>
      </c>
      <c r="DG106" s="99">
        <f>IF(AND(Database!HM26&gt;1,Database!HM30&gt;1),100*(Database!HM26/(Database!HM30)),0.0001)</f>
        <v>1E-4</v>
      </c>
      <c r="DH106" s="99">
        <f>IF(AND(Database!HO26&gt;1,Database!HO30&gt;1),100*(Database!HO26/(Database!HO30)),0.0001)</f>
        <v>1E-4</v>
      </c>
      <c r="DI106" s="99">
        <f>IF(AND(Database!HQ26&gt;1,Database!HQ30&gt;1),100*(Database!HQ26/(Database!HQ30)),0.0001)</f>
        <v>1E-4</v>
      </c>
      <c r="DJ106" s="99">
        <f>IF(AND(Database!HS26&gt;1,Database!HS30&gt;1),100*(Database!HS26/(Database!HS30)),0.0001)</f>
        <v>1E-4</v>
      </c>
      <c r="DK106" s="99">
        <f>IF(AND(Database!HU26&gt;1,Database!HU30&gt;1),100*(Database!HU26/(Database!HU30)),0.0001)</f>
        <v>1E-4</v>
      </c>
      <c r="DL106" s="99">
        <f>IF(AND(Database!HW26&gt;1,Database!HW30&gt;1),100*(Database!HW26/(Database!HW30)),0.0001)</f>
        <v>1E-4</v>
      </c>
      <c r="DM106" s="99">
        <f>IF(AND(Database!HY26&gt;1,Database!HY30&gt;1),100*(Database!HY26/(Database!HY30)),0.0001)</f>
        <v>1E-4</v>
      </c>
      <c r="DN106" s="99">
        <f>IF(AND(Database!IA26&gt;1,Database!IA30&gt;1),100*(Database!IA26/(Database!IA30)),0.0001)</f>
        <v>1E-4</v>
      </c>
      <c r="DO106" s="99">
        <f>IF(AND(Database!IC26&gt;1,Database!IC30&gt;1),100*(Database!IC26/(Database!IC30)),0.0001)</f>
        <v>1E-4</v>
      </c>
      <c r="DP106" s="99">
        <f>IF(AND(Database!IE26&gt;1,Database!IE30&gt;1),100*(Database!IE26/(Database!IE30)),0.0001)</f>
        <v>1E-4</v>
      </c>
      <c r="DQ106" s="99">
        <f>IF(AND(Database!IG26&gt;1,Database!IG30&gt;1),100*(Database!IG26/(Database!IG30)),0.0001)</f>
        <v>1E-4</v>
      </c>
      <c r="DR106" s="99">
        <f>IF(AND(Database!II26&gt;1,Database!II30&gt;1),100*(Database!II26/(Database!II30)),0.0001)</f>
        <v>1E-4</v>
      </c>
      <c r="DS106" s="99">
        <f>IF(AND(Database!IK26&gt;1,Database!IK30&gt;1),100*(Database!IK26/(Database!IK30)),0.0001)</f>
        <v>1E-4</v>
      </c>
      <c r="DT106" s="99">
        <f>IF(AND(Database!IM26&gt;1,Database!IM30&gt;1),100*(Database!IM26/(Database!IM30)),0.0001)</f>
        <v>1E-4</v>
      </c>
      <c r="DU106" s="99">
        <f>IF(AND(Database!IO26&gt;1,Database!IO30&gt;1),100*(Database!IO26/(Database!IO30)),0.0001)</f>
        <v>1E-4</v>
      </c>
      <c r="DV106" s="99">
        <f>IF(AND(Database!IQ26&gt;1,Database!IQ30&gt;1),100*(Database!IQ26/(Database!IQ30)),0.0001)</f>
        <v>1E-4</v>
      </c>
      <c r="DW106" s="99">
        <f>IF(AND(Database!IS26&gt;1,Database!IS30&gt;1),100*(Database!IS26/(Database!IS30)),0.0001)</f>
        <v>1E-4</v>
      </c>
      <c r="DX106" s="99">
        <f>IF(AND(Database!IU26&gt;1,Database!IU30&gt;1),100*(Database!IU26/(Database!IU30)),0.0001)</f>
        <v>1E-4</v>
      </c>
      <c r="DY106" s="99">
        <f>IF(AND(Database!IW26&gt;1,Database!IW30&gt;1),100*(Database!IW26/(Database!IW30)),0.0001)</f>
        <v>1E-4</v>
      </c>
      <c r="DZ106" s="99">
        <f>IF(AND(Database!IY26&gt;1,Database!IY30&gt;1),100*(Database!IY26/(Database!IY30)),0.0001)</f>
        <v>1E-4</v>
      </c>
      <c r="EA106" s="99">
        <f>IF(AND(Database!JA26&gt;1,Database!JA30&gt;1),100*(Database!JA26/(Database!JA30)),0.0001)</f>
        <v>1E-4</v>
      </c>
      <c r="EB106" s="99">
        <f>IF(AND(Database!JC26&gt;1,Database!JC30&gt;1),100*(Database!JC26/(Database!JC30)),0.0001)</f>
        <v>1E-4</v>
      </c>
      <c r="EC106" s="99">
        <f>IF(AND(Database!JE26&gt;1,Database!JE30&gt;1),100*(Database!JE26/(Database!JE30)),0.0001)</f>
        <v>1E-4</v>
      </c>
      <c r="ED106" s="99">
        <f>IF(AND(Database!JG26&gt;1,Database!JG30&gt;1),100*(Database!JG26/(Database!JG30)),0.0001)</f>
        <v>1E-4</v>
      </c>
      <c r="EE106" s="99">
        <f>IF(AND(Database!JI26&gt;1,Database!JI30&gt;1),100*(Database!JI26/(Database!JI30)),0.0001)</f>
        <v>1E-4</v>
      </c>
      <c r="EF106" s="99">
        <f>IF(AND(Database!JK26&gt;1,Database!JK30&gt;1),100*(Database!JK26/(Database!JK30)),0.0001)</f>
        <v>1E-4</v>
      </c>
      <c r="EG106" s="99">
        <f>IF(AND(Database!JM26&gt;1,Database!JM30&gt;1),100*(Database!JM26/(Database!JM30)),0.0001)</f>
        <v>1E-4</v>
      </c>
      <c r="EH106" s="99">
        <f>IF(AND(Database!JO26&gt;1,Database!JO30&gt;1),100*(Database!JO26/(Database!JO30)),0.0001)</f>
        <v>1E-4</v>
      </c>
      <c r="EI106" s="99">
        <f>IF(AND(Database!JQ26&gt;1,Database!JQ30&gt;1),100*(Database!JQ26/(Database!JQ30)),0.0001)</f>
        <v>1E-4</v>
      </c>
      <c r="EJ106" s="99">
        <f>IF(AND(Database!JS26&gt;1,Database!JS30&gt;1),100*(Database!JS26/(Database!JS30)),0.0001)</f>
        <v>1E-4</v>
      </c>
      <c r="EK106" s="99">
        <f>IF(AND(Database!JU26&gt;1,Database!JU30&gt;1),100*(Database!JU26/(Database!JU30)),0.0001)</f>
        <v>1E-4</v>
      </c>
      <c r="EL106" s="99">
        <f>IF(AND(Database!JW26&gt;1,Database!JW30&gt;1),100*(Database!JW26/(Database!JW30)),0.0001)</f>
        <v>1E-4</v>
      </c>
      <c r="EM106" s="99">
        <f>IF(AND(Database!JY26&gt;1,Database!JY30&gt;1),100*(Database!JY26/(Database!JY30)),0.0001)</f>
        <v>1E-4</v>
      </c>
      <c r="EN106" s="99">
        <f>IF(AND(Database!KA26&gt;1,Database!KA30&gt;1),100*(Database!KA26/(Database!KA30)),0.0001)</f>
        <v>1E-4</v>
      </c>
      <c r="EO106" s="99">
        <f>IF(AND(Database!KC26&gt;1,Database!KC30&gt;1),100*(Database!KC26/(Database!KC30)),0.0001)</f>
        <v>1E-4</v>
      </c>
      <c r="EP106" s="99">
        <f>IF(AND(Database!KE26&gt;1,Database!KE30&gt;1),100*(Database!KE26/(Database!KE30)),0.0001)</f>
        <v>1E-4</v>
      </c>
      <c r="EQ106" s="99">
        <f>IF(AND(Database!KG26&gt;1,Database!KG30&gt;1),100*(Database!KG26/(Database!KG30)),0.0001)</f>
        <v>1E-4</v>
      </c>
      <c r="ER106" s="99">
        <f>IF(AND(Database!KI26&gt;1,Database!KI30&gt;1),100*(Database!KI26/(Database!KI30)),0.0001)</f>
        <v>1E-4</v>
      </c>
      <c r="ES106" s="99">
        <f>IF(AND(Database!KK26&gt;1,Database!KK30&gt;1),100*(Database!KK26/(Database!KK30)),0.0001)</f>
        <v>1E-4</v>
      </c>
      <c r="ET106" s="99">
        <f>IF(AND(Database!KM26&gt;1,Database!KM30&gt;1),100*(Database!KM26/(Database!KM30)),0.0001)</f>
        <v>1E-4</v>
      </c>
      <c r="EU106" s="99">
        <f>IF(AND(Database!KO26&gt;1,Database!KO30&gt;1),100*(Database!KO26/(Database!KO30)),0.0001)</f>
        <v>1E-4</v>
      </c>
      <c r="EV106" s="99">
        <f>IF(AND(Database!KQ26&gt;1,Database!KQ30&gt;1),100*(Database!KQ26/(Database!KQ30)),0.0001)</f>
        <v>1E-4</v>
      </c>
      <c r="EW106" s="99">
        <f>IF(AND(Database!KS26&gt;1,Database!KS30&gt;1),100*(Database!KS26/(Database!KS30)),0.0001)</f>
        <v>1E-4</v>
      </c>
      <c r="EX106" s="99">
        <f>IF(AND(Database!KU26&gt;1,Database!KU30&gt;1),100*(Database!KU26/(Database!KU30)),0.0001)</f>
        <v>1E-4</v>
      </c>
      <c r="EY106" s="99">
        <f>IF(AND(Database!KW26&gt;1,Database!KW30&gt;1),100*(Database!KW26/(Database!KW30)),0.0001)</f>
        <v>1E-4</v>
      </c>
      <c r="EZ106" s="99">
        <f>IF(AND(Database!KY26&gt;1,Database!KY30&gt;1),100*(Database!KY26/(Database!KY30)),0.0001)</f>
        <v>1E-4</v>
      </c>
      <c r="FA106" s="99">
        <f>IF(AND(Database!LA26&gt;1,Database!LA30&gt;1),100*(Database!LA26/(Database!LA30)),0.0001)</f>
        <v>1E-4</v>
      </c>
      <c r="FB106" s="99">
        <f>IF(AND(Database!LC26&gt;1,Database!LC30&gt;1),100*(Database!LC26/(Database!LC30)),0.0001)</f>
        <v>1E-4</v>
      </c>
      <c r="FC106" s="99">
        <f>IF(AND(Database!LE26&gt;1,Database!LE30&gt;1),100*(Database!LE26/(Database!LE30)),0.0001)</f>
        <v>1E-4</v>
      </c>
      <c r="FD106" s="99">
        <f>IF(AND(Database!LG26&gt;1,Database!LG30&gt;1),100*(Database!LG26/(Database!LG30)),0.0001)</f>
        <v>1E-4</v>
      </c>
      <c r="FE106" s="99">
        <f>IF(AND(Database!LI26&gt;1,Database!LI30&gt;1),100*(Database!LI26/(Database!LI30)),0.0001)</f>
        <v>1E-4</v>
      </c>
      <c r="FF106" s="99">
        <f>IF(AND(Database!LK26&gt;1,Database!LK30&gt;1),100*(Database!LK26/(Database!LK30)),0.0001)</f>
        <v>1E-4</v>
      </c>
      <c r="FG106" s="99">
        <f>IF(AND(Database!LM26&gt;1,Database!LM30&gt;1),100*(Database!LM26/(Database!LM30)),0.0001)</f>
        <v>1E-4</v>
      </c>
      <c r="FH106" s="99">
        <f>IF(AND(Database!LO26&gt;1,Database!LO30&gt;1),100*(Database!LO26/(Database!LO30)),0.0001)</f>
        <v>1E-4</v>
      </c>
      <c r="FI106" s="99">
        <f>IF(AND(Database!LQ26&gt;1,Database!LQ30&gt;1),100*(Database!LQ26/(Database!LQ30)),0.0001)</f>
        <v>1E-4</v>
      </c>
      <c r="FJ106" s="99">
        <f>IF(AND(Database!LS26&gt;1,Database!LS30&gt;1),100*(Database!LS26/(Database!LS30)),0.0001)</f>
        <v>1E-4</v>
      </c>
      <c r="FK106" s="99">
        <f>IF(AND(Database!LU26&gt;1,Database!LU30&gt;1),100*(Database!LU26/(Database!LU30)),0.0001)</f>
        <v>1E-4</v>
      </c>
      <c r="FL106" s="99">
        <f>IF(AND(Database!LW26&gt;1,Database!LW30&gt;1),100*(Database!LW26/(Database!LW30)),0.0001)</f>
        <v>1E-4</v>
      </c>
      <c r="FM106" s="99">
        <f>IF(AND(Database!LY26&gt;1,Database!LY30&gt;1),100*(Database!LY26/(Database!LY30)),0.0001)</f>
        <v>1E-4</v>
      </c>
      <c r="FN106" s="99">
        <f>IF(AND(Database!MA26&gt;1,Database!MA30&gt;1),100*(Database!MA26/(Database!MA30)),0.0001)</f>
        <v>1E-4</v>
      </c>
      <c r="FO106" s="99">
        <f>IF(AND(Database!MC26&gt;1,Database!MC30&gt;1),100*(Database!MC26/(Database!MC30)),0.0001)</f>
        <v>1E-4</v>
      </c>
      <c r="FP106" s="99">
        <f>IF(AND(Database!ME26&gt;1,Database!ME30&gt;1),100*(Database!ME26/(Database!ME30)),0.0001)</f>
        <v>1E-4</v>
      </c>
      <c r="FQ106" s="99">
        <f>IF(AND(Database!MG26&gt;1,Database!MG30&gt;1),100*(Database!MG26/(Database!MG30)),0.0001)</f>
        <v>1E-4</v>
      </c>
      <c r="FR106" s="99">
        <f>IF(AND(Database!MI26&gt;1,Database!MI30&gt;1),100*(Database!MI26/(Database!MI30)),0.0001)</f>
        <v>1E-4</v>
      </c>
      <c r="FS106" s="99">
        <f>IF(AND(Database!MK26&gt;1,Database!MK30&gt;1),100*(Database!MK26/(Database!MK30)),0.0001)</f>
        <v>1E-4</v>
      </c>
      <c r="FT106" s="99">
        <f>IF(AND(Database!MM26&gt;1,Database!MM30&gt;1),100*(Database!MM26/(Database!MM30)),0.0001)</f>
        <v>1E-4</v>
      </c>
      <c r="FU106" s="99">
        <f>IF(AND(Database!MO26&gt;1,Database!MO30&gt;1),100*(Database!MO26/(Database!MO30)),0.0001)</f>
        <v>1E-4</v>
      </c>
      <c r="FV106" s="99">
        <f>IF(AND(Database!MQ26&gt;1,Database!MQ30&gt;1),100*(Database!MQ26/(Database!MQ30)),0.0001)</f>
        <v>1E-4</v>
      </c>
      <c r="FW106" s="99">
        <f>IF(AND(Database!MS26&gt;1,Database!MS30&gt;1),100*(Database!MS26/(Database!MS30)),0.0001)</f>
        <v>1E-4</v>
      </c>
      <c r="FX106" s="99">
        <f>IF(AND(Database!MU26&gt;1,Database!MU30&gt;1),100*(Database!MU26/(Database!MU30)),0.0001)</f>
        <v>1E-4</v>
      </c>
      <c r="FY106" s="99">
        <f>IF(AND(Database!MW26&gt;1,Database!MW30&gt;1),100*(Database!MW26/(Database!MW30)),0.0001)</f>
        <v>1E-4</v>
      </c>
      <c r="FZ106" s="99">
        <f>IF(AND(Database!MY26&gt;1,Database!MY30&gt;1),100*(Database!MY26/(Database!MY30)),0.0001)</f>
        <v>1E-4</v>
      </c>
      <c r="GA106" s="99">
        <f>IF(AND(Database!NA26&gt;1,Database!NA30&gt;1),100*(Database!NA26/(Database!NA30)),0.0001)</f>
        <v>1E-4</v>
      </c>
      <c r="GB106" s="99">
        <f>IF(AND(Database!NC26&gt;1,Database!NC30&gt;1),100*(Database!NC26/(Database!NC30)),0.0001)</f>
        <v>1E-4</v>
      </c>
      <c r="GC106" s="99">
        <f>IF(AND(Database!NE26&gt;1,Database!NE30&gt;1),100*(Database!NE26/(Database!NE30)),0.0001)</f>
        <v>1E-4</v>
      </c>
      <c r="GD106" s="99">
        <f>IF(AND(Database!NG26&gt;1,Database!NG30&gt;1),100*(Database!NG26/(Database!NG30)),0.0001)</f>
        <v>1E-4</v>
      </c>
      <c r="GE106" s="99">
        <f>IF(AND(Database!NI26&gt;1,Database!NI30&gt;1),100*(Database!NI26/(Database!NI30)),0.0001)</f>
        <v>1E-4</v>
      </c>
      <c r="GF106" s="99">
        <f>IF(AND(Database!NK26&gt;1,Database!NK30&gt;1),100*(Database!NK26/(Database!NK30)),0.0001)</f>
        <v>1E-4</v>
      </c>
      <c r="GG106" s="99">
        <f>IF(AND(Database!NM26&gt;1,Database!NM30&gt;1),100*(Database!NM26/(Database!NM30)),0.0001)</f>
        <v>1E-4</v>
      </c>
      <c r="GH106" s="99">
        <f>IF(AND(Database!NO26&gt;1,Database!NO30&gt;1),100*(Database!NO26/(Database!NO30)),0.0001)</f>
        <v>1E-4</v>
      </c>
      <c r="GI106" s="99">
        <f>IF(AND(Database!NQ26&gt;1,Database!NQ30&gt;1),100*(Database!NQ26/(Database!NQ30)),0.0001)</f>
        <v>1E-4</v>
      </c>
      <c r="GJ106" s="99">
        <f>IF(AND(Database!NS26&gt;1,Database!NS30&gt;1),100*(Database!NS26/(Database!NS30)),0.0001)</f>
        <v>1E-4</v>
      </c>
      <c r="GK106" s="99">
        <f>IF(AND(Database!NU26&gt;1,Database!NU30&gt;1),100*(Database!NU26/(Database!NU30)),0.0001)</f>
        <v>1E-4</v>
      </c>
      <c r="GL106" s="99">
        <f>IF(AND(Database!NW26&gt;1,Database!NW30&gt;1),100*(Database!NW26/(Database!NW30)),0.0001)</f>
        <v>1E-4</v>
      </c>
      <c r="GM106" s="99">
        <f>IF(AND(Database!NY26&gt;1,Database!NY30&gt;1),100*(Database!NY26/(Database!NY30)),0.0001)</f>
        <v>1E-4</v>
      </c>
      <c r="GN106" s="99">
        <f>IF(AND(Database!OA26&gt;1,Database!OA30&gt;1),100*(Database!OA26/(Database!OA30)),0.0001)</f>
        <v>1E-4</v>
      </c>
      <c r="GO106" s="99">
        <f>IF(AND(Database!OC26&gt;1,Database!OC30&gt;1),100*(Database!OC26/(Database!OC30)),0.0001)</f>
        <v>1E-4</v>
      </c>
      <c r="GP106" s="99">
        <f>IF(AND(Database!OE26&gt;1,Database!OE30&gt;1),100*(Database!OE26/(Database!OE30)),0.0001)</f>
        <v>1E-4</v>
      </c>
      <c r="GQ106" s="99">
        <f>IF(AND(Database!OG26&gt;1,Database!OG30&gt;1),100*(Database!OG26/(Database!OG30)),0.0001)</f>
        <v>1E-4</v>
      </c>
      <c r="GR106" s="99">
        <f>IF(AND(Database!OI26&gt;1,Database!OI30&gt;1),100*(Database!OI26/(Database!OI30)),0.0001)</f>
        <v>1E-4</v>
      </c>
      <c r="GS106" s="99">
        <f>IF(AND(Database!OK26&gt;1,Database!OK30&gt;1),100*(Database!OK26/(Database!OK30)),0.0001)</f>
        <v>1E-4</v>
      </c>
      <c r="GT106" s="99">
        <f>IF(AND(Database!OM26&gt;1,Database!OM30&gt;1),100*(Database!OM26/(Database!OM30)),0.0001)</f>
        <v>1E-4</v>
      </c>
    </row>
    <row r="107" spans="1:202" ht="18.75" customHeight="1" x14ac:dyDescent="0.4">
      <c r="A107" s="29" t="s">
        <v>117</v>
      </c>
      <c r="B107" s="306"/>
      <c r="C107" s="99">
        <f>IF(AND(Database!E28&gt;1,Database!E29&gt;1),100*(Database!E28/(Database!E29)),0.0001)</f>
        <v>242.19518862766537</v>
      </c>
      <c r="D107" s="99">
        <f>IF(AND(Database!G28&gt;1,Database!G29&gt;1),100*(Database!G28/(Database!G29)),0.0001)</f>
        <v>246.12165178571428</v>
      </c>
      <c r="E107" s="99">
        <f>IF(AND(Database!I28&gt;1,Database!I29&gt;1),100*(Database!I28/(Database!I29)),0.0001)</f>
        <v>263.19285862570064</v>
      </c>
      <c r="F107" s="99">
        <f>IF(AND(Database!K28&gt;1,Database!K29&gt;1),100*(Database!K28/(Database!K29)),0.0001)</f>
        <v>255.35738536055405</v>
      </c>
      <c r="G107" s="99">
        <f>IF(AND(Database!M28&gt;1,Database!M29&gt;1),100*(Database!M28/(Database!M29)),0.0001)</f>
        <v>1E-4</v>
      </c>
      <c r="H107" s="99">
        <f>IF(AND(Database!O28&gt;1,Database!O29&gt;1),100*(Database!O28/(Database!O29)),0.0001)</f>
        <v>1E-4</v>
      </c>
      <c r="I107" s="99">
        <f>IF(AND(Database!Q28&gt;1,Database!Q29&gt;1),100*(Database!Q28/(Database!Q29)),0.0001)</f>
        <v>1E-4</v>
      </c>
      <c r="J107" s="99">
        <f>IF(AND(Database!S28&gt;1,Database!S29&gt;1),100*(Database!S28/(Database!S29)),0.0001)</f>
        <v>1E-4</v>
      </c>
      <c r="K107" s="99">
        <f>IF(AND(Database!U28&gt;1,Database!U29&gt;1),100*(Database!U28/(Database!U29)),0.0001)</f>
        <v>1E-4</v>
      </c>
      <c r="L107" s="99">
        <f>IF(AND(Database!W28&gt;1,Database!W29&gt;1),100*(Database!W28/(Database!W29)),0.0001)</f>
        <v>1E-4</v>
      </c>
      <c r="M107" s="99">
        <f>IF(AND(Database!Y28&gt;1,Database!Y29&gt;1),100*(Database!Y28/(Database!Y29)),0.0001)</f>
        <v>1E-4</v>
      </c>
      <c r="N107" s="99">
        <f>IF(AND(Database!AA28&gt;1,Database!AA29&gt;1),100*(Database!AA28/(Database!AA29)),0.0001)</f>
        <v>1E-4</v>
      </c>
      <c r="O107" s="99">
        <f>IF(AND(Database!AC28&gt;1,Database!AC29&gt;1),100*(Database!AC28/(Database!AC29)),0.0001)</f>
        <v>1E-4</v>
      </c>
      <c r="P107" s="99">
        <f>IF(AND(Database!AE28&gt;1,Database!AE29&gt;1),100*(Database!AE28/(Database!AE29)),0.0001)</f>
        <v>1E-4</v>
      </c>
      <c r="Q107" s="99">
        <f>IF(AND(Database!AG28&gt;1,Database!AG29&gt;1),100*(Database!AG28/(Database!AG29)),0.0001)</f>
        <v>1E-4</v>
      </c>
      <c r="R107" s="99">
        <f>IF(AND(Database!AI28&gt;1,Database!AI29&gt;1),100*(Database!AI28/(Database!AI29)),0.0001)</f>
        <v>1E-4</v>
      </c>
      <c r="S107" s="99">
        <f>IF(AND(Database!AK28&gt;1,Database!AK29&gt;1),100*(Database!AK28/(Database!AK29)),0.0001)</f>
        <v>1E-4</v>
      </c>
      <c r="T107" s="99">
        <f>IF(AND(Database!AM28&gt;1,Database!AM29&gt;1),100*(Database!AM28/(Database!AM29)),0.0001)</f>
        <v>1E-4</v>
      </c>
      <c r="U107" s="99">
        <f>IF(AND(Database!AO28&gt;1,Database!AO29&gt;1),100*(Database!AO28/(Database!AO29)),0.0001)</f>
        <v>1E-4</v>
      </c>
      <c r="V107" s="99">
        <f>IF(AND(Database!AQ28&gt;1,Database!AQ29&gt;1),100*(Database!AQ28/(Database!AQ29)),0.0001)</f>
        <v>1E-4</v>
      </c>
      <c r="W107" s="99">
        <f>IF(AND(Database!AS28&gt;1,Database!AS29&gt;1),100*(Database!AS28/(Database!AS29)),0.0001)</f>
        <v>1E-4</v>
      </c>
      <c r="X107" s="99">
        <f>IF(AND(Database!AU28&gt;1,Database!AU29&gt;1),100*(Database!AU28/(Database!AU29)),0.0001)</f>
        <v>1E-4</v>
      </c>
      <c r="Y107" s="99">
        <f>IF(AND(Database!AW28&gt;1,Database!AW29&gt;1),100*(Database!AW28/(Database!AW29)),0.0001)</f>
        <v>1E-4</v>
      </c>
      <c r="Z107" s="99">
        <f>IF(AND(Database!AY28&gt;1,Database!AY29&gt;1),100*(Database!AY28/(Database!AY29)),0.0001)</f>
        <v>1E-4</v>
      </c>
      <c r="AA107" s="99">
        <f>IF(AND(Database!BA28&gt;1,Database!BA29&gt;1),100*(Database!BA28/(Database!BA29)),0.0001)</f>
        <v>1E-4</v>
      </c>
      <c r="AB107" s="99">
        <f>IF(AND(Database!BC28&gt;1,Database!BC29&gt;1),100*(Database!BC28/(Database!BC29)),0.0001)</f>
        <v>1E-4</v>
      </c>
      <c r="AC107" s="99">
        <f>IF(AND(Database!BE28&gt;1,Database!BE29&gt;1),100*(Database!BE28/(Database!BE29)),0.0001)</f>
        <v>1E-4</v>
      </c>
      <c r="AD107" s="99">
        <f>IF(AND(Database!BG28&gt;1,Database!BG29&gt;1),100*(Database!BG28/(Database!BG29)),0.0001)</f>
        <v>1E-4</v>
      </c>
      <c r="AE107" s="99">
        <f>IF(AND(Database!BI28&gt;1,Database!BI29&gt;1),100*(Database!BI28/(Database!BI29)),0.0001)</f>
        <v>1E-4</v>
      </c>
      <c r="AF107" s="99">
        <f>IF(AND(Database!BK28&gt;1,Database!BK29&gt;1),100*(Database!BK28/(Database!BK29)),0.0001)</f>
        <v>1E-4</v>
      </c>
      <c r="AG107" s="99">
        <f>IF(AND(Database!BM28&gt;1,Database!BM29&gt;1),100*(Database!BM28/(Database!BM29)),0.0001)</f>
        <v>1E-4</v>
      </c>
      <c r="AH107" s="99">
        <f>IF(AND(Database!BO28&gt;1,Database!BO29&gt;1),100*(Database!BO28/(Database!BO29)),0.0001)</f>
        <v>1E-4</v>
      </c>
      <c r="AI107" s="99">
        <f>IF(AND(Database!BQ28&gt;1,Database!BQ29&gt;1),100*(Database!BQ28/(Database!BQ29)),0.0001)</f>
        <v>1E-4</v>
      </c>
      <c r="AJ107" s="99">
        <f>IF(AND(Database!BS28&gt;1,Database!BS29&gt;1),100*(Database!BS28/(Database!BS29)),0.0001)</f>
        <v>1E-4</v>
      </c>
      <c r="AK107" s="99">
        <f>IF(AND(Database!BU28&gt;1,Database!BU29&gt;1),100*(Database!BU28/(Database!BU29)),0.0001)</f>
        <v>1E-4</v>
      </c>
      <c r="AL107" s="99">
        <f>IF(AND(Database!BW28&gt;1,Database!BW29&gt;1),100*(Database!BW28/(Database!BW29)),0.0001)</f>
        <v>1E-4</v>
      </c>
      <c r="AM107" s="99">
        <f>IF(AND(Database!BY28&gt;1,Database!BY29&gt;1),100*(Database!BY28/(Database!BY29)),0.0001)</f>
        <v>1E-4</v>
      </c>
      <c r="AN107" s="99">
        <f>IF(AND(Database!CA28&gt;1,Database!CA29&gt;1),100*(Database!CA28/(Database!CA29)),0.0001)</f>
        <v>1E-4</v>
      </c>
      <c r="AO107" s="99">
        <f>IF(AND(Database!CC28&gt;1,Database!CC29&gt;1),100*(Database!CC28/(Database!CC29)),0.0001)</f>
        <v>1E-4</v>
      </c>
      <c r="AP107" s="99">
        <f>IF(AND(Database!CE28&gt;1,Database!CE29&gt;1),100*(Database!CE28/(Database!CE29)),0.0001)</f>
        <v>1E-4</v>
      </c>
      <c r="AQ107" s="99">
        <f>IF(AND(Database!CG28&gt;1,Database!CG29&gt;1),100*(Database!CG28/(Database!CG29)),0.0001)</f>
        <v>1E-4</v>
      </c>
      <c r="AR107" s="99">
        <f>IF(AND(Database!CI28&gt;1,Database!CI29&gt;1),100*(Database!CI28/(Database!CI29)),0.0001)</f>
        <v>1E-4</v>
      </c>
      <c r="AS107" s="99">
        <f>IF(AND(Database!CK28&gt;1,Database!CK29&gt;1),100*(Database!CK28/(Database!CK29)),0.0001)</f>
        <v>1E-4</v>
      </c>
      <c r="AT107" s="99">
        <f>IF(AND(Database!CM28&gt;1,Database!CM29&gt;1),100*(Database!CM28/(Database!CM29)),0.0001)</f>
        <v>1E-4</v>
      </c>
      <c r="AU107" s="99">
        <f>IF(AND(Database!CO28&gt;1,Database!CO29&gt;1),100*(Database!CO28/(Database!CO29)),0.0001)</f>
        <v>1E-4</v>
      </c>
      <c r="AV107" s="99">
        <f>IF(AND(Database!CQ28&gt;1,Database!CQ29&gt;1),100*(Database!CQ28/(Database!CQ29)),0.0001)</f>
        <v>1E-4</v>
      </c>
      <c r="AW107" s="99">
        <f>IF(AND(Database!CS28&gt;1,Database!CS29&gt;1),100*(Database!CS28/(Database!CS29)),0.0001)</f>
        <v>1E-4</v>
      </c>
      <c r="AX107" s="99">
        <f>IF(AND(Database!CU28&gt;1,Database!CU29&gt;1),100*(Database!CU28/(Database!CU29)),0.0001)</f>
        <v>1E-4</v>
      </c>
      <c r="AY107" s="99">
        <f>IF(AND(Database!CW28&gt;1,Database!CW29&gt;1),100*(Database!CW28/(Database!CW29)),0.0001)</f>
        <v>1E-4</v>
      </c>
      <c r="AZ107" s="99">
        <f>IF(AND(Database!CY28&gt;1,Database!CY29&gt;1),100*(Database!CY28/(Database!CY29)),0.0001)</f>
        <v>1E-4</v>
      </c>
      <c r="BA107" s="99">
        <f>IF(AND(Database!DA28&gt;1,Database!DA29&gt;1),100*(Database!DA28/(Database!DA29)),0.0001)</f>
        <v>1E-4</v>
      </c>
      <c r="BB107" s="99">
        <f>IF(AND(Database!DC28&gt;1,Database!DC29&gt;1),100*(Database!DC28/(Database!DC29)),0.0001)</f>
        <v>1E-4</v>
      </c>
      <c r="BC107" s="99">
        <f>IF(AND(Database!DE28&gt;1,Database!DE29&gt;1),100*(Database!DE28/(Database!DE29)),0.0001)</f>
        <v>1E-4</v>
      </c>
      <c r="BD107" s="99">
        <f>IF(AND(Database!DG28&gt;1,Database!DG29&gt;1),100*(Database!DG28/(Database!DG29)),0.0001)</f>
        <v>1E-4</v>
      </c>
      <c r="BE107" s="99">
        <f>IF(AND(Database!DI28&gt;1,Database!DI29&gt;1),100*(Database!DI28/(Database!DI29)),0.0001)</f>
        <v>1E-4</v>
      </c>
      <c r="BF107" s="99">
        <f>IF(AND(Database!DK28&gt;1,Database!DK29&gt;1),100*(Database!DK28/(Database!DK29)),0.0001)</f>
        <v>1E-4</v>
      </c>
      <c r="BG107" s="99">
        <f>IF(AND(Database!DM28&gt;1,Database!DM29&gt;1),100*(Database!DM28/(Database!DM29)),0.0001)</f>
        <v>1E-4</v>
      </c>
      <c r="BH107" s="99">
        <f>IF(AND(Database!DO28&gt;1,Database!DO29&gt;1),100*(Database!DO28/(Database!DO29)),0.0001)</f>
        <v>1E-4</v>
      </c>
      <c r="BI107" s="99">
        <f>IF(AND(Database!DQ28&gt;1,Database!DQ29&gt;1),100*(Database!DQ28/(Database!DQ29)),0.0001)</f>
        <v>1E-4</v>
      </c>
      <c r="BJ107" s="99">
        <f>IF(AND(Database!DS28&gt;1,Database!DS29&gt;1),100*(Database!DS28/(Database!DS29)),0.0001)</f>
        <v>1E-4</v>
      </c>
      <c r="BK107" s="99">
        <f>IF(AND(Database!DU28&gt;1,Database!DU29&gt;1),100*(Database!DU28/(Database!DU29)),0.0001)</f>
        <v>1E-4</v>
      </c>
      <c r="BL107" s="99">
        <f>IF(AND(Database!DW28&gt;1,Database!DW29&gt;1),100*(Database!DW28/(Database!DW29)),0.0001)</f>
        <v>1E-4</v>
      </c>
      <c r="BM107" s="99">
        <f>IF(AND(Database!DY28&gt;1,Database!DY29&gt;1),100*(Database!DY28/(Database!DY29)),0.0001)</f>
        <v>1E-4</v>
      </c>
      <c r="BN107" s="99">
        <f>IF(AND(Database!EA28&gt;1,Database!EA29&gt;1),100*(Database!EA28/(Database!EA29)),0.0001)</f>
        <v>1E-4</v>
      </c>
      <c r="BO107" s="99">
        <f>IF(AND(Database!EC28&gt;1,Database!EC29&gt;1),100*(Database!EC28/(Database!EC29)),0.0001)</f>
        <v>1E-4</v>
      </c>
      <c r="BP107" s="99">
        <f>IF(AND(Database!EE28&gt;1,Database!EE29&gt;1),100*(Database!EE28/(Database!EE29)),0.0001)</f>
        <v>1E-4</v>
      </c>
      <c r="BQ107" s="99">
        <f>IF(AND(Database!EG28&gt;1,Database!EG29&gt;1),100*(Database!EG28/(Database!EG29)),0.0001)</f>
        <v>1E-4</v>
      </c>
      <c r="BR107" s="99">
        <f>IF(AND(Database!EI28&gt;1,Database!EI29&gt;1),100*(Database!EI28/(Database!EI29)),0.0001)</f>
        <v>1E-4</v>
      </c>
      <c r="BS107" s="99">
        <f>IF(AND(Database!EK28&gt;1,Database!EK29&gt;1),100*(Database!EK28/(Database!EK29)),0.0001)</f>
        <v>1E-4</v>
      </c>
      <c r="BT107" s="99">
        <f>IF(AND(Database!EM28&gt;1,Database!EM29&gt;1),100*(Database!EM28/(Database!EM29)),0.0001)</f>
        <v>1E-4</v>
      </c>
      <c r="BU107" s="99">
        <f>IF(AND(Database!EO28&gt;1,Database!EO29&gt;1),100*(Database!EO28/(Database!EO29)),0.0001)</f>
        <v>1E-4</v>
      </c>
      <c r="BV107" s="99">
        <f>IF(AND(Database!EQ28&gt;1,Database!EQ29&gt;1),100*(Database!EQ28/(Database!EQ29)),0.0001)</f>
        <v>1E-4</v>
      </c>
      <c r="BW107" s="99">
        <f>IF(AND(Database!ES28&gt;1,Database!ES29&gt;1),100*(Database!ES28/(Database!ES29)),0.0001)</f>
        <v>1E-4</v>
      </c>
      <c r="BX107" s="99">
        <f>IF(AND(Database!EU28&gt;1,Database!EU29&gt;1),100*(Database!EU28/(Database!EU29)),0.0001)</f>
        <v>1E-4</v>
      </c>
      <c r="BY107" s="99">
        <f>IF(AND(Database!EW28&gt;1,Database!EW29&gt;1),100*(Database!EW28/(Database!EW29)),0.0001)</f>
        <v>1E-4</v>
      </c>
      <c r="BZ107" s="99">
        <f>IF(AND(Database!EY28&gt;1,Database!EY29&gt;1),100*(Database!EY28/(Database!EY29)),0.0001)</f>
        <v>1E-4</v>
      </c>
      <c r="CA107" s="99">
        <f>IF(AND(Database!FA28&gt;1,Database!FA29&gt;1),100*(Database!FA28/(Database!FA29)),0.0001)</f>
        <v>1E-4</v>
      </c>
      <c r="CB107" s="99">
        <f>IF(AND(Database!FC28&gt;1,Database!FC29&gt;1),100*(Database!FC28/(Database!FC29)),0.0001)</f>
        <v>1E-4</v>
      </c>
      <c r="CC107" s="99">
        <f>IF(AND(Database!FE28&gt;1,Database!FE29&gt;1),100*(Database!FE28/(Database!FE29)),0.0001)</f>
        <v>1E-4</v>
      </c>
      <c r="CD107" s="99">
        <f>IF(AND(Database!FG28&gt;1,Database!FG29&gt;1),100*(Database!FG28/(Database!FG29)),0.0001)</f>
        <v>1E-4</v>
      </c>
      <c r="CE107" s="99">
        <f>IF(AND(Database!FI28&gt;1,Database!FI29&gt;1),100*(Database!FI28/(Database!FI29)),0.0001)</f>
        <v>1E-4</v>
      </c>
      <c r="CF107" s="99">
        <f>IF(AND(Database!FK28&gt;1,Database!FK29&gt;1),100*(Database!FK28/(Database!FK29)),0.0001)</f>
        <v>1E-4</v>
      </c>
      <c r="CG107" s="99">
        <f>IF(AND(Database!FM28&gt;1,Database!FM29&gt;1),100*(Database!FM28/(Database!FM29)),0.0001)</f>
        <v>1E-4</v>
      </c>
      <c r="CH107" s="99">
        <f>IF(AND(Database!FO28&gt;1,Database!FO29&gt;1),100*(Database!FO28/(Database!FO29)),0.0001)</f>
        <v>1E-4</v>
      </c>
      <c r="CI107" s="99">
        <f>IF(AND(Database!FQ28&gt;1,Database!FQ29&gt;1),100*(Database!FQ28/(Database!FQ29)),0.0001)</f>
        <v>1E-4</v>
      </c>
      <c r="CJ107" s="99">
        <f>IF(AND(Database!FS28&gt;1,Database!FS29&gt;1),100*(Database!FS28/(Database!FS29)),0.0001)</f>
        <v>1E-4</v>
      </c>
      <c r="CK107" s="99">
        <f>IF(AND(Database!FU28&gt;1,Database!FU29&gt;1),100*(Database!FU28/(Database!FU29)),0.0001)</f>
        <v>1E-4</v>
      </c>
      <c r="CL107" s="99">
        <f>IF(AND(Database!FW28&gt;1,Database!FW29&gt;1),100*(Database!FW28/(Database!FW29)),0.0001)</f>
        <v>1E-4</v>
      </c>
      <c r="CM107" s="99">
        <f>IF(AND(Database!FY28&gt;1,Database!FY29&gt;1),100*(Database!FY28/(Database!FY29)),0.0001)</f>
        <v>1E-4</v>
      </c>
      <c r="CN107" s="99">
        <f>IF(AND(Database!GA28&gt;1,Database!GA29&gt;1),100*(Database!GA28/(Database!GA29)),0.0001)</f>
        <v>1E-4</v>
      </c>
      <c r="CO107" s="99">
        <f>IF(AND(Database!GC28&gt;1,Database!GC29&gt;1),100*(Database!GC28/(Database!GC29)),0.0001)</f>
        <v>1E-4</v>
      </c>
      <c r="CP107" s="99">
        <f>IF(AND(Database!GE28&gt;1,Database!GE29&gt;1),100*(Database!GE28/(Database!GE29)),0.0001)</f>
        <v>1E-4</v>
      </c>
      <c r="CQ107" s="99">
        <f>IF(AND(Database!GG28&gt;1,Database!GG29&gt;1),100*(Database!GG28/(Database!GG29)),0.0001)</f>
        <v>1E-4</v>
      </c>
      <c r="CR107" s="99">
        <f>IF(AND(Database!GI28&gt;1,Database!GI29&gt;1),100*(Database!GI28/(Database!GI29)),0.0001)</f>
        <v>1E-4</v>
      </c>
      <c r="CS107" s="99">
        <f>IF(AND(Database!GK28&gt;1,Database!GK29&gt;1),100*(Database!GK28/(Database!GK29)),0.0001)</f>
        <v>1E-4</v>
      </c>
      <c r="CT107" s="99">
        <f>IF(AND(Database!GM28&gt;1,Database!GM29&gt;1),100*(Database!GM28/(Database!GM29)),0.0001)</f>
        <v>1E-4</v>
      </c>
      <c r="CU107" s="99">
        <f>IF(AND(Database!GO28&gt;1,Database!GO29&gt;1),100*(Database!GO28/(Database!GO29)),0.0001)</f>
        <v>1E-4</v>
      </c>
      <c r="CV107" s="99">
        <f>IF(AND(Database!GQ28&gt;1,Database!GQ29&gt;1),100*(Database!GQ28/(Database!GQ29)),0.0001)</f>
        <v>1E-4</v>
      </c>
      <c r="CW107" s="99">
        <f>IF(AND(Database!GS28&gt;1,Database!GS29&gt;1),100*(Database!GS28/(Database!GS29)),0.0001)</f>
        <v>1E-4</v>
      </c>
      <c r="CX107" s="99">
        <f>IF(AND(Database!GU28&gt;1,Database!GU29&gt;1),100*(Database!GU28/(Database!GU29)),0.0001)</f>
        <v>1E-4</v>
      </c>
      <c r="CY107" s="99">
        <f>IF(AND(Database!GW28&gt;1,Database!GW29&gt;1),100*(Database!GW28/(Database!GW29)),0.0001)</f>
        <v>1E-4</v>
      </c>
      <c r="CZ107" s="99">
        <f>IF(AND(Database!GY28&gt;1,Database!GY29&gt;1),100*(Database!GY28/(Database!GY29)),0.0001)</f>
        <v>1E-4</v>
      </c>
      <c r="DA107" s="99">
        <f>IF(AND(Database!HA28&gt;1,Database!HA29&gt;1),100*(Database!HA28/(Database!HA29)),0.0001)</f>
        <v>1E-4</v>
      </c>
      <c r="DB107" s="99">
        <f>IF(AND(Database!HC28&gt;1,Database!HC29&gt;1),100*(Database!HC28/(Database!HC29)),0.0001)</f>
        <v>1E-4</v>
      </c>
      <c r="DC107" s="99">
        <f>IF(AND(Database!HE28&gt;1,Database!HE29&gt;1),100*(Database!HE28/(Database!HE29)),0.0001)</f>
        <v>1E-4</v>
      </c>
      <c r="DD107" s="99">
        <f>IF(AND(Database!HG28&gt;1,Database!HG29&gt;1),100*(Database!HG28/(Database!HG29)),0.0001)</f>
        <v>1E-4</v>
      </c>
      <c r="DE107" s="99">
        <f>IF(AND(Database!HI28&gt;1,Database!HI29&gt;1),100*(Database!HI28/(Database!HI29)),0.0001)</f>
        <v>1E-4</v>
      </c>
      <c r="DF107" s="99">
        <f>IF(AND(Database!HK28&gt;1,Database!HK29&gt;1),100*(Database!HK28/(Database!HK29)),0.0001)</f>
        <v>1E-4</v>
      </c>
      <c r="DG107" s="99">
        <f>IF(AND(Database!HM28&gt;1,Database!HM29&gt;1),100*(Database!HM28/(Database!HM29)),0.0001)</f>
        <v>1E-4</v>
      </c>
      <c r="DH107" s="99">
        <f>IF(AND(Database!HO28&gt;1,Database!HO29&gt;1),100*(Database!HO28/(Database!HO29)),0.0001)</f>
        <v>1E-4</v>
      </c>
      <c r="DI107" s="99">
        <f>IF(AND(Database!HQ28&gt;1,Database!HQ29&gt;1),100*(Database!HQ28/(Database!HQ29)),0.0001)</f>
        <v>1E-4</v>
      </c>
      <c r="DJ107" s="99">
        <f>IF(AND(Database!HS28&gt;1,Database!HS29&gt;1),100*(Database!HS28/(Database!HS29)),0.0001)</f>
        <v>1E-4</v>
      </c>
      <c r="DK107" s="99">
        <f>IF(AND(Database!HU28&gt;1,Database!HU29&gt;1),100*(Database!HU28/(Database!HU29)),0.0001)</f>
        <v>1E-4</v>
      </c>
      <c r="DL107" s="99">
        <f>IF(AND(Database!HW28&gt;1,Database!HW29&gt;1),100*(Database!HW28/(Database!HW29)),0.0001)</f>
        <v>1E-4</v>
      </c>
      <c r="DM107" s="99">
        <f>IF(AND(Database!HY28&gt;1,Database!HY29&gt;1),100*(Database!HY28/(Database!HY29)),0.0001)</f>
        <v>1E-4</v>
      </c>
      <c r="DN107" s="99">
        <f>IF(AND(Database!IA28&gt;1,Database!IA29&gt;1),100*(Database!IA28/(Database!IA29)),0.0001)</f>
        <v>1E-4</v>
      </c>
      <c r="DO107" s="99">
        <f>IF(AND(Database!IC28&gt;1,Database!IC29&gt;1),100*(Database!IC28/(Database!IC29)),0.0001)</f>
        <v>1E-4</v>
      </c>
      <c r="DP107" s="99">
        <f>IF(AND(Database!IE28&gt;1,Database!IE29&gt;1),100*(Database!IE28/(Database!IE29)),0.0001)</f>
        <v>1E-4</v>
      </c>
      <c r="DQ107" s="99">
        <f>IF(AND(Database!IG28&gt;1,Database!IG29&gt;1),100*(Database!IG28/(Database!IG29)),0.0001)</f>
        <v>1E-4</v>
      </c>
      <c r="DR107" s="99">
        <f>IF(AND(Database!II28&gt;1,Database!II29&gt;1),100*(Database!II28/(Database!II29)),0.0001)</f>
        <v>1E-4</v>
      </c>
      <c r="DS107" s="99">
        <f>IF(AND(Database!IK28&gt;1,Database!IK29&gt;1),100*(Database!IK28/(Database!IK29)),0.0001)</f>
        <v>1E-4</v>
      </c>
      <c r="DT107" s="99">
        <f>IF(AND(Database!IM28&gt;1,Database!IM29&gt;1),100*(Database!IM28/(Database!IM29)),0.0001)</f>
        <v>1E-4</v>
      </c>
      <c r="DU107" s="99">
        <f>IF(AND(Database!IO28&gt;1,Database!IO29&gt;1),100*(Database!IO28/(Database!IO29)),0.0001)</f>
        <v>1E-4</v>
      </c>
      <c r="DV107" s="99">
        <f>IF(AND(Database!IQ28&gt;1,Database!IQ29&gt;1),100*(Database!IQ28/(Database!IQ29)),0.0001)</f>
        <v>1E-4</v>
      </c>
      <c r="DW107" s="99">
        <f>IF(AND(Database!IS28&gt;1,Database!IS29&gt;1),100*(Database!IS28/(Database!IS29)),0.0001)</f>
        <v>1E-4</v>
      </c>
      <c r="DX107" s="99">
        <f>IF(AND(Database!IU28&gt;1,Database!IU29&gt;1),100*(Database!IU28/(Database!IU29)),0.0001)</f>
        <v>1E-4</v>
      </c>
      <c r="DY107" s="99">
        <f>IF(AND(Database!IW28&gt;1,Database!IW29&gt;1),100*(Database!IW28/(Database!IW29)),0.0001)</f>
        <v>1E-4</v>
      </c>
      <c r="DZ107" s="99">
        <f>IF(AND(Database!IY28&gt;1,Database!IY29&gt;1),100*(Database!IY28/(Database!IY29)),0.0001)</f>
        <v>1E-4</v>
      </c>
      <c r="EA107" s="99">
        <f>IF(AND(Database!JA28&gt;1,Database!JA29&gt;1),100*(Database!JA28/(Database!JA29)),0.0001)</f>
        <v>1E-4</v>
      </c>
      <c r="EB107" s="99">
        <f>IF(AND(Database!JC28&gt;1,Database!JC29&gt;1),100*(Database!JC28/(Database!JC29)),0.0001)</f>
        <v>1E-4</v>
      </c>
      <c r="EC107" s="99">
        <f>IF(AND(Database!JE28&gt;1,Database!JE29&gt;1),100*(Database!JE28/(Database!JE29)),0.0001)</f>
        <v>1E-4</v>
      </c>
      <c r="ED107" s="99">
        <f>IF(AND(Database!JG28&gt;1,Database!JG29&gt;1),100*(Database!JG28/(Database!JG29)),0.0001)</f>
        <v>1E-4</v>
      </c>
      <c r="EE107" s="99">
        <f>IF(AND(Database!JI28&gt;1,Database!JI29&gt;1),100*(Database!JI28/(Database!JI29)),0.0001)</f>
        <v>1E-4</v>
      </c>
      <c r="EF107" s="99">
        <f>IF(AND(Database!JK28&gt;1,Database!JK29&gt;1),100*(Database!JK28/(Database!JK29)),0.0001)</f>
        <v>1E-4</v>
      </c>
      <c r="EG107" s="99">
        <f>IF(AND(Database!JM28&gt;1,Database!JM29&gt;1),100*(Database!JM28/(Database!JM29)),0.0001)</f>
        <v>1E-4</v>
      </c>
      <c r="EH107" s="99">
        <f>IF(AND(Database!JO28&gt;1,Database!JO29&gt;1),100*(Database!JO28/(Database!JO29)),0.0001)</f>
        <v>1E-4</v>
      </c>
      <c r="EI107" s="99">
        <f>IF(AND(Database!JQ28&gt;1,Database!JQ29&gt;1),100*(Database!JQ28/(Database!JQ29)),0.0001)</f>
        <v>1E-4</v>
      </c>
      <c r="EJ107" s="99">
        <f>IF(AND(Database!JS28&gt;1,Database!JS29&gt;1),100*(Database!JS28/(Database!JS29)),0.0001)</f>
        <v>1E-4</v>
      </c>
      <c r="EK107" s="99">
        <f>IF(AND(Database!JU28&gt;1,Database!JU29&gt;1),100*(Database!JU28/(Database!JU29)),0.0001)</f>
        <v>1E-4</v>
      </c>
      <c r="EL107" s="99">
        <f>IF(AND(Database!JW28&gt;1,Database!JW29&gt;1),100*(Database!JW28/(Database!JW29)),0.0001)</f>
        <v>1E-4</v>
      </c>
      <c r="EM107" s="99">
        <f>IF(AND(Database!JY28&gt;1,Database!JY29&gt;1),100*(Database!JY28/(Database!JY29)),0.0001)</f>
        <v>1E-4</v>
      </c>
      <c r="EN107" s="99">
        <f>IF(AND(Database!KA28&gt;1,Database!KA29&gt;1),100*(Database!KA28/(Database!KA29)),0.0001)</f>
        <v>1E-4</v>
      </c>
      <c r="EO107" s="99">
        <f>IF(AND(Database!KC28&gt;1,Database!KC29&gt;1),100*(Database!KC28/(Database!KC29)),0.0001)</f>
        <v>1E-4</v>
      </c>
      <c r="EP107" s="99">
        <f>IF(AND(Database!KE28&gt;1,Database!KE29&gt;1),100*(Database!KE28/(Database!KE29)),0.0001)</f>
        <v>1E-4</v>
      </c>
      <c r="EQ107" s="99">
        <f>IF(AND(Database!KG28&gt;1,Database!KG29&gt;1),100*(Database!KG28/(Database!KG29)),0.0001)</f>
        <v>1E-4</v>
      </c>
      <c r="ER107" s="99">
        <f>IF(AND(Database!KI28&gt;1,Database!KI29&gt;1),100*(Database!KI28/(Database!KI29)),0.0001)</f>
        <v>1E-4</v>
      </c>
      <c r="ES107" s="99">
        <f>IF(AND(Database!KK28&gt;1,Database!KK29&gt;1),100*(Database!KK28/(Database!KK29)),0.0001)</f>
        <v>1E-4</v>
      </c>
      <c r="ET107" s="99">
        <f>IF(AND(Database!KM28&gt;1,Database!KM29&gt;1),100*(Database!KM28/(Database!KM29)),0.0001)</f>
        <v>1E-4</v>
      </c>
      <c r="EU107" s="99">
        <f>IF(AND(Database!KO28&gt;1,Database!KO29&gt;1),100*(Database!KO28/(Database!KO29)),0.0001)</f>
        <v>1E-4</v>
      </c>
      <c r="EV107" s="99">
        <f>IF(AND(Database!KQ28&gt;1,Database!KQ29&gt;1),100*(Database!KQ28/(Database!KQ29)),0.0001)</f>
        <v>1E-4</v>
      </c>
      <c r="EW107" s="99">
        <f>IF(AND(Database!KS28&gt;1,Database!KS29&gt;1),100*(Database!KS28/(Database!KS29)),0.0001)</f>
        <v>1E-4</v>
      </c>
      <c r="EX107" s="99">
        <f>IF(AND(Database!KU28&gt;1,Database!KU29&gt;1),100*(Database!KU28/(Database!KU29)),0.0001)</f>
        <v>1E-4</v>
      </c>
      <c r="EY107" s="99">
        <f>IF(AND(Database!KW28&gt;1,Database!KW29&gt;1),100*(Database!KW28/(Database!KW29)),0.0001)</f>
        <v>1E-4</v>
      </c>
      <c r="EZ107" s="99">
        <f>IF(AND(Database!KY28&gt;1,Database!KY29&gt;1),100*(Database!KY28/(Database!KY29)),0.0001)</f>
        <v>1E-4</v>
      </c>
      <c r="FA107" s="99">
        <f>IF(AND(Database!LA28&gt;1,Database!LA29&gt;1),100*(Database!LA28/(Database!LA29)),0.0001)</f>
        <v>1E-4</v>
      </c>
      <c r="FB107" s="99">
        <f>IF(AND(Database!LC28&gt;1,Database!LC29&gt;1),100*(Database!LC28/(Database!LC29)),0.0001)</f>
        <v>1E-4</v>
      </c>
      <c r="FC107" s="99">
        <f>IF(AND(Database!LE28&gt;1,Database!LE29&gt;1),100*(Database!LE28/(Database!LE29)),0.0001)</f>
        <v>1E-4</v>
      </c>
      <c r="FD107" s="99">
        <f>IF(AND(Database!LG28&gt;1,Database!LG29&gt;1),100*(Database!LG28/(Database!LG29)),0.0001)</f>
        <v>1E-4</v>
      </c>
      <c r="FE107" s="99">
        <f>IF(AND(Database!LI28&gt;1,Database!LI29&gt;1),100*(Database!LI28/(Database!LI29)),0.0001)</f>
        <v>1E-4</v>
      </c>
      <c r="FF107" s="99">
        <f>IF(AND(Database!LK28&gt;1,Database!LK29&gt;1),100*(Database!LK28/(Database!LK29)),0.0001)</f>
        <v>1E-4</v>
      </c>
      <c r="FG107" s="99">
        <f>IF(AND(Database!LM28&gt;1,Database!LM29&gt;1),100*(Database!LM28/(Database!LM29)),0.0001)</f>
        <v>1E-4</v>
      </c>
      <c r="FH107" s="99">
        <f>IF(AND(Database!LO28&gt;1,Database!LO29&gt;1),100*(Database!LO28/(Database!LO29)),0.0001)</f>
        <v>1E-4</v>
      </c>
      <c r="FI107" s="99">
        <f>IF(AND(Database!LQ28&gt;1,Database!LQ29&gt;1),100*(Database!LQ28/(Database!LQ29)),0.0001)</f>
        <v>1E-4</v>
      </c>
      <c r="FJ107" s="99">
        <f>IF(AND(Database!LS28&gt;1,Database!LS29&gt;1),100*(Database!LS28/(Database!LS29)),0.0001)</f>
        <v>1E-4</v>
      </c>
      <c r="FK107" s="99">
        <f>IF(AND(Database!LU28&gt;1,Database!LU29&gt;1),100*(Database!LU28/(Database!LU29)),0.0001)</f>
        <v>1E-4</v>
      </c>
      <c r="FL107" s="99">
        <f>IF(AND(Database!LW28&gt;1,Database!LW29&gt;1),100*(Database!LW28/(Database!LW29)),0.0001)</f>
        <v>1E-4</v>
      </c>
      <c r="FM107" s="99">
        <f>IF(AND(Database!LY28&gt;1,Database!LY29&gt;1),100*(Database!LY28/(Database!LY29)),0.0001)</f>
        <v>1E-4</v>
      </c>
      <c r="FN107" s="99">
        <f>IF(AND(Database!MA28&gt;1,Database!MA29&gt;1),100*(Database!MA28/(Database!MA29)),0.0001)</f>
        <v>1E-4</v>
      </c>
      <c r="FO107" s="99">
        <f>IF(AND(Database!MC28&gt;1,Database!MC29&gt;1),100*(Database!MC28/(Database!MC29)),0.0001)</f>
        <v>1E-4</v>
      </c>
      <c r="FP107" s="99">
        <f>IF(AND(Database!ME28&gt;1,Database!ME29&gt;1),100*(Database!ME28/(Database!ME29)),0.0001)</f>
        <v>1E-4</v>
      </c>
      <c r="FQ107" s="99">
        <f>IF(AND(Database!MG28&gt;1,Database!MG29&gt;1),100*(Database!MG28/(Database!MG29)),0.0001)</f>
        <v>1E-4</v>
      </c>
      <c r="FR107" s="99">
        <f>IF(AND(Database!MI28&gt;1,Database!MI29&gt;1),100*(Database!MI28/(Database!MI29)),0.0001)</f>
        <v>1E-4</v>
      </c>
      <c r="FS107" s="99">
        <f>IF(AND(Database!MK28&gt;1,Database!MK29&gt;1),100*(Database!MK28/(Database!MK29)),0.0001)</f>
        <v>1E-4</v>
      </c>
      <c r="FT107" s="99">
        <f>IF(AND(Database!MM28&gt;1,Database!MM29&gt;1),100*(Database!MM28/(Database!MM29)),0.0001)</f>
        <v>1E-4</v>
      </c>
      <c r="FU107" s="99">
        <f>IF(AND(Database!MO28&gt;1,Database!MO29&gt;1),100*(Database!MO28/(Database!MO29)),0.0001)</f>
        <v>1E-4</v>
      </c>
      <c r="FV107" s="99">
        <f>IF(AND(Database!MQ28&gt;1,Database!MQ29&gt;1),100*(Database!MQ28/(Database!MQ29)),0.0001)</f>
        <v>1E-4</v>
      </c>
      <c r="FW107" s="99">
        <f>IF(AND(Database!MS28&gt;1,Database!MS29&gt;1),100*(Database!MS28/(Database!MS29)),0.0001)</f>
        <v>1E-4</v>
      </c>
      <c r="FX107" s="99">
        <f>IF(AND(Database!MU28&gt;1,Database!MU29&gt;1),100*(Database!MU28/(Database!MU29)),0.0001)</f>
        <v>1E-4</v>
      </c>
      <c r="FY107" s="99">
        <f>IF(AND(Database!MW28&gt;1,Database!MW29&gt;1),100*(Database!MW28/(Database!MW29)),0.0001)</f>
        <v>1E-4</v>
      </c>
      <c r="FZ107" s="99">
        <f>IF(AND(Database!MY28&gt;1,Database!MY29&gt;1),100*(Database!MY28/(Database!MY29)),0.0001)</f>
        <v>1E-4</v>
      </c>
      <c r="GA107" s="99">
        <f>IF(AND(Database!NA28&gt;1,Database!NA29&gt;1),100*(Database!NA28/(Database!NA29)),0.0001)</f>
        <v>1E-4</v>
      </c>
      <c r="GB107" s="99">
        <f>IF(AND(Database!NC28&gt;1,Database!NC29&gt;1),100*(Database!NC28/(Database!NC29)),0.0001)</f>
        <v>1E-4</v>
      </c>
      <c r="GC107" s="99">
        <f>IF(AND(Database!NE28&gt;1,Database!NE29&gt;1),100*(Database!NE28/(Database!NE29)),0.0001)</f>
        <v>1E-4</v>
      </c>
      <c r="GD107" s="99">
        <f>IF(AND(Database!NG28&gt;1,Database!NG29&gt;1),100*(Database!NG28/(Database!NG29)),0.0001)</f>
        <v>1E-4</v>
      </c>
      <c r="GE107" s="99">
        <f>IF(AND(Database!NI28&gt;1,Database!NI29&gt;1),100*(Database!NI28/(Database!NI29)),0.0001)</f>
        <v>1E-4</v>
      </c>
      <c r="GF107" s="99">
        <f>IF(AND(Database!NK28&gt;1,Database!NK29&gt;1),100*(Database!NK28/(Database!NK29)),0.0001)</f>
        <v>1E-4</v>
      </c>
      <c r="GG107" s="99">
        <f>IF(AND(Database!NM28&gt;1,Database!NM29&gt;1),100*(Database!NM28/(Database!NM29)),0.0001)</f>
        <v>1E-4</v>
      </c>
      <c r="GH107" s="99">
        <f>IF(AND(Database!NO28&gt;1,Database!NO29&gt;1),100*(Database!NO28/(Database!NO29)),0.0001)</f>
        <v>1E-4</v>
      </c>
      <c r="GI107" s="99">
        <f>IF(AND(Database!NQ28&gt;1,Database!NQ29&gt;1),100*(Database!NQ28/(Database!NQ29)),0.0001)</f>
        <v>1E-4</v>
      </c>
      <c r="GJ107" s="99">
        <f>IF(AND(Database!NS28&gt;1,Database!NS29&gt;1),100*(Database!NS28/(Database!NS29)),0.0001)</f>
        <v>1E-4</v>
      </c>
      <c r="GK107" s="99">
        <f>IF(AND(Database!NU28&gt;1,Database!NU29&gt;1),100*(Database!NU28/(Database!NU29)),0.0001)</f>
        <v>1E-4</v>
      </c>
      <c r="GL107" s="99">
        <f>IF(AND(Database!NW28&gt;1,Database!NW29&gt;1),100*(Database!NW28/(Database!NW29)),0.0001)</f>
        <v>1E-4</v>
      </c>
      <c r="GM107" s="99">
        <f>IF(AND(Database!NY28&gt;1,Database!NY29&gt;1),100*(Database!NY28/(Database!NY29)),0.0001)</f>
        <v>1E-4</v>
      </c>
      <c r="GN107" s="99">
        <f>IF(AND(Database!OA28&gt;1,Database!OA29&gt;1),100*(Database!OA28/(Database!OA29)),0.0001)</f>
        <v>1E-4</v>
      </c>
      <c r="GO107" s="99">
        <f>IF(AND(Database!OC28&gt;1,Database!OC29&gt;1),100*(Database!OC28/(Database!OC29)),0.0001)</f>
        <v>1E-4</v>
      </c>
      <c r="GP107" s="99">
        <f>IF(AND(Database!OE28&gt;1,Database!OE29&gt;1),100*(Database!OE28/(Database!OE29)),0.0001)</f>
        <v>1E-4</v>
      </c>
      <c r="GQ107" s="99">
        <f>IF(AND(Database!OG28&gt;1,Database!OG29&gt;1),100*(Database!OG28/(Database!OG29)),0.0001)</f>
        <v>1E-4</v>
      </c>
      <c r="GR107" s="99">
        <f>IF(AND(Database!OI28&gt;1,Database!OI29&gt;1),100*(Database!OI28/(Database!OI29)),0.0001)</f>
        <v>1E-4</v>
      </c>
      <c r="GS107" s="99">
        <f>IF(AND(Database!OK28&gt;1,Database!OK29&gt;1),100*(Database!OK28/(Database!OK29)),0.0001)</f>
        <v>1E-4</v>
      </c>
      <c r="GT107" s="99">
        <f>IF(AND(Database!OM28&gt;1,Database!OM29&gt;1),100*(Database!OM28/(Database!OM29)),0.0001)</f>
        <v>1E-4</v>
      </c>
    </row>
    <row r="108" spans="1:202" ht="18.75" customHeight="1" x14ac:dyDescent="0.4">
      <c r="A108" s="29" t="s">
        <v>118</v>
      </c>
      <c r="B108" s="306"/>
      <c r="C108" s="99">
        <f>IF(AND(Database!E31&gt;1,Database!E32&gt;1),100*(Database!E31/(Database!E32)),0.0001)</f>
        <v>121.27577814781607</v>
      </c>
      <c r="D108" s="99">
        <f>IF(AND(Database!G31&gt;1,Database!G32&gt;1),100*(Database!G31/(Database!G32)),0.0001)</f>
        <v>136.60911907923861</v>
      </c>
      <c r="E108" s="99">
        <f>IF(AND(Database!I31&gt;1,Database!I32&gt;1),100*(Database!I31/(Database!I32)),0.0001)</f>
        <v>132.9128799749295</v>
      </c>
      <c r="F108" s="99">
        <f>IF(AND(Database!K31&gt;1,Database!K32&gt;1),100*(Database!K31/(Database!K32)),0.0001)</f>
        <v>122.90249433106577</v>
      </c>
      <c r="G108" s="99">
        <f>IF(AND(Database!M31&gt;1,Database!M32&gt;1),100*(Database!M31/(Database!M32)),0.0001)</f>
        <v>1E-4</v>
      </c>
      <c r="H108" s="99">
        <f>IF(AND(Database!O31&gt;1,Database!O32&gt;1),100*(Database!O31/(Database!O32)),0.0001)</f>
        <v>1E-4</v>
      </c>
      <c r="I108" s="99">
        <f>IF(AND(Database!Q31&gt;1,Database!Q32&gt;1),100*(Database!Q31/(Database!Q32)),0.0001)</f>
        <v>1E-4</v>
      </c>
      <c r="J108" s="99">
        <f>IF(AND(Database!S31&gt;1,Database!S32&gt;1),100*(Database!S31/(Database!S32)),0.0001)</f>
        <v>1E-4</v>
      </c>
      <c r="K108" s="99">
        <f>IF(AND(Database!U31&gt;1,Database!U32&gt;1),100*(Database!U31/(Database!U32)),0.0001)</f>
        <v>1E-4</v>
      </c>
      <c r="L108" s="99">
        <f>IF(AND(Database!W31&gt;1,Database!W32&gt;1),100*(Database!W31/(Database!W32)),0.0001)</f>
        <v>1E-4</v>
      </c>
      <c r="M108" s="99">
        <f>IF(AND(Database!Y31&gt;1,Database!Y32&gt;1),100*(Database!Y31/(Database!Y32)),0.0001)</f>
        <v>1E-4</v>
      </c>
      <c r="N108" s="99">
        <f>IF(AND(Database!AA31&gt;1,Database!AA32&gt;1),100*(Database!AA31/(Database!AA32)),0.0001)</f>
        <v>1E-4</v>
      </c>
      <c r="O108" s="99">
        <f>IF(AND(Database!AC31&gt;1,Database!AC32&gt;1),100*(Database!AC31/(Database!AC32)),0.0001)</f>
        <v>1E-4</v>
      </c>
      <c r="P108" s="99">
        <f>IF(AND(Database!AE31&gt;1,Database!AE32&gt;1),100*(Database!AE31/(Database!AE32)),0.0001)</f>
        <v>1E-4</v>
      </c>
      <c r="Q108" s="99">
        <f>IF(AND(Database!AG31&gt;1,Database!AG32&gt;1),100*(Database!AG31/(Database!AG32)),0.0001)</f>
        <v>1E-4</v>
      </c>
      <c r="R108" s="99">
        <f>IF(AND(Database!AI31&gt;1,Database!AI32&gt;1),100*(Database!AI31/(Database!AI32)),0.0001)</f>
        <v>1E-4</v>
      </c>
      <c r="S108" s="99">
        <f>IF(AND(Database!AK31&gt;1,Database!AK32&gt;1),100*(Database!AK31/(Database!AK32)),0.0001)</f>
        <v>1E-4</v>
      </c>
      <c r="T108" s="99">
        <f>IF(AND(Database!AM31&gt;1,Database!AM32&gt;1),100*(Database!AM31/(Database!AM32)),0.0001)</f>
        <v>1E-4</v>
      </c>
      <c r="U108" s="99">
        <f>IF(AND(Database!AO31&gt;1,Database!AO32&gt;1),100*(Database!AO31/(Database!AO32)),0.0001)</f>
        <v>1E-4</v>
      </c>
      <c r="V108" s="99">
        <f>IF(AND(Database!AQ31&gt;1,Database!AQ32&gt;1),100*(Database!AQ31/(Database!AQ32)),0.0001)</f>
        <v>1E-4</v>
      </c>
      <c r="W108" s="99">
        <f>IF(AND(Database!AS31&gt;1,Database!AS32&gt;1),100*(Database!AS31/(Database!AS32)),0.0001)</f>
        <v>1E-4</v>
      </c>
      <c r="X108" s="99">
        <f>IF(AND(Database!AU31&gt;1,Database!AU32&gt;1),100*(Database!AU31/(Database!AU32)),0.0001)</f>
        <v>1E-4</v>
      </c>
      <c r="Y108" s="99">
        <f>IF(AND(Database!AW31&gt;1,Database!AW32&gt;1),100*(Database!AW31/(Database!AW32)),0.0001)</f>
        <v>1E-4</v>
      </c>
      <c r="Z108" s="99">
        <f>IF(AND(Database!AY31&gt;1,Database!AY32&gt;1),100*(Database!AY31/(Database!AY32)),0.0001)</f>
        <v>1E-4</v>
      </c>
      <c r="AA108" s="99">
        <f>IF(AND(Database!BA31&gt;1,Database!BA32&gt;1),100*(Database!BA31/(Database!BA32)),0.0001)</f>
        <v>1E-4</v>
      </c>
      <c r="AB108" s="99">
        <f>IF(AND(Database!BC31&gt;1,Database!BC32&gt;1),100*(Database!BC31/(Database!BC32)),0.0001)</f>
        <v>1E-4</v>
      </c>
      <c r="AC108" s="99">
        <f>IF(AND(Database!BE31&gt;1,Database!BE32&gt;1),100*(Database!BE31/(Database!BE32)),0.0001)</f>
        <v>1E-4</v>
      </c>
      <c r="AD108" s="99">
        <f>IF(AND(Database!BG31&gt;1,Database!BG32&gt;1),100*(Database!BG31/(Database!BG32)),0.0001)</f>
        <v>1E-4</v>
      </c>
      <c r="AE108" s="99">
        <f>IF(AND(Database!BI31&gt;1,Database!BI32&gt;1),100*(Database!BI31/(Database!BI32)),0.0001)</f>
        <v>1E-4</v>
      </c>
      <c r="AF108" s="99">
        <f>IF(AND(Database!BK31&gt;1,Database!BK32&gt;1),100*(Database!BK31/(Database!BK32)),0.0001)</f>
        <v>1E-4</v>
      </c>
      <c r="AG108" s="99">
        <f>IF(AND(Database!BM31&gt;1,Database!BM32&gt;1),100*(Database!BM31/(Database!BM32)),0.0001)</f>
        <v>1E-4</v>
      </c>
      <c r="AH108" s="99">
        <f>IF(AND(Database!BO31&gt;1,Database!BO32&gt;1),100*(Database!BO31/(Database!BO32)),0.0001)</f>
        <v>1E-4</v>
      </c>
      <c r="AI108" s="99">
        <f>IF(AND(Database!BQ31&gt;1,Database!BQ32&gt;1),100*(Database!BQ31/(Database!BQ32)),0.0001)</f>
        <v>1E-4</v>
      </c>
      <c r="AJ108" s="99">
        <f>IF(AND(Database!BS31&gt;1,Database!BS32&gt;1),100*(Database!BS31/(Database!BS32)),0.0001)</f>
        <v>1E-4</v>
      </c>
      <c r="AK108" s="99">
        <f>IF(AND(Database!BU31&gt;1,Database!BU32&gt;1),100*(Database!BU31/(Database!BU32)),0.0001)</f>
        <v>1E-4</v>
      </c>
      <c r="AL108" s="99">
        <f>IF(AND(Database!BW31&gt;1,Database!BW32&gt;1),100*(Database!BW31/(Database!BW32)),0.0001)</f>
        <v>1E-4</v>
      </c>
      <c r="AM108" s="99">
        <f>IF(AND(Database!BY31&gt;1,Database!BY32&gt;1),100*(Database!BY31/(Database!BY32)),0.0001)</f>
        <v>1E-4</v>
      </c>
      <c r="AN108" s="99">
        <f>IF(AND(Database!CA31&gt;1,Database!CA32&gt;1),100*(Database!CA31/(Database!CA32)),0.0001)</f>
        <v>1E-4</v>
      </c>
      <c r="AO108" s="99">
        <f>IF(AND(Database!CC31&gt;1,Database!CC32&gt;1),100*(Database!CC31/(Database!CC32)),0.0001)</f>
        <v>1E-4</v>
      </c>
      <c r="AP108" s="99">
        <f>IF(AND(Database!CE31&gt;1,Database!CE32&gt;1),100*(Database!CE31/(Database!CE32)),0.0001)</f>
        <v>1E-4</v>
      </c>
      <c r="AQ108" s="99">
        <f>IF(AND(Database!CG31&gt;1,Database!CG32&gt;1),100*(Database!CG31/(Database!CG32)),0.0001)</f>
        <v>1E-4</v>
      </c>
      <c r="AR108" s="99">
        <f>IF(AND(Database!CI31&gt;1,Database!CI32&gt;1),100*(Database!CI31/(Database!CI32)),0.0001)</f>
        <v>1E-4</v>
      </c>
      <c r="AS108" s="99">
        <f>IF(AND(Database!CK31&gt;1,Database!CK32&gt;1),100*(Database!CK31/(Database!CK32)),0.0001)</f>
        <v>1E-4</v>
      </c>
      <c r="AT108" s="99">
        <f>IF(AND(Database!CM31&gt;1,Database!CM32&gt;1),100*(Database!CM31/(Database!CM32)),0.0001)</f>
        <v>1E-4</v>
      </c>
      <c r="AU108" s="99">
        <f>IF(AND(Database!CO31&gt;1,Database!CO32&gt;1),100*(Database!CO31/(Database!CO32)),0.0001)</f>
        <v>1E-4</v>
      </c>
      <c r="AV108" s="99">
        <f>IF(AND(Database!CQ31&gt;1,Database!CQ32&gt;1),100*(Database!CQ31/(Database!CQ32)),0.0001)</f>
        <v>1E-4</v>
      </c>
      <c r="AW108" s="99">
        <f>IF(AND(Database!CS31&gt;1,Database!CS32&gt;1),100*(Database!CS31/(Database!CS32)),0.0001)</f>
        <v>1E-4</v>
      </c>
      <c r="AX108" s="99">
        <f>IF(AND(Database!CU31&gt;1,Database!CU32&gt;1),100*(Database!CU31/(Database!CU32)),0.0001)</f>
        <v>1E-4</v>
      </c>
      <c r="AY108" s="99">
        <f>IF(AND(Database!CW31&gt;1,Database!CW32&gt;1),100*(Database!CW31/(Database!CW32)),0.0001)</f>
        <v>1E-4</v>
      </c>
      <c r="AZ108" s="99">
        <f>IF(AND(Database!CY31&gt;1,Database!CY32&gt;1),100*(Database!CY31/(Database!CY32)),0.0001)</f>
        <v>1E-4</v>
      </c>
      <c r="BA108" s="99">
        <f>IF(AND(Database!DA31&gt;1,Database!DA32&gt;1),100*(Database!DA31/(Database!DA32)),0.0001)</f>
        <v>1E-4</v>
      </c>
      <c r="BB108" s="99">
        <f>IF(AND(Database!DC31&gt;1,Database!DC32&gt;1),100*(Database!DC31/(Database!DC32)),0.0001)</f>
        <v>1E-4</v>
      </c>
      <c r="BC108" s="99">
        <f>IF(AND(Database!DE31&gt;1,Database!DE32&gt;1),100*(Database!DE31/(Database!DE32)),0.0001)</f>
        <v>1E-4</v>
      </c>
      <c r="BD108" s="99">
        <f>IF(AND(Database!DG31&gt;1,Database!DG32&gt;1),100*(Database!DG31/(Database!DG32)),0.0001)</f>
        <v>1E-4</v>
      </c>
      <c r="BE108" s="99">
        <f>IF(AND(Database!DI31&gt;1,Database!DI32&gt;1),100*(Database!DI31/(Database!DI32)),0.0001)</f>
        <v>1E-4</v>
      </c>
      <c r="BF108" s="99">
        <f>IF(AND(Database!DK31&gt;1,Database!DK32&gt;1),100*(Database!DK31/(Database!DK32)),0.0001)</f>
        <v>1E-4</v>
      </c>
      <c r="BG108" s="99">
        <f>IF(AND(Database!DM31&gt;1,Database!DM32&gt;1),100*(Database!DM31/(Database!DM32)),0.0001)</f>
        <v>1E-4</v>
      </c>
      <c r="BH108" s="99">
        <f>IF(AND(Database!DO31&gt;1,Database!DO32&gt;1),100*(Database!DO31/(Database!DO32)),0.0001)</f>
        <v>1E-4</v>
      </c>
      <c r="BI108" s="99">
        <f>IF(AND(Database!DQ31&gt;1,Database!DQ32&gt;1),100*(Database!DQ31/(Database!DQ32)),0.0001)</f>
        <v>1E-4</v>
      </c>
      <c r="BJ108" s="99">
        <f>IF(AND(Database!DS31&gt;1,Database!DS32&gt;1),100*(Database!DS31/(Database!DS32)),0.0001)</f>
        <v>1E-4</v>
      </c>
      <c r="BK108" s="99">
        <f>IF(AND(Database!DU31&gt;1,Database!DU32&gt;1),100*(Database!DU31/(Database!DU32)),0.0001)</f>
        <v>1E-4</v>
      </c>
      <c r="BL108" s="99">
        <f>IF(AND(Database!DW31&gt;1,Database!DW32&gt;1),100*(Database!DW31/(Database!DW32)),0.0001)</f>
        <v>1E-4</v>
      </c>
      <c r="BM108" s="99">
        <f>IF(AND(Database!DY31&gt;1,Database!DY32&gt;1),100*(Database!DY31/(Database!DY32)),0.0001)</f>
        <v>1E-4</v>
      </c>
      <c r="BN108" s="99">
        <f>IF(AND(Database!EA31&gt;1,Database!EA32&gt;1),100*(Database!EA31/(Database!EA32)),0.0001)</f>
        <v>1E-4</v>
      </c>
      <c r="BO108" s="99">
        <f>IF(AND(Database!EC31&gt;1,Database!EC32&gt;1),100*(Database!EC31/(Database!EC32)),0.0001)</f>
        <v>1E-4</v>
      </c>
      <c r="BP108" s="99">
        <f>IF(AND(Database!EE31&gt;1,Database!EE32&gt;1),100*(Database!EE31/(Database!EE32)),0.0001)</f>
        <v>1E-4</v>
      </c>
      <c r="BQ108" s="99">
        <f>IF(AND(Database!EG31&gt;1,Database!EG32&gt;1),100*(Database!EG31/(Database!EG32)),0.0001)</f>
        <v>1E-4</v>
      </c>
      <c r="BR108" s="99">
        <f>IF(AND(Database!EI31&gt;1,Database!EI32&gt;1),100*(Database!EI31/(Database!EI32)),0.0001)</f>
        <v>1E-4</v>
      </c>
      <c r="BS108" s="99">
        <f>IF(AND(Database!EK31&gt;1,Database!EK32&gt;1),100*(Database!EK31/(Database!EK32)),0.0001)</f>
        <v>1E-4</v>
      </c>
      <c r="BT108" s="99">
        <f>IF(AND(Database!EM31&gt;1,Database!EM32&gt;1),100*(Database!EM31/(Database!EM32)),0.0001)</f>
        <v>1E-4</v>
      </c>
      <c r="BU108" s="99">
        <f>IF(AND(Database!EO31&gt;1,Database!EO32&gt;1),100*(Database!EO31/(Database!EO32)),0.0001)</f>
        <v>1E-4</v>
      </c>
      <c r="BV108" s="99">
        <f>IF(AND(Database!EQ31&gt;1,Database!EQ32&gt;1),100*(Database!EQ31/(Database!EQ32)),0.0001)</f>
        <v>1E-4</v>
      </c>
      <c r="BW108" s="99">
        <f>IF(AND(Database!ES31&gt;1,Database!ES32&gt;1),100*(Database!ES31/(Database!ES32)),0.0001)</f>
        <v>1E-4</v>
      </c>
      <c r="BX108" s="99">
        <f>IF(AND(Database!EU31&gt;1,Database!EU32&gt;1),100*(Database!EU31/(Database!EU32)),0.0001)</f>
        <v>1E-4</v>
      </c>
      <c r="BY108" s="99">
        <f>IF(AND(Database!EW31&gt;1,Database!EW32&gt;1),100*(Database!EW31/(Database!EW32)),0.0001)</f>
        <v>1E-4</v>
      </c>
      <c r="BZ108" s="99">
        <f>IF(AND(Database!EY31&gt;1,Database!EY32&gt;1),100*(Database!EY31/(Database!EY32)),0.0001)</f>
        <v>1E-4</v>
      </c>
      <c r="CA108" s="99">
        <f>IF(AND(Database!FA31&gt;1,Database!FA32&gt;1),100*(Database!FA31/(Database!FA32)),0.0001)</f>
        <v>1E-4</v>
      </c>
      <c r="CB108" s="99">
        <f>IF(AND(Database!FC31&gt;1,Database!FC32&gt;1),100*(Database!FC31/(Database!FC32)),0.0001)</f>
        <v>1E-4</v>
      </c>
      <c r="CC108" s="99">
        <f>IF(AND(Database!FE31&gt;1,Database!FE32&gt;1),100*(Database!FE31/(Database!FE32)),0.0001)</f>
        <v>1E-4</v>
      </c>
      <c r="CD108" s="99">
        <f>IF(AND(Database!FG31&gt;1,Database!FG32&gt;1),100*(Database!FG31/(Database!FG32)),0.0001)</f>
        <v>1E-4</v>
      </c>
      <c r="CE108" s="99">
        <f>IF(AND(Database!FI31&gt;1,Database!FI32&gt;1),100*(Database!FI31/(Database!FI32)),0.0001)</f>
        <v>1E-4</v>
      </c>
      <c r="CF108" s="99">
        <f>IF(AND(Database!FK31&gt;1,Database!FK32&gt;1),100*(Database!FK31/(Database!FK32)),0.0001)</f>
        <v>1E-4</v>
      </c>
      <c r="CG108" s="99">
        <f>IF(AND(Database!FM31&gt;1,Database!FM32&gt;1),100*(Database!FM31/(Database!FM32)),0.0001)</f>
        <v>1E-4</v>
      </c>
      <c r="CH108" s="99">
        <f>IF(AND(Database!FO31&gt;1,Database!FO32&gt;1),100*(Database!FO31/(Database!FO32)),0.0001)</f>
        <v>1E-4</v>
      </c>
      <c r="CI108" s="99">
        <f>IF(AND(Database!FQ31&gt;1,Database!FQ32&gt;1),100*(Database!FQ31/(Database!FQ32)),0.0001)</f>
        <v>1E-4</v>
      </c>
      <c r="CJ108" s="99">
        <f>IF(AND(Database!FS31&gt;1,Database!FS32&gt;1),100*(Database!FS31/(Database!FS32)),0.0001)</f>
        <v>1E-4</v>
      </c>
      <c r="CK108" s="99">
        <f>IF(AND(Database!FU31&gt;1,Database!FU32&gt;1),100*(Database!FU31/(Database!FU32)),0.0001)</f>
        <v>1E-4</v>
      </c>
      <c r="CL108" s="99">
        <f>IF(AND(Database!FW31&gt;1,Database!FW32&gt;1),100*(Database!FW31/(Database!FW32)),0.0001)</f>
        <v>1E-4</v>
      </c>
      <c r="CM108" s="99">
        <f>IF(AND(Database!FY31&gt;1,Database!FY32&gt;1),100*(Database!FY31/(Database!FY32)),0.0001)</f>
        <v>1E-4</v>
      </c>
      <c r="CN108" s="99">
        <f>IF(AND(Database!GA31&gt;1,Database!GA32&gt;1),100*(Database!GA31/(Database!GA32)),0.0001)</f>
        <v>1E-4</v>
      </c>
      <c r="CO108" s="99">
        <f>IF(AND(Database!GC31&gt;1,Database!GC32&gt;1),100*(Database!GC31/(Database!GC32)),0.0001)</f>
        <v>1E-4</v>
      </c>
      <c r="CP108" s="99">
        <f>IF(AND(Database!GE31&gt;1,Database!GE32&gt;1),100*(Database!GE31/(Database!GE32)),0.0001)</f>
        <v>1E-4</v>
      </c>
      <c r="CQ108" s="99">
        <f>IF(AND(Database!GG31&gt;1,Database!GG32&gt;1),100*(Database!GG31/(Database!GG32)),0.0001)</f>
        <v>1E-4</v>
      </c>
      <c r="CR108" s="99">
        <f>IF(AND(Database!GI31&gt;1,Database!GI32&gt;1),100*(Database!GI31/(Database!GI32)),0.0001)</f>
        <v>1E-4</v>
      </c>
      <c r="CS108" s="99">
        <f>IF(AND(Database!GK31&gt;1,Database!GK32&gt;1),100*(Database!GK31/(Database!GK32)),0.0001)</f>
        <v>1E-4</v>
      </c>
      <c r="CT108" s="99">
        <f>IF(AND(Database!GM31&gt;1,Database!GM32&gt;1),100*(Database!GM31/(Database!GM32)),0.0001)</f>
        <v>1E-4</v>
      </c>
      <c r="CU108" s="99">
        <f>IF(AND(Database!GO31&gt;1,Database!GO32&gt;1),100*(Database!GO31/(Database!GO32)),0.0001)</f>
        <v>1E-4</v>
      </c>
      <c r="CV108" s="99">
        <f>IF(AND(Database!GQ31&gt;1,Database!GQ32&gt;1),100*(Database!GQ31/(Database!GQ32)),0.0001)</f>
        <v>1E-4</v>
      </c>
      <c r="CW108" s="99">
        <f>IF(AND(Database!GS31&gt;1,Database!GS32&gt;1),100*(Database!GS31/(Database!GS32)),0.0001)</f>
        <v>1E-4</v>
      </c>
      <c r="CX108" s="99">
        <f>IF(AND(Database!GU31&gt;1,Database!GU32&gt;1),100*(Database!GU31/(Database!GU32)),0.0001)</f>
        <v>1E-4</v>
      </c>
      <c r="CY108" s="99">
        <f>IF(AND(Database!GW31&gt;1,Database!GW32&gt;1),100*(Database!GW31/(Database!GW32)),0.0001)</f>
        <v>1E-4</v>
      </c>
      <c r="CZ108" s="99">
        <f>IF(AND(Database!GY31&gt;1,Database!GY32&gt;1),100*(Database!GY31/(Database!GY32)),0.0001)</f>
        <v>1E-4</v>
      </c>
      <c r="DA108" s="99">
        <f>IF(AND(Database!HA31&gt;1,Database!HA32&gt;1),100*(Database!HA31/(Database!HA32)),0.0001)</f>
        <v>1E-4</v>
      </c>
      <c r="DB108" s="99">
        <f>IF(AND(Database!HC31&gt;1,Database!HC32&gt;1),100*(Database!HC31/(Database!HC32)),0.0001)</f>
        <v>1E-4</v>
      </c>
      <c r="DC108" s="99">
        <f>IF(AND(Database!HE31&gt;1,Database!HE32&gt;1),100*(Database!HE31/(Database!HE32)),0.0001)</f>
        <v>1E-4</v>
      </c>
      <c r="DD108" s="99">
        <f>IF(AND(Database!HG31&gt;1,Database!HG32&gt;1),100*(Database!HG31/(Database!HG32)),0.0001)</f>
        <v>1E-4</v>
      </c>
      <c r="DE108" s="99">
        <f>IF(AND(Database!HI31&gt;1,Database!HI32&gt;1),100*(Database!HI31/(Database!HI32)),0.0001)</f>
        <v>1E-4</v>
      </c>
      <c r="DF108" s="99">
        <f>IF(AND(Database!HK31&gt;1,Database!HK32&gt;1),100*(Database!HK31/(Database!HK32)),0.0001)</f>
        <v>1E-4</v>
      </c>
      <c r="DG108" s="99">
        <f>IF(AND(Database!HM31&gt;1,Database!HM32&gt;1),100*(Database!HM31/(Database!HM32)),0.0001)</f>
        <v>1E-4</v>
      </c>
      <c r="DH108" s="99">
        <f>IF(AND(Database!HO31&gt;1,Database!HO32&gt;1),100*(Database!HO31/(Database!HO32)),0.0001)</f>
        <v>1E-4</v>
      </c>
      <c r="DI108" s="99">
        <f>IF(AND(Database!HQ31&gt;1,Database!HQ32&gt;1),100*(Database!HQ31/(Database!HQ32)),0.0001)</f>
        <v>1E-4</v>
      </c>
      <c r="DJ108" s="99">
        <f>IF(AND(Database!HS31&gt;1,Database!HS32&gt;1),100*(Database!HS31/(Database!HS32)),0.0001)</f>
        <v>1E-4</v>
      </c>
      <c r="DK108" s="99">
        <f>IF(AND(Database!HU31&gt;1,Database!HU32&gt;1),100*(Database!HU31/(Database!HU32)),0.0001)</f>
        <v>1E-4</v>
      </c>
      <c r="DL108" s="99">
        <f>IF(AND(Database!HW31&gt;1,Database!HW32&gt;1),100*(Database!HW31/(Database!HW32)),0.0001)</f>
        <v>1E-4</v>
      </c>
      <c r="DM108" s="99">
        <f>IF(AND(Database!HY31&gt;1,Database!HY32&gt;1),100*(Database!HY31/(Database!HY32)),0.0001)</f>
        <v>1E-4</v>
      </c>
      <c r="DN108" s="99">
        <f>IF(AND(Database!IA31&gt;1,Database!IA32&gt;1),100*(Database!IA31/(Database!IA32)),0.0001)</f>
        <v>1E-4</v>
      </c>
      <c r="DO108" s="99">
        <f>IF(AND(Database!IC31&gt;1,Database!IC32&gt;1),100*(Database!IC31/(Database!IC32)),0.0001)</f>
        <v>1E-4</v>
      </c>
      <c r="DP108" s="99">
        <f>IF(AND(Database!IE31&gt;1,Database!IE32&gt;1),100*(Database!IE31/(Database!IE32)),0.0001)</f>
        <v>1E-4</v>
      </c>
      <c r="DQ108" s="99">
        <f>IF(AND(Database!IG31&gt;1,Database!IG32&gt;1),100*(Database!IG31/(Database!IG32)),0.0001)</f>
        <v>1E-4</v>
      </c>
      <c r="DR108" s="99">
        <f>IF(AND(Database!II31&gt;1,Database!II32&gt;1),100*(Database!II31/(Database!II32)),0.0001)</f>
        <v>1E-4</v>
      </c>
      <c r="DS108" s="99">
        <f>IF(AND(Database!IK31&gt;1,Database!IK32&gt;1),100*(Database!IK31/(Database!IK32)),0.0001)</f>
        <v>1E-4</v>
      </c>
      <c r="DT108" s="99">
        <f>IF(AND(Database!IM31&gt;1,Database!IM32&gt;1),100*(Database!IM31/(Database!IM32)),0.0001)</f>
        <v>1E-4</v>
      </c>
      <c r="DU108" s="99">
        <f>IF(AND(Database!IO31&gt;1,Database!IO32&gt;1),100*(Database!IO31/(Database!IO32)),0.0001)</f>
        <v>1E-4</v>
      </c>
      <c r="DV108" s="99">
        <f>IF(AND(Database!IQ31&gt;1,Database!IQ32&gt;1),100*(Database!IQ31/(Database!IQ32)),0.0001)</f>
        <v>1E-4</v>
      </c>
      <c r="DW108" s="99">
        <f>IF(AND(Database!IS31&gt;1,Database!IS32&gt;1),100*(Database!IS31/(Database!IS32)),0.0001)</f>
        <v>1E-4</v>
      </c>
      <c r="DX108" s="99">
        <f>IF(AND(Database!IU31&gt;1,Database!IU32&gt;1),100*(Database!IU31/(Database!IU32)),0.0001)</f>
        <v>1E-4</v>
      </c>
      <c r="DY108" s="99">
        <f>IF(AND(Database!IW31&gt;1,Database!IW32&gt;1),100*(Database!IW31/(Database!IW32)),0.0001)</f>
        <v>1E-4</v>
      </c>
      <c r="DZ108" s="99">
        <f>IF(AND(Database!IY31&gt;1,Database!IY32&gt;1),100*(Database!IY31/(Database!IY32)),0.0001)</f>
        <v>1E-4</v>
      </c>
      <c r="EA108" s="99">
        <f>IF(AND(Database!JA31&gt;1,Database!JA32&gt;1),100*(Database!JA31/(Database!JA32)),0.0001)</f>
        <v>1E-4</v>
      </c>
      <c r="EB108" s="99">
        <f>IF(AND(Database!JC31&gt;1,Database!JC32&gt;1),100*(Database!JC31/(Database!JC32)),0.0001)</f>
        <v>1E-4</v>
      </c>
      <c r="EC108" s="99">
        <f>IF(AND(Database!JE31&gt;1,Database!JE32&gt;1),100*(Database!JE31/(Database!JE32)),0.0001)</f>
        <v>1E-4</v>
      </c>
      <c r="ED108" s="99">
        <f>IF(AND(Database!JG31&gt;1,Database!JG32&gt;1),100*(Database!JG31/(Database!JG32)),0.0001)</f>
        <v>1E-4</v>
      </c>
      <c r="EE108" s="99">
        <f>IF(AND(Database!JI31&gt;1,Database!JI32&gt;1),100*(Database!JI31/(Database!JI32)),0.0001)</f>
        <v>1E-4</v>
      </c>
      <c r="EF108" s="99">
        <f>IF(AND(Database!JK31&gt;1,Database!JK32&gt;1),100*(Database!JK31/(Database!JK32)),0.0001)</f>
        <v>1E-4</v>
      </c>
      <c r="EG108" s="99">
        <f>IF(AND(Database!JM31&gt;1,Database!JM32&gt;1),100*(Database!JM31/(Database!JM32)),0.0001)</f>
        <v>1E-4</v>
      </c>
      <c r="EH108" s="99">
        <f>IF(AND(Database!JO31&gt;1,Database!JO32&gt;1),100*(Database!JO31/(Database!JO32)),0.0001)</f>
        <v>1E-4</v>
      </c>
      <c r="EI108" s="99">
        <f>IF(AND(Database!JQ31&gt;1,Database!JQ32&gt;1),100*(Database!JQ31/(Database!JQ32)),0.0001)</f>
        <v>1E-4</v>
      </c>
      <c r="EJ108" s="99">
        <f>IF(AND(Database!JS31&gt;1,Database!JS32&gt;1),100*(Database!JS31/(Database!JS32)),0.0001)</f>
        <v>1E-4</v>
      </c>
      <c r="EK108" s="99">
        <f>IF(AND(Database!JU31&gt;1,Database!JU32&gt;1),100*(Database!JU31/(Database!JU32)),0.0001)</f>
        <v>1E-4</v>
      </c>
      <c r="EL108" s="99">
        <f>IF(AND(Database!JW31&gt;1,Database!JW32&gt;1),100*(Database!JW31/(Database!JW32)),0.0001)</f>
        <v>1E-4</v>
      </c>
      <c r="EM108" s="99">
        <f>IF(AND(Database!JY31&gt;1,Database!JY32&gt;1),100*(Database!JY31/(Database!JY32)),0.0001)</f>
        <v>1E-4</v>
      </c>
      <c r="EN108" s="99">
        <f>IF(AND(Database!KA31&gt;1,Database!KA32&gt;1),100*(Database!KA31/(Database!KA32)),0.0001)</f>
        <v>1E-4</v>
      </c>
      <c r="EO108" s="99">
        <f>IF(AND(Database!KC31&gt;1,Database!KC32&gt;1),100*(Database!KC31/(Database!KC32)),0.0001)</f>
        <v>1E-4</v>
      </c>
      <c r="EP108" s="99">
        <f>IF(AND(Database!KE31&gt;1,Database!KE32&gt;1),100*(Database!KE31/(Database!KE32)),0.0001)</f>
        <v>1E-4</v>
      </c>
      <c r="EQ108" s="99">
        <f>IF(AND(Database!KG31&gt;1,Database!KG32&gt;1),100*(Database!KG31/(Database!KG32)),0.0001)</f>
        <v>1E-4</v>
      </c>
      <c r="ER108" s="99">
        <f>IF(AND(Database!KI31&gt;1,Database!KI32&gt;1),100*(Database!KI31/(Database!KI32)),0.0001)</f>
        <v>1E-4</v>
      </c>
      <c r="ES108" s="99">
        <f>IF(AND(Database!KK31&gt;1,Database!KK32&gt;1),100*(Database!KK31/(Database!KK32)),0.0001)</f>
        <v>1E-4</v>
      </c>
      <c r="ET108" s="99">
        <f>IF(AND(Database!KM31&gt;1,Database!KM32&gt;1),100*(Database!KM31/(Database!KM32)),0.0001)</f>
        <v>1E-4</v>
      </c>
      <c r="EU108" s="99">
        <f>IF(AND(Database!KO31&gt;1,Database!KO32&gt;1),100*(Database!KO31/(Database!KO32)),0.0001)</f>
        <v>1E-4</v>
      </c>
      <c r="EV108" s="99">
        <f>IF(AND(Database!KQ31&gt;1,Database!KQ32&gt;1),100*(Database!KQ31/(Database!KQ32)),0.0001)</f>
        <v>1E-4</v>
      </c>
      <c r="EW108" s="99">
        <f>IF(AND(Database!KS31&gt;1,Database!KS32&gt;1),100*(Database!KS31/(Database!KS32)),0.0001)</f>
        <v>1E-4</v>
      </c>
      <c r="EX108" s="99">
        <f>IF(AND(Database!KU31&gt;1,Database!KU32&gt;1),100*(Database!KU31/(Database!KU32)),0.0001)</f>
        <v>1E-4</v>
      </c>
      <c r="EY108" s="99">
        <f>IF(AND(Database!KW31&gt;1,Database!KW32&gt;1),100*(Database!KW31/(Database!KW32)),0.0001)</f>
        <v>1E-4</v>
      </c>
      <c r="EZ108" s="99">
        <f>IF(AND(Database!KY31&gt;1,Database!KY32&gt;1),100*(Database!KY31/(Database!KY32)),0.0001)</f>
        <v>1E-4</v>
      </c>
      <c r="FA108" s="99">
        <f>IF(AND(Database!LA31&gt;1,Database!LA32&gt;1),100*(Database!LA31/(Database!LA32)),0.0001)</f>
        <v>1E-4</v>
      </c>
      <c r="FB108" s="99">
        <f>IF(AND(Database!LC31&gt;1,Database!LC32&gt;1),100*(Database!LC31/(Database!LC32)),0.0001)</f>
        <v>1E-4</v>
      </c>
      <c r="FC108" s="99">
        <f>IF(AND(Database!LE31&gt;1,Database!LE32&gt;1),100*(Database!LE31/(Database!LE32)),0.0001)</f>
        <v>1E-4</v>
      </c>
      <c r="FD108" s="99">
        <f>IF(AND(Database!LG31&gt;1,Database!LG32&gt;1),100*(Database!LG31/(Database!LG32)),0.0001)</f>
        <v>1E-4</v>
      </c>
      <c r="FE108" s="99">
        <f>IF(AND(Database!LI31&gt;1,Database!LI32&gt;1),100*(Database!LI31/(Database!LI32)),0.0001)</f>
        <v>1E-4</v>
      </c>
      <c r="FF108" s="99">
        <f>IF(AND(Database!LK31&gt;1,Database!LK32&gt;1),100*(Database!LK31/(Database!LK32)),0.0001)</f>
        <v>1E-4</v>
      </c>
      <c r="FG108" s="99">
        <f>IF(AND(Database!LM31&gt;1,Database!LM32&gt;1),100*(Database!LM31/(Database!LM32)),0.0001)</f>
        <v>1E-4</v>
      </c>
      <c r="FH108" s="99">
        <f>IF(AND(Database!LO31&gt;1,Database!LO32&gt;1),100*(Database!LO31/(Database!LO32)),0.0001)</f>
        <v>1E-4</v>
      </c>
      <c r="FI108" s="99">
        <f>IF(AND(Database!LQ31&gt;1,Database!LQ32&gt;1),100*(Database!LQ31/(Database!LQ32)),0.0001)</f>
        <v>1E-4</v>
      </c>
      <c r="FJ108" s="99">
        <f>IF(AND(Database!LS31&gt;1,Database!LS32&gt;1),100*(Database!LS31/(Database!LS32)),0.0001)</f>
        <v>1E-4</v>
      </c>
      <c r="FK108" s="99">
        <f>IF(AND(Database!LU31&gt;1,Database!LU32&gt;1),100*(Database!LU31/(Database!LU32)),0.0001)</f>
        <v>1E-4</v>
      </c>
      <c r="FL108" s="99">
        <f>IF(AND(Database!LW31&gt;1,Database!LW32&gt;1),100*(Database!LW31/(Database!LW32)),0.0001)</f>
        <v>1E-4</v>
      </c>
      <c r="FM108" s="99">
        <f>IF(AND(Database!LY31&gt;1,Database!LY32&gt;1),100*(Database!LY31/(Database!LY32)),0.0001)</f>
        <v>1E-4</v>
      </c>
      <c r="FN108" s="99">
        <f>IF(AND(Database!MA31&gt;1,Database!MA32&gt;1),100*(Database!MA31/(Database!MA32)),0.0001)</f>
        <v>1E-4</v>
      </c>
      <c r="FO108" s="99">
        <f>IF(AND(Database!MC31&gt;1,Database!MC32&gt;1),100*(Database!MC31/(Database!MC32)),0.0001)</f>
        <v>1E-4</v>
      </c>
      <c r="FP108" s="99">
        <f>IF(AND(Database!ME31&gt;1,Database!ME32&gt;1),100*(Database!ME31/(Database!ME32)),0.0001)</f>
        <v>1E-4</v>
      </c>
      <c r="FQ108" s="99">
        <f>IF(AND(Database!MG31&gt;1,Database!MG32&gt;1),100*(Database!MG31/(Database!MG32)),0.0001)</f>
        <v>1E-4</v>
      </c>
      <c r="FR108" s="99">
        <f>IF(AND(Database!MI31&gt;1,Database!MI32&gt;1),100*(Database!MI31/(Database!MI32)),0.0001)</f>
        <v>1E-4</v>
      </c>
      <c r="FS108" s="99">
        <f>IF(AND(Database!MK31&gt;1,Database!MK32&gt;1),100*(Database!MK31/(Database!MK32)),0.0001)</f>
        <v>1E-4</v>
      </c>
      <c r="FT108" s="99">
        <f>IF(AND(Database!MM31&gt;1,Database!MM32&gt;1),100*(Database!MM31/(Database!MM32)),0.0001)</f>
        <v>1E-4</v>
      </c>
      <c r="FU108" s="99">
        <f>IF(AND(Database!MO31&gt;1,Database!MO32&gt;1),100*(Database!MO31/(Database!MO32)),0.0001)</f>
        <v>1E-4</v>
      </c>
      <c r="FV108" s="99">
        <f>IF(AND(Database!MQ31&gt;1,Database!MQ32&gt;1),100*(Database!MQ31/(Database!MQ32)),0.0001)</f>
        <v>1E-4</v>
      </c>
      <c r="FW108" s="99">
        <f>IF(AND(Database!MS31&gt;1,Database!MS32&gt;1),100*(Database!MS31/(Database!MS32)),0.0001)</f>
        <v>1E-4</v>
      </c>
      <c r="FX108" s="99">
        <f>IF(AND(Database!MU31&gt;1,Database!MU32&gt;1),100*(Database!MU31/(Database!MU32)),0.0001)</f>
        <v>1E-4</v>
      </c>
      <c r="FY108" s="99">
        <f>IF(AND(Database!MW31&gt;1,Database!MW32&gt;1),100*(Database!MW31/(Database!MW32)),0.0001)</f>
        <v>1E-4</v>
      </c>
      <c r="FZ108" s="99">
        <f>IF(AND(Database!MY31&gt;1,Database!MY32&gt;1),100*(Database!MY31/(Database!MY32)),0.0001)</f>
        <v>1E-4</v>
      </c>
      <c r="GA108" s="99">
        <f>IF(AND(Database!NA31&gt;1,Database!NA32&gt;1),100*(Database!NA31/(Database!NA32)),0.0001)</f>
        <v>1E-4</v>
      </c>
      <c r="GB108" s="99">
        <f>IF(AND(Database!NC31&gt;1,Database!NC32&gt;1),100*(Database!NC31/(Database!NC32)),0.0001)</f>
        <v>1E-4</v>
      </c>
      <c r="GC108" s="99">
        <f>IF(AND(Database!NE31&gt;1,Database!NE32&gt;1),100*(Database!NE31/(Database!NE32)),0.0001)</f>
        <v>1E-4</v>
      </c>
      <c r="GD108" s="99">
        <f>IF(AND(Database!NG31&gt;1,Database!NG32&gt;1),100*(Database!NG31/(Database!NG32)),0.0001)</f>
        <v>1E-4</v>
      </c>
      <c r="GE108" s="99">
        <f>IF(AND(Database!NI31&gt;1,Database!NI32&gt;1),100*(Database!NI31/(Database!NI32)),0.0001)</f>
        <v>1E-4</v>
      </c>
      <c r="GF108" s="99">
        <f>IF(AND(Database!NK31&gt;1,Database!NK32&gt;1),100*(Database!NK31/(Database!NK32)),0.0001)</f>
        <v>1E-4</v>
      </c>
      <c r="GG108" s="99">
        <f>IF(AND(Database!NM31&gt;1,Database!NM32&gt;1),100*(Database!NM31/(Database!NM32)),0.0001)</f>
        <v>1E-4</v>
      </c>
      <c r="GH108" s="99">
        <f>IF(AND(Database!NO31&gt;1,Database!NO32&gt;1),100*(Database!NO31/(Database!NO32)),0.0001)</f>
        <v>1E-4</v>
      </c>
      <c r="GI108" s="99">
        <f>IF(AND(Database!NQ31&gt;1,Database!NQ32&gt;1),100*(Database!NQ31/(Database!NQ32)),0.0001)</f>
        <v>1E-4</v>
      </c>
      <c r="GJ108" s="99">
        <f>IF(AND(Database!NS31&gt;1,Database!NS32&gt;1),100*(Database!NS31/(Database!NS32)),0.0001)</f>
        <v>1E-4</v>
      </c>
      <c r="GK108" s="99">
        <f>IF(AND(Database!NU31&gt;1,Database!NU32&gt;1),100*(Database!NU31/(Database!NU32)),0.0001)</f>
        <v>1E-4</v>
      </c>
      <c r="GL108" s="99">
        <f>IF(AND(Database!NW31&gt;1,Database!NW32&gt;1),100*(Database!NW31/(Database!NW32)),0.0001)</f>
        <v>1E-4</v>
      </c>
      <c r="GM108" s="99">
        <f>IF(AND(Database!NY31&gt;1,Database!NY32&gt;1),100*(Database!NY31/(Database!NY32)),0.0001)</f>
        <v>1E-4</v>
      </c>
      <c r="GN108" s="99">
        <f>IF(AND(Database!OA31&gt;1,Database!OA32&gt;1),100*(Database!OA31/(Database!OA32)),0.0001)</f>
        <v>1E-4</v>
      </c>
      <c r="GO108" s="99">
        <f>IF(AND(Database!OC31&gt;1,Database!OC32&gt;1),100*(Database!OC31/(Database!OC32)),0.0001)</f>
        <v>1E-4</v>
      </c>
      <c r="GP108" s="99">
        <f>IF(AND(Database!OE31&gt;1,Database!OE32&gt;1),100*(Database!OE31/(Database!OE32)),0.0001)</f>
        <v>1E-4</v>
      </c>
      <c r="GQ108" s="99">
        <f>IF(AND(Database!OG31&gt;1,Database!OG32&gt;1),100*(Database!OG31/(Database!OG32)),0.0001)</f>
        <v>1E-4</v>
      </c>
      <c r="GR108" s="99">
        <f>IF(AND(Database!OI31&gt;1,Database!OI32&gt;1),100*(Database!OI31/(Database!OI32)),0.0001)</f>
        <v>1E-4</v>
      </c>
      <c r="GS108" s="99">
        <f>IF(AND(Database!OK31&gt;1,Database!OK32&gt;1),100*(Database!OK31/(Database!OK32)),0.0001)</f>
        <v>1E-4</v>
      </c>
      <c r="GT108" s="99">
        <f>IF(AND(Database!OM31&gt;1,Database!OM32&gt;1),100*(Database!OM31/(Database!OM32)),0.0001)</f>
        <v>1E-4</v>
      </c>
    </row>
    <row r="109" spans="1:202" ht="18.75" customHeight="1" x14ac:dyDescent="0.4">
      <c r="A109" s="29" t="s">
        <v>119</v>
      </c>
      <c r="B109" s="306"/>
      <c r="C109" s="99">
        <f>IF(AND(Database!E33&gt;1,Database!E35&gt;1),100*(Database!E33/(Database!E35)),0.0001)</f>
        <v>140.92817428798367</v>
      </c>
      <c r="D109" s="99">
        <f>IF(AND(Database!G33&gt;1,Database!G35&gt;1),100*(Database!G33/(Database!G35)),0.0001)</f>
        <v>252.06434316353889</v>
      </c>
      <c r="E109" s="99">
        <f>IF(AND(Database!I33&gt;1,Database!I35&gt;1),100*(Database!I33/(Database!I35)),0.0001)</f>
        <v>265.2495769881557</v>
      </c>
      <c r="F109" s="99">
        <f>IF(AND(Database!K33&gt;1,Database!K35&gt;1),100*(Database!K33/(Database!K35)),0.0001)</f>
        <v>248.89634469362528</v>
      </c>
      <c r="G109" s="99">
        <f>IF(AND(Database!M33&gt;1,Database!M35&gt;1),100*(Database!M33/(Database!M35)),0.0001)</f>
        <v>1E-4</v>
      </c>
      <c r="H109" s="99">
        <f>IF(AND(Database!O33&gt;1,Database!O35&gt;1),100*(Database!O33/(Database!O35)),0.0001)</f>
        <v>1E-4</v>
      </c>
      <c r="I109" s="99">
        <f>IF(AND(Database!Q33&gt;1,Database!Q35&gt;1),100*(Database!Q33/(Database!Q35)),0.0001)</f>
        <v>1E-4</v>
      </c>
      <c r="J109" s="99">
        <f>IF(AND(Database!S33&gt;1,Database!S35&gt;1),100*(Database!S33/(Database!S35)),0.0001)</f>
        <v>1E-4</v>
      </c>
      <c r="K109" s="99">
        <f>IF(AND(Database!U33&gt;1,Database!U35&gt;1),100*(Database!U33/(Database!U35)),0.0001)</f>
        <v>1E-4</v>
      </c>
      <c r="L109" s="99">
        <f>IF(AND(Database!W33&gt;1,Database!W35&gt;1),100*(Database!W33/(Database!W35)),0.0001)</f>
        <v>1E-4</v>
      </c>
      <c r="M109" s="99">
        <f>IF(AND(Database!Y33&gt;1,Database!Y35&gt;1),100*(Database!Y33/(Database!Y35)),0.0001)</f>
        <v>1E-4</v>
      </c>
      <c r="N109" s="99">
        <f>IF(AND(Database!AA33&gt;1,Database!AA35&gt;1),100*(Database!AA33/(Database!AA35)),0.0001)</f>
        <v>1E-4</v>
      </c>
      <c r="O109" s="99">
        <f>IF(AND(Database!AC33&gt;1,Database!AC35&gt;1),100*(Database!AC33/(Database!AC35)),0.0001)</f>
        <v>1E-4</v>
      </c>
      <c r="P109" s="99">
        <f>IF(AND(Database!AE33&gt;1,Database!AE35&gt;1),100*(Database!AE33/(Database!AE35)),0.0001)</f>
        <v>1E-4</v>
      </c>
      <c r="Q109" s="99">
        <f>IF(AND(Database!AG33&gt;1,Database!AG35&gt;1),100*(Database!AG33/(Database!AG35)),0.0001)</f>
        <v>1E-4</v>
      </c>
      <c r="R109" s="99">
        <f>IF(AND(Database!AI33&gt;1,Database!AI35&gt;1),100*(Database!AI33/(Database!AI35)),0.0001)</f>
        <v>1E-4</v>
      </c>
      <c r="S109" s="99">
        <f>IF(AND(Database!AK33&gt;1,Database!AK35&gt;1),100*(Database!AK33/(Database!AK35)),0.0001)</f>
        <v>1E-4</v>
      </c>
      <c r="T109" s="99">
        <f>IF(AND(Database!AM33&gt;1,Database!AM35&gt;1),100*(Database!AM33/(Database!AM35)),0.0001)</f>
        <v>1E-4</v>
      </c>
      <c r="U109" s="99">
        <f>IF(AND(Database!AO33&gt;1,Database!AO35&gt;1),100*(Database!AO33/(Database!AO35)),0.0001)</f>
        <v>1E-4</v>
      </c>
      <c r="V109" s="99">
        <f>IF(AND(Database!AQ33&gt;1,Database!AQ35&gt;1),100*(Database!AQ33/(Database!AQ35)),0.0001)</f>
        <v>1E-4</v>
      </c>
      <c r="W109" s="99">
        <f>IF(AND(Database!AS33&gt;1,Database!AS35&gt;1),100*(Database!AS33/(Database!AS35)),0.0001)</f>
        <v>1E-4</v>
      </c>
      <c r="X109" s="99">
        <f>IF(AND(Database!AU33&gt;1,Database!AU35&gt;1),100*(Database!AU33/(Database!AU35)),0.0001)</f>
        <v>1E-4</v>
      </c>
      <c r="Y109" s="99">
        <f>IF(AND(Database!AW33&gt;1,Database!AW35&gt;1),100*(Database!AW33/(Database!AW35)),0.0001)</f>
        <v>1E-4</v>
      </c>
      <c r="Z109" s="99">
        <f>IF(AND(Database!AY33&gt;1,Database!AY35&gt;1),100*(Database!AY33/(Database!AY35)),0.0001)</f>
        <v>1E-4</v>
      </c>
      <c r="AA109" s="99">
        <f>IF(AND(Database!BA33&gt;1,Database!BA35&gt;1),100*(Database!BA33/(Database!BA35)),0.0001)</f>
        <v>1E-4</v>
      </c>
      <c r="AB109" s="99">
        <f>IF(AND(Database!BC33&gt;1,Database!BC35&gt;1),100*(Database!BC33/(Database!BC35)),0.0001)</f>
        <v>1E-4</v>
      </c>
      <c r="AC109" s="99">
        <f>IF(AND(Database!BE33&gt;1,Database!BE35&gt;1),100*(Database!BE33/(Database!BE35)),0.0001)</f>
        <v>1E-4</v>
      </c>
      <c r="AD109" s="99">
        <f>IF(AND(Database!BG33&gt;1,Database!BG35&gt;1),100*(Database!BG33/(Database!BG35)),0.0001)</f>
        <v>1E-4</v>
      </c>
      <c r="AE109" s="99">
        <f>IF(AND(Database!BI33&gt;1,Database!BI35&gt;1),100*(Database!BI33/(Database!BI35)),0.0001)</f>
        <v>1E-4</v>
      </c>
      <c r="AF109" s="99">
        <f>IF(AND(Database!BK33&gt;1,Database!BK35&gt;1),100*(Database!BK33/(Database!BK35)),0.0001)</f>
        <v>1E-4</v>
      </c>
      <c r="AG109" s="99">
        <f>IF(AND(Database!BM33&gt;1,Database!BM35&gt;1),100*(Database!BM33/(Database!BM35)),0.0001)</f>
        <v>1E-4</v>
      </c>
      <c r="AH109" s="99">
        <f>IF(AND(Database!BO33&gt;1,Database!BO35&gt;1),100*(Database!BO33/(Database!BO35)),0.0001)</f>
        <v>1E-4</v>
      </c>
      <c r="AI109" s="99">
        <f>IF(AND(Database!BQ33&gt;1,Database!BQ35&gt;1),100*(Database!BQ33/(Database!BQ35)),0.0001)</f>
        <v>1E-4</v>
      </c>
      <c r="AJ109" s="99">
        <f>IF(AND(Database!BS33&gt;1,Database!BS35&gt;1),100*(Database!BS33/(Database!BS35)),0.0001)</f>
        <v>1E-4</v>
      </c>
      <c r="AK109" s="99">
        <f>IF(AND(Database!BU33&gt;1,Database!BU35&gt;1),100*(Database!BU33/(Database!BU35)),0.0001)</f>
        <v>1E-4</v>
      </c>
      <c r="AL109" s="99">
        <f>IF(AND(Database!BW33&gt;1,Database!BW35&gt;1),100*(Database!BW33/(Database!BW35)),0.0001)</f>
        <v>1E-4</v>
      </c>
      <c r="AM109" s="99">
        <f>IF(AND(Database!BY33&gt;1,Database!BY35&gt;1),100*(Database!BY33/(Database!BY35)),0.0001)</f>
        <v>1E-4</v>
      </c>
      <c r="AN109" s="99">
        <f>IF(AND(Database!CA33&gt;1,Database!CA35&gt;1),100*(Database!CA33/(Database!CA35)),0.0001)</f>
        <v>1E-4</v>
      </c>
      <c r="AO109" s="99">
        <f>IF(AND(Database!CC33&gt;1,Database!CC35&gt;1),100*(Database!CC33/(Database!CC35)),0.0001)</f>
        <v>1E-4</v>
      </c>
      <c r="AP109" s="99">
        <f>IF(AND(Database!CE33&gt;1,Database!CE35&gt;1),100*(Database!CE33/(Database!CE35)),0.0001)</f>
        <v>1E-4</v>
      </c>
      <c r="AQ109" s="99">
        <f>IF(AND(Database!CG33&gt;1,Database!CG35&gt;1),100*(Database!CG33/(Database!CG35)),0.0001)</f>
        <v>1E-4</v>
      </c>
      <c r="AR109" s="99">
        <f>IF(AND(Database!CI33&gt;1,Database!CI35&gt;1),100*(Database!CI33/(Database!CI35)),0.0001)</f>
        <v>1E-4</v>
      </c>
      <c r="AS109" s="99">
        <f>IF(AND(Database!CK33&gt;1,Database!CK35&gt;1),100*(Database!CK33/(Database!CK35)),0.0001)</f>
        <v>1E-4</v>
      </c>
      <c r="AT109" s="99">
        <f>IF(AND(Database!CM33&gt;1,Database!CM35&gt;1),100*(Database!CM33/(Database!CM35)),0.0001)</f>
        <v>1E-4</v>
      </c>
      <c r="AU109" s="99">
        <f>IF(AND(Database!CO33&gt;1,Database!CO35&gt;1),100*(Database!CO33/(Database!CO35)),0.0001)</f>
        <v>1E-4</v>
      </c>
      <c r="AV109" s="99">
        <f>IF(AND(Database!CQ33&gt;1,Database!CQ35&gt;1),100*(Database!CQ33/(Database!CQ35)),0.0001)</f>
        <v>1E-4</v>
      </c>
      <c r="AW109" s="99">
        <f>IF(AND(Database!CS33&gt;1,Database!CS35&gt;1),100*(Database!CS33/(Database!CS35)),0.0001)</f>
        <v>1E-4</v>
      </c>
      <c r="AX109" s="99">
        <f>IF(AND(Database!CU33&gt;1,Database!CU35&gt;1),100*(Database!CU33/(Database!CU35)),0.0001)</f>
        <v>1E-4</v>
      </c>
      <c r="AY109" s="99">
        <f>IF(AND(Database!CW33&gt;1,Database!CW35&gt;1),100*(Database!CW33/(Database!CW35)),0.0001)</f>
        <v>1E-4</v>
      </c>
      <c r="AZ109" s="99">
        <f>IF(AND(Database!CY33&gt;1,Database!CY35&gt;1),100*(Database!CY33/(Database!CY35)),0.0001)</f>
        <v>1E-4</v>
      </c>
      <c r="BA109" s="99">
        <f>IF(AND(Database!DA33&gt;1,Database!DA35&gt;1),100*(Database!DA33/(Database!DA35)),0.0001)</f>
        <v>1E-4</v>
      </c>
      <c r="BB109" s="99">
        <f>IF(AND(Database!DC33&gt;1,Database!DC35&gt;1),100*(Database!DC33/(Database!DC35)),0.0001)</f>
        <v>1E-4</v>
      </c>
      <c r="BC109" s="99">
        <f>IF(AND(Database!DE33&gt;1,Database!DE35&gt;1),100*(Database!DE33/(Database!DE35)),0.0001)</f>
        <v>1E-4</v>
      </c>
      <c r="BD109" s="99">
        <f>IF(AND(Database!DG33&gt;1,Database!DG35&gt;1),100*(Database!DG33/(Database!DG35)),0.0001)</f>
        <v>1E-4</v>
      </c>
      <c r="BE109" s="99">
        <f>IF(AND(Database!DI33&gt;1,Database!DI35&gt;1),100*(Database!DI33/(Database!DI35)),0.0001)</f>
        <v>1E-4</v>
      </c>
      <c r="BF109" s="99">
        <f>IF(AND(Database!DK33&gt;1,Database!DK35&gt;1),100*(Database!DK33/(Database!DK35)),0.0001)</f>
        <v>1E-4</v>
      </c>
      <c r="BG109" s="99">
        <f>IF(AND(Database!DM33&gt;1,Database!DM35&gt;1),100*(Database!DM33/(Database!DM35)),0.0001)</f>
        <v>1E-4</v>
      </c>
      <c r="BH109" s="99">
        <f>IF(AND(Database!DO33&gt;1,Database!DO35&gt;1),100*(Database!DO33/(Database!DO35)),0.0001)</f>
        <v>1E-4</v>
      </c>
      <c r="BI109" s="99">
        <f>IF(AND(Database!DQ33&gt;1,Database!DQ35&gt;1),100*(Database!DQ33/(Database!DQ35)),0.0001)</f>
        <v>1E-4</v>
      </c>
      <c r="BJ109" s="99">
        <f>IF(AND(Database!DS33&gt;1,Database!DS35&gt;1),100*(Database!DS33/(Database!DS35)),0.0001)</f>
        <v>1E-4</v>
      </c>
      <c r="BK109" s="99">
        <f>IF(AND(Database!DU33&gt;1,Database!DU35&gt;1),100*(Database!DU33/(Database!DU35)),0.0001)</f>
        <v>1E-4</v>
      </c>
      <c r="BL109" s="99">
        <f>IF(AND(Database!DW33&gt;1,Database!DW35&gt;1),100*(Database!DW33/(Database!DW35)),0.0001)</f>
        <v>1E-4</v>
      </c>
      <c r="BM109" s="99">
        <f>IF(AND(Database!DY33&gt;1,Database!DY35&gt;1),100*(Database!DY33/(Database!DY35)),0.0001)</f>
        <v>1E-4</v>
      </c>
      <c r="BN109" s="99">
        <f>IF(AND(Database!EA33&gt;1,Database!EA35&gt;1),100*(Database!EA33/(Database!EA35)),0.0001)</f>
        <v>1E-4</v>
      </c>
      <c r="BO109" s="99">
        <f>IF(AND(Database!EC33&gt;1,Database!EC35&gt;1),100*(Database!EC33/(Database!EC35)),0.0001)</f>
        <v>1E-4</v>
      </c>
      <c r="BP109" s="99">
        <f>IF(AND(Database!EE33&gt;1,Database!EE35&gt;1),100*(Database!EE33/(Database!EE35)),0.0001)</f>
        <v>1E-4</v>
      </c>
      <c r="BQ109" s="99">
        <f>IF(AND(Database!EG33&gt;1,Database!EG35&gt;1),100*(Database!EG33/(Database!EG35)),0.0001)</f>
        <v>1E-4</v>
      </c>
      <c r="BR109" s="99">
        <f>IF(AND(Database!EI33&gt;1,Database!EI35&gt;1),100*(Database!EI33/(Database!EI35)),0.0001)</f>
        <v>1E-4</v>
      </c>
      <c r="BS109" s="99">
        <f>IF(AND(Database!EK33&gt;1,Database!EK35&gt;1),100*(Database!EK33/(Database!EK35)),0.0001)</f>
        <v>1E-4</v>
      </c>
      <c r="BT109" s="99">
        <f>IF(AND(Database!EM33&gt;1,Database!EM35&gt;1),100*(Database!EM33/(Database!EM35)),0.0001)</f>
        <v>1E-4</v>
      </c>
      <c r="BU109" s="99">
        <f>IF(AND(Database!EO33&gt;1,Database!EO35&gt;1),100*(Database!EO33/(Database!EO35)),0.0001)</f>
        <v>1E-4</v>
      </c>
      <c r="BV109" s="99">
        <f>IF(AND(Database!EQ33&gt;1,Database!EQ35&gt;1),100*(Database!EQ33/(Database!EQ35)),0.0001)</f>
        <v>1E-4</v>
      </c>
      <c r="BW109" s="99">
        <f>IF(AND(Database!ES33&gt;1,Database!ES35&gt;1),100*(Database!ES33/(Database!ES35)),0.0001)</f>
        <v>1E-4</v>
      </c>
      <c r="BX109" s="99">
        <f>IF(AND(Database!EU33&gt;1,Database!EU35&gt;1),100*(Database!EU33/(Database!EU35)),0.0001)</f>
        <v>1E-4</v>
      </c>
      <c r="BY109" s="99">
        <f>IF(AND(Database!EW33&gt;1,Database!EW35&gt;1),100*(Database!EW33/(Database!EW35)),0.0001)</f>
        <v>1E-4</v>
      </c>
      <c r="BZ109" s="99">
        <f>IF(AND(Database!EY33&gt;1,Database!EY35&gt;1),100*(Database!EY33/(Database!EY35)),0.0001)</f>
        <v>1E-4</v>
      </c>
      <c r="CA109" s="99">
        <f>IF(AND(Database!FA33&gt;1,Database!FA35&gt;1),100*(Database!FA33/(Database!FA35)),0.0001)</f>
        <v>1E-4</v>
      </c>
      <c r="CB109" s="99">
        <f>IF(AND(Database!FC33&gt;1,Database!FC35&gt;1),100*(Database!FC33/(Database!FC35)),0.0001)</f>
        <v>1E-4</v>
      </c>
      <c r="CC109" s="99">
        <f>IF(AND(Database!FE33&gt;1,Database!FE35&gt;1),100*(Database!FE33/(Database!FE35)),0.0001)</f>
        <v>1E-4</v>
      </c>
      <c r="CD109" s="99">
        <f>IF(AND(Database!FG33&gt;1,Database!FG35&gt;1),100*(Database!FG33/(Database!FG35)),0.0001)</f>
        <v>1E-4</v>
      </c>
      <c r="CE109" s="99">
        <f>IF(AND(Database!FI33&gt;1,Database!FI35&gt;1),100*(Database!FI33/(Database!FI35)),0.0001)</f>
        <v>1E-4</v>
      </c>
      <c r="CF109" s="99">
        <f>IF(AND(Database!FK33&gt;1,Database!FK35&gt;1),100*(Database!FK33/(Database!FK35)),0.0001)</f>
        <v>1E-4</v>
      </c>
      <c r="CG109" s="99">
        <f>IF(AND(Database!FM33&gt;1,Database!FM35&gt;1),100*(Database!FM33/(Database!FM35)),0.0001)</f>
        <v>1E-4</v>
      </c>
      <c r="CH109" s="99">
        <f>IF(AND(Database!FO33&gt;1,Database!FO35&gt;1),100*(Database!FO33/(Database!FO35)),0.0001)</f>
        <v>1E-4</v>
      </c>
      <c r="CI109" s="99">
        <f>IF(AND(Database!FQ33&gt;1,Database!FQ35&gt;1),100*(Database!FQ33/(Database!FQ35)),0.0001)</f>
        <v>1E-4</v>
      </c>
      <c r="CJ109" s="99">
        <f>IF(AND(Database!FS33&gt;1,Database!FS35&gt;1),100*(Database!FS33/(Database!FS35)),0.0001)</f>
        <v>1E-4</v>
      </c>
      <c r="CK109" s="99">
        <f>IF(AND(Database!FU33&gt;1,Database!FU35&gt;1),100*(Database!FU33/(Database!FU35)),0.0001)</f>
        <v>1E-4</v>
      </c>
      <c r="CL109" s="99">
        <f>IF(AND(Database!FW33&gt;1,Database!FW35&gt;1),100*(Database!FW33/(Database!FW35)),0.0001)</f>
        <v>1E-4</v>
      </c>
      <c r="CM109" s="99">
        <f>IF(AND(Database!FY33&gt;1,Database!FY35&gt;1),100*(Database!FY33/(Database!FY35)),0.0001)</f>
        <v>1E-4</v>
      </c>
      <c r="CN109" s="99">
        <f>IF(AND(Database!GA33&gt;1,Database!GA35&gt;1),100*(Database!GA33/(Database!GA35)),0.0001)</f>
        <v>1E-4</v>
      </c>
      <c r="CO109" s="99">
        <f>IF(AND(Database!GC33&gt;1,Database!GC35&gt;1),100*(Database!GC33/(Database!GC35)),0.0001)</f>
        <v>1E-4</v>
      </c>
      <c r="CP109" s="99">
        <f>IF(AND(Database!GE33&gt;1,Database!GE35&gt;1),100*(Database!GE33/(Database!GE35)),0.0001)</f>
        <v>1E-4</v>
      </c>
      <c r="CQ109" s="99">
        <f>IF(AND(Database!GG33&gt;1,Database!GG35&gt;1),100*(Database!GG33/(Database!GG35)),0.0001)</f>
        <v>1E-4</v>
      </c>
      <c r="CR109" s="99">
        <f>IF(AND(Database!GI33&gt;1,Database!GI35&gt;1),100*(Database!GI33/(Database!GI35)),0.0001)</f>
        <v>1E-4</v>
      </c>
      <c r="CS109" s="99">
        <f>IF(AND(Database!GK33&gt;1,Database!GK35&gt;1),100*(Database!GK33/(Database!GK35)),0.0001)</f>
        <v>1E-4</v>
      </c>
      <c r="CT109" s="99">
        <f>IF(AND(Database!GM33&gt;1,Database!GM35&gt;1),100*(Database!GM33/(Database!GM35)),0.0001)</f>
        <v>1E-4</v>
      </c>
      <c r="CU109" s="99">
        <f>IF(AND(Database!GO33&gt;1,Database!GO35&gt;1),100*(Database!GO33/(Database!GO35)),0.0001)</f>
        <v>1E-4</v>
      </c>
      <c r="CV109" s="99">
        <f>IF(AND(Database!GQ33&gt;1,Database!GQ35&gt;1),100*(Database!GQ33/(Database!GQ35)),0.0001)</f>
        <v>1E-4</v>
      </c>
      <c r="CW109" s="99">
        <f>IF(AND(Database!GS33&gt;1,Database!GS35&gt;1),100*(Database!GS33/(Database!GS35)),0.0001)</f>
        <v>1E-4</v>
      </c>
      <c r="CX109" s="99">
        <f>IF(AND(Database!GU33&gt;1,Database!GU35&gt;1),100*(Database!GU33/(Database!GU35)),0.0001)</f>
        <v>1E-4</v>
      </c>
      <c r="CY109" s="99">
        <f>IF(AND(Database!GW33&gt;1,Database!GW35&gt;1),100*(Database!GW33/(Database!GW35)),0.0001)</f>
        <v>1E-4</v>
      </c>
      <c r="CZ109" s="99">
        <f>IF(AND(Database!GY33&gt;1,Database!GY35&gt;1),100*(Database!GY33/(Database!GY35)),0.0001)</f>
        <v>1E-4</v>
      </c>
      <c r="DA109" s="99">
        <f>IF(AND(Database!HA33&gt;1,Database!HA35&gt;1),100*(Database!HA33/(Database!HA35)),0.0001)</f>
        <v>1E-4</v>
      </c>
      <c r="DB109" s="99">
        <f>IF(AND(Database!HC33&gt;1,Database!HC35&gt;1),100*(Database!HC33/(Database!HC35)),0.0001)</f>
        <v>1E-4</v>
      </c>
      <c r="DC109" s="99">
        <f>IF(AND(Database!HE33&gt;1,Database!HE35&gt;1),100*(Database!HE33/(Database!HE35)),0.0001)</f>
        <v>1E-4</v>
      </c>
      <c r="DD109" s="99">
        <f>IF(AND(Database!HG33&gt;1,Database!HG35&gt;1),100*(Database!HG33/(Database!HG35)),0.0001)</f>
        <v>1E-4</v>
      </c>
      <c r="DE109" s="99">
        <f>IF(AND(Database!HI33&gt;1,Database!HI35&gt;1),100*(Database!HI33/(Database!HI35)),0.0001)</f>
        <v>1E-4</v>
      </c>
      <c r="DF109" s="99">
        <f>IF(AND(Database!HK33&gt;1,Database!HK35&gt;1),100*(Database!HK33/(Database!HK35)),0.0001)</f>
        <v>1E-4</v>
      </c>
      <c r="DG109" s="99">
        <f>IF(AND(Database!HM33&gt;1,Database!HM35&gt;1),100*(Database!HM33/(Database!HM35)),0.0001)</f>
        <v>1E-4</v>
      </c>
      <c r="DH109" s="99">
        <f>IF(AND(Database!HO33&gt;1,Database!HO35&gt;1),100*(Database!HO33/(Database!HO35)),0.0001)</f>
        <v>1E-4</v>
      </c>
      <c r="DI109" s="99">
        <f>IF(AND(Database!HQ33&gt;1,Database!HQ35&gt;1),100*(Database!HQ33/(Database!HQ35)),0.0001)</f>
        <v>1E-4</v>
      </c>
      <c r="DJ109" s="99">
        <f>IF(AND(Database!HS33&gt;1,Database!HS35&gt;1),100*(Database!HS33/(Database!HS35)),0.0001)</f>
        <v>1E-4</v>
      </c>
      <c r="DK109" s="99">
        <f>IF(AND(Database!HU33&gt;1,Database!HU35&gt;1),100*(Database!HU33/(Database!HU35)),0.0001)</f>
        <v>1E-4</v>
      </c>
      <c r="DL109" s="99">
        <f>IF(AND(Database!HW33&gt;1,Database!HW35&gt;1),100*(Database!HW33/(Database!HW35)),0.0001)</f>
        <v>1E-4</v>
      </c>
      <c r="DM109" s="99">
        <f>IF(AND(Database!HY33&gt;1,Database!HY35&gt;1),100*(Database!HY33/(Database!HY35)),0.0001)</f>
        <v>1E-4</v>
      </c>
      <c r="DN109" s="99">
        <f>IF(AND(Database!IA33&gt;1,Database!IA35&gt;1),100*(Database!IA33/(Database!IA35)),0.0001)</f>
        <v>1E-4</v>
      </c>
      <c r="DO109" s="99">
        <f>IF(AND(Database!IC33&gt;1,Database!IC35&gt;1),100*(Database!IC33/(Database!IC35)),0.0001)</f>
        <v>1E-4</v>
      </c>
      <c r="DP109" s="99">
        <f>IF(AND(Database!IE33&gt;1,Database!IE35&gt;1),100*(Database!IE33/(Database!IE35)),0.0001)</f>
        <v>1E-4</v>
      </c>
      <c r="DQ109" s="99">
        <f>IF(AND(Database!IG33&gt;1,Database!IG35&gt;1),100*(Database!IG33/(Database!IG35)),0.0001)</f>
        <v>1E-4</v>
      </c>
      <c r="DR109" s="99">
        <f>IF(AND(Database!II33&gt;1,Database!II35&gt;1),100*(Database!II33/(Database!II35)),0.0001)</f>
        <v>1E-4</v>
      </c>
      <c r="DS109" s="99">
        <f>IF(AND(Database!IK33&gt;1,Database!IK35&gt;1),100*(Database!IK33/(Database!IK35)),0.0001)</f>
        <v>1E-4</v>
      </c>
      <c r="DT109" s="99">
        <f>IF(AND(Database!IM33&gt;1,Database!IM35&gt;1),100*(Database!IM33/(Database!IM35)),0.0001)</f>
        <v>1E-4</v>
      </c>
      <c r="DU109" s="99">
        <f>IF(AND(Database!IO33&gt;1,Database!IO35&gt;1),100*(Database!IO33/(Database!IO35)),0.0001)</f>
        <v>1E-4</v>
      </c>
      <c r="DV109" s="99">
        <f>IF(AND(Database!IQ33&gt;1,Database!IQ35&gt;1),100*(Database!IQ33/(Database!IQ35)),0.0001)</f>
        <v>1E-4</v>
      </c>
      <c r="DW109" s="99">
        <f>IF(AND(Database!IS33&gt;1,Database!IS35&gt;1),100*(Database!IS33/(Database!IS35)),0.0001)</f>
        <v>1E-4</v>
      </c>
      <c r="DX109" s="99">
        <f>IF(AND(Database!IU33&gt;1,Database!IU35&gt;1),100*(Database!IU33/(Database!IU35)),0.0001)</f>
        <v>1E-4</v>
      </c>
      <c r="DY109" s="99">
        <f>IF(AND(Database!IW33&gt;1,Database!IW35&gt;1),100*(Database!IW33/(Database!IW35)),0.0001)</f>
        <v>1E-4</v>
      </c>
      <c r="DZ109" s="99">
        <f>IF(AND(Database!IY33&gt;1,Database!IY35&gt;1),100*(Database!IY33/(Database!IY35)),0.0001)</f>
        <v>1E-4</v>
      </c>
      <c r="EA109" s="99">
        <f>IF(AND(Database!JA33&gt;1,Database!JA35&gt;1),100*(Database!JA33/(Database!JA35)),0.0001)</f>
        <v>1E-4</v>
      </c>
      <c r="EB109" s="99">
        <f>IF(AND(Database!JC33&gt;1,Database!JC35&gt;1),100*(Database!JC33/(Database!JC35)),0.0001)</f>
        <v>1E-4</v>
      </c>
      <c r="EC109" s="99">
        <f>IF(AND(Database!JE33&gt;1,Database!JE35&gt;1),100*(Database!JE33/(Database!JE35)),0.0001)</f>
        <v>1E-4</v>
      </c>
      <c r="ED109" s="99">
        <f>IF(AND(Database!JG33&gt;1,Database!JG35&gt;1),100*(Database!JG33/(Database!JG35)),0.0001)</f>
        <v>1E-4</v>
      </c>
      <c r="EE109" s="99">
        <f>IF(AND(Database!JI33&gt;1,Database!JI35&gt;1),100*(Database!JI33/(Database!JI35)),0.0001)</f>
        <v>1E-4</v>
      </c>
      <c r="EF109" s="99">
        <f>IF(AND(Database!JK33&gt;1,Database!JK35&gt;1),100*(Database!JK33/(Database!JK35)),0.0001)</f>
        <v>1E-4</v>
      </c>
      <c r="EG109" s="99">
        <f>IF(AND(Database!JM33&gt;1,Database!JM35&gt;1),100*(Database!JM33/(Database!JM35)),0.0001)</f>
        <v>1E-4</v>
      </c>
      <c r="EH109" s="99">
        <f>IF(AND(Database!JO33&gt;1,Database!JO35&gt;1),100*(Database!JO33/(Database!JO35)),0.0001)</f>
        <v>1E-4</v>
      </c>
      <c r="EI109" s="99">
        <f>IF(AND(Database!JQ33&gt;1,Database!JQ35&gt;1),100*(Database!JQ33/(Database!JQ35)),0.0001)</f>
        <v>1E-4</v>
      </c>
      <c r="EJ109" s="99">
        <f>IF(AND(Database!JS33&gt;1,Database!JS35&gt;1),100*(Database!JS33/(Database!JS35)),0.0001)</f>
        <v>1E-4</v>
      </c>
      <c r="EK109" s="99">
        <f>IF(AND(Database!JU33&gt;1,Database!JU35&gt;1),100*(Database!JU33/(Database!JU35)),0.0001)</f>
        <v>1E-4</v>
      </c>
      <c r="EL109" s="99">
        <f>IF(AND(Database!JW33&gt;1,Database!JW35&gt;1),100*(Database!JW33/(Database!JW35)),0.0001)</f>
        <v>1E-4</v>
      </c>
      <c r="EM109" s="99">
        <f>IF(AND(Database!JY33&gt;1,Database!JY35&gt;1),100*(Database!JY33/(Database!JY35)),0.0001)</f>
        <v>1E-4</v>
      </c>
      <c r="EN109" s="99">
        <f>IF(AND(Database!KA33&gt;1,Database!KA35&gt;1),100*(Database!KA33/(Database!KA35)),0.0001)</f>
        <v>1E-4</v>
      </c>
      <c r="EO109" s="99">
        <f>IF(AND(Database!KC33&gt;1,Database!KC35&gt;1),100*(Database!KC33/(Database!KC35)),0.0001)</f>
        <v>1E-4</v>
      </c>
      <c r="EP109" s="99">
        <f>IF(AND(Database!KE33&gt;1,Database!KE35&gt;1),100*(Database!KE33/(Database!KE35)),0.0001)</f>
        <v>1E-4</v>
      </c>
      <c r="EQ109" s="99">
        <f>IF(AND(Database!KG33&gt;1,Database!KG35&gt;1),100*(Database!KG33/(Database!KG35)),0.0001)</f>
        <v>1E-4</v>
      </c>
      <c r="ER109" s="99">
        <f>IF(AND(Database!KI33&gt;1,Database!KI35&gt;1),100*(Database!KI33/(Database!KI35)),0.0001)</f>
        <v>1E-4</v>
      </c>
      <c r="ES109" s="99">
        <f>IF(AND(Database!KK33&gt;1,Database!KK35&gt;1),100*(Database!KK33/(Database!KK35)),0.0001)</f>
        <v>1E-4</v>
      </c>
      <c r="ET109" s="99">
        <f>IF(AND(Database!KM33&gt;1,Database!KM35&gt;1),100*(Database!KM33/(Database!KM35)),0.0001)</f>
        <v>1E-4</v>
      </c>
      <c r="EU109" s="99">
        <f>IF(AND(Database!KO33&gt;1,Database!KO35&gt;1),100*(Database!KO33/(Database!KO35)),0.0001)</f>
        <v>1E-4</v>
      </c>
      <c r="EV109" s="99">
        <f>IF(AND(Database!KQ33&gt;1,Database!KQ35&gt;1),100*(Database!KQ33/(Database!KQ35)),0.0001)</f>
        <v>1E-4</v>
      </c>
      <c r="EW109" s="99">
        <f>IF(AND(Database!KS33&gt;1,Database!KS35&gt;1),100*(Database!KS33/(Database!KS35)),0.0001)</f>
        <v>1E-4</v>
      </c>
      <c r="EX109" s="99">
        <f>IF(AND(Database!KU33&gt;1,Database!KU35&gt;1),100*(Database!KU33/(Database!KU35)),0.0001)</f>
        <v>1E-4</v>
      </c>
      <c r="EY109" s="99">
        <f>IF(AND(Database!KW33&gt;1,Database!KW35&gt;1),100*(Database!KW33/(Database!KW35)),0.0001)</f>
        <v>1E-4</v>
      </c>
      <c r="EZ109" s="99">
        <f>IF(AND(Database!KY33&gt;1,Database!KY35&gt;1),100*(Database!KY33/(Database!KY35)),0.0001)</f>
        <v>1E-4</v>
      </c>
      <c r="FA109" s="99">
        <f>IF(AND(Database!LA33&gt;1,Database!LA35&gt;1),100*(Database!LA33/(Database!LA35)),0.0001)</f>
        <v>1E-4</v>
      </c>
      <c r="FB109" s="99">
        <f>IF(AND(Database!LC33&gt;1,Database!LC35&gt;1),100*(Database!LC33/(Database!LC35)),0.0001)</f>
        <v>1E-4</v>
      </c>
      <c r="FC109" s="99">
        <f>IF(AND(Database!LE33&gt;1,Database!LE35&gt;1),100*(Database!LE33/(Database!LE35)),0.0001)</f>
        <v>1E-4</v>
      </c>
      <c r="FD109" s="99">
        <f>IF(AND(Database!LG33&gt;1,Database!LG35&gt;1),100*(Database!LG33/(Database!LG35)),0.0001)</f>
        <v>1E-4</v>
      </c>
      <c r="FE109" s="99">
        <f>IF(AND(Database!LI33&gt;1,Database!LI35&gt;1),100*(Database!LI33/(Database!LI35)),0.0001)</f>
        <v>1E-4</v>
      </c>
      <c r="FF109" s="99">
        <f>IF(AND(Database!LK33&gt;1,Database!LK35&gt;1),100*(Database!LK33/(Database!LK35)),0.0001)</f>
        <v>1E-4</v>
      </c>
      <c r="FG109" s="99">
        <f>IF(AND(Database!LM33&gt;1,Database!LM35&gt;1),100*(Database!LM33/(Database!LM35)),0.0001)</f>
        <v>1E-4</v>
      </c>
      <c r="FH109" s="99">
        <f>IF(AND(Database!LO33&gt;1,Database!LO35&gt;1),100*(Database!LO33/(Database!LO35)),0.0001)</f>
        <v>1E-4</v>
      </c>
      <c r="FI109" s="99">
        <f>IF(AND(Database!LQ33&gt;1,Database!LQ35&gt;1),100*(Database!LQ33/(Database!LQ35)),0.0001)</f>
        <v>1E-4</v>
      </c>
      <c r="FJ109" s="99">
        <f>IF(AND(Database!LS33&gt;1,Database!LS35&gt;1),100*(Database!LS33/(Database!LS35)),0.0001)</f>
        <v>1E-4</v>
      </c>
      <c r="FK109" s="99">
        <f>IF(AND(Database!LU33&gt;1,Database!LU35&gt;1),100*(Database!LU33/(Database!LU35)),0.0001)</f>
        <v>1E-4</v>
      </c>
      <c r="FL109" s="99">
        <f>IF(AND(Database!LW33&gt;1,Database!LW35&gt;1),100*(Database!LW33/(Database!LW35)),0.0001)</f>
        <v>1E-4</v>
      </c>
      <c r="FM109" s="99">
        <f>IF(AND(Database!LY33&gt;1,Database!LY35&gt;1),100*(Database!LY33/(Database!LY35)),0.0001)</f>
        <v>1E-4</v>
      </c>
      <c r="FN109" s="99">
        <f>IF(AND(Database!MA33&gt;1,Database!MA35&gt;1),100*(Database!MA33/(Database!MA35)),0.0001)</f>
        <v>1E-4</v>
      </c>
      <c r="FO109" s="99">
        <f>IF(AND(Database!MC33&gt;1,Database!MC35&gt;1),100*(Database!MC33/(Database!MC35)),0.0001)</f>
        <v>1E-4</v>
      </c>
      <c r="FP109" s="99">
        <f>IF(AND(Database!ME33&gt;1,Database!ME35&gt;1),100*(Database!ME33/(Database!ME35)),0.0001)</f>
        <v>1E-4</v>
      </c>
      <c r="FQ109" s="99">
        <f>IF(AND(Database!MG33&gt;1,Database!MG35&gt;1),100*(Database!MG33/(Database!MG35)),0.0001)</f>
        <v>1E-4</v>
      </c>
      <c r="FR109" s="99">
        <f>IF(AND(Database!MI33&gt;1,Database!MI35&gt;1),100*(Database!MI33/(Database!MI35)),0.0001)</f>
        <v>1E-4</v>
      </c>
      <c r="FS109" s="99">
        <f>IF(AND(Database!MK33&gt;1,Database!MK35&gt;1),100*(Database!MK33/(Database!MK35)),0.0001)</f>
        <v>1E-4</v>
      </c>
      <c r="FT109" s="99">
        <f>IF(AND(Database!MM33&gt;1,Database!MM35&gt;1),100*(Database!MM33/(Database!MM35)),0.0001)</f>
        <v>1E-4</v>
      </c>
      <c r="FU109" s="99">
        <f>IF(AND(Database!MO33&gt;1,Database!MO35&gt;1),100*(Database!MO33/(Database!MO35)),0.0001)</f>
        <v>1E-4</v>
      </c>
      <c r="FV109" s="99">
        <f>IF(AND(Database!MQ33&gt;1,Database!MQ35&gt;1),100*(Database!MQ33/(Database!MQ35)),0.0001)</f>
        <v>1E-4</v>
      </c>
      <c r="FW109" s="99">
        <f>IF(AND(Database!MS33&gt;1,Database!MS35&gt;1),100*(Database!MS33/(Database!MS35)),0.0001)</f>
        <v>1E-4</v>
      </c>
      <c r="FX109" s="99">
        <f>IF(AND(Database!MU33&gt;1,Database!MU35&gt;1),100*(Database!MU33/(Database!MU35)),0.0001)</f>
        <v>1E-4</v>
      </c>
      <c r="FY109" s="99">
        <f>IF(AND(Database!MW33&gt;1,Database!MW35&gt;1),100*(Database!MW33/(Database!MW35)),0.0001)</f>
        <v>1E-4</v>
      </c>
      <c r="FZ109" s="99">
        <f>IF(AND(Database!MY33&gt;1,Database!MY35&gt;1),100*(Database!MY33/(Database!MY35)),0.0001)</f>
        <v>1E-4</v>
      </c>
      <c r="GA109" s="99">
        <f>IF(AND(Database!NA33&gt;1,Database!NA35&gt;1),100*(Database!NA33/(Database!NA35)),0.0001)</f>
        <v>1E-4</v>
      </c>
      <c r="GB109" s="99">
        <f>IF(AND(Database!NC33&gt;1,Database!NC35&gt;1),100*(Database!NC33/(Database!NC35)),0.0001)</f>
        <v>1E-4</v>
      </c>
      <c r="GC109" s="99">
        <f>IF(AND(Database!NE33&gt;1,Database!NE35&gt;1),100*(Database!NE33/(Database!NE35)),0.0001)</f>
        <v>1E-4</v>
      </c>
      <c r="GD109" s="99">
        <f>IF(AND(Database!NG33&gt;1,Database!NG35&gt;1),100*(Database!NG33/(Database!NG35)),0.0001)</f>
        <v>1E-4</v>
      </c>
      <c r="GE109" s="99">
        <f>IF(AND(Database!NI33&gt;1,Database!NI35&gt;1),100*(Database!NI33/(Database!NI35)),0.0001)</f>
        <v>1E-4</v>
      </c>
      <c r="GF109" s="99">
        <f>IF(AND(Database!NK33&gt;1,Database!NK35&gt;1),100*(Database!NK33/(Database!NK35)),0.0001)</f>
        <v>1E-4</v>
      </c>
      <c r="GG109" s="99">
        <f>IF(AND(Database!NM33&gt;1,Database!NM35&gt;1),100*(Database!NM33/(Database!NM35)),0.0001)</f>
        <v>1E-4</v>
      </c>
      <c r="GH109" s="99">
        <f>IF(AND(Database!NO33&gt;1,Database!NO35&gt;1),100*(Database!NO33/(Database!NO35)),0.0001)</f>
        <v>1E-4</v>
      </c>
      <c r="GI109" s="99">
        <f>IF(AND(Database!NQ33&gt;1,Database!NQ35&gt;1),100*(Database!NQ33/(Database!NQ35)),0.0001)</f>
        <v>1E-4</v>
      </c>
      <c r="GJ109" s="99">
        <f>IF(AND(Database!NS33&gt;1,Database!NS35&gt;1),100*(Database!NS33/(Database!NS35)),0.0001)</f>
        <v>1E-4</v>
      </c>
      <c r="GK109" s="99">
        <f>IF(AND(Database!NU33&gt;1,Database!NU35&gt;1),100*(Database!NU33/(Database!NU35)),0.0001)</f>
        <v>1E-4</v>
      </c>
      <c r="GL109" s="99">
        <f>IF(AND(Database!NW33&gt;1,Database!NW35&gt;1),100*(Database!NW33/(Database!NW35)),0.0001)</f>
        <v>1E-4</v>
      </c>
      <c r="GM109" s="99">
        <f>IF(AND(Database!NY33&gt;1,Database!NY35&gt;1),100*(Database!NY33/(Database!NY35)),0.0001)</f>
        <v>1E-4</v>
      </c>
      <c r="GN109" s="99">
        <f>IF(AND(Database!OA33&gt;1,Database!OA35&gt;1),100*(Database!OA33/(Database!OA35)),0.0001)</f>
        <v>1E-4</v>
      </c>
      <c r="GO109" s="99">
        <f>IF(AND(Database!OC33&gt;1,Database!OC35&gt;1),100*(Database!OC33/(Database!OC35)),0.0001)</f>
        <v>1E-4</v>
      </c>
      <c r="GP109" s="99">
        <f>IF(AND(Database!OE33&gt;1,Database!OE35&gt;1),100*(Database!OE33/(Database!OE35)),0.0001)</f>
        <v>1E-4</v>
      </c>
      <c r="GQ109" s="99">
        <f>IF(AND(Database!OG33&gt;1,Database!OG35&gt;1),100*(Database!OG33/(Database!OG35)),0.0001)</f>
        <v>1E-4</v>
      </c>
      <c r="GR109" s="99">
        <f>IF(AND(Database!OI33&gt;1,Database!OI35&gt;1),100*(Database!OI33/(Database!OI35)),0.0001)</f>
        <v>1E-4</v>
      </c>
      <c r="GS109" s="99">
        <f>IF(AND(Database!OK33&gt;1,Database!OK35&gt;1),100*(Database!OK33/(Database!OK35)),0.0001)</f>
        <v>1E-4</v>
      </c>
      <c r="GT109" s="99">
        <f>IF(AND(Database!OM33&gt;1,Database!OM35&gt;1),100*(Database!OM33/(Database!OM35)),0.0001)</f>
        <v>1E-4</v>
      </c>
    </row>
    <row r="110" spans="1:202" ht="18.75" customHeight="1" x14ac:dyDescent="0.4">
      <c r="A110" s="29" t="s">
        <v>120</v>
      </c>
      <c r="B110" s="306"/>
      <c r="C110" s="99">
        <f>IF(AND(Database!E34&gt;1,Database!E36&gt;1),100*(Database!E34/(Database!E36)),0.0001)</f>
        <v>103.95982016537239</v>
      </c>
      <c r="D110" s="99">
        <f>IF(AND(Database!G34&gt;1,Database!G36&gt;1),100*(Database!G34/(Database!G36)),0.0001)</f>
        <v>169.97917286521869</v>
      </c>
      <c r="E110" s="99">
        <f>IF(AND(Database!I34&gt;1,Database!I36&gt;1),100*(Database!I34/(Database!I36)),0.0001)</f>
        <v>191.56021897810217</v>
      </c>
      <c r="F110" s="99">
        <f>IF(AND(Database!K34&gt;1,Database!K36&gt;1),100*(Database!K34/(Database!K36)),0.0001)</f>
        <v>179.41885187810064</v>
      </c>
      <c r="G110" s="99">
        <f>IF(AND(Database!M34&gt;1,Database!M36&gt;1),100*(Database!M34/(Database!M36)),0.0001)</f>
        <v>1E-4</v>
      </c>
      <c r="H110" s="99">
        <f>IF(AND(Database!O34&gt;1,Database!O36&gt;1),100*(Database!O34/(Database!O36)),0.0001)</f>
        <v>1E-4</v>
      </c>
      <c r="I110" s="99">
        <f>IF(AND(Database!Q34&gt;1,Database!Q36&gt;1),100*(Database!Q34/(Database!Q36)),0.0001)</f>
        <v>1E-4</v>
      </c>
      <c r="J110" s="99">
        <f>IF(AND(Database!S34&gt;1,Database!S36&gt;1),100*(Database!S34/(Database!S36)),0.0001)</f>
        <v>1E-4</v>
      </c>
      <c r="K110" s="99">
        <f>IF(AND(Database!U34&gt;1,Database!U36&gt;1),100*(Database!U34/(Database!U36)),0.0001)</f>
        <v>1E-4</v>
      </c>
      <c r="L110" s="99">
        <f>IF(AND(Database!W34&gt;1,Database!W36&gt;1),100*(Database!W34/(Database!W36)),0.0001)</f>
        <v>1E-4</v>
      </c>
      <c r="M110" s="99">
        <f>IF(AND(Database!Y34&gt;1,Database!Y36&gt;1),100*(Database!Y34/(Database!Y36)),0.0001)</f>
        <v>1E-4</v>
      </c>
      <c r="N110" s="99">
        <f>IF(AND(Database!AA34&gt;1,Database!AA36&gt;1),100*(Database!AA34/(Database!AA36)),0.0001)</f>
        <v>1E-4</v>
      </c>
      <c r="O110" s="99">
        <f>IF(AND(Database!AC34&gt;1,Database!AC36&gt;1),100*(Database!AC34/(Database!AC36)),0.0001)</f>
        <v>1E-4</v>
      </c>
      <c r="P110" s="99">
        <f>IF(AND(Database!AE34&gt;1,Database!AE36&gt;1),100*(Database!AE34/(Database!AE36)),0.0001)</f>
        <v>1E-4</v>
      </c>
      <c r="Q110" s="99">
        <f>IF(AND(Database!AG34&gt;1,Database!AG36&gt;1),100*(Database!AG34/(Database!AG36)),0.0001)</f>
        <v>1E-4</v>
      </c>
      <c r="R110" s="99">
        <f>IF(AND(Database!AI34&gt;1,Database!AI36&gt;1),100*(Database!AI34/(Database!AI36)),0.0001)</f>
        <v>1E-4</v>
      </c>
      <c r="S110" s="99">
        <f>IF(AND(Database!AK34&gt;1,Database!AK36&gt;1),100*(Database!AK34/(Database!AK36)),0.0001)</f>
        <v>1E-4</v>
      </c>
      <c r="T110" s="99">
        <f>IF(AND(Database!AM34&gt;1,Database!AM36&gt;1),100*(Database!AM34/(Database!AM36)),0.0001)</f>
        <v>1E-4</v>
      </c>
      <c r="U110" s="99">
        <f>IF(AND(Database!AO34&gt;1,Database!AO36&gt;1),100*(Database!AO34/(Database!AO36)),0.0001)</f>
        <v>1E-4</v>
      </c>
      <c r="V110" s="99">
        <f>IF(AND(Database!AQ34&gt;1,Database!AQ36&gt;1),100*(Database!AQ34/(Database!AQ36)),0.0001)</f>
        <v>1E-4</v>
      </c>
      <c r="W110" s="99">
        <f>IF(AND(Database!AS34&gt;1,Database!AS36&gt;1),100*(Database!AS34/(Database!AS36)),0.0001)</f>
        <v>1E-4</v>
      </c>
      <c r="X110" s="99">
        <f>IF(AND(Database!AU34&gt;1,Database!AU36&gt;1),100*(Database!AU34/(Database!AU36)),0.0001)</f>
        <v>1E-4</v>
      </c>
      <c r="Y110" s="99">
        <f>IF(AND(Database!AW34&gt;1,Database!AW36&gt;1),100*(Database!AW34/(Database!AW36)),0.0001)</f>
        <v>1E-4</v>
      </c>
      <c r="Z110" s="99">
        <f>IF(AND(Database!AY34&gt;1,Database!AY36&gt;1),100*(Database!AY34/(Database!AY36)),0.0001)</f>
        <v>1E-4</v>
      </c>
      <c r="AA110" s="99">
        <f>IF(AND(Database!BA34&gt;1,Database!BA36&gt;1),100*(Database!BA34/(Database!BA36)),0.0001)</f>
        <v>1E-4</v>
      </c>
      <c r="AB110" s="99">
        <f>IF(AND(Database!BC34&gt;1,Database!BC36&gt;1),100*(Database!BC34/(Database!BC36)),0.0001)</f>
        <v>1E-4</v>
      </c>
      <c r="AC110" s="99">
        <f>IF(AND(Database!BE34&gt;1,Database!BE36&gt;1),100*(Database!BE34/(Database!BE36)),0.0001)</f>
        <v>1E-4</v>
      </c>
      <c r="AD110" s="99">
        <f>IF(AND(Database!BG34&gt;1,Database!BG36&gt;1),100*(Database!BG34/(Database!BG36)),0.0001)</f>
        <v>1E-4</v>
      </c>
      <c r="AE110" s="99">
        <f>IF(AND(Database!BI34&gt;1,Database!BI36&gt;1),100*(Database!BI34/(Database!BI36)),0.0001)</f>
        <v>1E-4</v>
      </c>
      <c r="AF110" s="99">
        <f>IF(AND(Database!BK34&gt;1,Database!BK36&gt;1),100*(Database!BK34/(Database!BK36)),0.0001)</f>
        <v>1E-4</v>
      </c>
      <c r="AG110" s="99">
        <f>IF(AND(Database!BM34&gt;1,Database!BM36&gt;1),100*(Database!BM34/(Database!BM36)),0.0001)</f>
        <v>1E-4</v>
      </c>
      <c r="AH110" s="99">
        <f>IF(AND(Database!BO34&gt;1,Database!BO36&gt;1),100*(Database!BO34/(Database!BO36)),0.0001)</f>
        <v>1E-4</v>
      </c>
      <c r="AI110" s="99">
        <f>IF(AND(Database!BQ34&gt;1,Database!BQ36&gt;1),100*(Database!BQ34/(Database!BQ36)),0.0001)</f>
        <v>1E-4</v>
      </c>
      <c r="AJ110" s="99">
        <f>IF(AND(Database!BS34&gt;1,Database!BS36&gt;1),100*(Database!BS34/(Database!BS36)),0.0001)</f>
        <v>1E-4</v>
      </c>
      <c r="AK110" s="99">
        <f>IF(AND(Database!BU34&gt;1,Database!BU36&gt;1),100*(Database!BU34/(Database!BU36)),0.0001)</f>
        <v>1E-4</v>
      </c>
      <c r="AL110" s="99">
        <f>IF(AND(Database!BW34&gt;1,Database!BW36&gt;1),100*(Database!BW34/(Database!BW36)),0.0001)</f>
        <v>1E-4</v>
      </c>
      <c r="AM110" s="99">
        <f>IF(AND(Database!BY34&gt;1,Database!BY36&gt;1),100*(Database!BY34/(Database!BY36)),0.0001)</f>
        <v>1E-4</v>
      </c>
      <c r="AN110" s="99">
        <f>IF(AND(Database!CA34&gt;1,Database!CA36&gt;1),100*(Database!CA34/(Database!CA36)),0.0001)</f>
        <v>1E-4</v>
      </c>
      <c r="AO110" s="99">
        <f>IF(AND(Database!CC34&gt;1,Database!CC36&gt;1),100*(Database!CC34/(Database!CC36)),0.0001)</f>
        <v>1E-4</v>
      </c>
      <c r="AP110" s="99">
        <f>IF(AND(Database!CE34&gt;1,Database!CE36&gt;1),100*(Database!CE34/(Database!CE36)),0.0001)</f>
        <v>1E-4</v>
      </c>
      <c r="AQ110" s="99">
        <f>IF(AND(Database!CG34&gt;1,Database!CG36&gt;1),100*(Database!CG34/(Database!CG36)),0.0001)</f>
        <v>1E-4</v>
      </c>
      <c r="AR110" s="99">
        <f>IF(AND(Database!CI34&gt;1,Database!CI36&gt;1),100*(Database!CI34/(Database!CI36)),0.0001)</f>
        <v>1E-4</v>
      </c>
      <c r="AS110" s="99">
        <f>IF(AND(Database!CK34&gt;1,Database!CK36&gt;1),100*(Database!CK34/(Database!CK36)),0.0001)</f>
        <v>1E-4</v>
      </c>
      <c r="AT110" s="99">
        <f>IF(AND(Database!CM34&gt;1,Database!CM36&gt;1),100*(Database!CM34/(Database!CM36)),0.0001)</f>
        <v>1E-4</v>
      </c>
      <c r="AU110" s="99">
        <f>IF(AND(Database!CO34&gt;1,Database!CO36&gt;1),100*(Database!CO34/(Database!CO36)),0.0001)</f>
        <v>1E-4</v>
      </c>
      <c r="AV110" s="99">
        <f>IF(AND(Database!CQ34&gt;1,Database!CQ36&gt;1),100*(Database!CQ34/(Database!CQ36)),0.0001)</f>
        <v>1E-4</v>
      </c>
      <c r="AW110" s="99">
        <f>IF(AND(Database!CS34&gt;1,Database!CS36&gt;1),100*(Database!CS34/(Database!CS36)),0.0001)</f>
        <v>1E-4</v>
      </c>
      <c r="AX110" s="99">
        <f>IF(AND(Database!CU34&gt;1,Database!CU36&gt;1),100*(Database!CU34/(Database!CU36)),0.0001)</f>
        <v>1E-4</v>
      </c>
      <c r="AY110" s="99">
        <f>IF(AND(Database!CW34&gt;1,Database!CW36&gt;1),100*(Database!CW34/(Database!CW36)),0.0001)</f>
        <v>1E-4</v>
      </c>
      <c r="AZ110" s="99">
        <f>IF(AND(Database!CY34&gt;1,Database!CY36&gt;1),100*(Database!CY34/(Database!CY36)),0.0001)</f>
        <v>1E-4</v>
      </c>
      <c r="BA110" s="99">
        <f>IF(AND(Database!DA34&gt;1,Database!DA36&gt;1),100*(Database!DA34/(Database!DA36)),0.0001)</f>
        <v>1E-4</v>
      </c>
      <c r="BB110" s="99">
        <f>IF(AND(Database!DC34&gt;1,Database!DC36&gt;1),100*(Database!DC34/(Database!DC36)),0.0001)</f>
        <v>1E-4</v>
      </c>
      <c r="BC110" s="99">
        <f>IF(AND(Database!DE34&gt;1,Database!DE36&gt;1),100*(Database!DE34/(Database!DE36)),0.0001)</f>
        <v>1E-4</v>
      </c>
      <c r="BD110" s="99">
        <f>IF(AND(Database!DG34&gt;1,Database!DG36&gt;1),100*(Database!DG34/(Database!DG36)),0.0001)</f>
        <v>1E-4</v>
      </c>
      <c r="BE110" s="99">
        <f>IF(AND(Database!DI34&gt;1,Database!DI36&gt;1),100*(Database!DI34/(Database!DI36)),0.0001)</f>
        <v>1E-4</v>
      </c>
      <c r="BF110" s="99">
        <f>IF(AND(Database!DK34&gt;1,Database!DK36&gt;1),100*(Database!DK34/(Database!DK36)),0.0001)</f>
        <v>1E-4</v>
      </c>
      <c r="BG110" s="99">
        <f>IF(AND(Database!DM34&gt;1,Database!DM36&gt;1),100*(Database!DM34/(Database!DM36)),0.0001)</f>
        <v>1E-4</v>
      </c>
      <c r="BH110" s="99">
        <f>IF(AND(Database!DO34&gt;1,Database!DO36&gt;1),100*(Database!DO34/(Database!DO36)),0.0001)</f>
        <v>1E-4</v>
      </c>
      <c r="BI110" s="99">
        <f>IF(AND(Database!DQ34&gt;1,Database!DQ36&gt;1),100*(Database!DQ34/(Database!DQ36)),0.0001)</f>
        <v>1E-4</v>
      </c>
      <c r="BJ110" s="99">
        <f>IF(AND(Database!DS34&gt;1,Database!DS36&gt;1),100*(Database!DS34/(Database!DS36)),0.0001)</f>
        <v>1E-4</v>
      </c>
      <c r="BK110" s="99">
        <f>IF(AND(Database!DU34&gt;1,Database!DU36&gt;1),100*(Database!DU34/(Database!DU36)),0.0001)</f>
        <v>1E-4</v>
      </c>
      <c r="BL110" s="99">
        <f>IF(AND(Database!DW34&gt;1,Database!DW36&gt;1),100*(Database!DW34/(Database!DW36)),0.0001)</f>
        <v>1E-4</v>
      </c>
      <c r="BM110" s="99">
        <f>IF(AND(Database!DY34&gt;1,Database!DY36&gt;1),100*(Database!DY34/(Database!DY36)),0.0001)</f>
        <v>1E-4</v>
      </c>
      <c r="BN110" s="99">
        <f>IF(AND(Database!EA34&gt;1,Database!EA36&gt;1),100*(Database!EA34/(Database!EA36)),0.0001)</f>
        <v>1E-4</v>
      </c>
      <c r="BO110" s="99">
        <f>IF(AND(Database!EC34&gt;1,Database!EC36&gt;1),100*(Database!EC34/(Database!EC36)),0.0001)</f>
        <v>1E-4</v>
      </c>
      <c r="BP110" s="99">
        <f>IF(AND(Database!EE34&gt;1,Database!EE36&gt;1),100*(Database!EE34/(Database!EE36)),0.0001)</f>
        <v>1E-4</v>
      </c>
      <c r="BQ110" s="99">
        <f>IF(AND(Database!EG34&gt;1,Database!EG36&gt;1),100*(Database!EG34/(Database!EG36)),0.0001)</f>
        <v>1E-4</v>
      </c>
      <c r="BR110" s="99">
        <f>IF(AND(Database!EI34&gt;1,Database!EI36&gt;1),100*(Database!EI34/(Database!EI36)),0.0001)</f>
        <v>1E-4</v>
      </c>
      <c r="BS110" s="99">
        <f>IF(AND(Database!EK34&gt;1,Database!EK36&gt;1),100*(Database!EK34/(Database!EK36)),0.0001)</f>
        <v>1E-4</v>
      </c>
      <c r="BT110" s="99">
        <f>IF(AND(Database!EM34&gt;1,Database!EM36&gt;1),100*(Database!EM34/(Database!EM36)),0.0001)</f>
        <v>1E-4</v>
      </c>
      <c r="BU110" s="99">
        <f>IF(AND(Database!EO34&gt;1,Database!EO36&gt;1),100*(Database!EO34/(Database!EO36)),0.0001)</f>
        <v>1E-4</v>
      </c>
      <c r="BV110" s="99">
        <f>IF(AND(Database!EQ34&gt;1,Database!EQ36&gt;1),100*(Database!EQ34/(Database!EQ36)),0.0001)</f>
        <v>1E-4</v>
      </c>
      <c r="BW110" s="99">
        <f>IF(AND(Database!ES34&gt;1,Database!ES36&gt;1),100*(Database!ES34/(Database!ES36)),0.0001)</f>
        <v>1E-4</v>
      </c>
      <c r="BX110" s="99">
        <f>IF(AND(Database!EU34&gt;1,Database!EU36&gt;1),100*(Database!EU34/(Database!EU36)),0.0001)</f>
        <v>1E-4</v>
      </c>
      <c r="BY110" s="99">
        <f>IF(AND(Database!EW34&gt;1,Database!EW36&gt;1),100*(Database!EW34/(Database!EW36)),0.0001)</f>
        <v>1E-4</v>
      </c>
      <c r="BZ110" s="99">
        <f>IF(AND(Database!EY34&gt;1,Database!EY36&gt;1),100*(Database!EY34/(Database!EY36)),0.0001)</f>
        <v>1E-4</v>
      </c>
      <c r="CA110" s="99">
        <f>IF(AND(Database!FA34&gt;1,Database!FA36&gt;1),100*(Database!FA34/(Database!FA36)),0.0001)</f>
        <v>1E-4</v>
      </c>
      <c r="CB110" s="99">
        <f>IF(AND(Database!FC34&gt;1,Database!FC36&gt;1),100*(Database!FC34/(Database!FC36)),0.0001)</f>
        <v>1E-4</v>
      </c>
      <c r="CC110" s="99">
        <f>IF(AND(Database!FE34&gt;1,Database!FE36&gt;1),100*(Database!FE34/(Database!FE36)),0.0001)</f>
        <v>1E-4</v>
      </c>
      <c r="CD110" s="99">
        <f>IF(AND(Database!FG34&gt;1,Database!FG36&gt;1),100*(Database!FG34/(Database!FG36)),0.0001)</f>
        <v>1E-4</v>
      </c>
      <c r="CE110" s="99">
        <f>IF(AND(Database!FI34&gt;1,Database!FI36&gt;1),100*(Database!FI34/(Database!FI36)),0.0001)</f>
        <v>1E-4</v>
      </c>
      <c r="CF110" s="99">
        <f>IF(AND(Database!FK34&gt;1,Database!FK36&gt;1),100*(Database!FK34/(Database!FK36)),0.0001)</f>
        <v>1E-4</v>
      </c>
      <c r="CG110" s="99">
        <f>IF(AND(Database!FM34&gt;1,Database!FM36&gt;1),100*(Database!FM34/(Database!FM36)),0.0001)</f>
        <v>1E-4</v>
      </c>
      <c r="CH110" s="99">
        <f>IF(AND(Database!FO34&gt;1,Database!FO36&gt;1),100*(Database!FO34/(Database!FO36)),0.0001)</f>
        <v>1E-4</v>
      </c>
      <c r="CI110" s="99">
        <f>IF(AND(Database!FQ34&gt;1,Database!FQ36&gt;1),100*(Database!FQ34/(Database!FQ36)),0.0001)</f>
        <v>1E-4</v>
      </c>
      <c r="CJ110" s="99">
        <f>IF(AND(Database!FS34&gt;1,Database!FS36&gt;1),100*(Database!FS34/(Database!FS36)),0.0001)</f>
        <v>1E-4</v>
      </c>
      <c r="CK110" s="99">
        <f>IF(AND(Database!FU34&gt;1,Database!FU36&gt;1),100*(Database!FU34/(Database!FU36)),0.0001)</f>
        <v>1E-4</v>
      </c>
      <c r="CL110" s="99">
        <f>IF(AND(Database!FW34&gt;1,Database!FW36&gt;1),100*(Database!FW34/(Database!FW36)),0.0001)</f>
        <v>1E-4</v>
      </c>
      <c r="CM110" s="99">
        <f>IF(AND(Database!FY34&gt;1,Database!FY36&gt;1),100*(Database!FY34/(Database!FY36)),0.0001)</f>
        <v>1E-4</v>
      </c>
      <c r="CN110" s="99">
        <f>IF(AND(Database!GA34&gt;1,Database!GA36&gt;1),100*(Database!GA34/(Database!GA36)),0.0001)</f>
        <v>1E-4</v>
      </c>
      <c r="CO110" s="99">
        <f>IF(AND(Database!GC34&gt;1,Database!GC36&gt;1),100*(Database!GC34/(Database!GC36)),0.0001)</f>
        <v>1E-4</v>
      </c>
      <c r="CP110" s="99">
        <f>IF(AND(Database!GE34&gt;1,Database!GE36&gt;1),100*(Database!GE34/(Database!GE36)),0.0001)</f>
        <v>1E-4</v>
      </c>
      <c r="CQ110" s="99">
        <f>IF(AND(Database!GG34&gt;1,Database!GG36&gt;1),100*(Database!GG34/(Database!GG36)),0.0001)</f>
        <v>1E-4</v>
      </c>
      <c r="CR110" s="99">
        <f>IF(AND(Database!GI34&gt;1,Database!GI36&gt;1),100*(Database!GI34/(Database!GI36)),0.0001)</f>
        <v>1E-4</v>
      </c>
      <c r="CS110" s="99">
        <f>IF(AND(Database!GK34&gt;1,Database!GK36&gt;1),100*(Database!GK34/(Database!GK36)),0.0001)</f>
        <v>1E-4</v>
      </c>
      <c r="CT110" s="99">
        <f>IF(AND(Database!GM34&gt;1,Database!GM36&gt;1),100*(Database!GM34/(Database!GM36)),0.0001)</f>
        <v>1E-4</v>
      </c>
      <c r="CU110" s="99">
        <f>IF(AND(Database!GO34&gt;1,Database!GO36&gt;1),100*(Database!GO34/(Database!GO36)),0.0001)</f>
        <v>1E-4</v>
      </c>
      <c r="CV110" s="99">
        <f>IF(AND(Database!GQ34&gt;1,Database!GQ36&gt;1),100*(Database!GQ34/(Database!GQ36)),0.0001)</f>
        <v>1E-4</v>
      </c>
      <c r="CW110" s="99">
        <f>IF(AND(Database!GS34&gt;1,Database!GS36&gt;1),100*(Database!GS34/(Database!GS36)),0.0001)</f>
        <v>1E-4</v>
      </c>
      <c r="CX110" s="99">
        <f>IF(AND(Database!GU34&gt;1,Database!GU36&gt;1),100*(Database!GU34/(Database!GU36)),0.0001)</f>
        <v>1E-4</v>
      </c>
      <c r="CY110" s="99">
        <f>IF(AND(Database!GW34&gt;1,Database!GW36&gt;1),100*(Database!GW34/(Database!GW36)),0.0001)</f>
        <v>1E-4</v>
      </c>
      <c r="CZ110" s="99">
        <f>IF(AND(Database!GY34&gt;1,Database!GY36&gt;1),100*(Database!GY34/(Database!GY36)),0.0001)</f>
        <v>1E-4</v>
      </c>
      <c r="DA110" s="99">
        <f>IF(AND(Database!HA34&gt;1,Database!HA36&gt;1),100*(Database!HA34/(Database!HA36)),0.0001)</f>
        <v>1E-4</v>
      </c>
      <c r="DB110" s="99">
        <f>IF(AND(Database!HC34&gt;1,Database!HC36&gt;1),100*(Database!HC34/(Database!HC36)),0.0001)</f>
        <v>1E-4</v>
      </c>
      <c r="DC110" s="99">
        <f>IF(AND(Database!HE34&gt;1,Database!HE36&gt;1),100*(Database!HE34/(Database!HE36)),0.0001)</f>
        <v>1E-4</v>
      </c>
      <c r="DD110" s="99">
        <f>IF(AND(Database!HG34&gt;1,Database!HG36&gt;1),100*(Database!HG34/(Database!HG36)),0.0001)</f>
        <v>1E-4</v>
      </c>
      <c r="DE110" s="99">
        <f>IF(AND(Database!HI34&gt;1,Database!HI36&gt;1),100*(Database!HI34/(Database!HI36)),0.0001)</f>
        <v>1E-4</v>
      </c>
      <c r="DF110" s="99">
        <f>IF(AND(Database!HK34&gt;1,Database!HK36&gt;1),100*(Database!HK34/(Database!HK36)),0.0001)</f>
        <v>1E-4</v>
      </c>
      <c r="DG110" s="99">
        <f>IF(AND(Database!HM34&gt;1,Database!HM36&gt;1),100*(Database!HM34/(Database!HM36)),0.0001)</f>
        <v>1E-4</v>
      </c>
      <c r="DH110" s="99">
        <f>IF(AND(Database!HO34&gt;1,Database!HO36&gt;1),100*(Database!HO34/(Database!HO36)),0.0001)</f>
        <v>1E-4</v>
      </c>
      <c r="DI110" s="99">
        <f>IF(AND(Database!HQ34&gt;1,Database!HQ36&gt;1),100*(Database!HQ34/(Database!HQ36)),0.0001)</f>
        <v>1E-4</v>
      </c>
      <c r="DJ110" s="99">
        <f>IF(AND(Database!HS34&gt;1,Database!HS36&gt;1),100*(Database!HS34/(Database!HS36)),0.0001)</f>
        <v>1E-4</v>
      </c>
      <c r="DK110" s="99">
        <f>IF(AND(Database!HU34&gt;1,Database!HU36&gt;1),100*(Database!HU34/(Database!HU36)),0.0001)</f>
        <v>1E-4</v>
      </c>
      <c r="DL110" s="99">
        <f>IF(AND(Database!HW34&gt;1,Database!HW36&gt;1),100*(Database!HW34/(Database!HW36)),0.0001)</f>
        <v>1E-4</v>
      </c>
      <c r="DM110" s="99">
        <f>IF(AND(Database!HY34&gt;1,Database!HY36&gt;1),100*(Database!HY34/(Database!HY36)),0.0001)</f>
        <v>1E-4</v>
      </c>
      <c r="DN110" s="99">
        <f>IF(AND(Database!IA34&gt;1,Database!IA36&gt;1),100*(Database!IA34/(Database!IA36)),0.0001)</f>
        <v>1E-4</v>
      </c>
      <c r="DO110" s="99">
        <f>IF(AND(Database!IC34&gt;1,Database!IC36&gt;1),100*(Database!IC34/(Database!IC36)),0.0001)</f>
        <v>1E-4</v>
      </c>
      <c r="DP110" s="99">
        <f>IF(AND(Database!IE34&gt;1,Database!IE36&gt;1),100*(Database!IE34/(Database!IE36)),0.0001)</f>
        <v>1E-4</v>
      </c>
      <c r="DQ110" s="99">
        <f>IF(AND(Database!IG34&gt;1,Database!IG36&gt;1),100*(Database!IG34/(Database!IG36)),0.0001)</f>
        <v>1E-4</v>
      </c>
      <c r="DR110" s="99">
        <f>IF(AND(Database!II34&gt;1,Database!II36&gt;1),100*(Database!II34/(Database!II36)),0.0001)</f>
        <v>1E-4</v>
      </c>
      <c r="DS110" s="99">
        <f>IF(AND(Database!IK34&gt;1,Database!IK36&gt;1),100*(Database!IK34/(Database!IK36)),0.0001)</f>
        <v>1E-4</v>
      </c>
      <c r="DT110" s="99">
        <f>IF(AND(Database!IM34&gt;1,Database!IM36&gt;1),100*(Database!IM34/(Database!IM36)),0.0001)</f>
        <v>1E-4</v>
      </c>
      <c r="DU110" s="99">
        <f>IF(AND(Database!IO34&gt;1,Database!IO36&gt;1),100*(Database!IO34/(Database!IO36)),0.0001)</f>
        <v>1E-4</v>
      </c>
      <c r="DV110" s="99">
        <f>IF(AND(Database!IQ34&gt;1,Database!IQ36&gt;1),100*(Database!IQ34/(Database!IQ36)),0.0001)</f>
        <v>1E-4</v>
      </c>
      <c r="DW110" s="99">
        <f>IF(AND(Database!IS34&gt;1,Database!IS36&gt;1),100*(Database!IS34/(Database!IS36)),0.0001)</f>
        <v>1E-4</v>
      </c>
      <c r="DX110" s="99">
        <f>IF(AND(Database!IU34&gt;1,Database!IU36&gt;1),100*(Database!IU34/(Database!IU36)),0.0001)</f>
        <v>1E-4</v>
      </c>
      <c r="DY110" s="99">
        <f>IF(AND(Database!IW34&gt;1,Database!IW36&gt;1),100*(Database!IW34/(Database!IW36)),0.0001)</f>
        <v>1E-4</v>
      </c>
      <c r="DZ110" s="99">
        <f>IF(AND(Database!IY34&gt;1,Database!IY36&gt;1),100*(Database!IY34/(Database!IY36)),0.0001)</f>
        <v>1E-4</v>
      </c>
      <c r="EA110" s="99">
        <f>IF(AND(Database!JA34&gt;1,Database!JA36&gt;1),100*(Database!JA34/(Database!JA36)),0.0001)</f>
        <v>1E-4</v>
      </c>
      <c r="EB110" s="99">
        <f>IF(AND(Database!JC34&gt;1,Database!JC36&gt;1),100*(Database!JC34/(Database!JC36)),0.0001)</f>
        <v>1E-4</v>
      </c>
      <c r="EC110" s="99">
        <f>IF(AND(Database!JE34&gt;1,Database!JE36&gt;1),100*(Database!JE34/(Database!JE36)),0.0001)</f>
        <v>1E-4</v>
      </c>
      <c r="ED110" s="99">
        <f>IF(AND(Database!JG34&gt;1,Database!JG36&gt;1),100*(Database!JG34/(Database!JG36)),0.0001)</f>
        <v>1E-4</v>
      </c>
      <c r="EE110" s="99">
        <f>IF(AND(Database!JI34&gt;1,Database!JI36&gt;1),100*(Database!JI34/(Database!JI36)),0.0001)</f>
        <v>1E-4</v>
      </c>
      <c r="EF110" s="99">
        <f>IF(AND(Database!JK34&gt;1,Database!JK36&gt;1),100*(Database!JK34/(Database!JK36)),0.0001)</f>
        <v>1E-4</v>
      </c>
      <c r="EG110" s="99">
        <f>IF(AND(Database!JM34&gt;1,Database!JM36&gt;1),100*(Database!JM34/(Database!JM36)),0.0001)</f>
        <v>1E-4</v>
      </c>
      <c r="EH110" s="99">
        <f>IF(AND(Database!JO34&gt;1,Database!JO36&gt;1),100*(Database!JO34/(Database!JO36)),0.0001)</f>
        <v>1E-4</v>
      </c>
      <c r="EI110" s="99">
        <f>IF(AND(Database!JQ34&gt;1,Database!JQ36&gt;1),100*(Database!JQ34/(Database!JQ36)),0.0001)</f>
        <v>1E-4</v>
      </c>
      <c r="EJ110" s="99">
        <f>IF(AND(Database!JS34&gt;1,Database!JS36&gt;1),100*(Database!JS34/(Database!JS36)),0.0001)</f>
        <v>1E-4</v>
      </c>
      <c r="EK110" s="99">
        <f>IF(AND(Database!JU34&gt;1,Database!JU36&gt;1),100*(Database!JU34/(Database!JU36)),0.0001)</f>
        <v>1E-4</v>
      </c>
      <c r="EL110" s="99">
        <f>IF(AND(Database!JW34&gt;1,Database!JW36&gt;1),100*(Database!JW34/(Database!JW36)),0.0001)</f>
        <v>1E-4</v>
      </c>
      <c r="EM110" s="99">
        <f>IF(AND(Database!JY34&gt;1,Database!JY36&gt;1),100*(Database!JY34/(Database!JY36)),0.0001)</f>
        <v>1E-4</v>
      </c>
      <c r="EN110" s="99">
        <f>IF(AND(Database!KA34&gt;1,Database!KA36&gt;1),100*(Database!KA34/(Database!KA36)),0.0001)</f>
        <v>1E-4</v>
      </c>
      <c r="EO110" s="99">
        <f>IF(AND(Database!KC34&gt;1,Database!KC36&gt;1),100*(Database!KC34/(Database!KC36)),0.0001)</f>
        <v>1E-4</v>
      </c>
      <c r="EP110" s="99">
        <f>IF(AND(Database!KE34&gt;1,Database!KE36&gt;1),100*(Database!KE34/(Database!KE36)),0.0001)</f>
        <v>1E-4</v>
      </c>
      <c r="EQ110" s="99">
        <f>IF(AND(Database!KG34&gt;1,Database!KG36&gt;1),100*(Database!KG34/(Database!KG36)),0.0001)</f>
        <v>1E-4</v>
      </c>
      <c r="ER110" s="99">
        <f>IF(AND(Database!KI34&gt;1,Database!KI36&gt;1),100*(Database!KI34/(Database!KI36)),0.0001)</f>
        <v>1E-4</v>
      </c>
      <c r="ES110" s="99">
        <f>IF(AND(Database!KK34&gt;1,Database!KK36&gt;1),100*(Database!KK34/(Database!KK36)),0.0001)</f>
        <v>1E-4</v>
      </c>
      <c r="ET110" s="99">
        <f>IF(AND(Database!KM34&gt;1,Database!KM36&gt;1),100*(Database!KM34/(Database!KM36)),0.0001)</f>
        <v>1E-4</v>
      </c>
      <c r="EU110" s="99">
        <f>IF(AND(Database!KO34&gt;1,Database!KO36&gt;1),100*(Database!KO34/(Database!KO36)),0.0001)</f>
        <v>1E-4</v>
      </c>
      <c r="EV110" s="99">
        <f>IF(AND(Database!KQ34&gt;1,Database!KQ36&gt;1),100*(Database!KQ34/(Database!KQ36)),0.0001)</f>
        <v>1E-4</v>
      </c>
      <c r="EW110" s="99">
        <f>IF(AND(Database!KS34&gt;1,Database!KS36&gt;1),100*(Database!KS34/(Database!KS36)),0.0001)</f>
        <v>1E-4</v>
      </c>
      <c r="EX110" s="99">
        <f>IF(AND(Database!KU34&gt;1,Database!KU36&gt;1),100*(Database!KU34/(Database!KU36)),0.0001)</f>
        <v>1E-4</v>
      </c>
      <c r="EY110" s="99">
        <f>IF(AND(Database!KW34&gt;1,Database!KW36&gt;1),100*(Database!KW34/(Database!KW36)),0.0001)</f>
        <v>1E-4</v>
      </c>
      <c r="EZ110" s="99">
        <f>IF(AND(Database!KY34&gt;1,Database!KY36&gt;1),100*(Database!KY34/(Database!KY36)),0.0001)</f>
        <v>1E-4</v>
      </c>
      <c r="FA110" s="99">
        <f>IF(AND(Database!LA34&gt;1,Database!LA36&gt;1),100*(Database!LA34/(Database!LA36)),0.0001)</f>
        <v>1E-4</v>
      </c>
      <c r="FB110" s="99">
        <f>IF(AND(Database!LC34&gt;1,Database!LC36&gt;1),100*(Database!LC34/(Database!LC36)),0.0001)</f>
        <v>1E-4</v>
      </c>
      <c r="FC110" s="99">
        <f>IF(AND(Database!LE34&gt;1,Database!LE36&gt;1),100*(Database!LE34/(Database!LE36)),0.0001)</f>
        <v>1E-4</v>
      </c>
      <c r="FD110" s="99">
        <f>IF(AND(Database!LG34&gt;1,Database!LG36&gt;1),100*(Database!LG34/(Database!LG36)),0.0001)</f>
        <v>1E-4</v>
      </c>
      <c r="FE110" s="99">
        <f>IF(AND(Database!LI34&gt;1,Database!LI36&gt;1),100*(Database!LI34/(Database!LI36)),0.0001)</f>
        <v>1E-4</v>
      </c>
      <c r="FF110" s="99">
        <f>IF(AND(Database!LK34&gt;1,Database!LK36&gt;1),100*(Database!LK34/(Database!LK36)),0.0001)</f>
        <v>1E-4</v>
      </c>
      <c r="FG110" s="99">
        <f>IF(AND(Database!LM34&gt;1,Database!LM36&gt;1),100*(Database!LM34/(Database!LM36)),0.0001)</f>
        <v>1E-4</v>
      </c>
      <c r="FH110" s="99">
        <f>IF(AND(Database!LO34&gt;1,Database!LO36&gt;1),100*(Database!LO34/(Database!LO36)),0.0001)</f>
        <v>1E-4</v>
      </c>
      <c r="FI110" s="99">
        <f>IF(AND(Database!LQ34&gt;1,Database!LQ36&gt;1),100*(Database!LQ34/(Database!LQ36)),0.0001)</f>
        <v>1E-4</v>
      </c>
      <c r="FJ110" s="99">
        <f>IF(AND(Database!LS34&gt;1,Database!LS36&gt;1),100*(Database!LS34/(Database!LS36)),0.0001)</f>
        <v>1E-4</v>
      </c>
      <c r="FK110" s="99">
        <f>IF(AND(Database!LU34&gt;1,Database!LU36&gt;1),100*(Database!LU34/(Database!LU36)),0.0001)</f>
        <v>1E-4</v>
      </c>
      <c r="FL110" s="99">
        <f>IF(AND(Database!LW34&gt;1,Database!LW36&gt;1),100*(Database!LW34/(Database!LW36)),0.0001)</f>
        <v>1E-4</v>
      </c>
      <c r="FM110" s="99">
        <f>IF(AND(Database!LY34&gt;1,Database!LY36&gt;1),100*(Database!LY34/(Database!LY36)),0.0001)</f>
        <v>1E-4</v>
      </c>
      <c r="FN110" s="99">
        <f>IF(AND(Database!MA34&gt;1,Database!MA36&gt;1),100*(Database!MA34/(Database!MA36)),0.0001)</f>
        <v>1E-4</v>
      </c>
      <c r="FO110" s="99">
        <f>IF(AND(Database!MC34&gt;1,Database!MC36&gt;1),100*(Database!MC34/(Database!MC36)),0.0001)</f>
        <v>1E-4</v>
      </c>
      <c r="FP110" s="99">
        <f>IF(AND(Database!ME34&gt;1,Database!ME36&gt;1),100*(Database!ME34/(Database!ME36)),0.0001)</f>
        <v>1E-4</v>
      </c>
      <c r="FQ110" s="99">
        <f>IF(AND(Database!MG34&gt;1,Database!MG36&gt;1),100*(Database!MG34/(Database!MG36)),0.0001)</f>
        <v>1E-4</v>
      </c>
      <c r="FR110" s="99">
        <f>IF(AND(Database!MI34&gt;1,Database!MI36&gt;1),100*(Database!MI34/(Database!MI36)),0.0001)</f>
        <v>1E-4</v>
      </c>
      <c r="FS110" s="99">
        <f>IF(AND(Database!MK34&gt;1,Database!MK36&gt;1),100*(Database!MK34/(Database!MK36)),0.0001)</f>
        <v>1E-4</v>
      </c>
      <c r="FT110" s="99">
        <f>IF(AND(Database!MM34&gt;1,Database!MM36&gt;1),100*(Database!MM34/(Database!MM36)),0.0001)</f>
        <v>1E-4</v>
      </c>
      <c r="FU110" s="99">
        <f>IF(AND(Database!MO34&gt;1,Database!MO36&gt;1),100*(Database!MO34/(Database!MO36)),0.0001)</f>
        <v>1E-4</v>
      </c>
      <c r="FV110" s="99">
        <f>IF(AND(Database!MQ34&gt;1,Database!MQ36&gt;1),100*(Database!MQ34/(Database!MQ36)),0.0001)</f>
        <v>1E-4</v>
      </c>
      <c r="FW110" s="99">
        <f>IF(AND(Database!MS34&gt;1,Database!MS36&gt;1),100*(Database!MS34/(Database!MS36)),0.0001)</f>
        <v>1E-4</v>
      </c>
      <c r="FX110" s="99">
        <f>IF(AND(Database!MU34&gt;1,Database!MU36&gt;1),100*(Database!MU34/(Database!MU36)),0.0001)</f>
        <v>1E-4</v>
      </c>
      <c r="FY110" s="99">
        <f>IF(AND(Database!MW34&gt;1,Database!MW36&gt;1),100*(Database!MW34/(Database!MW36)),0.0001)</f>
        <v>1E-4</v>
      </c>
      <c r="FZ110" s="99">
        <f>IF(AND(Database!MY34&gt;1,Database!MY36&gt;1),100*(Database!MY34/(Database!MY36)),0.0001)</f>
        <v>1E-4</v>
      </c>
      <c r="GA110" s="99">
        <f>IF(AND(Database!NA34&gt;1,Database!NA36&gt;1),100*(Database!NA34/(Database!NA36)),0.0001)</f>
        <v>1E-4</v>
      </c>
      <c r="GB110" s="99">
        <f>IF(AND(Database!NC34&gt;1,Database!NC36&gt;1),100*(Database!NC34/(Database!NC36)),0.0001)</f>
        <v>1E-4</v>
      </c>
      <c r="GC110" s="99">
        <f>IF(AND(Database!NE34&gt;1,Database!NE36&gt;1),100*(Database!NE34/(Database!NE36)),0.0001)</f>
        <v>1E-4</v>
      </c>
      <c r="GD110" s="99">
        <f>IF(AND(Database!NG34&gt;1,Database!NG36&gt;1),100*(Database!NG34/(Database!NG36)),0.0001)</f>
        <v>1E-4</v>
      </c>
      <c r="GE110" s="99">
        <f>IF(AND(Database!NI34&gt;1,Database!NI36&gt;1),100*(Database!NI34/(Database!NI36)),0.0001)</f>
        <v>1E-4</v>
      </c>
      <c r="GF110" s="99">
        <f>IF(AND(Database!NK34&gt;1,Database!NK36&gt;1),100*(Database!NK34/(Database!NK36)),0.0001)</f>
        <v>1E-4</v>
      </c>
      <c r="GG110" s="99">
        <f>IF(AND(Database!NM34&gt;1,Database!NM36&gt;1),100*(Database!NM34/(Database!NM36)),0.0001)</f>
        <v>1E-4</v>
      </c>
      <c r="GH110" s="99">
        <f>IF(AND(Database!NO34&gt;1,Database!NO36&gt;1),100*(Database!NO34/(Database!NO36)),0.0001)</f>
        <v>1E-4</v>
      </c>
      <c r="GI110" s="99">
        <f>IF(AND(Database!NQ34&gt;1,Database!NQ36&gt;1),100*(Database!NQ34/(Database!NQ36)),0.0001)</f>
        <v>1E-4</v>
      </c>
      <c r="GJ110" s="99">
        <f>IF(AND(Database!NS34&gt;1,Database!NS36&gt;1),100*(Database!NS34/(Database!NS36)),0.0001)</f>
        <v>1E-4</v>
      </c>
      <c r="GK110" s="99">
        <f>IF(AND(Database!NU34&gt;1,Database!NU36&gt;1),100*(Database!NU34/(Database!NU36)),0.0001)</f>
        <v>1E-4</v>
      </c>
      <c r="GL110" s="99">
        <f>IF(AND(Database!NW34&gt;1,Database!NW36&gt;1),100*(Database!NW34/(Database!NW36)),0.0001)</f>
        <v>1E-4</v>
      </c>
      <c r="GM110" s="99">
        <f>IF(AND(Database!NY34&gt;1,Database!NY36&gt;1),100*(Database!NY34/(Database!NY36)),0.0001)</f>
        <v>1E-4</v>
      </c>
      <c r="GN110" s="99">
        <f>IF(AND(Database!OA34&gt;1,Database!OA36&gt;1),100*(Database!OA34/(Database!OA36)),0.0001)</f>
        <v>1E-4</v>
      </c>
      <c r="GO110" s="99">
        <f>IF(AND(Database!OC34&gt;1,Database!OC36&gt;1),100*(Database!OC34/(Database!OC36)),0.0001)</f>
        <v>1E-4</v>
      </c>
      <c r="GP110" s="99">
        <f>IF(AND(Database!OE34&gt;1,Database!OE36&gt;1),100*(Database!OE34/(Database!OE36)),0.0001)</f>
        <v>1E-4</v>
      </c>
      <c r="GQ110" s="99">
        <f>IF(AND(Database!OG34&gt;1,Database!OG36&gt;1),100*(Database!OG34/(Database!OG36)),0.0001)</f>
        <v>1E-4</v>
      </c>
      <c r="GR110" s="99">
        <f>IF(AND(Database!OI34&gt;1,Database!OI36&gt;1),100*(Database!OI34/(Database!OI36)),0.0001)</f>
        <v>1E-4</v>
      </c>
      <c r="GS110" s="99">
        <f>IF(AND(Database!OK34&gt;1,Database!OK36&gt;1),100*(Database!OK34/(Database!OK36)),0.0001)</f>
        <v>1E-4</v>
      </c>
      <c r="GT110" s="99">
        <f>IF(AND(Database!OM34&gt;1,Database!OM36&gt;1),100*(Database!OM34/(Database!OM36)),0.0001)</f>
        <v>1E-4</v>
      </c>
    </row>
    <row r="111" spans="1:202" ht="18.75" customHeight="1" x14ac:dyDescent="0.4">
      <c r="A111" s="29" t="s">
        <v>121</v>
      </c>
      <c r="B111" s="306"/>
      <c r="C111" s="99">
        <f>IF(AND(Database!E36&gt;1,Database!E37&gt;1),100*(Database!E36/(Database!E37)),0.0001)</f>
        <v>276.69087903962424</v>
      </c>
      <c r="D111" s="99">
        <f>IF(AND(Database!G36&gt;1,Database!G37&gt;1),100*(Database!G36/(Database!G37)),0.0001)</f>
        <v>211.64987405541561</v>
      </c>
      <c r="E111" s="99">
        <f>IF(AND(Database!I36&gt;1,Database!I37&gt;1),100*(Database!I36/(Database!I37)),0.0001)</f>
        <v>200.79946702198535</v>
      </c>
      <c r="F111" s="99">
        <f>IF(AND(Database!K36&gt;1,Database!K37&gt;1),100*(Database!K36/(Database!K37)),0.0001)</f>
        <v>217.93188663217236</v>
      </c>
      <c r="G111" s="99">
        <f>IF(AND(Database!M36&gt;1,Database!M37&gt;1),100*(Database!M36/(Database!M37)),0.0001)</f>
        <v>1E-4</v>
      </c>
      <c r="H111" s="99">
        <f>IF(AND(Database!O36&gt;1,Database!O37&gt;1),100*(Database!O36/(Database!O37)),0.0001)</f>
        <v>1E-4</v>
      </c>
      <c r="I111" s="99">
        <f>IF(AND(Database!Q36&gt;1,Database!Q37&gt;1),100*(Database!Q36/(Database!Q37)),0.0001)</f>
        <v>1E-4</v>
      </c>
      <c r="J111" s="99">
        <f>IF(AND(Database!S36&gt;1,Database!S37&gt;1),100*(Database!S36/(Database!S37)),0.0001)</f>
        <v>1E-4</v>
      </c>
      <c r="K111" s="99">
        <f>IF(AND(Database!U36&gt;1,Database!U37&gt;1),100*(Database!U36/(Database!U37)),0.0001)</f>
        <v>1E-4</v>
      </c>
      <c r="L111" s="99">
        <f>IF(AND(Database!W36&gt;1,Database!W37&gt;1),100*(Database!W36/(Database!W37)),0.0001)</f>
        <v>1E-4</v>
      </c>
      <c r="M111" s="99">
        <f>IF(AND(Database!Y36&gt;1,Database!Y37&gt;1),100*(Database!Y36/(Database!Y37)),0.0001)</f>
        <v>1E-4</v>
      </c>
      <c r="N111" s="99">
        <f>IF(AND(Database!AA36&gt;1,Database!AA37&gt;1),100*(Database!AA36/(Database!AA37)),0.0001)</f>
        <v>1E-4</v>
      </c>
      <c r="O111" s="99">
        <f>IF(AND(Database!AC36&gt;1,Database!AC37&gt;1),100*(Database!AC36/(Database!AC37)),0.0001)</f>
        <v>1E-4</v>
      </c>
      <c r="P111" s="99">
        <f>IF(AND(Database!AE36&gt;1,Database!AE37&gt;1),100*(Database!AE36/(Database!AE37)),0.0001)</f>
        <v>1E-4</v>
      </c>
      <c r="Q111" s="99">
        <f>IF(AND(Database!AG36&gt;1,Database!AG37&gt;1),100*(Database!AG36/(Database!AG37)),0.0001)</f>
        <v>1E-4</v>
      </c>
      <c r="R111" s="99">
        <f>IF(AND(Database!AI36&gt;1,Database!AI37&gt;1),100*(Database!AI36/(Database!AI37)),0.0001)</f>
        <v>1E-4</v>
      </c>
      <c r="S111" s="99">
        <f>IF(AND(Database!AK36&gt;1,Database!AK37&gt;1),100*(Database!AK36/(Database!AK37)),0.0001)</f>
        <v>1E-4</v>
      </c>
      <c r="T111" s="99">
        <f>IF(AND(Database!AM36&gt;1,Database!AM37&gt;1),100*(Database!AM36/(Database!AM37)),0.0001)</f>
        <v>1E-4</v>
      </c>
      <c r="U111" s="99">
        <f>IF(AND(Database!AO36&gt;1,Database!AO37&gt;1),100*(Database!AO36/(Database!AO37)),0.0001)</f>
        <v>1E-4</v>
      </c>
      <c r="V111" s="99">
        <f>IF(AND(Database!AQ36&gt;1,Database!AQ37&gt;1),100*(Database!AQ36/(Database!AQ37)),0.0001)</f>
        <v>1E-4</v>
      </c>
      <c r="W111" s="99">
        <f>IF(AND(Database!AS36&gt;1,Database!AS37&gt;1),100*(Database!AS36/(Database!AS37)),0.0001)</f>
        <v>1E-4</v>
      </c>
      <c r="X111" s="99">
        <f>IF(AND(Database!AU36&gt;1,Database!AU37&gt;1),100*(Database!AU36/(Database!AU37)),0.0001)</f>
        <v>1E-4</v>
      </c>
      <c r="Y111" s="99">
        <f>IF(AND(Database!AW36&gt;1,Database!AW37&gt;1),100*(Database!AW36/(Database!AW37)),0.0001)</f>
        <v>1E-4</v>
      </c>
      <c r="Z111" s="99">
        <f>IF(AND(Database!AY36&gt;1,Database!AY37&gt;1),100*(Database!AY36/(Database!AY37)),0.0001)</f>
        <v>1E-4</v>
      </c>
      <c r="AA111" s="99">
        <f>IF(AND(Database!BA36&gt;1,Database!BA37&gt;1),100*(Database!BA36/(Database!BA37)),0.0001)</f>
        <v>1E-4</v>
      </c>
      <c r="AB111" s="99">
        <f>IF(AND(Database!BC36&gt;1,Database!BC37&gt;1),100*(Database!BC36/(Database!BC37)),0.0001)</f>
        <v>1E-4</v>
      </c>
      <c r="AC111" s="99">
        <f>IF(AND(Database!BE36&gt;1,Database!BE37&gt;1),100*(Database!BE36/(Database!BE37)),0.0001)</f>
        <v>1E-4</v>
      </c>
      <c r="AD111" s="99">
        <f>IF(AND(Database!BG36&gt;1,Database!BG37&gt;1),100*(Database!BG36/(Database!BG37)),0.0001)</f>
        <v>1E-4</v>
      </c>
      <c r="AE111" s="99">
        <f>IF(AND(Database!BI36&gt;1,Database!BI37&gt;1),100*(Database!BI36/(Database!BI37)),0.0001)</f>
        <v>1E-4</v>
      </c>
      <c r="AF111" s="99">
        <f>IF(AND(Database!BK36&gt;1,Database!BK37&gt;1),100*(Database!BK36/(Database!BK37)),0.0001)</f>
        <v>1E-4</v>
      </c>
      <c r="AG111" s="99">
        <f>IF(AND(Database!BM36&gt;1,Database!BM37&gt;1),100*(Database!BM36/(Database!BM37)),0.0001)</f>
        <v>1E-4</v>
      </c>
      <c r="AH111" s="99">
        <f>IF(AND(Database!BO36&gt;1,Database!BO37&gt;1),100*(Database!BO36/(Database!BO37)),0.0001)</f>
        <v>1E-4</v>
      </c>
      <c r="AI111" s="99">
        <f>IF(AND(Database!BQ36&gt;1,Database!BQ37&gt;1),100*(Database!BQ36/(Database!BQ37)),0.0001)</f>
        <v>1E-4</v>
      </c>
      <c r="AJ111" s="99">
        <f>IF(AND(Database!BS36&gt;1,Database!BS37&gt;1),100*(Database!BS36/(Database!BS37)),0.0001)</f>
        <v>1E-4</v>
      </c>
      <c r="AK111" s="99">
        <f>IF(AND(Database!BU36&gt;1,Database!BU37&gt;1),100*(Database!BU36/(Database!BU37)),0.0001)</f>
        <v>1E-4</v>
      </c>
      <c r="AL111" s="99">
        <f>IF(AND(Database!BW36&gt;1,Database!BW37&gt;1),100*(Database!BW36/(Database!BW37)),0.0001)</f>
        <v>1E-4</v>
      </c>
      <c r="AM111" s="99">
        <f>IF(AND(Database!BY36&gt;1,Database!BY37&gt;1),100*(Database!BY36/(Database!BY37)),0.0001)</f>
        <v>1E-4</v>
      </c>
      <c r="AN111" s="99">
        <f>IF(AND(Database!CA36&gt;1,Database!CA37&gt;1),100*(Database!CA36/(Database!CA37)),0.0001)</f>
        <v>1E-4</v>
      </c>
      <c r="AO111" s="99">
        <f>IF(AND(Database!CC36&gt;1,Database!CC37&gt;1),100*(Database!CC36/(Database!CC37)),0.0001)</f>
        <v>1E-4</v>
      </c>
      <c r="AP111" s="99">
        <f>IF(AND(Database!CE36&gt;1,Database!CE37&gt;1),100*(Database!CE36/(Database!CE37)),0.0001)</f>
        <v>1E-4</v>
      </c>
      <c r="AQ111" s="99">
        <f>IF(AND(Database!CG36&gt;1,Database!CG37&gt;1),100*(Database!CG36/(Database!CG37)),0.0001)</f>
        <v>1E-4</v>
      </c>
      <c r="AR111" s="99">
        <f>IF(AND(Database!CI36&gt;1,Database!CI37&gt;1),100*(Database!CI36/(Database!CI37)),0.0001)</f>
        <v>1E-4</v>
      </c>
      <c r="AS111" s="99">
        <f>IF(AND(Database!CK36&gt;1,Database!CK37&gt;1),100*(Database!CK36/(Database!CK37)),0.0001)</f>
        <v>1E-4</v>
      </c>
      <c r="AT111" s="99">
        <f>IF(AND(Database!CM36&gt;1,Database!CM37&gt;1),100*(Database!CM36/(Database!CM37)),0.0001)</f>
        <v>1E-4</v>
      </c>
      <c r="AU111" s="99">
        <f>IF(AND(Database!CO36&gt;1,Database!CO37&gt;1),100*(Database!CO36/(Database!CO37)),0.0001)</f>
        <v>1E-4</v>
      </c>
      <c r="AV111" s="99">
        <f>IF(AND(Database!CQ36&gt;1,Database!CQ37&gt;1),100*(Database!CQ36/(Database!CQ37)),0.0001)</f>
        <v>1E-4</v>
      </c>
      <c r="AW111" s="99">
        <f>IF(AND(Database!CS36&gt;1,Database!CS37&gt;1),100*(Database!CS36/(Database!CS37)),0.0001)</f>
        <v>1E-4</v>
      </c>
      <c r="AX111" s="99">
        <f>IF(AND(Database!CU36&gt;1,Database!CU37&gt;1),100*(Database!CU36/(Database!CU37)),0.0001)</f>
        <v>1E-4</v>
      </c>
      <c r="AY111" s="99">
        <f>IF(AND(Database!CW36&gt;1,Database!CW37&gt;1),100*(Database!CW36/(Database!CW37)),0.0001)</f>
        <v>1E-4</v>
      </c>
      <c r="AZ111" s="99">
        <f>IF(AND(Database!CY36&gt;1,Database!CY37&gt;1),100*(Database!CY36/(Database!CY37)),0.0001)</f>
        <v>1E-4</v>
      </c>
      <c r="BA111" s="99">
        <f>IF(AND(Database!DA36&gt;1,Database!DA37&gt;1),100*(Database!DA36/(Database!DA37)),0.0001)</f>
        <v>1E-4</v>
      </c>
      <c r="BB111" s="99">
        <f>IF(AND(Database!DC36&gt;1,Database!DC37&gt;1),100*(Database!DC36/(Database!DC37)),0.0001)</f>
        <v>1E-4</v>
      </c>
      <c r="BC111" s="99">
        <f>IF(AND(Database!DE36&gt;1,Database!DE37&gt;1),100*(Database!DE36/(Database!DE37)),0.0001)</f>
        <v>1E-4</v>
      </c>
      <c r="BD111" s="99">
        <f>IF(AND(Database!DG36&gt;1,Database!DG37&gt;1),100*(Database!DG36/(Database!DG37)),0.0001)</f>
        <v>1E-4</v>
      </c>
      <c r="BE111" s="99">
        <f>IF(AND(Database!DI36&gt;1,Database!DI37&gt;1),100*(Database!DI36/(Database!DI37)),0.0001)</f>
        <v>1E-4</v>
      </c>
      <c r="BF111" s="99">
        <f>IF(AND(Database!DK36&gt;1,Database!DK37&gt;1),100*(Database!DK36/(Database!DK37)),0.0001)</f>
        <v>1E-4</v>
      </c>
      <c r="BG111" s="99">
        <f>IF(AND(Database!DM36&gt;1,Database!DM37&gt;1),100*(Database!DM36/(Database!DM37)),0.0001)</f>
        <v>1E-4</v>
      </c>
      <c r="BH111" s="99">
        <f>IF(AND(Database!DO36&gt;1,Database!DO37&gt;1),100*(Database!DO36/(Database!DO37)),0.0001)</f>
        <v>1E-4</v>
      </c>
      <c r="BI111" s="99">
        <f>IF(AND(Database!DQ36&gt;1,Database!DQ37&gt;1),100*(Database!DQ36/(Database!DQ37)),0.0001)</f>
        <v>1E-4</v>
      </c>
      <c r="BJ111" s="99">
        <f>IF(AND(Database!DS36&gt;1,Database!DS37&gt;1),100*(Database!DS36/(Database!DS37)),0.0001)</f>
        <v>1E-4</v>
      </c>
      <c r="BK111" s="99">
        <f>IF(AND(Database!DU36&gt;1,Database!DU37&gt;1),100*(Database!DU36/(Database!DU37)),0.0001)</f>
        <v>1E-4</v>
      </c>
      <c r="BL111" s="99">
        <f>IF(AND(Database!DW36&gt;1,Database!DW37&gt;1),100*(Database!DW36/(Database!DW37)),0.0001)</f>
        <v>1E-4</v>
      </c>
      <c r="BM111" s="99">
        <f>IF(AND(Database!DY36&gt;1,Database!DY37&gt;1),100*(Database!DY36/(Database!DY37)),0.0001)</f>
        <v>1E-4</v>
      </c>
      <c r="BN111" s="99">
        <f>IF(AND(Database!EA36&gt;1,Database!EA37&gt;1),100*(Database!EA36/(Database!EA37)),0.0001)</f>
        <v>1E-4</v>
      </c>
      <c r="BO111" s="99">
        <f>IF(AND(Database!EC36&gt;1,Database!EC37&gt;1),100*(Database!EC36/(Database!EC37)),0.0001)</f>
        <v>1E-4</v>
      </c>
      <c r="BP111" s="99">
        <f>IF(AND(Database!EE36&gt;1,Database!EE37&gt;1),100*(Database!EE36/(Database!EE37)),0.0001)</f>
        <v>1E-4</v>
      </c>
      <c r="BQ111" s="99">
        <f>IF(AND(Database!EG36&gt;1,Database!EG37&gt;1),100*(Database!EG36/(Database!EG37)),0.0001)</f>
        <v>1E-4</v>
      </c>
      <c r="BR111" s="99">
        <f>IF(AND(Database!EI36&gt;1,Database!EI37&gt;1),100*(Database!EI36/(Database!EI37)),0.0001)</f>
        <v>1E-4</v>
      </c>
      <c r="BS111" s="99">
        <f>IF(AND(Database!EK36&gt;1,Database!EK37&gt;1),100*(Database!EK36/(Database!EK37)),0.0001)</f>
        <v>1E-4</v>
      </c>
      <c r="BT111" s="99">
        <f>IF(AND(Database!EM36&gt;1,Database!EM37&gt;1),100*(Database!EM36/(Database!EM37)),0.0001)</f>
        <v>1E-4</v>
      </c>
      <c r="BU111" s="99">
        <f>IF(AND(Database!EO36&gt;1,Database!EO37&gt;1),100*(Database!EO36/(Database!EO37)),0.0001)</f>
        <v>1E-4</v>
      </c>
      <c r="BV111" s="99">
        <f>IF(AND(Database!EQ36&gt;1,Database!EQ37&gt;1),100*(Database!EQ36/(Database!EQ37)),0.0001)</f>
        <v>1E-4</v>
      </c>
      <c r="BW111" s="99">
        <f>IF(AND(Database!ES36&gt;1,Database!ES37&gt;1),100*(Database!ES36/(Database!ES37)),0.0001)</f>
        <v>1E-4</v>
      </c>
      <c r="BX111" s="99">
        <f>IF(AND(Database!EU36&gt;1,Database!EU37&gt;1),100*(Database!EU36/(Database!EU37)),0.0001)</f>
        <v>1E-4</v>
      </c>
      <c r="BY111" s="99">
        <f>IF(AND(Database!EW36&gt;1,Database!EW37&gt;1),100*(Database!EW36/(Database!EW37)),0.0001)</f>
        <v>1E-4</v>
      </c>
      <c r="BZ111" s="99">
        <f>IF(AND(Database!EY36&gt;1,Database!EY37&gt;1),100*(Database!EY36/(Database!EY37)),0.0001)</f>
        <v>1E-4</v>
      </c>
      <c r="CA111" s="99">
        <f>IF(AND(Database!FA36&gt;1,Database!FA37&gt;1),100*(Database!FA36/(Database!FA37)),0.0001)</f>
        <v>1E-4</v>
      </c>
      <c r="CB111" s="99">
        <f>IF(AND(Database!FC36&gt;1,Database!FC37&gt;1),100*(Database!FC36/(Database!FC37)),0.0001)</f>
        <v>1E-4</v>
      </c>
      <c r="CC111" s="99">
        <f>IF(AND(Database!FE36&gt;1,Database!FE37&gt;1),100*(Database!FE36/(Database!FE37)),0.0001)</f>
        <v>1E-4</v>
      </c>
      <c r="CD111" s="99">
        <f>IF(AND(Database!FG36&gt;1,Database!FG37&gt;1),100*(Database!FG36/(Database!FG37)),0.0001)</f>
        <v>1E-4</v>
      </c>
      <c r="CE111" s="99">
        <f>IF(AND(Database!FI36&gt;1,Database!FI37&gt;1),100*(Database!FI36/(Database!FI37)),0.0001)</f>
        <v>1E-4</v>
      </c>
      <c r="CF111" s="99">
        <f>IF(AND(Database!FK36&gt;1,Database!FK37&gt;1),100*(Database!FK36/(Database!FK37)),0.0001)</f>
        <v>1E-4</v>
      </c>
      <c r="CG111" s="99">
        <f>IF(AND(Database!FM36&gt;1,Database!FM37&gt;1),100*(Database!FM36/(Database!FM37)),0.0001)</f>
        <v>1E-4</v>
      </c>
      <c r="CH111" s="99">
        <f>IF(AND(Database!FO36&gt;1,Database!FO37&gt;1),100*(Database!FO36/(Database!FO37)),0.0001)</f>
        <v>1E-4</v>
      </c>
      <c r="CI111" s="99">
        <f>IF(AND(Database!FQ36&gt;1,Database!FQ37&gt;1),100*(Database!FQ36/(Database!FQ37)),0.0001)</f>
        <v>1E-4</v>
      </c>
      <c r="CJ111" s="99">
        <f>IF(AND(Database!FS36&gt;1,Database!FS37&gt;1),100*(Database!FS36/(Database!FS37)),0.0001)</f>
        <v>1E-4</v>
      </c>
      <c r="CK111" s="99">
        <f>IF(AND(Database!FU36&gt;1,Database!FU37&gt;1),100*(Database!FU36/(Database!FU37)),0.0001)</f>
        <v>1E-4</v>
      </c>
      <c r="CL111" s="99">
        <f>IF(AND(Database!FW36&gt;1,Database!FW37&gt;1),100*(Database!FW36/(Database!FW37)),0.0001)</f>
        <v>1E-4</v>
      </c>
      <c r="CM111" s="99">
        <f>IF(AND(Database!FY36&gt;1,Database!FY37&gt;1),100*(Database!FY36/(Database!FY37)),0.0001)</f>
        <v>1E-4</v>
      </c>
      <c r="CN111" s="99">
        <f>IF(AND(Database!GA36&gt;1,Database!GA37&gt;1),100*(Database!GA36/(Database!GA37)),0.0001)</f>
        <v>1E-4</v>
      </c>
      <c r="CO111" s="99">
        <f>IF(AND(Database!GC36&gt;1,Database!GC37&gt;1),100*(Database!GC36/(Database!GC37)),0.0001)</f>
        <v>1E-4</v>
      </c>
      <c r="CP111" s="99">
        <f>IF(AND(Database!GE36&gt;1,Database!GE37&gt;1),100*(Database!GE36/(Database!GE37)),0.0001)</f>
        <v>1E-4</v>
      </c>
      <c r="CQ111" s="99">
        <f>IF(AND(Database!GG36&gt;1,Database!GG37&gt;1),100*(Database!GG36/(Database!GG37)),0.0001)</f>
        <v>1E-4</v>
      </c>
      <c r="CR111" s="99">
        <f>IF(AND(Database!GI36&gt;1,Database!GI37&gt;1),100*(Database!GI36/(Database!GI37)),0.0001)</f>
        <v>1E-4</v>
      </c>
      <c r="CS111" s="99">
        <f>IF(AND(Database!GK36&gt;1,Database!GK37&gt;1),100*(Database!GK36/(Database!GK37)),0.0001)</f>
        <v>1E-4</v>
      </c>
      <c r="CT111" s="99">
        <f>IF(AND(Database!GM36&gt;1,Database!GM37&gt;1),100*(Database!GM36/(Database!GM37)),0.0001)</f>
        <v>1E-4</v>
      </c>
      <c r="CU111" s="99">
        <f>IF(AND(Database!GO36&gt;1,Database!GO37&gt;1),100*(Database!GO36/(Database!GO37)),0.0001)</f>
        <v>1E-4</v>
      </c>
      <c r="CV111" s="99">
        <f>IF(AND(Database!GQ36&gt;1,Database!GQ37&gt;1),100*(Database!GQ36/(Database!GQ37)),0.0001)</f>
        <v>1E-4</v>
      </c>
      <c r="CW111" s="99">
        <f>IF(AND(Database!GS36&gt;1,Database!GS37&gt;1),100*(Database!GS36/(Database!GS37)),0.0001)</f>
        <v>1E-4</v>
      </c>
      <c r="CX111" s="99">
        <f>IF(AND(Database!GU36&gt;1,Database!GU37&gt;1),100*(Database!GU36/(Database!GU37)),0.0001)</f>
        <v>1E-4</v>
      </c>
      <c r="CY111" s="99">
        <f>IF(AND(Database!GW36&gt;1,Database!GW37&gt;1),100*(Database!GW36/(Database!GW37)),0.0001)</f>
        <v>1E-4</v>
      </c>
      <c r="CZ111" s="99">
        <f>IF(AND(Database!GY36&gt;1,Database!GY37&gt;1),100*(Database!GY36/(Database!GY37)),0.0001)</f>
        <v>1E-4</v>
      </c>
      <c r="DA111" s="99">
        <f>IF(AND(Database!HA36&gt;1,Database!HA37&gt;1),100*(Database!HA36/(Database!HA37)),0.0001)</f>
        <v>1E-4</v>
      </c>
      <c r="DB111" s="99">
        <f>IF(AND(Database!HC36&gt;1,Database!HC37&gt;1),100*(Database!HC36/(Database!HC37)),0.0001)</f>
        <v>1E-4</v>
      </c>
      <c r="DC111" s="99">
        <f>IF(AND(Database!HE36&gt;1,Database!HE37&gt;1),100*(Database!HE36/(Database!HE37)),0.0001)</f>
        <v>1E-4</v>
      </c>
      <c r="DD111" s="99">
        <f>IF(AND(Database!HG36&gt;1,Database!HG37&gt;1),100*(Database!HG36/(Database!HG37)),0.0001)</f>
        <v>1E-4</v>
      </c>
      <c r="DE111" s="99">
        <f>IF(AND(Database!HI36&gt;1,Database!HI37&gt;1),100*(Database!HI36/(Database!HI37)),0.0001)</f>
        <v>1E-4</v>
      </c>
      <c r="DF111" s="99">
        <f>IF(AND(Database!HK36&gt;1,Database!HK37&gt;1),100*(Database!HK36/(Database!HK37)),0.0001)</f>
        <v>1E-4</v>
      </c>
      <c r="DG111" s="99">
        <f>IF(AND(Database!HM36&gt;1,Database!HM37&gt;1),100*(Database!HM36/(Database!HM37)),0.0001)</f>
        <v>1E-4</v>
      </c>
      <c r="DH111" s="99">
        <f>IF(AND(Database!HO36&gt;1,Database!HO37&gt;1),100*(Database!HO36/(Database!HO37)),0.0001)</f>
        <v>1E-4</v>
      </c>
      <c r="DI111" s="99">
        <f>IF(AND(Database!HQ36&gt;1,Database!HQ37&gt;1),100*(Database!HQ36/(Database!HQ37)),0.0001)</f>
        <v>1E-4</v>
      </c>
      <c r="DJ111" s="99">
        <f>IF(AND(Database!HS36&gt;1,Database!HS37&gt;1),100*(Database!HS36/(Database!HS37)),0.0001)</f>
        <v>1E-4</v>
      </c>
      <c r="DK111" s="99">
        <f>IF(AND(Database!HU36&gt;1,Database!HU37&gt;1),100*(Database!HU36/(Database!HU37)),0.0001)</f>
        <v>1E-4</v>
      </c>
      <c r="DL111" s="99">
        <f>IF(AND(Database!HW36&gt;1,Database!HW37&gt;1),100*(Database!HW36/(Database!HW37)),0.0001)</f>
        <v>1E-4</v>
      </c>
      <c r="DM111" s="99">
        <f>IF(AND(Database!HY36&gt;1,Database!HY37&gt;1),100*(Database!HY36/(Database!HY37)),0.0001)</f>
        <v>1E-4</v>
      </c>
      <c r="DN111" s="99">
        <f>IF(AND(Database!IA36&gt;1,Database!IA37&gt;1),100*(Database!IA36/(Database!IA37)),0.0001)</f>
        <v>1E-4</v>
      </c>
      <c r="DO111" s="99">
        <f>IF(AND(Database!IC36&gt;1,Database!IC37&gt;1),100*(Database!IC36/(Database!IC37)),0.0001)</f>
        <v>1E-4</v>
      </c>
      <c r="DP111" s="99">
        <f>IF(AND(Database!IE36&gt;1,Database!IE37&gt;1),100*(Database!IE36/(Database!IE37)),0.0001)</f>
        <v>1E-4</v>
      </c>
      <c r="DQ111" s="99">
        <f>IF(AND(Database!IG36&gt;1,Database!IG37&gt;1),100*(Database!IG36/(Database!IG37)),0.0001)</f>
        <v>1E-4</v>
      </c>
      <c r="DR111" s="99">
        <f>IF(AND(Database!II36&gt;1,Database!II37&gt;1),100*(Database!II36/(Database!II37)),0.0001)</f>
        <v>1E-4</v>
      </c>
      <c r="DS111" s="99">
        <f>IF(AND(Database!IK36&gt;1,Database!IK37&gt;1),100*(Database!IK36/(Database!IK37)),0.0001)</f>
        <v>1E-4</v>
      </c>
      <c r="DT111" s="99">
        <f>IF(AND(Database!IM36&gt;1,Database!IM37&gt;1),100*(Database!IM36/(Database!IM37)),0.0001)</f>
        <v>1E-4</v>
      </c>
      <c r="DU111" s="99">
        <f>IF(AND(Database!IO36&gt;1,Database!IO37&gt;1),100*(Database!IO36/(Database!IO37)),0.0001)</f>
        <v>1E-4</v>
      </c>
      <c r="DV111" s="99">
        <f>IF(AND(Database!IQ36&gt;1,Database!IQ37&gt;1),100*(Database!IQ36/(Database!IQ37)),0.0001)</f>
        <v>1E-4</v>
      </c>
      <c r="DW111" s="99">
        <f>IF(AND(Database!IS36&gt;1,Database!IS37&gt;1),100*(Database!IS36/(Database!IS37)),0.0001)</f>
        <v>1E-4</v>
      </c>
      <c r="DX111" s="99">
        <f>IF(AND(Database!IU36&gt;1,Database!IU37&gt;1),100*(Database!IU36/(Database!IU37)),0.0001)</f>
        <v>1E-4</v>
      </c>
      <c r="DY111" s="99">
        <f>IF(AND(Database!IW36&gt;1,Database!IW37&gt;1),100*(Database!IW36/(Database!IW37)),0.0001)</f>
        <v>1E-4</v>
      </c>
      <c r="DZ111" s="99">
        <f>IF(AND(Database!IY36&gt;1,Database!IY37&gt;1),100*(Database!IY36/(Database!IY37)),0.0001)</f>
        <v>1E-4</v>
      </c>
      <c r="EA111" s="99">
        <f>IF(AND(Database!JA36&gt;1,Database!JA37&gt;1),100*(Database!JA36/(Database!JA37)),0.0001)</f>
        <v>1E-4</v>
      </c>
      <c r="EB111" s="99">
        <f>IF(AND(Database!JC36&gt;1,Database!JC37&gt;1),100*(Database!JC36/(Database!JC37)),0.0001)</f>
        <v>1E-4</v>
      </c>
      <c r="EC111" s="99">
        <f>IF(AND(Database!JE36&gt;1,Database!JE37&gt;1),100*(Database!JE36/(Database!JE37)),0.0001)</f>
        <v>1E-4</v>
      </c>
      <c r="ED111" s="99">
        <f>IF(AND(Database!JG36&gt;1,Database!JG37&gt;1),100*(Database!JG36/(Database!JG37)),0.0001)</f>
        <v>1E-4</v>
      </c>
      <c r="EE111" s="99">
        <f>IF(AND(Database!JI36&gt;1,Database!JI37&gt;1),100*(Database!JI36/(Database!JI37)),0.0001)</f>
        <v>1E-4</v>
      </c>
      <c r="EF111" s="99">
        <f>IF(AND(Database!JK36&gt;1,Database!JK37&gt;1),100*(Database!JK36/(Database!JK37)),0.0001)</f>
        <v>1E-4</v>
      </c>
      <c r="EG111" s="99">
        <f>IF(AND(Database!JM36&gt;1,Database!JM37&gt;1),100*(Database!JM36/(Database!JM37)),0.0001)</f>
        <v>1E-4</v>
      </c>
      <c r="EH111" s="99">
        <f>IF(AND(Database!JO36&gt;1,Database!JO37&gt;1),100*(Database!JO36/(Database!JO37)),0.0001)</f>
        <v>1E-4</v>
      </c>
      <c r="EI111" s="99">
        <f>IF(AND(Database!JQ36&gt;1,Database!JQ37&gt;1),100*(Database!JQ36/(Database!JQ37)),0.0001)</f>
        <v>1E-4</v>
      </c>
      <c r="EJ111" s="99">
        <f>IF(AND(Database!JS36&gt;1,Database!JS37&gt;1),100*(Database!JS36/(Database!JS37)),0.0001)</f>
        <v>1E-4</v>
      </c>
      <c r="EK111" s="99">
        <f>IF(AND(Database!JU36&gt;1,Database!JU37&gt;1),100*(Database!JU36/(Database!JU37)),0.0001)</f>
        <v>1E-4</v>
      </c>
      <c r="EL111" s="99">
        <f>IF(AND(Database!JW36&gt;1,Database!JW37&gt;1),100*(Database!JW36/(Database!JW37)),0.0001)</f>
        <v>1E-4</v>
      </c>
      <c r="EM111" s="99">
        <f>IF(AND(Database!JY36&gt;1,Database!JY37&gt;1),100*(Database!JY36/(Database!JY37)),0.0001)</f>
        <v>1E-4</v>
      </c>
      <c r="EN111" s="99">
        <f>IF(AND(Database!KA36&gt;1,Database!KA37&gt;1),100*(Database!KA36/(Database!KA37)),0.0001)</f>
        <v>1E-4</v>
      </c>
      <c r="EO111" s="99">
        <f>IF(AND(Database!KC36&gt;1,Database!KC37&gt;1),100*(Database!KC36/(Database!KC37)),0.0001)</f>
        <v>1E-4</v>
      </c>
      <c r="EP111" s="99">
        <f>IF(AND(Database!KE36&gt;1,Database!KE37&gt;1),100*(Database!KE36/(Database!KE37)),0.0001)</f>
        <v>1E-4</v>
      </c>
      <c r="EQ111" s="99">
        <f>IF(AND(Database!KG36&gt;1,Database!KG37&gt;1),100*(Database!KG36/(Database!KG37)),0.0001)</f>
        <v>1E-4</v>
      </c>
      <c r="ER111" s="99">
        <f>IF(AND(Database!KI36&gt;1,Database!KI37&gt;1),100*(Database!KI36/(Database!KI37)),0.0001)</f>
        <v>1E-4</v>
      </c>
      <c r="ES111" s="99">
        <f>IF(AND(Database!KK36&gt;1,Database!KK37&gt;1),100*(Database!KK36/(Database!KK37)),0.0001)</f>
        <v>1E-4</v>
      </c>
      <c r="ET111" s="99">
        <f>IF(AND(Database!KM36&gt;1,Database!KM37&gt;1),100*(Database!KM36/(Database!KM37)),0.0001)</f>
        <v>1E-4</v>
      </c>
      <c r="EU111" s="99">
        <f>IF(AND(Database!KO36&gt;1,Database!KO37&gt;1),100*(Database!KO36/(Database!KO37)),0.0001)</f>
        <v>1E-4</v>
      </c>
      <c r="EV111" s="99">
        <f>IF(AND(Database!KQ36&gt;1,Database!KQ37&gt;1),100*(Database!KQ36/(Database!KQ37)),0.0001)</f>
        <v>1E-4</v>
      </c>
      <c r="EW111" s="99">
        <f>IF(AND(Database!KS36&gt;1,Database!KS37&gt;1),100*(Database!KS36/(Database!KS37)),0.0001)</f>
        <v>1E-4</v>
      </c>
      <c r="EX111" s="99">
        <f>IF(AND(Database!KU36&gt;1,Database!KU37&gt;1),100*(Database!KU36/(Database!KU37)),0.0001)</f>
        <v>1E-4</v>
      </c>
      <c r="EY111" s="99">
        <f>IF(AND(Database!KW36&gt;1,Database!KW37&gt;1),100*(Database!KW36/(Database!KW37)),0.0001)</f>
        <v>1E-4</v>
      </c>
      <c r="EZ111" s="99">
        <f>IF(AND(Database!KY36&gt;1,Database!KY37&gt;1),100*(Database!KY36/(Database!KY37)),0.0001)</f>
        <v>1E-4</v>
      </c>
      <c r="FA111" s="99">
        <f>IF(AND(Database!LA36&gt;1,Database!LA37&gt;1),100*(Database!LA36/(Database!LA37)),0.0001)</f>
        <v>1E-4</v>
      </c>
      <c r="FB111" s="99">
        <f>IF(AND(Database!LC36&gt;1,Database!LC37&gt;1),100*(Database!LC36/(Database!LC37)),0.0001)</f>
        <v>1E-4</v>
      </c>
      <c r="FC111" s="99">
        <f>IF(AND(Database!LE36&gt;1,Database!LE37&gt;1),100*(Database!LE36/(Database!LE37)),0.0001)</f>
        <v>1E-4</v>
      </c>
      <c r="FD111" s="99">
        <f>IF(AND(Database!LG36&gt;1,Database!LG37&gt;1),100*(Database!LG36/(Database!LG37)),0.0001)</f>
        <v>1E-4</v>
      </c>
      <c r="FE111" s="99">
        <f>IF(AND(Database!LI36&gt;1,Database!LI37&gt;1),100*(Database!LI36/(Database!LI37)),0.0001)</f>
        <v>1E-4</v>
      </c>
      <c r="FF111" s="99">
        <f>IF(AND(Database!LK36&gt;1,Database!LK37&gt;1),100*(Database!LK36/(Database!LK37)),0.0001)</f>
        <v>1E-4</v>
      </c>
      <c r="FG111" s="99">
        <f>IF(AND(Database!LM36&gt;1,Database!LM37&gt;1),100*(Database!LM36/(Database!LM37)),0.0001)</f>
        <v>1E-4</v>
      </c>
      <c r="FH111" s="99">
        <f>IF(AND(Database!LO36&gt;1,Database!LO37&gt;1),100*(Database!LO36/(Database!LO37)),0.0001)</f>
        <v>1E-4</v>
      </c>
      <c r="FI111" s="99">
        <f>IF(AND(Database!LQ36&gt;1,Database!LQ37&gt;1),100*(Database!LQ36/(Database!LQ37)),0.0001)</f>
        <v>1E-4</v>
      </c>
      <c r="FJ111" s="99">
        <f>IF(AND(Database!LS36&gt;1,Database!LS37&gt;1),100*(Database!LS36/(Database!LS37)),0.0001)</f>
        <v>1E-4</v>
      </c>
      <c r="FK111" s="99">
        <f>IF(AND(Database!LU36&gt;1,Database!LU37&gt;1),100*(Database!LU36/(Database!LU37)),0.0001)</f>
        <v>1E-4</v>
      </c>
      <c r="FL111" s="99">
        <f>IF(AND(Database!LW36&gt;1,Database!LW37&gt;1),100*(Database!LW36/(Database!LW37)),0.0001)</f>
        <v>1E-4</v>
      </c>
      <c r="FM111" s="99">
        <f>IF(AND(Database!LY36&gt;1,Database!LY37&gt;1),100*(Database!LY36/(Database!LY37)),0.0001)</f>
        <v>1E-4</v>
      </c>
      <c r="FN111" s="99">
        <f>IF(AND(Database!MA36&gt;1,Database!MA37&gt;1),100*(Database!MA36/(Database!MA37)),0.0001)</f>
        <v>1E-4</v>
      </c>
      <c r="FO111" s="99">
        <f>IF(AND(Database!MC36&gt;1,Database!MC37&gt;1),100*(Database!MC36/(Database!MC37)),0.0001)</f>
        <v>1E-4</v>
      </c>
      <c r="FP111" s="99">
        <f>IF(AND(Database!ME36&gt;1,Database!ME37&gt;1),100*(Database!ME36/(Database!ME37)),0.0001)</f>
        <v>1E-4</v>
      </c>
      <c r="FQ111" s="99">
        <f>IF(AND(Database!MG36&gt;1,Database!MG37&gt;1),100*(Database!MG36/(Database!MG37)),0.0001)</f>
        <v>1E-4</v>
      </c>
      <c r="FR111" s="99">
        <f>IF(AND(Database!MI36&gt;1,Database!MI37&gt;1),100*(Database!MI36/(Database!MI37)),0.0001)</f>
        <v>1E-4</v>
      </c>
      <c r="FS111" s="99">
        <f>IF(AND(Database!MK36&gt;1,Database!MK37&gt;1),100*(Database!MK36/(Database!MK37)),0.0001)</f>
        <v>1E-4</v>
      </c>
      <c r="FT111" s="99">
        <f>IF(AND(Database!MM36&gt;1,Database!MM37&gt;1),100*(Database!MM36/(Database!MM37)),0.0001)</f>
        <v>1E-4</v>
      </c>
      <c r="FU111" s="99">
        <f>IF(AND(Database!MO36&gt;1,Database!MO37&gt;1),100*(Database!MO36/(Database!MO37)),0.0001)</f>
        <v>1E-4</v>
      </c>
      <c r="FV111" s="99">
        <f>IF(AND(Database!MQ36&gt;1,Database!MQ37&gt;1),100*(Database!MQ36/(Database!MQ37)),0.0001)</f>
        <v>1E-4</v>
      </c>
      <c r="FW111" s="99">
        <f>IF(AND(Database!MS36&gt;1,Database!MS37&gt;1),100*(Database!MS36/(Database!MS37)),0.0001)</f>
        <v>1E-4</v>
      </c>
      <c r="FX111" s="99">
        <f>IF(AND(Database!MU36&gt;1,Database!MU37&gt;1),100*(Database!MU36/(Database!MU37)),0.0001)</f>
        <v>1E-4</v>
      </c>
      <c r="FY111" s="99">
        <f>IF(AND(Database!MW36&gt;1,Database!MW37&gt;1),100*(Database!MW36/(Database!MW37)),0.0001)</f>
        <v>1E-4</v>
      </c>
      <c r="FZ111" s="99">
        <f>IF(AND(Database!MY36&gt;1,Database!MY37&gt;1),100*(Database!MY36/(Database!MY37)),0.0001)</f>
        <v>1E-4</v>
      </c>
      <c r="GA111" s="99">
        <f>IF(AND(Database!NA36&gt;1,Database!NA37&gt;1),100*(Database!NA36/(Database!NA37)),0.0001)</f>
        <v>1E-4</v>
      </c>
      <c r="GB111" s="99">
        <f>IF(AND(Database!NC36&gt;1,Database!NC37&gt;1),100*(Database!NC36/(Database!NC37)),0.0001)</f>
        <v>1E-4</v>
      </c>
      <c r="GC111" s="99">
        <f>IF(AND(Database!NE36&gt;1,Database!NE37&gt;1),100*(Database!NE36/(Database!NE37)),0.0001)</f>
        <v>1E-4</v>
      </c>
      <c r="GD111" s="99">
        <f>IF(AND(Database!NG36&gt;1,Database!NG37&gt;1),100*(Database!NG36/(Database!NG37)),0.0001)</f>
        <v>1E-4</v>
      </c>
      <c r="GE111" s="99">
        <f>IF(AND(Database!NI36&gt;1,Database!NI37&gt;1),100*(Database!NI36/(Database!NI37)),0.0001)</f>
        <v>1E-4</v>
      </c>
      <c r="GF111" s="99">
        <f>IF(AND(Database!NK36&gt;1,Database!NK37&gt;1),100*(Database!NK36/(Database!NK37)),0.0001)</f>
        <v>1E-4</v>
      </c>
      <c r="GG111" s="99">
        <f>IF(AND(Database!NM36&gt;1,Database!NM37&gt;1),100*(Database!NM36/(Database!NM37)),0.0001)</f>
        <v>1E-4</v>
      </c>
      <c r="GH111" s="99">
        <f>IF(AND(Database!NO36&gt;1,Database!NO37&gt;1),100*(Database!NO36/(Database!NO37)),0.0001)</f>
        <v>1E-4</v>
      </c>
      <c r="GI111" s="99">
        <f>IF(AND(Database!NQ36&gt;1,Database!NQ37&gt;1),100*(Database!NQ36/(Database!NQ37)),0.0001)</f>
        <v>1E-4</v>
      </c>
      <c r="GJ111" s="99">
        <f>IF(AND(Database!NS36&gt;1,Database!NS37&gt;1),100*(Database!NS36/(Database!NS37)),0.0001)</f>
        <v>1E-4</v>
      </c>
      <c r="GK111" s="99">
        <f>IF(AND(Database!NU36&gt;1,Database!NU37&gt;1),100*(Database!NU36/(Database!NU37)),0.0001)</f>
        <v>1E-4</v>
      </c>
      <c r="GL111" s="99">
        <f>IF(AND(Database!NW36&gt;1,Database!NW37&gt;1),100*(Database!NW36/(Database!NW37)),0.0001)</f>
        <v>1E-4</v>
      </c>
      <c r="GM111" s="99">
        <f>IF(AND(Database!NY36&gt;1,Database!NY37&gt;1),100*(Database!NY36/(Database!NY37)),0.0001)</f>
        <v>1E-4</v>
      </c>
      <c r="GN111" s="99">
        <f>IF(AND(Database!OA36&gt;1,Database!OA37&gt;1),100*(Database!OA36/(Database!OA37)),0.0001)</f>
        <v>1E-4</v>
      </c>
      <c r="GO111" s="99">
        <f>IF(AND(Database!OC36&gt;1,Database!OC37&gt;1),100*(Database!OC36/(Database!OC37)),0.0001)</f>
        <v>1E-4</v>
      </c>
      <c r="GP111" s="99">
        <f>IF(AND(Database!OE36&gt;1,Database!OE37&gt;1),100*(Database!OE36/(Database!OE37)),0.0001)</f>
        <v>1E-4</v>
      </c>
      <c r="GQ111" s="99">
        <f>IF(AND(Database!OG36&gt;1,Database!OG37&gt;1),100*(Database!OG36/(Database!OG37)),0.0001)</f>
        <v>1E-4</v>
      </c>
      <c r="GR111" s="99">
        <f>IF(AND(Database!OI36&gt;1,Database!OI37&gt;1),100*(Database!OI36/(Database!OI37)),0.0001)</f>
        <v>1E-4</v>
      </c>
      <c r="GS111" s="99">
        <f>IF(AND(Database!OK36&gt;1,Database!OK37&gt;1),100*(Database!OK36/(Database!OK37)),0.0001)</f>
        <v>1E-4</v>
      </c>
      <c r="GT111" s="99">
        <f>IF(AND(Database!OM36&gt;1,Database!OM37&gt;1),100*(Database!OM36/(Database!OM37)),0.0001)</f>
        <v>1E-4</v>
      </c>
    </row>
    <row r="112" spans="1:202" ht="18.75" customHeight="1" x14ac:dyDescent="0.4">
      <c r="A112" s="29" t="s">
        <v>122</v>
      </c>
      <c r="B112" s="306"/>
      <c r="C112" s="99">
        <f>IF(AND(Database!E38&gt;1,Database!E41&gt;1),100*(Database!E38/(Database!E41)),0.0001)</f>
        <v>18.506991850614384</v>
      </c>
      <c r="D112" s="99">
        <f>IF(AND(Database!G38&gt;1,Database!G41&gt;1),100*(Database!G38/(Database!G41)),0.0001)</f>
        <v>13.867924528301886</v>
      </c>
      <c r="E112" s="99">
        <f>IF(AND(Database!I38&gt;1,Database!I41&gt;1),100*(Database!I38/(Database!I41)),0.0001)</f>
        <v>15.729900035007196</v>
      </c>
      <c r="F112" s="99">
        <f>IF(AND(Database!K38&gt;1,Database!K41&gt;1),100*(Database!K38/(Database!K41)),0.0001)</f>
        <v>15.942846068464913</v>
      </c>
      <c r="G112" s="99">
        <f>IF(AND(Database!M38&gt;1,Database!M41&gt;1),100*(Database!M38/(Database!M41)),0.0001)</f>
        <v>1E-4</v>
      </c>
      <c r="H112" s="99">
        <f>IF(AND(Database!O38&gt;1,Database!O41&gt;1),100*(Database!O38/(Database!O41)),0.0001)</f>
        <v>1E-4</v>
      </c>
      <c r="I112" s="99">
        <f>IF(AND(Database!Q38&gt;1,Database!Q41&gt;1),100*(Database!Q38/(Database!Q41)),0.0001)</f>
        <v>1E-4</v>
      </c>
      <c r="J112" s="99">
        <f>IF(AND(Database!S38&gt;1,Database!S41&gt;1),100*(Database!S38/(Database!S41)),0.0001)</f>
        <v>1E-4</v>
      </c>
      <c r="K112" s="99">
        <f>IF(AND(Database!U38&gt;1,Database!U41&gt;1),100*(Database!U38/(Database!U41)),0.0001)</f>
        <v>1E-4</v>
      </c>
      <c r="L112" s="99">
        <f>IF(AND(Database!W38&gt;1,Database!W41&gt;1),100*(Database!W38/(Database!W41)),0.0001)</f>
        <v>1E-4</v>
      </c>
      <c r="M112" s="99">
        <f>IF(AND(Database!Y38&gt;1,Database!Y41&gt;1),100*(Database!Y38/(Database!Y41)),0.0001)</f>
        <v>1E-4</v>
      </c>
      <c r="N112" s="99">
        <f>IF(AND(Database!AA38&gt;1,Database!AA41&gt;1),100*(Database!AA38/(Database!AA41)),0.0001)</f>
        <v>1E-4</v>
      </c>
      <c r="O112" s="99">
        <f>IF(AND(Database!AC38&gt;1,Database!AC41&gt;1),100*(Database!AC38/(Database!AC41)),0.0001)</f>
        <v>1E-4</v>
      </c>
      <c r="P112" s="99">
        <f>IF(AND(Database!AE38&gt;1,Database!AE41&gt;1),100*(Database!AE38/(Database!AE41)),0.0001)</f>
        <v>1E-4</v>
      </c>
      <c r="Q112" s="99">
        <f>IF(AND(Database!AG38&gt;1,Database!AG41&gt;1),100*(Database!AG38/(Database!AG41)),0.0001)</f>
        <v>1E-4</v>
      </c>
      <c r="R112" s="99">
        <f>IF(AND(Database!AI38&gt;1,Database!AI41&gt;1),100*(Database!AI38/(Database!AI41)),0.0001)</f>
        <v>1E-4</v>
      </c>
      <c r="S112" s="99">
        <f>IF(AND(Database!AK38&gt;1,Database!AK41&gt;1),100*(Database!AK38/(Database!AK41)),0.0001)</f>
        <v>1E-4</v>
      </c>
      <c r="T112" s="99">
        <f>IF(AND(Database!AM38&gt;1,Database!AM41&gt;1),100*(Database!AM38/(Database!AM41)),0.0001)</f>
        <v>1E-4</v>
      </c>
      <c r="U112" s="99">
        <f>IF(AND(Database!AO38&gt;1,Database!AO41&gt;1),100*(Database!AO38/(Database!AO41)),0.0001)</f>
        <v>1E-4</v>
      </c>
      <c r="V112" s="99">
        <f>IF(AND(Database!AQ38&gt;1,Database!AQ41&gt;1),100*(Database!AQ38/(Database!AQ41)),0.0001)</f>
        <v>1E-4</v>
      </c>
      <c r="W112" s="99">
        <f>IF(AND(Database!AS38&gt;1,Database!AS41&gt;1),100*(Database!AS38/(Database!AS41)),0.0001)</f>
        <v>1E-4</v>
      </c>
      <c r="X112" s="99">
        <f>IF(AND(Database!AU38&gt;1,Database!AU41&gt;1),100*(Database!AU38/(Database!AU41)),0.0001)</f>
        <v>1E-4</v>
      </c>
      <c r="Y112" s="99">
        <f>IF(AND(Database!AW38&gt;1,Database!AW41&gt;1),100*(Database!AW38/(Database!AW41)),0.0001)</f>
        <v>1E-4</v>
      </c>
      <c r="Z112" s="99">
        <f>IF(AND(Database!AY38&gt;1,Database!AY41&gt;1),100*(Database!AY38/(Database!AY41)),0.0001)</f>
        <v>1E-4</v>
      </c>
      <c r="AA112" s="99">
        <f>IF(AND(Database!BA38&gt;1,Database!BA41&gt;1),100*(Database!BA38/(Database!BA41)),0.0001)</f>
        <v>1E-4</v>
      </c>
      <c r="AB112" s="99">
        <f>IF(AND(Database!BC38&gt;1,Database!BC41&gt;1),100*(Database!BC38/(Database!BC41)),0.0001)</f>
        <v>1E-4</v>
      </c>
      <c r="AC112" s="99">
        <f>IF(AND(Database!BE38&gt;1,Database!BE41&gt;1),100*(Database!BE38/(Database!BE41)),0.0001)</f>
        <v>1E-4</v>
      </c>
      <c r="AD112" s="99">
        <f>IF(AND(Database!BG38&gt;1,Database!BG41&gt;1),100*(Database!BG38/(Database!BG41)),0.0001)</f>
        <v>1E-4</v>
      </c>
      <c r="AE112" s="99">
        <f>IF(AND(Database!BI38&gt;1,Database!BI41&gt;1),100*(Database!BI38/(Database!BI41)),0.0001)</f>
        <v>1E-4</v>
      </c>
      <c r="AF112" s="99">
        <f>IF(AND(Database!BK38&gt;1,Database!BK41&gt;1),100*(Database!BK38/(Database!BK41)),0.0001)</f>
        <v>1E-4</v>
      </c>
      <c r="AG112" s="99">
        <f>IF(AND(Database!BM38&gt;1,Database!BM41&gt;1),100*(Database!BM38/(Database!BM41)),0.0001)</f>
        <v>1E-4</v>
      </c>
      <c r="AH112" s="99">
        <f>IF(AND(Database!BO38&gt;1,Database!BO41&gt;1),100*(Database!BO38/(Database!BO41)),0.0001)</f>
        <v>1E-4</v>
      </c>
      <c r="AI112" s="99">
        <f>IF(AND(Database!BQ38&gt;1,Database!BQ41&gt;1),100*(Database!BQ38/(Database!BQ41)),0.0001)</f>
        <v>1E-4</v>
      </c>
      <c r="AJ112" s="99">
        <f>IF(AND(Database!BS38&gt;1,Database!BS41&gt;1),100*(Database!BS38/(Database!BS41)),0.0001)</f>
        <v>1E-4</v>
      </c>
      <c r="AK112" s="99">
        <f>IF(AND(Database!BU38&gt;1,Database!BU41&gt;1),100*(Database!BU38/(Database!BU41)),0.0001)</f>
        <v>1E-4</v>
      </c>
      <c r="AL112" s="99">
        <f>IF(AND(Database!BW38&gt;1,Database!BW41&gt;1),100*(Database!BW38/(Database!BW41)),0.0001)</f>
        <v>1E-4</v>
      </c>
      <c r="AM112" s="99">
        <f>IF(AND(Database!BY38&gt;1,Database!BY41&gt;1),100*(Database!BY38/(Database!BY41)),0.0001)</f>
        <v>1E-4</v>
      </c>
      <c r="AN112" s="99">
        <f>IF(AND(Database!CA38&gt;1,Database!CA41&gt;1),100*(Database!CA38/(Database!CA41)),0.0001)</f>
        <v>1E-4</v>
      </c>
      <c r="AO112" s="99">
        <f>IF(AND(Database!CC38&gt;1,Database!CC41&gt;1),100*(Database!CC38/(Database!CC41)),0.0001)</f>
        <v>1E-4</v>
      </c>
      <c r="AP112" s="99">
        <f>IF(AND(Database!CE38&gt;1,Database!CE41&gt;1),100*(Database!CE38/(Database!CE41)),0.0001)</f>
        <v>1E-4</v>
      </c>
      <c r="AQ112" s="99">
        <f>IF(AND(Database!CG38&gt;1,Database!CG41&gt;1),100*(Database!CG38/(Database!CG41)),0.0001)</f>
        <v>1E-4</v>
      </c>
      <c r="AR112" s="99">
        <f>IF(AND(Database!CI38&gt;1,Database!CI41&gt;1),100*(Database!CI38/(Database!CI41)),0.0001)</f>
        <v>1E-4</v>
      </c>
      <c r="AS112" s="99">
        <f>IF(AND(Database!CK38&gt;1,Database!CK41&gt;1),100*(Database!CK38/(Database!CK41)),0.0001)</f>
        <v>1E-4</v>
      </c>
      <c r="AT112" s="99">
        <f>IF(AND(Database!CM38&gt;1,Database!CM41&gt;1),100*(Database!CM38/(Database!CM41)),0.0001)</f>
        <v>1E-4</v>
      </c>
      <c r="AU112" s="99">
        <f>IF(AND(Database!CO38&gt;1,Database!CO41&gt;1),100*(Database!CO38/(Database!CO41)),0.0001)</f>
        <v>1E-4</v>
      </c>
      <c r="AV112" s="99">
        <f>IF(AND(Database!CQ38&gt;1,Database!CQ41&gt;1),100*(Database!CQ38/(Database!CQ41)),0.0001)</f>
        <v>1E-4</v>
      </c>
      <c r="AW112" s="99">
        <f>IF(AND(Database!CS38&gt;1,Database!CS41&gt;1),100*(Database!CS38/(Database!CS41)),0.0001)</f>
        <v>1E-4</v>
      </c>
      <c r="AX112" s="99">
        <f>IF(AND(Database!CU38&gt;1,Database!CU41&gt;1),100*(Database!CU38/(Database!CU41)),0.0001)</f>
        <v>1E-4</v>
      </c>
      <c r="AY112" s="99">
        <f>IF(AND(Database!CW38&gt;1,Database!CW41&gt;1),100*(Database!CW38/(Database!CW41)),0.0001)</f>
        <v>1E-4</v>
      </c>
      <c r="AZ112" s="99">
        <f>IF(AND(Database!CY38&gt;1,Database!CY41&gt;1),100*(Database!CY38/(Database!CY41)),0.0001)</f>
        <v>1E-4</v>
      </c>
      <c r="BA112" s="99">
        <f>IF(AND(Database!DA38&gt;1,Database!DA41&gt;1),100*(Database!DA38/(Database!DA41)),0.0001)</f>
        <v>1E-4</v>
      </c>
      <c r="BB112" s="99">
        <f>IF(AND(Database!DC38&gt;1,Database!DC41&gt;1),100*(Database!DC38/(Database!DC41)),0.0001)</f>
        <v>1E-4</v>
      </c>
      <c r="BC112" s="99">
        <f>IF(AND(Database!DE38&gt;1,Database!DE41&gt;1),100*(Database!DE38/(Database!DE41)),0.0001)</f>
        <v>1E-4</v>
      </c>
      <c r="BD112" s="99">
        <f>IF(AND(Database!DG38&gt;1,Database!DG41&gt;1),100*(Database!DG38/(Database!DG41)),0.0001)</f>
        <v>1E-4</v>
      </c>
      <c r="BE112" s="99">
        <f>IF(AND(Database!DI38&gt;1,Database!DI41&gt;1),100*(Database!DI38/(Database!DI41)),0.0001)</f>
        <v>1E-4</v>
      </c>
      <c r="BF112" s="99">
        <f>IF(AND(Database!DK38&gt;1,Database!DK41&gt;1),100*(Database!DK38/(Database!DK41)),0.0001)</f>
        <v>1E-4</v>
      </c>
      <c r="BG112" s="99">
        <f>IF(AND(Database!DM38&gt;1,Database!DM41&gt;1),100*(Database!DM38/(Database!DM41)),0.0001)</f>
        <v>1E-4</v>
      </c>
      <c r="BH112" s="99">
        <f>IF(AND(Database!DO38&gt;1,Database!DO41&gt;1),100*(Database!DO38/(Database!DO41)),0.0001)</f>
        <v>1E-4</v>
      </c>
      <c r="BI112" s="99">
        <f>IF(AND(Database!DQ38&gt;1,Database!DQ41&gt;1),100*(Database!DQ38/(Database!DQ41)),0.0001)</f>
        <v>1E-4</v>
      </c>
      <c r="BJ112" s="99">
        <f>IF(AND(Database!DS38&gt;1,Database!DS41&gt;1),100*(Database!DS38/(Database!DS41)),0.0001)</f>
        <v>1E-4</v>
      </c>
      <c r="BK112" s="99">
        <f>IF(AND(Database!DU38&gt;1,Database!DU41&gt;1),100*(Database!DU38/(Database!DU41)),0.0001)</f>
        <v>1E-4</v>
      </c>
      <c r="BL112" s="99">
        <f>IF(AND(Database!DW38&gt;1,Database!DW41&gt;1),100*(Database!DW38/(Database!DW41)),0.0001)</f>
        <v>1E-4</v>
      </c>
      <c r="BM112" s="99">
        <f>IF(AND(Database!DY38&gt;1,Database!DY41&gt;1),100*(Database!DY38/(Database!DY41)),0.0001)</f>
        <v>1E-4</v>
      </c>
      <c r="BN112" s="99">
        <f>IF(AND(Database!EA38&gt;1,Database!EA41&gt;1),100*(Database!EA38/(Database!EA41)),0.0001)</f>
        <v>1E-4</v>
      </c>
      <c r="BO112" s="99">
        <f>IF(AND(Database!EC38&gt;1,Database!EC41&gt;1),100*(Database!EC38/(Database!EC41)),0.0001)</f>
        <v>1E-4</v>
      </c>
      <c r="BP112" s="99">
        <f>IF(AND(Database!EE38&gt;1,Database!EE41&gt;1),100*(Database!EE38/(Database!EE41)),0.0001)</f>
        <v>1E-4</v>
      </c>
      <c r="BQ112" s="99">
        <f>IF(AND(Database!EG38&gt;1,Database!EG41&gt;1),100*(Database!EG38/(Database!EG41)),0.0001)</f>
        <v>1E-4</v>
      </c>
      <c r="BR112" s="99">
        <f>IF(AND(Database!EI38&gt;1,Database!EI41&gt;1),100*(Database!EI38/(Database!EI41)),0.0001)</f>
        <v>1E-4</v>
      </c>
      <c r="BS112" s="99">
        <f>IF(AND(Database!EK38&gt;1,Database!EK41&gt;1),100*(Database!EK38/(Database!EK41)),0.0001)</f>
        <v>1E-4</v>
      </c>
      <c r="BT112" s="99">
        <f>IF(AND(Database!EM38&gt;1,Database!EM41&gt;1),100*(Database!EM38/(Database!EM41)),0.0001)</f>
        <v>1E-4</v>
      </c>
      <c r="BU112" s="99">
        <f>IF(AND(Database!EO38&gt;1,Database!EO41&gt;1),100*(Database!EO38/(Database!EO41)),0.0001)</f>
        <v>1E-4</v>
      </c>
      <c r="BV112" s="99">
        <f>IF(AND(Database!EQ38&gt;1,Database!EQ41&gt;1),100*(Database!EQ38/(Database!EQ41)),0.0001)</f>
        <v>1E-4</v>
      </c>
      <c r="BW112" s="99">
        <f>IF(AND(Database!ES38&gt;1,Database!ES41&gt;1),100*(Database!ES38/(Database!ES41)),0.0001)</f>
        <v>1E-4</v>
      </c>
      <c r="BX112" s="99">
        <f>IF(AND(Database!EU38&gt;1,Database!EU41&gt;1),100*(Database!EU38/(Database!EU41)),0.0001)</f>
        <v>1E-4</v>
      </c>
      <c r="BY112" s="99">
        <f>IF(AND(Database!EW38&gt;1,Database!EW41&gt;1),100*(Database!EW38/(Database!EW41)),0.0001)</f>
        <v>1E-4</v>
      </c>
      <c r="BZ112" s="99">
        <f>IF(AND(Database!EY38&gt;1,Database!EY41&gt;1),100*(Database!EY38/(Database!EY41)),0.0001)</f>
        <v>1E-4</v>
      </c>
      <c r="CA112" s="99">
        <f>IF(AND(Database!FA38&gt;1,Database!FA41&gt;1),100*(Database!FA38/(Database!FA41)),0.0001)</f>
        <v>1E-4</v>
      </c>
      <c r="CB112" s="99">
        <f>IF(AND(Database!FC38&gt;1,Database!FC41&gt;1),100*(Database!FC38/(Database!FC41)),0.0001)</f>
        <v>1E-4</v>
      </c>
      <c r="CC112" s="99">
        <f>IF(AND(Database!FE38&gt;1,Database!FE41&gt;1),100*(Database!FE38/(Database!FE41)),0.0001)</f>
        <v>1E-4</v>
      </c>
      <c r="CD112" s="99">
        <f>IF(AND(Database!FG38&gt;1,Database!FG41&gt;1),100*(Database!FG38/(Database!FG41)),0.0001)</f>
        <v>1E-4</v>
      </c>
      <c r="CE112" s="99">
        <f>IF(AND(Database!FI38&gt;1,Database!FI41&gt;1),100*(Database!FI38/(Database!FI41)),0.0001)</f>
        <v>1E-4</v>
      </c>
      <c r="CF112" s="99">
        <f>IF(AND(Database!FK38&gt;1,Database!FK41&gt;1),100*(Database!FK38/(Database!FK41)),0.0001)</f>
        <v>1E-4</v>
      </c>
      <c r="CG112" s="99">
        <f>IF(AND(Database!FM38&gt;1,Database!FM41&gt;1),100*(Database!FM38/(Database!FM41)),0.0001)</f>
        <v>1E-4</v>
      </c>
      <c r="CH112" s="99">
        <f>IF(AND(Database!FO38&gt;1,Database!FO41&gt;1),100*(Database!FO38/(Database!FO41)),0.0001)</f>
        <v>1E-4</v>
      </c>
      <c r="CI112" s="99">
        <f>IF(AND(Database!FQ38&gt;1,Database!FQ41&gt;1),100*(Database!FQ38/(Database!FQ41)),0.0001)</f>
        <v>1E-4</v>
      </c>
      <c r="CJ112" s="99">
        <f>IF(AND(Database!FS38&gt;1,Database!FS41&gt;1),100*(Database!FS38/(Database!FS41)),0.0001)</f>
        <v>1E-4</v>
      </c>
      <c r="CK112" s="99">
        <f>IF(AND(Database!FU38&gt;1,Database!FU41&gt;1),100*(Database!FU38/(Database!FU41)),0.0001)</f>
        <v>1E-4</v>
      </c>
      <c r="CL112" s="99">
        <f>IF(AND(Database!FW38&gt;1,Database!FW41&gt;1),100*(Database!FW38/(Database!FW41)),0.0001)</f>
        <v>1E-4</v>
      </c>
      <c r="CM112" s="99">
        <f>IF(AND(Database!FY38&gt;1,Database!FY41&gt;1),100*(Database!FY38/(Database!FY41)),0.0001)</f>
        <v>1E-4</v>
      </c>
      <c r="CN112" s="99">
        <f>IF(AND(Database!GA38&gt;1,Database!GA41&gt;1),100*(Database!GA38/(Database!GA41)),0.0001)</f>
        <v>1E-4</v>
      </c>
      <c r="CO112" s="99">
        <f>IF(AND(Database!GC38&gt;1,Database!GC41&gt;1),100*(Database!GC38/(Database!GC41)),0.0001)</f>
        <v>1E-4</v>
      </c>
      <c r="CP112" s="99">
        <f>IF(AND(Database!GE38&gt;1,Database!GE41&gt;1),100*(Database!GE38/(Database!GE41)),0.0001)</f>
        <v>1E-4</v>
      </c>
      <c r="CQ112" s="99">
        <f>IF(AND(Database!GG38&gt;1,Database!GG41&gt;1),100*(Database!GG38/(Database!GG41)),0.0001)</f>
        <v>1E-4</v>
      </c>
      <c r="CR112" s="99">
        <f>IF(AND(Database!GI38&gt;1,Database!GI41&gt;1),100*(Database!GI38/(Database!GI41)),0.0001)</f>
        <v>1E-4</v>
      </c>
      <c r="CS112" s="99">
        <f>IF(AND(Database!GK38&gt;1,Database!GK41&gt;1),100*(Database!GK38/(Database!GK41)),0.0001)</f>
        <v>1E-4</v>
      </c>
      <c r="CT112" s="99">
        <f>IF(AND(Database!GM38&gt;1,Database!GM41&gt;1),100*(Database!GM38/(Database!GM41)),0.0001)</f>
        <v>1E-4</v>
      </c>
      <c r="CU112" s="99">
        <f>IF(AND(Database!GO38&gt;1,Database!GO41&gt;1),100*(Database!GO38/(Database!GO41)),0.0001)</f>
        <v>1E-4</v>
      </c>
      <c r="CV112" s="99">
        <f>IF(AND(Database!GQ38&gt;1,Database!GQ41&gt;1),100*(Database!GQ38/(Database!GQ41)),0.0001)</f>
        <v>1E-4</v>
      </c>
      <c r="CW112" s="99">
        <f>IF(AND(Database!GS38&gt;1,Database!GS41&gt;1),100*(Database!GS38/(Database!GS41)),0.0001)</f>
        <v>1E-4</v>
      </c>
      <c r="CX112" s="99">
        <f>IF(AND(Database!GU38&gt;1,Database!GU41&gt;1),100*(Database!GU38/(Database!GU41)),0.0001)</f>
        <v>1E-4</v>
      </c>
      <c r="CY112" s="99">
        <f>IF(AND(Database!GW38&gt;1,Database!GW41&gt;1),100*(Database!GW38/(Database!GW41)),0.0001)</f>
        <v>1E-4</v>
      </c>
      <c r="CZ112" s="99">
        <f>IF(AND(Database!GY38&gt;1,Database!GY41&gt;1),100*(Database!GY38/(Database!GY41)),0.0001)</f>
        <v>1E-4</v>
      </c>
      <c r="DA112" s="99">
        <f>IF(AND(Database!HA38&gt;1,Database!HA41&gt;1),100*(Database!HA38/(Database!HA41)),0.0001)</f>
        <v>1E-4</v>
      </c>
      <c r="DB112" s="99">
        <f>IF(AND(Database!HC38&gt;1,Database!HC41&gt;1),100*(Database!HC38/(Database!HC41)),0.0001)</f>
        <v>1E-4</v>
      </c>
      <c r="DC112" s="99">
        <f>IF(AND(Database!HE38&gt;1,Database!HE41&gt;1),100*(Database!HE38/(Database!HE41)),0.0001)</f>
        <v>1E-4</v>
      </c>
      <c r="DD112" s="99">
        <f>IF(AND(Database!HG38&gt;1,Database!HG41&gt;1),100*(Database!HG38/(Database!HG41)),0.0001)</f>
        <v>1E-4</v>
      </c>
      <c r="DE112" s="99">
        <f>IF(AND(Database!HI38&gt;1,Database!HI41&gt;1),100*(Database!HI38/(Database!HI41)),0.0001)</f>
        <v>1E-4</v>
      </c>
      <c r="DF112" s="99">
        <f>IF(AND(Database!HK38&gt;1,Database!HK41&gt;1),100*(Database!HK38/(Database!HK41)),0.0001)</f>
        <v>1E-4</v>
      </c>
      <c r="DG112" s="99">
        <f>IF(AND(Database!HM38&gt;1,Database!HM41&gt;1),100*(Database!HM38/(Database!HM41)),0.0001)</f>
        <v>1E-4</v>
      </c>
      <c r="DH112" s="99">
        <f>IF(AND(Database!HO38&gt;1,Database!HO41&gt;1),100*(Database!HO38/(Database!HO41)),0.0001)</f>
        <v>1E-4</v>
      </c>
      <c r="DI112" s="99">
        <f>IF(AND(Database!HQ38&gt;1,Database!HQ41&gt;1),100*(Database!HQ38/(Database!HQ41)),0.0001)</f>
        <v>1E-4</v>
      </c>
      <c r="DJ112" s="99">
        <f>IF(AND(Database!HS38&gt;1,Database!HS41&gt;1),100*(Database!HS38/(Database!HS41)),0.0001)</f>
        <v>1E-4</v>
      </c>
      <c r="DK112" s="99">
        <f>IF(AND(Database!HU38&gt;1,Database!HU41&gt;1),100*(Database!HU38/(Database!HU41)),0.0001)</f>
        <v>1E-4</v>
      </c>
      <c r="DL112" s="99">
        <f>IF(AND(Database!HW38&gt;1,Database!HW41&gt;1),100*(Database!HW38/(Database!HW41)),0.0001)</f>
        <v>1E-4</v>
      </c>
      <c r="DM112" s="99">
        <f>IF(AND(Database!HY38&gt;1,Database!HY41&gt;1),100*(Database!HY38/(Database!HY41)),0.0001)</f>
        <v>1E-4</v>
      </c>
      <c r="DN112" s="99">
        <f>IF(AND(Database!IA38&gt;1,Database!IA41&gt;1),100*(Database!IA38/(Database!IA41)),0.0001)</f>
        <v>1E-4</v>
      </c>
      <c r="DO112" s="99">
        <f>IF(AND(Database!IC38&gt;1,Database!IC41&gt;1),100*(Database!IC38/(Database!IC41)),0.0001)</f>
        <v>1E-4</v>
      </c>
      <c r="DP112" s="99">
        <f>IF(AND(Database!IE38&gt;1,Database!IE41&gt;1),100*(Database!IE38/(Database!IE41)),0.0001)</f>
        <v>1E-4</v>
      </c>
      <c r="DQ112" s="99">
        <f>IF(AND(Database!IG38&gt;1,Database!IG41&gt;1),100*(Database!IG38/(Database!IG41)),0.0001)</f>
        <v>1E-4</v>
      </c>
      <c r="DR112" s="99">
        <f>IF(AND(Database!II38&gt;1,Database!II41&gt;1),100*(Database!II38/(Database!II41)),0.0001)</f>
        <v>1E-4</v>
      </c>
      <c r="DS112" s="99">
        <f>IF(AND(Database!IK38&gt;1,Database!IK41&gt;1),100*(Database!IK38/(Database!IK41)),0.0001)</f>
        <v>1E-4</v>
      </c>
      <c r="DT112" s="99">
        <f>IF(AND(Database!IM38&gt;1,Database!IM41&gt;1),100*(Database!IM38/(Database!IM41)),0.0001)</f>
        <v>1E-4</v>
      </c>
      <c r="DU112" s="99">
        <f>IF(AND(Database!IO38&gt;1,Database!IO41&gt;1),100*(Database!IO38/(Database!IO41)),0.0001)</f>
        <v>1E-4</v>
      </c>
      <c r="DV112" s="99">
        <f>IF(AND(Database!IQ38&gt;1,Database!IQ41&gt;1),100*(Database!IQ38/(Database!IQ41)),0.0001)</f>
        <v>1E-4</v>
      </c>
      <c r="DW112" s="99">
        <f>IF(AND(Database!IS38&gt;1,Database!IS41&gt;1),100*(Database!IS38/(Database!IS41)),0.0001)</f>
        <v>1E-4</v>
      </c>
      <c r="DX112" s="99">
        <f>IF(AND(Database!IU38&gt;1,Database!IU41&gt;1),100*(Database!IU38/(Database!IU41)),0.0001)</f>
        <v>1E-4</v>
      </c>
      <c r="DY112" s="99">
        <f>IF(AND(Database!IW38&gt;1,Database!IW41&gt;1),100*(Database!IW38/(Database!IW41)),0.0001)</f>
        <v>1E-4</v>
      </c>
      <c r="DZ112" s="99">
        <f>IF(AND(Database!IY38&gt;1,Database!IY41&gt;1),100*(Database!IY38/(Database!IY41)),0.0001)</f>
        <v>1E-4</v>
      </c>
      <c r="EA112" s="99">
        <f>IF(AND(Database!JA38&gt;1,Database!JA41&gt;1),100*(Database!JA38/(Database!JA41)),0.0001)</f>
        <v>1E-4</v>
      </c>
      <c r="EB112" s="99">
        <f>IF(AND(Database!JC38&gt;1,Database!JC41&gt;1),100*(Database!JC38/(Database!JC41)),0.0001)</f>
        <v>1E-4</v>
      </c>
      <c r="EC112" s="99">
        <f>IF(AND(Database!JE38&gt;1,Database!JE41&gt;1),100*(Database!JE38/(Database!JE41)),0.0001)</f>
        <v>1E-4</v>
      </c>
      <c r="ED112" s="99">
        <f>IF(AND(Database!JG38&gt;1,Database!JG41&gt;1),100*(Database!JG38/(Database!JG41)),0.0001)</f>
        <v>1E-4</v>
      </c>
      <c r="EE112" s="99">
        <f>IF(AND(Database!JI38&gt;1,Database!JI41&gt;1),100*(Database!JI38/(Database!JI41)),0.0001)</f>
        <v>1E-4</v>
      </c>
      <c r="EF112" s="99">
        <f>IF(AND(Database!JK38&gt;1,Database!JK41&gt;1),100*(Database!JK38/(Database!JK41)),0.0001)</f>
        <v>1E-4</v>
      </c>
      <c r="EG112" s="99">
        <f>IF(AND(Database!JM38&gt;1,Database!JM41&gt;1),100*(Database!JM38/(Database!JM41)),0.0001)</f>
        <v>1E-4</v>
      </c>
      <c r="EH112" s="99">
        <f>IF(AND(Database!JO38&gt;1,Database!JO41&gt;1),100*(Database!JO38/(Database!JO41)),0.0001)</f>
        <v>1E-4</v>
      </c>
      <c r="EI112" s="99">
        <f>IF(AND(Database!JQ38&gt;1,Database!JQ41&gt;1),100*(Database!JQ38/(Database!JQ41)),0.0001)</f>
        <v>1E-4</v>
      </c>
      <c r="EJ112" s="99">
        <f>IF(AND(Database!JS38&gt;1,Database!JS41&gt;1),100*(Database!JS38/(Database!JS41)),0.0001)</f>
        <v>1E-4</v>
      </c>
      <c r="EK112" s="99">
        <f>IF(AND(Database!JU38&gt;1,Database!JU41&gt;1),100*(Database!JU38/(Database!JU41)),0.0001)</f>
        <v>1E-4</v>
      </c>
      <c r="EL112" s="99">
        <f>IF(AND(Database!JW38&gt;1,Database!JW41&gt;1),100*(Database!JW38/(Database!JW41)),0.0001)</f>
        <v>1E-4</v>
      </c>
      <c r="EM112" s="99">
        <f>IF(AND(Database!JY38&gt;1,Database!JY41&gt;1),100*(Database!JY38/(Database!JY41)),0.0001)</f>
        <v>1E-4</v>
      </c>
      <c r="EN112" s="99">
        <f>IF(AND(Database!KA38&gt;1,Database!KA41&gt;1),100*(Database!KA38/(Database!KA41)),0.0001)</f>
        <v>1E-4</v>
      </c>
      <c r="EO112" s="99">
        <f>IF(AND(Database!KC38&gt;1,Database!KC41&gt;1),100*(Database!KC38/(Database!KC41)),0.0001)</f>
        <v>1E-4</v>
      </c>
      <c r="EP112" s="99">
        <f>IF(AND(Database!KE38&gt;1,Database!KE41&gt;1),100*(Database!KE38/(Database!KE41)),0.0001)</f>
        <v>1E-4</v>
      </c>
      <c r="EQ112" s="99">
        <f>IF(AND(Database!KG38&gt;1,Database!KG41&gt;1),100*(Database!KG38/(Database!KG41)),0.0001)</f>
        <v>1E-4</v>
      </c>
      <c r="ER112" s="99">
        <f>IF(AND(Database!KI38&gt;1,Database!KI41&gt;1),100*(Database!KI38/(Database!KI41)),0.0001)</f>
        <v>1E-4</v>
      </c>
      <c r="ES112" s="99">
        <f>IF(AND(Database!KK38&gt;1,Database!KK41&gt;1),100*(Database!KK38/(Database!KK41)),0.0001)</f>
        <v>1E-4</v>
      </c>
      <c r="ET112" s="99">
        <f>IF(AND(Database!KM38&gt;1,Database!KM41&gt;1),100*(Database!KM38/(Database!KM41)),0.0001)</f>
        <v>1E-4</v>
      </c>
      <c r="EU112" s="99">
        <f>IF(AND(Database!KO38&gt;1,Database!KO41&gt;1),100*(Database!KO38/(Database!KO41)),0.0001)</f>
        <v>1E-4</v>
      </c>
      <c r="EV112" s="99">
        <f>IF(AND(Database!KQ38&gt;1,Database!KQ41&gt;1),100*(Database!KQ38/(Database!KQ41)),0.0001)</f>
        <v>1E-4</v>
      </c>
      <c r="EW112" s="99">
        <f>IF(AND(Database!KS38&gt;1,Database!KS41&gt;1),100*(Database!KS38/(Database!KS41)),0.0001)</f>
        <v>1E-4</v>
      </c>
      <c r="EX112" s="99">
        <f>IF(AND(Database!KU38&gt;1,Database!KU41&gt;1),100*(Database!KU38/(Database!KU41)),0.0001)</f>
        <v>1E-4</v>
      </c>
      <c r="EY112" s="99">
        <f>IF(AND(Database!KW38&gt;1,Database!KW41&gt;1),100*(Database!KW38/(Database!KW41)),0.0001)</f>
        <v>1E-4</v>
      </c>
      <c r="EZ112" s="99">
        <f>IF(AND(Database!KY38&gt;1,Database!KY41&gt;1),100*(Database!KY38/(Database!KY41)),0.0001)</f>
        <v>1E-4</v>
      </c>
      <c r="FA112" s="99">
        <f>IF(AND(Database!LA38&gt;1,Database!LA41&gt;1),100*(Database!LA38/(Database!LA41)),0.0001)</f>
        <v>1E-4</v>
      </c>
      <c r="FB112" s="99">
        <f>IF(AND(Database!LC38&gt;1,Database!LC41&gt;1),100*(Database!LC38/(Database!LC41)),0.0001)</f>
        <v>1E-4</v>
      </c>
      <c r="FC112" s="99">
        <f>IF(AND(Database!LE38&gt;1,Database!LE41&gt;1),100*(Database!LE38/(Database!LE41)),0.0001)</f>
        <v>1E-4</v>
      </c>
      <c r="FD112" s="99">
        <f>IF(AND(Database!LG38&gt;1,Database!LG41&gt;1),100*(Database!LG38/(Database!LG41)),0.0001)</f>
        <v>1E-4</v>
      </c>
      <c r="FE112" s="99">
        <f>IF(AND(Database!LI38&gt;1,Database!LI41&gt;1),100*(Database!LI38/(Database!LI41)),0.0001)</f>
        <v>1E-4</v>
      </c>
      <c r="FF112" s="99">
        <f>IF(AND(Database!LK38&gt;1,Database!LK41&gt;1),100*(Database!LK38/(Database!LK41)),0.0001)</f>
        <v>1E-4</v>
      </c>
      <c r="FG112" s="99">
        <f>IF(AND(Database!LM38&gt;1,Database!LM41&gt;1),100*(Database!LM38/(Database!LM41)),0.0001)</f>
        <v>1E-4</v>
      </c>
      <c r="FH112" s="99">
        <f>IF(AND(Database!LO38&gt;1,Database!LO41&gt;1),100*(Database!LO38/(Database!LO41)),0.0001)</f>
        <v>1E-4</v>
      </c>
      <c r="FI112" s="99">
        <f>IF(AND(Database!LQ38&gt;1,Database!LQ41&gt;1),100*(Database!LQ38/(Database!LQ41)),0.0001)</f>
        <v>1E-4</v>
      </c>
      <c r="FJ112" s="99">
        <f>IF(AND(Database!LS38&gt;1,Database!LS41&gt;1),100*(Database!LS38/(Database!LS41)),0.0001)</f>
        <v>1E-4</v>
      </c>
      <c r="FK112" s="99">
        <f>IF(AND(Database!LU38&gt;1,Database!LU41&gt;1),100*(Database!LU38/(Database!LU41)),0.0001)</f>
        <v>1E-4</v>
      </c>
      <c r="FL112" s="99">
        <f>IF(AND(Database!LW38&gt;1,Database!LW41&gt;1),100*(Database!LW38/(Database!LW41)),0.0001)</f>
        <v>1E-4</v>
      </c>
      <c r="FM112" s="99">
        <f>IF(AND(Database!LY38&gt;1,Database!LY41&gt;1),100*(Database!LY38/(Database!LY41)),0.0001)</f>
        <v>1E-4</v>
      </c>
      <c r="FN112" s="99">
        <f>IF(AND(Database!MA38&gt;1,Database!MA41&gt;1),100*(Database!MA38/(Database!MA41)),0.0001)</f>
        <v>1E-4</v>
      </c>
      <c r="FO112" s="99">
        <f>IF(AND(Database!MC38&gt;1,Database!MC41&gt;1),100*(Database!MC38/(Database!MC41)),0.0001)</f>
        <v>1E-4</v>
      </c>
      <c r="FP112" s="99">
        <f>IF(AND(Database!ME38&gt;1,Database!ME41&gt;1),100*(Database!ME38/(Database!ME41)),0.0001)</f>
        <v>1E-4</v>
      </c>
      <c r="FQ112" s="99">
        <f>IF(AND(Database!MG38&gt;1,Database!MG41&gt;1),100*(Database!MG38/(Database!MG41)),0.0001)</f>
        <v>1E-4</v>
      </c>
      <c r="FR112" s="99">
        <f>IF(AND(Database!MI38&gt;1,Database!MI41&gt;1),100*(Database!MI38/(Database!MI41)),0.0001)</f>
        <v>1E-4</v>
      </c>
      <c r="FS112" s="99">
        <f>IF(AND(Database!MK38&gt;1,Database!MK41&gt;1),100*(Database!MK38/(Database!MK41)),0.0001)</f>
        <v>1E-4</v>
      </c>
      <c r="FT112" s="99">
        <f>IF(AND(Database!MM38&gt;1,Database!MM41&gt;1),100*(Database!MM38/(Database!MM41)),0.0001)</f>
        <v>1E-4</v>
      </c>
      <c r="FU112" s="99">
        <f>IF(AND(Database!MO38&gt;1,Database!MO41&gt;1),100*(Database!MO38/(Database!MO41)),0.0001)</f>
        <v>1E-4</v>
      </c>
      <c r="FV112" s="99">
        <f>IF(AND(Database!MQ38&gt;1,Database!MQ41&gt;1),100*(Database!MQ38/(Database!MQ41)),0.0001)</f>
        <v>1E-4</v>
      </c>
      <c r="FW112" s="99">
        <f>IF(AND(Database!MS38&gt;1,Database!MS41&gt;1),100*(Database!MS38/(Database!MS41)),0.0001)</f>
        <v>1E-4</v>
      </c>
      <c r="FX112" s="99">
        <f>IF(AND(Database!MU38&gt;1,Database!MU41&gt;1),100*(Database!MU38/(Database!MU41)),0.0001)</f>
        <v>1E-4</v>
      </c>
      <c r="FY112" s="99">
        <f>IF(AND(Database!MW38&gt;1,Database!MW41&gt;1),100*(Database!MW38/(Database!MW41)),0.0001)</f>
        <v>1E-4</v>
      </c>
      <c r="FZ112" s="99">
        <f>IF(AND(Database!MY38&gt;1,Database!MY41&gt;1),100*(Database!MY38/(Database!MY41)),0.0001)</f>
        <v>1E-4</v>
      </c>
      <c r="GA112" s="99">
        <f>IF(AND(Database!NA38&gt;1,Database!NA41&gt;1),100*(Database!NA38/(Database!NA41)),0.0001)</f>
        <v>1E-4</v>
      </c>
      <c r="GB112" s="99">
        <f>IF(AND(Database!NC38&gt;1,Database!NC41&gt;1),100*(Database!NC38/(Database!NC41)),0.0001)</f>
        <v>1E-4</v>
      </c>
      <c r="GC112" s="99">
        <f>IF(AND(Database!NE38&gt;1,Database!NE41&gt;1),100*(Database!NE38/(Database!NE41)),0.0001)</f>
        <v>1E-4</v>
      </c>
      <c r="GD112" s="99">
        <f>IF(AND(Database!NG38&gt;1,Database!NG41&gt;1),100*(Database!NG38/(Database!NG41)),0.0001)</f>
        <v>1E-4</v>
      </c>
      <c r="GE112" s="99">
        <f>IF(AND(Database!NI38&gt;1,Database!NI41&gt;1),100*(Database!NI38/(Database!NI41)),0.0001)</f>
        <v>1E-4</v>
      </c>
      <c r="GF112" s="99">
        <f>IF(AND(Database!NK38&gt;1,Database!NK41&gt;1),100*(Database!NK38/(Database!NK41)),0.0001)</f>
        <v>1E-4</v>
      </c>
      <c r="GG112" s="99">
        <f>IF(AND(Database!NM38&gt;1,Database!NM41&gt;1),100*(Database!NM38/(Database!NM41)),0.0001)</f>
        <v>1E-4</v>
      </c>
      <c r="GH112" s="99">
        <f>IF(AND(Database!NO38&gt;1,Database!NO41&gt;1),100*(Database!NO38/(Database!NO41)),0.0001)</f>
        <v>1E-4</v>
      </c>
      <c r="GI112" s="99">
        <f>IF(AND(Database!NQ38&gt;1,Database!NQ41&gt;1),100*(Database!NQ38/(Database!NQ41)),0.0001)</f>
        <v>1E-4</v>
      </c>
      <c r="GJ112" s="99">
        <f>IF(AND(Database!NS38&gt;1,Database!NS41&gt;1),100*(Database!NS38/(Database!NS41)),0.0001)</f>
        <v>1E-4</v>
      </c>
      <c r="GK112" s="99">
        <f>IF(AND(Database!NU38&gt;1,Database!NU41&gt;1),100*(Database!NU38/(Database!NU41)),0.0001)</f>
        <v>1E-4</v>
      </c>
      <c r="GL112" s="99">
        <f>IF(AND(Database!NW38&gt;1,Database!NW41&gt;1),100*(Database!NW38/(Database!NW41)),0.0001)</f>
        <v>1E-4</v>
      </c>
      <c r="GM112" s="99">
        <f>IF(AND(Database!NY38&gt;1,Database!NY41&gt;1),100*(Database!NY38/(Database!NY41)),0.0001)</f>
        <v>1E-4</v>
      </c>
      <c r="GN112" s="99">
        <f>IF(AND(Database!OA38&gt;1,Database!OA41&gt;1),100*(Database!OA38/(Database!OA41)),0.0001)</f>
        <v>1E-4</v>
      </c>
      <c r="GO112" s="99">
        <f>IF(AND(Database!OC38&gt;1,Database!OC41&gt;1),100*(Database!OC38/(Database!OC41)),0.0001)</f>
        <v>1E-4</v>
      </c>
      <c r="GP112" s="99">
        <f>IF(AND(Database!OE38&gt;1,Database!OE41&gt;1),100*(Database!OE38/(Database!OE41)),0.0001)</f>
        <v>1E-4</v>
      </c>
      <c r="GQ112" s="99">
        <f>IF(AND(Database!OG38&gt;1,Database!OG41&gt;1),100*(Database!OG38/(Database!OG41)),0.0001)</f>
        <v>1E-4</v>
      </c>
      <c r="GR112" s="99">
        <f>IF(AND(Database!OI38&gt;1,Database!OI41&gt;1),100*(Database!OI38/(Database!OI41)),0.0001)</f>
        <v>1E-4</v>
      </c>
      <c r="GS112" s="99">
        <f>IF(AND(Database!OK38&gt;1,Database!OK41&gt;1),100*(Database!OK38/(Database!OK41)),0.0001)</f>
        <v>1E-4</v>
      </c>
      <c r="GT112" s="99">
        <f>IF(AND(Database!OM38&gt;1,Database!OM41&gt;1),100*(Database!OM38/(Database!OM41)),0.0001)</f>
        <v>1E-4</v>
      </c>
    </row>
    <row r="113" spans="1:202" ht="18.75" customHeight="1" x14ac:dyDescent="0.4">
      <c r="A113" s="29" t="s">
        <v>440</v>
      </c>
      <c r="B113" s="306"/>
      <c r="C113" s="99">
        <f>IF(AND(Database!E39&gt;1,Database!E40&gt;1),100*(Database!E39/(Database!E40)),0.0001)</f>
        <v>333.36788518452141</v>
      </c>
      <c r="D113" s="99">
        <f>IF(AND(Database!G39&gt;1,Database!G40&gt;1),100*(Database!G39/(Database!G40)),0.0001)</f>
        <v>270.55414000350106</v>
      </c>
      <c r="E113" s="99">
        <f>IF(AND(Database!I39&gt;1,Database!I40&gt;1),100*(Database!I39/(Database!I40)),0.0001)</f>
        <v>308.56406148300204</v>
      </c>
      <c r="F113" s="99">
        <f>IF(AND(Database!K39&gt;1,Database!K40&gt;1),100*(Database!K39/(Database!K40)),0.0001)</f>
        <v>311.17956707504192</v>
      </c>
      <c r="G113" s="99">
        <f>IF(AND(Database!M39&gt;1,Database!M40&gt;1),100*(Database!M39/(Database!M40)),0.0001)</f>
        <v>1E-4</v>
      </c>
      <c r="H113" s="99">
        <f>IF(AND(Database!O39&gt;1,Database!O40&gt;1),100*(Database!O39/(Database!O40)),0.0001)</f>
        <v>1E-4</v>
      </c>
      <c r="I113" s="99">
        <f>IF(AND(Database!Q39&gt;1,Database!Q40&gt;1),100*(Database!Q39/(Database!Q40)),0.0001)</f>
        <v>1E-4</v>
      </c>
      <c r="J113" s="99">
        <f>IF(AND(Database!S39&gt;1,Database!S40&gt;1),100*(Database!S39/(Database!S40)),0.0001)</f>
        <v>1E-4</v>
      </c>
      <c r="K113" s="99">
        <f>IF(AND(Database!U39&gt;1,Database!U40&gt;1),100*(Database!U39/(Database!U40)),0.0001)</f>
        <v>1E-4</v>
      </c>
      <c r="L113" s="99">
        <f>IF(AND(Database!W39&gt;1,Database!W40&gt;1),100*(Database!W39/(Database!W40)),0.0001)</f>
        <v>1E-4</v>
      </c>
      <c r="M113" s="99">
        <f>IF(AND(Database!Y39&gt;1,Database!Y40&gt;1),100*(Database!Y39/(Database!Y40)),0.0001)</f>
        <v>1E-4</v>
      </c>
      <c r="N113" s="99">
        <f>IF(AND(Database!AA39&gt;1,Database!AA40&gt;1),100*(Database!AA39/(Database!AA40)),0.0001)</f>
        <v>1E-4</v>
      </c>
      <c r="O113" s="99">
        <f>IF(AND(Database!AC39&gt;1,Database!AC40&gt;1),100*(Database!AC39/(Database!AC40)),0.0001)</f>
        <v>1E-4</v>
      </c>
      <c r="P113" s="99">
        <f>IF(AND(Database!AE39&gt;1,Database!AE40&gt;1),100*(Database!AE39/(Database!AE40)),0.0001)</f>
        <v>1E-4</v>
      </c>
      <c r="Q113" s="99">
        <f>IF(AND(Database!AG39&gt;1,Database!AG40&gt;1),100*(Database!AG39/(Database!AG40)),0.0001)</f>
        <v>1E-4</v>
      </c>
      <c r="R113" s="99">
        <f>IF(AND(Database!AI39&gt;1,Database!AI40&gt;1),100*(Database!AI39/(Database!AI40)),0.0001)</f>
        <v>1E-4</v>
      </c>
      <c r="S113" s="99">
        <f>IF(AND(Database!AK39&gt;1,Database!AK40&gt;1),100*(Database!AK39/(Database!AK40)),0.0001)</f>
        <v>1E-4</v>
      </c>
      <c r="T113" s="99">
        <f>IF(AND(Database!AM39&gt;1,Database!AM40&gt;1),100*(Database!AM39/(Database!AM40)),0.0001)</f>
        <v>1E-4</v>
      </c>
      <c r="U113" s="99">
        <f>IF(AND(Database!AO39&gt;1,Database!AO40&gt;1),100*(Database!AO39/(Database!AO40)),0.0001)</f>
        <v>1E-4</v>
      </c>
      <c r="V113" s="99">
        <f>IF(AND(Database!AQ39&gt;1,Database!AQ40&gt;1),100*(Database!AQ39/(Database!AQ40)),0.0001)</f>
        <v>1E-4</v>
      </c>
      <c r="W113" s="99">
        <f>IF(AND(Database!AS39&gt;1,Database!AS40&gt;1),100*(Database!AS39/(Database!AS40)),0.0001)</f>
        <v>1E-4</v>
      </c>
      <c r="X113" s="99">
        <f>IF(AND(Database!AU39&gt;1,Database!AU40&gt;1),100*(Database!AU39/(Database!AU40)),0.0001)</f>
        <v>1E-4</v>
      </c>
      <c r="Y113" s="99">
        <f>IF(AND(Database!AW39&gt;1,Database!AW40&gt;1),100*(Database!AW39/(Database!AW40)),0.0001)</f>
        <v>1E-4</v>
      </c>
      <c r="Z113" s="99">
        <f>IF(AND(Database!AY39&gt;1,Database!AY40&gt;1),100*(Database!AY39/(Database!AY40)),0.0001)</f>
        <v>1E-4</v>
      </c>
      <c r="AA113" s="99">
        <f>IF(AND(Database!BA39&gt;1,Database!BA40&gt;1),100*(Database!BA39/(Database!BA40)),0.0001)</f>
        <v>1E-4</v>
      </c>
      <c r="AB113" s="99">
        <f>IF(AND(Database!BC39&gt;1,Database!BC40&gt;1),100*(Database!BC39/(Database!BC40)),0.0001)</f>
        <v>1E-4</v>
      </c>
      <c r="AC113" s="99">
        <f>IF(AND(Database!BE39&gt;1,Database!BE40&gt;1),100*(Database!BE39/(Database!BE40)),0.0001)</f>
        <v>1E-4</v>
      </c>
      <c r="AD113" s="99">
        <f>IF(AND(Database!BG39&gt;1,Database!BG40&gt;1),100*(Database!BG39/(Database!BG40)),0.0001)</f>
        <v>1E-4</v>
      </c>
      <c r="AE113" s="99">
        <f>IF(AND(Database!BI39&gt;1,Database!BI40&gt;1),100*(Database!BI39/(Database!BI40)),0.0001)</f>
        <v>1E-4</v>
      </c>
      <c r="AF113" s="99">
        <f>IF(AND(Database!BK39&gt;1,Database!BK40&gt;1),100*(Database!BK39/(Database!BK40)),0.0001)</f>
        <v>1E-4</v>
      </c>
      <c r="AG113" s="99">
        <f>IF(AND(Database!BM39&gt;1,Database!BM40&gt;1),100*(Database!BM39/(Database!BM40)),0.0001)</f>
        <v>1E-4</v>
      </c>
      <c r="AH113" s="99">
        <f>IF(AND(Database!BO39&gt;1,Database!BO40&gt;1),100*(Database!BO39/(Database!BO40)),0.0001)</f>
        <v>1E-4</v>
      </c>
      <c r="AI113" s="99">
        <f>IF(AND(Database!BQ39&gt;1,Database!BQ40&gt;1),100*(Database!BQ39/(Database!BQ40)),0.0001)</f>
        <v>1E-4</v>
      </c>
      <c r="AJ113" s="99">
        <f>IF(AND(Database!BS39&gt;1,Database!BS40&gt;1),100*(Database!BS39/(Database!BS40)),0.0001)</f>
        <v>1E-4</v>
      </c>
      <c r="AK113" s="99">
        <f>IF(AND(Database!BU39&gt;1,Database!BU40&gt;1),100*(Database!BU39/(Database!BU40)),0.0001)</f>
        <v>1E-4</v>
      </c>
      <c r="AL113" s="99">
        <f>IF(AND(Database!BW39&gt;1,Database!BW40&gt;1),100*(Database!BW39/(Database!BW40)),0.0001)</f>
        <v>1E-4</v>
      </c>
      <c r="AM113" s="99">
        <f>IF(AND(Database!BY39&gt;1,Database!BY40&gt;1),100*(Database!BY39/(Database!BY40)),0.0001)</f>
        <v>1E-4</v>
      </c>
      <c r="AN113" s="99">
        <f>IF(AND(Database!CA39&gt;1,Database!CA40&gt;1),100*(Database!CA39/(Database!CA40)),0.0001)</f>
        <v>1E-4</v>
      </c>
      <c r="AO113" s="99">
        <f>IF(AND(Database!CC39&gt;1,Database!CC40&gt;1),100*(Database!CC39/(Database!CC40)),0.0001)</f>
        <v>1E-4</v>
      </c>
      <c r="AP113" s="99">
        <f>IF(AND(Database!CE39&gt;1,Database!CE40&gt;1),100*(Database!CE39/(Database!CE40)),0.0001)</f>
        <v>1E-4</v>
      </c>
      <c r="AQ113" s="99">
        <f>IF(AND(Database!CG39&gt;1,Database!CG40&gt;1),100*(Database!CG39/(Database!CG40)),0.0001)</f>
        <v>1E-4</v>
      </c>
      <c r="AR113" s="99">
        <f>IF(AND(Database!CI39&gt;1,Database!CI40&gt;1),100*(Database!CI39/(Database!CI40)),0.0001)</f>
        <v>1E-4</v>
      </c>
      <c r="AS113" s="99">
        <f>IF(AND(Database!CK39&gt;1,Database!CK40&gt;1),100*(Database!CK39/(Database!CK40)),0.0001)</f>
        <v>1E-4</v>
      </c>
      <c r="AT113" s="99">
        <f>IF(AND(Database!CM39&gt;1,Database!CM40&gt;1),100*(Database!CM39/(Database!CM40)),0.0001)</f>
        <v>1E-4</v>
      </c>
      <c r="AU113" s="99">
        <f>IF(AND(Database!CO39&gt;1,Database!CO40&gt;1),100*(Database!CO39/(Database!CO40)),0.0001)</f>
        <v>1E-4</v>
      </c>
      <c r="AV113" s="99">
        <f>IF(AND(Database!CQ39&gt;1,Database!CQ40&gt;1),100*(Database!CQ39/(Database!CQ40)),0.0001)</f>
        <v>1E-4</v>
      </c>
      <c r="AW113" s="99">
        <f>IF(AND(Database!CS39&gt;1,Database!CS40&gt;1),100*(Database!CS39/(Database!CS40)),0.0001)</f>
        <v>1E-4</v>
      </c>
      <c r="AX113" s="99">
        <f>IF(AND(Database!CU39&gt;1,Database!CU40&gt;1),100*(Database!CU39/(Database!CU40)),0.0001)</f>
        <v>1E-4</v>
      </c>
      <c r="AY113" s="99">
        <f>IF(AND(Database!CW39&gt;1,Database!CW40&gt;1),100*(Database!CW39/(Database!CW40)),0.0001)</f>
        <v>1E-4</v>
      </c>
      <c r="AZ113" s="99">
        <f>IF(AND(Database!CY39&gt;1,Database!CY40&gt;1),100*(Database!CY39/(Database!CY40)),0.0001)</f>
        <v>1E-4</v>
      </c>
      <c r="BA113" s="99">
        <f>IF(AND(Database!DA39&gt;1,Database!DA40&gt;1),100*(Database!DA39/(Database!DA40)),0.0001)</f>
        <v>1E-4</v>
      </c>
      <c r="BB113" s="99">
        <f>IF(AND(Database!DC39&gt;1,Database!DC40&gt;1),100*(Database!DC39/(Database!DC40)),0.0001)</f>
        <v>1E-4</v>
      </c>
      <c r="BC113" s="99">
        <f>IF(AND(Database!DE39&gt;1,Database!DE40&gt;1),100*(Database!DE39/(Database!DE40)),0.0001)</f>
        <v>1E-4</v>
      </c>
      <c r="BD113" s="99">
        <f>IF(AND(Database!DG39&gt;1,Database!DG40&gt;1),100*(Database!DG39/(Database!DG40)),0.0001)</f>
        <v>1E-4</v>
      </c>
      <c r="BE113" s="99">
        <f>IF(AND(Database!DI39&gt;1,Database!DI40&gt;1),100*(Database!DI39/(Database!DI40)),0.0001)</f>
        <v>1E-4</v>
      </c>
      <c r="BF113" s="99">
        <f>IF(AND(Database!DK39&gt;1,Database!DK40&gt;1),100*(Database!DK39/(Database!DK40)),0.0001)</f>
        <v>1E-4</v>
      </c>
      <c r="BG113" s="99">
        <f>IF(AND(Database!DM39&gt;1,Database!DM40&gt;1),100*(Database!DM39/(Database!DM40)),0.0001)</f>
        <v>1E-4</v>
      </c>
      <c r="BH113" s="99">
        <f>IF(AND(Database!DO39&gt;1,Database!DO40&gt;1),100*(Database!DO39/(Database!DO40)),0.0001)</f>
        <v>1E-4</v>
      </c>
      <c r="BI113" s="99">
        <f>IF(AND(Database!DQ39&gt;1,Database!DQ40&gt;1),100*(Database!DQ39/(Database!DQ40)),0.0001)</f>
        <v>1E-4</v>
      </c>
      <c r="BJ113" s="99">
        <f>IF(AND(Database!DS39&gt;1,Database!DS40&gt;1),100*(Database!DS39/(Database!DS40)),0.0001)</f>
        <v>1E-4</v>
      </c>
      <c r="BK113" s="99">
        <f>IF(AND(Database!DU39&gt;1,Database!DU40&gt;1),100*(Database!DU39/(Database!DU40)),0.0001)</f>
        <v>1E-4</v>
      </c>
      <c r="BL113" s="99">
        <f>IF(AND(Database!DW39&gt;1,Database!DW40&gt;1),100*(Database!DW39/(Database!DW40)),0.0001)</f>
        <v>1E-4</v>
      </c>
      <c r="BM113" s="99">
        <f>IF(AND(Database!DY39&gt;1,Database!DY40&gt;1),100*(Database!DY39/(Database!DY40)),0.0001)</f>
        <v>1E-4</v>
      </c>
      <c r="BN113" s="99">
        <f>IF(AND(Database!EA39&gt;1,Database!EA40&gt;1),100*(Database!EA39/(Database!EA40)),0.0001)</f>
        <v>1E-4</v>
      </c>
      <c r="BO113" s="99">
        <f>IF(AND(Database!EC39&gt;1,Database!EC40&gt;1),100*(Database!EC39/(Database!EC40)),0.0001)</f>
        <v>1E-4</v>
      </c>
      <c r="BP113" s="99">
        <f>IF(AND(Database!EE39&gt;1,Database!EE40&gt;1),100*(Database!EE39/(Database!EE40)),0.0001)</f>
        <v>1E-4</v>
      </c>
      <c r="BQ113" s="99">
        <f>IF(AND(Database!EG39&gt;1,Database!EG40&gt;1),100*(Database!EG39/(Database!EG40)),0.0001)</f>
        <v>1E-4</v>
      </c>
      <c r="BR113" s="99">
        <f>IF(AND(Database!EI39&gt;1,Database!EI40&gt;1),100*(Database!EI39/(Database!EI40)),0.0001)</f>
        <v>1E-4</v>
      </c>
      <c r="BS113" s="99">
        <f>IF(AND(Database!EK39&gt;1,Database!EK40&gt;1),100*(Database!EK39/(Database!EK40)),0.0001)</f>
        <v>1E-4</v>
      </c>
      <c r="BT113" s="99">
        <f>IF(AND(Database!EM39&gt;1,Database!EM40&gt;1),100*(Database!EM39/(Database!EM40)),0.0001)</f>
        <v>1E-4</v>
      </c>
      <c r="BU113" s="99">
        <f>IF(AND(Database!EO39&gt;1,Database!EO40&gt;1),100*(Database!EO39/(Database!EO40)),0.0001)</f>
        <v>1E-4</v>
      </c>
      <c r="BV113" s="99">
        <f>IF(AND(Database!EQ39&gt;1,Database!EQ40&gt;1),100*(Database!EQ39/(Database!EQ40)),0.0001)</f>
        <v>1E-4</v>
      </c>
      <c r="BW113" s="99">
        <f>IF(AND(Database!ES39&gt;1,Database!ES40&gt;1),100*(Database!ES39/(Database!ES40)),0.0001)</f>
        <v>1E-4</v>
      </c>
      <c r="BX113" s="99">
        <f>IF(AND(Database!EU39&gt;1,Database!EU40&gt;1),100*(Database!EU39/(Database!EU40)),0.0001)</f>
        <v>1E-4</v>
      </c>
      <c r="BY113" s="99">
        <f>IF(AND(Database!EW39&gt;1,Database!EW40&gt;1),100*(Database!EW39/(Database!EW40)),0.0001)</f>
        <v>1E-4</v>
      </c>
      <c r="BZ113" s="99">
        <f>IF(AND(Database!EY39&gt;1,Database!EY40&gt;1),100*(Database!EY39/(Database!EY40)),0.0001)</f>
        <v>1E-4</v>
      </c>
      <c r="CA113" s="99">
        <f>IF(AND(Database!FA39&gt;1,Database!FA40&gt;1),100*(Database!FA39/(Database!FA40)),0.0001)</f>
        <v>1E-4</v>
      </c>
      <c r="CB113" s="99">
        <f>IF(AND(Database!FC39&gt;1,Database!FC40&gt;1),100*(Database!FC39/(Database!FC40)),0.0001)</f>
        <v>1E-4</v>
      </c>
      <c r="CC113" s="99">
        <f>IF(AND(Database!FE39&gt;1,Database!FE40&gt;1),100*(Database!FE39/(Database!FE40)),0.0001)</f>
        <v>1E-4</v>
      </c>
      <c r="CD113" s="99">
        <f>IF(AND(Database!FG39&gt;1,Database!FG40&gt;1),100*(Database!FG39/(Database!FG40)),0.0001)</f>
        <v>1E-4</v>
      </c>
      <c r="CE113" s="99">
        <f>IF(AND(Database!FI39&gt;1,Database!FI40&gt;1),100*(Database!FI39/(Database!FI40)),0.0001)</f>
        <v>1E-4</v>
      </c>
      <c r="CF113" s="99">
        <f>IF(AND(Database!FK39&gt;1,Database!FK40&gt;1),100*(Database!FK39/(Database!FK40)),0.0001)</f>
        <v>1E-4</v>
      </c>
      <c r="CG113" s="99">
        <f>IF(AND(Database!FM39&gt;1,Database!FM40&gt;1),100*(Database!FM39/(Database!FM40)),0.0001)</f>
        <v>1E-4</v>
      </c>
      <c r="CH113" s="99">
        <f>IF(AND(Database!FO39&gt;1,Database!FO40&gt;1),100*(Database!FO39/(Database!FO40)),0.0001)</f>
        <v>1E-4</v>
      </c>
      <c r="CI113" s="99">
        <f>IF(AND(Database!FQ39&gt;1,Database!FQ40&gt;1),100*(Database!FQ39/(Database!FQ40)),0.0001)</f>
        <v>1E-4</v>
      </c>
      <c r="CJ113" s="99">
        <f>IF(AND(Database!FS39&gt;1,Database!FS40&gt;1),100*(Database!FS39/(Database!FS40)),0.0001)</f>
        <v>1E-4</v>
      </c>
      <c r="CK113" s="99">
        <f>IF(AND(Database!FU39&gt;1,Database!FU40&gt;1),100*(Database!FU39/(Database!FU40)),0.0001)</f>
        <v>1E-4</v>
      </c>
      <c r="CL113" s="99">
        <f>IF(AND(Database!FW39&gt;1,Database!FW40&gt;1),100*(Database!FW39/(Database!FW40)),0.0001)</f>
        <v>1E-4</v>
      </c>
      <c r="CM113" s="99">
        <f>IF(AND(Database!FY39&gt;1,Database!FY40&gt;1),100*(Database!FY39/(Database!FY40)),0.0001)</f>
        <v>1E-4</v>
      </c>
      <c r="CN113" s="99">
        <f>IF(AND(Database!GA39&gt;1,Database!GA40&gt;1),100*(Database!GA39/(Database!GA40)),0.0001)</f>
        <v>1E-4</v>
      </c>
      <c r="CO113" s="99">
        <f>IF(AND(Database!GC39&gt;1,Database!GC40&gt;1),100*(Database!GC39/(Database!GC40)),0.0001)</f>
        <v>1E-4</v>
      </c>
      <c r="CP113" s="99">
        <f>IF(AND(Database!GE39&gt;1,Database!GE40&gt;1),100*(Database!GE39/(Database!GE40)),0.0001)</f>
        <v>1E-4</v>
      </c>
      <c r="CQ113" s="99">
        <f>IF(AND(Database!GG39&gt;1,Database!GG40&gt;1),100*(Database!GG39/(Database!GG40)),0.0001)</f>
        <v>1E-4</v>
      </c>
      <c r="CR113" s="99">
        <f>IF(AND(Database!GI39&gt;1,Database!GI40&gt;1),100*(Database!GI39/(Database!GI40)),0.0001)</f>
        <v>1E-4</v>
      </c>
      <c r="CS113" s="99">
        <f>IF(AND(Database!GK39&gt;1,Database!GK40&gt;1),100*(Database!GK39/(Database!GK40)),0.0001)</f>
        <v>1E-4</v>
      </c>
      <c r="CT113" s="99">
        <f>IF(AND(Database!GM39&gt;1,Database!GM40&gt;1),100*(Database!GM39/(Database!GM40)),0.0001)</f>
        <v>1E-4</v>
      </c>
      <c r="CU113" s="99">
        <f>IF(AND(Database!GO39&gt;1,Database!GO40&gt;1),100*(Database!GO39/(Database!GO40)),0.0001)</f>
        <v>1E-4</v>
      </c>
      <c r="CV113" s="99">
        <f>IF(AND(Database!GQ39&gt;1,Database!GQ40&gt;1),100*(Database!GQ39/(Database!GQ40)),0.0001)</f>
        <v>1E-4</v>
      </c>
      <c r="CW113" s="99">
        <f>IF(AND(Database!GS39&gt;1,Database!GS40&gt;1),100*(Database!GS39/(Database!GS40)),0.0001)</f>
        <v>1E-4</v>
      </c>
      <c r="CX113" s="99">
        <f>IF(AND(Database!GU39&gt;1,Database!GU40&gt;1),100*(Database!GU39/(Database!GU40)),0.0001)</f>
        <v>1E-4</v>
      </c>
      <c r="CY113" s="99">
        <f>IF(AND(Database!GW39&gt;1,Database!GW40&gt;1),100*(Database!GW39/(Database!GW40)),0.0001)</f>
        <v>1E-4</v>
      </c>
      <c r="CZ113" s="99">
        <f>IF(AND(Database!GY39&gt;1,Database!GY40&gt;1),100*(Database!GY39/(Database!GY40)),0.0001)</f>
        <v>1E-4</v>
      </c>
      <c r="DA113" s="99">
        <f>IF(AND(Database!HA39&gt;1,Database!HA40&gt;1),100*(Database!HA39/(Database!HA40)),0.0001)</f>
        <v>1E-4</v>
      </c>
      <c r="DB113" s="99">
        <f>IF(AND(Database!HC39&gt;1,Database!HC40&gt;1),100*(Database!HC39/(Database!HC40)),0.0001)</f>
        <v>1E-4</v>
      </c>
      <c r="DC113" s="99">
        <f>IF(AND(Database!HE39&gt;1,Database!HE40&gt;1),100*(Database!HE39/(Database!HE40)),0.0001)</f>
        <v>1E-4</v>
      </c>
      <c r="DD113" s="99">
        <f>IF(AND(Database!HG39&gt;1,Database!HG40&gt;1),100*(Database!HG39/(Database!HG40)),0.0001)</f>
        <v>1E-4</v>
      </c>
      <c r="DE113" s="99">
        <f>IF(AND(Database!HI39&gt;1,Database!HI40&gt;1),100*(Database!HI39/(Database!HI40)),0.0001)</f>
        <v>1E-4</v>
      </c>
      <c r="DF113" s="99">
        <f>IF(AND(Database!HK39&gt;1,Database!HK40&gt;1),100*(Database!HK39/(Database!HK40)),0.0001)</f>
        <v>1E-4</v>
      </c>
      <c r="DG113" s="99">
        <f>IF(AND(Database!HM39&gt;1,Database!HM40&gt;1),100*(Database!HM39/(Database!HM40)),0.0001)</f>
        <v>1E-4</v>
      </c>
      <c r="DH113" s="99">
        <f>IF(AND(Database!HO39&gt;1,Database!HO40&gt;1),100*(Database!HO39/(Database!HO40)),0.0001)</f>
        <v>1E-4</v>
      </c>
      <c r="DI113" s="99">
        <f>IF(AND(Database!HQ39&gt;1,Database!HQ40&gt;1),100*(Database!HQ39/(Database!HQ40)),0.0001)</f>
        <v>1E-4</v>
      </c>
      <c r="DJ113" s="99">
        <f>IF(AND(Database!HS39&gt;1,Database!HS40&gt;1),100*(Database!HS39/(Database!HS40)),0.0001)</f>
        <v>1E-4</v>
      </c>
      <c r="DK113" s="99">
        <f>IF(AND(Database!HU39&gt;1,Database!HU40&gt;1),100*(Database!HU39/(Database!HU40)),0.0001)</f>
        <v>1E-4</v>
      </c>
      <c r="DL113" s="99">
        <f>IF(AND(Database!HW39&gt;1,Database!HW40&gt;1),100*(Database!HW39/(Database!HW40)),0.0001)</f>
        <v>1E-4</v>
      </c>
      <c r="DM113" s="99">
        <f>IF(AND(Database!HY39&gt;1,Database!HY40&gt;1),100*(Database!HY39/(Database!HY40)),0.0001)</f>
        <v>1E-4</v>
      </c>
      <c r="DN113" s="99">
        <f>IF(AND(Database!IA39&gt;1,Database!IA40&gt;1),100*(Database!IA39/(Database!IA40)),0.0001)</f>
        <v>1E-4</v>
      </c>
      <c r="DO113" s="99">
        <f>IF(AND(Database!IC39&gt;1,Database!IC40&gt;1),100*(Database!IC39/(Database!IC40)),0.0001)</f>
        <v>1E-4</v>
      </c>
      <c r="DP113" s="99">
        <f>IF(AND(Database!IE39&gt;1,Database!IE40&gt;1),100*(Database!IE39/(Database!IE40)),0.0001)</f>
        <v>1E-4</v>
      </c>
      <c r="DQ113" s="99">
        <f>IF(AND(Database!IG39&gt;1,Database!IG40&gt;1),100*(Database!IG39/(Database!IG40)),0.0001)</f>
        <v>1E-4</v>
      </c>
      <c r="DR113" s="99">
        <f>IF(AND(Database!II39&gt;1,Database!II40&gt;1),100*(Database!II39/(Database!II40)),0.0001)</f>
        <v>1E-4</v>
      </c>
      <c r="DS113" s="99">
        <f>IF(AND(Database!IK39&gt;1,Database!IK40&gt;1),100*(Database!IK39/(Database!IK40)),0.0001)</f>
        <v>1E-4</v>
      </c>
      <c r="DT113" s="99">
        <f>IF(AND(Database!IM39&gt;1,Database!IM40&gt;1),100*(Database!IM39/(Database!IM40)),0.0001)</f>
        <v>1E-4</v>
      </c>
      <c r="DU113" s="99">
        <f>IF(AND(Database!IO39&gt;1,Database!IO40&gt;1),100*(Database!IO39/(Database!IO40)),0.0001)</f>
        <v>1E-4</v>
      </c>
      <c r="DV113" s="99">
        <f>IF(AND(Database!IQ39&gt;1,Database!IQ40&gt;1),100*(Database!IQ39/(Database!IQ40)),0.0001)</f>
        <v>1E-4</v>
      </c>
      <c r="DW113" s="99">
        <f>IF(AND(Database!IS39&gt;1,Database!IS40&gt;1),100*(Database!IS39/(Database!IS40)),0.0001)</f>
        <v>1E-4</v>
      </c>
      <c r="DX113" s="99">
        <f>IF(AND(Database!IU39&gt;1,Database!IU40&gt;1),100*(Database!IU39/(Database!IU40)),0.0001)</f>
        <v>1E-4</v>
      </c>
      <c r="DY113" s="99">
        <f>IF(AND(Database!IW39&gt;1,Database!IW40&gt;1),100*(Database!IW39/(Database!IW40)),0.0001)</f>
        <v>1E-4</v>
      </c>
      <c r="DZ113" s="99">
        <f>IF(AND(Database!IY39&gt;1,Database!IY40&gt;1),100*(Database!IY39/(Database!IY40)),0.0001)</f>
        <v>1E-4</v>
      </c>
      <c r="EA113" s="99">
        <f>IF(AND(Database!JA39&gt;1,Database!JA40&gt;1),100*(Database!JA39/(Database!JA40)),0.0001)</f>
        <v>1E-4</v>
      </c>
      <c r="EB113" s="99">
        <f>IF(AND(Database!JC39&gt;1,Database!JC40&gt;1),100*(Database!JC39/(Database!JC40)),0.0001)</f>
        <v>1E-4</v>
      </c>
      <c r="EC113" s="99">
        <f>IF(AND(Database!JE39&gt;1,Database!JE40&gt;1),100*(Database!JE39/(Database!JE40)),0.0001)</f>
        <v>1E-4</v>
      </c>
      <c r="ED113" s="99">
        <f>IF(AND(Database!JG39&gt;1,Database!JG40&gt;1),100*(Database!JG39/(Database!JG40)),0.0001)</f>
        <v>1E-4</v>
      </c>
      <c r="EE113" s="99">
        <f>IF(AND(Database!JI39&gt;1,Database!JI40&gt;1),100*(Database!JI39/(Database!JI40)),0.0001)</f>
        <v>1E-4</v>
      </c>
      <c r="EF113" s="99">
        <f>IF(AND(Database!JK39&gt;1,Database!JK40&gt;1),100*(Database!JK39/(Database!JK40)),0.0001)</f>
        <v>1E-4</v>
      </c>
      <c r="EG113" s="99">
        <f>IF(AND(Database!JM39&gt;1,Database!JM40&gt;1),100*(Database!JM39/(Database!JM40)),0.0001)</f>
        <v>1E-4</v>
      </c>
      <c r="EH113" s="99">
        <f>IF(AND(Database!JO39&gt;1,Database!JO40&gt;1),100*(Database!JO39/(Database!JO40)),0.0001)</f>
        <v>1E-4</v>
      </c>
      <c r="EI113" s="99">
        <f>IF(AND(Database!JQ39&gt;1,Database!JQ40&gt;1),100*(Database!JQ39/(Database!JQ40)),0.0001)</f>
        <v>1E-4</v>
      </c>
      <c r="EJ113" s="99">
        <f>IF(AND(Database!JS39&gt;1,Database!JS40&gt;1),100*(Database!JS39/(Database!JS40)),0.0001)</f>
        <v>1E-4</v>
      </c>
      <c r="EK113" s="99">
        <f>IF(AND(Database!JU39&gt;1,Database!JU40&gt;1),100*(Database!JU39/(Database!JU40)),0.0001)</f>
        <v>1E-4</v>
      </c>
      <c r="EL113" s="99">
        <f>IF(AND(Database!JW39&gt;1,Database!JW40&gt;1),100*(Database!JW39/(Database!JW40)),0.0001)</f>
        <v>1E-4</v>
      </c>
      <c r="EM113" s="99">
        <f>IF(AND(Database!JY39&gt;1,Database!JY40&gt;1),100*(Database!JY39/(Database!JY40)),0.0001)</f>
        <v>1E-4</v>
      </c>
      <c r="EN113" s="99">
        <f>IF(AND(Database!KA39&gt;1,Database!KA40&gt;1),100*(Database!KA39/(Database!KA40)),0.0001)</f>
        <v>1E-4</v>
      </c>
      <c r="EO113" s="99">
        <f>IF(AND(Database!KC39&gt;1,Database!KC40&gt;1),100*(Database!KC39/(Database!KC40)),0.0001)</f>
        <v>1E-4</v>
      </c>
      <c r="EP113" s="99">
        <f>IF(AND(Database!KE39&gt;1,Database!KE40&gt;1),100*(Database!KE39/(Database!KE40)),0.0001)</f>
        <v>1E-4</v>
      </c>
      <c r="EQ113" s="99">
        <f>IF(AND(Database!KG39&gt;1,Database!KG40&gt;1),100*(Database!KG39/(Database!KG40)),0.0001)</f>
        <v>1E-4</v>
      </c>
      <c r="ER113" s="99">
        <f>IF(AND(Database!KI39&gt;1,Database!KI40&gt;1),100*(Database!KI39/(Database!KI40)),0.0001)</f>
        <v>1E-4</v>
      </c>
      <c r="ES113" s="99">
        <f>IF(AND(Database!KK39&gt;1,Database!KK40&gt;1),100*(Database!KK39/(Database!KK40)),0.0001)</f>
        <v>1E-4</v>
      </c>
      <c r="ET113" s="99">
        <f>IF(AND(Database!KM39&gt;1,Database!KM40&gt;1),100*(Database!KM39/(Database!KM40)),0.0001)</f>
        <v>1E-4</v>
      </c>
      <c r="EU113" s="99">
        <f>IF(AND(Database!KO39&gt;1,Database!KO40&gt;1),100*(Database!KO39/(Database!KO40)),0.0001)</f>
        <v>1E-4</v>
      </c>
      <c r="EV113" s="99">
        <f>IF(AND(Database!KQ39&gt;1,Database!KQ40&gt;1),100*(Database!KQ39/(Database!KQ40)),0.0001)</f>
        <v>1E-4</v>
      </c>
      <c r="EW113" s="99">
        <f>IF(AND(Database!KS39&gt;1,Database!KS40&gt;1),100*(Database!KS39/(Database!KS40)),0.0001)</f>
        <v>1E-4</v>
      </c>
      <c r="EX113" s="99">
        <f>IF(AND(Database!KU39&gt;1,Database!KU40&gt;1),100*(Database!KU39/(Database!KU40)),0.0001)</f>
        <v>1E-4</v>
      </c>
      <c r="EY113" s="99">
        <f>IF(AND(Database!KW39&gt;1,Database!KW40&gt;1),100*(Database!KW39/(Database!KW40)),0.0001)</f>
        <v>1E-4</v>
      </c>
      <c r="EZ113" s="99">
        <f>IF(AND(Database!KY39&gt;1,Database!KY40&gt;1),100*(Database!KY39/(Database!KY40)),0.0001)</f>
        <v>1E-4</v>
      </c>
      <c r="FA113" s="99">
        <f>IF(AND(Database!LA39&gt;1,Database!LA40&gt;1),100*(Database!LA39/(Database!LA40)),0.0001)</f>
        <v>1E-4</v>
      </c>
      <c r="FB113" s="99">
        <f>IF(AND(Database!LC39&gt;1,Database!LC40&gt;1),100*(Database!LC39/(Database!LC40)),0.0001)</f>
        <v>1E-4</v>
      </c>
      <c r="FC113" s="99">
        <f>IF(AND(Database!LE39&gt;1,Database!LE40&gt;1),100*(Database!LE39/(Database!LE40)),0.0001)</f>
        <v>1E-4</v>
      </c>
      <c r="FD113" s="99">
        <f>IF(AND(Database!LG39&gt;1,Database!LG40&gt;1),100*(Database!LG39/(Database!LG40)),0.0001)</f>
        <v>1E-4</v>
      </c>
      <c r="FE113" s="99">
        <f>IF(AND(Database!LI39&gt;1,Database!LI40&gt;1),100*(Database!LI39/(Database!LI40)),0.0001)</f>
        <v>1E-4</v>
      </c>
      <c r="FF113" s="99">
        <f>IF(AND(Database!LK39&gt;1,Database!LK40&gt;1),100*(Database!LK39/(Database!LK40)),0.0001)</f>
        <v>1E-4</v>
      </c>
      <c r="FG113" s="99">
        <f>IF(AND(Database!LM39&gt;1,Database!LM40&gt;1),100*(Database!LM39/(Database!LM40)),0.0001)</f>
        <v>1E-4</v>
      </c>
      <c r="FH113" s="99">
        <f>IF(AND(Database!LO39&gt;1,Database!LO40&gt;1),100*(Database!LO39/(Database!LO40)),0.0001)</f>
        <v>1E-4</v>
      </c>
      <c r="FI113" s="99">
        <f>IF(AND(Database!LQ39&gt;1,Database!LQ40&gt;1),100*(Database!LQ39/(Database!LQ40)),0.0001)</f>
        <v>1E-4</v>
      </c>
      <c r="FJ113" s="99">
        <f>IF(AND(Database!LS39&gt;1,Database!LS40&gt;1),100*(Database!LS39/(Database!LS40)),0.0001)</f>
        <v>1E-4</v>
      </c>
      <c r="FK113" s="99">
        <f>IF(AND(Database!LU39&gt;1,Database!LU40&gt;1),100*(Database!LU39/(Database!LU40)),0.0001)</f>
        <v>1E-4</v>
      </c>
      <c r="FL113" s="99">
        <f>IF(AND(Database!LW39&gt;1,Database!LW40&gt;1),100*(Database!LW39/(Database!LW40)),0.0001)</f>
        <v>1E-4</v>
      </c>
      <c r="FM113" s="99">
        <f>IF(AND(Database!LY39&gt;1,Database!LY40&gt;1),100*(Database!LY39/(Database!LY40)),0.0001)</f>
        <v>1E-4</v>
      </c>
      <c r="FN113" s="99">
        <f>IF(AND(Database!MA39&gt;1,Database!MA40&gt;1),100*(Database!MA39/(Database!MA40)),0.0001)</f>
        <v>1E-4</v>
      </c>
      <c r="FO113" s="99">
        <f>IF(AND(Database!MC39&gt;1,Database!MC40&gt;1),100*(Database!MC39/(Database!MC40)),0.0001)</f>
        <v>1E-4</v>
      </c>
      <c r="FP113" s="99">
        <f>IF(AND(Database!ME39&gt;1,Database!ME40&gt;1),100*(Database!ME39/(Database!ME40)),0.0001)</f>
        <v>1E-4</v>
      </c>
      <c r="FQ113" s="99">
        <f>IF(AND(Database!MG39&gt;1,Database!MG40&gt;1),100*(Database!MG39/(Database!MG40)),0.0001)</f>
        <v>1E-4</v>
      </c>
      <c r="FR113" s="99">
        <f>IF(AND(Database!MI39&gt;1,Database!MI40&gt;1),100*(Database!MI39/(Database!MI40)),0.0001)</f>
        <v>1E-4</v>
      </c>
      <c r="FS113" s="99">
        <f>IF(AND(Database!MK39&gt;1,Database!MK40&gt;1),100*(Database!MK39/(Database!MK40)),0.0001)</f>
        <v>1E-4</v>
      </c>
      <c r="FT113" s="99">
        <f>IF(AND(Database!MM39&gt;1,Database!MM40&gt;1),100*(Database!MM39/(Database!MM40)),0.0001)</f>
        <v>1E-4</v>
      </c>
      <c r="FU113" s="99">
        <f>IF(AND(Database!MO39&gt;1,Database!MO40&gt;1),100*(Database!MO39/(Database!MO40)),0.0001)</f>
        <v>1E-4</v>
      </c>
      <c r="FV113" s="99">
        <f>IF(AND(Database!MQ39&gt;1,Database!MQ40&gt;1),100*(Database!MQ39/(Database!MQ40)),0.0001)</f>
        <v>1E-4</v>
      </c>
      <c r="FW113" s="99">
        <f>IF(AND(Database!MS39&gt;1,Database!MS40&gt;1),100*(Database!MS39/(Database!MS40)),0.0001)</f>
        <v>1E-4</v>
      </c>
      <c r="FX113" s="99">
        <f>IF(AND(Database!MU39&gt;1,Database!MU40&gt;1),100*(Database!MU39/(Database!MU40)),0.0001)</f>
        <v>1E-4</v>
      </c>
      <c r="FY113" s="99">
        <f>IF(AND(Database!MW39&gt;1,Database!MW40&gt;1),100*(Database!MW39/(Database!MW40)),0.0001)</f>
        <v>1E-4</v>
      </c>
      <c r="FZ113" s="99">
        <f>IF(AND(Database!MY39&gt;1,Database!MY40&gt;1),100*(Database!MY39/(Database!MY40)),0.0001)</f>
        <v>1E-4</v>
      </c>
      <c r="GA113" s="99">
        <f>IF(AND(Database!NA39&gt;1,Database!NA40&gt;1),100*(Database!NA39/(Database!NA40)),0.0001)</f>
        <v>1E-4</v>
      </c>
      <c r="GB113" s="99">
        <f>IF(AND(Database!NC39&gt;1,Database!NC40&gt;1),100*(Database!NC39/(Database!NC40)),0.0001)</f>
        <v>1E-4</v>
      </c>
      <c r="GC113" s="99">
        <f>IF(AND(Database!NE39&gt;1,Database!NE40&gt;1),100*(Database!NE39/(Database!NE40)),0.0001)</f>
        <v>1E-4</v>
      </c>
      <c r="GD113" s="99">
        <f>IF(AND(Database!NG39&gt;1,Database!NG40&gt;1),100*(Database!NG39/(Database!NG40)),0.0001)</f>
        <v>1E-4</v>
      </c>
      <c r="GE113" s="99">
        <f>IF(AND(Database!NI39&gt;1,Database!NI40&gt;1),100*(Database!NI39/(Database!NI40)),0.0001)</f>
        <v>1E-4</v>
      </c>
      <c r="GF113" s="99">
        <f>IF(AND(Database!NK39&gt;1,Database!NK40&gt;1),100*(Database!NK39/(Database!NK40)),0.0001)</f>
        <v>1E-4</v>
      </c>
      <c r="GG113" s="99">
        <f>IF(AND(Database!NM39&gt;1,Database!NM40&gt;1),100*(Database!NM39/(Database!NM40)),0.0001)</f>
        <v>1E-4</v>
      </c>
      <c r="GH113" s="99">
        <f>IF(AND(Database!NO39&gt;1,Database!NO40&gt;1),100*(Database!NO39/(Database!NO40)),0.0001)</f>
        <v>1E-4</v>
      </c>
      <c r="GI113" s="99">
        <f>IF(AND(Database!NQ39&gt;1,Database!NQ40&gt;1),100*(Database!NQ39/(Database!NQ40)),0.0001)</f>
        <v>1E-4</v>
      </c>
      <c r="GJ113" s="99">
        <f>IF(AND(Database!NS39&gt;1,Database!NS40&gt;1),100*(Database!NS39/(Database!NS40)),0.0001)</f>
        <v>1E-4</v>
      </c>
      <c r="GK113" s="99">
        <f>IF(AND(Database!NU39&gt;1,Database!NU40&gt;1),100*(Database!NU39/(Database!NU40)),0.0001)</f>
        <v>1E-4</v>
      </c>
      <c r="GL113" s="99">
        <f>IF(AND(Database!NW39&gt;1,Database!NW40&gt;1),100*(Database!NW39/(Database!NW40)),0.0001)</f>
        <v>1E-4</v>
      </c>
      <c r="GM113" s="99">
        <f>IF(AND(Database!NY39&gt;1,Database!NY40&gt;1),100*(Database!NY39/(Database!NY40)),0.0001)</f>
        <v>1E-4</v>
      </c>
      <c r="GN113" s="99">
        <f>IF(AND(Database!OA39&gt;1,Database!OA40&gt;1),100*(Database!OA39/(Database!OA40)),0.0001)</f>
        <v>1E-4</v>
      </c>
      <c r="GO113" s="99">
        <f>IF(AND(Database!OC39&gt;1,Database!OC40&gt;1),100*(Database!OC39/(Database!OC40)),0.0001)</f>
        <v>1E-4</v>
      </c>
      <c r="GP113" s="99">
        <f>IF(AND(Database!OE39&gt;1,Database!OE40&gt;1),100*(Database!OE39/(Database!OE40)),0.0001)</f>
        <v>1E-4</v>
      </c>
      <c r="GQ113" s="99">
        <f>IF(AND(Database!OG39&gt;1,Database!OG40&gt;1),100*(Database!OG39/(Database!OG40)),0.0001)</f>
        <v>1E-4</v>
      </c>
      <c r="GR113" s="99">
        <f>IF(AND(Database!OI39&gt;1,Database!OI40&gt;1),100*(Database!OI39/(Database!OI40)),0.0001)</f>
        <v>1E-4</v>
      </c>
      <c r="GS113" s="99">
        <f>IF(AND(Database!OK39&gt;1,Database!OK40&gt;1),100*(Database!OK39/(Database!OK40)),0.0001)</f>
        <v>1E-4</v>
      </c>
      <c r="GT113" s="99">
        <f>IF(AND(Database!OM39&gt;1,Database!OM40&gt;1),100*(Database!OM39/(Database!OM40)),0.0001)</f>
        <v>1E-4</v>
      </c>
    </row>
    <row r="114" spans="1:202" ht="18.75" customHeight="1" x14ac:dyDescent="0.4">
      <c r="A114" s="29" t="s">
        <v>124</v>
      </c>
      <c r="B114" s="306"/>
      <c r="C114" s="99">
        <f>IF(AND(Database!E40&gt;1,Database!E43&gt;1),100*(Database!E40/(Database!E43)),0.0001)</f>
        <v>83.839462655534263</v>
      </c>
      <c r="D114" s="99">
        <f>IF(AND(Database!G40&gt;1,Database!G43&gt;1),100*(Database!G40/(Database!G43)),0.0001)</f>
        <v>206.28736508446016</v>
      </c>
      <c r="E114" s="99">
        <f>IF(AND(Database!I40&gt;1,Database!I43&gt;1),100*(Database!I40/(Database!I43)),0.0001)</f>
        <v>195.94179202092872</v>
      </c>
      <c r="F114" s="99">
        <f>IF(AND(Database!K40&gt;1,Database!K43&gt;1),100*(Database!K40/(Database!K43)),0.0001)</f>
        <v>186.98633160210102</v>
      </c>
      <c r="G114" s="99">
        <f>IF(AND(Database!M40&gt;1,Database!M43&gt;1),100*(Database!M40/(Database!M43)),0.0001)</f>
        <v>1E-4</v>
      </c>
      <c r="H114" s="99">
        <f>IF(AND(Database!O40&gt;1,Database!O43&gt;1),100*(Database!O40/(Database!O43)),0.0001)</f>
        <v>1E-4</v>
      </c>
      <c r="I114" s="99">
        <f>IF(AND(Database!Q40&gt;1,Database!Q43&gt;1),100*(Database!Q40/(Database!Q43)),0.0001)</f>
        <v>1E-4</v>
      </c>
      <c r="J114" s="99">
        <f>IF(AND(Database!S40&gt;1,Database!S43&gt;1),100*(Database!S40/(Database!S43)),0.0001)</f>
        <v>1E-4</v>
      </c>
      <c r="K114" s="99">
        <f>IF(AND(Database!U40&gt;1,Database!U43&gt;1),100*(Database!U40/(Database!U43)),0.0001)</f>
        <v>1E-4</v>
      </c>
      <c r="L114" s="99">
        <f>IF(AND(Database!W40&gt;1,Database!W43&gt;1),100*(Database!W40/(Database!W43)),0.0001)</f>
        <v>1E-4</v>
      </c>
      <c r="M114" s="99">
        <f>IF(AND(Database!Y40&gt;1,Database!Y43&gt;1),100*(Database!Y40/(Database!Y43)),0.0001)</f>
        <v>1E-4</v>
      </c>
      <c r="N114" s="99">
        <f>IF(AND(Database!AA40&gt;1,Database!AA43&gt;1),100*(Database!AA40/(Database!AA43)),0.0001)</f>
        <v>1E-4</v>
      </c>
      <c r="O114" s="99">
        <f>IF(AND(Database!AC40&gt;1,Database!AC43&gt;1),100*(Database!AC40/(Database!AC43)),0.0001)</f>
        <v>1E-4</v>
      </c>
      <c r="P114" s="99">
        <f>IF(AND(Database!AE40&gt;1,Database!AE43&gt;1),100*(Database!AE40/(Database!AE43)),0.0001)</f>
        <v>1E-4</v>
      </c>
      <c r="Q114" s="99">
        <f>IF(AND(Database!AG40&gt;1,Database!AG43&gt;1),100*(Database!AG40/(Database!AG43)),0.0001)</f>
        <v>1E-4</v>
      </c>
      <c r="R114" s="99">
        <f>IF(AND(Database!AI40&gt;1,Database!AI43&gt;1),100*(Database!AI40/(Database!AI43)),0.0001)</f>
        <v>1E-4</v>
      </c>
      <c r="S114" s="99">
        <f>IF(AND(Database!AK40&gt;1,Database!AK43&gt;1),100*(Database!AK40/(Database!AK43)),0.0001)</f>
        <v>1E-4</v>
      </c>
      <c r="T114" s="99">
        <f>IF(AND(Database!AM40&gt;1,Database!AM43&gt;1),100*(Database!AM40/(Database!AM43)),0.0001)</f>
        <v>1E-4</v>
      </c>
      <c r="U114" s="99">
        <f>IF(AND(Database!AO40&gt;1,Database!AO43&gt;1),100*(Database!AO40/(Database!AO43)),0.0001)</f>
        <v>1E-4</v>
      </c>
      <c r="V114" s="99">
        <f>IF(AND(Database!AQ40&gt;1,Database!AQ43&gt;1),100*(Database!AQ40/(Database!AQ43)),0.0001)</f>
        <v>1E-4</v>
      </c>
      <c r="W114" s="99">
        <f>IF(AND(Database!AS40&gt;1,Database!AS43&gt;1),100*(Database!AS40/(Database!AS43)),0.0001)</f>
        <v>1E-4</v>
      </c>
      <c r="X114" s="99">
        <f>IF(AND(Database!AU40&gt;1,Database!AU43&gt;1),100*(Database!AU40/(Database!AU43)),0.0001)</f>
        <v>1E-4</v>
      </c>
      <c r="Y114" s="99">
        <f>IF(AND(Database!AW40&gt;1,Database!AW43&gt;1),100*(Database!AW40/(Database!AW43)),0.0001)</f>
        <v>1E-4</v>
      </c>
      <c r="Z114" s="99">
        <f>IF(AND(Database!AY40&gt;1,Database!AY43&gt;1),100*(Database!AY40/(Database!AY43)),0.0001)</f>
        <v>1E-4</v>
      </c>
      <c r="AA114" s="99">
        <f>IF(AND(Database!BA40&gt;1,Database!BA43&gt;1),100*(Database!BA40/(Database!BA43)),0.0001)</f>
        <v>1E-4</v>
      </c>
      <c r="AB114" s="99">
        <f>IF(AND(Database!BC40&gt;1,Database!BC43&gt;1),100*(Database!BC40/(Database!BC43)),0.0001)</f>
        <v>1E-4</v>
      </c>
      <c r="AC114" s="99">
        <f>IF(AND(Database!BE40&gt;1,Database!BE43&gt;1),100*(Database!BE40/(Database!BE43)),0.0001)</f>
        <v>1E-4</v>
      </c>
      <c r="AD114" s="99">
        <f>IF(AND(Database!BG40&gt;1,Database!BG43&gt;1),100*(Database!BG40/(Database!BG43)),0.0001)</f>
        <v>1E-4</v>
      </c>
      <c r="AE114" s="99">
        <f>IF(AND(Database!BI40&gt;1,Database!BI43&gt;1),100*(Database!BI40/(Database!BI43)),0.0001)</f>
        <v>1E-4</v>
      </c>
      <c r="AF114" s="99">
        <f>IF(AND(Database!BK40&gt;1,Database!BK43&gt;1),100*(Database!BK40/(Database!BK43)),0.0001)</f>
        <v>1E-4</v>
      </c>
      <c r="AG114" s="99">
        <f>IF(AND(Database!BM40&gt;1,Database!BM43&gt;1),100*(Database!BM40/(Database!BM43)),0.0001)</f>
        <v>1E-4</v>
      </c>
      <c r="AH114" s="99">
        <f>IF(AND(Database!BO40&gt;1,Database!BO43&gt;1),100*(Database!BO40/(Database!BO43)),0.0001)</f>
        <v>1E-4</v>
      </c>
      <c r="AI114" s="99">
        <f>IF(AND(Database!BQ40&gt;1,Database!BQ43&gt;1),100*(Database!BQ40/(Database!BQ43)),0.0001)</f>
        <v>1E-4</v>
      </c>
      <c r="AJ114" s="99">
        <f>IF(AND(Database!BS40&gt;1,Database!BS43&gt;1),100*(Database!BS40/(Database!BS43)),0.0001)</f>
        <v>1E-4</v>
      </c>
      <c r="AK114" s="99">
        <f>IF(AND(Database!BU40&gt;1,Database!BU43&gt;1),100*(Database!BU40/(Database!BU43)),0.0001)</f>
        <v>1E-4</v>
      </c>
      <c r="AL114" s="99">
        <f>IF(AND(Database!BW40&gt;1,Database!BW43&gt;1),100*(Database!BW40/(Database!BW43)),0.0001)</f>
        <v>1E-4</v>
      </c>
      <c r="AM114" s="99">
        <f>IF(AND(Database!BY40&gt;1,Database!BY43&gt;1),100*(Database!BY40/(Database!BY43)),0.0001)</f>
        <v>1E-4</v>
      </c>
      <c r="AN114" s="99">
        <f>IF(AND(Database!CA40&gt;1,Database!CA43&gt;1),100*(Database!CA40/(Database!CA43)),0.0001)</f>
        <v>1E-4</v>
      </c>
      <c r="AO114" s="99">
        <f>IF(AND(Database!CC40&gt;1,Database!CC43&gt;1),100*(Database!CC40/(Database!CC43)),0.0001)</f>
        <v>1E-4</v>
      </c>
      <c r="AP114" s="99">
        <f>IF(AND(Database!CE40&gt;1,Database!CE43&gt;1),100*(Database!CE40/(Database!CE43)),0.0001)</f>
        <v>1E-4</v>
      </c>
      <c r="AQ114" s="99">
        <f>IF(AND(Database!CG40&gt;1,Database!CG43&gt;1),100*(Database!CG40/(Database!CG43)),0.0001)</f>
        <v>1E-4</v>
      </c>
      <c r="AR114" s="99">
        <f>IF(AND(Database!CI40&gt;1,Database!CI43&gt;1),100*(Database!CI40/(Database!CI43)),0.0001)</f>
        <v>1E-4</v>
      </c>
      <c r="AS114" s="99">
        <f>IF(AND(Database!CK40&gt;1,Database!CK43&gt;1),100*(Database!CK40/(Database!CK43)),0.0001)</f>
        <v>1E-4</v>
      </c>
      <c r="AT114" s="99">
        <f>IF(AND(Database!CM40&gt;1,Database!CM43&gt;1),100*(Database!CM40/(Database!CM43)),0.0001)</f>
        <v>1E-4</v>
      </c>
      <c r="AU114" s="99">
        <f>IF(AND(Database!CO40&gt;1,Database!CO43&gt;1),100*(Database!CO40/(Database!CO43)),0.0001)</f>
        <v>1E-4</v>
      </c>
      <c r="AV114" s="99">
        <f>IF(AND(Database!CQ40&gt;1,Database!CQ43&gt;1),100*(Database!CQ40/(Database!CQ43)),0.0001)</f>
        <v>1E-4</v>
      </c>
      <c r="AW114" s="99">
        <f>IF(AND(Database!CS40&gt;1,Database!CS43&gt;1),100*(Database!CS40/(Database!CS43)),0.0001)</f>
        <v>1E-4</v>
      </c>
      <c r="AX114" s="99">
        <f>IF(AND(Database!CU40&gt;1,Database!CU43&gt;1),100*(Database!CU40/(Database!CU43)),0.0001)</f>
        <v>1E-4</v>
      </c>
      <c r="AY114" s="99">
        <f>IF(AND(Database!CW40&gt;1,Database!CW43&gt;1),100*(Database!CW40/(Database!CW43)),0.0001)</f>
        <v>1E-4</v>
      </c>
      <c r="AZ114" s="99">
        <f>IF(AND(Database!CY40&gt;1,Database!CY43&gt;1),100*(Database!CY40/(Database!CY43)),0.0001)</f>
        <v>1E-4</v>
      </c>
      <c r="BA114" s="99">
        <f>IF(AND(Database!DA40&gt;1,Database!DA43&gt;1),100*(Database!DA40/(Database!DA43)),0.0001)</f>
        <v>1E-4</v>
      </c>
      <c r="BB114" s="99">
        <f>IF(AND(Database!DC40&gt;1,Database!DC43&gt;1),100*(Database!DC40/(Database!DC43)),0.0001)</f>
        <v>1E-4</v>
      </c>
      <c r="BC114" s="99">
        <f>IF(AND(Database!DE40&gt;1,Database!DE43&gt;1),100*(Database!DE40/(Database!DE43)),0.0001)</f>
        <v>1E-4</v>
      </c>
      <c r="BD114" s="99">
        <f>IF(AND(Database!DG40&gt;1,Database!DG43&gt;1),100*(Database!DG40/(Database!DG43)),0.0001)</f>
        <v>1E-4</v>
      </c>
      <c r="BE114" s="99">
        <f>IF(AND(Database!DI40&gt;1,Database!DI43&gt;1),100*(Database!DI40/(Database!DI43)),0.0001)</f>
        <v>1E-4</v>
      </c>
      <c r="BF114" s="99">
        <f>IF(AND(Database!DK40&gt;1,Database!DK43&gt;1),100*(Database!DK40/(Database!DK43)),0.0001)</f>
        <v>1E-4</v>
      </c>
      <c r="BG114" s="99">
        <f>IF(AND(Database!DM40&gt;1,Database!DM43&gt;1),100*(Database!DM40/(Database!DM43)),0.0001)</f>
        <v>1E-4</v>
      </c>
      <c r="BH114" s="99">
        <f>IF(AND(Database!DO40&gt;1,Database!DO43&gt;1),100*(Database!DO40/(Database!DO43)),0.0001)</f>
        <v>1E-4</v>
      </c>
      <c r="BI114" s="99">
        <f>IF(AND(Database!DQ40&gt;1,Database!DQ43&gt;1),100*(Database!DQ40/(Database!DQ43)),0.0001)</f>
        <v>1E-4</v>
      </c>
      <c r="BJ114" s="99">
        <f>IF(AND(Database!DS40&gt;1,Database!DS43&gt;1),100*(Database!DS40/(Database!DS43)),0.0001)</f>
        <v>1E-4</v>
      </c>
      <c r="BK114" s="99">
        <f>IF(AND(Database!DU40&gt;1,Database!DU43&gt;1),100*(Database!DU40/(Database!DU43)),0.0001)</f>
        <v>1E-4</v>
      </c>
      <c r="BL114" s="99">
        <f>IF(AND(Database!DW40&gt;1,Database!DW43&gt;1),100*(Database!DW40/(Database!DW43)),0.0001)</f>
        <v>1E-4</v>
      </c>
      <c r="BM114" s="99">
        <f>IF(AND(Database!DY40&gt;1,Database!DY43&gt;1),100*(Database!DY40/(Database!DY43)),0.0001)</f>
        <v>1E-4</v>
      </c>
      <c r="BN114" s="99">
        <f>IF(AND(Database!EA40&gt;1,Database!EA43&gt;1),100*(Database!EA40/(Database!EA43)),0.0001)</f>
        <v>1E-4</v>
      </c>
      <c r="BO114" s="99">
        <f>IF(AND(Database!EC40&gt;1,Database!EC43&gt;1),100*(Database!EC40/(Database!EC43)),0.0001)</f>
        <v>1E-4</v>
      </c>
      <c r="BP114" s="99">
        <f>IF(AND(Database!EE40&gt;1,Database!EE43&gt;1),100*(Database!EE40/(Database!EE43)),0.0001)</f>
        <v>1E-4</v>
      </c>
      <c r="BQ114" s="99">
        <f>IF(AND(Database!EG40&gt;1,Database!EG43&gt;1),100*(Database!EG40/(Database!EG43)),0.0001)</f>
        <v>1E-4</v>
      </c>
      <c r="BR114" s="99">
        <f>IF(AND(Database!EI40&gt;1,Database!EI43&gt;1),100*(Database!EI40/(Database!EI43)),0.0001)</f>
        <v>1E-4</v>
      </c>
      <c r="BS114" s="99">
        <f>IF(AND(Database!EK40&gt;1,Database!EK43&gt;1),100*(Database!EK40/(Database!EK43)),0.0001)</f>
        <v>1E-4</v>
      </c>
      <c r="BT114" s="99">
        <f>IF(AND(Database!EM40&gt;1,Database!EM43&gt;1),100*(Database!EM40/(Database!EM43)),0.0001)</f>
        <v>1E-4</v>
      </c>
      <c r="BU114" s="99">
        <f>IF(AND(Database!EO40&gt;1,Database!EO43&gt;1),100*(Database!EO40/(Database!EO43)),0.0001)</f>
        <v>1E-4</v>
      </c>
      <c r="BV114" s="99">
        <f>IF(AND(Database!EQ40&gt;1,Database!EQ43&gt;1),100*(Database!EQ40/(Database!EQ43)),0.0001)</f>
        <v>1E-4</v>
      </c>
      <c r="BW114" s="99">
        <f>IF(AND(Database!ES40&gt;1,Database!ES43&gt;1),100*(Database!ES40/(Database!ES43)),0.0001)</f>
        <v>1E-4</v>
      </c>
      <c r="BX114" s="99">
        <f>IF(AND(Database!EU40&gt;1,Database!EU43&gt;1),100*(Database!EU40/(Database!EU43)),0.0001)</f>
        <v>1E-4</v>
      </c>
      <c r="BY114" s="99">
        <f>IF(AND(Database!EW40&gt;1,Database!EW43&gt;1),100*(Database!EW40/(Database!EW43)),0.0001)</f>
        <v>1E-4</v>
      </c>
      <c r="BZ114" s="99">
        <f>IF(AND(Database!EY40&gt;1,Database!EY43&gt;1),100*(Database!EY40/(Database!EY43)),0.0001)</f>
        <v>1E-4</v>
      </c>
      <c r="CA114" s="99">
        <f>IF(AND(Database!FA40&gt;1,Database!FA43&gt;1),100*(Database!FA40/(Database!FA43)),0.0001)</f>
        <v>1E-4</v>
      </c>
      <c r="CB114" s="99">
        <f>IF(AND(Database!FC40&gt;1,Database!FC43&gt;1),100*(Database!FC40/(Database!FC43)),0.0001)</f>
        <v>1E-4</v>
      </c>
      <c r="CC114" s="99">
        <f>IF(AND(Database!FE40&gt;1,Database!FE43&gt;1),100*(Database!FE40/(Database!FE43)),0.0001)</f>
        <v>1E-4</v>
      </c>
      <c r="CD114" s="99">
        <f>IF(AND(Database!FG40&gt;1,Database!FG43&gt;1),100*(Database!FG40/(Database!FG43)),0.0001)</f>
        <v>1E-4</v>
      </c>
      <c r="CE114" s="99">
        <f>IF(AND(Database!FI40&gt;1,Database!FI43&gt;1),100*(Database!FI40/(Database!FI43)),0.0001)</f>
        <v>1E-4</v>
      </c>
      <c r="CF114" s="99">
        <f>IF(AND(Database!FK40&gt;1,Database!FK43&gt;1),100*(Database!FK40/(Database!FK43)),0.0001)</f>
        <v>1E-4</v>
      </c>
      <c r="CG114" s="99">
        <f>IF(AND(Database!FM40&gt;1,Database!FM43&gt;1),100*(Database!FM40/(Database!FM43)),0.0001)</f>
        <v>1E-4</v>
      </c>
      <c r="CH114" s="99">
        <f>IF(AND(Database!FO40&gt;1,Database!FO43&gt;1),100*(Database!FO40/(Database!FO43)),0.0001)</f>
        <v>1E-4</v>
      </c>
      <c r="CI114" s="99">
        <f>IF(AND(Database!FQ40&gt;1,Database!FQ43&gt;1),100*(Database!FQ40/(Database!FQ43)),0.0001)</f>
        <v>1E-4</v>
      </c>
      <c r="CJ114" s="99">
        <f>IF(AND(Database!FS40&gt;1,Database!FS43&gt;1),100*(Database!FS40/(Database!FS43)),0.0001)</f>
        <v>1E-4</v>
      </c>
      <c r="CK114" s="99">
        <f>IF(AND(Database!FU40&gt;1,Database!FU43&gt;1),100*(Database!FU40/(Database!FU43)),0.0001)</f>
        <v>1E-4</v>
      </c>
      <c r="CL114" s="99">
        <f>IF(AND(Database!FW40&gt;1,Database!FW43&gt;1),100*(Database!FW40/(Database!FW43)),0.0001)</f>
        <v>1E-4</v>
      </c>
      <c r="CM114" s="99">
        <f>IF(AND(Database!FY40&gt;1,Database!FY43&gt;1),100*(Database!FY40/(Database!FY43)),0.0001)</f>
        <v>1E-4</v>
      </c>
      <c r="CN114" s="99">
        <f>IF(AND(Database!GA40&gt;1,Database!GA43&gt;1),100*(Database!GA40/(Database!GA43)),0.0001)</f>
        <v>1E-4</v>
      </c>
      <c r="CO114" s="99">
        <f>IF(AND(Database!GC40&gt;1,Database!GC43&gt;1),100*(Database!GC40/(Database!GC43)),0.0001)</f>
        <v>1E-4</v>
      </c>
      <c r="CP114" s="99">
        <f>IF(AND(Database!GE40&gt;1,Database!GE43&gt;1),100*(Database!GE40/(Database!GE43)),0.0001)</f>
        <v>1E-4</v>
      </c>
      <c r="CQ114" s="99">
        <f>IF(AND(Database!GG40&gt;1,Database!GG43&gt;1),100*(Database!GG40/(Database!GG43)),0.0001)</f>
        <v>1E-4</v>
      </c>
      <c r="CR114" s="99">
        <f>IF(AND(Database!GI40&gt;1,Database!GI43&gt;1),100*(Database!GI40/(Database!GI43)),0.0001)</f>
        <v>1E-4</v>
      </c>
      <c r="CS114" s="99">
        <f>IF(AND(Database!GK40&gt;1,Database!GK43&gt;1),100*(Database!GK40/(Database!GK43)),0.0001)</f>
        <v>1E-4</v>
      </c>
      <c r="CT114" s="99">
        <f>IF(AND(Database!GM40&gt;1,Database!GM43&gt;1),100*(Database!GM40/(Database!GM43)),0.0001)</f>
        <v>1E-4</v>
      </c>
      <c r="CU114" s="99">
        <f>IF(AND(Database!GO40&gt;1,Database!GO43&gt;1),100*(Database!GO40/(Database!GO43)),0.0001)</f>
        <v>1E-4</v>
      </c>
      <c r="CV114" s="99">
        <f>IF(AND(Database!GQ40&gt;1,Database!GQ43&gt;1),100*(Database!GQ40/(Database!GQ43)),0.0001)</f>
        <v>1E-4</v>
      </c>
      <c r="CW114" s="99">
        <f>IF(AND(Database!GS40&gt;1,Database!GS43&gt;1),100*(Database!GS40/(Database!GS43)),0.0001)</f>
        <v>1E-4</v>
      </c>
      <c r="CX114" s="99">
        <f>IF(AND(Database!GU40&gt;1,Database!GU43&gt;1),100*(Database!GU40/(Database!GU43)),0.0001)</f>
        <v>1E-4</v>
      </c>
      <c r="CY114" s="99">
        <f>IF(AND(Database!GW40&gt;1,Database!GW43&gt;1),100*(Database!GW40/(Database!GW43)),0.0001)</f>
        <v>1E-4</v>
      </c>
      <c r="CZ114" s="99">
        <f>IF(AND(Database!GY40&gt;1,Database!GY43&gt;1),100*(Database!GY40/(Database!GY43)),0.0001)</f>
        <v>1E-4</v>
      </c>
      <c r="DA114" s="99">
        <f>IF(AND(Database!HA40&gt;1,Database!HA43&gt;1),100*(Database!HA40/(Database!HA43)),0.0001)</f>
        <v>1E-4</v>
      </c>
      <c r="DB114" s="99">
        <f>IF(AND(Database!HC40&gt;1,Database!HC43&gt;1),100*(Database!HC40/(Database!HC43)),0.0001)</f>
        <v>1E-4</v>
      </c>
      <c r="DC114" s="99">
        <f>IF(AND(Database!HE40&gt;1,Database!HE43&gt;1),100*(Database!HE40/(Database!HE43)),0.0001)</f>
        <v>1E-4</v>
      </c>
      <c r="DD114" s="99">
        <f>IF(AND(Database!HG40&gt;1,Database!HG43&gt;1),100*(Database!HG40/(Database!HG43)),0.0001)</f>
        <v>1E-4</v>
      </c>
      <c r="DE114" s="99">
        <f>IF(AND(Database!HI40&gt;1,Database!HI43&gt;1),100*(Database!HI40/(Database!HI43)),0.0001)</f>
        <v>1E-4</v>
      </c>
      <c r="DF114" s="99">
        <f>IF(AND(Database!HK40&gt;1,Database!HK43&gt;1),100*(Database!HK40/(Database!HK43)),0.0001)</f>
        <v>1E-4</v>
      </c>
      <c r="DG114" s="99">
        <f>IF(AND(Database!HM40&gt;1,Database!HM43&gt;1),100*(Database!HM40/(Database!HM43)),0.0001)</f>
        <v>1E-4</v>
      </c>
      <c r="DH114" s="99">
        <f>IF(AND(Database!HO40&gt;1,Database!HO43&gt;1),100*(Database!HO40/(Database!HO43)),0.0001)</f>
        <v>1E-4</v>
      </c>
      <c r="DI114" s="99">
        <f>IF(AND(Database!HQ40&gt;1,Database!HQ43&gt;1),100*(Database!HQ40/(Database!HQ43)),0.0001)</f>
        <v>1E-4</v>
      </c>
      <c r="DJ114" s="99">
        <f>IF(AND(Database!HS40&gt;1,Database!HS43&gt;1),100*(Database!HS40/(Database!HS43)),0.0001)</f>
        <v>1E-4</v>
      </c>
      <c r="DK114" s="99">
        <f>IF(AND(Database!HU40&gt;1,Database!HU43&gt;1),100*(Database!HU40/(Database!HU43)),0.0001)</f>
        <v>1E-4</v>
      </c>
      <c r="DL114" s="99">
        <f>IF(AND(Database!HW40&gt;1,Database!HW43&gt;1),100*(Database!HW40/(Database!HW43)),0.0001)</f>
        <v>1E-4</v>
      </c>
      <c r="DM114" s="99">
        <f>IF(AND(Database!HY40&gt;1,Database!HY43&gt;1),100*(Database!HY40/(Database!HY43)),0.0001)</f>
        <v>1E-4</v>
      </c>
      <c r="DN114" s="99">
        <f>IF(AND(Database!IA40&gt;1,Database!IA43&gt;1),100*(Database!IA40/(Database!IA43)),0.0001)</f>
        <v>1E-4</v>
      </c>
      <c r="DO114" s="99">
        <f>IF(AND(Database!IC40&gt;1,Database!IC43&gt;1),100*(Database!IC40/(Database!IC43)),0.0001)</f>
        <v>1E-4</v>
      </c>
      <c r="DP114" s="99">
        <f>IF(AND(Database!IE40&gt;1,Database!IE43&gt;1),100*(Database!IE40/(Database!IE43)),0.0001)</f>
        <v>1E-4</v>
      </c>
      <c r="DQ114" s="99">
        <f>IF(AND(Database!IG40&gt;1,Database!IG43&gt;1),100*(Database!IG40/(Database!IG43)),0.0001)</f>
        <v>1E-4</v>
      </c>
      <c r="DR114" s="99">
        <f>IF(AND(Database!II40&gt;1,Database!II43&gt;1),100*(Database!II40/(Database!II43)),0.0001)</f>
        <v>1E-4</v>
      </c>
      <c r="DS114" s="99">
        <f>IF(AND(Database!IK40&gt;1,Database!IK43&gt;1),100*(Database!IK40/(Database!IK43)),0.0001)</f>
        <v>1E-4</v>
      </c>
      <c r="DT114" s="99">
        <f>IF(AND(Database!IM40&gt;1,Database!IM43&gt;1),100*(Database!IM40/(Database!IM43)),0.0001)</f>
        <v>1E-4</v>
      </c>
      <c r="DU114" s="99">
        <f>IF(AND(Database!IO40&gt;1,Database!IO43&gt;1),100*(Database!IO40/(Database!IO43)),0.0001)</f>
        <v>1E-4</v>
      </c>
      <c r="DV114" s="99">
        <f>IF(AND(Database!IQ40&gt;1,Database!IQ43&gt;1),100*(Database!IQ40/(Database!IQ43)),0.0001)</f>
        <v>1E-4</v>
      </c>
      <c r="DW114" s="99">
        <f>IF(AND(Database!IS40&gt;1,Database!IS43&gt;1),100*(Database!IS40/(Database!IS43)),0.0001)</f>
        <v>1E-4</v>
      </c>
      <c r="DX114" s="99">
        <f>IF(AND(Database!IU40&gt;1,Database!IU43&gt;1),100*(Database!IU40/(Database!IU43)),0.0001)</f>
        <v>1E-4</v>
      </c>
      <c r="DY114" s="99">
        <f>IF(AND(Database!IW40&gt;1,Database!IW43&gt;1),100*(Database!IW40/(Database!IW43)),0.0001)</f>
        <v>1E-4</v>
      </c>
      <c r="DZ114" s="99">
        <f>IF(AND(Database!IY40&gt;1,Database!IY43&gt;1),100*(Database!IY40/(Database!IY43)),0.0001)</f>
        <v>1E-4</v>
      </c>
      <c r="EA114" s="99">
        <f>IF(AND(Database!JA40&gt;1,Database!JA43&gt;1),100*(Database!JA40/(Database!JA43)),0.0001)</f>
        <v>1E-4</v>
      </c>
      <c r="EB114" s="99">
        <f>IF(AND(Database!JC40&gt;1,Database!JC43&gt;1),100*(Database!JC40/(Database!JC43)),0.0001)</f>
        <v>1E-4</v>
      </c>
      <c r="EC114" s="99">
        <f>IF(AND(Database!JE40&gt;1,Database!JE43&gt;1),100*(Database!JE40/(Database!JE43)),0.0001)</f>
        <v>1E-4</v>
      </c>
      <c r="ED114" s="99">
        <f>IF(AND(Database!JG40&gt;1,Database!JG43&gt;1),100*(Database!JG40/(Database!JG43)),0.0001)</f>
        <v>1E-4</v>
      </c>
      <c r="EE114" s="99">
        <f>IF(AND(Database!JI40&gt;1,Database!JI43&gt;1),100*(Database!JI40/(Database!JI43)),0.0001)</f>
        <v>1E-4</v>
      </c>
      <c r="EF114" s="99">
        <f>IF(AND(Database!JK40&gt;1,Database!JK43&gt;1),100*(Database!JK40/(Database!JK43)),0.0001)</f>
        <v>1E-4</v>
      </c>
      <c r="EG114" s="99">
        <f>IF(AND(Database!JM40&gt;1,Database!JM43&gt;1),100*(Database!JM40/(Database!JM43)),0.0001)</f>
        <v>1E-4</v>
      </c>
      <c r="EH114" s="99">
        <f>IF(AND(Database!JO40&gt;1,Database!JO43&gt;1),100*(Database!JO40/(Database!JO43)),0.0001)</f>
        <v>1E-4</v>
      </c>
      <c r="EI114" s="99">
        <f>IF(AND(Database!JQ40&gt;1,Database!JQ43&gt;1),100*(Database!JQ40/(Database!JQ43)),0.0001)</f>
        <v>1E-4</v>
      </c>
      <c r="EJ114" s="99">
        <f>IF(AND(Database!JS40&gt;1,Database!JS43&gt;1),100*(Database!JS40/(Database!JS43)),0.0001)</f>
        <v>1E-4</v>
      </c>
      <c r="EK114" s="99">
        <f>IF(AND(Database!JU40&gt;1,Database!JU43&gt;1),100*(Database!JU40/(Database!JU43)),0.0001)</f>
        <v>1E-4</v>
      </c>
      <c r="EL114" s="99">
        <f>IF(AND(Database!JW40&gt;1,Database!JW43&gt;1),100*(Database!JW40/(Database!JW43)),0.0001)</f>
        <v>1E-4</v>
      </c>
      <c r="EM114" s="99">
        <f>IF(AND(Database!JY40&gt;1,Database!JY43&gt;1),100*(Database!JY40/(Database!JY43)),0.0001)</f>
        <v>1E-4</v>
      </c>
      <c r="EN114" s="99">
        <f>IF(AND(Database!KA40&gt;1,Database!KA43&gt;1),100*(Database!KA40/(Database!KA43)),0.0001)</f>
        <v>1E-4</v>
      </c>
      <c r="EO114" s="99">
        <f>IF(AND(Database!KC40&gt;1,Database!KC43&gt;1),100*(Database!KC40/(Database!KC43)),0.0001)</f>
        <v>1E-4</v>
      </c>
      <c r="EP114" s="99">
        <f>IF(AND(Database!KE40&gt;1,Database!KE43&gt;1),100*(Database!KE40/(Database!KE43)),0.0001)</f>
        <v>1E-4</v>
      </c>
      <c r="EQ114" s="99">
        <f>IF(AND(Database!KG40&gt;1,Database!KG43&gt;1),100*(Database!KG40/(Database!KG43)),0.0001)</f>
        <v>1E-4</v>
      </c>
      <c r="ER114" s="99">
        <f>IF(AND(Database!KI40&gt;1,Database!KI43&gt;1),100*(Database!KI40/(Database!KI43)),0.0001)</f>
        <v>1E-4</v>
      </c>
      <c r="ES114" s="99">
        <f>IF(AND(Database!KK40&gt;1,Database!KK43&gt;1),100*(Database!KK40/(Database!KK43)),0.0001)</f>
        <v>1E-4</v>
      </c>
      <c r="ET114" s="99">
        <f>IF(AND(Database!KM40&gt;1,Database!KM43&gt;1),100*(Database!KM40/(Database!KM43)),0.0001)</f>
        <v>1E-4</v>
      </c>
      <c r="EU114" s="99">
        <f>IF(AND(Database!KO40&gt;1,Database!KO43&gt;1),100*(Database!KO40/(Database!KO43)),0.0001)</f>
        <v>1E-4</v>
      </c>
      <c r="EV114" s="99">
        <f>IF(AND(Database!KQ40&gt;1,Database!KQ43&gt;1),100*(Database!KQ40/(Database!KQ43)),0.0001)</f>
        <v>1E-4</v>
      </c>
      <c r="EW114" s="99">
        <f>IF(AND(Database!KS40&gt;1,Database!KS43&gt;1),100*(Database!KS40/(Database!KS43)),0.0001)</f>
        <v>1E-4</v>
      </c>
      <c r="EX114" s="99">
        <f>IF(AND(Database!KU40&gt;1,Database!KU43&gt;1),100*(Database!KU40/(Database!KU43)),0.0001)</f>
        <v>1E-4</v>
      </c>
      <c r="EY114" s="99">
        <f>IF(AND(Database!KW40&gt;1,Database!KW43&gt;1),100*(Database!KW40/(Database!KW43)),0.0001)</f>
        <v>1E-4</v>
      </c>
      <c r="EZ114" s="99">
        <f>IF(AND(Database!KY40&gt;1,Database!KY43&gt;1),100*(Database!KY40/(Database!KY43)),0.0001)</f>
        <v>1E-4</v>
      </c>
      <c r="FA114" s="99">
        <f>IF(AND(Database!LA40&gt;1,Database!LA43&gt;1),100*(Database!LA40/(Database!LA43)),0.0001)</f>
        <v>1E-4</v>
      </c>
      <c r="FB114" s="99">
        <f>IF(AND(Database!LC40&gt;1,Database!LC43&gt;1),100*(Database!LC40/(Database!LC43)),0.0001)</f>
        <v>1E-4</v>
      </c>
      <c r="FC114" s="99">
        <f>IF(AND(Database!LE40&gt;1,Database!LE43&gt;1),100*(Database!LE40/(Database!LE43)),0.0001)</f>
        <v>1E-4</v>
      </c>
      <c r="FD114" s="99">
        <f>IF(AND(Database!LG40&gt;1,Database!LG43&gt;1),100*(Database!LG40/(Database!LG43)),0.0001)</f>
        <v>1E-4</v>
      </c>
      <c r="FE114" s="99">
        <f>IF(AND(Database!LI40&gt;1,Database!LI43&gt;1),100*(Database!LI40/(Database!LI43)),0.0001)</f>
        <v>1E-4</v>
      </c>
      <c r="FF114" s="99">
        <f>IF(AND(Database!LK40&gt;1,Database!LK43&gt;1),100*(Database!LK40/(Database!LK43)),0.0001)</f>
        <v>1E-4</v>
      </c>
      <c r="FG114" s="99">
        <f>IF(AND(Database!LM40&gt;1,Database!LM43&gt;1),100*(Database!LM40/(Database!LM43)),0.0001)</f>
        <v>1E-4</v>
      </c>
      <c r="FH114" s="99">
        <f>IF(AND(Database!LO40&gt;1,Database!LO43&gt;1),100*(Database!LO40/(Database!LO43)),0.0001)</f>
        <v>1E-4</v>
      </c>
      <c r="FI114" s="99">
        <f>IF(AND(Database!LQ40&gt;1,Database!LQ43&gt;1),100*(Database!LQ40/(Database!LQ43)),0.0001)</f>
        <v>1E-4</v>
      </c>
      <c r="FJ114" s="99">
        <f>IF(AND(Database!LS40&gt;1,Database!LS43&gt;1),100*(Database!LS40/(Database!LS43)),0.0001)</f>
        <v>1E-4</v>
      </c>
      <c r="FK114" s="99">
        <f>IF(AND(Database!LU40&gt;1,Database!LU43&gt;1),100*(Database!LU40/(Database!LU43)),0.0001)</f>
        <v>1E-4</v>
      </c>
      <c r="FL114" s="99">
        <f>IF(AND(Database!LW40&gt;1,Database!LW43&gt;1),100*(Database!LW40/(Database!LW43)),0.0001)</f>
        <v>1E-4</v>
      </c>
      <c r="FM114" s="99">
        <f>IF(AND(Database!LY40&gt;1,Database!LY43&gt;1),100*(Database!LY40/(Database!LY43)),0.0001)</f>
        <v>1E-4</v>
      </c>
      <c r="FN114" s="99">
        <f>IF(AND(Database!MA40&gt;1,Database!MA43&gt;1),100*(Database!MA40/(Database!MA43)),0.0001)</f>
        <v>1E-4</v>
      </c>
      <c r="FO114" s="99">
        <f>IF(AND(Database!MC40&gt;1,Database!MC43&gt;1),100*(Database!MC40/(Database!MC43)),0.0001)</f>
        <v>1E-4</v>
      </c>
      <c r="FP114" s="99">
        <f>IF(AND(Database!ME40&gt;1,Database!ME43&gt;1),100*(Database!ME40/(Database!ME43)),0.0001)</f>
        <v>1E-4</v>
      </c>
      <c r="FQ114" s="99">
        <f>IF(AND(Database!MG40&gt;1,Database!MG43&gt;1),100*(Database!MG40/(Database!MG43)),0.0001)</f>
        <v>1E-4</v>
      </c>
      <c r="FR114" s="99">
        <f>IF(AND(Database!MI40&gt;1,Database!MI43&gt;1),100*(Database!MI40/(Database!MI43)),0.0001)</f>
        <v>1E-4</v>
      </c>
      <c r="FS114" s="99">
        <f>IF(AND(Database!MK40&gt;1,Database!MK43&gt;1),100*(Database!MK40/(Database!MK43)),0.0001)</f>
        <v>1E-4</v>
      </c>
      <c r="FT114" s="99">
        <f>IF(AND(Database!MM40&gt;1,Database!MM43&gt;1),100*(Database!MM40/(Database!MM43)),0.0001)</f>
        <v>1E-4</v>
      </c>
      <c r="FU114" s="99">
        <f>IF(AND(Database!MO40&gt;1,Database!MO43&gt;1),100*(Database!MO40/(Database!MO43)),0.0001)</f>
        <v>1E-4</v>
      </c>
      <c r="FV114" s="99">
        <f>IF(AND(Database!MQ40&gt;1,Database!MQ43&gt;1),100*(Database!MQ40/(Database!MQ43)),0.0001)</f>
        <v>1E-4</v>
      </c>
      <c r="FW114" s="99">
        <f>IF(AND(Database!MS40&gt;1,Database!MS43&gt;1),100*(Database!MS40/(Database!MS43)),0.0001)</f>
        <v>1E-4</v>
      </c>
      <c r="FX114" s="99">
        <f>IF(AND(Database!MU40&gt;1,Database!MU43&gt;1),100*(Database!MU40/(Database!MU43)),0.0001)</f>
        <v>1E-4</v>
      </c>
      <c r="FY114" s="99">
        <f>IF(AND(Database!MW40&gt;1,Database!MW43&gt;1),100*(Database!MW40/(Database!MW43)),0.0001)</f>
        <v>1E-4</v>
      </c>
      <c r="FZ114" s="99">
        <f>IF(AND(Database!MY40&gt;1,Database!MY43&gt;1),100*(Database!MY40/(Database!MY43)),0.0001)</f>
        <v>1E-4</v>
      </c>
      <c r="GA114" s="99">
        <f>IF(AND(Database!NA40&gt;1,Database!NA43&gt;1),100*(Database!NA40/(Database!NA43)),0.0001)</f>
        <v>1E-4</v>
      </c>
      <c r="GB114" s="99">
        <f>IF(AND(Database!NC40&gt;1,Database!NC43&gt;1),100*(Database!NC40/(Database!NC43)),0.0001)</f>
        <v>1E-4</v>
      </c>
      <c r="GC114" s="99">
        <f>IF(AND(Database!NE40&gt;1,Database!NE43&gt;1),100*(Database!NE40/(Database!NE43)),0.0001)</f>
        <v>1E-4</v>
      </c>
      <c r="GD114" s="99">
        <f>IF(AND(Database!NG40&gt;1,Database!NG43&gt;1),100*(Database!NG40/(Database!NG43)),0.0001)</f>
        <v>1E-4</v>
      </c>
      <c r="GE114" s="99">
        <f>IF(AND(Database!NI40&gt;1,Database!NI43&gt;1),100*(Database!NI40/(Database!NI43)),0.0001)</f>
        <v>1E-4</v>
      </c>
      <c r="GF114" s="99">
        <f>IF(AND(Database!NK40&gt;1,Database!NK43&gt;1),100*(Database!NK40/(Database!NK43)),0.0001)</f>
        <v>1E-4</v>
      </c>
      <c r="GG114" s="99">
        <f>IF(AND(Database!NM40&gt;1,Database!NM43&gt;1),100*(Database!NM40/(Database!NM43)),0.0001)</f>
        <v>1E-4</v>
      </c>
      <c r="GH114" s="99">
        <f>IF(AND(Database!NO40&gt;1,Database!NO43&gt;1),100*(Database!NO40/(Database!NO43)),0.0001)</f>
        <v>1E-4</v>
      </c>
      <c r="GI114" s="99">
        <f>IF(AND(Database!NQ40&gt;1,Database!NQ43&gt;1),100*(Database!NQ40/(Database!NQ43)),0.0001)</f>
        <v>1E-4</v>
      </c>
      <c r="GJ114" s="99">
        <f>IF(AND(Database!NS40&gt;1,Database!NS43&gt;1),100*(Database!NS40/(Database!NS43)),0.0001)</f>
        <v>1E-4</v>
      </c>
      <c r="GK114" s="99">
        <f>IF(AND(Database!NU40&gt;1,Database!NU43&gt;1),100*(Database!NU40/(Database!NU43)),0.0001)</f>
        <v>1E-4</v>
      </c>
      <c r="GL114" s="99">
        <f>IF(AND(Database!NW40&gt;1,Database!NW43&gt;1),100*(Database!NW40/(Database!NW43)),0.0001)</f>
        <v>1E-4</v>
      </c>
      <c r="GM114" s="99">
        <f>IF(AND(Database!NY40&gt;1,Database!NY43&gt;1),100*(Database!NY40/(Database!NY43)),0.0001)</f>
        <v>1E-4</v>
      </c>
      <c r="GN114" s="99">
        <f>IF(AND(Database!OA40&gt;1,Database!OA43&gt;1),100*(Database!OA40/(Database!OA43)),0.0001)</f>
        <v>1E-4</v>
      </c>
      <c r="GO114" s="99">
        <f>IF(AND(Database!OC40&gt;1,Database!OC43&gt;1),100*(Database!OC40/(Database!OC43)),0.0001)</f>
        <v>1E-4</v>
      </c>
      <c r="GP114" s="99">
        <f>IF(AND(Database!OE40&gt;1,Database!OE43&gt;1),100*(Database!OE40/(Database!OE43)),0.0001)</f>
        <v>1E-4</v>
      </c>
      <c r="GQ114" s="99">
        <f>IF(AND(Database!OG40&gt;1,Database!OG43&gt;1),100*(Database!OG40/(Database!OG43)),0.0001)</f>
        <v>1E-4</v>
      </c>
      <c r="GR114" s="99">
        <f>IF(AND(Database!OI40&gt;1,Database!OI43&gt;1),100*(Database!OI40/(Database!OI43)),0.0001)</f>
        <v>1E-4</v>
      </c>
      <c r="GS114" s="99">
        <f>IF(AND(Database!OK40&gt;1,Database!OK43&gt;1),100*(Database!OK40/(Database!OK43)),0.0001)</f>
        <v>1E-4</v>
      </c>
      <c r="GT114" s="99">
        <f>IF(AND(Database!OM40&gt;1,Database!OM43&gt;1),100*(Database!OM40/(Database!OM43)),0.0001)</f>
        <v>1E-4</v>
      </c>
    </row>
    <row r="115" spans="1:202" ht="18.75" customHeight="1" x14ac:dyDescent="0.4">
      <c r="A115" s="29" t="s">
        <v>441</v>
      </c>
      <c r="B115" s="306"/>
      <c r="C115" s="99">
        <f>IF(AND(Database!E42&gt;1,Database!E43&gt;1),100*(Database!E42/(Database!E43)),0.0001)</f>
        <v>265.48723238361328</v>
      </c>
      <c r="D115" s="99">
        <f>IF(AND(Database!G42&gt;1,Database!G43&gt;1),100*(Database!G42/(Database!G43)),0.0001)</f>
        <v>499.7953697387955</v>
      </c>
      <c r="E115" s="99">
        <f>IF(AND(Database!I42&gt;1,Database!I43&gt;1),100*(Database!I42/(Database!I43)),0.0001)</f>
        <v>546.72334859385217</v>
      </c>
      <c r="F115" s="99">
        <f>IF(AND(Database!K42&gt;1,Database!K43&gt;1),100*(Database!K42/(Database!K43)),0.0001)</f>
        <v>547.56131652125305</v>
      </c>
      <c r="G115" s="99">
        <f>IF(AND(Database!M42&gt;1,Database!M43&gt;1),100*(Database!M42/(Database!M43)),0.0001)</f>
        <v>1E-4</v>
      </c>
      <c r="H115" s="99">
        <f>IF(AND(Database!O42&gt;1,Database!O43&gt;1),100*(Database!O42/(Database!O43)),0.0001)</f>
        <v>1E-4</v>
      </c>
      <c r="I115" s="99">
        <f>IF(AND(Database!Q42&gt;1,Database!Q43&gt;1),100*(Database!Q42/(Database!Q43)),0.0001)</f>
        <v>1E-4</v>
      </c>
      <c r="J115" s="99">
        <f>IF(AND(Database!S42&gt;1,Database!S43&gt;1),100*(Database!S42/(Database!S43)),0.0001)</f>
        <v>1E-4</v>
      </c>
      <c r="K115" s="99">
        <f>IF(AND(Database!U42&gt;1,Database!U43&gt;1),100*(Database!U42/(Database!U43)),0.0001)</f>
        <v>1E-4</v>
      </c>
      <c r="L115" s="99">
        <f>IF(AND(Database!W42&gt;1,Database!W43&gt;1),100*(Database!W42/(Database!W43)),0.0001)</f>
        <v>1E-4</v>
      </c>
      <c r="M115" s="99">
        <f>IF(AND(Database!Y42&gt;1,Database!Y43&gt;1),100*(Database!Y42/(Database!Y43)),0.0001)</f>
        <v>1E-4</v>
      </c>
      <c r="N115" s="99">
        <f>IF(AND(Database!AA42&gt;1,Database!AA43&gt;1),100*(Database!AA42/(Database!AA43)),0.0001)</f>
        <v>1E-4</v>
      </c>
      <c r="O115" s="99">
        <f>IF(AND(Database!AC42&gt;1,Database!AC43&gt;1),100*(Database!AC42/(Database!AC43)),0.0001)</f>
        <v>1E-4</v>
      </c>
      <c r="P115" s="99">
        <f>IF(AND(Database!AE42&gt;1,Database!AE43&gt;1),100*(Database!AE42/(Database!AE43)),0.0001)</f>
        <v>1E-4</v>
      </c>
      <c r="Q115" s="99">
        <f>IF(AND(Database!AG42&gt;1,Database!AG43&gt;1),100*(Database!AG42/(Database!AG43)),0.0001)</f>
        <v>1E-4</v>
      </c>
      <c r="R115" s="99">
        <f>IF(AND(Database!AI42&gt;1,Database!AI43&gt;1),100*(Database!AI42/(Database!AI43)),0.0001)</f>
        <v>1E-4</v>
      </c>
      <c r="S115" s="99">
        <f>IF(AND(Database!AK42&gt;1,Database!AK43&gt;1),100*(Database!AK42/(Database!AK43)),0.0001)</f>
        <v>1E-4</v>
      </c>
      <c r="T115" s="99">
        <f>IF(AND(Database!AM42&gt;1,Database!AM43&gt;1),100*(Database!AM42/(Database!AM43)),0.0001)</f>
        <v>1E-4</v>
      </c>
      <c r="U115" s="99">
        <f>IF(AND(Database!AO42&gt;1,Database!AO43&gt;1),100*(Database!AO42/(Database!AO43)),0.0001)</f>
        <v>1E-4</v>
      </c>
      <c r="V115" s="99">
        <f>IF(AND(Database!AQ42&gt;1,Database!AQ43&gt;1),100*(Database!AQ42/(Database!AQ43)),0.0001)</f>
        <v>1E-4</v>
      </c>
      <c r="W115" s="99">
        <f>IF(AND(Database!AS42&gt;1,Database!AS43&gt;1),100*(Database!AS42/(Database!AS43)),0.0001)</f>
        <v>1E-4</v>
      </c>
      <c r="X115" s="99">
        <f>IF(AND(Database!AU42&gt;1,Database!AU43&gt;1),100*(Database!AU42/(Database!AU43)),0.0001)</f>
        <v>1E-4</v>
      </c>
      <c r="Y115" s="99">
        <f>IF(AND(Database!AW42&gt;1,Database!AW43&gt;1),100*(Database!AW42/(Database!AW43)),0.0001)</f>
        <v>1E-4</v>
      </c>
      <c r="Z115" s="99">
        <f>IF(AND(Database!AY42&gt;1,Database!AY43&gt;1),100*(Database!AY42/(Database!AY43)),0.0001)</f>
        <v>1E-4</v>
      </c>
      <c r="AA115" s="99">
        <f>IF(AND(Database!BA42&gt;1,Database!BA43&gt;1),100*(Database!BA42/(Database!BA43)),0.0001)</f>
        <v>1E-4</v>
      </c>
      <c r="AB115" s="99">
        <f>IF(AND(Database!BC42&gt;1,Database!BC43&gt;1),100*(Database!BC42/(Database!BC43)),0.0001)</f>
        <v>1E-4</v>
      </c>
      <c r="AC115" s="99">
        <f>IF(AND(Database!BE42&gt;1,Database!BE43&gt;1),100*(Database!BE42/(Database!BE43)),0.0001)</f>
        <v>1E-4</v>
      </c>
      <c r="AD115" s="99">
        <f>IF(AND(Database!BG42&gt;1,Database!BG43&gt;1),100*(Database!BG42/(Database!BG43)),0.0001)</f>
        <v>1E-4</v>
      </c>
      <c r="AE115" s="99">
        <f>IF(AND(Database!BI42&gt;1,Database!BI43&gt;1),100*(Database!BI42/(Database!BI43)),0.0001)</f>
        <v>1E-4</v>
      </c>
      <c r="AF115" s="99">
        <f>IF(AND(Database!BK42&gt;1,Database!BK43&gt;1),100*(Database!BK42/(Database!BK43)),0.0001)</f>
        <v>1E-4</v>
      </c>
      <c r="AG115" s="99">
        <f>IF(AND(Database!BM42&gt;1,Database!BM43&gt;1),100*(Database!BM42/(Database!BM43)),0.0001)</f>
        <v>1E-4</v>
      </c>
      <c r="AH115" s="99">
        <f>IF(AND(Database!BO42&gt;1,Database!BO43&gt;1),100*(Database!BO42/(Database!BO43)),0.0001)</f>
        <v>1E-4</v>
      </c>
      <c r="AI115" s="99">
        <f>IF(AND(Database!BQ42&gt;1,Database!BQ43&gt;1),100*(Database!BQ42/(Database!BQ43)),0.0001)</f>
        <v>1E-4</v>
      </c>
      <c r="AJ115" s="99">
        <f>IF(AND(Database!BS42&gt;1,Database!BS43&gt;1),100*(Database!BS42/(Database!BS43)),0.0001)</f>
        <v>1E-4</v>
      </c>
      <c r="AK115" s="99">
        <f>IF(AND(Database!BU42&gt;1,Database!BU43&gt;1),100*(Database!BU42/(Database!BU43)),0.0001)</f>
        <v>1E-4</v>
      </c>
      <c r="AL115" s="99">
        <f>IF(AND(Database!BW42&gt;1,Database!BW43&gt;1),100*(Database!BW42/(Database!BW43)),0.0001)</f>
        <v>1E-4</v>
      </c>
      <c r="AM115" s="99">
        <f>IF(AND(Database!BY42&gt;1,Database!BY43&gt;1),100*(Database!BY42/(Database!BY43)),0.0001)</f>
        <v>1E-4</v>
      </c>
      <c r="AN115" s="99">
        <f>IF(AND(Database!CA42&gt;1,Database!CA43&gt;1),100*(Database!CA42/(Database!CA43)),0.0001)</f>
        <v>1E-4</v>
      </c>
      <c r="AO115" s="99">
        <f>IF(AND(Database!CC42&gt;1,Database!CC43&gt;1),100*(Database!CC42/(Database!CC43)),0.0001)</f>
        <v>1E-4</v>
      </c>
      <c r="AP115" s="99">
        <f>IF(AND(Database!CE42&gt;1,Database!CE43&gt;1),100*(Database!CE42/(Database!CE43)),0.0001)</f>
        <v>1E-4</v>
      </c>
      <c r="AQ115" s="99">
        <f>IF(AND(Database!CG42&gt;1,Database!CG43&gt;1),100*(Database!CG42/(Database!CG43)),0.0001)</f>
        <v>1E-4</v>
      </c>
      <c r="AR115" s="99">
        <f>IF(AND(Database!CI42&gt;1,Database!CI43&gt;1),100*(Database!CI42/(Database!CI43)),0.0001)</f>
        <v>1E-4</v>
      </c>
      <c r="AS115" s="99">
        <f>IF(AND(Database!CK42&gt;1,Database!CK43&gt;1),100*(Database!CK42/(Database!CK43)),0.0001)</f>
        <v>1E-4</v>
      </c>
      <c r="AT115" s="99">
        <f>IF(AND(Database!CM42&gt;1,Database!CM43&gt;1),100*(Database!CM42/(Database!CM43)),0.0001)</f>
        <v>1E-4</v>
      </c>
      <c r="AU115" s="99">
        <f>IF(AND(Database!CO42&gt;1,Database!CO43&gt;1),100*(Database!CO42/(Database!CO43)),0.0001)</f>
        <v>1E-4</v>
      </c>
      <c r="AV115" s="99">
        <f>IF(AND(Database!CQ42&gt;1,Database!CQ43&gt;1),100*(Database!CQ42/(Database!CQ43)),0.0001)</f>
        <v>1E-4</v>
      </c>
      <c r="AW115" s="99">
        <f>IF(AND(Database!CS42&gt;1,Database!CS43&gt;1),100*(Database!CS42/(Database!CS43)),0.0001)</f>
        <v>1E-4</v>
      </c>
      <c r="AX115" s="99">
        <f>IF(AND(Database!CU42&gt;1,Database!CU43&gt;1),100*(Database!CU42/(Database!CU43)),0.0001)</f>
        <v>1E-4</v>
      </c>
      <c r="AY115" s="99">
        <f>IF(AND(Database!CW42&gt;1,Database!CW43&gt;1),100*(Database!CW42/(Database!CW43)),0.0001)</f>
        <v>1E-4</v>
      </c>
      <c r="AZ115" s="99">
        <f>IF(AND(Database!CY42&gt;1,Database!CY43&gt;1),100*(Database!CY42/(Database!CY43)),0.0001)</f>
        <v>1E-4</v>
      </c>
      <c r="BA115" s="99">
        <f>IF(AND(Database!DA42&gt;1,Database!DA43&gt;1),100*(Database!DA42/(Database!DA43)),0.0001)</f>
        <v>1E-4</v>
      </c>
      <c r="BB115" s="99">
        <f>IF(AND(Database!DC42&gt;1,Database!DC43&gt;1),100*(Database!DC42/(Database!DC43)),0.0001)</f>
        <v>1E-4</v>
      </c>
      <c r="BC115" s="99">
        <f>IF(AND(Database!DE42&gt;1,Database!DE43&gt;1),100*(Database!DE42/(Database!DE43)),0.0001)</f>
        <v>1E-4</v>
      </c>
      <c r="BD115" s="99">
        <f>IF(AND(Database!DG42&gt;1,Database!DG43&gt;1),100*(Database!DG42/(Database!DG43)),0.0001)</f>
        <v>1E-4</v>
      </c>
      <c r="BE115" s="99">
        <f>IF(AND(Database!DI42&gt;1,Database!DI43&gt;1),100*(Database!DI42/(Database!DI43)),0.0001)</f>
        <v>1E-4</v>
      </c>
      <c r="BF115" s="99">
        <f>IF(AND(Database!DK42&gt;1,Database!DK43&gt;1),100*(Database!DK42/(Database!DK43)),0.0001)</f>
        <v>1E-4</v>
      </c>
      <c r="BG115" s="99">
        <f>IF(AND(Database!DM42&gt;1,Database!DM43&gt;1),100*(Database!DM42/(Database!DM43)),0.0001)</f>
        <v>1E-4</v>
      </c>
      <c r="BH115" s="99">
        <f>IF(AND(Database!DO42&gt;1,Database!DO43&gt;1),100*(Database!DO42/(Database!DO43)),0.0001)</f>
        <v>1E-4</v>
      </c>
      <c r="BI115" s="99">
        <f>IF(AND(Database!DQ42&gt;1,Database!DQ43&gt;1),100*(Database!DQ42/(Database!DQ43)),0.0001)</f>
        <v>1E-4</v>
      </c>
      <c r="BJ115" s="99">
        <f>IF(AND(Database!DS42&gt;1,Database!DS43&gt;1),100*(Database!DS42/(Database!DS43)),0.0001)</f>
        <v>1E-4</v>
      </c>
      <c r="BK115" s="99">
        <f>IF(AND(Database!DU42&gt;1,Database!DU43&gt;1),100*(Database!DU42/(Database!DU43)),0.0001)</f>
        <v>1E-4</v>
      </c>
      <c r="BL115" s="99">
        <f>IF(AND(Database!DW42&gt;1,Database!DW43&gt;1),100*(Database!DW42/(Database!DW43)),0.0001)</f>
        <v>1E-4</v>
      </c>
      <c r="BM115" s="99">
        <f>IF(AND(Database!DY42&gt;1,Database!DY43&gt;1),100*(Database!DY42/(Database!DY43)),0.0001)</f>
        <v>1E-4</v>
      </c>
      <c r="BN115" s="99">
        <f>IF(AND(Database!EA42&gt;1,Database!EA43&gt;1),100*(Database!EA42/(Database!EA43)),0.0001)</f>
        <v>1E-4</v>
      </c>
      <c r="BO115" s="99">
        <f>IF(AND(Database!EC42&gt;1,Database!EC43&gt;1),100*(Database!EC42/(Database!EC43)),0.0001)</f>
        <v>1E-4</v>
      </c>
      <c r="BP115" s="99">
        <f>IF(AND(Database!EE42&gt;1,Database!EE43&gt;1),100*(Database!EE42/(Database!EE43)),0.0001)</f>
        <v>1E-4</v>
      </c>
      <c r="BQ115" s="99">
        <f>IF(AND(Database!EG42&gt;1,Database!EG43&gt;1),100*(Database!EG42/(Database!EG43)),0.0001)</f>
        <v>1E-4</v>
      </c>
      <c r="BR115" s="99">
        <f>IF(AND(Database!EI42&gt;1,Database!EI43&gt;1),100*(Database!EI42/(Database!EI43)),0.0001)</f>
        <v>1E-4</v>
      </c>
      <c r="BS115" s="99">
        <f>IF(AND(Database!EK42&gt;1,Database!EK43&gt;1),100*(Database!EK42/(Database!EK43)),0.0001)</f>
        <v>1E-4</v>
      </c>
      <c r="BT115" s="99">
        <f>IF(AND(Database!EM42&gt;1,Database!EM43&gt;1),100*(Database!EM42/(Database!EM43)),0.0001)</f>
        <v>1E-4</v>
      </c>
      <c r="BU115" s="99">
        <f>IF(AND(Database!EO42&gt;1,Database!EO43&gt;1),100*(Database!EO42/(Database!EO43)),0.0001)</f>
        <v>1E-4</v>
      </c>
      <c r="BV115" s="99">
        <f>IF(AND(Database!EQ42&gt;1,Database!EQ43&gt;1),100*(Database!EQ42/(Database!EQ43)),0.0001)</f>
        <v>1E-4</v>
      </c>
      <c r="BW115" s="99">
        <f>IF(AND(Database!ES42&gt;1,Database!ES43&gt;1),100*(Database!ES42/(Database!ES43)),0.0001)</f>
        <v>1E-4</v>
      </c>
      <c r="BX115" s="99">
        <f>IF(AND(Database!EU42&gt;1,Database!EU43&gt;1),100*(Database!EU42/(Database!EU43)),0.0001)</f>
        <v>1E-4</v>
      </c>
      <c r="BY115" s="99">
        <f>IF(AND(Database!EW42&gt;1,Database!EW43&gt;1),100*(Database!EW42/(Database!EW43)),0.0001)</f>
        <v>1E-4</v>
      </c>
      <c r="BZ115" s="99">
        <f>IF(AND(Database!EY42&gt;1,Database!EY43&gt;1),100*(Database!EY42/(Database!EY43)),0.0001)</f>
        <v>1E-4</v>
      </c>
      <c r="CA115" s="99">
        <f>IF(AND(Database!FA42&gt;1,Database!FA43&gt;1),100*(Database!FA42/(Database!FA43)),0.0001)</f>
        <v>1E-4</v>
      </c>
      <c r="CB115" s="99">
        <f>IF(AND(Database!FC42&gt;1,Database!FC43&gt;1),100*(Database!FC42/(Database!FC43)),0.0001)</f>
        <v>1E-4</v>
      </c>
      <c r="CC115" s="99">
        <f>IF(AND(Database!FE42&gt;1,Database!FE43&gt;1),100*(Database!FE42/(Database!FE43)),0.0001)</f>
        <v>1E-4</v>
      </c>
      <c r="CD115" s="99">
        <f>IF(AND(Database!FG42&gt;1,Database!FG43&gt;1),100*(Database!FG42/(Database!FG43)),0.0001)</f>
        <v>1E-4</v>
      </c>
      <c r="CE115" s="99">
        <f>IF(AND(Database!FI42&gt;1,Database!FI43&gt;1),100*(Database!FI42/(Database!FI43)),0.0001)</f>
        <v>1E-4</v>
      </c>
      <c r="CF115" s="99">
        <f>IF(AND(Database!FK42&gt;1,Database!FK43&gt;1),100*(Database!FK42/(Database!FK43)),0.0001)</f>
        <v>1E-4</v>
      </c>
      <c r="CG115" s="99">
        <f>IF(AND(Database!FM42&gt;1,Database!FM43&gt;1),100*(Database!FM42/(Database!FM43)),0.0001)</f>
        <v>1E-4</v>
      </c>
      <c r="CH115" s="99">
        <f>IF(AND(Database!FO42&gt;1,Database!FO43&gt;1),100*(Database!FO42/(Database!FO43)),0.0001)</f>
        <v>1E-4</v>
      </c>
      <c r="CI115" s="99">
        <f>IF(AND(Database!FQ42&gt;1,Database!FQ43&gt;1),100*(Database!FQ42/(Database!FQ43)),0.0001)</f>
        <v>1E-4</v>
      </c>
      <c r="CJ115" s="99">
        <f>IF(AND(Database!FS42&gt;1,Database!FS43&gt;1),100*(Database!FS42/(Database!FS43)),0.0001)</f>
        <v>1E-4</v>
      </c>
      <c r="CK115" s="99">
        <f>IF(AND(Database!FU42&gt;1,Database!FU43&gt;1),100*(Database!FU42/(Database!FU43)),0.0001)</f>
        <v>1E-4</v>
      </c>
      <c r="CL115" s="99">
        <f>IF(AND(Database!FW42&gt;1,Database!FW43&gt;1),100*(Database!FW42/(Database!FW43)),0.0001)</f>
        <v>1E-4</v>
      </c>
      <c r="CM115" s="99">
        <f>IF(AND(Database!FY42&gt;1,Database!FY43&gt;1),100*(Database!FY42/(Database!FY43)),0.0001)</f>
        <v>1E-4</v>
      </c>
      <c r="CN115" s="99">
        <f>IF(AND(Database!GA42&gt;1,Database!GA43&gt;1),100*(Database!GA42/(Database!GA43)),0.0001)</f>
        <v>1E-4</v>
      </c>
      <c r="CO115" s="99">
        <f>IF(AND(Database!GC42&gt;1,Database!GC43&gt;1),100*(Database!GC42/(Database!GC43)),0.0001)</f>
        <v>1E-4</v>
      </c>
      <c r="CP115" s="99">
        <f>IF(AND(Database!GE42&gt;1,Database!GE43&gt;1),100*(Database!GE42/(Database!GE43)),0.0001)</f>
        <v>1E-4</v>
      </c>
      <c r="CQ115" s="99">
        <f>IF(AND(Database!GG42&gt;1,Database!GG43&gt;1),100*(Database!GG42/(Database!GG43)),0.0001)</f>
        <v>1E-4</v>
      </c>
      <c r="CR115" s="99">
        <f>IF(AND(Database!GI42&gt;1,Database!GI43&gt;1),100*(Database!GI42/(Database!GI43)),0.0001)</f>
        <v>1E-4</v>
      </c>
      <c r="CS115" s="99">
        <f>IF(AND(Database!GK42&gt;1,Database!GK43&gt;1),100*(Database!GK42/(Database!GK43)),0.0001)</f>
        <v>1E-4</v>
      </c>
      <c r="CT115" s="99">
        <f>IF(AND(Database!GM42&gt;1,Database!GM43&gt;1),100*(Database!GM42/(Database!GM43)),0.0001)</f>
        <v>1E-4</v>
      </c>
      <c r="CU115" s="99">
        <f>IF(AND(Database!GO42&gt;1,Database!GO43&gt;1),100*(Database!GO42/(Database!GO43)),0.0001)</f>
        <v>1E-4</v>
      </c>
      <c r="CV115" s="99">
        <f>IF(AND(Database!GQ42&gt;1,Database!GQ43&gt;1),100*(Database!GQ42/(Database!GQ43)),0.0001)</f>
        <v>1E-4</v>
      </c>
      <c r="CW115" s="99">
        <f>IF(AND(Database!GS42&gt;1,Database!GS43&gt;1),100*(Database!GS42/(Database!GS43)),0.0001)</f>
        <v>1E-4</v>
      </c>
      <c r="CX115" s="99">
        <f>IF(AND(Database!GU42&gt;1,Database!GU43&gt;1),100*(Database!GU42/(Database!GU43)),0.0001)</f>
        <v>1E-4</v>
      </c>
      <c r="CY115" s="99">
        <f>IF(AND(Database!GW42&gt;1,Database!GW43&gt;1),100*(Database!GW42/(Database!GW43)),0.0001)</f>
        <v>1E-4</v>
      </c>
      <c r="CZ115" s="99">
        <f>IF(AND(Database!GY42&gt;1,Database!GY43&gt;1),100*(Database!GY42/(Database!GY43)),0.0001)</f>
        <v>1E-4</v>
      </c>
      <c r="DA115" s="99">
        <f>IF(AND(Database!HA42&gt;1,Database!HA43&gt;1),100*(Database!HA42/(Database!HA43)),0.0001)</f>
        <v>1E-4</v>
      </c>
      <c r="DB115" s="99">
        <f>IF(AND(Database!HC42&gt;1,Database!HC43&gt;1),100*(Database!HC42/(Database!HC43)),0.0001)</f>
        <v>1E-4</v>
      </c>
      <c r="DC115" s="99">
        <f>IF(AND(Database!HE42&gt;1,Database!HE43&gt;1),100*(Database!HE42/(Database!HE43)),0.0001)</f>
        <v>1E-4</v>
      </c>
      <c r="DD115" s="99">
        <f>IF(AND(Database!HG42&gt;1,Database!HG43&gt;1),100*(Database!HG42/(Database!HG43)),0.0001)</f>
        <v>1E-4</v>
      </c>
      <c r="DE115" s="99">
        <f>IF(AND(Database!HI42&gt;1,Database!HI43&gt;1),100*(Database!HI42/(Database!HI43)),0.0001)</f>
        <v>1E-4</v>
      </c>
      <c r="DF115" s="99">
        <f>IF(AND(Database!HK42&gt;1,Database!HK43&gt;1),100*(Database!HK42/(Database!HK43)),0.0001)</f>
        <v>1E-4</v>
      </c>
      <c r="DG115" s="99">
        <f>IF(AND(Database!HM42&gt;1,Database!HM43&gt;1),100*(Database!HM42/(Database!HM43)),0.0001)</f>
        <v>1E-4</v>
      </c>
      <c r="DH115" s="99">
        <f>IF(AND(Database!HO42&gt;1,Database!HO43&gt;1),100*(Database!HO42/(Database!HO43)),0.0001)</f>
        <v>1E-4</v>
      </c>
      <c r="DI115" s="99">
        <f>IF(AND(Database!HQ42&gt;1,Database!HQ43&gt;1),100*(Database!HQ42/(Database!HQ43)),0.0001)</f>
        <v>1E-4</v>
      </c>
      <c r="DJ115" s="99">
        <f>IF(AND(Database!HS42&gt;1,Database!HS43&gt;1),100*(Database!HS42/(Database!HS43)),0.0001)</f>
        <v>1E-4</v>
      </c>
      <c r="DK115" s="99">
        <f>IF(AND(Database!HU42&gt;1,Database!HU43&gt;1),100*(Database!HU42/(Database!HU43)),0.0001)</f>
        <v>1E-4</v>
      </c>
      <c r="DL115" s="99">
        <f>IF(AND(Database!HW42&gt;1,Database!HW43&gt;1),100*(Database!HW42/(Database!HW43)),0.0001)</f>
        <v>1E-4</v>
      </c>
      <c r="DM115" s="99">
        <f>IF(AND(Database!HY42&gt;1,Database!HY43&gt;1),100*(Database!HY42/(Database!HY43)),0.0001)</f>
        <v>1E-4</v>
      </c>
      <c r="DN115" s="99">
        <f>IF(AND(Database!IA42&gt;1,Database!IA43&gt;1),100*(Database!IA42/(Database!IA43)),0.0001)</f>
        <v>1E-4</v>
      </c>
      <c r="DO115" s="99">
        <f>IF(AND(Database!IC42&gt;1,Database!IC43&gt;1),100*(Database!IC42/(Database!IC43)),0.0001)</f>
        <v>1E-4</v>
      </c>
      <c r="DP115" s="99">
        <f>IF(AND(Database!IE42&gt;1,Database!IE43&gt;1),100*(Database!IE42/(Database!IE43)),0.0001)</f>
        <v>1E-4</v>
      </c>
      <c r="DQ115" s="99">
        <f>IF(AND(Database!IG42&gt;1,Database!IG43&gt;1),100*(Database!IG42/(Database!IG43)),0.0001)</f>
        <v>1E-4</v>
      </c>
      <c r="DR115" s="99">
        <f>IF(AND(Database!II42&gt;1,Database!II43&gt;1),100*(Database!II42/(Database!II43)),0.0001)</f>
        <v>1E-4</v>
      </c>
      <c r="DS115" s="99">
        <f>IF(AND(Database!IK42&gt;1,Database!IK43&gt;1),100*(Database!IK42/(Database!IK43)),0.0001)</f>
        <v>1E-4</v>
      </c>
      <c r="DT115" s="99">
        <f>IF(AND(Database!IM42&gt;1,Database!IM43&gt;1),100*(Database!IM42/(Database!IM43)),0.0001)</f>
        <v>1E-4</v>
      </c>
      <c r="DU115" s="99">
        <f>IF(AND(Database!IO42&gt;1,Database!IO43&gt;1),100*(Database!IO42/(Database!IO43)),0.0001)</f>
        <v>1E-4</v>
      </c>
      <c r="DV115" s="99">
        <f>IF(AND(Database!IQ42&gt;1,Database!IQ43&gt;1),100*(Database!IQ42/(Database!IQ43)),0.0001)</f>
        <v>1E-4</v>
      </c>
      <c r="DW115" s="99">
        <f>IF(AND(Database!IS42&gt;1,Database!IS43&gt;1),100*(Database!IS42/(Database!IS43)),0.0001)</f>
        <v>1E-4</v>
      </c>
      <c r="DX115" s="99">
        <f>IF(AND(Database!IU42&gt;1,Database!IU43&gt;1),100*(Database!IU42/(Database!IU43)),0.0001)</f>
        <v>1E-4</v>
      </c>
      <c r="DY115" s="99">
        <f>IF(AND(Database!IW42&gt;1,Database!IW43&gt;1),100*(Database!IW42/(Database!IW43)),0.0001)</f>
        <v>1E-4</v>
      </c>
      <c r="DZ115" s="99">
        <f>IF(AND(Database!IY42&gt;1,Database!IY43&gt;1),100*(Database!IY42/(Database!IY43)),0.0001)</f>
        <v>1E-4</v>
      </c>
      <c r="EA115" s="99">
        <f>IF(AND(Database!JA42&gt;1,Database!JA43&gt;1),100*(Database!JA42/(Database!JA43)),0.0001)</f>
        <v>1E-4</v>
      </c>
      <c r="EB115" s="99">
        <f>IF(AND(Database!JC42&gt;1,Database!JC43&gt;1),100*(Database!JC42/(Database!JC43)),0.0001)</f>
        <v>1E-4</v>
      </c>
      <c r="EC115" s="99">
        <f>IF(AND(Database!JE42&gt;1,Database!JE43&gt;1),100*(Database!JE42/(Database!JE43)),0.0001)</f>
        <v>1E-4</v>
      </c>
      <c r="ED115" s="99">
        <f>IF(AND(Database!JG42&gt;1,Database!JG43&gt;1),100*(Database!JG42/(Database!JG43)),0.0001)</f>
        <v>1E-4</v>
      </c>
      <c r="EE115" s="99">
        <f>IF(AND(Database!JI42&gt;1,Database!JI43&gt;1),100*(Database!JI42/(Database!JI43)),0.0001)</f>
        <v>1E-4</v>
      </c>
      <c r="EF115" s="99">
        <f>IF(AND(Database!JK42&gt;1,Database!JK43&gt;1),100*(Database!JK42/(Database!JK43)),0.0001)</f>
        <v>1E-4</v>
      </c>
      <c r="EG115" s="99">
        <f>IF(AND(Database!JM42&gt;1,Database!JM43&gt;1),100*(Database!JM42/(Database!JM43)),0.0001)</f>
        <v>1E-4</v>
      </c>
      <c r="EH115" s="99">
        <f>IF(AND(Database!JO42&gt;1,Database!JO43&gt;1),100*(Database!JO42/(Database!JO43)),0.0001)</f>
        <v>1E-4</v>
      </c>
      <c r="EI115" s="99">
        <f>IF(AND(Database!JQ42&gt;1,Database!JQ43&gt;1),100*(Database!JQ42/(Database!JQ43)),0.0001)</f>
        <v>1E-4</v>
      </c>
      <c r="EJ115" s="99">
        <f>IF(AND(Database!JS42&gt;1,Database!JS43&gt;1),100*(Database!JS42/(Database!JS43)),0.0001)</f>
        <v>1E-4</v>
      </c>
      <c r="EK115" s="99">
        <f>IF(AND(Database!JU42&gt;1,Database!JU43&gt;1),100*(Database!JU42/(Database!JU43)),0.0001)</f>
        <v>1E-4</v>
      </c>
      <c r="EL115" s="99">
        <f>IF(AND(Database!JW42&gt;1,Database!JW43&gt;1),100*(Database!JW42/(Database!JW43)),0.0001)</f>
        <v>1E-4</v>
      </c>
      <c r="EM115" s="99">
        <f>IF(AND(Database!JY42&gt;1,Database!JY43&gt;1),100*(Database!JY42/(Database!JY43)),0.0001)</f>
        <v>1E-4</v>
      </c>
      <c r="EN115" s="99">
        <f>IF(AND(Database!KA42&gt;1,Database!KA43&gt;1),100*(Database!KA42/(Database!KA43)),0.0001)</f>
        <v>1E-4</v>
      </c>
      <c r="EO115" s="99">
        <f>IF(AND(Database!KC42&gt;1,Database!KC43&gt;1),100*(Database!KC42/(Database!KC43)),0.0001)</f>
        <v>1E-4</v>
      </c>
      <c r="EP115" s="99">
        <f>IF(AND(Database!KE42&gt;1,Database!KE43&gt;1),100*(Database!KE42/(Database!KE43)),0.0001)</f>
        <v>1E-4</v>
      </c>
      <c r="EQ115" s="99">
        <f>IF(AND(Database!KG42&gt;1,Database!KG43&gt;1),100*(Database!KG42/(Database!KG43)),0.0001)</f>
        <v>1E-4</v>
      </c>
      <c r="ER115" s="99">
        <f>IF(AND(Database!KI42&gt;1,Database!KI43&gt;1),100*(Database!KI42/(Database!KI43)),0.0001)</f>
        <v>1E-4</v>
      </c>
      <c r="ES115" s="99">
        <f>IF(AND(Database!KK42&gt;1,Database!KK43&gt;1),100*(Database!KK42/(Database!KK43)),0.0001)</f>
        <v>1E-4</v>
      </c>
      <c r="ET115" s="99">
        <f>IF(AND(Database!KM42&gt;1,Database!KM43&gt;1),100*(Database!KM42/(Database!KM43)),0.0001)</f>
        <v>1E-4</v>
      </c>
      <c r="EU115" s="99">
        <f>IF(AND(Database!KO42&gt;1,Database!KO43&gt;1),100*(Database!KO42/(Database!KO43)),0.0001)</f>
        <v>1E-4</v>
      </c>
      <c r="EV115" s="99">
        <f>IF(AND(Database!KQ42&gt;1,Database!KQ43&gt;1),100*(Database!KQ42/(Database!KQ43)),0.0001)</f>
        <v>1E-4</v>
      </c>
      <c r="EW115" s="99">
        <f>IF(AND(Database!KS42&gt;1,Database!KS43&gt;1),100*(Database!KS42/(Database!KS43)),0.0001)</f>
        <v>1E-4</v>
      </c>
      <c r="EX115" s="99">
        <f>IF(AND(Database!KU42&gt;1,Database!KU43&gt;1),100*(Database!KU42/(Database!KU43)),0.0001)</f>
        <v>1E-4</v>
      </c>
      <c r="EY115" s="99">
        <f>IF(AND(Database!KW42&gt;1,Database!KW43&gt;1),100*(Database!KW42/(Database!KW43)),0.0001)</f>
        <v>1E-4</v>
      </c>
      <c r="EZ115" s="99">
        <f>IF(AND(Database!KY42&gt;1,Database!KY43&gt;1),100*(Database!KY42/(Database!KY43)),0.0001)</f>
        <v>1E-4</v>
      </c>
      <c r="FA115" s="99">
        <f>IF(AND(Database!LA42&gt;1,Database!LA43&gt;1),100*(Database!LA42/(Database!LA43)),0.0001)</f>
        <v>1E-4</v>
      </c>
      <c r="FB115" s="99">
        <f>IF(AND(Database!LC42&gt;1,Database!LC43&gt;1),100*(Database!LC42/(Database!LC43)),0.0001)</f>
        <v>1E-4</v>
      </c>
      <c r="FC115" s="99">
        <f>IF(AND(Database!LE42&gt;1,Database!LE43&gt;1),100*(Database!LE42/(Database!LE43)),0.0001)</f>
        <v>1E-4</v>
      </c>
      <c r="FD115" s="99">
        <f>IF(AND(Database!LG42&gt;1,Database!LG43&gt;1),100*(Database!LG42/(Database!LG43)),0.0001)</f>
        <v>1E-4</v>
      </c>
      <c r="FE115" s="99">
        <f>IF(AND(Database!LI42&gt;1,Database!LI43&gt;1),100*(Database!LI42/(Database!LI43)),0.0001)</f>
        <v>1E-4</v>
      </c>
      <c r="FF115" s="99">
        <f>IF(AND(Database!LK42&gt;1,Database!LK43&gt;1),100*(Database!LK42/(Database!LK43)),0.0001)</f>
        <v>1E-4</v>
      </c>
      <c r="FG115" s="99">
        <f>IF(AND(Database!LM42&gt;1,Database!LM43&gt;1),100*(Database!LM42/(Database!LM43)),0.0001)</f>
        <v>1E-4</v>
      </c>
      <c r="FH115" s="99">
        <f>IF(AND(Database!LO42&gt;1,Database!LO43&gt;1),100*(Database!LO42/(Database!LO43)),0.0001)</f>
        <v>1E-4</v>
      </c>
      <c r="FI115" s="99">
        <f>IF(AND(Database!LQ42&gt;1,Database!LQ43&gt;1),100*(Database!LQ42/(Database!LQ43)),0.0001)</f>
        <v>1E-4</v>
      </c>
      <c r="FJ115" s="99">
        <f>IF(AND(Database!LS42&gt;1,Database!LS43&gt;1),100*(Database!LS42/(Database!LS43)),0.0001)</f>
        <v>1E-4</v>
      </c>
      <c r="FK115" s="99">
        <f>IF(AND(Database!LU42&gt;1,Database!LU43&gt;1),100*(Database!LU42/(Database!LU43)),0.0001)</f>
        <v>1E-4</v>
      </c>
      <c r="FL115" s="99">
        <f>IF(AND(Database!LW42&gt;1,Database!LW43&gt;1),100*(Database!LW42/(Database!LW43)),0.0001)</f>
        <v>1E-4</v>
      </c>
      <c r="FM115" s="99">
        <f>IF(AND(Database!LY42&gt;1,Database!LY43&gt;1),100*(Database!LY42/(Database!LY43)),0.0001)</f>
        <v>1E-4</v>
      </c>
      <c r="FN115" s="99">
        <f>IF(AND(Database!MA42&gt;1,Database!MA43&gt;1),100*(Database!MA42/(Database!MA43)),0.0001)</f>
        <v>1E-4</v>
      </c>
      <c r="FO115" s="99">
        <f>IF(AND(Database!MC42&gt;1,Database!MC43&gt;1),100*(Database!MC42/(Database!MC43)),0.0001)</f>
        <v>1E-4</v>
      </c>
      <c r="FP115" s="99">
        <f>IF(AND(Database!ME42&gt;1,Database!ME43&gt;1),100*(Database!ME42/(Database!ME43)),0.0001)</f>
        <v>1E-4</v>
      </c>
      <c r="FQ115" s="99">
        <f>IF(AND(Database!MG42&gt;1,Database!MG43&gt;1),100*(Database!MG42/(Database!MG43)),0.0001)</f>
        <v>1E-4</v>
      </c>
      <c r="FR115" s="99">
        <f>IF(AND(Database!MI42&gt;1,Database!MI43&gt;1),100*(Database!MI42/(Database!MI43)),0.0001)</f>
        <v>1E-4</v>
      </c>
      <c r="FS115" s="99">
        <f>IF(AND(Database!MK42&gt;1,Database!MK43&gt;1),100*(Database!MK42/(Database!MK43)),0.0001)</f>
        <v>1E-4</v>
      </c>
      <c r="FT115" s="99">
        <f>IF(AND(Database!MM42&gt;1,Database!MM43&gt;1),100*(Database!MM42/(Database!MM43)),0.0001)</f>
        <v>1E-4</v>
      </c>
      <c r="FU115" s="99">
        <f>IF(AND(Database!MO42&gt;1,Database!MO43&gt;1),100*(Database!MO42/(Database!MO43)),0.0001)</f>
        <v>1E-4</v>
      </c>
      <c r="FV115" s="99">
        <f>IF(AND(Database!MQ42&gt;1,Database!MQ43&gt;1),100*(Database!MQ42/(Database!MQ43)),0.0001)</f>
        <v>1E-4</v>
      </c>
      <c r="FW115" s="99">
        <f>IF(AND(Database!MS42&gt;1,Database!MS43&gt;1),100*(Database!MS42/(Database!MS43)),0.0001)</f>
        <v>1E-4</v>
      </c>
      <c r="FX115" s="99">
        <f>IF(AND(Database!MU42&gt;1,Database!MU43&gt;1),100*(Database!MU42/(Database!MU43)),0.0001)</f>
        <v>1E-4</v>
      </c>
      <c r="FY115" s="99">
        <f>IF(AND(Database!MW42&gt;1,Database!MW43&gt;1),100*(Database!MW42/(Database!MW43)),0.0001)</f>
        <v>1E-4</v>
      </c>
      <c r="FZ115" s="99">
        <f>IF(AND(Database!MY42&gt;1,Database!MY43&gt;1),100*(Database!MY42/(Database!MY43)),0.0001)</f>
        <v>1E-4</v>
      </c>
      <c r="GA115" s="99">
        <f>IF(AND(Database!NA42&gt;1,Database!NA43&gt;1),100*(Database!NA42/(Database!NA43)),0.0001)</f>
        <v>1E-4</v>
      </c>
      <c r="GB115" s="99">
        <f>IF(AND(Database!NC42&gt;1,Database!NC43&gt;1),100*(Database!NC42/(Database!NC43)),0.0001)</f>
        <v>1E-4</v>
      </c>
      <c r="GC115" s="99">
        <f>IF(AND(Database!NE42&gt;1,Database!NE43&gt;1),100*(Database!NE42/(Database!NE43)),0.0001)</f>
        <v>1E-4</v>
      </c>
      <c r="GD115" s="99">
        <f>IF(AND(Database!NG42&gt;1,Database!NG43&gt;1),100*(Database!NG42/(Database!NG43)),0.0001)</f>
        <v>1E-4</v>
      </c>
      <c r="GE115" s="99">
        <f>IF(AND(Database!NI42&gt;1,Database!NI43&gt;1),100*(Database!NI42/(Database!NI43)),0.0001)</f>
        <v>1E-4</v>
      </c>
      <c r="GF115" s="99">
        <f>IF(AND(Database!NK42&gt;1,Database!NK43&gt;1),100*(Database!NK42/(Database!NK43)),0.0001)</f>
        <v>1E-4</v>
      </c>
      <c r="GG115" s="99">
        <f>IF(AND(Database!NM42&gt;1,Database!NM43&gt;1),100*(Database!NM42/(Database!NM43)),0.0001)</f>
        <v>1E-4</v>
      </c>
      <c r="GH115" s="99">
        <f>IF(AND(Database!NO42&gt;1,Database!NO43&gt;1),100*(Database!NO42/(Database!NO43)),0.0001)</f>
        <v>1E-4</v>
      </c>
      <c r="GI115" s="99">
        <f>IF(AND(Database!NQ42&gt;1,Database!NQ43&gt;1),100*(Database!NQ42/(Database!NQ43)),0.0001)</f>
        <v>1E-4</v>
      </c>
      <c r="GJ115" s="99">
        <f>IF(AND(Database!NS42&gt;1,Database!NS43&gt;1),100*(Database!NS42/(Database!NS43)),0.0001)</f>
        <v>1E-4</v>
      </c>
      <c r="GK115" s="99">
        <f>IF(AND(Database!NU42&gt;1,Database!NU43&gt;1),100*(Database!NU42/(Database!NU43)),0.0001)</f>
        <v>1E-4</v>
      </c>
      <c r="GL115" s="99">
        <f>IF(AND(Database!NW42&gt;1,Database!NW43&gt;1),100*(Database!NW42/(Database!NW43)),0.0001)</f>
        <v>1E-4</v>
      </c>
      <c r="GM115" s="99">
        <f>IF(AND(Database!NY42&gt;1,Database!NY43&gt;1),100*(Database!NY42/(Database!NY43)),0.0001)</f>
        <v>1E-4</v>
      </c>
      <c r="GN115" s="99">
        <f>IF(AND(Database!OA42&gt;1,Database!OA43&gt;1),100*(Database!OA42/(Database!OA43)),0.0001)</f>
        <v>1E-4</v>
      </c>
      <c r="GO115" s="99">
        <f>IF(AND(Database!OC42&gt;1,Database!OC43&gt;1),100*(Database!OC42/(Database!OC43)),0.0001)</f>
        <v>1E-4</v>
      </c>
      <c r="GP115" s="99">
        <f>IF(AND(Database!OE42&gt;1,Database!OE43&gt;1),100*(Database!OE42/(Database!OE43)),0.0001)</f>
        <v>1E-4</v>
      </c>
      <c r="GQ115" s="99">
        <f>IF(AND(Database!OG42&gt;1,Database!OG43&gt;1),100*(Database!OG42/(Database!OG43)),0.0001)</f>
        <v>1E-4</v>
      </c>
      <c r="GR115" s="99">
        <f>IF(AND(Database!OI42&gt;1,Database!OI43&gt;1),100*(Database!OI42/(Database!OI43)),0.0001)</f>
        <v>1E-4</v>
      </c>
      <c r="GS115" s="99">
        <f>IF(AND(Database!OK42&gt;1,Database!OK43&gt;1),100*(Database!OK42/(Database!OK43)),0.0001)</f>
        <v>1E-4</v>
      </c>
      <c r="GT115" s="99">
        <f>IF(AND(Database!OM42&gt;1,Database!OM43&gt;1),100*(Database!OM42/(Database!OM43)),0.0001)</f>
        <v>1E-4</v>
      </c>
    </row>
    <row r="116" spans="1:202" ht="18.75" customHeight="1" x14ac:dyDescent="0.4">
      <c r="A116" s="29" t="s">
        <v>126</v>
      </c>
      <c r="B116" s="306"/>
      <c r="C116" s="99">
        <f>IF(AND(Database!E44&gt;1,Database!E47&gt;1),100*(Database!E44/(Database!E47)),0.0001)</f>
        <v>286.92452048451173</v>
      </c>
      <c r="D116" s="99">
        <f>IF(AND(Database!G44&gt;1,Database!G47&gt;1),100*(Database!G44/(Database!G47)),0.0001)</f>
        <v>360.4645416357796</v>
      </c>
      <c r="E116" s="99">
        <f>IF(AND(Database!I44&gt;1,Database!I47&gt;1),100*(Database!I44/(Database!I47)),0.0001)</f>
        <v>367.55140186915889</v>
      </c>
      <c r="F116" s="99">
        <f>IF(AND(Database!K44&gt;1,Database!K47&gt;1),100*(Database!K44/(Database!K47)),0.0001)</f>
        <v>351.8957545187053</v>
      </c>
      <c r="G116" s="99">
        <f>IF(AND(Database!M44&gt;1,Database!M47&gt;1),100*(Database!M44/(Database!M47)),0.0001)</f>
        <v>1E-4</v>
      </c>
      <c r="H116" s="99">
        <f>IF(AND(Database!O44&gt;1,Database!O47&gt;1),100*(Database!O44/(Database!O47)),0.0001)</f>
        <v>1E-4</v>
      </c>
      <c r="I116" s="99">
        <f>IF(AND(Database!Q44&gt;1,Database!Q47&gt;1),100*(Database!Q44/(Database!Q47)),0.0001)</f>
        <v>1E-4</v>
      </c>
      <c r="J116" s="99">
        <f>IF(AND(Database!S44&gt;1,Database!S47&gt;1),100*(Database!S44/(Database!S47)),0.0001)</f>
        <v>1E-4</v>
      </c>
      <c r="K116" s="99">
        <f>IF(AND(Database!U44&gt;1,Database!U47&gt;1),100*(Database!U44/(Database!U47)),0.0001)</f>
        <v>1E-4</v>
      </c>
      <c r="L116" s="99">
        <f>IF(AND(Database!W44&gt;1,Database!W47&gt;1),100*(Database!W44/(Database!W47)),0.0001)</f>
        <v>1E-4</v>
      </c>
      <c r="M116" s="99">
        <f>IF(AND(Database!Y44&gt;1,Database!Y47&gt;1),100*(Database!Y44/(Database!Y47)),0.0001)</f>
        <v>1E-4</v>
      </c>
      <c r="N116" s="99">
        <f>IF(AND(Database!AA44&gt;1,Database!AA47&gt;1),100*(Database!AA44/(Database!AA47)),0.0001)</f>
        <v>1E-4</v>
      </c>
      <c r="O116" s="99">
        <f>IF(AND(Database!AC44&gt;1,Database!AC47&gt;1),100*(Database!AC44/(Database!AC47)),0.0001)</f>
        <v>1E-4</v>
      </c>
      <c r="P116" s="99">
        <f>IF(AND(Database!AE44&gt;1,Database!AE47&gt;1),100*(Database!AE44/(Database!AE47)),0.0001)</f>
        <v>1E-4</v>
      </c>
      <c r="Q116" s="99">
        <f>IF(AND(Database!AG44&gt;1,Database!AG47&gt;1),100*(Database!AG44/(Database!AG47)),0.0001)</f>
        <v>1E-4</v>
      </c>
      <c r="R116" s="99">
        <f>IF(AND(Database!AI44&gt;1,Database!AI47&gt;1),100*(Database!AI44/(Database!AI47)),0.0001)</f>
        <v>1E-4</v>
      </c>
      <c r="S116" s="99">
        <f>IF(AND(Database!AK44&gt;1,Database!AK47&gt;1),100*(Database!AK44/(Database!AK47)),0.0001)</f>
        <v>1E-4</v>
      </c>
      <c r="T116" s="99">
        <f>IF(AND(Database!AM44&gt;1,Database!AM47&gt;1),100*(Database!AM44/(Database!AM47)),0.0001)</f>
        <v>1E-4</v>
      </c>
      <c r="U116" s="99">
        <f>IF(AND(Database!AO44&gt;1,Database!AO47&gt;1),100*(Database!AO44/(Database!AO47)),0.0001)</f>
        <v>1E-4</v>
      </c>
      <c r="V116" s="99">
        <f>IF(AND(Database!AQ44&gt;1,Database!AQ47&gt;1),100*(Database!AQ44/(Database!AQ47)),0.0001)</f>
        <v>1E-4</v>
      </c>
      <c r="W116" s="99">
        <f>IF(AND(Database!AS44&gt;1,Database!AS47&gt;1),100*(Database!AS44/(Database!AS47)),0.0001)</f>
        <v>1E-4</v>
      </c>
      <c r="X116" s="99">
        <f>IF(AND(Database!AU44&gt;1,Database!AU47&gt;1),100*(Database!AU44/(Database!AU47)),0.0001)</f>
        <v>1E-4</v>
      </c>
      <c r="Y116" s="99">
        <f>IF(AND(Database!AW44&gt;1,Database!AW47&gt;1),100*(Database!AW44/(Database!AW47)),0.0001)</f>
        <v>1E-4</v>
      </c>
      <c r="Z116" s="99">
        <f>IF(AND(Database!AY44&gt;1,Database!AY47&gt;1),100*(Database!AY44/(Database!AY47)),0.0001)</f>
        <v>1E-4</v>
      </c>
      <c r="AA116" s="99">
        <f>IF(AND(Database!BA44&gt;1,Database!BA47&gt;1),100*(Database!BA44/(Database!BA47)),0.0001)</f>
        <v>1E-4</v>
      </c>
      <c r="AB116" s="99">
        <f>IF(AND(Database!BC44&gt;1,Database!BC47&gt;1),100*(Database!BC44/(Database!BC47)),0.0001)</f>
        <v>1E-4</v>
      </c>
      <c r="AC116" s="99">
        <f>IF(AND(Database!BE44&gt;1,Database!BE47&gt;1),100*(Database!BE44/(Database!BE47)),0.0001)</f>
        <v>1E-4</v>
      </c>
      <c r="AD116" s="99">
        <f>IF(AND(Database!BG44&gt;1,Database!BG47&gt;1),100*(Database!BG44/(Database!BG47)),0.0001)</f>
        <v>1E-4</v>
      </c>
      <c r="AE116" s="99">
        <f>IF(AND(Database!BI44&gt;1,Database!BI47&gt;1),100*(Database!BI44/(Database!BI47)),0.0001)</f>
        <v>1E-4</v>
      </c>
      <c r="AF116" s="99">
        <f>IF(AND(Database!BK44&gt;1,Database!BK47&gt;1),100*(Database!BK44/(Database!BK47)),0.0001)</f>
        <v>1E-4</v>
      </c>
      <c r="AG116" s="99">
        <f>IF(AND(Database!BM44&gt;1,Database!BM47&gt;1),100*(Database!BM44/(Database!BM47)),0.0001)</f>
        <v>1E-4</v>
      </c>
      <c r="AH116" s="99">
        <f>IF(AND(Database!BO44&gt;1,Database!BO47&gt;1),100*(Database!BO44/(Database!BO47)),0.0001)</f>
        <v>1E-4</v>
      </c>
      <c r="AI116" s="99">
        <f>IF(AND(Database!BQ44&gt;1,Database!BQ47&gt;1),100*(Database!BQ44/(Database!BQ47)),0.0001)</f>
        <v>1E-4</v>
      </c>
      <c r="AJ116" s="99">
        <f>IF(AND(Database!BS44&gt;1,Database!BS47&gt;1),100*(Database!BS44/(Database!BS47)),0.0001)</f>
        <v>1E-4</v>
      </c>
      <c r="AK116" s="99">
        <f>IF(AND(Database!BU44&gt;1,Database!BU47&gt;1),100*(Database!BU44/(Database!BU47)),0.0001)</f>
        <v>1E-4</v>
      </c>
      <c r="AL116" s="99">
        <f>IF(AND(Database!BW44&gt;1,Database!BW47&gt;1),100*(Database!BW44/(Database!BW47)),0.0001)</f>
        <v>1E-4</v>
      </c>
      <c r="AM116" s="99">
        <f>IF(AND(Database!BY44&gt;1,Database!BY47&gt;1),100*(Database!BY44/(Database!BY47)),0.0001)</f>
        <v>1E-4</v>
      </c>
      <c r="AN116" s="99">
        <f>IF(AND(Database!CA44&gt;1,Database!CA47&gt;1),100*(Database!CA44/(Database!CA47)),0.0001)</f>
        <v>1E-4</v>
      </c>
      <c r="AO116" s="99">
        <f>IF(AND(Database!CC44&gt;1,Database!CC47&gt;1),100*(Database!CC44/(Database!CC47)),0.0001)</f>
        <v>1E-4</v>
      </c>
      <c r="AP116" s="99">
        <f>IF(AND(Database!CE44&gt;1,Database!CE47&gt;1),100*(Database!CE44/(Database!CE47)),0.0001)</f>
        <v>1E-4</v>
      </c>
      <c r="AQ116" s="99">
        <f>IF(AND(Database!CG44&gt;1,Database!CG47&gt;1),100*(Database!CG44/(Database!CG47)),0.0001)</f>
        <v>1E-4</v>
      </c>
      <c r="AR116" s="99">
        <f>IF(AND(Database!CI44&gt;1,Database!CI47&gt;1),100*(Database!CI44/(Database!CI47)),0.0001)</f>
        <v>1E-4</v>
      </c>
      <c r="AS116" s="99">
        <f>IF(AND(Database!CK44&gt;1,Database!CK47&gt;1),100*(Database!CK44/(Database!CK47)),0.0001)</f>
        <v>1E-4</v>
      </c>
      <c r="AT116" s="99">
        <f>IF(AND(Database!CM44&gt;1,Database!CM47&gt;1),100*(Database!CM44/(Database!CM47)),0.0001)</f>
        <v>1E-4</v>
      </c>
      <c r="AU116" s="99">
        <f>IF(AND(Database!CO44&gt;1,Database!CO47&gt;1),100*(Database!CO44/(Database!CO47)),0.0001)</f>
        <v>1E-4</v>
      </c>
      <c r="AV116" s="99">
        <f>IF(AND(Database!CQ44&gt;1,Database!CQ47&gt;1),100*(Database!CQ44/(Database!CQ47)),0.0001)</f>
        <v>1E-4</v>
      </c>
      <c r="AW116" s="99">
        <f>IF(AND(Database!CS44&gt;1,Database!CS47&gt;1),100*(Database!CS44/(Database!CS47)),0.0001)</f>
        <v>1E-4</v>
      </c>
      <c r="AX116" s="99">
        <f>IF(AND(Database!CU44&gt;1,Database!CU47&gt;1),100*(Database!CU44/(Database!CU47)),0.0001)</f>
        <v>1E-4</v>
      </c>
      <c r="AY116" s="99">
        <f>IF(AND(Database!CW44&gt;1,Database!CW47&gt;1),100*(Database!CW44/(Database!CW47)),0.0001)</f>
        <v>1E-4</v>
      </c>
      <c r="AZ116" s="99">
        <f>IF(AND(Database!CY44&gt;1,Database!CY47&gt;1),100*(Database!CY44/(Database!CY47)),0.0001)</f>
        <v>1E-4</v>
      </c>
      <c r="BA116" s="99">
        <f>IF(AND(Database!DA44&gt;1,Database!DA47&gt;1),100*(Database!DA44/(Database!DA47)),0.0001)</f>
        <v>1E-4</v>
      </c>
      <c r="BB116" s="99">
        <f>IF(AND(Database!DC44&gt;1,Database!DC47&gt;1),100*(Database!DC44/(Database!DC47)),0.0001)</f>
        <v>1E-4</v>
      </c>
      <c r="BC116" s="99">
        <f>IF(AND(Database!DE44&gt;1,Database!DE47&gt;1),100*(Database!DE44/(Database!DE47)),0.0001)</f>
        <v>1E-4</v>
      </c>
      <c r="BD116" s="99">
        <f>IF(AND(Database!DG44&gt;1,Database!DG47&gt;1),100*(Database!DG44/(Database!DG47)),0.0001)</f>
        <v>1E-4</v>
      </c>
      <c r="BE116" s="99">
        <f>IF(AND(Database!DI44&gt;1,Database!DI47&gt;1),100*(Database!DI44/(Database!DI47)),0.0001)</f>
        <v>1E-4</v>
      </c>
      <c r="BF116" s="99">
        <f>IF(AND(Database!DK44&gt;1,Database!DK47&gt;1),100*(Database!DK44/(Database!DK47)),0.0001)</f>
        <v>1E-4</v>
      </c>
      <c r="BG116" s="99">
        <f>IF(AND(Database!DM44&gt;1,Database!DM47&gt;1),100*(Database!DM44/(Database!DM47)),0.0001)</f>
        <v>1E-4</v>
      </c>
      <c r="BH116" s="99">
        <f>IF(AND(Database!DO44&gt;1,Database!DO47&gt;1),100*(Database!DO44/(Database!DO47)),0.0001)</f>
        <v>1E-4</v>
      </c>
      <c r="BI116" s="99">
        <f>IF(AND(Database!DQ44&gt;1,Database!DQ47&gt;1),100*(Database!DQ44/(Database!DQ47)),0.0001)</f>
        <v>1E-4</v>
      </c>
      <c r="BJ116" s="99">
        <f>IF(AND(Database!DS44&gt;1,Database!DS47&gt;1),100*(Database!DS44/(Database!DS47)),0.0001)</f>
        <v>1E-4</v>
      </c>
      <c r="BK116" s="99">
        <f>IF(AND(Database!DU44&gt;1,Database!DU47&gt;1),100*(Database!DU44/(Database!DU47)),0.0001)</f>
        <v>1E-4</v>
      </c>
      <c r="BL116" s="99">
        <f>IF(AND(Database!DW44&gt;1,Database!DW47&gt;1),100*(Database!DW44/(Database!DW47)),0.0001)</f>
        <v>1E-4</v>
      </c>
      <c r="BM116" s="99">
        <f>IF(AND(Database!DY44&gt;1,Database!DY47&gt;1),100*(Database!DY44/(Database!DY47)),0.0001)</f>
        <v>1E-4</v>
      </c>
      <c r="BN116" s="99">
        <f>IF(AND(Database!EA44&gt;1,Database!EA47&gt;1),100*(Database!EA44/(Database!EA47)),0.0001)</f>
        <v>1E-4</v>
      </c>
      <c r="BO116" s="99">
        <f>IF(AND(Database!EC44&gt;1,Database!EC47&gt;1),100*(Database!EC44/(Database!EC47)),0.0001)</f>
        <v>1E-4</v>
      </c>
      <c r="BP116" s="99">
        <f>IF(AND(Database!EE44&gt;1,Database!EE47&gt;1),100*(Database!EE44/(Database!EE47)),0.0001)</f>
        <v>1E-4</v>
      </c>
      <c r="BQ116" s="99">
        <f>IF(AND(Database!EG44&gt;1,Database!EG47&gt;1),100*(Database!EG44/(Database!EG47)),0.0001)</f>
        <v>1E-4</v>
      </c>
      <c r="BR116" s="99">
        <f>IF(AND(Database!EI44&gt;1,Database!EI47&gt;1),100*(Database!EI44/(Database!EI47)),0.0001)</f>
        <v>1E-4</v>
      </c>
      <c r="BS116" s="99">
        <f>IF(AND(Database!EK44&gt;1,Database!EK47&gt;1),100*(Database!EK44/(Database!EK47)),0.0001)</f>
        <v>1E-4</v>
      </c>
      <c r="BT116" s="99">
        <f>IF(AND(Database!EM44&gt;1,Database!EM47&gt;1),100*(Database!EM44/(Database!EM47)),0.0001)</f>
        <v>1E-4</v>
      </c>
      <c r="BU116" s="99">
        <f>IF(AND(Database!EO44&gt;1,Database!EO47&gt;1),100*(Database!EO44/(Database!EO47)),0.0001)</f>
        <v>1E-4</v>
      </c>
      <c r="BV116" s="99">
        <f>IF(AND(Database!EQ44&gt;1,Database!EQ47&gt;1),100*(Database!EQ44/(Database!EQ47)),0.0001)</f>
        <v>1E-4</v>
      </c>
      <c r="BW116" s="99">
        <f>IF(AND(Database!ES44&gt;1,Database!ES47&gt;1),100*(Database!ES44/(Database!ES47)),0.0001)</f>
        <v>1E-4</v>
      </c>
      <c r="BX116" s="99">
        <f>IF(AND(Database!EU44&gt;1,Database!EU47&gt;1),100*(Database!EU44/(Database!EU47)),0.0001)</f>
        <v>1E-4</v>
      </c>
      <c r="BY116" s="99">
        <f>IF(AND(Database!EW44&gt;1,Database!EW47&gt;1),100*(Database!EW44/(Database!EW47)),0.0001)</f>
        <v>1E-4</v>
      </c>
      <c r="BZ116" s="99">
        <f>IF(AND(Database!EY44&gt;1,Database!EY47&gt;1),100*(Database!EY44/(Database!EY47)),0.0001)</f>
        <v>1E-4</v>
      </c>
      <c r="CA116" s="99">
        <f>IF(AND(Database!FA44&gt;1,Database!FA47&gt;1),100*(Database!FA44/(Database!FA47)),0.0001)</f>
        <v>1E-4</v>
      </c>
      <c r="CB116" s="99">
        <f>IF(AND(Database!FC44&gt;1,Database!FC47&gt;1),100*(Database!FC44/(Database!FC47)),0.0001)</f>
        <v>1E-4</v>
      </c>
      <c r="CC116" s="99">
        <f>IF(AND(Database!FE44&gt;1,Database!FE47&gt;1),100*(Database!FE44/(Database!FE47)),0.0001)</f>
        <v>1E-4</v>
      </c>
      <c r="CD116" s="99">
        <f>IF(AND(Database!FG44&gt;1,Database!FG47&gt;1),100*(Database!FG44/(Database!FG47)),0.0001)</f>
        <v>1E-4</v>
      </c>
      <c r="CE116" s="99">
        <f>IF(AND(Database!FI44&gt;1,Database!FI47&gt;1),100*(Database!FI44/(Database!FI47)),0.0001)</f>
        <v>1E-4</v>
      </c>
      <c r="CF116" s="99">
        <f>IF(AND(Database!FK44&gt;1,Database!FK47&gt;1),100*(Database!FK44/(Database!FK47)),0.0001)</f>
        <v>1E-4</v>
      </c>
      <c r="CG116" s="99">
        <f>IF(AND(Database!FM44&gt;1,Database!FM47&gt;1),100*(Database!FM44/(Database!FM47)),0.0001)</f>
        <v>1E-4</v>
      </c>
      <c r="CH116" s="99">
        <f>IF(AND(Database!FO44&gt;1,Database!FO47&gt;1),100*(Database!FO44/(Database!FO47)),0.0001)</f>
        <v>1E-4</v>
      </c>
      <c r="CI116" s="99">
        <f>IF(AND(Database!FQ44&gt;1,Database!FQ47&gt;1),100*(Database!FQ44/(Database!FQ47)),0.0001)</f>
        <v>1E-4</v>
      </c>
      <c r="CJ116" s="99">
        <f>IF(AND(Database!FS44&gt;1,Database!FS47&gt;1),100*(Database!FS44/(Database!FS47)),0.0001)</f>
        <v>1E-4</v>
      </c>
      <c r="CK116" s="99">
        <f>IF(AND(Database!FU44&gt;1,Database!FU47&gt;1),100*(Database!FU44/(Database!FU47)),0.0001)</f>
        <v>1E-4</v>
      </c>
      <c r="CL116" s="99">
        <f>IF(AND(Database!FW44&gt;1,Database!FW47&gt;1),100*(Database!FW44/(Database!FW47)),0.0001)</f>
        <v>1E-4</v>
      </c>
      <c r="CM116" s="99">
        <f>IF(AND(Database!FY44&gt;1,Database!FY47&gt;1),100*(Database!FY44/(Database!FY47)),0.0001)</f>
        <v>1E-4</v>
      </c>
      <c r="CN116" s="99">
        <f>IF(AND(Database!GA44&gt;1,Database!GA47&gt;1),100*(Database!GA44/(Database!GA47)),0.0001)</f>
        <v>1E-4</v>
      </c>
      <c r="CO116" s="99">
        <f>IF(AND(Database!GC44&gt;1,Database!GC47&gt;1),100*(Database!GC44/(Database!GC47)),0.0001)</f>
        <v>1E-4</v>
      </c>
      <c r="CP116" s="99">
        <f>IF(AND(Database!GE44&gt;1,Database!GE47&gt;1),100*(Database!GE44/(Database!GE47)),0.0001)</f>
        <v>1E-4</v>
      </c>
      <c r="CQ116" s="99">
        <f>IF(AND(Database!GG44&gt;1,Database!GG47&gt;1),100*(Database!GG44/(Database!GG47)),0.0001)</f>
        <v>1E-4</v>
      </c>
      <c r="CR116" s="99">
        <f>IF(AND(Database!GI44&gt;1,Database!GI47&gt;1),100*(Database!GI44/(Database!GI47)),0.0001)</f>
        <v>1E-4</v>
      </c>
      <c r="CS116" s="99">
        <f>IF(AND(Database!GK44&gt;1,Database!GK47&gt;1),100*(Database!GK44/(Database!GK47)),0.0001)</f>
        <v>1E-4</v>
      </c>
      <c r="CT116" s="99">
        <f>IF(AND(Database!GM44&gt;1,Database!GM47&gt;1),100*(Database!GM44/(Database!GM47)),0.0001)</f>
        <v>1E-4</v>
      </c>
      <c r="CU116" s="99">
        <f>IF(AND(Database!GO44&gt;1,Database!GO47&gt;1),100*(Database!GO44/(Database!GO47)),0.0001)</f>
        <v>1E-4</v>
      </c>
      <c r="CV116" s="99">
        <f>IF(AND(Database!GQ44&gt;1,Database!GQ47&gt;1),100*(Database!GQ44/(Database!GQ47)),0.0001)</f>
        <v>1E-4</v>
      </c>
      <c r="CW116" s="99">
        <f>IF(AND(Database!GS44&gt;1,Database!GS47&gt;1),100*(Database!GS44/(Database!GS47)),0.0001)</f>
        <v>1E-4</v>
      </c>
      <c r="CX116" s="99">
        <f>IF(AND(Database!GU44&gt;1,Database!GU47&gt;1),100*(Database!GU44/(Database!GU47)),0.0001)</f>
        <v>1E-4</v>
      </c>
      <c r="CY116" s="99">
        <f>IF(AND(Database!GW44&gt;1,Database!GW47&gt;1),100*(Database!GW44/(Database!GW47)),0.0001)</f>
        <v>1E-4</v>
      </c>
      <c r="CZ116" s="99">
        <f>IF(AND(Database!GY44&gt;1,Database!GY47&gt;1),100*(Database!GY44/(Database!GY47)),0.0001)</f>
        <v>1E-4</v>
      </c>
      <c r="DA116" s="99">
        <f>IF(AND(Database!HA44&gt;1,Database!HA47&gt;1),100*(Database!HA44/(Database!HA47)),0.0001)</f>
        <v>1E-4</v>
      </c>
      <c r="DB116" s="99">
        <f>IF(AND(Database!HC44&gt;1,Database!HC47&gt;1),100*(Database!HC44/(Database!HC47)),0.0001)</f>
        <v>1E-4</v>
      </c>
      <c r="DC116" s="99">
        <f>IF(AND(Database!HE44&gt;1,Database!HE47&gt;1),100*(Database!HE44/(Database!HE47)),0.0001)</f>
        <v>1E-4</v>
      </c>
      <c r="DD116" s="99">
        <f>IF(AND(Database!HG44&gt;1,Database!HG47&gt;1),100*(Database!HG44/(Database!HG47)),0.0001)</f>
        <v>1E-4</v>
      </c>
      <c r="DE116" s="99">
        <f>IF(AND(Database!HI44&gt;1,Database!HI47&gt;1),100*(Database!HI44/(Database!HI47)),0.0001)</f>
        <v>1E-4</v>
      </c>
      <c r="DF116" s="99">
        <f>IF(AND(Database!HK44&gt;1,Database!HK47&gt;1),100*(Database!HK44/(Database!HK47)),0.0001)</f>
        <v>1E-4</v>
      </c>
      <c r="DG116" s="99">
        <f>IF(AND(Database!HM44&gt;1,Database!HM47&gt;1),100*(Database!HM44/(Database!HM47)),0.0001)</f>
        <v>1E-4</v>
      </c>
      <c r="DH116" s="99">
        <f>IF(AND(Database!HO44&gt;1,Database!HO47&gt;1),100*(Database!HO44/(Database!HO47)),0.0001)</f>
        <v>1E-4</v>
      </c>
      <c r="DI116" s="99">
        <f>IF(AND(Database!HQ44&gt;1,Database!HQ47&gt;1),100*(Database!HQ44/(Database!HQ47)),0.0001)</f>
        <v>1E-4</v>
      </c>
      <c r="DJ116" s="99">
        <f>IF(AND(Database!HS44&gt;1,Database!HS47&gt;1),100*(Database!HS44/(Database!HS47)),0.0001)</f>
        <v>1E-4</v>
      </c>
      <c r="DK116" s="99">
        <f>IF(AND(Database!HU44&gt;1,Database!HU47&gt;1),100*(Database!HU44/(Database!HU47)),0.0001)</f>
        <v>1E-4</v>
      </c>
      <c r="DL116" s="99">
        <f>IF(AND(Database!HW44&gt;1,Database!HW47&gt;1),100*(Database!HW44/(Database!HW47)),0.0001)</f>
        <v>1E-4</v>
      </c>
      <c r="DM116" s="99">
        <f>IF(AND(Database!HY44&gt;1,Database!HY47&gt;1),100*(Database!HY44/(Database!HY47)),0.0001)</f>
        <v>1E-4</v>
      </c>
      <c r="DN116" s="99">
        <f>IF(AND(Database!IA44&gt;1,Database!IA47&gt;1),100*(Database!IA44/(Database!IA47)),0.0001)</f>
        <v>1E-4</v>
      </c>
      <c r="DO116" s="99">
        <f>IF(AND(Database!IC44&gt;1,Database!IC47&gt;1),100*(Database!IC44/(Database!IC47)),0.0001)</f>
        <v>1E-4</v>
      </c>
      <c r="DP116" s="99">
        <f>IF(AND(Database!IE44&gt;1,Database!IE47&gt;1),100*(Database!IE44/(Database!IE47)),0.0001)</f>
        <v>1E-4</v>
      </c>
      <c r="DQ116" s="99">
        <f>IF(AND(Database!IG44&gt;1,Database!IG47&gt;1),100*(Database!IG44/(Database!IG47)),0.0001)</f>
        <v>1E-4</v>
      </c>
      <c r="DR116" s="99">
        <f>IF(AND(Database!II44&gt;1,Database!II47&gt;1),100*(Database!II44/(Database!II47)),0.0001)</f>
        <v>1E-4</v>
      </c>
      <c r="DS116" s="99">
        <f>IF(AND(Database!IK44&gt;1,Database!IK47&gt;1),100*(Database!IK44/(Database!IK47)),0.0001)</f>
        <v>1E-4</v>
      </c>
      <c r="DT116" s="99">
        <f>IF(AND(Database!IM44&gt;1,Database!IM47&gt;1),100*(Database!IM44/(Database!IM47)),0.0001)</f>
        <v>1E-4</v>
      </c>
      <c r="DU116" s="99">
        <f>IF(AND(Database!IO44&gt;1,Database!IO47&gt;1),100*(Database!IO44/(Database!IO47)),0.0001)</f>
        <v>1E-4</v>
      </c>
      <c r="DV116" s="99">
        <f>IF(AND(Database!IQ44&gt;1,Database!IQ47&gt;1),100*(Database!IQ44/(Database!IQ47)),0.0001)</f>
        <v>1E-4</v>
      </c>
      <c r="DW116" s="99">
        <f>IF(AND(Database!IS44&gt;1,Database!IS47&gt;1),100*(Database!IS44/(Database!IS47)),0.0001)</f>
        <v>1E-4</v>
      </c>
      <c r="DX116" s="99">
        <f>IF(AND(Database!IU44&gt;1,Database!IU47&gt;1),100*(Database!IU44/(Database!IU47)),0.0001)</f>
        <v>1E-4</v>
      </c>
      <c r="DY116" s="99">
        <f>IF(AND(Database!IW44&gt;1,Database!IW47&gt;1),100*(Database!IW44/(Database!IW47)),0.0001)</f>
        <v>1E-4</v>
      </c>
      <c r="DZ116" s="99">
        <f>IF(AND(Database!IY44&gt;1,Database!IY47&gt;1),100*(Database!IY44/(Database!IY47)),0.0001)</f>
        <v>1E-4</v>
      </c>
      <c r="EA116" s="99">
        <f>IF(AND(Database!JA44&gt;1,Database!JA47&gt;1),100*(Database!JA44/(Database!JA47)),0.0001)</f>
        <v>1E-4</v>
      </c>
      <c r="EB116" s="99">
        <f>IF(AND(Database!JC44&gt;1,Database!JC47&gt;1),100*(Database!JC44/(Database!JC47)),0.0001)</f>
        <v>1E-4</v>
      </c>
      <c r="EC116" s="99">
        <f>IF(AND(Database!JE44&gt;1,Database!JE47&gt;1),100*(Database!JE44/(Database!JE47)),0.0001)</f>
        <v>1E-4</v>
      </c>
      <c r="ED116" s="99">
        <f>IF(AND(Database!JG44&gt;1,Database!JG47&gt;1),100*(Database!JG44/(Database!JG47)),0.0001)</f>
        <v>1E-4</v>
      </c>
      <c r="EE116" s="99">
        <f>IF(AND(Database!JI44&gt;1,Database!JI47&gt;1),100*(Database!JI44/(Database!JI47)),0.0001)</f>
        <v>1E-4</v>
      </c>
      <c r="EF116" s="99">
        <f>IF(AND(Database!JK44&gt;1,Database!JK47&gt;1),100*(Database!JK44/(Database!JK47)),0.0001)</f>
        <v>1E-4</v>
      </c>
      <c r="EG116" s="99">
        <f>IF(AND(Database!JM44&gt;1,Database!JM47&gt;1),100*(Database!JM44/(Database!JM47)),0.0001)</f>
        <v>1E-4</v>
      </c>
      <c r="EH116" s="99">
        <f>IF(AND(Database!JO44&gt;1,Database!JO47&gt;1),100*(Database!JO44/(Database!JO47)),0.0001)</f>
        <v>1E-4</v>
      </c>
      <c r="EI116" s="99">
        <f>IF(AND(Database!JQ44&gt;1,Database!JQ47&gt;1),100*(Database!JQ44/(Database!JQ47)),0.0001)</f>
        <v>1E-4</v>
      </c>
      <c r="EJ116" s="99">
        <f>IF(AND(Database!JS44&gt;1,Database!JS47&gt;1),100*(Database!JS44/(Database!JS47)),0.0001)</f>
        <v>1E-4</v>
      </c>
      <c r="EK116" s="99">
        <f>IF(AND(Database!JU44&gt;1,Database!JU47&gt;1),100*(Database!JU44/(Database!JU47)),0.0001)</f>
        <v>1E-4</v>
      </c>
      <c r="EL116" s="99">
        <f>IF(AND(Database!JW44&gt;1,Database!JW47&gt;1),100*(Database!JW44/(Database!JW47)),0.0001)</f>
        <v>1E-4</v>
      </c>
      <c r="EM116" s="99">
        <f>IF(AND(Database!JY44&gt;1,Database!JY47&gt;1),100*(Database!JY44/(Database!JY47)),0.0001)</f>
        <v>1E-4</v>
      </c>
      <c r="EN116" s="99">
        <f>IF(AND(Database!KA44&gt;1,Database!KA47&gt;1),100*(Database!KA44/(Database!KA47)),0.0001)</f>
        <v>1E-4</v>
      </c>
      <c r="EO116" s="99">
        <f>IF(AND(Database!KC44&gt;1,Database!KC47&gt;1),100*(Database!KC44/(Database!KC47)),0.0001)</f>
        <v>1E-4</v>
      </c>
      <c r="EP116" s="99">
        <f>IF(AND(Database!KE44&gt;1,Database!KE47&gt;1),100*(Database!KE44/(Database!KE47)),0.0001)</f>
        <v>1E-4</v>
      </c>
      <c r="EQ116" s="99">
        <f>IF(AND(Database!KG44&gt;1,Database!KG47&gt;1),100*(Database!KG44/(Database!KG47)),0.0001)</f>
        <v>1E-4</v>
      </c>
      <c r="ER116" s="99">
        <f>IF(AND(Database!KI44&gt;1,Database!KI47&gt;1),100*(Database!KI44/(Database!KI47)),0.0001)</f>
        <v>1E-4</v>
      </c>
      <c r="ES116" s="99">
        <f>IF(AND(Database!KK44&gt;1,Database!KK47&gt;1),100*(Database!KK44/(Database!KK47)),0.0001)</f>
        <v>1E-4</v>
      </c>
      <c r="ET116" s="99">
        <f>IF(AND(Database!KM44&gt;1,Database!KM47&gt;1),100*(Database!KM44/(Database!KM47)),0.0001)</f>
        <v>1E-4</v>
      </c>
      <c r="EU116" s="99">
        <f>IF(AND(Database!KO44&gt;1,Database!KO47&gt;1),100*(Database!KO44/(Database!KO47)),0.0001)</f>
        <v>1E-4</v>
      </c>
      <c r="EV116" s="99">
        <f>IF(AND(Database!KQ44&gt;1,Database!KQ47&gt;1),100*(Database!KQ44/(Database!KQ47)),0.0001)</f>
        <v>1E-4</v>
      </c>
      <c r="EW116" s="99">
        <f>IF(AND(Database!KS44&gt;1,Database!KS47&gt;1),100*(Database!KS44/(Database!KS47)),0.0001)</f>
        <v>1E-4</v>
      </c>
      <c r="EX116" s="99">
        <f>IF(AND(Database!KU44&gt;1,Database!KU47&gt;1),100*(Database!KU44/(Database!KU47)),0.0001)</f>
        <v>1E-4</v>
      </c>
      <c r="EY116" s="99">
        <f>IF(AND(Database!KW44&gt;1,Database!KW47&gt;1),100*(Database!KW44/(Database!KW47)),0.0001)</f>
        <v>1E-4</v>
      </c>
      <c r="EZ116" s="99">
        <f>IF(AND(Database!KY44&gt;1,Database!KY47&gt;1),100*(Database!KY44/(Database!KY47)),0.0001)</f>
        <v>1E-4</v>
      </c>
      <c r="FA116" s="99">
        <f>IF(AND(Database!LA44&gt;1,Database!LA47&gt;1),100*(Database!LA44/(Database!LA47)),0.0001)</f>
        <v>1E-4</v>
      </c>
      <c r="FB116" s="99">
        <f>IF(AND(Database!LC44&gt;1,Database!LC47&gt;1),100*(Database!LC44/(Database!LC47)),0.0001)</f>
        <v>1E-4</v>
      </c>
      <c r="FC116" s="99">
        <f>IF(AND(Database!LE44&gt;1,Database!LE47&gt;1),100*(Database!LE44/(Database!LE47)),0.0001)</f>
        <v>1E-4</v>
      </c>
      <c r="FD116" s="99">
        <f>IF(AND(Database!LG44&gt;1,Database!LG47&gt;1),100*(Database!LG44/(Database!LG47)),0.0001)</f>
        <v>1E-4</v>
      </c>
      <c r="FE116" s="99">
        <f>IF(AND(Database!LI44&gt;1,Database!LI47&gt;1),100*(Database!LI44/(Database!LI47)),0.0001)</f>
        <v>1E-4</v>
      </c>
      <c r="FF116" s="99">
        <f>IF(AND(Database!LK44&gt;1,Database!LK47&gt;1),100*(Database!LK44/(Database!LK47)),0.0001)</f>
        <v>1E-4</v>
      </c>
      <c r="FG116" s="99">
        <f>IF(AND(Database!LM44&gt;1,Database!LM47&gt;1),100*(Database!LM44/(Database!LM47)),0.0001)</f>
        <v>1E-4</v>
      </c>
      <c r="FH116" s="99">
        <f>IF(AND(Database!LO44&gt;1,Database!LO47&gt;1),100*(Database!LO44/(Database!LO47)),0.0001)</f>
        <v>1E-4</v>
      </c>
      <c r="FI116" s="99">
        <f>IF(AND(Database!LQ44&gt;1,Database!LQ47&gt;1),100*(Database!LQ44/(Database!LQ47)),0.0001)</f>
        <v>1E-4</v>
      </c>
      <c r="FJ116" s="99">
        <f>IF(AND(Database!LS44&gt;1,Database!LS47&gt;1),100*(Database!LS44/(Database!LS47)),0.0001)</f>
        <v>1E-4</v>
      </c>
      <c r="FK116" s="99">
        <f>IF(AND(Database!LU44&gt;1,Database!LU47&gt;1),100*(Database!LU44/(Database!LU47)),0.0001)</f>
        <v>1E-4</v>
      </c>
      <c r="FL116" s="99">
        <f>IF(AND(Database!LW44&gt;1,Database!LW47&gt;1),100*(Database!LW44/(Database!LW47)),0.0001)</f>
        <v>1E-4</v>
      </c>
      <c r="FM116" s="99">
        <f>IF(AND(Database!LY44&gt;1,Database!LY47&gt;1),100*(Database!LY44/(Database!LY47)),0.0001)</f>
        <v>1E-4</v>
      </c>
      <c r="FN116" s="99">
        <f>IF(AND(Database!MA44&gt;1,Database!MA47&gt;1),100*(Database!MA44/(Database!MA47)),0.0001)</f>
        <v>1E-4</v>
      </c>
      <c r="FO116" s="99">
        <f>IF(AND(Database!MC44&gt;1,Database!MC47&gt;1),100*(Database!MC44/(Database!MC47)),0.0001)</f>
        <v>1E-4</v>
      </c>
      <c r="FP116" s="99">
        <f>IF(AND(Database!ME44&gt;1,Database!ME47&gt;1),100*(Database!ME44/(Database!ME47)),0.0001)</f>
        <v>1E-4</v>
      </c>
      <c r="FQ116" s="99">
        <f>IF(AND(Database!MG44&gt;1,Database!MG47&gt;1),100*(Database!MG44/(Database!MG47)),0.0001)</f>
        <v>1E-4</v>
      </c>
      <c r="FR116" s="99">
        <f>IF(AND(Database!MI44&gt;1,Database!MI47&gt;1),100*(Database!MI44/(Database!MI47)),0.0001)</f>
        <v>1E-4</v>
      </c>
      <c r="FS116" s="99">
        <f>IF(AND(Database!MK44&gt;1,Database!MK47&gt;1),100*(Database!MK44/(Database!MK47)),0.0001)</f>
        <v>1E-4</v>
      </c>
      <c r="FT116" s="99">
        <f>IF(AND(Database!MM44&gt;1,Database!MM47&gt;1),100*(Database!MM44/(Database!MM47)),0.0001)</f>
        <v>1E-4</v>
      </c>
      <c r="FU116" s="99">
        <f>IF(AND(Database!MO44&gt;1,Database!MO47&gt;1),100*(Database!MO44/(Database!MO47)),0.0001)</f>
        <v>1E-4</v>
      </c>
      <c r="FV116" s="99">
        <f>IF(AND(Database!MQ44&gt;1,Database!MQ47&gt;1),100*(Database!MQ44/(Database!MQ47)),0.0001)</f>
        <v>1E-4</v>
      </c>
      <c r="FW116" s="99">
        <f>IF(AND(Database!MS44&gt;1,Database!MS47&gt;1),100*(Database!MS44/(Database!MS47)),0.0001)</f>
        <v>1E-4</v>
      </c>
      <c r="FX116" s="99">
        <f>IF(AND(Database!MU44&gt;1,Database!MU47&gt;1),100*(Database!MU44/(Database!MU47)),0.0001)</f>
        <v>1E-4</v>
      </c>
      <c r="FY116" s="99">
        <f>IF(AND(Database!MW44&gt;1,Database!MW47&gt;1),100*(Database!MW44/(Database!MW47)),0.0001)</f>
        <v>1E-4</v>
      </c>
      <c r="FZ116" s="99">
        <f>IF(AND(Database!MY44&gt;1,Database!MY47&gt;1),100*(Database!MY44/(Database!MY47)),0.0001)</f>
        <v>1E-4</v>
      </c>
      <c r="GA116" s="99">
        <f>IF(AND(Database!NA44&gt;1,Database!NA47&gt;1),100*(Database!NA44/(Database!NA47)),0.0001)</f>
        <v>1E-4</v>
      </c>
      <c r="GB116" s="99">
        <f>IF(AND(Database!NC44&gt;1,Database!NC47&gt;1),100*(Database!NC44/(Database!NC47)),0.0001)</f>
        <v>1E-4</v>
      </c>
      <c r="GC116" s="99">
        <f>IF(AND(Database!NE44&gt;1,Database!NE47&gt;1),100*(Database!NE44/(Database!NE47)),0.0001)</f>
        <v>1E-4</v>
      </c>
      <c r="GD116" s="99">
        <f>IF(AND(Database!NG44&gt;1,Database!NG47&gt;1),100*(Database!NG44/(Database!NG47)),0.0001)</f>
        <v>1E-4</v>
      </c>
      <c r="GE116" s="99">
        <f>IF(AND(Database!NI44&gt;1,Database!NI47&gt;1),100*(Database!NI44/(Database!NI47)),0.0001)</f>
        <v>1E-4</v>
      </c>
      <c r="GF116" s="99">
        <f>IF(AND(Database!NK44&gt;1,Database!NK47&gt;1),100*(Database!NK44/(Database!NK47)),0.0001)</f>
        <v>1E-4</v>
      </c>
      <c r="GG116" s="99">
        <f>IF(AND(Database!NM44&gt;1,Database!NM47&gt;1),100*(Database!NM44/(Database!NM47)),0.0001)</f>
        <v>1E-4</v>
      </c>
      <c r="GH116" s="99">
        <f>IF(AND(Database!NO44&gt;1,Database!NO47&gt;1),100*(Database!NO44/(Database!NO47)),0.0001)</f>
        <v>1E-4</v>
      </c>
      <c r="GI116" s="99">
        <f>IF(AND(Database!NQ44&gt;1,Database!NQ47&gt;1),100*(Database!NQ44/(Database!NQ47)),0.0001)</f>
        <v>1E-4</v>
      </c>
      <c r="GJ116" s="99">
        <f>IF(AND(Database!NS44&gt;1,Database!NS47&gt;1),100*(Database!NS44/(Database!NS47)),0.0001)</f>
        <v>1E-4</v>
      </c>
      <c r="GK116" s="99">
        <f>IF(AND(Database!NU44&gt;1,Database!NU47&gt;1),100*(Database!NU44/(Database!NU47)),0.0001)</f>
        <v>1E-4</v>
      </c>
      <c r="GL116" s="99">
        <f>IF(AND(Database!NW44&gt;1,Database!NW47&gt;1),100*(Database!NW44/(Database!NW47)),0.0001)</f>
        <v>1E-4</v>
      </c>
      <c r="GM116" s="99">
        <f>IF(AND(Database!NY44&gt;1,Database!NY47&gt;1),100*(Database!NY44/(Database!NY47)),0.0001)</f>
        <v>1E-4</v>
      </c>
      <c r="GN116" s="99">
        <f>IF(AND(Database!OA44&gt;1,Database!OA47&gt;1),100*(Database!OA44/(Database!OA47)),0.0001)</f>
        <v>1E-4</v>
      </c>
      <c r="GO116" s="99">
        <f>IF(AND(Database!OC44&gt;1,Database!OC47&gt;1),100*(Database!OC44/(Database!OC47)),0.0001)</f>
        <v>1E-4</v>
      </c>
      <c r="GP116" s="99">
        <f>IF(AND(Database!OE44&gt;1,Database!OE47&gt;1),100*(Database!OE44/(Database!OE47)),0.0001)</f>
        <v>1E-4</v>
      </c>
      <c r="GQ116" s="99">
        <f>IF(AND(Database!OG44&gt;1,Database!OG47&gt;1),100*(Database!OG44/(Database!OG47)),0.0001)</f>
        <v>1E-4</v>
      </c>
      <c r="GR116" s="99">
        <f>IF(AND(Database!OI44&gt;1,Database!OI47&gt;1),100*(Database!OI44/(Database!OI47)),0.0001)</f>
        <v>1E-4</v>
      </c>
      <c r="GS116" s="99">
        <f>IF(AND(Database!OK44&gt;1,Database!OK47&gt;1),100*(Database!OK44/(Database!OK47)),0.0001)</f>
        <v>1E-4</v>
      </c>
      <c r="GT116" s="99">
        <f>IF(AND(Database!OM44&gt;1,Database!OM47&gt;1),100*(Database!OM44/(Database!OM47)),0.0001)</f>
        <v>1E-4</v>
      </c>
    </row>
    <row r="117" spans="1:202" ht="18.75" customHeight="1" x14ac:dyDescent="0.4">
      <c r="A117" s="29" t="s">
        <v>127</v>
      </c>
      <c r="B117" s="306"/>
      <c r="C117" s="99">
        <f>IF(AND(Database!E45&gt;1,Database!E46&gt;1),100*(Database!E45/(Database!E46)),0.0001)</f>
        <v>67.653011375532131</v>
      </c>
      <c r="D117" s="99">
        <f>IF(AND(Database!G45&gt;1,Database!G46&gt;1),100*(Database!G45/(Database!G46)),0.0001)</f>
        <v>69.863731656184484</v>
      </c>
      <c r="E117" s="99">
        <f>IF(AND(Database!I45&gt;1,Database!I46&gt;1),100*(Database!I45/(Database!I46)),0.0001)</f>
        <v>67.12874718419684</v>
      </c>
      <c r="F117" s="99">
        <f>IF(AND(Database!K45&gt;1,Database!K46&gt;1),100*(Database!K45/(Database!K46)),0.0001)</f>
        <v>59.731543624161077</v>
      </c>
      <c r="G117" s="99">
        <f>IF(AND(Database!M45&gt;1,Database!M46&gt;1),100*(Database!M45/(Database!M46)),0.0001)</f>
        <v>1E-4</v>
      </c>
      <c r="H117" s="99">
        <f>IF(AND(Database!O45&gt;1,Database!O46&gt;1),100*(Database!O45/(Database!O46)),0.0001)</f>
        <v>1E-4</v>
      </c>
      <c r="I117" s="99">
        <f>IF(AND(Database!Q45&gt;1,Database!Q46&gt;1),100*(Database!Q45/(Database!Q46)),0.0001)</f>
        <v>1E-4</v>
      </c>
      <c r="J117" s="99">
        <f>IF(AND(Database!S45&gt;1,Database!S46&gt;1),100*(Database!S45/(Database!S46)),0.0001)</f>
        <v>1E-4</v>
      </c>
      <c r="K117" s="99">
        <f>IF(AND(Database!U45&gt;1,Database!U46&gt;1),100*(Database!U45/(Database!U46)),0.0001)</f>
        <v>1E-4</v>
      </c>
      <c r="L117" s="99">
        <f>IF(AND(Database!W45&gt;1,Database!W46&gt;1),100*(Database!W45/(Database!W46)),0.0001)</f>
        <v>1E-4</v>
      </c>
      <c r="M117" s="99">
        <f>IF(AND(Database!Y45&gt;1,Database!Y46&gt;1),100*(Database!Y45/(Database!Y46)),0.0001)</f>
        <v>1E-4</v>
      </c>
      <c r="N117" s="99">
        <f>IF(AND(Database!AA45&gt;1,Database!AA46&gt;1),100*(Database!AA45/(Database!AA46)),0.0001)</f>
        <v>1E-4</v>
      </c>
      <c r="O117" s="99">
        <f>IF(AND(Database!AC45&gt;1,Database!AC46&gt;1),100*(Database!AC45/(Database!AC46)),0.0001)</f>
        <v>1E-4</v>
      </c>
      <c r="P117" s="99">
        <f>IF(AND(Database!AE45&gt;1,Database!AE46&gt;1),100*(Database!AE45/(Database!AE46)),0.0001)</f>
        <v>1E-4</v>
      </c>
      <c r="Q117" s="99">
        <f>IF(AND(Database!AG45&gt;1,Database!AG46&gt;1),100*(Database!AG45/(Database!AG46)),0.0001)</f>
        <v>1E-4</v>
      </c>
      <c r="R117" s="99">
        <f>IF(AND(Database!AI45&gt;1,Database!AI46&gt;1),100*(Database!AI45/(Database!AI46)),0.0001)</f>
        <v>1E-4</v>
      </c>
      <c r="S117" s="99">
        <f>IF(AND(Database!AK45&gt;1,Database!AK46&gt;1),100*(Database!AK45/(Database!AK46)),0.0001)</f>
        <v>1E-4</v>
      </c>
      <c r="T117" s="99">
        <f>IF(AND(Database!AM45&gt;1,Database!AM46&gt;1),100*(Database!AM45/(Database!AM46)),0.0001)</f>
        <v>1E-4</v>
      </c>
      <c r="U117" s="99">
        <f>IF(AND(Database!AO45&gt;1,Database!AO46&gt;1),100*(Database!AO45/(Database!AO46)),0.0001)</f>
        <v>1E-4</v>
      </c>
      <c r="V117" s="99">
        <f>IF(AND(Database!AQ45&gt;1,Database!AQ46&gt;1),100*(Database!AQ45/(Database!AQ46)),0.0001)</f>
        <v>1E-4</v>
      </c>
      <c r="W117" s="99">
        <f>IF(AND(Database!AS45&gt;1,Database!AS46&gt;1),100*(Database!AS45/(Database!AS46)),0.0001)</f>
        <v>1E-4</v>
      </c>
      <c r="X117" s="99">
        <f>IF(AND(Database!AU45&gt;1,Database!AU46&gt;1),100*(Database!AU45/(Database!AU46)),0.0001)</f>
        <v>1E-4</v>
      </c>
      <c r="Y117" s="99">
        <f>IF(AND(Database!AW45&gt;1,Database!AW46&gt;1),100*(Database!AW45/(Database!AW46)),0.0001)</f>
        <v>1E-4</v>
      </c>
      <c r="Z117" s="99">
        <f>IF(AND(Database!AY45&gt;1,Database!AY46&gt;1),100*(Database!AY45/(Database!AY46)),0.0001)</f>
        <v>1E-4</v>
      </c>
      <c r="AA117" s="99">
        <f>IF(AND(Database!BA45&gt;1,Database!BA46&gt;1),100*(Database!BA45/(Database!BA46)),0.0001)</f>
        <v>1E-4</v>
      </c>
      <c r="AB117" s="99">
        <f>IF(AND(Database!BC45&gt;1,Database!BC46&gt;1),100*(Database!BC45/(Database!BC46)),0.0001)</f>
        <v>1E-4</v>
      </c>
      <c r="AC117" s="99">
        <f>IF(AND(Database!BE45&gt;1,Database!BE46&gt;1),100*(Database!BE45/(Database!BE46)),0.0001)</f>
        <v>1E-4</v>
      </c>
      <c r="AD117" s="99">
        <f>IF(AND(Database!BG45&gt;1,Database!BG46&gt;1),100*(Database!BG45/(Database!BG46)),0.0001)</f>
        <v>1E-4</v>
      </c>
      <c r="AE117" s="99">
        <f>IF(AND(Database!BI45&gt;1,Database!BI46&gt;1),100*(Database!BI45/(Database!BI46)),0.0001)</f>
        <v>1E-4</v>
      </c>
      <c r="AF117" s="99">
        <f>IF(AND(Database!BK45&gt;1,Database!BK46&gt;1),100*(Database!BK45/(Database!BK46)),0.0001)</f>
        <v>1E-4</v>
      </c>
      <c r="AG117" s="99">
        <f>IF(AND(Database!BM45&gt;1,Database!BM46&gt;1),100*(Database!BM45/(Database!BM46)),0.0001)</f>
        <v>1E-4</v>
      </c>
      <c r="AH117" s="99">
        <f>IF(AND(Database!BO45&gt;1,Database!BO46&gt;1),100*(Database!BO45/(Database!BO46)),0.0001)</f>
        <v>1E-4</v>
      </c>
      <c r="AI117" s="99">
        <f>IF(AND(Database!BQ45&gt;1,Database!BQ46&gt;1),100*(Database!BQ45/(Database!BQ46)),0.0001)</f>
        <v>1E-4</v>
      </c>
      <c r="AJ117" s="99">
        <f>IF(AND(Database!BS45&gt;1,Database!BS46&gt;1),100*(Database!BS45/(Database!BS46)),0.0001)</f>
        <v>1E-4</v>
      </c>
      <c r="AK117" s="99">
        <f>IF(AND(Database!BU45&gt;1,Database!BU46&gt;1),100*(Database!BU45/(Database!BU46)),0.0001)</f>
        <v>1E-4</v>
      </c>
      <c r="AL117" s="99">
        <f>IF(AND(Database!BW45&gt;1,Database!BW46&gt;1),100*(Database!BW45/(Database!BW46)),0.0001)</f>
        <v>1E-4</v>
      </c>
      <c r="AM117" s="99">
        <f>IF(AND(Database!BY45&gt;1,Database!BY46&gt;1),100*(Database!BY45/(Database!BY46)),0.0001)</f>
        <v>1E-4</v>
      </c>
      <c r="AN117" s="99">
        <f>IF(AND(Database!CA45&gt;1,Database!CA46&gt;1),100*(Database!CA45/(Database!CA46)),0.0001)</f>
        <v>1E-4</v>
      </c>
      <c r="AO117" s="99">
        <f>IF(AND(Database!CC45&gt;1,Database!CC46&gt;1),100*(Database!CC45/(Database!CC46)),0.0001)</f>
        <v>1E-4</v>
      </c>
      <c r="AP117" s="99">
        <f>IF(AND(Database!CE45&gt;1,Database!CE46&gt;1),100*(Database!CE45/(Database!CE46)),0.0001)</f>
        <v>1E-4</v>
      </c>
      <c r="AQ117" s="99">
        <f>IF(AND(Database!CG45&gt;1,Database!CG46&gt;1),100*(Database!CG45/(Database!CG46)),0.0001)</f>
        <v>1E-4</v>
      </c>
      <c r="AR117" s="99">
        <f>IF(AND(Database!CI45&gt;1,Database!CI46&gt;1),100*(Database!CI45/(Database!CI46)),0.0001)</f>
        <v>1E-4</v>
      </c>
      <c r="AS117" s="99">
        <f>IF(AND(Database!CK45&gt;1,Database!CK46&gt;1),100*(Database!CK45/(Database!CK46)),0.0001)</f>
        <v>1E-4</v>
      </c>
      <c r="AT117" s="99">
        <f>IF(AND(Database!CM45&gt;1,Database!CM46&gt;1),100*(Database!CM45/(Database!CM46)),0.0001)</f>
        <v>1E-4</v>
      </c>
      <c r="AU117" s="99">
        <f>IF(AND(Database!CO45&gt;1,Database!CO46&gt;1),100*(Database!CO45/(Database!CO46)),0.0001)</f>
        <v>1E-4</v>
      </c>
      <c r="AV117" s="99">
        <f>IF(AND(Database!CQ45&gt;1,Database!CQ46&gt;1),100*(Database!CQ45/(Database!CQ46)),0.0001)</f>
        <v>1E-4</v>
      </c>
      <c r="AW117" s="99">
        <f>IF(AND(Database!CS45&gt;1,Database!CS46&gt;1),100*(Database!CS45/(Database!CS46)),0.0001)</f>
        <v>1E-4</v>
      </c>
      <c r="AX117" s="99">
        <f>IF(AND(Database!CU45&gt;1,Database!CU46&gt;1),100*(Database!CU45/(Database!CU46)),0.0001)</f>
        <v>1E-4</v>
      </c>
      <c r="AY117" s="99">
        <f>IF(AND(Database!CW45&gt;1,Database!CW46&gt;1),100*(Database!CW45/(Database!CW46)),0.0001)</f>
        <v>1E-4</v>
      </c>
      <c r="AZ117" s="99">
        <f>IF(AND(Database!CY45&gt;1,Database!CY46&gt;1),100*(Database!CY45/(Database!CY46)),0.0001)</f>
        <v>1E-4</v>
      </c>
      <c r="BA117" s="99">
        <f>IF(AND(Database!DA45&gt;1,Database!DA46&gt;1),100*(Database!DA45/(Database!DA46)),0.0001)</f>
        <v>1E-4</v>
      </c>
      <c r="BB117" s="99">
        <f>IF(AND(Database!DC45&gt;1,Database!DC46&gt;1),100*(Database!DC45/(Database!DC46)),0.0001)</f>
        <v>1E-4</v>
      </c>
      <c r="BC117" s="99">
        <f>IF(AND(Database!DE45&gt;1,Database!DE46&gt;1),100*(Database!DE45/(Database!DE46)),0.0001)</f>
        <v>1E-4</v>
      </c>
      <c r="BD117" s="99">
        <f>IF(AND(Database!DG45&gt;1,Database!DG46&gt;1),100*(Database!DG45/(Database!DG46)),0.0001)</f>
        <v>1E-4</v>
      </c>
      <c r="BE117" s="99">
        <f>IF(AND(Database!DI45&gt;1,Database!DI46&gt;1),100*(Database!DI45/(Database!DI46)),0.0001)</f>
        <v>1E-4</v>
      </c>
      <c r="BF117" s="99">
        <f>IF(AND(Database!DK45&gt;1,Database!DK46&gt;1),100*(Database!DK45/(Database!DK46)),0.0001)</f>
        <v>1E-4</v>
      </c>
      <c r="BG117" s="99">
        <f>IF(AND(Database!DM45&gt;1,Database!DM46&gt;1),100*(Database!DM45/(Database!DM46)),0.0001)</f>
        <v>1E-4</v>
      </c>
      <c r="BH117" s="99">
        <f>IF(AND(Database!DO45&gt;1,Database!DO46&gt;1),100*(Database!DO45/(Database!DO46)),0.0001)</f>
        <v>1E-4</v>
      </c>
      <c r="BI117" s="99">
        <f>IF(AND(Database!DQ45&gt;1,Database!DQ46&gt;1),100*(Database!DQ45/(Database!DQ46)),0.0001)</f>
        <v>1E-4</v>
      </c>
      <c r="BJ117" s="99">
        <f>IF(AND(Database!DS45&gt;1,Database!DS46&gt;1),100*(Database!DS45/(Database!DS46)),0.0001)</f>
        <v>1E-4</v>
      </c>
      <c r="BK117" s="99">
        <f>IF(AND(Database!DU45&gt;1,Database!DU46&gt;1),100*(Database!DU45/(Database!DU46)),0.0001)</f>
        <v>1E-4</v>
      </c>
      <c r="BL117" s="99">
        <f>IF(AND(Database!DW45&gt;1,Database!DW46&gt;1),100*(Database!DW45/(Database!DW46)),0.0001)</f>
        <v>1E-4</v>
      </c>
      <c r="BM117" s="99">
        <f>IF(AND(Database!DY45&gt;1,Database!DY46&gt;1),100*(Database!DY45/(Database!DY46)),0.0001)</f>
        <v>1E-4</v>
      </c>
      <c r="BN117" s="99">
        <f>IF(AND(Database!EA45&gt;1,Database!EA46&gt;1),100*(Database!EA45/(Database!EA46)),0.0001)</f>
        <v>1E-4</v>
      </c>
      <c r="BO117" s="99">
        <f>IF(AND(Database!EC45&gt;1,Database!EC46&gt;1),100*(Database!EC45/(Database!EC46)),0.0001)</f>
        <v>1E-4</v>
      </c>
      <c r="BP117" s="99">
        <f>IF(AND(Database!EE45&gt;1,Database!EE46&gt;1),100*(Database!EE45/(Database!EE46)),0.0001)</f>
        <v>1E-4</v>
      </c>
      <c r="BQ117" s="99">
        <f>IF(AND(Database!EG45&gt;1,Database!EG46&gt;1),100*(Database!EG45/(Database!EG46)),0.0001)</f>
        <v>1E-4</v>
      </c>
      <c r="BR117" s="99">
        <f>IF(AND(Database!EI45&gt;1,Database!EI46&gt;1),100*(Database!EI45/(Database!EI46)),0.0001)</f>
        <v>1E-4</v>
      </c>
      <c r="BS117" s="99">
        <f>IF(AND(Database!EK45&gt;1,Database!EK46&gt;1),100*(Database!EK45/(Database!EK46)),0.0001)</f>
        <v>1E-4</v>
      </c>
      <c r="BT117" s="99">
        <f>IF(AND(Database!EM45&gt;1,Database!EM46&gt;1),100*(Database!EM45/(Database!EM46)),0.0001)</f>
        <v>1E-4</v>
      </c>
      <c r="BU117" s="99">
        <f>IF(AND(Database!EO45&gt;1,Database!EO46&gt;1),100*(Database!EO45/(Database!EO46)),0.0001)</f>
        <v>1E-4</v>
      </c>
      <c r="BV117" s="99">
        <f>IF(AND(Database!EQ45&gt;1,Database!EQ46&gt;1),100*(Database!EQ45/(Database!EQ46)),0.0001)</f>
        <v>1E-4</v>
      </c>
      <c r="BW117" s="99">
        <f>IF(AND(Database!ES45&gt;1,Database!ES46&gt;1),100*(Database!ES45/(Database!ES46)),0.0001)</f>
        <v>1E-4</v>
      </c>
      <c r="BX117" s="99">
        <f>IF(AND(Database!EU45&gt;1,Database!EU46&gt;1),100*(Database!EU45/(Database!EU46)),0.0001)</f>
        <v>1E-4</v>
      </c>
      <c r="BY117" s="99">
        <f>IF(AND(Database!EW45&gt;1,Database!EW46&gt;1),100*(Database!EW45/(Database!EW46)),0.0001)</f>
        <v>1E-4</v>
      </c>
      <c r="BZ117" s="99">
        <f>IF(AND(Database!EY45&gt;1,Database!EY46&gt;1),100*(Database!EY45/(Database!EY46)),0.0001)</f>
        <v>1E-4</v>
      </c>
      <c r="CA117" s="99">
        <f>IF(AND(Database!FA45&gt;1,Database!FA46&gt;1),100*(Database!FA45/(Database!FA46)),0.0001)</f>
        <v>1E-4</v>
      </c>
      <c r="CB117" s="99">
        <f>IF(AND(Database!FC45&gt;1,Database!FC46&gt;1),100*(Database!FC45/(Database!FC46)),0.0001)</f>
        <v>1E-4</v>
      </c>
      <c r="CC117" s="99">
        <f>IF(AND(Database!FE45&gt;1,Database!FE46&gt;1),100*(Database!FE45/(Database!FE46)),0.0001)</f>
        <v>1E-4</v>
      </c>
      <c r="CD117" s="99">
        <f>IF(AND(Database!FG45&gt;1,Database!FG46&gt;1),100*(Database!FG45/(Database!FG46)),0.0001)</f>
        <v>1E-4</v>
      </c>
      <c r="CE117" s="99">
        <f>IF(AND(Database!FI45&gt;1,Database!FI46&gt;1),100*(Database!FI45/(Database!FI46)),0.0001)</f>
        <v>1E-4</v>
      </c>
      <c r="CF117" s="99">
        <f>IF(AND(Database!FK45&gt;1,Database!FK46&gt;1),100*(Database!FK45/(Database!FK46)),0.0001)</f>
        <v>1E-4</v>
      </c>
      <c r="CG117" s="99">
        <f>IF(AND(Database!FM45&gt;1,Database!FM46&gt;1),100*(Database!FM45/(Database!FM46)),0.0001)</f>
        <v>1E-4</v>
      </c>
      <c r="CH117" s="99">
        <f>IF(AND(Database!FO45&gt;1,Database!FO46&gt;1),100*(Database!FO45/(Database!FO46)),0.0001)</f>
        <v>1E-4</v>
      </c>
      <c r="CI117" s="99">
        <f>IF(AND(Database!FQ45&gt;1,Database!FQ46&gt;1),100*(Database!FQ45/(Database!FQ46)),0.0001)</f>
        <v>1E-4</v>
      </c>
      <c r="CJ117" s="99">
        <f>IF(AND(Database!FS45&gt;1,Database!FS46&gt;1),100*(Database!FS45/(Database!FS46)),0.0001)</f>
        <v>1E-4</v>
      </c>
      <c r="CK117" s="99">
        <f>IF(AND(Database!FU45&gt;1,Database!FU46&gt;1),100*(Database!FU45/(Database!FU46)),0.0001)</f>
        <v>1E-4</v>
      </c>
      <c r="CL117" s="99">
        <f>IF(AND(Database!FW45&gt;1,Database!FW46&gt;1),100*(Database!FW45/(Database!FW46)),0.0001)</f>
        <v>1E-4</v>
      </c>
      <c r="CM117" s="99">
        <f>IF(AND(Database!FY45&gt;1,Database!FY46&gt;1),100*(Database!FY45/(Database!FY46)),0.0001)</f>
        <v>1E-4</v>
      </c>
      <c r="CN117" s="99">
        <f>IF(AND(Database!GA45&gt;1,Database!GA46&gt;1),100*(Database!GA45/(Database!GA46)),0.0001)</f>
        <v>1E-4</v>
      </c>
      <c r="CO117" s="99">
        <f>IF(AND(Database!GC45&gt;1,Database!GC46&gt;1),100*(Database!GC45/(Database!GC46)),0.0001)</f>
        <v>1E-4</v>
      </c>
      <c r="CP117" s="99">
        <f>IF(AND(Database!GE45&gt;1,Database!GE46&gt;1),100*(Database!GE45/(Database!GE46)),0.0001)</f>
        <v>1E-4</v>
      </c>
      <c r="CQ117" s="99">
        <f>IF(AND(Database!GG45&gt;1,Database!GG46&gt;1),100*(Database!GG45/(Database!GG46)),0.0001)</f>
        <v>1E-4</v>
      </c>
      <c r="CR117" s="99">
        <f>IF(AND(Database!GI45&gt;1,Database!GI46&gt;1),100*(Database!GI45/(Database!GI46)),0.0001)</f>
        <v>1E-4</v>
      </c>
      <c r="CS117" s="99">
        <f>IF(AND(Database!GK45&gt;1,Database!GK46&gt;1),100*(Database!GK45/(Database!GK46)),0.0001)</f>
        <v>1E-4</v>
      </c>
      <c r="CT117" s="99">
        <f>IF(AND(Database!GM45&gt;1,Database!GM46&gt;1),100*(Database!GM45/(Database!GM46)),0.0001)</f>
        <v>1E-4</v>
      </c>
      <c r="CU117" s="99">
        <f>IF(AND(Database!GO45&gt;1,Database!GO46&gt;1),100*(Database!GO45/(Database!GO46)),0.0001)</f>
        <v>1E-4</v>
      </c>
      <c r="CV117" s="99">
        <f>IF(AND(Database!GQ45&gt;1,Database!GQ46&gt;1),100*(Database!GQ45/(Database!GQ46)),0.0001)</f>
        <v>1E-4</v>
      </c>
      <c r="CW117" s="99">
        <f>IF(AND(Database!GS45&gt;1,Database!GS46&gt;1),100*(Database!GS45/(Database!GS46)),0.0001)</f>
        <v>1E-4</v>
      </c>
      <c r="CX117" s="99">
        <f>IF(AND(Database!GU45&gt;1,Database!GU46&gt;1),100*(Database!GU45/(Database!GU46)),0.0001)</f>
        <v>1E-4</v>
      </c>
      <c r="CY117" s="99">
        <f>IF(AND(Database!GW45&gt;1,Database!GW46&gt;1),100*(Database!GW45/(Database!GW46)),0.0001)</f>
        <v>1E-4</v>
      </c>
      <c r="CZ117" s="99">
        <f>IF(AND(Database!GY45&gt;1,Database!GY46&gt;1),100*(Database!GY45/(Database!GY46)),0.0001)</f>
        <v>1E-4</v>
      </c>
      <c r="DA117" s="99">
        <f>IF(AND(Database!HA45&gt;1,Database!HA46&gt;1),100*(Database!HA45/(Database!HA46)),0.0001)</f>
        <v>1E-4</v>
      </c>
      <c r="DB117" s="99">
        <f>IF(AND(Database!HC45&gt;1,Database!HC46&gt;1),100*(Database!HC45/(Database!HC46)),0.0001)</f>
        <v>1E-4</v>
      </c>
      <c r="DC117" s="99">
        <f>IF(AND(Database!HE45&gt;1,Database!HE46&gt;1),100*(Database!HE45/(Database!HE46)),0.0001)</f>
        <v>1E-4</v>
      </c>
      <c r="DD117" s="99">
        <f>IF(AND(Database!HG45&gt;1,Database!HG46&gt;1),100*(Database!HG45/(Database!HG46)),0.0001)</f>
        <v>1E-4</v>
      </c>
      <c r="DE117" s="99">
        <f>IF(AND(Database!HI45&gt;1,Database!HI46&gt;1),100*(Database!HI45/(Database!HI46)),0.0001)</f>
        <v>1E-4</v>
      </c>
      <c r="DF117" s="99">
        <f>IF(AND(Database!HK45&gt;1,Database!HK46&gt;1),100*(Database!HK45/(Database!HK46)),0.0001)</f>
        <v>1E-4</v>
      </c>
      <c r="DG117" s="99">
        <f>IF(AND(Database!HM45&gt;1,Database!HM46&gt;1),100*(Database!HM45/(Database!HM46)),0.0001)</f>
        <v>1E-4</v>
      </c>
      <c r="DH117" s="99">
        <f>IF(AND(Database!HO45&gt;1,Database!HO46&gt;1),100*(Database!HO45/(Database!HO46)),0.0001)</f>
        <v>1E-4</v>
      </c>
      <c r="DI117" s="99">
        <f>IF(AND(Database!HQ45&gt;1,Database!HQ46&gt;1),100*(Database!HQ45/(Database!HQ46)),0.0001)</f>
        <v>1E-4</v>
      </c>
      <c r="DJ117" s="99">
        <f>IF(AND(Database!HS45&gt;1,Database!HS46&gt;1),100*(Database!HS45/(Database!HS46)),0.0001)</f>
        <v>1E-4</v>
      </c>
      <c r="DK117" s="99">
        <f>IF(AND(Database!HU45&gt;1,Database!HU46&gt;1),100*(Database!HU45/(Database!HU46)),0.0001)</f>
        <v>1E-4</v>
      </c>
      <c r="DL117" s="99">
        <f>IF(AND(Database!HW45&gt;1,Database!HW46&gt;1),100*(Database!HW45/(Database!HW46)),0.0001)</f>
        <v>1E-4</v>
      </c>
      <c r="DM117" s="99">
        <f>IF(AND(Database!HY45&gt;1,Database!HY46&gt;1),100*(Database!HY45/(Database!HY46)),0.0001)</f>
        <v>1E-4</v>
      </c>
      <c r="DN117" s="99">
        <f>IF(AND(Database!IA45&gt;1,Database!IA46&gt;1),100*(Database!IA45/(Database!IA46)),0.0001)</f>
        <v>1E-4</v>
      </c>
      <c r="DO117" s="99">
        <f>IF(AND(Database!IC45&gt;1,Database!IC46&gt;1),100*(Database!IC45/(Database!IC46)),0.0001)</f>
        <v>1E-4</v>
      </c>
      <c r="DP117" s="99">
        <f>IF(AND(Database!IE45&gt;1,Database!IE46&gt;1),100*(Database!IE45/(Database!IE46)),0.0001)</f>
        <v>1E-4</v>
      </c>
      <c r="DQ117" s="99">
        <f>IF(AND(Database!IG45&gt;1,Database!IG46&gt;1),100*(Database!IG45/(Database!IG46)),0.0001)</f>
        <v>1E-4</v>
      </c>
      <c r="DR117" s="99">
        <f>IF(AND(Database!II45&gt;1,Database!II46&gt;1),100*(Database!II45/(Database!II46)),0.0001)</f>
        <v>1E-4</v>
      </c>
      <c r="DS117" s="99">
        <f>IF(AND(Database!IK45&gt;1,Database!IK46&gt;1),100*(Database!IK45/(Database!IK46)),0.0001)</f>
        <v>1E-4</v>
      </c>
      <c r="DT117" s="99">
        <f>IF(AND(Database!IM45&gt;1,Database!IM46&gt;1),100*(Database!IM45/(Database!IM46)),0.0001)</f>
        <v>1E-4</v>
      </c>
      <c r="DU117" s="99">
        <f>IF(AND(Database!IO45&gt;1,Database!IO46&gt;1),100*(Database!IO45/(Database!IO46)),0.0001)</f>
        <v>1E-4</v>
      </c>
      <c r="DV117" s="99">
        <f>IF(AND(Database!IQ45&gt;1,Database!IQ46&gt;1),100*(Database!IQ45/(Database!IQ46)),0.0001)</f>
        <v>1E-4</v>
      </c>
      <c r="DW117" s="99">
        <f>IF(AND(Database!IS45&gt;1,Database!IS46&gt;1),100*(Database!IS45/(Database!IS46)),0.0001)</f>
        <v>1E-4</v>
      </c>
      <c r="DX117" s="99">
        <f>IF(AND(Database!IU45&gt;1,Database!IU46&gt;1),100*(Database!IU45/(Database!IU46)),0.0001)</f>
        <v>1E-4</v>
      </c>
      <c r="DY117" s="99">
        <f>IF(AND(Database!IW45&gt;1,Database!IW46&gt;1),100*(Database!IW45/(Database!IW46)),0.0001)</f>
        <v>1E-4</v>
      </c>
      <c r="DZ117" s="99">
        <f>IF(AND(Database!IY45&gt;1,Database!IY46&gt;1),100*(Database!IY45/(Database!IY46)),0.0001)</f>
        <v>1E-4</v>
      </c>
      <c r="EA117" s="99">
        <f>IF(AND(Database!JA45&gt;1,Database!JA46&gt;1),100*(Database!JA45/(Database!JA46)),0.0001)</f>
        <v>1E-4</v>
      </c>
      <c r="EB117" s="99">
        <f>IF(AND(Database!JC45&gt;1,Database!JC46&gt;1),100*(Database!JC45/(Database!JC46)),0.0001)</f>
        <v>1E-4</v>
      </c>
      <c r="EC117" s="99">
        <f>IF(AND(Database!JE45&gt;1,Database!JE46&gt;1),100*(Database!JE45/(Database!JE46)),0.0001)</f>
        <v>1E-4</v>
      </c>
      <c r="ED117" s="99">
        <f>IF(AND(Database!JG45&gt;1,Database!JG46&gt;1),100*(Database!JG45/(Database!JG46)),0.0001)</f>
        <v>1E-4</v>
      </c>
      <c r="EE117" s="99">
        <f>IF(AND(Database!JI45&gt;1,Database!JI46&gt;1),100*(Database!JI45/(Database!JI46)),0.0001)</f>
        <v>1E-4</v>
      </c>
      <c r="EF117" s="99">
        <f>IF(AND(Database!JK45&gt;1,Database!JK46&gt;1),100*(Database!JK45/(Database!JK46)),0.0001)</f>
        <v>1E-4</v>
      </c>
      <c r="EG117" s="99">
        <f>IF(AND(Database!JM45&gt;1,Database!JM46&gt;1),100*(Database!JM45/(Database!JM46)),0.0001)</f>
        <v>1E-4</v>
      </c>
      <c r="EH117" s="99">
        <f>IF(AND(Database!JO45&gt;1,Database!JO46&gt;1),100*(Database!JO45/(Database!JO46)),0.0001)</f>
        <v>1E-4</v>
      </c>
      <c r="EI117" s="99">
        <f>IF(AND(Database!JQ45&gt;1,Database!JQ46&gt;1),100*(Database!JQ45/(Database!JQ46)),0.0001)</f>
        <v>1E-4</v>
      </c>
      <c r="EJ117" s="99">
        <f>IF(AND(Database!JS45&gt;1,Database!JS46&gt;1),100*(Database!JS45/(Database!JS46)),0.0001)</f>
        <v>1E-4</v>
      </c>
      <c r="EK117" s="99">
        <f>IF(AND(Database!JU45&gt;1,Database!JU46&gt;1),100*(Database!JU45/(Database!JU46)),0.0001)</f>
        <v>1E-4</v>
      </c>
      <c r="EL117" s="99">
        <f>IF(AND(Database!JW45&gt;1,Database!JW46&gt;1),100*(Database!JW45/(Database!JW46)),0.0001)</f>
        <v>1E-4</v>
      </c>
      <c r="EM117" s="99">
        <f>IF(AND(Database!JY45&gt;1,Database!JY46&gt;1),100*(Database!JY45/(Database!JY46)),0.0001)</f>
        <v>1E-4</v>
      </c>
      <c r="EN117" s="99">
        <f>IF(AND(Database!KA45&gt;1,Database!KA46&gt;1),100*(Database!KA45/(Database!KA46)),0.0001)</f>
        <v>1E-4</v>
      </c>
      <c r="EO117" s="99">
        <f>IF(AND(Database!KC45&gt;1,Database!KC46&gt;1),100*(Database!KC45/(Database!KC46)),0.0001)</f>
        <v>1E-4</v>
      </c>
      <c r="EP117" s="99">
        <f>IF(AND(Database!KE45&gt;1,Database!KE46&gt;1),100*(Database!KE45/(Database!KE46)),0.0001)</f>
        <v>1E-4</v>
      </c>
      <c r="EQ117" s="99">
        <f>IF(AND(Database!KG45&gt;1,Database!KG46&gt;1),100*(Database!KG45/(Database!KG46)),0.0001)</f>
        <v>1E-4</v>
      </c>
      <c r="ER117" s="99">
        <f>IF(AND(Database!KI45&gt;1,Database!KI46&gt;1),100*(Database!KI45/(Database!KI46)),0.0001)</f>
        <v>1E-4</v>
      </c>
      <c r="ES117" s="99">
        <f>IF(AND(Database!KK45&gt;1,Database!KK46&gt;1),100*(Database!KK45/(Database!KK46)),0.0001)</f>
        <v>1E-4</v>
      </c>
      <c r="ET117" s="99">
        <f>IF(AND(Database!KM45&gt;1,Database!KM46&gt;1),100*(Database!KM45/(Database!KM46)),0.0001)</f>
        <v>1E-4</v>
      </c>
      <c r="EU117" s="99">
        <f>IF(AND(Database!KO45&gt;1,Database!KO46&gt;1),100*(Database!KO45/(Database!KO46)),0.0001)</f>
        <v>1E-4</v>
      </c>
      <c r="EV117" s="99">
        <f>IF(AND(Database!KQ45&gt;1,Database!KQ46&gt;1),100*(Database!KQ45/(Database!KQ46)),0.0001)</f>
        <v>1E-4</v>
      </c>
      <c r="EW117" s="99">
        <f>IF(AND(Database!KS45&gt;1,Database!KS46&gt;1),100*(Database!KS45/(Database!KS46)),0.0001)</f>
        <v>1E-4</v>
      </c>
      <c r="EX117" s="99">
        <f>IF(AND(Database!KU45&gt;1,Database!KU46&gt;1),100*(Database!KU45/(Database!KU46)),0.0001)</f>
        <v>1E-4</v>
      </c>
      <c r="EY117" s="99">
        <f>IF(AND(Database!KW45&gt;1,Database!KW46&gt;1),100*(Database!KW45/(Database!KW46)),0.0001)</f>
        <v>1E-4</v>
      </c>
      <c r="EZ117" s="99">
        <f>IF(AND(Database!KY45&gt;1,Database!KY46&gt;1),100*(Database!KY45/(Database!KY46)),0.0001)</f>
        <v>1E-4</v>
      </c>
      <c r="FA117" s="99">
        <f>IF(AND(Database!LA45&gt;1,Database!LA46&gt;1),100*(Database!LA45/(Database!LA46)),0.0001)</f>
        <v>1E-4</v>
      </c>
      <c r="FB117" s="99">
        <f>IF(AND(Database!LC45&gt;1,Database!LC46&gt;1),100*(Database!LC45/(Database!LC46)),0.0001)</f>
        <v>1E-4</v>
      </c>
      <c r="FC117" s="99">
        <f>IF(AND(Database!LE45&gt;1,Database!LE46&gt;1),100*(Database!LE45/(Database!LE46)),0.0001)</f>
        <v>1E-4</v>
      </c>
      <c r="FD117" s="99">
        <f>IF(AND(Database!LG45&gt;1,Database!LG46&gt;1),100*(Database!LG45/(Database!LG46)),0.0001)</f>
        <v>1E-4</v>
      </c>
      <c r="FE117" s="99">
        <f>IF(AND(Database!LI45&gt;1,Database!LI46&gt;1),100*(Database!LI45/(Database!LI46)),0.0001)</f>
        <v>1E-4</v>
      </c>
      <c r="FF117" s="99">
        <f>IF(AND(Database!LK45&gt;1,Database!LK46&gt;1),100*(Database!LK45/(Database!LK46)),0.0001)</f>
        <v>1E-4</v>
      </c>
      <c r="FG117" s="99">
        <f>IF(AND(Database!LM45&gt;1,Database!LM46&gt;1),100*(Database!LM45/(Database!LM46)),0.0001)</f>
        <v>1E-4</v>
      </c>
      <c r="FH117" s="99">
        <f>IF(AND(Database!LO45&gt;1,Database!LO46&gt;1),100*(Database!LO45/(Database!LO46)),0.0001)</f>
        <v>1E-4</v>
      </c>
      <c r="FI117" s="99">
        <f>IF(AND(Database!LQ45&gt;1,Database!LQ46&gt;1),100*(Database!LQ45/(Database!LQ46)),0.0001)</f>
        <v>1E-4</v>
      </c>
      <c r="FJ117" s="99">
        <f>IF(AND(Database!LS45&gt;1,Database!LS46&gt;1),100*(Database!LS45/(Database!LS46)),0.0001)</f>
        <v>1E-4</v>
      </c>
      <c r="FK117" s="99">
        <f>IF(AND(Database!LU45&gt;1,Database!LU46&gt;1),100*(Database!LU45/(Database!LU46)),0.0001)</f>
        <v>1E-4</v>
      </c>
      <c r="FL117" s="99">
        <f>IF(AND(Database!LW45&gt;1,Database!LW46&gt;1),100*(Database!LW45/(Database!LW46)),0.0001)</f>
        <v>1E-4</v>
      </c>
      <c r="FM117" s="99">
        <f>IF(AND(Database!LY45&gt;1,Database!LY46&gt;1),100*(Database!LY45/(Database!LY46)),0.0001)</f>
        <v>1E-4</v>
      </c>
      <c r="FN117" s="99">
        <f>IF(AND(Database!MA45&gt;1,Database!MA46&gt;1),100*(Database!MA45/(Database!MA46)),0.0001)</f>
        <v>1E-4</v>
      </c>
      <c r="FO117" s="99">
        <f>IF(AND(Database!MC45&gt;1,Database!MC46&gt;1),100*(Database!MC45/(Database!MC46)),0.0001)</f>
        <v>1E-4</v>
      </c>
      <c r="FP117" s="99">
        <f>IF(AND(Database!ME45&gt;1,Database!ME46&gt;1),100*(Database!ME45/(Database!ME46)),0.0001)</f>
        <v>1E-4</v>
      </c>
      <c r="FQ117" s="99">
        <f>IF(AND(Database!MG45&gt;1,Database!MG46&gt;1),100*(Database!MG45/(Database!MG46)),0.0001)</f>
        <v>1E-4</v>
      </c>
      <c r="FR117" s="99">
        <f>IF(AND(Database!MI45&gt;1,Database!MI46&gt;1),100*(Database!MI45/(Database!MI46)),0.0001)</f>
        <v>1E-4</v>
      </c>
      <c r="FS117" s="99">
        <f>IF(AND(Database!MK45&gt;1,Database!MK46&gt;1),100*(Database!MK45/(Database!MK46)),0.0001)</f>
        <v>1E-4</v>
      </c>
      <c r="FT117" s="99">
        <f>IF(AND(Database!MM45&gt;1,Database!MM46&gt;1),100*(Database!MM45/(Database!MM46)),0.0001)</f>
        <v>1E-4</v>
      </c>
      <c r="FU117" s="99">
        <f>IF(AND(Database!MO45&gt;1,Database!MO46&gt;1),100*(Database!MO45/(Database!MO46)),0.0001)</f>
        <v>1E-4</v>
      </c>
      <c r="FV117" s="99">
        <f>IF(AND(Database!MQ45&gt;1,Database!MQ46&gt;1),100*(Database!MQ45/(Database!MQ46)),0.0001)</f>
        <v>1E-4</v>
      </c>
      <c r="FW117" s="99">
        <f>IF(AND(Database!MS45&gt;1,Database!MS46&gt;1),100*(Database!MS45/(Database!MS46)),0.0001)</f>
        <v>1E-4</v>
      </c>
      <c r="FX117" s="99">
        <f>IF(AND(Database!MU45&gt;1,Database!MU46&gt;1),100*(Database!MU45/(Database!MU46)),0.0001)</f>
        <v>1E-4</v>
      </c>
      <c r="FY117" s="99">
        <f>IF(AND(Database!MW45&gt;1,Database!MW46&gt;1),100*(Database!MW45/(Database!MW46)),0.0001)</f>
        <v>1E-4</v>
      </c>
      <c r="FZ117" s="99">
        <f>IF(AND(Database!MY45&gt;1,Database!MY46&gt;1),100*(Database!MY45/(Database!MY46)),0.0001)</f>
        <v>1E-4</v>
      </c>
      <c r="GA117" s="99">
        <f>IF(AND(Database!NA45&gt;1,Database!NA46&gt;1),100*(Database!NA45/(Database!NA46)),0.0001)</f>
        <v>1E-4</v>
      </c>
      <c r="GB117" s="99">
        <f>IF(AND(Database!NC45&gt;1,Database!NC46&gt;1),100*(Database!NC45/(Database!NC46)),0.0001)</f>
        <v>1E-4</v>
      </c>
      <c r="GC117" s="99">
        <f>IF(AND(Database!NE45&gt;1,Database!NE46&gt;1),100*(Database!NE45/(Database!NE46)),0.0001)</f>
        <v>1E-4</v>
      </c>
      <c r="GD117" s="99">
        <f>IF(AND(Database!NG45&gt;1,Database!NG46&gt;1),100*(Database!NG45/(Database!NG46)),0.0001)</f>
        <v>1E-4</v>
      </c>
      <c r="GE117" s="99">
        <f>IF(AND(Database!NI45&gt;1,Database!NI46&gt;1),100*(Database!NI45/(Database!NI46)),0.0001)</f>
        <v>1E-4</v>
      </c>
      <c r="GF117" s="99">
        <f>IF(AND(Database!NK45&gt;1,Database!NK46&gt;1),100*(Database!NK45/(Database!NK46)),0.0001)</f>
        <v>1E-4</v>
      </c>
      <c r="GG117" s="99">
        <f>IF(AND(Database!NM45&gt;1,Database!NM46&gt;1),100*(Database!NM45/(Database!NM46)),0.0001)</f>
        <v>1E-4</v>
      </c>
      <c r="GH117" s="99">
        <f>IF(AND(Database!NO45&gt;1,Database!NO46&gt;1),100*(Database!NO45/(Database!NO46)),0.0001)</f>
        <v>1E-4</v>
      </c>
      <c r="GI117" s="99">
        <f>IF(AND(Database!NQ45&gt;1,Database!NQ46&gt;1),100*(Database!NQ45/(Database!NQ46)),0.0001)</f>
        <v>1E-4</v>
      </c>
      <c r="GJ117" s="99">
        <f>IF(AND(Database!NS45&gt;1,Database!NS46&gt;1),100*(Database!NS45/(Database!NS46)),0.0001)</f>
        <v>1E-4</v>
      </c>
      <c r="GK117" s="99">
        <f>IF(AND(Database!NU45&gt;1,Database!NU46&gt;1),100*(Database!NU45/(Database!NU46)),0.0001)</f>
        <v>1E-4</v>
      </c>
      <c r="GL117" s="99">
        <f>IF(AND(Database!NW45&gt;1,Database!NW46&gt;1),100*(Database!NW45/(Database!NW46)),0.0001)</f>
        <v>1E-4</v>
      </c>
      <c r="GM117" s="99">
        <f>IF(AND(Database!NY45&gt;1,Database!NY46&gt;1),100*(Database!NY45/(Database!NY46)),0.0001)</f>
        <v>1E-4</v>
      </c>
      <c r="GN117" s="99">
        <f>IF(AND(Database!OA45&gt;1,Database!OA46&gt;1),100*(Database!OA45/(Database!OA46)),0.0001)</f>
        <v>1E-4</v>
      </c>
      <c r="GO117" s="99">
        <f>IF(AND(Database!OC45&gt;1,Database!OC46&gt;1),100*(Database!OC45/(Database!OC46)),0.0001)</f>
        <v>1E-4</v>
      </c>
      <c r="GP117" s="99">
        <f>IF(AND(Database!OE45&gt;1,Database!OE46&gt;1),100*(Database!OE45/(Database!OE46)),0.0001)</f>
        <v>1E-4</v>
      </c>
      <c r="GQ117" s="99">
        <f>IF(AND(Database!OG45&gt;1,Database!OG46&gt;1),100*(Database!OG45/(Database!OG46)),0.0001)</f>
        <v>1E-4</v>
      </c>
      <c r="GR117" s="99">
        <f>IF(AND(Database!OI45&gt;1,Database!OI46&gt;1),100*(Database!OI45/(Database!OI46)),0.0001)</f>
        <v>1E-4</v>
      </c>
      <c r="GS117" s="99">
        <f>IF(AND(Database!OK45&gt;1,Database!OK46&gt;1),100*(Database!OK45/(Database!OK46)),0.0001)</f>
        <v>1E-4</v>
      </c>
      <c r="GT117" s="99">
        <f>IF(AND(Database!OM45&gt;1,Database!OM46&gt;1),100*(Database!OM45/(Database!OM46)),0.0001)</f>
        <v>1E-4</v>
      </c>
    </row>
    <row r="118" spans="1:202" ht="18.75" customHeight="1" x14ac:dyDescent="0.4">
      <c r="A118" s="29" t="s">
        <v>128</v>
      </c>
      <c r="B118" s="306"/>
      <c r="C118" s="99">
        <f>IF(AND(Database!E48&gt;1,Database!E50&gt;1),100*(Database!E48/(Database!E50)),0.0001)</f>
        <v>170.15743261591595</v>
      </c>
      <c r="D118" s="99">
        <f>IF(AND(Database!G48&gt;1,Database!G50&gt;1),100*(Database!G48/(Database!G50)),0.0001)</f>
        <v>180.13260478443394</v>
      </c>
      <c r="E118" s="99">
        <f>IF(AND(Database!I48&gt;1,Database!I50&gt;1),100*(Database!I48/(Database!I50)),0.0001)</f>
        <v>184.41388343156515</v>
      </c>
      <c r="F118" s="99">
        <f>IF(AND(Database!K48&gt;1,Database!K50&gt;1),100*(Database!K48/(Database!K50)),0.0001)</f>
        <v>186.23512946116165</v>
      </c>
      <c r="G118" s="99">
        <f>IF(AND(Database!M48&gt;1,Database!M50&gt;1),100*(Database!M48/(Database!M50)),0.0001)</f>
        <v>1E-4</v>
      </c>
      <c r="H118" s="99">
        <f>IF(AND(Database!O48&gt;1,Database!O50&gt;1),100*(Database!O48/(Database!O50)),0.0001)</f>
        <v>1E-4</v>
      </c>
      <c r="I118" s="99">
        <f>IF(AND(Database!Q48&gt;1,Database!Q50&gt;1),100*(Database!Q48/(Database!Q50)),0.0001)</f>
        <v>1E-4</v>
      </c>
      <c r="J118" s="99">
        <f>IF(AND(Database!S48&gt;1,Database!S50&gt;1),100*(Database!S48/(Database!S50)),0.0001)</f>
        <v>1E-4</v>
      </c>
      <c r="K118" s="99">
        <f>IF(AND(Database!U48&gt;1,Database!U50&gt;1),100*(Database!U48/(Database!U50)),0.0001)</f>
        <v>1E-4</v>
      </c>
      <c r="L118" s="99">
        <f>IF(AND(Database!W48&gt;1,Database!W50&gt;1),100*(Database!W48/(Database!W50)),0.0001)</f>
        <v>1E-4</v>
      </c>
      <c r="M118" s="99">
        <f>IF(AND(Database!Y48&gt;1,Database!Y50&gt;1),100*(Database!Y48/(Database!Y50)),0.0001)</f>
        <v>1E-4</v>
      </c>
      <c r="N118" s="99">
        <f>IF(AND(Database!AA48&gt;1,Database!AA50&gt;1),100*(Database!AA48/(Database!AA50)),0.0001)</f>
        <v>1E-4</v>
      </c>
      <c r="O118" s="99">
        <f>IF(AND(Database!AC48&gt;1,Database!AC50&gt;1),100*(Database!AC48/(Database!AC50)),0.0001)</f>
        <v>1E-4</v>
      </c>
      <c r="P118" s="99">
        <f>IF(AND(Database!AE48&gt;1,Database!AE50&gt;1),100*(Database!AE48/(Database!AE50)),0.0001)</f>
        <v>1E-4</v>
      </c>
      <c r="Q118" s="99">
        <f>IF(AND(Database!AG48&gt;1,Database!AG50&gt;1),100*(Database!AG48/(Database!AG50)),0.0001)</f>
        <v>1E-4</v>
      </c>
      <c r="R118" s="99">
        <f>IF(AND(Database!AI48&gt;1,Database!AI50&gt;1),100*(Database!AI48/(Database!AI50)),0.0001)</f>
        <v>1E-4</v>
      </c>
      <c r="S118" s="99">
        <f>IF(AND(Database!AK48&gt;1,Database!AK50&gt;1),100*(Database!AK48/(Database!AK50)),0.0001)</f>
        <v>1E-4</v>
      </c>
      <c r="T118" s="99">
        <f>IF(AND(Database!AM48&gt;1,Database!AM50&gt;1),100*(Database!AM48/(Database!AM50)),0.0001)</f>
        <v>1E-4</v>
      </c>
      <c r="U118" s="99">
        <f>IF(AND(Database!AO48&gt;1,Database!AO50&gt;1),100*(Database!AO48/(Database!AO50)),0.0001)</f>
        <v>1E-4</v>
      </c>
      <c r="V118" s="99">
        <f>IF(AND(Database!AQ48&gt;1,Database!AQ50&gt;1),100*(Database!AQ48/(Database!AQ50)),0.0001)</f>
        <v>1E-4</v>
      </c>
      <c r="W118" s="99">
        <f>IF(AND(Database!AS48&gt;1,Database!AS50&gt;1),100*(Database!AS48/(Database!AS50)),0.0001)</f>
        <v>1E-4</v>
      </c>
      <c r="X118" s="99">
        <f>IF(AND(Database!AU48&gt;1,Database!AU50&gt;1),100*(Database!AU48/(Database!AU50)),0.0001)</f>
        <v>1E-4</v>
      </c>
      <c r="Y118" s="99">
        <f>IF(AND(Database!AW48&gt;1,Database!AW50&gt;1),100*(Database!AW48/(Database!AW50)),0.0001)</f>
        <v>1E-4</v>
      </c>
      <c r="Z118" s="99">
        <f>IF(AND(Database!AY48&gt;1,Database!AY50&gt;1),100*(Database!AY48/(Database!AY50)),0.0001)</f>
        <v>1E-4</v>
      </c>
      <c r="AA118" s="99">
        <f>IF(AND(Database!BA48&gt;1,Database!BA50&gt;1),100*(Database!BA48/(Database!BA50)),0.0001)</f>
        <v>1E-4</v>
      </c>
      <c r="AB118" s="99">
        <f>IF(AND(Database!BC48&gt;1,Database!BC50&gt;1),100*(Database!BC48/(Database!BC50)),0.0001)</f>
        <v>1E-4</v>
      </c>
      <c r="AC118" s="99">
        <f>IF(AND(Database!BE48&gt;1,Database!BE50&gt;1),100*(Database!BE48/(Database!BE50)),0.0001)</f>
        <v>1E-4</v>
      </c>
      <c r="AD118" s="99">
        <f>IF(AND(Database!BG48&gt;1,Database!BG50&gt;1),100*(Database!BG48/(Database!BG50)),0.0001)</f>
        <v>1E-4</v>
      </c>
      <c r="AE118" s="99">
        <f>IF(AND(Database!BI48&gt;1,Database!BI50&gt;1),100*(Database!BI48/(Database!BI50)),0.0001)</f>
        <v>1E-4</v>
      </c>
      <c r="AF118" s="99">
        <f>IF(AND(Database!BK48&gt;1,Database!BK50&gt;1),100*(Database!BK48/(Database!BK50)),0.0001)</f>
        <v>1E-4</v>
      </c>
      <c r="AG118" s="99">
        <f>IF(AND(Database!BM48&gt;1,Database!BM50&gt;1),100*(Database!BM48/(Database!BM50)),0.0001)</f>
        <v>1E-4</v>
      </c>
      <c r="AH118" s="99">
        <f>IF(AND(Database!BO48&gt;1,Database!BO50&gt;1),100*(Database!BO48/(Database!BO50)),0.0001)</f>
        <v>1E-4</v>
      </c>
      <c r="AI118" s="99">
        <f>IF(AND(Database!BQ48&gt;1,Database!BQ50&gt;1),100*(Database!BQ48/(Database!BQ50)),0.0001)</f>
        <v>1E-4</v>
      </c>
      <c r="AJ118" s="99">
        <f>IF(AND(Database!BS48&gt;1,Database!BS50&gt;1),100*(Database!BS48/(Database!BS50)),0.0001)</f>
        <v>1E-4</v>
      </c>
      <c r="AK118" s="99">
        <f>IF(AND(Database!BU48&gt;1,Database!BU50&gt;1),100*(Database!BU48/(Database!BU50)),0.0001)</f>
        <v>1E-4</v>
      </c>
      <c r="AL118" s="99">
        <f>IF(AND(Database!BW48&gt;1,Database!BW50&gt;1),100*(Database!BW48/(Database!BW50)),0.0001)</f>
        <v>1E-4</v>
      </c>
      <c r="AM118" s="99">
        <f>IF(AND(Database!BY48&gt;1,Database!BY50&gt;1),100*(Database!BY48/(Database!BY50)),0.0001)</f>
        <v>1E-4</v>
      </c>
      <c r="AN118" s="99">
        <f>IF(AND(Database!CA48&gt;1,Database!CA50&gt;1),100*(Database!CA48/(Database!CA50)),0.0001)</f>
        <v>1E-4</v>
      </c>
      <c r="AO118" s="99">
        <f>IF(AND(Database!CC48&gt;1,Database!CC50&gt;1),100*(Database!CC48/(Database!CC50)),0.0001)</f>
        <v>1E-4</v>
      </c>
      <c r="AP118" s="99">
        <f>IF(AND(Database!CE48&gt;1,Database!CE50&gt;1),100*(Database!CE48/(Database!CE50)),0.0001)</f>
        <v>1E-4</v>
      </c>
      <c r="AQ118" s="99">
        <f>IF(AND(Database!CG48&gt;1,Database!CG50&gt;1),100*(Database!CG48/(Database!CG50)),0.0001)</f>
        <v>1E-4</v>
      </c>
      <c r="AR118" s="99">
        <f>IF(AND(Database!CI48&gt;1,Database!CI50&gt;1),100*(Database!CI48/(Database!CI50)),0.0001)</f>
        <v>1E-4</v>
      </c>
      <c r="AS118" s="99">
        <f>IF(AND(Database!CK48&gt;1,Database!CK50&gt;1),100*(Database!CK48/(Database!CK50)),0.0001)</f>
        <v>1E-4</v>
      </c>
      <c r="AT118" s="99">
        <f>IF(AND(Database!CM48&gt;1,Database!CM50&gt;1),100*(Database!CM48/(Database!CM50)),0.0001)</f>
        <v>1E-4</v>
      </c>
      <c r="AU118" s="99">
        <f>IF(AND(Database!CO48&gt;1,Database!CO50&gt;1),100*(Database!CO48/(Database!CO50)),0.0001)</f>
        <v>1E-4</v>
      </c>
      <c r="AV118" s="99">
        <f>IF(AND(Database!CQ48&gt;1,Database!CQ50&gt;1),100*(Database!CQ48/(Database!CQ50)),0.0001)</f>
        <v>1E-4</v>
      </c>
      <c r="AW118" s="99">
        <f>IF(AND(Database!CS48&gt;1,Database!CS50&gt;1),100*(Database!CS48/(Database!CS50)),0.0001)</f>
        <v>1E-4</v>
      </c>
      <c r="AX118" s="99">
        <f>IF(AND(Database!CU48&gt;1,Database!CU50&gt;1),100*(Database!CU48/(Database!CU50)),0.0001)</f>
        <v>1E-4</v>
      </c>
      <c r="AY118" s="99">
        <f>IF(AND(Database!CW48&gt;1,Database!CW50&gt;1),100*(Database!CW48/(Database!CW50)),0.0001)</f>
        <v>1E-4</v>
      </c>
      <c r="AZ118" s="99">
        <f>IF(AND(Database!CY48&gt;1,Database!CY50&gt;1),100*(Database!CY48/(Database!CY50)),0.0001)</f>
        <v>1E-4</v>
      </c>
      <c r="BA118" s="99">
        <f>IF(AND(Database!DA48&gt;1,Database!DA50&gt;1),100*(Database!DA48/(Database!DA50)),0.0001)</f>
        <v>1E-4</v>
      </c>
      <c r="BB118" s="99">
        <f>IF(AND(Database!DC48&gt;1,Database!DC50&gt;1),100*(Database!DC48/(Database!DC50)),0.0001)</f>
        <v>1E-4</v>
      </c>
      <c r="BC118" s="99">
        <f>IF(AND(Database!DE48&gt;1,Database!DE50&gt;1),100*(Database!DE48/(Database!DE50)),0.0001)</f>
        <v>1E-4</v>
      </c>
      <c r="BD118" s="99">
        <f>IF(AND(Database!DG48&gt;1,Database!DG50&gt;1),100*(Database!DG48/(Database!DG50)),0.0001)</f>
        <v>1E-4</v>
      </c>
      <c r="BE118" s="99">
        <f>IF(AND(Database!DI48&gt;1,Database!DI50&gt;1),100*(Database!DI48/(Database!DI50)),0.0001)</f>
        <v>1E-4</v>
      </c>
      <c r="BF118" s="99">
        <f>IF(AND(Database!DK48&gt;1,Database!DK50&gt;1),100*(Database!DK48/(Database!DK50)),0.0001)</f>
        <v>1E-4</v>
      </c>
      <c r="BG118" s="99">
        <f>IF(AND(Database!DM48&gt;1,Database!DM50&gt;1),100*(Database!DM48/(Database!DM50)),0.0001)</f>
        <v>1E-4</v>
      </c>
      <c r="BH118" s="99">
        <f>IF(AND(Database!DO48&gt;1,Database!DO50&gt;1),100*(Database!DO48/(Database!DO50)),0.0001)</f>
        <v>1E-4</v>
      </c>
      <c r="BI118" s="99">
        <f>IF(AND(Database!DQ48&gt;1,Database!DQ50&gt;1),100*(Database!DQ48/(Database!DQ50)),0.0001)</f>
        <v>1E-4</v>
      </c>
      <c r="BJ118" s="99">
        <f>IF(AND(Database!DS48&gt;1,Database!DS50&gt;1),100*(Database!DS48/(Database!DS50)),0.0001)</f>
        <v>1E-4</v>
      </c>
      <c r="BK118" s="99">
        <f>IF(AND(Database!DU48&gt;1,Database!DU50&gt;1),100*(Database!DU48/(Database!DU50)),0.0001)</f>
        <v>1E-4</v>
      </c>
      <c r="BL118" s="99">
        <f>IF(AND(Database!DW48&gt;1,Database!DW50&gt;1),100*(Database!DW48/(Database!DW50)),0.0001)</f>
        <v>1E-4</v>
      </c>
      <c r="BM118" s="99">
        <f>IF(AND(Database!DY48&gt;1,Database!DY50&gt;1),100*(Database!DY48/(Database!DY50)),0.0001)</f>
        <v>1E-4</v>
      </c>
      <c r="BN118" s="99">
        <f>IF(AND(Database!EA48&gt;1,Database!EA50&gt;1),100*(Database!EA48/(Database!EA50)),0.0001)</f>
        <v>1E-4</v>
      </c>
      <c r="BO118" s="99">
        <f>IF(AND(Database!EC48&gt;1,Database!EC50&gt;1),100*(Database!EC48/(Database!EC50)),0.0001)</f>
        <v>1E-4</v>
      </c>
      <c r="BP118" s="99">
        <f>IF(AND(Database!EE48&gt;1,Database!EE50&gt;1),100*(Database!EE48/(Database!EE50)),0.0001)</f>
        <v>1E-4</v>
      </c>
      <c r="BQ118" s="99">
        <f>IF(AND(Database!EG48&gt;1,Database!EG50&gt;1),100*(Database!EG48/(Database!EG50)),0.0001)</f>
        <v>1E-4</v>
      </c>
      <c r="BR118" s="99">
        <f>IF(AND(Database!EI48&gt;1,Database!EI50&gt;1),100*(Database!EI48/(Database!EI50)),0.0001)</f>
        <v>1E-4</v>
      </c>
      <c r="BS118" s="99">
        <f>IF(AND(Database!EK48&gt;1,Database!EK50&gt;1),100*(Database!EK48/(Database!EK50)),0.0001)</f>
        <v>1E-4</v>
      </c>
      <c r="BT118" s="99">
        <f>IF(AND(Database!EM48&gt;1,Database!EM50&gt;1),100*(Database!EM48/(Database!EM50)),0.0001)</f>
        <v>1E-4</v>
      </c>
      <c r="BU118" s="99">
        <f>IF(AND(Database!EO48&gt;1,Database!EO50&gt;1),100*(Database!EO48/(Database!EO50)),0.0001)</f>
        <v>1E-4</v>
      </c>
      <c r="BV118" s="99">
        <f>IF(AND(Database!EQ48&gt;1,Database!EQ50&gt;1),100*(Database!EQ48/(Database!EQ50)),0.0001)</f>
        <v>1E-4</v>
      </c>
      <c r="BW118" s="99">
        <f>IF(AND(Database!ES48&gt;1,Database!ES50&gt;1),100*(Database!ES48/(Database!ES50)),0.0001)</f>
        <v>1E-4</v>
      </c>
      <c r="BX118" s="99">
        <f>IF(AND(Database!EU48&gt;1,Database!EU50&gt;1),100*(Database!EU48/(Database!EU50)),0.0001)</f>
        <v>1E-4</v>
      </c>
      <c r="BY118" s="99">
        <f>IF(AND(Database!EW48&gt;1,Database!EW50&gt;1),100*(Database!EW48/(Database!EW50)),0.0001)</f>
        <v>1E-4</v>
      </c>
      <c r="BZ118" s="99">
        <f>IF(AND(Database!EY48&gt;1,Database!EY50&gt;1),100*(Database!EY48/(Database!EY50)),0.0001)</f>
        <v>1E-4</v>
      </c>
      <c r="CA118" s="99">
        <f>IF(AND(Database!FA48&gt;1,Database!FA50&gt;1),100*(Database!FA48/(Database!FA50)),0.0001)</f>
        <v>1E-4</v>
      </c>
      <c r="CB118" s="99">
        <f>IF(AND(Database!FC48&gt;1,Database!FC50&gt;1),100*(Database!FC48/(Database!FC50)),0.0001)</f>
        <v>1E-4</v>
      </c>
      <c r="CC118" s="99">
        <f>IF(AND(Database!FE48&gt;1,Database!FE50&gt;1),100*(Database!FE48/(Database!FE50)),0.0001)</f>
        <v>1E-4</v>
      </c>
      <c r="CD118" s="99">
        <f>IF(AND(Database!FG48&gt;1,Database!FG50&gt;1),100*(Database!FG48/(Database!FG50)),0.0001)</f>
        <v>1E-4</v>
      </c>
      <c r="CE118" s="99">
        <f>IF(AND(Database!FI48&gt;1,Database!FI50&gt;1),100*(Database!FI48/(Database!FI50)),0.0001)</f>
        <v>1E-4</v>
      </c>
      <c r="CF118" s="99">
        <f>IF(AND(Database!FK48&gt;1,Database!FK50&gt;1),100*(Database!FK48/(Database!FK50)),0.0001)</f>
        <v>1E-4</v>
      </c>
      <c r="CG118" s="99">
        <f>IF(AND(Database!FM48&gt;1,Database!FM50&gt;1),100*(Database!FM48/(Database!FM50)),0.0001)</f>
        <v>1E-4</v>
      </c>
      <c r="CH118" s="99">
        <f>IF(AND(Database!FO48&gt;1,Database!FO50&gt;1),100*(Database!FO48/(Database!FO50)),0.0001)</f>
        <v>1E-4</v>
      </c>
      <c r="CI118" s="99">
        <f>IF(AND(Database!FQ48&gt;1,Database!FQ50&gt;1),100*(Database!FQ48/(Database!FQ50)),0.0001)</f>
        <v>1E-4</v>
      </c>
      <c r="CJ118" s="99">
        <f>IF(AND(Database!FS48&gt;1,Database!FS50&gt;1),100*(Database!FS48/(Database!FS50)),0.0001)</f>
        <v>1E-4</v>
      </c>
      <c r="CK118" s="99">
        <f>IF(AND(Database!FU48&gt;1,Database!FU50&gt;1),100*(Database!FU48/(Database!FU50)),0.0001)</f>
        <v>1E-4</v>
      </c>
      <c r="CL118" s="99">
        <f>IF(AND(Database!FW48&gt;1,Database!FW50&gt;1),100*(Database!FW48/(Database!FW50)),0.0001)</f>
        <v>1E-4</v>
      </c>
      <c r="CM118" s="99">
        <f>IF(AND(Database!FY48&gt;1,Database!FY50&gt;1),100*(Database!FY48/(Database!FY50)),0.0001)</f>
        <v>1E-4</v>
      </c>
      <c r="CN118" s="99">
        <f>IF(AND(Database!GA48&gt;1,Database!GA50&gt;1),100*(Database!GA48/(Database!GA50)),0.0001)</f>
        <v>1E-4</v>
      </c>
      <c r="CO118" s="99">
        <f>IF(AND(Database!GC48&gt;1,Database!GC50&gt;1),100*(Database!GC48/(Database!GC50)),0.0001)</f>
        <v>1E-4</v>
      </c>
      <c r="CP118" s="99">
        <f>IF(AND(Database!GE48&gt;1,Database!GE50&gt;1),100*(Database!GE48/(Database!GE50)),0.0001)</f>
        <v>1E-4</v>
      </c>
      <c r="CQ118" s="99">
        <f>IF(AND(Database!GG48&gt;1,Database!GG50&gt;1),100*(Database!GG48/(Database!GG50)),0.0001)</f>
        <v>1E-4</v>
      </c>
      <c r="CR118" s="99">
        <f>IF(AND(Database!GI48&gt;1,Database!GI50&gt;1),100*(Database!GI48/(Database!GI50)),0.0001)</f>
        <v>1E-4</v>
      </c>
      <c r="CS118" s="99">
        <f>IF(AND(Database!GK48&gt;1,Database!GK50&gt;1),100*(Database!GK48/(Database!GK50)),0.0001)</f>
        <v>1E-4</v>
      </c>
      <c r="CT118" s="99">
        <f>IF(AND(Database!GM48&gt;1,Database!GM50&gt;1),100*(Database!GM48/(Database!GM50)),0.0001)</f>
        <v>1E-4</v>
      </c>
      <c r="CU118" s="99">
        <f>IF(AND(Database!GO48&gt;1,Database!GO50&gt;1),100*(Database!GO48/(Database!GO50)),0.0001)</f>
        <v>1E-4</v>
      </c>
      <c r="CV118" s="99">
        <f>IF(AND(Database!GQ48&gt;1,Database!GQ50&gt;1),100*(Database!GQ48/(Database!GQ50)),0.0001)</f>
        <v>1E-4</v>
      </c>
      <c r="CW118" s="99">
        <f>IF(AND(Database!GS48&gt;1,Database!GS50&gt;1),100*(Database!GS48/(Database!GS50)),0.0001)</f>
        <v>1E-4</v>
      </c>
      <c r="CX118" s="99">
        <f>IF(AND(Database!GU48&gt;1,Database!GU50&gt;1),100*(Database!GU48/(Database!GU50)),0.0001)</f>
        <v>1E-4</v>
      </c>
      <c r="CY118" s="99">
        <f>IF(AND(Database!GW48&gt;1,Database!GW50&gt;1),100*(Database!GW48/(Database!GW50)),0.0001)</f>
        <v>1E-4</v>
      </c>
      <c r="CZ118" s="99">
        <f>IF(AND(Database!GY48&gt;1,Database!GY50&gt;1),100*(Database!GY48/(Database!GY50)),0.0001)</f>
        <v>1E-4</v>
      </c>
      <c r="DA118" s="99">
        <f>IF(AND(Database!HA48&gt;1,Database!HA50&gt;1),100*(Database!HA48/(Database!HA50)),0.0001)</f>
        <v>1E-4</v>
      </c>
      <c r="DB118" s="99">
        <f>IF(AND(Database!HC48&gt;1,Database!HC50&gt;1),100*(Database!HC48/(Database!HC50)),0.0001)</f>
        <v>1E-4</v>
      </c>
      <c r="DC118" s="99">
        <f>IF(AND(Database!HE48&gt;1,Database!HE50&gt;1),100*(Database!HE48/(Database!HE50)),0.0001)</f>
        <v>1E-4</v>
      </c>
      <c r="DD118" s="99">
        <f>IF(AND(Database!HG48&gt;1,Database!HG50&gt;1),100*(Database!HG48/(Database!HG50)),0.0001)</f>
        <v>1E-4</v>
      </c>
      <c r="DE118" s="99">
        <f>IF(AND(Database!HI48&gt;1,Database!HI50&gt;1),100*(Database!HI48/(Database!HI50)),0.0001)</f>
        <v>1E-4</v>
      </c>
      <c r="DF118" s="99">
        <f>IF(AND(Database!HK48&gt;1,Database!HK50&gt;1),100*(Database!HK48/(Database!HK50)),0.0001)</f>
        <v>1E-4</v>
      </c>
      <c r="DG118" s="99">
        <f>IF(AND(Database!HM48&gt;1,Database!HM50&gt;1),100*(Database!HM48/(Database!HM50)),0.0001)</f>
        <v>1E-4</v>
      </c>
      <c r="DH118" s="99">
        <f>IF(AND(Database!HO48&gt;1,Database!HO50&gt;1),100*(Database!HO48/(Database!HO50)),0.0001)</f>
        <v>1E-4</v>
      </c>
      <c r="DI118" s="99">
        <f>IF(AND(Database!HQ48&gt;1,Database!HQ50&gt;1),100*(Database!HQ48/(Database!HQ50)),0.0001)</f>
        <v>1E-4</v>
      </c>
      <c r="DJ118" s="99">
        <f>IF(AND(Database!HS48&gt;1,Database!HS50&gt;1),100*(Database!HS48/(Database!HS50)),0.0001)</f>
        <v>1E-4</v>
      </c>
      <c r="DK118" s="99">
        <f>IF(AND(Database!HU48&gt;1,Database!HU50&gt;1),100*(Database!HU48/(Database!HU50)),0.0001)</f>
        <v>1E-4</v>
      </c>
      <c r="DL118" s="99">
        <f>IF(AND(Database!HW48&gt;1,Database!HW50&gt;1),100*(Database!HW48/(Database!HW50)),0.0001)</f>
        <v>1E-4</v>
      </c>
      <c r="DM118" s="99">
        <f>IF(AND(Database!HY48&gt;1,Database!HY50&gt;1),100*(Database!HY48/(Database!HY50)),0.0001)</f>
        <v>1E-4</v>
      </c>
      <c r="DN118" s="99">
        <f>IF(AND(Database!IA48&gt;1,Database!IA50&gt;1),100*(Database!IA48/(Database!IA50)),0.0001)</f>
        <v>1E-4</v>
      </c>
      <c r="DO118" s="99">
        <f>IF(AND(Database!IC48&gt;1,Database!IC50&gt;1),100*(Database!IC48/(Database!IC50)),0.0001)</f>
        <v>1E-4</v>
      </c>
      <c r="DP118" s="99">
        <f>IF(AND(Database!IE48&gt;1,Database!IE50&gt;1),100*(Database!IE48/(Database!IE50)),0.0001)</f>
        <v>1E-4</v>
      </c>
      <c r="DQ118" s="99">
        <f>IF(AND(Database!IG48&gt;1,Database!IG50&gt;1),100*(Database!IG48/(Database!IG50)),0.0001)</f>
        <v>1E-4</v>
      </c>
      <c r="DR118" s="99">
        <f>IF(AND(Database!II48&gt;1,Database!II50&gt;1),100*(Database!II48/(Database!II50)),0.0001)</f>
        <v>1E-4</v>
      </c>
      <c r="DS118" s="99">
        <f>IF(AND(Database!IK48&gt;1,Database!IK50&gt;1),100*(Database!IK48/(Database!IK50)),0.0001)</f>
        <v>1E-4</v>
      </c>
      <c r="DT118" s="99">
        <f>IF(AND(Database!IM48&gt;1,Database!IM50&gt;1),100*(Database!IM48/(Database!IM50)),0.0001)</f>
        <v>1E-4</v>
      </c>
      <c r="DU118" s="99">
        <f>IF(AND(Database!IO48&gt;1,Database!IO50&gt;1),100*(Database!IO48/(Database!IO50)),0.0001)</f>
        <v>1E-4</v>
      </c>
      <c r="DV118" s="99">
        <f>IF(AND(Database!IQ48&gt;1,Database!IQ50&gt;1),100*(Database!IQ48/(Database!IQ50)),0.0001)</f>
        <v>1E-4</v>
      </c>
      <c r="DW118" s="99">
        <f>IF(AND(Database!IS48&gt;1,Database!IS50&gt;1),100*(Database!IS48/(Database!IS50)),0.0001)</f>
        <v>1E-4</v>
      </c>
      <c r="DX118" s="99">
        <f>IF(AND(Database!IU48&gt;1,Database!IU50&gt;1),100*(Database!IU48/(Database!IU50)),0.0001)</f>
        <v>1E-4</v>
      </c>
      <c r="DY118" s="99">
        <f>IF(AND(Database!IW48&gt;1,Database!IW50&gt;1),100*(Database!IW48/(Database!IW50)),0.0001)</f>
        <v>1E-4</v>
      </c>
      <c r="DZ118" s="99">
        <f>IF(AND(Database!IY48&gt;1,Database!IY50&gt;1),100*(Database!IY48/(Database!IY50)),0.0001)</f>
        <v>1E-4</v>
      </c>
      <c r="EA118" s="99">
        <f>IF(AND(Database!JA48&gt;1,Database!JA50&gt;1),100*(Database!JA48/(Database!JA50)),0.0001)</f>
        <v>1E-4</v>
      </c>
      <c r="EB118" s="99">
        <f>IF(AND(Database!JC48&gt;1,Database!JC50&gt;1),100*(Database!JC48/(Database!JC50)),0.0001)</f>
        <v>1E-4</v>
      </c>
      <c r="EC118" s="99">
        <f>IF(AND(Database!JE48&gt;1,Database!JE50&gt;1),100*(Database!JE48/(Database!JE50)),0.0001)</f>
        <v>1E-4</v>
      </c>
      <c r="ED118" s="99">
        <f>IF(AND(Database!JG48&gt;1,Database!JG50&gt;1),100*(Database!JG48/(Database!JG50)),0.0001)</f>
        <v>1E-4</v>
      </c>
      <c r="EE118" s="99">
        <f>IF(AND(Database!JI48&gt;1,Database!JI50&gt;1),100*(Database!JI48/(Database!JI50)),0.0001)</f>
        <v>1E-4</v>
      </c>
      <c r="EF118" s="99">
        <f>IF(AND(Database!JK48&gt;1,Database!JK50&gt;1),100*(Database!JK48/(Database!JK50)),0.0001)</f>
        <v>1E-4</v>
      </c>
      <c r="EG118" s="99">
        <f>IF(AND(Database!JM48&gt;1,Database!JM50&gt;1),100*(Database!JM48/(Database!JM50)),0.0001)</f>
        <v>1E-4</v>
      </c>
      <c r="EH118" s="99">
        <f>IF(AND(Database!JO48&gt;1,Database!JO50&gt;1),100*(Database!JO48/(Database!JO50)),0.0001)</f>
        <v>1E-4</v>
      </c>
      <c r="EI118" s="99">
        <f>IF(AND(Database!JQ48&gt;1,Database!JQ50&gt;1),100*(Database!JQ48/(Database!JQ50)),0.0001)</f>
        <v>1E-4</v>
      </c>
      <c r="EJ118" s="99">
        <f>IF(AND(Database!JS48&gt;1,Database!JS50&gt;1),100*(Database!JS48/(Database!JS50)),0.0001)</f>
        <v>1E-4</v>
      </c>
      <c r="EK118" s="99">
        <f>IF(AND(Database!JU48&gt;1,Database!JU50&gt;1),100*(Database!JU48/(Database!JU50)),0.0001)</f>
        <v>1E-4</v>
      </c>
      <c r="EL118" s="99">
        <f>IF(AND(Database!JW48&gt;1,Database!JW50&gt;1),100*(Database!JW48/(Database!JW50)),0.0001)</f>
        <v>1E-4</v>
      </c>
      <c r="EM118" s="99">
        <f>IF(AND(Database!JY48&gt;1,Database!JY50&gt;1),100*(Database!JY48/(Database!JY50)),0.0001)</f>
        <v>1E-4</v>
      </c>
      <c r="EN118" s="99">
        <f>IF(AND(Database!KA48&gt;1,Database!KA50&gt;1),100*(Database!KA48/(Database!KA50)),0.0001)</f>
        <v>1E-4</v>
      </c>
      <c r="EO118" s="99">
        <f>IF(AND(Database!KC48&gt;1,Database!KC50&gt;1),100*(Database!KC48/(Database!KC50)),0.0001)</f>
        <v>1E-4</v>
      </c>
      <c r="EP118" s="99">
        <f>IF(AND(Database!KE48&gt;1,Database!KE50&gt;1),100*(Database!KE48/(Database!KE50)),0.0001)</f>
        <v>1E-4</v>
      </c>
      <c r="EQ118" s="99">
        <f>IF(AND(Database!KG48&gt;1,Database!KG50&gt;1),100*(Database!KG48/(Database!KG50)),0.0001)</f>
        <v>1E-4</v>
      </c>
      <c r="ER118" s="99">
        <f>IF(AND(Database!KI48&gt;1,Database!KI50&gt;1),100*(Database!KI48/(Database!KI50)),0.0001)</f>
        <v>1E-4</v>
      </c>
      <c r="ES118" s="99">
        <f>IF(AND(Database!KK48&gt;1,Database!KK50&gt;1),100*(Database!KK48/(Database!KK50)),0.0001)</f>
        <v>1E-4</v>
      </c>
      <c r="ET118" s="99">
        <f>IF(AND(Database!KM48&gt;1,Database!KM50&gt;1),100*(Database!KM48/(Database!KM50)),0.0001)</f>
        <v>1E-4</v>
      </c>
      <c r="EU118" s="99">
        <f>IF(AND(Database!KO48&gt;1,Database!KO50&gt;1),100*(Database!KO48/(Database!KO50)),0.0001)</f>
        <v>1E-4</v>
      </c>
      <c r="EV118" s="99">
        <f>IF(AND(Database!KQ48&gt;1,Database!KQ50&gt;1),100*(Database!KQ48/(Database!KQ50)),0.0001)</f>
        <v>1E-4</v>
      </c>
      <c r="EW118" s="99">
        <f>IF(AND(Database!KS48&gt;1,Database!KS50&gt;1),100*(Database!KS48/(Database!KS50)),0.0001)</f>
        <v>1E-4</v>
      </c>
      <c r="EX118" s="99">
        <f>IF(AND(Database!KU48&gt;1,Database!KU50&gt;1),100*(Database!KU48/(Database!KU50)),0.0001)</f>
        <v>1E-4</v>
      </c>
      <c r="EY118" s="99">
        <f>IF(AND(Database!KW48&gt;1,Database!KW50&gt;1),100*(Database!KW48/(Database!KW50)),0.0001)</f>
        <v>1E-4</v>
      </c>
      <c r="EZ118" s="99">
        <f>IF(AND(Database!KY48&gt;1,Database!KY50&gt;1),100*(Database!KY48/(Database!KY50)),0.0001)</f>
        <v>1E-4</v>
      </c>
      <c r="FA118" s="99">
        <f>IF(AND(Database!LA48&gt;1,Database!LA50&gt;1),100*(Database!LA48/(Database!LA50)),0.0001)</f>
        <v>1E-4</v>
      </c>
      <c r="FB118" s="99">
        <f>IF(AND(Database!LC48&gt;1,Database!LC50&gt;1),100*(Database!LC48/(Database!LC50)),0.0001)</f>
        <v>1E-4</v>
      </c>
      <c r="FC118" s="99">
        <f>IF(AND(Database!LE48&gt;1,Database!LE50&gt;1),100*(Database!LE48/(Database!LE50)),0.0001)</f>
        <v>1E-4</v>
      </c>
      <c r="FD118" s="99">
        <f>IF(AND(Database!LG48&gt;1,Database!LG50&gt;1),100*(Database!LG48/(Database!LG50)),0.0001)</f>
        <v>1E-4</v>
      </c>
      <c r="FE118" s="99">
        <f>IF(AND(Database!LI48&gt;1,Database!LI50&gt;1),100*(Database!LI48/(Database!LI50)),0.0001)</f>
        <v>1E-4</v>
      </c>
      <c r="FF118" s="99">
        <f>IF(AND(Database!LK48&gt;1,Database!LK50&gt;1),100*(Database!LK48/(Database!LK50)),0.0001)</f>
        <v>1E-4</v>
      </c>
      <c r="FG118" s="99">
        <f>IF(AND(Database!LM48&gt;1,Database!LM50&gt;1),100*(Database!LM48/(Database!LM50)),0.0001)</f>
        <v>1E-4</v>
      </c>
      <c r="FH118" s="99">
        <f>IF(AND(Database!LO48&gt;1,Database!LO50&gt;1),100*(Database!LO48/(Database!LO50)),0.0001)</f>
        <v>1E-4</v>
      </c>
      <c r="FI118" s="99">
        <f>IF(AND(Database!LQ48&gt;1,Database!LQ50&gt;1),100*(Database!LQ48/(Database!LQ50)),0.0001)</f>
        <v>1E-4</v>
      </c>
      <c r="FJ118" s="99">
        <f>IF(AND(Database!LS48&gt;1,Database!LS50&gt;1),100*(Database!LS48/(Database!LS50)),0.0001)</f>
        <v>1E-4</v>
      </c>
      <c r="FK118" s="99">
        <f>IF(AND(Database!LU48&gt;1,Database!LU50&gt;1),100*(Database!LU48/(Database!LU50)),0.0001)</f>
        <v>1E-4</v>
      </c>
      <c r="FL118" s="99">
        <f>IF(AND(Database!LW48&gt;1,Database!LW50&gt;1),100*(Database!LW48/(Database!LW50)),0.0001)</f>
        <v>1E-4</v>
      </c>
      <c r="FM118" s="99">
        <f>IF(AND(Database!LY48&gt;1,Database!LY50&gt;1),100*(Database!LY48/(Database!LY50)),0.0001)</f>
        <v>1E-4</v>
      </c>
      <c r="FN118" s="99">
        <f>IF(AND(Database!MA48&gt;1,Database!MA50&gt;1),100*(Database!MA48/(Database!MA50)),0.0001)</f>
        <v>1E-4</v>
      </c>
      <c r="FO118" s="99">
        <f>IF(AND(Database!MC48&gt;1,Database!MC50&gt;1),100*(Database!MC48/(Database!MC50)),0.0001)</f>
        <v>1E-4</v>
      </c>
      <c r="FP118" s="99">
        <f>IF(AND(Database!ME48&gt;1,Database!ME50&gt;1),100*(Database!ME48/(Database!ME50)),0.0001)</f>
        <v>1E-4</v>
      </c>
      <c r="FQ118" s="99">
        <f>IF(AND(Database!MG48&gt;1,Database!MG50&gt;1),100*(Database!MG48/(Database!MG50)),0.0001)</f>
        <v>1E-4</v>
      </c>
      <c r="FR118" s="99">
        <f>IF(AND(Database!MI48&gt;1,Database!MI50&gt;1),100*(Database!MI48/(Database!MI50)),0.0001)</f>
        <v>1E-4</v>
      </c>
      <c r="FS118" s="99">
        <f>IF(AND(Database!MK48&gt;1,Database!MK50&gt;1),100*(Database!MK48/(Database!MK50)),0.0001)</f>
        <v>1E-4</v>
      </c>
      <c r="FT118" s="99">
        <f>IF(AND(Database!MM48&gt;1,Database!MM50&gt;1),100*(Database!MM48/(Database!MM50)),0.0001)</f>
        <v>1E-4</v>
      </c>
      <c r="FU118" s="99">
        <f>IF(AND(Database!MO48&gt;1,Database!MO50&gt;1),100*(Database!MO48/(Database!MO50)),0.0001)</f>
        <v>1E-4</v>
      </c>
      <c r="FV118" s="99">
        <f>IF(AND(Database!MQ48&gt;1,Database!MQ50&gt;1),100*(Database!MQ48/(Database!MQ50)),0.0001)</f>
        <v>1E-4</v>
      </c>
      <c r="FW118" s="99">
        <f>IF(AND(Database!MS48&gt;1,Database!MS50&gt;1),100*(Database!MS48/(Database!MS50)),0.0001)</f>
        <v>1E-4</v>
      </c>
      <c r="FX118" s="99">
        <f>IF(AND(Database!MU48&gt;1,Database!MU50&gt;1),100*(Database!MU48/(Database!MU50)),0.0001)</f>
        <v>1E-4</v>
      </c>
      <c r="FY118" s="99">
        <f>IF(AND(Database!MW48&gt;1,Database!MW50&gt;1),100*(Database!MW48/(Database!MW50)),0.0001)</f>
        <v>1E-4</v>
      </c>
      <c r="FZ118" s="99">
        <f>IF(AND(Database!MY48&gt;1,Database!MY50&gt;1),100*(Database!MY48/(Database!MY50)),0.0001)</f>
        <v>1E-4</v>
      </c>
      <c r="GA118" s="99">
        <f>IF(AND(Database!NA48&gt;1,Database!NA50&gt;1),100*(Database!NA48/(Database!NA50)),0.0001)</f>
        <v>1E-4</v>
      </c>
      <c r="GB118" s="99">
        <f>IF(AND(Database!NC48&gt;1,Database!NC50&gt;1),100*(Database!NC48/(Database!NC50)),0.0001)</f>
        <v>1E-4</v>
      </c>
      <c r="GC118" s="99">
        <f>IF(AND(Database!NE48&gt;1,Database!NE50&gt;1),100*(Database!NE48/(Database!NE50)),0.0001)</f>
        <v>1E-4</v>
      </c>
      <c r="GD118" s="99">
        <f>IF(AND(Database!NG48&gt;1,Database!NG50&gt;1),100*(Database!NG48/(Database!NG50)),0.0001)</f>
        <v>1E-4</v>
      </c>
      <c r="GE118" s="99">
        <f>IF(AND(Database!NI48&gt;1,Database!NI50&gt;1),100*(Database!NI48/(Database!NI50)),0.0001)</f>
        <v>1E-4</v>
      </c>
      <c r="GF118" s="99">
        <f>IF(AND(Database!NK48&gt;1,Database!NK50&gt;1),100*(Database!NK48/(Database!NK50)),0.0001)</f>
        <v>1E-4</v>
      </c>
      <c r="GG118" s="99">
        <f>IF(AND(Database!NM48&gt;1,Database!NM50&gt;1),100*(Database!NM48/(Database!NM50)),0.0001)</f>
        <v>1E-4</v>
      </c>
      <c r="GH118" s="99">
        <f>IF(AND(Database!NO48&gt;1,Database!NO50&gt;1),100*(Database!NO48/(Database!NO50)),0.0001)</f>
        <v>1E-4</v>
      </c>
      <c r="GI118" s="99">
        <f>IF(AND(Database!NQ48&gt;1,Database!NQ50&gt;1),100*(Database!NQ48/(Database!NQ50)),0.0001)</f>
        <v>1E-4</v>
      </c>
      <c r="GJ118" s="99">
        <f>IF(AND(Database!NS48&gt;1,Database!NS50&gt;1),100*(Database!NS48/(Database!NS50)),0.0001)</f>
        <v>1E-4</v>
      </c>
      <c r="GK118" s="99">
        <f>IF(AND(Database!NU48&gt;1,Database!NU50&gt;1),100*(Database!NU48/(Database!NU50)),0.0001)</f>
        <v>1E-4</v>
      </c>
      <c r="GL118" s="99">
        <f>IF(AND(Database!NW48&gt;1,Database!NW50&gt;1),100*(Database!NW48/(Database!NW50)),0.0001)</f>
        <v>1E-4</v>
      </c>
      <c r="GM118" s="99">
        <f>IF(AND(Database!NY48&gt;1,Database!NY50&gt;1),100*(Database!NY48/(Database!NY50)),0.0001)</f>
        <v>1E-4</v>
      </c>
      <c r="GN118" s="99">
        <f>IF(AND(Database!OA48&gt;1,Database!OA50&gt;1),100*(Database!OA48/(Database!OA50)),0.0001)</f>
        <v>1E-4</v>
      </c>
      <c r="GO118" s="99">
        <f>IF(AND(Database!OC48&gt;1,Database!OC50&gt;1),100*(Database!OC48/(Database!OC50)),0.0001)</f>
        <v>1E-4</v>
      </c>
      <c r="GP118" s="99">
        <f>IF(AND(Database!OE48&gt;1,Database!OE50&gt;1),100*(Database!OE48/(Database!OE50)),0.0001)</f>
        <v>1E-4</v>
      </c>
      <c r="GQ118" s="99">
        <f>IF(AND(Database!OG48&gt;1,Database!OG50&gt;1),100*(Database!OG48/(Database!OG50)),0.0001)</f>
        <v>1E-4</v>
      </c>
      <c r="GR118" s="99">
        <f>IF(AND(Database!OI48&gt;1,Database!OI50&gt;1),100*(Database!OI48/(Database!OI50)),0.0001)</f>
        <v>1E-4</v>
      </c>
      <c r="GS118" s="99">
        <f>IF(AND(Database!OK48&gt;1,Database!OK50&gt;1),100*(Database!OK48/(Database!OK50)),0.0001)</f>
        <v>1E-4</v>
      </c>
      <c r="GT118" s="99">
        <f>IF(AND(Database!OM48&gt;1,Database!OM50&gt;1),100*(Database!OM48/(Database!OM50)),0.0001)</f>
        <v>1E-4</v>
      </c>
    </row>
    <row r="119" spans="1:202" ht="18.75" customHeight="1" x14ac:dyDescent="0.4">
      <c r="A119" s="29" t="s">
        <v>129</v>
      </c>
      <c r="B119" s="306"/>
      <c r="C119" s="99">
        <f>IF(AND(Database!E49&gt;1,Database!E53&gt;1),100*(Database!E49/(Database!E53)),0.0001)</f>
        <v>1E-4</v>
      </c>
      <c r="D119" s="99">
        <f>IF(AND(Database!G49&gt;1,Database!G53&gt;1),100*(Database!G49/(Database!G53)),0.0001)</f>
        <v>1E-4</v>
      </c>
      <c r="E119" s="99">
        <f>IF(AND(Database!I49&gt;1,Database!I53&gt;1),100*(Database!I49/(Database!I53)),0.0001)</f>
        <v>1E-4</v>
      </c>
      <c r="F119" s="99">
        <f>IF(AND(Database!K49&gt;1,Database!K53&gt;1),100*(Database!K49/(Database!K53)),0.0001)</f>
        <v>1E-4</v>
      </c>
      <c r="G119" s="99">
        <f>IF(AND(Database!M49&gt;1,Database!M53&gt;1),100*(Database!M49/(Database!M53)),0.0001)</f>
        <v>1E-4</v>
      </c>
      <c r="H119" s="99">
        <f>IF(AND(Database!O49&gt;1,Database!O53&gt;1),100*(Database!O49/(Database!O53)),0.0001)</f>
        <v>1E-4</v>
      </c>
      <c r="I119" s="99">
        <f>IF(AND(Database!Q49&gt;1,Database!Q53&gt;1),100*(Database!Q49/(Database!Q53)),0.0001)</f>
        <v>1E-4</v>
      </c>
      <c r="J119" s="99">
        <f>IF(AND(Database!S49&gt;1,Database!S53&gt;1),100*(Database!S49/(Database!S53)),0.0001)</f>
        <v>1E-4</v>
      </c>
      <c r="K119" s="99">
        <f>IF(AND(Database!U49&gt;1,Database!U53&gt;1),100*(Database!U49/(Database!U53)),0.0001)</f>
        <v>1E-4</v>
      </c>
      <c r="L119" s="99">
        <f>IF(AND(Database!W49&gt;1,Database!W53&gt;1),100*(Database!W49/(Database!W53)),0.0001)</f>
        <v>1E-4</v>
      </c>
      <c r="M119" s="99">
        <f>IF(AND(Database!Y49&gt;1,Database!Y53&gt;1),100*(Database!Y49/(Database!Y53)),0.0001)</f>
        <v>1E-4</v>
      </c>
      <c r="N119" s="99">
        <f>IF(AND(Database!AA49&gt;1,Database!AA53&gt;1),100*(Database!AA49/(Database!AA53)),0.0001)</f>
        <v>1E-4</v>
      </c>
      <c r="O119" s="99">
        <f>IF(AND(Database!AC49&gt;1,Database!AC53&gt;1),100*(Database!AC49/(Database!AC53)),0.0001)</f>
        <v>1E-4</v>
      </c>
      <c r="P119" s="99">
        <f>IF(AND(Database!AE49&gt;1,Database!AE53&gt;1),100*(Database!AE49/(Database!AE53)),0.0001)</f>
        <v>1E-4</v>
      </c>
      <c r="Q119" s="99">
        <f>IF(AND(Database!AG49&gt;1,Database!AG53&gt;1),100*(Database!AG49/(Database!AG53)),0.0001)</f>
        <v>1E-4</v>
      </c>
      <c r="R119" s="99">
        <f>IF(AND(Database!AI49&gt;1,Database!AI53&gt;1),100*(Database!AI49/(Database!AI53)),0.0001)</f>
        <v>1E-4</v>
      </c>
      <c r="S119" s="99">
        <f>IF(AND(Database!AK49&gt;1,Database!AK53&gt;1),100*(Database!AK49/(Database!AK53)),0.0001)</f>
        <v>1E-4</v>
      </c>
      <c r="T119" s="99">
        <f>IF(AND(Database!AM49&gt;1,Database!AM53&gt;1),100*(Database!AM49/(Database!AM53)),0.0001)</f>
        <v>1E-4</v>
      </c>
      <c r="U119" s="99">
        <f>IF(AND(Database!AO49&gt;1,Database!AO53&gt;1),100*(Database!AO49/(Database!AO53)),0.0001)</f>
        <v>1E-4</v>
      </c>
      <c r="V119" s="99">
        <f>IF(AND(Database!AQ49&gt;1,Database!AQ53&gt;1),100*(Database!AQ49/(Database!AQ53)),0.0001)</f>
        <v>1E-4</v>
      </c>
      <c r="W119" s="99">
        <f>IF(AND(Database!AS49&gt;1,Database!AS53&gt;1),100*(Database!AS49/(Database!AS53)),0.0001)</f>
        <v>1E-4</v>
      </c>
      <c r="X119" s="99">
        <f>IF(AND(Database!AU49&gt;1,Database!AU53&gt;1),100*(Database!AU49/(Database!AU53)),0.0001)</f>
        <v>1E-4</v>
      </c>
      <c r="Y119" s="99">
        <f>IF(AND(Database!AW49&gt;1,Database!AW53&gt;1),100*(Database!AW49/(Database!AW53)),0.0001)</f>
        <v>1E-4</v>
      </c>
      <c r="Z119" s="99">
        <f>IF(AND(Database!AY49&gt;1,Database!AY53&gt;1),100*(Database!AY49/(Database!AY53)),0.0001)</f>
        <v>1E-4</v>
      </c>
      <c r="AA119" s="99">
        <f>IF(AND(Database!BA49&gt;1,Database!BA53&gt;1),100*(Database!BA49/(Database!BA53)),0.0001)</f>
        <v>1E-4</v>
      </c>
      <c r="AB119" s="99">
        <f>IF(AND(Database!BC49&gt;1,Database!BC53&gt;1),100*(Database!BC49/(Database!BC53)),0.0001)</f>
        <v>1E-4</v>
      </c>
      <c r="AC119" s="99">
        <f>IF(AND(Database!BE49&gt;1,Database!BE53&gt;1),100*(Database!BE49/(Database!BE53)),0.0001)</f>
        <v>1E-4</v>
      </c>
      <c r="AD119" s="99">
        <f>IF(AND(Database!BG49&gt;1,Database!BG53&gt;1),100*(Database!BG49/(Database!BG53)),0.0001)</f>
        <v>1E-4</v>
      </c>
      <c r="AE119" s="99">
        <f>IF(AND(Database!BI49&gt;1,Database!BI53&gt;1),100*(Database!BI49/(Database!BI53)),0.0001)</f>
        <v>1E-4</v>
      </c>
      <c r="AF119" s="99">
        <f>IF(AND(Database!BK49&gt;1,Database!BK53&gt;1),100*(Database!BK49/(Database!BK53)),0.0001)</f>
        <v>1E-4</v>
      </c>
      <c r="AG119" s="99">
        <f>IF(AND(Database!BM49&gt;1,Database!BM53&gt;1),100*(Database!BM49/(Database!BM53)),0.0001)</f>
        <v>1E-4</v>
      </c>
      <c r="AH119" s="99">
        <f>IF(AND(Database!BO49&gt;1,Database!BO53&gt;1),100*(Database!BO49/(Database!BO53)),0.0001)</f>
        <v>1E-4</v>
      </c>
      <c r="AI119" s="99">
        <f>IF(AND(Database!BQ49&gt;1,Database!BQ53&gt;1),100*(Database!BQ49/(Database!BQ53)),0.0001)</f>
        <v>1E-4</v>
      </c>
      <c r="AJ119" s="99">
        <f>IF(AND(Database!BS49&gt;1,Database!BS53&gt;1),100*(Database!BS49/(Database!BS53)),0.0001)</f>
        <v>1E-4</v>
      </c>
      <c r="AK119" s="99">
        <f>IF(AND(Database!BU49&gt;1,Database!BU53&gt;1),100*(Database!BU49/(Database!BU53)),0.0001)</f>
        <v>1E-4</v>
      </c>
      <c r="AL119" s="99">
        <f>IF(AND(Database!BW49&gt;1,Database!BW53&gt;1),100*(Database!BW49/(Database!BW53)),0.0001)</f>
        <v>1E-4</v>
      </c>
      <c r="AM119" s="99">
        <f>IF(AND(Database!BY49&gt;1,Database!BY53&gt;1),100*(Database!BY49/(Database!BY53)),0.0001)</f>
        <v>1E-4</v>
      </c>
      <c r="AN119" s="99">
        <f>IF(AND(Database!CA49&gt;1,Database!CA53&gt;1),100*(Database!CA49/(Database!CA53)),0.0001)</f>
        <v>1E-4</v>
      </c>
      <c r="AO119" s="99">
        <f>IF(AND(Database!CC49&gt;1,Database!CC53&gt;1),100*(Database!CC49/(Database!CC53)),0.0001)</f>
        <v>1E-4</v>
      </c>
      <c r="AP119" s="99">
        <f>IF(AND(Database!CE49&gt;1,Database!CE53&gt;1),100*(Database!CE49/(Database!CE53)),0.0001)</f>
        <v>1E-4</v>
      </c>
      <c r="AQ119" s="99">
        <f>IF(AND(Database!CG49&gt;1,Database!CG53&gt;1),100*(Database!CG49/(Database!CG53)),0.0001)</f>
        <v>1E-4</v>
      </c>
      <c r="AR119" s="99">
        <f>IF(AND(Database!CI49&gt;1,Database!CI53&gt;1),100*(Database!CI49/(Database!CI53)),0.0001)</f>
        <v>1E-4</v>
      </c>
      <c r="AS119" s="99">
        <f>IF(AND(Database!CK49&gt;1,Database!CK53&gt;1),100*(Database!CK49/(Database!CK53)),0.0001)</f>
        <v>1E-4</v>
      </c>
      <c r="AT119" s="99">
        <f>IF(AND(Database!CM49&gt;1,Database!CM53&gt;1),100*(Database!CM49/(Database!CM53)),0.0001)</f>
        <v>1E-4</v>
      </c>
      <c r="AU119" s="99">
        <f>IF(AND(Database!CO49&gt;1,Database!CO53&gt;1),100*(Database!CO49/(Database!CO53)),0.0001)</f>
        <v>1E-4</v>
      </c>
      <c r="AV119" s="99">
        <f>IF(AND(Database!CQ49&gt;1,Database!CQ53&gt;1),100*(Database!CQ49/(Database!CQ53)),0.0001)</f>
        <v>1E-4</v>
      </c>
      <c r="AW119" s="99">
        <f>IF(AND(Database!CS49&gt;1,Database!CS53&gt;1),100*(Database!CS49/(Database!CS53)),0.0001)</f>
        <v>1E-4</v>
      </c>
      <c r="AX119" s="99">
        <f>IF(AND(Database!CU49&gt;1,Database!CU53&gt;1),100*(Database!CU49/(Database!CU53)),0.0001)</f>
        <v>1E-4</v>
      </c>
      <c r="AY119" s="99">
        <f>IF(AND(Database!CW49&gt;1,Database!CW53&gt;1),100*(Database!CW49/(Database!CW53)),0.0001)</f>
        <v>1E-4</v>
      </c>
      <c r="AZ119" s="99">
        <f>IF(AND(Database!CY49&gt;1,Database!CY53&gt;1),100*(Database!CY49/(Database!CY53)),0.0001)</f>
        <v>1E-4</v>
      </c>
      <c r="BA119" s="99">
        <f>IF(AND(Database!DA49&gt;1,Database!DA53&gt;1),100*(Database!DA49/(Database!DA53)),0.0001)</f>
        <v>1E-4</v>
      </c>
      <c r="BB119" s="99">
        <f>IF(AND(Database!DC49&gt;1,Database!DC53&gt;1),100*(Database!DC49/(Database!DC53)),0.0001)</f>
        <v>1E-4</v>
      </c>
      <c r="BC119" s="99">
        <f>IF(AND(Database!DE49&gt;1,Database!DE53&gt;1),100*(Database!DE49/(Database!DE53)),0.0001)</f>
        <v>1E-4</v>
      </c>
      <c r="BD119" s="99">
        <f>IF(AND(Database!DG49&gt;1,Database!DG53&gt;1),100*(Database!DG49/(Database!DG53)),0.0001)</f>
        <v>1E-4</v>
      </c>
      <c r="BE119" s="99">
        <f>IF(AND(Database!DI49&gt;1,Database!DI53&gt;1),100*(Database!DI49/(Database!DI53)),0.0001)</f>
        <v>1E-4</v>
      </c>
      <c r="BF119" s="99">
        <f>IF(AND(Database!DK49&gt;1,Database!DK53&gt;1),100*(Database!DK49/(Database!DK53)),0.0001)</f>
        <v>1E-4</v>
      </c>
      <c r="BG119" s="99">
        <f>IF(AND(Database!DM49&gt;1,Database!DM53&gt;1),100*(Database!DM49/(Database!DM53)),0.0001)</f>
        <v>1E-4</v>
      </c>
      <c r="BH119" s="99">
        <f>IF(AND(Database!DO49&gt;1,Database!DO53&gt;1),100*(Database!DO49/(Database!DO53)),0.0001)</f>
        <v>1E-4</v>
      </c>
      <c r="BI119" s="99">
        <f>IF(AND(Database!DQ49&gt;1,Database!DQ53&gt;1),100*(Database!DQ49/(Database!DQ53)),0.0001)</f>
        <v>1E-4</v>
      </c>
      <c r="BJ119" s="99">
        <f>IF(AND(Database!DS49&gt;1,Database!DS53&gt;1),100*(Database!DS49/(Database!DS53)),0.0001)</f>
        <v>1E-4</v>
      </c>
      <c r="BK119" s="99">
        <f>IF(AND(Database!DU49&gt;1,Database!DU53&gt;1),100*(Database!DU49/(Database!DU53)),0.0001)</f>
        <v>1E-4</v>
      </c>
      <c r="BL119" s="99">
        <f>IF(AND(Database!DW49&gt;1,Database!DW53&gt;1),100*(Database!DW49/(Database!DW53)),0.0001)</f>
        <v>1E-4</v>
      </c>
      <c r="BM119" s="99">
        <f>IF(AND(Database!DY49&gt;1,Database!DY53&gt;1),100*(Database!DY49/(Database!DY53)),0.0001)</f>
        <v>1E-4</v>
      </c>
      <c r="BN119" s="99">
        <f>IF(AND(Database!EA49&gt;1,Database!EA53&gt;1),100*(Database!EA49/(Database!EA53)),0.0001)</f>
        <v>1E-4</v>
      </c>
      <c r="BO119" s="99">
        <f>IF(AND(Database!EC49&gt;1,Database!EC53&gt;1),100*(Database!EC49/(Database!EC53)),0.0001)</f>
        <v>1E-4</v>
      </c>
      <c r="BP119" s="99">
        <f>IF(AND(Database!EE49&gt;1,Database!EE53&gt;1),100*(Database!EE49/(Database!EE53)),0.0001)</f>
        <v>1E-4</v>
      </c>
      <c r="BQ119" s="99">
        <f>IF(AND(Database!EG49&gt;1,Database!EG53&gt;1),100*(Database!EG49/(Database!EG53)),0.0001)</f>
        <v>1E-4</v>
      </c>
      <c r="BR119" s="99">
        <f>IF(AND(Database!EI49&gt;1,Database!EI53&gt;1),100*(Database!EI49/(Database!EI53)),0.0001)</f>
        <v>1E-4</v>
      </c>
      <c r="BS119" s="99">
        <f>IF(AND(Database!EK49&gt;1,Database!EK53&gt;1),100*(Database!EK49/(Database!EK53)),0.0001)</f>
        <v>1E-4</v>
      </c>
      <c r="BT119" s="99">
        <f>IF(AND(Database!EM49&gt;1,Database!EM53&gt;1),100*(Database!EM49/(Database!EM53)),0.0001)</f>
        <v>1E-4</v>
      </c>
      <c r="BU119" s="99">
        <f>IF(AND(Database!EO49&gt;1,Database!EO53&gt;1),100*(Database!EO49/(Database!EO53)),0.0001)</f>
        <v>1E-4</v>
      </c>
      <c r="BV119" s="99">
        <f>IF(AND(Database!EQ49&gt;1,Database!EQ53&gt;1),100*(Database!EQ49/(Database!EQ53)),0.0001)</f>
        <v>1E-4</v>
      </c>
      <c r="BW119" s="99">
        <f>IF(AND(Database!ES49&gt;1,Database!ES53&gt;1),100*(Database!ES49/(Database!ES53)),0.0001)</f>
        <v>1E-4</v>
      </c>
      <c r="BX119" s="99">
        <f>IF(AND(Database!EU49&gt;1,Database!EU53&gt;1),100*(Database!EU49/(Database!EU53)),0.0001)</f>
        <v>1E-4</v>
      </c>
      <c r="BY119" s="99">
        <f>IF(AND(Database!EW49&gt;1,Database!EW53&gt;1),100*(Database!EW49/(Database!EW53)),0.0001)</f>
        <v>1E-4</v>
      </c>
      <c r="BZ119" s="99">
        <f>IF(AND(Database!EY49&gt;1,Database!EY53&gt;1),100*(Database!EY49/(Database!EY53)),0.0001)</f>
        <v>1E-4</v>
      </c>
      <c r="CA119" s="99">
        <f>IF(AND(Database!FA49&gt;1,Database!FA53&gt;1),100*(Database!FA49/(Database!FA53)),0.0001)</f>
        <v>1E-4</v>
      </c>
      <c r="CB119" s="99">
        <f>IF(AND(Database!FC49&gt;1,Database!FC53&gt;1),100*(Database!FC49/(Database!FC53)),0.0001)</f>
        <v>1E-4</v>
      </c>
      <c r="CC119" s="99">
        <f>IF(AND(Database!FE49&gt;1,Database!FE53&gt;1),100*(Database!FE49/(Database!FE53)),0.0001)</f>
        <v>1E-4</v>
      </c>
      <c r="CD119" s="99">
        <f>IF(AND(Database!FG49&gt;1,Database!FG53&gt;1),100*(Database!FG49/(Database!FG53)),0.0001)</f>
        <v>1E-4</v>
      </c>
      <c r="CE119" s="99">
        <f>IF(AND(Database!FI49&gt;1,Database!FI53&gt;1),100*(Database!FI49/(Database!FI53)),0.0001)</f>
        <v>1E-4</v>
      </c>
      <c r="CF119" s="99">
        <f>IF(AND(Database!FK49&gt;1,Database!FK53&gt;1),100*(Database!FK49/(Database!FK53)),0.0001)</f>
        <v>1E-4</v>
      </c>
      <c r="CG119" s="99">
        <f>IF(AND(Database!FM49&gt;1,Database!FM53&gt;1),100*(Database!FM49/(Database!FM53)),0.0001)</f>
        <v>1E-4</v>
      </c>
      <c r="CH119" s="99">
        <f>IF(AND(Database!FO49&gt;1,Database!FO53&gt;1),100*(Database!FO49/(Database!FO53)),0.0001)</f>
        <v>1E-4</v>
      </c>
      <c r="CI119" s="99">
        <f>IF(AND(Database!FQ49&gt;1,Database!FQ53&gt;1),100*(Database!FQ49/(Database!FQ53)),0.0001)</f>
        <v>1E-4</v>
      </c>
      <c r="CJ119" s="99">
        <f>IF(AND(Database!FS49&gt;1,Database!FS53&gt;1),100*(Database!FS49/(Database!FS53)),0.0001)</f>
        <v>1E-4</v>
      </c>
      <c r="CK119" s="99">
        <f>IF(AND(Database!FU49&gt;1,Database!FU53&gt;1),100*(Database!FU49/(Database!FU53)),0.0001)</f>
        <v>1E-4</v>
      </c>
      <c r="CL119" s="99">
        <f>IF(AND(Database!FW49&gt;1,Database!FW53&gt;1),100*(Database!FW49/(Database!FW53)),0.0001)</f>
        <v>1E-4</v>
      </c>
      <c r="CM119" s="99">
        <f>IF(AND(Database!FY49&gt;1,Database!FY53&gt;1),100*(Database!FY49/(Database!FY53)),0.0001)</f>
        <v>1E-4</v>
      </c>
      <c r="CN119" s="99">
        <f>IF(AND(Database!GA49&gt;1,Database!GA53&gt;1),100*(Database!GA49/(Database!GA53)),0.0001)</f>
        <v>1E-4</v>
      </c>
      <c r="CO119" s="99">
        <f>IF(AND(Database!GC49&gt;1,Database!GC53&gt;1),100*(Database!GC49/(Database!GC53)),0.0001)</f>
        <v>1E-4</v>
      </c>
      <c r="CP119" s="99">
        <f>IF(AND(Database!GE49&gt;1,Database!GE53&gt;1),100*(Database!GE49/(Database!GE53)),0.0001)</f>
        <v>1E-4</v>
      </c>
      <c r="CQ119" s="99">
        <f>IF(AND(Database!GG49&gt;1,Database!GG53&gt;1),100*(Database!GG49/(Database!GG53)),0.0001)</f>
        <v>1E-4</v>
      </c>
      <c r="CR119" s="99">
        <f>IF(AND(Database!GI49&gt;1,Database!GI53&gt;1),100*(Database!GI49/(Database!GI53)),0.0001)</f>
        <v>1E-4</v>
      </c>
      <c r="CS119" s="99">
        <f>IF(AND(Database!GK49&gt;1,Database!GK53&gt;1),100*(Database!GK49/(Database!GK53)),0.0001)</f>
        <v>1E-4</v>
      </c>
      <c r="CT119" s="99">
        <f>IF(AND(Database!GM49&gt;1,Database!GM53&gt;1),100*(Database!GM49/(Database!GM53)),0.0001)</f>
        <v>1E-4</v>
      </c>
      <c r="CU119" s="99">
        <f>IF(AND(Database!GO49&gt;1,Database!GO53&gt;1),100*(Database!GO49/(Database!GO53)),0.0001)</f>
        <v>1E-4</v>
      </c>
      <c r="CV119" s="99">
        <f>IF(AND(Database!GQ49&gt;1,Database!GQ53&gt;1),100*(Database!GQ49/(Database!GQ53)),0.0001)</f>
        <v>1E-4</v>
      </c>
      <c r="CW119" s="99">
        <f>IF(AND(Database!GS49&gt;1,Database!GS53&gt;1),100*(Database!GS49/(Database!GS53)),0.0001)</f>
        <v>1E-4</v>
      </c>
      <c r="CX119" s="99">
        <f>IF(AND(Database!GU49&gt;1,Database!GU53&gt;1),100*(Database!GU49/(Database!GU53)),0.0001)</f>
        <v>1E-4</v>
      </c>
      <c r="CY119" s="99">
        <f>IF(AND(Database!GW49&gt;1,Database!GW53&gt;1),100*(Database!GW49/(Database!GW53)),0.0001)</f>
        <v>1E-4</v>
      </c>
      <c r="CZ119" s="99">
        <f>IF(AND(Database!GY49&gt;1,Database!GY53&gt;1),100*(Database!GY49/(Database!GY53)),0.0001)</f>
        <v>1E-4</v>
      </c>
      <c r="DA119" s="99">
        <f>IF(AND(Database!HA49&gt;1,Database!HA53&gt;1),100*(Database!HA49/(Database!HA53)),0.0001)</f>
        <v>1E-4</v>
      </c>
      <c r="DB119" s="99">
        <f>IF(AND(Database!HC49&gt;1,Database!HC53&gt;1),100*(Database!HC49/(Database!HC53)),0.0001)</f>
        <v>1E-4</v>
      </c>
      <c r="DC119" s="99">
        <f>IF(AND(Database!HE49&gt;1,Database!HE53&gt;1),100*(Database!HE49/(Database!HE53)),0.0001)</f>
        <v>1E-4</v>
      </c>
      <c r="DD119" s="99">
        <f>IF(AND(Database!HG49&gt;1,Database!HG53&gt;1),100*(Database!HG49/(Database!HG53)),0.0001)</f>
        <v>1E-4</v>
      </c>
      <c r="DE119" s="99">
        <f>IF(AND(Database!HI49&gt;1,Database!HI53&gt;1),100*(Database!HI49/(Database!HI53)),0.0001)</f>
        <v>1E-4</v>
      </c>
      <c r="DF119" s="99">
        <f>IF(AND(Database!HK49&gt;1,Database!HK53&gt;1),100*(Database!HK49/(Database!HK53)),0.0001)</f>
        <v>1E-4</v>
      </c>
      <c r="DG119" s="99">
        <f>IF(AND(Database!HM49&gt;1,Database!HM53&gt;1),100*(Database!HM49/(Database!HM53)),0.0001)</f>
        <v>1E-4</v>
      </c>
      <c r="DH119" s="99">
        <f>IF(AND(Database!HO49&gt;1,Database!HO53&gt;1),100*(Database!HO49/(Database!HO53)),0.0001)</f>
        <v>1E-4</v>
      </c>
      <c r="DI119" s="99">
        <f>IF(AND(Database!HQ49&gt;1,Database!HQ53&gt;1),100*(Database!HQ49/(Database!HQ53)),0.0001)</f>
        <v>1E-4</v>
      </c>
      <c r="DJ119" s="99">
        <f>IF(AND(Database!HS49&gt;1,Database!HS53&gt;1),100*(Database!HS49/(Database!HS53)),0.0001)</f>
        <v>1E-4</v>
      </c>
      <c r="DK119" s="99">
        <f>IF(AND(Database!HU49&gt;1,Database!HU53&gt;1),100*(Database!HU49/(Database!HU53)),0.0001)</f>
        <v>1E-4</v>
      </c>
      <c r="DL119" s="99">
        <f>IF(AND(Database!HW49&gt;1,Database!HW53&gt;1),100*(Database!HW49/(Database!HW53)),0.0001)</f>
        <v>1E-4</v>
      </c>
      <c r="DM119" s="99">
        <f>IF(AND(Database!HY49&gt;1,Database!HY53&gt;1),100*(Database!HY49/(Database!HY53)),0.0001)</f>
        <v>1E-4</v>
      </c>
      <c r="DN119" s="99">
        <f>IF(AND(Database!IA49&gt;1,Database!IA53&gt;1),100*(Database!IA49/(Database!IA53)),0.0001)</f>
        <v>1E-4</v>
      </c>
      <c r="DO119" s="99">
        <f>IF(AND(Database!IC49&gt;1,Database!IC53&gt;1),100*(Database!IC49/(Database!IC53)),0.0001)</f>
        <v>1E-4</v>
      </c>
      <c r="DP119" s="99">
        <f>IF(AND(Database!IE49&gt;1,Database!IE53&gt;1),100*(Database!IE49/(Database!IE53)),0.0001)</f>
        <v>1E-4</v>
      </c>
      <c r="DQ119" s="99">
        <f>IF(AND(Database!IG49&gt;1,Database!IG53&gt;1),100*(Database!IG49/(Database!IG53)),0.0001)</f>
        <v>1E-4</v>
      </c>
      <c r="DR119" s="99">
        <f>IF(AND(Database!II49&gt;1,Database!II53&gt;1),100*(Database!II49/(Database!II53)),0.0001)</f>
        <v>1E-4</v>
      </c>
      <c r="DS119" s="99">
        <f>IF(AND(Database!IK49&gt;1,Database!IK53&gt;1),100*(Database!IK49/(Database!IK53)),0.0001)</f>
        <v>1E-4</v>
      </c>
      <c r="DT119" s="99">
        <f>IF(AND(Database!IM49&gt;1,Database!IM53&gt;1),100*(Database!IM49/(Database!IM53)),0.0001)</f>
        <v>1E-4</v>
      </c>
      <c r="DU119" s="99">
        <f>IF(AND(Database!IO49&gt;1,Database!IO53&gt;1),100*(Database!IO49/(Database!IO53)),0.0001)</f>
        <v>1E-4</v>
      </c>
      <c r="DV119" s="99">
        <f>IF(AND(Database!IQ49&gt;1,Database!IQ53&gt;1),100*(Database!IQ49/(Database!IQ53)),0.0001)</f>
        <v>1E-4</v>
      </c>
      <c r="DW119" s="99">
        <f>IF(AND(Database!IS49&gt;1,Database!IS53&gt;1),100*(Database!IS49/(Database!IS53)),0.0001)</f>
        <v>1E-4</v>
      </c>
      <c r="DX119" s="99">
        <f>IF(AND(Database!IU49&gt;1,Database!IU53&gt;1),100*(Database!IU49/(Database!IU53)),0.0001)</f>
        <v>1E-4</v>
      </c>
      <c r="DY119" s="99">
        <f>IF(AND(Database!IW49&gt;1,Database!IW53&gt;1),100*(Database!IW49/(Database!IW53)),0.0001)</f>
        <v>1E-4</v>
      </c>
      <c r="DZ119" s="99">
        <f>IF(AND(Database!IY49&gt;1,Database!IY53&gt;1),100*(Database!IY49/(Database!IY53)),0.0001)</f>
        <v>1E-4</v>
      </c>
      <c r="EA119" s="99">
        <f>IF(AND(Database!JA49&gt;1,Database!JA53&gt;1),100*(Database!JA49/(Database!JA53)),0.0001)</f>
        <v>1E-4</v>
      </c>
      <c r="EB119" s="99">
        <f>IF(AND(Database!JC49&gt;1,Database!JC53&gt;1),100*(Database!JC49/(Database!JC53)),0.0001)</f>
        <v>1E-4</v>
      </c>
      <c r="EC119" s="99">
        <f>IF(AND(Database!JE49&gt;1,Database!JE53&gt;1),100*(Database!JE49/(Database!JE53)),0.0001)</f>
        <v>1E-4</v>
      </c>
      <c r="ED119" s="99">
        <f>IF(AND(Database!JG49&gt;1,Database!JG53&gt;1),100*(Database!JG49/(Database!JG53)),0.0001)</f>
        <v>1E-4</v>
      </c>
      <c r="EE119" s="99">
        <f>IF(AND(Database!JI49&gt;1,Database!JI53&gt;1),100*(Database!JI49/(Database!JI53)),0.0001)</f>
        <v>1E-4</v>
      </c>
      <c r="EF119" s="99">
        <f>IF(AND(Database!JK49&gt;1,Database!JK53&gt;1),100*(Database!JK49/(Database!JK53)),0.0001)</f>
        <v>1E-4</v>
      </c>
      <c r="EG119" s="99">
        <f>IF(AND(Database!JM49&gt;1,Database!JM53&gt;1),100*(Database!JM49/(Database!JM53)),0.0001)</f>
        <v>1E-4</v>
      </c>
      <c r="EH119" s="99">
        <f>IF(AND(Database!JO49&gt;1,Database!JO53&gt;1),100*(Database!JO49/(Database!JO53)),0.0001)</f>
        <v>1E-4</v>
      </c>
      <c r="EI119" s="99">
        <f>IF(AND(Database!JQ49&gt;1,Database!JQ53&gt;1),100*(Database!JQ49/(Database!JQ53)),0.0001)</f>
        <v>1E-4</v>
      </c>
      <c r="EJ119" s="99">
        <f>IF(AND(Database!JS49&gt;1,Database!JS53&gt;1),100*(Database!JS49/(Database!JS53)),0.0001)</f>
        <v>1E-4</v>
      </c>
      <c r="EK119" s="99">
        <f>IF(AND(Database!JU49&gt;1,Database!JU53&gt;1),100*(Database!JU49/(Database!JU53)),0.0001)</f>
        <v>1E-4</v>
      </c>
      <c r="EL119" s="99">
        <f>IF(AND(Database!JW49&gt;1,Database!JW53&gt;1),100*(Database!JW49/(Database!JW53)),0.0001)</f>
        <v>1E-4</v>
      </c>
      <c r="EM119" s="99">
        <f>IF(AND(Database!JY49&gt;1,Database!JY53&gt;1),100*(Database!JY49/(Database!JY53)),0.0001)</f>
        <v>1E-4</v>
      </c>
      <c r="EN119" s="99">
        <f>IF(AND(Database!KA49&gt;1,Database!KA53&gt;1),100*(Database!KA49/(Database!KA53)),0.0001)</f>
        <v>1E-4</v>
      </c>
      <c r="EO119" s="99">
        <f>IF(AND(Database!KC49&gt;1,Database!KC53&gt;1),100*(Database!KC49/(Database!KC53)),0.0001)</f>
        <v>1E-4</v>
      </c>
      <c r="EP119" s="99">
        <f>IF(AND(Database!KE49&gt;1,Database!KE53&gt;1),100*(Database!KE49/(Database!KE53)),0.0001)</f>
        <v>1E-4</v>
      </c>
      <c r="EQ119" s="99">
        <f>IF(AND(Database!KG49&gt;1,Database!KG53&gt;1),100*(Database!KG49/(Database!KG53)),0.0001)</f>
        <v>1E-4</v>
      </c>
      <c r="ER119" s="99">
        <f>IF(AND(Database!KI49&gt;1,Database!KI53&gt;1),100*(Database!KI49/(Database!KI53)),0.0001)</f>
        <v>1E-4</v>
      </c>
      <c r="ES119" s="99">
        <f>IF(AND(Database!KK49&gt;1,Database!KK53&gt;1),100*(Database!KK49/(Database!KK53)),0.0001)</f>
        <v>1E-4</v>
      </c>
      <c r="ET119" s="99">
        <f>IF(AND(Database!KM49&gt;1,Database!KM53&gt;1),100*(Database!KM49/(Database!KM53)),0.0001)</f>
        <v>1E-4</v>
      </c>
      <c r="EU119" s="99">
        <f>IF(AND(Database!KO49&gt;1,Database!KO53&gt;1),100*(Database!KO49/(Database!KO53)),0.0001)</f>
        <v>1E-4</v>
      </c>
      <c r="EV119" s="99">
        <f>IF(AND(Database!KQ49&gt;1,Database!KQ53&gt;1),100*(Database!KQ49/(Database!KQ53)),0.0001)</f>
        <v>1E-4</v>
      </c>
      <c r="EW119" s="99">
        <f>IF(AND(Database!KS49&gt;1,Database!KS53&gt;1),100*(Database!KS49/(Database!KS53)),0.0001)</f>
        <v>1E-4</v>
      </c>
      <c r="EX119" s="99">
        <f>IF(AND(Database!KU49&gt;1,Database!KU53&gt;1),100*(Database!KU49/(Database!KU53)),0.0001)</f>
        <v>1E-4</v>
      </c>
      <c r="EY119" s="99">
        <f>IF(AND(Database!KW49&gt;1,Database!KW53&gt;1),100*(Database!KW49/(Database!KW53)),0.0001)</f>
        <v>1E-4</v>
      </c>
      <c r="EZ119" s="99">
        <f>IF(AND(Database!KY49&gt;1,Database!KY53&gt;1),100*(Database!KY49/(Database!KY53)),0.0001)</f>
        <v>1E-4</v>
      </c>
      <c r="FA119" s="99">
        <f>IF(AND(Database!LA49&gt;1,Database!LA53&gt;1),100*(Database!LA49/(Database!LA53)),0.0001)</f>
        <v>1E-4</v>
      </c>
      <c r="FB119" s="99">
        <f>IF(AND(Database!LC49&gt;1,Database!LC53&gt;1),100*(Database!LC49/(Database!LC53)),0.0001)</f>
        <v>1E-4</v>
      </c>
      <c r="FC119" s="99">
        <f>IF(AND(Database!LE49&gt;1,Database!LE53&gt;1),100*(Database!LE49/(Database!LE53)),0.0001)</f>
        <v>1E-4</v>
      </c>
      <c r="FD119" s="99">
        <f>IF(AND(Database!LG49&gt;1,Database!LG53&gt;1),100*(Database!LG49/(Database!LG53)),0.0001)</f>
        <v>1E-4</v>
      </c>
      <c r="FE119" s="99">
        <f>IF(AND(Database!LI49&gt;1,Database!LI53&gt;1),100*(Database!LI49/(Database!LI53)),0.0001)</f>
        <v>1E-4</v>
      </c>
      <c r="FF119" s="99">
        <f>IF(AND(Database!LK49&gt;1,Database!LK53&gt;1),100*(Database!LK49/(Database!LK53)),0.0001)</f>
        <v>1E-4</v>
      </c>
      <c r="FG119" s="99">
        <f>IF(AND(Database!LM49&gt;1,Database!LM53&gt;1),100*(Database!LM49/(Database!LM53)),0.0001)</f>
        <v>1E-4</v>
      </c>
      <c r="FH119" s="99">
        <f>IF(AND(Database!LO49&gt;1,Database!LO53&gt;1),100*(Database!LO49/(Database!LO53)),0.0001)</f>
        <v>1E-4</v>
      </c>
      <c r="FI119" s="99">
        <f>IF(AND(Database!LQ49&gt;1,Database!LQ53&gt;1),100*(Database!LQ49/(Database!LQ53)),0.0001)</f>
        <v>1E-4</v>
      </c>
      <c r="FJ119" s="99">
        <f>IF(AND(Database!LS49&gt;1,Database!LS53&gt;1),100*(Database!LS49/(Database!LS53)),0.0001)</f>
        <v>1E-4</v>
      </c>
      <c r="FK119" s="99">
        <f>IF(AND(Database!LU49&gt;1,Database!LU53&gt;1),100*(Database!LU49/(Database!LU53)),0.0001)</f>
        <v>1E-4</v>
      </c>
      <c r="FL119" s="99">
        <f>IF(AND(Database!LW49&gt;1,Database!LW53&gt;1),100*(Database!LW49/(Database!LW53)),0.0001)</f>
        <v>1E-4</v>
      </c>
      <c r="FM119" s="99">
        <f>IF(AND(Database!LY49&gt;1,Database!LY53&gt;1),100*(Database!LY49/(Database!LY53)),0.0001)</f>
        <v>1E-4</v>
      </c>
      <c r="FN119" s="99">
        <f>IF(AND(Database!MA49&gt;1,Database!MA53&gt;1),100*(Database!MA49/(Database!MA53)),0.0001)</f>
        <v>1E-4</v>
      </c>
      <c r="FO119" s="99">
        <f>IF(AND(Database!MC49&gt;1,Database!MC53&gt;1),100*(Database!MC49/(Database!MC53)),0.0001)</f>
        <v>1E-4</v>
      </c>
      <c r="FP119" s="99">
        <f>IF(AND(Database!ME49&gt;1,Database!ME53&gt;1),100*(Database!ME49/(Database!ME53)),0.0001)</f>
        <v>1E-4</v>
      </c>
      <c r="FQ119" s="99">
        <f>IF(AND(Database!MG49&gt;1,Database!MG53&gt;1),100*(Database!MG49/(Database!MG53)),0.0001)</f>
        <v>1E-4</v>
      </c>
      <c r="FR119" s="99">
        <f>IF(AND(Database!MI49&gt;1,Database!MI53&gt;1),100*(Database!MI49/(Database!MI53)),0.0001)</f>
        <v>1E-4</v>
      </c>
      <c r="FS119" s="99">
        <f>IF(AND(Database!MK49&gt;1,Database!MK53&gt;1),100*(Database!MK49/(Database!MK53)),0.0001)</f>
        <v>1E-4</v>
      </c>
      <c r="FT119" s="99">
        <f>IF(AND(Database!MM49&gt;1,Database!MM53&gt;1),100*(Database!MM49/(Database!MM53)),0.0001)</f>
        <v>1E-4</v>
      </c>
      <c r="FU119" s="99">
        <f>IF(AND(Database!MO49&gt;1,Database!MO53&gt;1),100*(Database!MO49/(Database!MO53)),0.0001)</f>
        <v>1E-4</v>
      </c>
      <c r="FV119" s="99">
        <f>IF(AND(Database!MQ49&gt;1,Database!MQ53&gt;1),100*(Database!MQ49/(Database!MQ53)),0.0001)</f>
        <v>1E-4</v>
      </c>
      <c r="FW119" s="99">
        <f>IF(AND(Database!MS49&gt;1,Database!MS53&gt;1),100*(Database!MS49/(Database!MS53)),0.0001)</f>
        <v>1E-4</v>
      </c>
      <c r="FX119" s="99">
        <f>IF(AND(Database!MU49&gt;1,Database!MU53&gt;1),100*(Database!MU49/(Database!MU53)),0.0001)</f>
        <v>1E-4</v>
      </c>
      <c r="FY119" s="99">
        <f>IF(AND(Database!MW49&gt;1,Database!MW53&gt;1),100*(Database!MW49/(Database!MW53)),0.0001)</f>
        <v>1E-4</v>
      </c>
      <c r="FZ119" s="99">
        <f>IF(AND(Database!MY49&gt;1,Database!MY53&gt;1),100*(Database!MY49/(Database!MY53)),0.0001)</f>
        <v>1E-4</v>
      </c>
      <c r="GA119" s="99">
        <f>IF(AND(Database!NA49&gt;1,Database!NA53&gt;1),100*(Database!NA49/(Database!NA53)),0.0001)</f>
        <v>1E-4</v>
      </c>
      <c r="GB119" s="99">
        <f>IF(AND(Database!NC49&gt;1,Database!NC53&gt;1),100*(Database!NC49/(Database!NC53)),0.0001)</f>
        <v>1E-4</v>
      </c>
      <c r="GC119" s="99">
        <f>IF(AND(Database!NE49&gt;1,Database!NE53&gt;1),100*(Database!NE49/(Database!NE53)),0.0001)</f>
        <v>1E-4</v>
      </c>
      <c r="GD119" s="99">
        <f>IF(AND(Database!NG49&gt;1,Database!NG53&gt;1),100*(Database!NG49/(Database!NG53)),0.0001)</f>
        <v>1E-4</v>
      </c>
      <c r="GE119" s="99">
        <f>IF(AND(Database!NI49&gt;1,Database!NI53&gt;1),100*(Database!NI49/(Database!NI53)),0.0001)</f>
        <v>1E-4</v>
      </c>
      <c r="GF119" s="99">
        <f>IF(AND(Database!NK49&gt;1,Database!NK53&gt;1),100*(Database!NK49/(Database!NK53)),0.0001)</f>
        <v>1E-4</v>
      </c>
      <c r="GG119" s="99">
        <f>IF(AND(Database!NM49&gt;1,Database!NM53&gt;1),100*(Database!NM49/(Database!NM53)),0.0001)</f>
        <v>1E-4</v>
      </c>
      <c r="GH119" s="99">
        <f>IF(AND(Database!NO49&gt;1,Database!NO53&gt;1),100*(Database!NO49/(Database!NO53)),0.0001)</f>
        <v>1E-4</v>
      </c>
      <c r="GI119" s="99">
        <f>IF(AND(Database!NQ49&gt;1,Database!NQ53&gt;1),100*(Database!NQ49/(Database!NQ53)),0.0001)</f>
        <v>1E-4</v>
      </c>
      <c r="GJ119" s="99">
        <f>IF(AND(Database!NS49&gt;1,Database!NS53&gt;1),100*(Database!NS49/(Database!NS53)),0.0001)</f>
        <v>1E-4</v>
      </c>
      <c r="GK119" s="99">
        <f>IF(AND(Database!NU49&gt;1,Database!NU53&gt;1),100*(Database!NU49/(Database!NU53)),0.0001)</f>
        <v>1E-4</v>
      </c>
      <c r="GL119" s="99">
        <f>IF(AND(Database!NW49&gt;1,Database!NW53&gt;1),100*(Database!NW49/(Database!NW53)),0.0001)</f>
        <v>1E-4</v>
      </c>
      <c r="GM119" s="99">
        <f>IF(AND(Database!NY49&gt;1,Database!NY53&gt;1),100*(Database!NY49/(Database!NY53)),0.0001)</f>
        <v>1E-4</v>
      </c>
      <c r="GN119" s="99">
        <f>IF(AND(Database!OA49&gt;1,Database!OA53&gt;1),100*(Database!OA49/(Database!OA53)),0.0001)</f>
        <v>1E-4</v>
      </c>
      <c r="GO119" s="99">
        <f>IF(AND(Database!OC49&gt;1,Database!OC53&gt;1),100*(Database!OC49/(Database!OC53)),0.0001)</f>
        <v>1E-4</v>
      </c>
      <c r="GP119" s="99">
        <f>IF(AND(Database!OE49&gt;1,Database!OE53&gt;1),100*(Database!OE49/(Database!OE53)),0.0001)</f>
        <v>1E-4</v>
      </c>
      <c r="GQ119" s="99">
        <f>IF(AND(Database!OG49&gt;1,Database!OG53&gt;1),100*(Database!OG49/(Database!OG53)),0.0001)</f>
        <v>1E-4</v>
      </c>
      <c r="GR119" s="99">
        <f>IF(AND(Database!OI49&gt;1,Database!OI53&gt;1),100*(Database!OI49/(Database!OI53)),0.0001)</f>
        <v>1E-4</v>
      </c>
      <c r="GS119" s="99">
        <f>IF(AND(Database!OK49&gt;1,Database!OK53&gt;1),100*(Database!OK49/(Database!OK53)),0.0001)</f>
        <v>1E-4</v>
      </c>
      <c r="GT119" s="99">
        <f>IF(AND(Database!OM49&gt;1,Database!OM53&gt;1),100*(Database!OM49/(Database!OM53)),0.0001)</f>
        <v>1E-4</v>
      </c>
    </row>
    <row r="120" spans="1:202" ht="18.75" customHeight="1" x14ac:dyDescent="0.4">
      <c r="A120" s="29" t="s">
        <v>130</v>
      </c>
      <c r="B120" s="306"/>
      <c r="C120" s="99">
        <f>IF(AND(Database!E51&gt;1,Database!E52&gt;1),100*(Database!E51/(Database!E52)),0.0001)</f>
        <v>38.053614995176574</v>
      </c>
      <c r="D120" s="99">
        <f>IF(AND(Database!K51&gt;1,Database!K52&gt;1),100*(Database!K51/(Database!K52)),0.0001)</f>
        <v>23.426952907853984</v>
      </c>
      <c r="E120" s="99">
        <f>IF(AND(Database!M51&gt;1,Database!M52&gt;1),100*(Database!M51/(Database!M52)),0.0001)</f>
        <v>1E-4</v>
      </c>
      <c r="F120" s="99" t="e">
        <f>IF(AND(Database!#REF!&gt;1,Database!#REF!&gt;1),100*(Database!#REF!/(Database!#REF!)),0.0001)</f>
        <v>#REF!</v>
      </c>
      <c r="G120" s="297" t="e">
        <f>IF(AND(Database!#REF!&gt;1,Database!#REF!&gt;1),100*(Database!#REF!/(Database!#REF!)),0.0001)</f>
        <v>#REF!</v>
      </c>
      <c r="H120" s="99">
        <f>IF(AND(Database!O51&gt;1,Database!O52&gt;1),100*(Database!O51/(Database!O52)),0.0001)</f>
        <v>1E-4</v>
      </c>
      <c r="I120" s="99">
        <f>IF(AND(Database!Q51&gt;1,Database!Q52&gt;1),100*(Database!Q51/(Database!Q52)),0.0001)</f>
        <v>1E-4</v>
      </c>
      <c r="J120" s="99">
        <f>IF(AND(Database!S51&gt;1,Database!S52&gt;1),100*(Database!S51/(Database!S52)),0.0001)</f>
        <v>1E-4</v>
      </c>
      <c r="K120" s="99">
        <f>IF(AND(Database!U51&gt;1,Database!U52&gt;1),100*(Database!U51/(Database!U52)),0.0001)</f>
        <v>1E-4</v>
      </c>
      <c r="L120" s="99">
        <f>IF(AND(Database!W51&gt;1,Database!W52&gt;1),100*(Database!W51/(Database!W52)),0.0001)</f>
        <v>1E-4</v>
      </c>
      <c r="M120" s="99">
        <f>IF(AND(Database!Y51&gt;1,Database!Y52&gt;1),100*(Database!Y51/(Database!Y52)),0.0001)</f>
        <v>1E-4</v>
      </c>
      <c r="N120" s="99">
        <f>IF(AND(Database!AA51&gt;1,Database!AA52&gt;1),100*(Database!AA51/(Database!AA52)),0.0001)</f>
        <v>1E-4</v>
      </c>
      <c r="O120" s="99">
        <f>IF(AND(Database!AC51&gt;1,Database!AC52&gt;1),100*(Database!AC51/(Database!AC52)),0.0001)</f>
        <v>1E-4</v>
      </c>
      <c r="P120" s="99">
        <f>IF(AND(Database!AE51&gt;1,Database!AE52&gt;1),100*(Database!AE51/(Database!AE52)),0.0001)</f>
        <v>1E-4</v>
      </c>
      <c r="Q120" s="99">
        <f>IF(AND(Database!AG51&gt;1,Database!AG52&gt;1),100*(Database!AG51/(Database!AG52)),0.0001)</f>
        <v>1E-4</v>
      </c>
      <c r="R120" s="99">
        <f>IF(AND(Database!AI51&gt;1,Database!AI52&gt;1),100*(Database!AI51/(Database!AI52)),0.0001)</f>
        <v>1E-4</v>
      </c>
      <c r="S120" s="99">
        <f>IF(AND(Database!AK51&gt;1,Database!AK52&gt;1),100*(Database!AK51/(Database!AK52)),0.0001)</f>
        <v>1E-4</v>
      </c>
      <c r="T120" s="99">
        <f>IF(AND(Database!AM51&gt;1,Database!AM52&gt;1),100*(Database!AM51/(Database!AM52)),0.0001)</f>
        <v>1E-4</v>
      </c>
      <c r="U120" s="99">
        <f>IF(AND(Database!AO51&gt;1,Database!AO52&gt;1),100*(Database!AO51/(Database!AO52)),0.0001)</f>
        <v>1E-4</v>
      </c>
      <c r="V120" s="99">
        <f>IF(AND(Database!AQ51&gt;1,Database!AQ52&gt;1),100*(Database!AQ51/(Database!AQ52)),0.0001)</f>
        <v>1E-4</v>
      </c>
      <c r="W120" s="99">
        <f>IF(AND(Database!AS51&gt;1,Database!AS52&gt;1),100*(Database!AS51/(Database!AS52)),0.0001)</f>
        <v>1E-4</v>
      </c>
      <c r="X120" s="99">
        <f>IF(AND(Database!AU51&gt;1,Database!AU52&gt;1),100*(Database!AU51/(Database!AU52)),0.0001)</f>
        <v>1E-4</v>
      </c>
      <c r="Y120" s="99">
        <f>IF(AND(Database!AW51&gt;1,Database!AW52&gt;1),100*(Database!AW51/(Database!AW52)),0.0001)</f>
        <v>1E-4</v>
      </c>
      <c r="Z120" s="99">
        <f>IF(AND(Database!AY51&gt;1,Database!AY52&gt;1),100*(Database!AY51/(Database!AY52)),0.0001)</f>
        <v>1E-4</v>
      </c>
      <c r="AA120" s="99">
        <f>IF(AND(Database!BA51&gt;1,Database!BA52&gt;1),100*(Database!BA51/(Database!BA52)),0.0001)</f>
        <v>1E-4</v>
      </c>
      <c r="AB120" s="99">
        <f>IF(AND(Database!BC51&gt;1,Database!BC52&gt;1),100*(Database!BC51/(Database!BC52)),0.0001)</f>
        <v>1E-4</v>
      </c>
      <c r="AC120" s="99">
        <f>IF(AND(Database!BE51&gt;1,Database!BE52&gt;1),100*(Database!BE51/(Database!BE52)),0.0001)</f>
        <v>1E-4</v>
      </c>
      <c r="AD120" s="99">
        <f>IF(AND(Database!BG51&gt;1,Database!BG52&gt;1),100*(Database!BG51/(Database!BG52)),0.0001)</f>
        <v>1E-4</v>
      </c>
      <c r="AE120" s="99">
        <f>IF(AND(Database!BI51&gt;1,Database!BI52&gt;1),100*(Database!BI51/(Database!BI52)),0.0001)</f>
        <v>1E-4</v>
      </c>
      <c r="AF120" s="99">
        <f>IF(AND(Database!BK51&gt;1,Database!BK52&gt;1),100*(Database!BK51/(Database!BK52)),0.0001)</f>
        <v>1E-4</v>
      </c>
      <c r="AG120" s="99">
        <f>IF(AND(Database!BM51&gt;1,Database!BM52&gt;1),100*(Database!BM51/(Database!BM52)),0.0001)</f>
        <v>1E-4</v>
      </c>
      <c r="AH120" s="99">
        <f>IF(AND(Database!BO51&gt;1,Database!BO52&gt;1),100*(Database!BO51/(Database!BO52)),0.0001)</f>
        <v>1E-4</v>
      </c>
      <c r="AI120" s="99">
        <f>IF(AND(Database!BQ51&gt;1,Database!BQ52&gt;1),100*(Database!BQ51/(Database!BQ52)),0.0001)</f>
        <v>1E-4</v>
      </c>
      <c r="AJ120" s="99">
        <f>IF(AND(Database!BS51&gt;1,Database!BS52&gt;1),100*(Database!BS51/(Database!BS52)),0.0001)</f>
        <v>1E-4</v>
      </c>
      <c r="AK120" s="99">
        <f>IF(AND(Database!BU51&gt;1,Database!BU52&gt;1),100*(Database!BU51/(Database!BU52)),0.0001)</f>
        <v>1E-4</v>
      </c>
      <c r="AL120" s="99">
        <f>IF(AND(Database!BW51&gt;1,Database!BW52&gt;1),100*(Database!BW51/(Database!BW52)),0.0001)</f>
        <v>1E-4</v>
      </c>
      <c r="AM120" s="99">
        <f>IF(AND(Database!BY51&gt;1,Database!BY52&gt;1),100*(Database!BY51/(Database!BY52)),0.0001)</f>
        <v>1E-4</v>
      </c>
      <c r="AN120" s="99">
        <f>IF(AND(Database!CA51&gt;1,Database!CA52&gt;1),100*(Database!CA51/(Database!CA52)),0.0001)</f>
        <v>1E-4</v>
      </c>
      <c r="AO120" s="99">
        <f>IF(AND(Database!CC51&gt;1,Database!CC52&gt;1),100*(Database!CC51/(Database!CC52)),0.0001)</f>
        <v>1E-4</v>
      </c>
      <c r="AP120" s="99">
        <f>IF(AND(Database!CE51&gt;1,Database!CE52&gt;1),100*(Database!CE51/(Database!CE52)),0.0001)</f>
        <v>1E-4</v>
      </c>
      <c r="AQ120" s="99">
        <f>IF(AND(Database!CG51&gt;1,Database!CG52&gt;1),100*(Database!CG51/(Database!CG52)),0.0001)</f>
        <v>1E-4</v>
      </c>
      <c r="AR120" s="99">
        <f>IF(AND(Database!CI51&gt;1,Database!CI52&gt;1),100*(Database!CI51/(Database!CI52)),0.0001)</f>
        <v>1E-4</v>
      </c>
      <c r="AS120" s="99">
        <f>IF(AND(Database!CK51&gt;1,Database!CK52&gt;1),100*(Database!CK51/(Database!CK52)),0.0001)</f>
        <v>1E-4</v>
      </c>
      <c r="AT120" s="99">
        <f>IF(AND(Database!CM51&gt;1,Database!CM52&gt;1),100*(Database!CM51/(Database!CM52)),0.0001)</f>
        <v>1E-4</v>
      </c>
      <c r="AU120" s="99">
        <f>IF(AND(Database!CO51&gt;1,Database!CO52&gt;1),100*(Database!CO51/(Database!CO52)),0.0001)</f>
        <v>1E-4</v>
      </c>
      <c r="AV120" s="99">
        <f>IF(AND(Database!CQ51&gt;1,Database!CQ52&gt;1),100*(Database!CQ51/(Database!CQ52)),0.0001)</f>
        <v>1E-4</v>
      </c>
      <c r="AW120" s="99">
        <f>IF(AND(Database!CS51&gt;1,Database!CS52&gt;1),100*(Database!CS51/(Database!CS52)),0.0001)</f>
        <v>1E-4</v>
      </c>
      <c r="AX120" s="99">
        <f>IF(AND(Database!CU51&gt;1,Database!CU52&gt;1),100*(Database!CU51/(Database!CU52)),0.0001)</f>
        <v>1E-4</v>
      </c>
      <c r="AY120" s="99">
        <f>IF(AND(Database!CW51&gt;1,Database!CW52&gt;1),100*(Database!CW51/(Database!CW52)),0.0001)</f>
        <v>1E-4</v>
      </c>
      <c r="AZ120" s="99">
        <f>IF(AND(Database!CY51&gt;1,Database!CY52&gt;1),100*(Database!CY51/(Database!CY52)),0.0001)</f>
        <v>1E-4</v>
      </c>
      <c r="BA120" s="99">
        <f>IF(AND(Database!DA51&gt;1,Database!DA52&gt;1),100*(Database!DA51/(Database!DA52)),0.0001)</f>
        <v>1E-4</v>
      </c>
      <c r="BB120" s="99">
        <f>IF(AND(Database!DC51&gt;1,Database!DC52&gt;1),100*(Database!DC51/(Database!DC52)),0.0001)</f>
        <v>1E-4</v>
      </c>
      <c r="BC120" s="99">
        <f>IF(AND(Database!DE51&gt;1,Database!DE52&gt;1),100*(Database!DE51/(Database!DE52)),0.0001)</f>
        <v>1E-4</v>
      </c>
      <c r="BD120" s="99">
        <f>IF(AND(Database!DG51&gt;1,Database!DG52&gt;1),100*(Database!DG51/(Database!DG52)),0.0001)</f>
        <v>1E-4</v>
      </c>
      <c r="BE120" s="99">
        <f>IF(AND(Database!DI51&gt;1,Database!DI52&gt;1),100*(Database!DI51/(Database!DI52)),0.0001)</f>
        <v>1E-4</v>
      </c>
      <c r="BF120" s="99">
        <f>IF(AND(Database!DK51&gt;1,Database!DK52&gt;1),100*(Database!DK51/(Database!DK52)),0.0001)</f>
        <v>1E-4</v>
      </c>
      <c r="BG120" s="99">
        <f>IF(AND(Database!DM51&gt;1,Database!DM52&gt;1),100*(Database!DM51/(Database!DM52)),0.0001)</f>
        <v>1E-4</v>
      </c>
      <c r="BH120" s="99">
        <f>IF(AND(Database!DO51&gt;1,Database!DO52&gt;1),100*(Database!DO51/(Database!DO52)),0.0001)</f>
        <v>1E-4</v>
      </c>
      <c r="BI120" s="99">
        <f>IF(AND(Database!DQ51&gt;1,Database!DQ52&gt;1),100*(Database!DQ51/(Database!DQ52)),0.0001)</f>
        <v>1E-4</v>
      </c>
      <c r="BJ120" s="99">
        <f>IF(AND(Database!DS51&gt;1,Database!DS52&gt;1),100*(Database!DS51/(Database!DS52)),0.0001)</f>
        <v>1E-4</v>
      </c>
      <c r="BK120" s="99">
        <f>IF(AND(Database!DU51&gt;1,Database!DU52&gt;1),100*(Database!DU51/(Database!DU52)),0.0001)</f>
        <v>1E-4</v>
      </c>
      <c r="BL120" s="99">
        <f>IF(AND(Database!DW51&gt;1,Database!DW52&gt;1),100*(Database!DW51/(Database!DW52)),0.0001)</f>
        <v>1E-4</v>
      </c>
      <c r="BM120" s="99">
        <f>IF(AND(Database!DY51&gt;1,Database!DY52&gt;1),100*(Database!DY51/(Database!DY52)),0.0001)</f>
        <v>1E-4</v>
      </c>
      <c r="BN120" s="99">
        <f>IF(AND(Database!EA51&gt;1,Database!EA52&gt;1),100*(Database!EA51/(Database!EA52)),0.0001)</f>
        <v>1E-4</v>
      </c>
      <c r="BO120" s="99">
        <f>IF(AND(Database!EC51&gt;1,Database!EC52&gt;1),100*(Database!EC51/(Database!EC52)),0.0001)</f>
        <v>1E-4</v>
      </c>
      <c r="BP120" s="99">
        <f>IF(AND(Database!EE51&gt;1,Database!EE52&gt;1),100*(Database!EE51/(Database!EE52)),0.0001)</f>
        <v>1E-4</v>
      </c>
      <c r="BQ120" s="99">
        <f>IF(AND(Database!EG51&gt;1,Database!EG52&gt;1),100*(Database!EG51/(Database!EG52)),0.0001)</f>
        <v>1E-4</v>
      </c>
      <c r="BR120" s="99">
        <f>IF(AND(Database!EI51&gt;1,Database!EI52&gt;1),100*(Database!EI51/(Database!EI52)),0.0001)</f>
        <v>1E-4</v>
      </c>
      <c r="BS120" s="99">
        <f>IF(AND(Database!EK51&gt;1,Database!EK52&gt;1),100*(Database!EK51/(Database!EK52)),0.0001)</f>
        <v>1E-4</v>
      </c>
      <c r="BT120" s="99">
        <f>IF(AND(Database!EM51&gt;1,Database!EM52&gt;1),100*(Database!EM51/(Database!EM52)),0.0001)</f>
        <v>1E-4</v>
      </c>
      <c r="BU120" s="99">
        <f>IF(AND(Database!EO51&gt;1,Database!EO52&gt;1),100*(Database!EO51/(Database!EO52)),0.0001)</f>
        <v>1E-4</v>
      </c>
      <c r="BV120" s="99">
        <f>IF(AND(Database!EQ51&gt;1,Database!EQ52&gt;1),100*(Database!EQ51/(Database!EQ52)),0.0001)</f>
        <v>1E-4</v>
      </c>
      <c r="BW120" s="99">
        <f>IF(AND(Database!ES51&gt;1,Database!ES52&gt;1),100*(Database!ES51/(Database!ES52)),0.0001)</f>
        <v>1E-4</v>
      </c>
      <c r="BX120" s="99">
        <f>IF(AND(Database!EU51&gt;1,Database!EU52&gt;1),100*(Database!EU51/(Database!EU52)),0.0001)</f>
        <v>1E-4</v>
      </c>
      <c r="BY120" s="99">
        <f>IF(AND(Database!EW51&gt;1,Database!EW52&gt;1),100*(Database!EW51/(Database!EW52)),0.0001)</f>
        <v>1E-4</v>
      </c>
      <c r="BZ120" s="99">
        <f>IF(AND(Database!EY51&gt;1,Database!EY52&gt;1),100*(Database!EY51/(Database!EY52)),0.0001)</f>
        <v>1E-4</v>
      </c>
      <c r="CA120" s="99">
        <f>IF(AND(Database!FA51&gt;1,Database!FA52&gt;1),100*(Database!FA51/(Database!FA52)),0.0001)</f>
        <v>1E-4</v>
      </c>
      <c r="CB120" s="99">
        <f>IF(AND(Database!FC51&gt;1,Database!FC52&gt;1),100*(Database!FC51/(Database!FC52)),0.0001)</f>
        <v>1E-4</v>
      </c>
      <c r="CC120" s="99">
        <f>IF(AND(Database!FE51&gt;1,Database!FE52&gt;1),100*(Database!FE51/(Database!FE52)),0.0001)</f>
        <v>1E-4</v>
      </c>
      <c r="CD120" s="99">
        <f>IF(AND(Database!FG51&gt;1,Database!FG52&gt;1),100*(Database!FG51/(Database!FG52)),0.0001)</f>
        <v>1E-4</v>
      </c>
      <c r="CE120" s="99">
        <f>IF(AND(Database!FI51&gt;1,Database!FI52&gt;1),100*(Database!FI51/(Database!FI52)),0.0001)</f>
        <v>1E-4</v>
      </c>
      <c r="CF120" s="99">
        <f>IF(AND(Database!FK51&gt;1,Database!FK52&gt;1),100*(Database!FK51/(Database!FK52)),0.0001)</f>
        <v>1E-4</v>
      </c>
      <c r="CG120" s="99">
        <f>IF(AND(Database!FM51&gt;1,Database!FM52&gt;1),100*(Database!FM51/(Database!FM52)),0.0001)</f>
        <v>1E-4</v>
      </c>
      <c r="CH120" s="99">
        <f>IF(AND(Database!FO51&gt;1,Database!FO52&gt;1),100*(Database!FO51/(Database!FO52)),0.0001)</f>
        <v>1E-4</v>
      </c>
      <c r="CI120" s="99">
        <f>IF(AND(Database!FQ51&gt;1,Database!FQ52&gt;1),100*(Database!FQ51/(Database!FQ52)),0.0001)</f>
        <v>1E-4</v>
      </c>
      <c r="CJ120" s="99">
        <f>IF(AND(Database!FS51&gt;1,Database!FS52&gt;1),100*(Database!FS51/(Database!FS52)),0.0001)</f>
        <v>1E-4</v>
      </c>
      <c r="CK120" s="99">
        <f>IF(AND(Database!FU51&gt;1,Database!FU52&gt;1),100*(Database!FU51/(Database!FU52)),0.0001)</f>
        <v>1E-4</v>
      </c>
      <c r="CL120" s="99">
        <f>IF(AND(Database!FW51&gt;1,Database!FW52&gt;1),100*(Database!FW51/(Database!FW52)),0.0001)</f>
        <v>1E-4</v>
      </c>
      <c r="CM120" s="99">
        <f>IF(AND(Database!FY51&gt;1,Database!FY52&gt;1),100*(Database!FY51/(Database!FY52)),0.0001)</f>
        <v>1E-4</v>
      </c>
      <c r="CN120" s="99">
        <f>IF(AND(Database!GA51&gt;1,Database!GA52&gt;1),100*(Database!GA51/(Database!GA52)),0.0001)</f>
        <v>1E-4</v>
      </c>
      <c r="CO120" s="99">
        <f>IF(AND(Database!GC51&gt;1,Database!GC52&gt;1),100*(Database!GC51/(Database!GC52)),0.0001)</f>
        <v>1E-4</v>
      </c>
      <c r="CP120" s="99">
        <f>IF(AND(Database!GE51&gt;1,Database!GE52&gt;1),100*(Database!GE51/(Database!GE52)),0.0001)</f>
        <v>1E-4</v>
      </c>
      <c r="CQ120" s="99">
        <f>IF(AND(Database!GG51&gt;1,Database!GG52&gt;1),100*(Database!GG51/(Database!GG52)),0.0001)</f>
        <v>1E-4</v>
      </c>
      <c r="CR120" s="99">
        <f>IF(AND(Database!GI51&gt;1,Database!GI52&gt;1),100*(Database!GI51/(Database!GI52)),0.0001)</f>
        <v>1E-4</v>
      </c>
      <c r="CS120" s="99">
        <f>IF(AND(Database!GK51&gt;1,Database!GK52&gt;1),100*(Database!GK51/(Database!GK52)),0.0001)</f>
        <v>1E-4</v>
      </c>
      <c r="CT120" s="99">
        <f>IF(AND(Database!GM51&gt;1,Database!GM52&gt;1),100*(Database!GM51/(Database!GM52)),0.0001)</f>
        <v>1E-4</v>
      </c>
      <c r="CU120" s="99">
        <f>IF(AND(Database!GO51&gt;1,Database!GO52&gt;1),100*(Database!GO51/(Database!GO52)),0.0001)</f>
        <v>1E-4</v>
      </c>
      <c r="CV120" s="99">
        <f>IF(AND(Database!GQ51&gt;1,Database!GQ52&gt;1),100*(Database!GQ51/(Database!GQ52)),0.0001)</f>
        <v>1E-4</v>
      </c>
      <c r="CW120" s="99">
        <f>IF(AND(Database!GS51&gt;1,Database!GS52&gt;1),100*(Database!GS51/(Database!GS52)),0.0001)</f>
        <v>1E-4</v>
      </c>
      <c r="CX120" s="99">
        <f>IF(AND(Database!GU51&gt;1,Database!GU52&gt;1),100*(Database!GU51/(Database!GU52)),0.0001)</f>
        <v>1E-4</v>
      </c>
      <c r="CY120" s="99">
        <f>IF(AND(Database!GW51&gt;1,Database!GW52&gt;1),100*(Database!GW51/(Database!GW52)),0.0001)</f>
        <v>1E-4</v>
      </c>
      <c r="CZ120" s="99">
        <f>IF(AND(Database!GY51&gt;1,Database!GY52&gt;1),100*(Database!GY51/(Database!GY52)),0.0001)</f>
        <v>1E-4</v>
      </c>
      <c r="DA120" s="99">
        <f>IF(AND(Database!HA51&gt;1,Database!HA52&gt;1),100*(Database!HA51/(Database!HA52)),0.0001)</f>
        <v>1E-4</v>
      </c>
      <c r="DB120" s="99">
        <f>IF(AND(Database!HC51&gt;1,Database!HC52&gt;1),100*(Database!HC51/(Database!HC52)),0.0001)</f>
        <v>1E-4</v>
      </c>
      <c r="DC120" s="99">
        <f>IF(AND(Database!HE51&gt;1,Database!HE52&gt;1),100*(Database!HE51/(Database!HE52)),0.0001)</f>
        <v>1E-4</v>
      </c>
      <c r="DD120" s="99">
        <f>IF(AND(Database!HG51&gt;1,Database!HG52&gt;1),100*(Database!HG51/(Database!HG52)),0.0001)</f>
        <v>1E-4</v>
      </c>
      <c r="DE120" s="99">
        <f>IF(AND(Database!HI51&gt;1,Database!HI52&gt;1),100*(Database!HI51/(Database!HI52)),0.0001)</f>
        <v>1E-4</v>
      </c>
      <c r="DF120" s="99">
        <f>IF(AND(Database!HK51&gt;1,Database!HK52&gt;1),100*(Database!HK51/(Database!HK52)),0.0001)</f>
        <v>1E-4</v>
      </c>
      <c r="DG120" s="99">
        <f>IF(AND(Database!HM51&gt;1,Database!HM52&gt;1),100*(Database!HM51/(Database!HM52)),0.0001)</f>
        <v>1E-4</v>
      </c>
      <c r="DH120" s="99">
        <f>IF(AND(Database!HO51&gt;1,Database!HO52&gt;1),100*(Database!HO51/(Database!HO52)),0.0001)</f>
        <v>1E-4</v>
      </c>
      <c r="DI120" s="99">
        <f>IF(AND(Database!HQ51&gt;1,Database!HQ52&gt;1),100*(Database!HQ51/(Database!HQ52)),0.0001)</f>
        <v>1E-4</v>
      </c>
      <c r="DJ120" s="99">
        <f>IF(AND(Database!HS51&gt;1,Database!HS52&gt;1),100*(Database!HS51/(Database!HS52)),0.0001)</f>
        <v>1E-4</v>
      </c>
      <c r="DK120" s="99">
        <f>IF(AND(Database!HU51&gt;1,Database!HU52&gt;1),100*(Database!HU51/(Database!HU52)),0.0001)</f>
        <v>1E-4</v>
      </c>
      <c r="DL120" s="99">
        <f>IF(AND(Database!HW51&gt;1,Database!HW52&gt;1),100*(Database!HW51/(Database!HW52)),0.0001)</f>
        <v>1E-4</v>
      </c>
      <c r="DM120" s="99">
        <f>IF(AND(Database!HY51&gt;1,Database!HY52&gt;1),100*(Database!HY51/(Database!HY52)),0.0001)</f>
        <v>1E-4</v>
      </c>
      <c r="DN120" s="99">
        <f>IF(AND(Database!IA51&gt;1,Database!IA52&gt;1),100*(Database!IA51/(Database!IA52)),0.0001)</f>
        <v>1E-4</v>
      </c>
      <c r="DO120" s="99">
        <f>IF(AND(Database!IC51&gt;1,Database!IC52&gt;1),100*(Database!IC51/(Database!IC52)),0.0001)</f>
        <v>1E-4</v>
      </c>
      <c r="DP120" s="99">
        <f>IF(AND(Database!IE51&gt;1,Database!IE52&gt;1),100*(Database!IE51/(Database!IE52)),0.0001)</f>
        <v>1E-4</v>
      </c>
      <c r="DQ120" s="99">
        <f>IF(AND(Database!IG51&gt;1,Database!IG52&gt;1),100*(Database!IG51/(Database!IG52)),0.0001)</f>
        <v>1E-4</v>
      </c>
      <c r="DR120" s="99">
        <f>IF(AND(Database!II51&gt;1,Database!II52&gt;1),100*(Database!II51/(Database!II52)),0.0001)</f>
        <v>1E-4</v>
      </c>
      <c r="DS120" s="99">
        <f>IF(AND(Database!IK51&gt;1,Database!IK52&gt;1),100*(Database!IK51/(Database!IK52)),0.0001)</f>
        <v>1E-4</v>
      </c>
      <c r="DT120" s="99">
        <f>IF(AND(Database!IM51&gt;1,Database!IM52&gt;1),100*(Database!IM51/(Database!IM52)),0.0001)</f>
        <v>1E-4</v>
      </c>
      <c r="DU120" s="99">
        <f>IF(AND(Database!IO51&gt;1,Database!IO52&gt;1),100*(Database!IO51/(Database!IO52)),0.0001)</f>
        <v>1E-4</v>
      </c>
      <c r="DV120" s="99">
        <f>IF(AND(Database!IQ51&gt;1,Database!IQ52&gt;1),100*(Database!IQ51/(Database!IQ52)),0.0001)</f>
        <v>1E-4</v>
      </c>
      <c r="DW120" s="99">
        <f>IF(AND(Database!IS51&gt;1,Database!IS52&gt;1),100*(Database!IS51/(Database!IS52)),0.0001)</f>
        <v>1E-4</v>
      </c>
      <c r="DX120" s="99">
        <f>IF(AND(Database!IU51&gt;1,Database!IU52&gt;1),100*(Database!IU51/(Database!IU52)),0.0001)</f>
        <v>1E-4</v>
      </c>
      <c r="DY120" s="99">
        <f>IF(AND(Database!IW51&gt;1,Database!IW52&gt;1),100*(Database!IW51/(Database!IW52)),0.0001)</f>
        <v>1E-4</v>
      </c>
      <c r="DZ120" s="99">
        <f>IF(AND(Database!IY51&gt;1,Database!IY52&gt;1),100*(Database!IY51/(Database!IY52)),0.0001)</f>
        <v>1E-4</v>
      </c>
      <c r="EA120" s="99">
        <f>IF(AND(Database!JA51&gt;1,Database!JA52&gt;1),100*(Database!JA51/(Database!JA52)),0.0001)</f>
        <v>1E-4</v>
      </c>
      <c r="EB120" s="99">
        <f>IF(AND(Database!JC51&gt;1,Database!JC52&gt;1),100*(Database!JC51/(Database!JC52)),0.0001)</f>
        <v>1E-4</v>
      </c>
      <c r="EC120" s="99">
        <f>IF(AND(Database!JE51&gt;1,Database!JE52&gt;1),100*(Database!JE51/(Database!JE52)),0.0001)</f>
        <v>1E-4</v>
      </c>
      <c r="ED120" s="99">
        <f>IF(AND(Database!JG51&gt;1,Database!JG52&gt;1),100*(Database!JG51/(Database!JG52)),0.0001)</f>
        <v>1E-4</v>
      </c>
      <c r="EE120" s="99">
        <f>IF(AND(Database!JI51&gt;1,Database!JI52&gt;1),100*(Database!JI51/(Database!JI52)),0.0001)</f>
        <v>1E-4</v>
      </c>
      <c r="EF120" s="99">
        <f>IF(AND(Database!JK51&gt;1,Database!JK52&gt;1),100*(Database!JK51/(Database!JK52)),0.0001)</f>
        <v>1E-4</v>
      </c>
      <c r="EG120" s="99">
        <f>IF(AND(Database!JM51&gt;1,Database!JM52&gt;1),100*(Database!JM51/(Database!JM52)),0.0001)</f>
        <v>1E-4</v>
      </c>
      <c r="EH120" s="99">
        <f>IF(AND(Database!JO51&gt;1,Database!JO52&gt;1),100*(Database!JO51/(Database!JO52)),0.0001)</f>
        <v>1E-4</v>
      </c>
      <c r="EI120" s="99">
        <f>IF(AND(Database!JQ51&gt;1,Database!JQ52&gt;1),100*(Database!JQ51/(Database!JQ52)),0.0001)</f>
        <v>1E-4</v>
      </c>
      <c r="EJ120" s="99">
        <f>IF(AND(Database!JS51&gt;1,Database!JS52&gt;1),100*(Database!JS51/(Database!JS52)),0.0001)</f>
        <v>1E-4</v>
      </c>
      <c r="EK120" s="99">
        <f>IF(AND(Database!JU51&gt;1,Database!JU52&gt;1),100*(Database!JU51/(Database!JU52)),0.0001)</f>
        <v>1E-4</v>
      </c>
      <c r="EL120" s="99">
        <f>IF(AND(Database!JW51&gt;1,Database!JW52&gt;1),100*(Database!JW51/(Database!JW52)),0.0001)</f>
        <v>1E-4</v>
      </c>
      <c r="EM120" s="99">
        <f>IF(AND(Database!JY51&gt;1,Database!JY52&gt;1),100*(Database!JY51/(Database!JY52)),0.0001)</f>
        <v>1E-4</v>
      </c>
      <c r="EN120" s="99">
        <f>IF(AND(Database!KA51&gt;1,Database!KA52&gt;1),100*(Database!KA51/(Database!KA52)),0.0001)</f>
        <v>1E-4</v>
      </c>
      <c r="EO120" s="99">
        <f>IF(AND(Database!KC51&gt;1,Database!KC52&gt;1),100*(Database!KC51/(Database!KC52)),0.0001)</f>
        <v>1E-4</v>
      </c>
      <c r="EP120" s="99">
        <f>IF(AND(Database!KE51&gt;1,Database!KE52&gt;1),100*(Database!KE51/(Database!KE52)),0.0001)</f>
        <v>1E-4</v>
      </c>
      <c r="EQ120" s="99">
        <f>IF(AND(Database!KG51&gt;1,Database!KG52&gt;1),100*(Database!KG51/(Database!KG52)),0.0001)</f>
        <v>1E-4</v>
      </c>
      <c r="ER120" s="99">
        <f>IF(AND(Database!KI51&gt;1,Database!KI52&gt;1),100*(Database!KI51/(Database!KI52)),0.0001)</f>
        <v>1E-4</v>
      </c>
      <c r="ES120" s="99">
        <f>IF(AND(Database!KK51&gt;1,Database!KK52&gt;1),100*(Database!KK51/(Database!KK52)),0.0001)</f>
        <v>1E-4</v>
      </c>
      <c r="ET120" s="99">
        <f>IF(AND(Database!KM51&gt;1,Database!KM52&gt;1),100*(Database!KM51/(Database!KM52)),0.0001)</f>
        <v>1E-4</v>
      </c>
      <c r="EU120" s="99">
        <f>IF(AND(Database!KO51&gt;1,Database!KO52&gt;1),100*(Database!KO51/(Database!KO52)),0.0001)</f>
        <v>1E-4</v>
      </c>
      <c r="EV120" s="99">
        <f>IF(AND(Database!KQ51&gt;1,Database!KQ52&gt;1),100*(Database!KQ51/(Database!KQ52)),0.0001)</f>
        <v>1E-4</v>
      </c>
      <c r="EW120" s="99">
        <f>IF(AND(Database!KS51&gt;1,Database!KS52&gt;1),100*(Database!KS51/(Database!KS52)),0.0001)</f>
        <v>1E-4</v>
      </c>
      <c r="EX120" s="99">
        <f>IF(AND(Database!KU51&gt;1,Database!KU52&gt;1),100*(Database!KU51/(Database!KU52)),0.0001)</f>
        <v>1E-4</v>
      </c>
      <c r="EY120" s="99">
        <f>IF(AND(Database!KW51&gt;1,Database!KW52&gt;1),100*(Database!KW51/(Database!KW52)),0.0001)</f>
        <v>1E-4</v>
      </c>
      <c r="EZ120" s="99">
        <f>IF(AND(Database!KY51&gt;1,Database!KY52&gt;1),100*(Database!KY51/(Database!KY52)),0.0001)</f>
        <v>1E-4</v>
      </c>
      <c r="FA120" s="99">
        <f>IF(AND(Database!LA51&gt;1,Database!LA52&gt;1),100*(Database!LA51/(Database!LA52)),0.0001)</f>
        <v>1E-4</v>
      </c>
      <c r="FB120" s="99">
        <f>IF(AND(Database!LC51&gt;1,Database!LC52&gt;1),100*(Database!LC51/(Database!LC52)),0.0001)</f>
        <v>1E-4</v>
      </c>
      <c r="FC120" s="99">
        <f>IF(AND(Database!LE51&gt;1,Database!LE52&gt;1),100*(Database!LE51/(Database!LE52)),0.0001)</f>
        <v>1E-4</v>
      </c>
      <c r="FD120" s="99">
        <f>IF(AND(Database!LG51&gt;1,Database!LG52&gt;1),100*(Database!LG51/(Database!LG52)),0.0001)</f>
        <v>1E-4</v>
      </c>
      <c r="FE120" s="99">
        <f>IF(AND(Database!LI51&gt;1,Database!LI52&gt;1),100*(Database!LI51/(Database!LI52)),0.0001)</f>
        <v>1E-4</v>
      </c>
      <c r="FF120" s="99">
        <f>IF(AND(Database!LK51&gt;1,Database!LK52&gt;1),100*(Database!LK51/(Database!LK52)),0.0001)</f>
        <v>1E-4</v>
      </c>
      <c r="FG120" s="99">
        <f>IF(AND(Database!LM51&gt;1,Database!LM52&gt;1),100*(Database!LM51/(Database!LM52)),0.0001)</f>
        <v>1E-4</v>
      </c>
      <c r="FH120" s="99">
        <f>IF(AND(Database!LO51&gt;1,Database!LO52&gt;1),100*(Database!LO51/(Database!LO52)),0.0001)</f>
        <v>1E-4</v>
      </c>
      <c r="FI120" s="99">
        <f>IF(AND(Database!LQ51&gt;1,Database!LQ52&gt;1),100*(Database!LQ51/(Database!LQ52)),0.0001)</f>
        <v>1E-4</v>
      </c>
      <c r="FJ120" s="99">
        <f>IF(AND(Database!LS51&gt;1,Database!LS52&gt;1),100*(Database!LS51/(Database!LS52)),0.0001)</f>
        <v>1E-4</v>
      </c>
      <c r="FK120" s="99">
        <f>IF(AND(Database!LU51&gt;1,Database!LU52&gt;1),100*(Database!LU51/(Database!LU52)),0.0001)</f>
        <v>1E-4</v>
      </c>
      <c r="FL120" s="99">
        <f>IF(AND(Database!LW51&gt;1,Database!LW52&gt;1),100*(Database!LW51/(Database!LW52)),0.0001)</f>
        <v>1E-4</v>
      </c>
      <c r="FM120" s="99">
        <f>IF(AND(Database!LY51&gt;1,Database!LY52&gt;1),100*(Database!LY51/(Database!LY52)),0.0001)</f>
        <v>1E-4</v>
      </c>
      <c r="FN120" s="99">
        <f>IF(AND(Database!MA51&gt;1,Database!MA52&gt;1),100*(Database!MA51/(Database!MA52)),0.0001)</f>
        <v>1E-4</v>
      </c>
      <c r="FO120" s="99">
        <f>IF(AND(Database!MC51&gt;1,Database!MC52&gt;1),100*(Database!MC51/(Database!MC52)),0.0001)</f>
        <v>1E-4</v>
      </c>
      <c r="FP120" s="99">
        <f>IF(AND(Database!ME51&gt;1,Database!ME52&gt;1),100*(Database!ME51/(Database!ME52)),0.0001)</f>
        <v>1E-4</v>
      </c>
      <c r="FQ120" s="99">
        <f>IF(AND(Database!MG51&gt;1,Database!MG52&gt;1),100*(Database!MG51/(Database!MG52)),0.0001)</f>
        <v>1E-4</v>
      </c>
      <c r="FR120" s="99">
        <f>IF(AND(Database!MI51&gt;1,Database!MI52&gt;1),100*(Database!MI51/(Database!MI52)),0.0001)</f>
        <v>1E-4</v>
      </c>
      <c r="FS120" s="99">
        <f>IF(AND(Database!MK51&gt;1,Database!MK52&gt;1),100*(Database!MK51/(Database!MK52)),0.0001)</f>
        <v>1E-4</v>
      </c>
      <c r="FT120" s="99">
        <f>IF(AND(Database!MM51&gt;1,Database!MM52&gt;1),100*(Database!MM51/(Database!MM52)),0.0001)</f>
        <v>1E-4</v>
      </c>
      <c r="FU120" s="99">
        <f>IF(AND(Database!MO51&gt;1,Database!MO52&gt;1),100*(Database!MO51/(Database!MO52)),0.0001)</f>
        <v>1E-4</v>
      </c>
      <c r="FV120" s="99">
        <f>IF(AND(Database!MQ51&gt;1,Database!MQ52&gt;1),100*(Database!MQ51/(Database!MQ52)),0.0001)</f>
        <v>1E-4</v>
      </c>
      <c r="FW120" s="99">
        <f>IF(AND(Database!MS51&gt;1,Database!MS52&gt;1),100*(Database!MS51/(Database!MS52)),0.0001)</f>
        <v>1E-4</v>
      </c>
      <c r="FX120" s="99">
        <f>IF(AND(Database!MU51&gt;1,Database!MU52&gt;1),100*(Database!MU51/(Database!MU52)),0.0001)</f>
        <v>1E-4</v>
      </c>
      <c r="FY120" s="99">
        <f>IF(AND(Database!MW51&gt;1,Database!MW52&gt;1),100*(Database!MW51/(Database!MW52)),0.0001)</f>
        <v>1E-4</v>
      </c>
      <c r="FZ120" s="99">
        <f>IF(AND(Database!MY51&gt;1,Database!MY52&gt;1),100*(Database!MY51/(Database!MY52)),0.0001)</f>
        <v>1E-4</v>
      </c>
      <c r="GA120" s="99">
        <f>IF(AND(Database!NA51&gt;1,Database!NA52&gt;1),100*(Database!NA51/(Database!NA52)),0.0001)</f>
        <v>1E-4</v>
      </c>
      <c r="GB120" s="99">
        <f>IF(AND(Database!NC51&gt;1,Database!NC52&gt;1),100*(Database!NC51/(Database!NC52)),0.0001)</f>
        <v>1E-4</v>
      </c>
      <c r="GC120" s="99">
        <f>IF(AND(Database!NE51&gt;1,Database!NE52&gt;1),100*(Database!NE51/(Database!NE52)),0.0001)</f>
        <v>1E-4</v>
      </c>
      <c r="GD120" s="99">
        <f>IF(AND(Database!NG51&gt;1,Database!NG52&gt;1),100*(Database!NG51/(Database!NG52)),0.0001)</f>
        <v>1E-4</v>
      </c>
      <c r="GE120" s="99">
        <f>IF(AND(Database!NI51&gt;1,Database!NI52&gt;1),100*(Database!NI51/(Database!NI52)),0.0001)</f>
        <v>1E-4</v>
      </c>
      <c r="GF120" s="99">
        <f>IF(AND(Database!NK51&gt;1,Database!NK52&gt;1),100*(Database!NK51/(Database!NK52)),0.0001)</f>
        <v>1E-4</v>
      </c>
      <c r="GG120" s="99">
        <f>IF(AND(Database!NM51&gt;1,Database!NM52&gt;1),100*(Database!NM51/(Database!NM52)),0.0001)</f>
        <v>1E-4</v>
      </c>
      <c r="GH120" s="99">
        <f>IF(AND(Database!NO51&gt;1,Database!NO52&gt;1),100*(Database!NO51/(Database!NO52)),0.0001)</f>
        <v>1E-4</v>
      </c>
      <c r="GI120" s="99">
        <f>IF(AND(Database!NQ51&gt;1,Database!NQ52&gt;1),100*(Database!NQ51/(Database!NQ52)),0.0001)</f>
        <v>1E-4</v>
      </c>
      <c r="GJ120" s="99">
        <f>IF(AND(Database!NS51&gt;1,Database!NS52&gt;1),100*(Database!NS51/(Database!NS52)),0.0001)</f>
        <v>1E-4</v>
      </c>
      <c r="GK120" s="99">
        <f>IF(AND(Database!NU51&gt;1,Database!NU52&gt;1),100*(Database!NU51/(Database!NU52)),0.0001)</f>
        <v>1E-4</v>
      </c>
      <c r="GL120" s="99">
        <f>IF(AND(Database!NW51&gt;1,Database!NW52&gt;1),100*(Database!NW51/(Database!NW52)),0.0001)</f>
        <v>1E-4</v>
      </c>
      <c r="GM120" s="99">
        <f>IF(AND(Database!NY51&gt;1,Database!NY52&gt;1),100*(Database!NY51/(Database!NY52)),0.0001)</f>
        <v>1E-4</v>
      </c>
      <c r="GN120" s="99">
        <f>IF(AND(Database!OA51&gt;1,Database!OA52&gt;1),100*(Database!OA51/(Database!OA52)),0.0001)</f>
        <v>1E-4</v>
      </c>
      <c r="GO120" s="99">
        <f>IF(AND(Database!OC51&gt;1,Database!OC52&gt;1),100*(Database!OC51/(Database!OC52)),0.0001)</f>
        <v>1E-4</v>
      </c>
      <c r="GP120" s="99">
        <f>IF(AND(Database!OE51&gt;1,Database!OE52&gt;1),100*(Database!OE51/(Database!OE52)),0.0001)</f>
        <v>1E-4</v>
      </c>
      <c r="GQ120" s="99">
        <f>IF(AND(Database!OG51&gt;1,Database!OG52&gt;1),100*(Database!OG51/(Database!OG52)),0.0001)</f>
        <v>1E-4</v>
      </c>
      <c r="GR120" s="99">
        <f>IF(AND(Database!OI51&gt;1,Database!OI52&gt;1),100*(Database!OI51/(Database!OI52)),0.0001)</f>
        <v>1E-4</v>
      </c>
      <c r="GS120" s="99">
        <f>IF(AND(Database!OK51&gt;1,Database!OK52&gt;1),100*(Database!OK51/(Database!OK52)),0.0001)</f>
        <v>1E-4</v>
      </c>
      <c r="GT120" s="99">
        <f>IF(AND(Database!OM51&gt;1,Database!OM52&gt;1),100*(Database!OM51/(Database!OM52)),0.0001)</f>
        <v>1E-4</v>
      </c>
    </row>
    <row r="121" spans="1:202" ht="18.75" customHeight="1" x14ac:dyDescent="0.4">
      <c r="A121" s="29" t="s">
        <v>131</v>
      </c>
      <c r="B121" s="306"/>
      <c r="C121" s="99">
        <f>IF(AND(Database!E54&gt;1,Database!E59&gt;1),100*(Database!E54/(Database!E59)),0.0001)</f>
        <v>17.309876574370882</v>
      </c>
      <c r="D121" s="99">
        <f>IF(AND(Database!G54&gt;1,Database!G59&gt;1),100*(Database!G54/(Database!G59)),0.0001)</f>
        <v>12.448828414363133</v>
      </c>
      <c r="E121" s="99">
        <f>IF(AND(Database!I54&gt;1,Database!I59&gt;1),100*(Database!I54/(Database!I59)),0.0001)</f>
        <v>12.365678096550511</v>
      </c>
      <c r="F121" s="99">
        <f>IF(AND(Database!K54&gt;1,Database!K59&gt;1),100*(Database!K54/(Database!K59)),0.0001)</f>
        <v>12.385028812056738</v>
      </c>
      <c r="G121" s="99">
        <f>IF(AND(Database!M54&gt;1,Database!M59&gt;1),100*(Database!M54/(Database!M59)),0.0001)</f>
        <v>1E-4</v>
      </c>
      <c r="H121" s="99">
        <f>IF(AND(Database!O54&gt;1,Database!O59&gt;1),100*(Database!O54/(Database!O59)),0.0001)</f>
        <v>1E-4</v>
      </c>
      <c r="I121" s="99">
        <f>IF(AND(Database!Q54&gt;1,Database!Q59&gt;1),100*(Database!Q54/(Database!Q59)),0.0001)</f>
        <v>1E-4</v>
      </c>
      <c r="J121" s="99">
        <f>IF(AND(Database!S54&gt;1,Database!S59&gt;1),100*(Database!S54/(Database!S59)),0.0001)</f>
        <v>1E-4</v>
      </c>
      <c r="K121" s="99">
        <f>IF(AND(Database!U54&gt;1,Database!U59&gt;1),100*(Database!U54/(Database!U59)),0.0001)</f>
        <v>1E-4</v>
      </c>
      <c r="L121" s="99">
        <f>IF(AND(Database!W54&gt;1,Database!W59&gt;1),100*(Database!W54/(Database!W59)),0.0001)</f>
        <v>1E-4</v>
      </c>
      <c r="M121" s="99">
        <f>IF(AND(Database!Y54&gt;1,Database!Y59&gt;1),100*(Database!Y54/(Database!Y59)),0.0001)</f>
        <v>1E-4</v>
      </c>
      <c r="N121" s="99">
        <f>IF(AND(Database!AA54&gt;1,Database!AA59&gt;1),100*(Database!AA54/(Database!AA59)),0.0001)</f>
        <v>1E-4</v>
      </c>
      <c r="O121" s="99">
        <f>IF(AND(Database!AC54&gt;1,Database!AC59&gt;1),100*(Database!AC54/(Database!AC59)),0.0001)</f>
        <v>1E-4</v>
      </c>
      <c r="P121" s="99">
        <f>IF(AND(Database!AE54&gt;1,Database!AE59&gt;1),100*(Database!AE54/(Database!AE59)),0.0001)</f>
        <v>1E-4</v>
      </c>
      <c r="Q121" s="99">
        <f>IF(AND(Database!AG54&gt;1,Database!AG59&gt;1),100*(Database!AG54/(Database!AG59)),0.0001)</f>
        <v>1E-4</v>
      </c>
      <c r="R121" s="99">
        <f>IF(AND(Database!AI54&gt;1,Database!AI59&gt;1),100*(Database!AI54/(Database!AI59)),0.0001)</f>
        <v>1E-4</v>
      </c>
      <c r="S121" s="99">
        <f>IF(AND(Database!AK54&gt;1,Database!AK59&gt;1),100*(Database!AK54/(Database!AK59)),0.0001)</f>
        <v>1E-4</v>
      </c>
      <c r="T121" s="99">
        <f>IF(AND(Database!AM54&gt;1,Database!AM59&gt;1),100*(Database!AM54/(Database!AM59)),0.0001)</f>
        <v>1E-4</v>
      </c>
      <c r="U121" s="99">
        <f>IF(AND(Database!AO54&gt;1,Database!AO59&gt;1),100*(Database!AO54/(Database!AO59)),0.0001)</f>
        <v>1E-4</v>
      </c>
      <c r="V121" s="99">
        <f>IF(AND(Database!AQ54&gt;1,Database!AQ59&gt;1),100*(Database!AQ54/(Database!AQ59)),0.0001)</f>
        <v>1E-4</v>
      </c>
      <c r="W121" s="99">
        <f>IF(AND(Database!AS54&gt;1,Database!AS59&gt;1),100*(Database!AS54/(Database!AS59)),0.0001)</f>
        <v>1E-4</v>
      </c>
      <c r="X121" s="99">
        <f>IF(AND(Database!AU54&gt;1,Database!AU59&gt;1),100*(Database!AU54/(Database!AU59)),0.0001)</f>
        <v>1E-4</v>
      </c>
      <c r="Y121" s="99">
        <f>IF(AND(Database!AW54&gt;1,Database!AW59&gt;1),100*(Database!AW54/(Database!AW59)),0.0001)</f>
        <v>1E-4</v>
      </c>
      <c r="Z121" s="99">
        <f>IF(AND(Database!AY54&gt;1,Database!AY59&gt;1),100*(Database!AY54/(Database!AY59)),0.0001)</f>
        <v>1E-4</v>
      </c>
      <c r="AA121" s="99">
        <f>IF(AND(Database!BA54&gt;1,Database!BA59&gt;1),100*(Database!BA54/(Database!BA59)),0.0001)</f>
        <v>1E-4</v>
      </c>
      <c r="AB121" s="99">
        <f>IF(AND(Database!BC54&gt;1,Database!BC59&gt;1),100*(Database!BC54/(Database!BC59)),0.0001)</f>
        <v>1E-4</v>
      </c>
      <c r="AC121" s="99">
        <f>IF(AND(Database!BE54&gt;1,Database!BE59&gt;1),100*(Database!BE54/(Database!BE59)),0.0001)</f>
        <v>1E-4</v>
      </c>
      <c r="AD121" s="99">
        <f>IF(AND(Database!BG54&gt;1,Database!BG59&gt;1),100*(Database!BG54/(Database!BG59)),0.0001)</f>
        <v>1E-4</v>
      </c>
      <c r="AE121" s="99">
        <f>IF(AND(Database!BI54&gt;1,Database!BI59&gt;1),100*(Database!BI54/(Database!BI59)),0.0001)</f>
        <v>1E-4</v>
      </c>
      <c r="AF121" s="99">
        <f>IF(AND(Database!BK54&gt;1,Database!BK59&gt;1),100*(Database!BK54/(Database!BK59)),0.0001)</f>
        <v>1E-4</v>
      </c>
      <c r="AG121" s="99">
        <f>IF(AND(Database!BM54&gt;1,Database!BM59&gt;1),100*(Database!BM54/(Database!BM59)),0.0001)</f>
        <v>1E-4</v>
      </c>
      <c r="AH121" s="99">
        <f>IF(AND(Database!BO54&gt;1,Database!BO59&gt;1),100*(Database!BO54/(Database!BO59)),0.0001)</f>
        <v>1E-4</v>
      </c>
      <c r="AI121" s="99">
        <f>IF(AND(Database!BQ54&gt;1,Database!BQ59&gt;1),100*(Database!BQ54/(Database!BQ59)),0.0001)</f>
        <v>1E-4</v>
      </c>
      <c r="AJ121" s="99">
        <f>IF(AND(Database!BS54&gt;1,Database!BS59&gt;1),100*(Database!BS54/(Database!BS59)),0.0001)</f>
        <v>1E-4</v>
      </c>
      <c r="AK121" s="99">
        <f>IF(AND(Database!BU54&gt;1,Database!BU59&gt;1),100*(Database!BU54/(Database!BU59)),0.0001)</f>
        <v>1E-4</v>
      </c>
      <c r="AL121" s="99">
        <f>IF(AND(Database!BW54&gt;1,Database!BW59&gt;1),100*(Database!BW54/(Database!BW59)),0.0001)</f>
        <v>1E-4</v>
      </c>
      <c r="AM121" s="99">
        <f>IF(AND(Database!BY54&gt;1,Database!BY59&gt;1),100*(Database!BY54/(Database!BY59)),0.0001)</f>
        <v>1E-4</v>
      </c>
      <c r="AN121" s="99">
        <f>IF(AND(Database!CA54&gt;1,Database!CA59&gt;1),100*(Database!CA54/(Database!CA59)),0.0001)</f>
        <v>1E-4</v>
      </c>
      <c r="AO121" s="99">
        <f>IF(AND(Database!CC54&gt;1,Database!CC59&gt;1),100*(Database!CC54/(Database!CC59)),0.0001)</f>
        <v>1E-4</v>
      </c>
      <c r="AP121" s="99">
        <f>IF(AND(Database!CE54&gt;1,Database!CE59&gt;1),100*(Database!CE54/(Database!CE59)),0.0001)</f>
        <v>1E-4</v>
      </c>
      <c r="AQ121" s="99">
        <f>IF(AND(Database!CG54&gt;1,Database!CG59&gt;1),100*(Database!CG54/(Database!CG59)),0.0001)</f>
        <v>1E-4</v>
      </c>
      <c r="AR121" s="99">
        <f>IF(AND(Database!CI54&gt;1,Database!CI59&gt;1),100*(Database!CI54/(Database!CI59)),0.0001)</f>
        <v>1E-4</v>
      </c>
      <c r="AS121" s="99">
        <f>IF(AND(Database!CK54&gt;1,Database!CK59&gt;1),100*(Database!CK54/(Database!CK59)),0.0001)</f>
        <v>1E-4</v>
      </c>
      <c r="AT121" s="99">
        <f>IF(AND(Database!CM54&gt;1,Database!CM59&gt;1),100*(Database!CM54/(Database!CM59)),0.0001)</f>
        <v>1E-4</v>
      </c>
      <c r="AU121" s="99">
        <f>IF(AND(Database!CO54&gt;1,Database!CO59&gt;1),100*(Database!CO54/(Database!CO59)),0.0001)</f>
        <v>1E-4</v>
      </c>
      <c r="AV121" s="99">
        <f>IF(AND(Database!CQ54&gt;1,Database!CQ59&gt;1),100*(Database!CQ54/(Database!CQ59)),0.0001)</f>
        <v>1E-4</v>
      </c>
      <c r="AW121" s="99">
        <f>IF(AND(Database!CS54&gt;1,Database!CS59&gt;1),100*(Database!CS54/(Database!CS59)),0.0001)</f>
        <v>1E-4</v>
      </c>
      <c r="AX121" s="99">
        <f>IF(AND(Database!CU54&gt;1,Database!CU59&gt;1),100*(Database!CU54/(Database!CU59)),0.0001)</f>
        <v>1E-4</v>
      </c>
      <c r="AY121" s="99">
        <f>IF(AND(Database!CW54&gt;1,Database!CW59&gt;1),100*(Database!CW54/(Database!CW59)),0.0001)</f>
        <v>1E-4</v>
      </c>
      <c r="AZ121" s="99">
        <f>IF(AND(Database!CY54&gt;1,Database!CY59&gt;1),100*(Database!CY54/(Database!CY59)),0.0001)</f>
        <v>1E-4</v>
      </c>
      <c r="BA121" s="99">
        <f>IF(AND(Database!DA54&gt;1,Database!DA59&gt;1),100*(Database!DA54/(Database!DA59)),0.0001)</f>
        <v>1E-4</v>
      </c>
      <c r="BB121" s="99">
        <f>IF(AND(Database!DC54&gt;1,Database!DC59&gt;1),100*(Database!DC54/(Database!DC59)),0.0001)</f>
        <v>1E-4</v>
      </c>
      <c r="BC121" s="99">
        <f>IF(AND(Database!DE54&gt;1,Database!DE59&gt;1),100*(Database!DE54/(Database!DE59)),0.0001)</f>
        <v>1E-4</v>
      </c>
      <c r="BD121" s="99">
        <f>IF(AND(Database!DG54&gt;1,Database!DG59&gt;1),100*(Database!DG54/(Database!DG59)),0.0001)</f>
        <v>1E-4</v>
      </c>
      <c r="BE121" s="99">
        <f>IF(AND(Database!DI54&gt;1,Database!DI59&gt;1),100*(Database!DI54/(Database!DI59)),0.0001)</f>
        <v>1E-4</v>
      </c>
      <c r="BF121" s="99">
        <f>IF(AND(Database!DK54&gt;1,Database!DK59&gt;1),100*(Database!DK54/(Database!DK59)),0.0001)</f>
        <v>1E-4</v>
      </c>
      <c r="BG121" s="99">
        <f>IF(AND(Database!DM54&gt;1,Database!DM59&gt;1),100*(Database!DM54/(Database!DM59)),0.0001)</f>
        <v>1E-4</v>
      </c>
      <c r="BH121" s="99">
        <f>IF(AND(Database!DO54&gt;1,Database!DO59&gt;1),100*(Database!DO54/(Database!DO59)),0.0001)</f>
        <v>1E-4</v>
      </c>
      <c r="BI121" s="99">
        <f>IF(AND(Database!DQ54&gt;1,Database!DQ59&gt;1),100*(Database!DQ54/(Database!DQ59)),0.0001)</f>
        <v>1E-4</v>
      </c>
      <c r="BJ121" s="99">
        <f>IF(AND(Database!DS54&gt;1,Database!DS59&gt;1),100*(Database!DS54/(Database!DS59)),0.0001)</f>
        <v>1E-4</v>
      </c>
      <c r="BK121" s="99">
        <f>IF(AND(Database!DU54&gt;1,Database!DU59&gt;1),100*(Database!DU54/(Database!DU59)),0.0001)</f>
        <v>1E-4</v>
      </c>
      <c r="BL121" s="99">
        <f>IF(AND(Database!DW54&gt;1,Database!DW59&gt;1),100*(Database!DW54/(Database!DW59)),0.0001)</f>
        <v>1E-4</v>
      </c>
      <c r="BM121" s="99">
        <f>IF(AND(Database!DY54&gt;1,Database!DY59&gt;1),100*(Database!DY54/(Database!DY59)),0.0001)</f>
        <v>1E-4</v>
      </c>
      <c r="BN121" s="99">
        <f>IF(AND(Database!EA54&gt;1,Database!EA59&gt;1),100*(Database!EA54/(Database!EA59)),0.0001)</f>
        <v>1E-4</v>
      </c>
      <c r="BO121" s="99">
        <f>IF(AND(Database!EC54&gt;1,Database!EC59&gt;1),100*(Database!EC54/(Database!EC59)),0.0001)</f>
        <v>1E-4</v>
      </c>
      <c r="BP121" s="99">
        <f>IF(AND(Database!EE54&gt;1,Database!EE59&gt;1),100*(Database!EE54/(Database!EE59)),0.0001)</f>
        <v>1E-4</v>
      </c>
      <c r="BQ121" s="99">
        <f>IF(AND(Database!EG54&gt;1,Database!EG59&gt;1),100*(Database!EG54/(Database!EG59)),0.0001)</f>
        <v>1E-4</v>
      </c>
      <c r="BR121" s="99">
        <f>IF(AND(Database!EI54&gt;1,Database!EI59&gt;1),100*(Database!EI54/(Database!EI59)),0.0001)</f>
        <v>1E-4</v>
      </c>
      <c r="BS121" s="99">
        <f>IF(AND(Database!EK54&gt;1,Database!EK59&gt;1),100*(Database!EK54/(Database!EK59)),0.0001)</f>
        <v>1E-4</v>
      </c>
      <c r="BT121" s="99">
        <f>IF(AND(Database!EM54&gt;1,Database!EM59&gt;1),100*(Database!EM54/(Database!EM59)),0.0001)</f>
        <v>1E-4</v>
      </c>
      <c r="BU121" s="99">
        <f>IF(AND(Database!EO54&gt;1,Database!EO59&gt;1),100*(Database!EO54/(Database!EO59)),0.0001)</f>
        <v>1E-4</v>
      </c>
      <c r="BV121" s="99">
        <f>IF(AND(Database!EQ54&gt;1,Database!EQ59&gt;1),100*(Database!EQ54/(Database!EQ59)),0.0001)</f>
        <v>1E-4</v>
      </c>
      <c r="BW121" s="99">
        <f>IF(AND(Database!ES54&gt;1,Database!ES59&gt;1),100*(Database!ES54/(Database!ES59)),0.0001)</f>
        <v>1E-4</v>
      </c>
      <c r="BX121" s="99">
        <f>IF(AND(Database!EU54&gt;1,Database!EU59&gt;1),100*(Database!EU54/(Database!EU59)),0.0001)</f>
        <v>1E-4</v>
      </c>
      <c r="BY121" s="99">
        <f>IF(AND(Database!EW54&gt;1,Database!EW59&gt;1),100*(Database!EW54/(Database!EW59)),0.0001)</f>
        <v>1E-4</v>
      </c>
      <c r="BZ121" s="99">
        <f>IF(AND(Database!EY54&gt;1,Database!EY59&gt;1),100*(Database!EY54/(Database!EY59)),0.0001)</f>
        <v>1E-4</v>
      </c>
      <c r="CA121" s="99">
        <f>IF(AND(Database!FA54&gt;1,Database!FA59&gt;1),100*(Database!FA54/(Database!FA59)),0.0001)</f>
        <v>1E-4</v>
      </c>
      <c r="CB121" s="99">
        <f>IF(AND(Database!FC54&gt;1,Database!FC59&gt;1),100*(Database!FC54/(Database!FC59)),0.0001)</f>
        <v>1E-4</v>
      </c>
      <c r="CC121" s="99">
        <f>IF(AND(Database!FE54&gt;1,Database!FE59&gt;1),100*(Database!FE54/(Database!FE59)),0.0001)</f>
        <v>1E-4</v>
      </c>
      <c r="CD121" s="99">
        <f>IF(AND(Database!FG54&gt;1,Database!FG59&gt;1),100*(Database!FG54/(Database!FG59)),0.0001)</f>
        <v>1E-4</v>
      </c>
      <c r="CE121" s="99">
        <f>IF(AND(Database!FI54&gt;1,Database!FI59&gt;1),100*(Database!FI54/(Database!FI59)),0.0001)</f>
        <v>1E-4</v>
      </c>
      <c r="CF121" s="99">
        <f>IF(AND(Database!FK54&gt;1,Database!FK59&gt;1),100*(Database!FK54/(Database!FK59)),0.0001)</f>
        <v>1E-4</v>
      </c>
      <c r="CG121" s="99">
        <f>IF(AND(Database!FM54&gt;1,Database!FM59&gt;1),100*(Database!FM54/(Database!FM59)),0.0001)</f>
        <v>1E-4</v>
      </c>
      <c r="CH121" s="99">
        <f>IF(AND(Database!FO54&gt;1,Database!FO59&gt;1),100*(Database!FO54/(Database!FO59)),0.0001)</f>
        <v>1E-4</v>
      </c>
      <c r="CI121" s="99">
        <f>IF(AND(Database!FQ54&gt;1,Database!FQ59&gt;1),100*(Database!FQ54/(Database!FQ59)),0.0001)</f>
        <v>1E-4</v>
      </c>
      <c r="CJ121" s="99">
        <f>IF(AND(Database!FS54&gt;1,Database!FS59&gt;1),100*(Database!FS54/(Database!FS59)),0.0001)</f>
        <v>1E-4</v>
      </c>
      <c r="CK121" s="99">
        <f>IF(AND(Database!FU54&gt;1,Database!FU59&gt;1),100*(Database!FU54/(Database!FU59)),0.0001)</f>
        <v>1E-4</v>
      </c>
      <c r="CL121" s="99">
        <f>IF(AND(Database!FW54&gt;1,Database!FW59&gt;1),100*(Database!FW54/(Database!FW59)),0.0001)</f>
        <v>1E-4</v>
      </c>
      <c r="CM121" s="99">
        <f>IF(AND(Database!FY54&gt;1,Database!FY59&gt;1),100*(Database!FY54/(Database!FY59)),0.0001)</f>
        <v>1E-4</v>
      </c>
      <c r="CN121" s="99">
        <f>IF(AND(Database!GA54&gt;1,Database!GA59&gt;1),100*(Database!GA54/(Database!GA59)),0.0001)</f>
        <v>1E-4</v>
      </c>
      <c r="CO121" s="99">
        <f>IF(AND(Database!GC54&gt;1,Database!GC59&gt;1),100*(Database!GC54/(Database!GC59)),0.0001)</f>
        <v>1E-4</v>
      </c>
      <c r="CP121" s="99">
        <f>IF(AND(Database!GE54&gt;1,Database!GE59&gt;1),100*(Database!GE54/(Database!GE59)),0.0001)</f>
        <v>1E-4</v>
      </c>
      <c r="CQ121" s="99">
        <f>IF(AND(Database!GG54&gt;1,Database!GG59&gt;1),100*(Database!GG54/(Database!GG59)),0.0001)</f>
        <v>1E-4</v>
      </c>
      <c r="CR121" s="99">
        <f>IF(AND(Database!GI54&gt;1,Database!GI59&gt;1),100*(Database!GI54/(Database!GI59)),0.0001)</f>
        <v>1E-4</v>
      </c>
      <c r="CS121" s="99">
        <f>IF(AND(Database!GK54&gt;1,Database!GK59&gt;1),100*(Database!GK54/(Database!GK59)),0.0001)</f>
        <v>1E-4</v>
      </c>
      <c r="CT121" s="99">
        <f>IF(AND(Database!GM54&gt;1,Database!GM59&gt;1),100*(Database!GM54/(Database!GM59)),0.0001)</f>
        <v>1E-4</v>
      </c>
      <c r="CU121" s="99">
        <f>IF(AND(Database!GO54&gt;1,Database!GO59&gt;1),100*(Database!GO54/(Database!GO59)),0.0001)</f>
        <v>1E-4</v>
      </c>
      <c r="CV121" s="99">
        <f>IF(AND(Database!GQ54&gt;1,Database!GQ59&gt;1),100*(Database!GQ54/(Database!GQ59)),0.0001)</f>
        <v>1E-4</v>
      </c>
      <c r="CW121" s="99">
        <f>IF(AND(Database!GS54&gt;1,Database!GS59&gt;1),100*(Database!GS54/(Database!GS59)),0.0001)</f>
        <v>1E-4</v>
      </c>
      <c r="CX121" s="99">
        <f>IF(AND(Database!GU54&gt;1,Database!GU59&gt;1),100*(Database!GU54/(Database!GU59)),0.0001)</f>
        <v>1E-4</v>
      </c>
      <c r="CY121" s="99">
        <f>IF(AND(Database!GW54&gt;1,Database!GW59&gt;1),100*(Database!GW54/(Database!GW59)),0.0001)</f>
        <v>1E-4</v>
      </c>
      <c r="CZ121" s="99">
        <f>IF(AND(Database!GY54&gt;1,Database!GY59&gt;1),100*(Database!GY54/(Database!GY59)),0.0001)</f>
        <v>1E-4</v>
      </c>
      <c r="DA121" s="99">
        <f>IF(AND(Database!HA54&gt;1,Database!HA59&gt;1),100*(Database!HA54/(Database!HA59)),0.0001)</f>
        <v>1E-4</v>
      </c>
      <c r="DB121" s="99">
        <f>IF(AND(Database!HC54&gt;1,Database!HC59&gt;1),100*(Database!HC54/(Database!HC59)),0.0001)</f>
        <v>1E-4</v>
      </c>
      <c r="DC121" s="99">
        <f>IF(AND(Database!HE54&gt;1,Database!HE59&gt;1),100*(Database!HE54/(Database!HE59)),0.0001)</f>
        <v>1E-4</v>
      </c>
      <c r="DD121" s="99">
        <f>IF(AND(Database!HG54&gt;1,Database!HG59&gt;1),100*(Database!HG54/(Database!HG59)),0.0001)</f>
        <v>1E-4</v>
      </c>
      <c r="DE121" s="99">
        <f>IF(AND(Database!HI54&gt;1,Database!HI59&gt;1),100*(Database!HI54/(Database!HI59)),0.0001)</f>
        <v>1E-4</v>
      </c>
      <c r="DF121" s="99">
        <f>IF(AND(Database!HK54&gt;1,Database!HK59&gt;1),100*(Database!HK54/(Database!HK59)),0.0001)</f>
        <v>1E-4</v>
      </c>
      <c r="DG121" s="99">
        <f>IF(AND(Database!HM54&gt;1,Database!HM59&gt;1),100*(Database!HM54/(Database!HM59)),0.0001)</f>
        <v>1E-4</v>
      </c>
      <c r="DH121" s="99">
        <f>IF(AND(Database!HO54&gt;1,Database!HO59&gt;1),100*(Database!HO54/(Database!HO59)),0.0001)</f>
        <v>1E-4</v>
      </c>
      <c r="DI121" s="99">
        <f>IF(AND(Database!HQ54&gt;1,Database!HQ59&gt;1),100*(Database!HQ54/(Database!HQ59)),0.0001)</f>
        <v>1E-4</v>
      </c>
      <c r="DJ121" s="99">
        <f>IF(AND(Database!HS54&gt;1,Database!HS59&gt;1),100*(Database!HS54/(Database!HS59)),0.0001)</f>
        <v>1E-4</v>
      </c>
      <c r="DK121" s="99">
        <f>IF(AND(Database!HU54&gt;1,Database!HU59&gt;1),100*(Database!HU54/(Database!HU59)),0.0001)</f>
        <v>1E-4</v>
      </c>
      <c r="DL121" s="99">
        <f>IF(AND(Database!HW54&gt;1,Database!HW59&gt;1),100*(Database!HW54/(Database!HW59)),0.0001)</f>
        <v>1E-4</v>
      </c>
      <c r="DM121" s="99">
        <f>IF(AND(Database!HY54&gt;1,Database!HY59&gt;1),100*(Database!HY54/(Database!HY59)),0.0001)</f>
        <v>1E-4</v>
      </c>
      <c r="DN121" s="99">
        <f>IF(AND(Database!IA54&gt;1,Database!IA59&gt;1),100*(Database!IA54/(Database!IA59)),0.0001)</f>
        <v>1E-4</v>
      </c>
      <c r="DO121" s="99">
        <f>IF(AND(Database!IC54&gt;1,Database!IC59&gt;1),100*(Database!IC54/(Database!IC59)),0.0001)</f>
        <v>1E-4</v>
      </c>
      <c r="DP121" s="99">
        <f>IF(AND(Database!IE54&gt;1,Database!IE59&gt;1),100*(Database!IE54/(Database!IE59)),0.0001)</f>
        <v>1E-4</v>
      </c>
      <c r="DQ121" s="99">
        <f>IF(AND(Database!IG54&gt;1,Database!IG59&gt;1),100*(Database!IG54/(Database!IG59)),0.0001)</f>
        <v>1E-4</v>
      </c>
      <c r="DR121" s="99">
        <f>IF(AND(Database!II54&gt;1,Database!II59&gt;1),100*(Database!II54/(Database!II59)),0.0001)</f>
        <v>1E-4</v>
      </c>
      <c r="DS121" s="99">
        <f>IF(AND(Database!IK54&gt;1,Database!IK59&gt;1),100*(Database!IK54/(Database!IK59)),0.0001)</f>
        <v>1E-4</v>
      </c>
      <c r="DT121" s="99">
        <f>IF(AND(Database!IM54&gt;1,Database!IM59&gt;1),100*(Database!IM54/(Database!IM59)),0.0001)</f>
        <v>1E-4</v>
      </c>
      <c r="DU121" s="99">
        <f>IF(AND(Database!IO54&gt;1,Database!IO59&gt;1),100*(Database!IO54/(Database!IO59)),0.0001)</f>
        <v>1E-4</v>
      </c>
      <c r="DV121" s="99">
        <f>IF(AND(Database!IQ54&gt;1,Database!IQ59&gt;1),100*(Database!IQ54/(Database!IQ59)),0.0001)</f>
        <v>1E-4</v>
      </c>
      <c r="DW121" s="99">
        <f>IF(AND(Database!IS54&gt;1,Database!IS59&gt;1),100*(Database!IS54/(Database!IS59)),0.0001)</f>
        <v>1E-4</v>
      </c>
      <c r="DX121" s="99">
        <f>IF(AND(Database!IU54&gt;1,Database!IU59&gt;1),100*(Database!IU54/(Database!IU59)),0.0001)</f>
        <v>1E-4</v>
      </c>
      <c r="DY121" s="99">
        <f>IF(AND(Database!IW54&gt;1,Database!IW59&gt;1),100*(Database!IW54/(Database!IW59)),0.0001)</f>
        <v>1E-4</v>
      </c>
      <c r="DZ121" s="99">
        <f>IF(AND(Database!IY54&gt;1,Database!IY59&gt;1),100*(Database!IY54/(Database!IY59)),0.0001)</f>
        <v>1E-4</v>
      </c>
      <c r="EA121" s="99">
        <f>IF(AND(Database!JA54&gt;1,Database!JA59&gt;1),100*(Database!JA54/(Database!JA59)),0.0001)</f>
        <v>1E-4</v>
      </c>
      <c r="EB121" s="99">
        <f>IF(AND(Database!JC54&gt;1,Database!JC59&gt;1),100*(Database!JC54/(Database!JC59)),0.0001)</f>
        <v>1E-4</v>
      </c>
      <c r="EC121" s="99">
        <f>IF(AND(Database!JE54&gt;1,Database!JE59&gt;1),100*(Database!JE54/(Database!JE59)),0.0001)</f>
        <v>1E-4</v>
      </c>
      <c r="ED121" s="99">
        <f>IF(AND(Database!JG54&gt;1,Database!JG59&gt;1),100*(Database!JG54/(Database!JG59)),0.0001)</f>
        <v>1E-4</v>
      </c>
      <c r="EE121" s="99">
        <f>IF(AND(Database!JI54&gt;1,Database!JI59&gt;1),100*(Database!JI54/(Database!JI59)),0.0001)</f>
        <v>1E-4</v>
      </c>
      <c r="EF121" s="99">
        <f>IF(AND(Database!JK54&gt;1,Database!JK59&gt;1),100*(Database!JK54/(Database!JK59)),0.0001)</f>
        <v>1E-4</v>
      </c>
      <c r="EG121" s="99">
        <f>IF(AND(Database!JM54&gt;1,Database!JM59&gt;1),100*(Database!JM54/(Database!JM59)),0.0001)</f>
        <v>1E-4</v>
      </c>
      <c r="EH121" s="99">
        <f>IF(AND(Database!JO54&gt;1,Database!JO59&gt;1),100*(Database!JO54/(Database!JO59)),0.0001)</f>
        <v>1E-4</v>
      </c>
      <c r="EI121" s="99">
        <f>IF(AND(Database!JQ54&gt;1,Database!JQ59&gt;1),100*(Database!JQ54/(Database!JQ59)),0.0001)</f>
        <v>1E-4</v>
      </c>
      <c r="EJ121" s="99">
        <f>IF(AND(Database!JS54&gt;1,Database!JS59&gt;1),100*(Database!JS54/(Database!JS59)),0.0001)</f>
        <v>1E-4</v>
      </c>
      <c r="EK121" s="99">
        <f>IF(AND(Database!JU54&gt;1,Database!JU59&gt;1),100*(Database!JU54/(Database!JU59)),0.0001)</f>
        <v>1E-4</v>
      </c>
      <c r="EL121" s="99">
        <f>IF(AND(Database!JW54&gt;1,Database!JW59&gt;1),100*(Database!JW54/(Database!JW59)),0.0001)</f>
        <v>1E-4</v>
      </c>
      <c r="EM121" s="99">
        <f>IF(AND(Database!JY54&gt;1,Database!JY59&gt;1),100*(Database!JY54/(Database!JY59)),0.0001)</f>
        <v>1E-4</v>
      </c>
      <c r="EN121" s="99">
        <f>IF(AND(Database!KA54&gt;1,Database!KA59&gt;1),100*(Database!KA54/(Database!KA59)),0.0001)</f>
        <v>1E-4</v>
      </c>
      <c r="EO121" s="99">
        <f>IF(AND(Database!KC54&gt;1,Database!KC59&gt;1),100*(Database!KC54/(Database!KC59)),0.0001)</f>
        <v>1E-4</v>
      </c>
      <c r="EP121" s="99">
        <f>IF(AND(Database!KE54&gt;1,Database!KE59&gt;1),100*(Database!KE54/(Database!KE59)),0.0001)</f>
        <v>1E-4</v>
      </c>
      <c r="EQ121" s="99">
        <f>IF(AND(Database!KG54&gt;1,Database!KG59&gt;1),100*(Database!KG54/(Database!KG59)),0.0001)</f>
        <v>1E-4</v>
      </c>
      <c r="ER121" s="99">
        <f>IF(AND(Database!KI54&gt;1,Database!KI59&gt;1),100*(Database!KI54/(Database!KI59)),0.0001)</f>
        <v>1E-4</v>
      </c>
      <c r="ES121" s="99">
        <f>IF(AND(Database!KK54&gt;1,Database!KK59&gt;1),100*(Database!KK54/(Database!KK59)),0.0001)</f>
        <v>1E-4</v>
      </c>
      <c r="ET121" s="99">
        <f>IF(AND(Database!KM54&gt;1,Database!KM59&gt;1),100*(Database!KM54/(Database!KM59)),0.0001)</f>
        <v>1E-4</v>
      </c>
      <c r="EU121" s="99">
        <f>IF(AND(Database!KO54&gt;1,Database!KO59&gt;1),100*(Database!KO54/(Database!KO59)),0.0001)</f>
        <v>1E-4</v>
      </c>
      <c r="EV121" s="99">
        <f>IF(AND(Database!KQ54&gt;1,Database!KQ59&gt;1),100*(Database!KQ54/(Database!KQ59)),0.0001)</f>
        <v>1E-4</v>
      </c>
      <c r="EW121" s="99">
        <f>IF(AND(Database!KS54&gt;1,Database!KS59&gt;1),100*(Database!KS54/(Database!KS59)),0.0001)</f>
        <v>1E-4</v>
      </c>
      <c r="EX121" s="99">
        <f>IF(AND(Database!KU54&gt;1,Database!KU59&gt;1),100*(Database!KU54/(Database!KU59)),0.0001)</f>
        <v>1E-4</v>
      </c>
      <c r="EY121" s="99">
        <f>IF(AND(Database!KW54&gt;1,Database!KW59&gt;1),100*(Database!KW54/(Database!KW59)),0.0001)</f>
        <v>1E-4</v>
      </c>
      <c r="EZ121" s="99">
        <f>IF(AND(Database!KY54&gt;1,Database!KY59&gt;1),100*(Database!KY54/(Database!KY59)),0.0001)</f>
        <v>1E-4</v>
      </c>
      <c r="FA121" s="99">
        <f>IF(AND(Database!LA54&gt;1,Database!LA59&gt;1),100*(Database!LA54/(Database!LA59)),0.0001)</f>
        <v>1E-4</v>
      </c>
      <c r="FB121" s="99">
        <f>IF(AND(Database!LC54&gt;1,Database!LC59&gt;1),100*(Database!LC54/(Database!LC59)),0.0001)</f>
        <v>1E-4</v>
      </c>
      <c r="FC121" s="99">
        <f>IF(AND(Database!LE54&gt;1,Database!LE59&gt;1),100*(Database!LE54/(Database!LE59)),0.0001)</f>
        <v>1E-4</v>
      </c>
      <c r="FD121" s="99">
        <f>IF(AND(Database!LG54&gt;1,Database!LG59&gt;1),100*(Database!LG54/(Database!LG59)),0.0001)</f>
        <v>1E-4</v>
      </c>
      <c r="FE121" s="99">
        <f>IF(AND(Database!LI54&gt;1,Database!LI59&gt;1),100*(Database!LI54/(Database!LI59)),0.0001)</f>
        <v>1E-4</v>
      </c>
      <c r="FF121" s="99">
        <f>IF(AND(Database!LK54&gt;1,Database!LK59&gt;1),100*(Database!LK54/(Database!LK59)),0.0001)</f>
        <v>1E-4</v>
      </c>
      <c r="FG121" s="99">
        <f>IF(AND(Database!LM54&gt;1,Database!LM59&gt;1),100*(Database!LM54/(Database!LM59)),0.0001)</f>
        <v>1E-4</v>
      </c>
      <c r="FH121" s="99">
        <f>IF(AND(Database!LO54&gt;1,Database!LO59&gt;1),100*(Database!LO54/(Database!LO59)),0.0001)</f>
        <v>1E-4</v>
      </c>
      <c r="FI121" s="99">
        <f>IF(AND(Database!LQ54&gt;1,Database!LQ59&gt;1),100*(Database!LQ54/(Database!LQ59)),0.0001)</f>
        <v>1E-4</v>
      </c>
      <c r="FJ121" s="99">
        <f>IF(AND(Database!LS54&gt;1,Database!LS59&gt;1),100*(Database!LS54/(Database!LS59)),0.0001)</f>
        <v>1E-4</v>
      </c>
      <c r="FK121" s="99">
        <f>IF(AND(Database!LU54&gt;1,Database!LU59&gt;1),100*(Database!LU54/(Database!LU59)),0.0001)</f>
        <v>1E-4</v>
      </c>
      <c r="FL121" s="99">
        <f>IF(AND(Database!LW54&gt;1,Database!LW59&gt;1),100*(Database!LW54/(Database!LW59)),0.0001)</f>
        <v>1E-4</v>
      </c>
      <c r="FM121" s="99">
        <f>IF(AND(Database!LY54&gt;1,Database!LY59&gt;1),100*(Database!LY54/(Database!LY59)),0.0001)</f>
        <v>1E-4</v>
      </c>
      <c r="FN121" s="99">
        <f>IF(AND(Database!MA54&gt;1,Database!MA59&gt;1),100*(Database!MA54/(Database!MA59)),0.0001)</f>
        <v>1E-4</v>
      </c>
      <c r="FO121" s="99">
        <f>IF(AND(Database!MC54&gt;1,Database!MC59&gt;1),100*(Database!MC54/(Database!MC59)),0.0001)</f>
        <v>1E-4</v>
      </c>
      <c r="FP121" s="99">
        <f>IF(AND(Database!ME54&gt;1,Database!ME59&gt;1),100*(Database!ME54/(Database!ME59)),0.0001)</f>
        <v>1E-4</v>
      </c>
      <c r="FQ121" s="99">
        <f>IF(AND(Database!MG54&gt;1,Database!MG59&gt;1),100*(Database!MG54/(Database!MG59)),0.0001)</f>
        <v>1E-4</v>
      </c>
      <c r="FR121" s="99">
        <f>IF(AND(Database!MI54&gt;1,Database!MI59&gt;1),100*(Database!MI54/(Database!MI59)),0.0001)</f>
        <v>1E-4</v>
      </c>
      <c r="FS121" s="99">
        <f>IF(AND(Database!MK54&gt;1,Database!MK59&gt;1),100*(Database!MK54/(Database!MK59)),0.0001)</f>
        <v>1E-4</v>
      </c>
      <c r="FT121" s="99">
        <f>IF(AND(Database!MM54&gt;1,Database!MM59&gt;1),100*(Database!MM54/(Database!MM59)),0.0001)</f>
        <v>1E-4</v>
      </c>
      <c r="FU121" s="99">
        <f>IF(AND(Database!MO54&gt;1,Database!MO59&gt;1),100*(Database!MO54/(Database!MO59)),0.0001)</f>
        <v>1E-4</v>
      </c>
      <c r="FV121" s="99">
        <f>IF(AND(Database!MQ54&gt;1,Database!MQ59&gt;1),100*(Database!MQ54/(Database!MQ59)),0.0001)</f>
        <v>1E-4</v>
      </c>
      <c r="FW121" s="99">
        <f>IF(AND(Database!MS54&gt;1,Database!MS59&gt;1),100*(Database!MS54/(Database!MS59)),0.0001)</f>
        <v>1E-4</v>
      </c>
      <c r="FX121" s="99">
        <f>IF(AND(Database!MU54&gt;1,Database!MU59&gt;1),100*(Database!MU54/(Database!MU59)),0.0001)</f>
        <v>1E-4</v>
      </c>
      <c r="FY121" s="99">
        <f>IF(AND(Database!MW54&gt;1,Database!MW59&gt;1),100*(Database!MW54/(Database!MW59)),0.0001)</f>
        <v>1E-4</v>
      </c>
      <c r="FZ121" s="99">
        <f>IF(AND(Database!MY54&gt;1,Database!MY59&gt;1),100*(Database!MY54/(Database!MY59)),0.0001)</f>
        <v>1E-4</v>
      </c>
      <c r="GA121" s="99">
        <f>IF(AND(Database!NA54&gt;1,Database!NA59&gt;1),100*(Database!NA54/(Database!NA59)),0.0001)</f>
        <v>1E-4</v>
      </c>
      <c r="GB121" s="99">
        <f>IF(AND(Database!NC54&gt;1,Database!NC59&gt;1),100*(Database!NC54/(Database!NC59)),0.0001)</f>
        <v>1E-4</v>
      </c>
      <c r="GC121" s="99">
        <f>IF(AND(Database!NE54&gt;1,Database!NE59&gt;1),100*(Database!NE54/(Database!NE59)),0.0001)</f>
        <v>1E-4</v>
      </c>
      <c r="GD121" s="99">
        <f>IF(AND(Database!NG54&gt;1,Database!NG59&gt;1),100*(Database!NG54/(Database!NG59)),0.0001)</f>
        <v>1E-4</v>
      </c>
      <c r="GE121" s="99">
        <f>IF(AND(Database!NI54&gt;1,Database!NI59&gt;1),100*(Database!NI54/(Database!NI59)),0.0001)</f>
        <v>1E-4</v>
      </c>
      <c r="GF121" s="99">
        <f>IF(AND(Database!NK54&gt;1,Database!NK59&gt;1),100*(Database!NK54/(Database!NK59)),0.0001)</f>
        <v>1E-4</v>
      </c>
      <c r="GG121" s="99">
        <f>IF(AND(Database!NM54&gt;1,Database!NM59&gt;1),100*(Database!NM54/(Database!NM59)),0.0001)</f>
        <v>1E-4</v>
      </c>
      <c r="GH121" s="99">
        <f>IF(AND(Database!NO54&gt;1,Database!NO59&gt;1),100*(Database!NO54/(Database!NO59)),0.0001)</f>
        <v>1E-4</v>
      </c>
      <c r="GI121" s="99">
        <f>IF(AND(Database!NQ54&gt;1,Database!NQ59&gt;1),100*(Database!NQ54/(Database!NQ59)),0.0001)</f>
        <v>1E-4</v>
      </c>
      <c r="GJ121" s="99">
        <f>IF(AND(Database!NS54&gt;1,Database!NS59&gt;1),100*(Database!NS54/(Database!NS59)),0.0001)</f>
        <v>1E-4</v>
      </c>
      <c r="GK121" s="99">
        <f>IF(AND(Database!NU54&gt;1,Database!NU59&gt;1),100*(Database!NU54/(Database!NU59)),0.0001)</f>
        <v>1E-4</v>
      </c>
      <c r="GL121" s="99">
        <f>IF(AND(Database!NW54&gt;1,Database!NW59&gt;1),100*(Database!NW54/(Database!NW59)),0.0001)</f>
        <v>1E-4</v>
      </c>
      <c r="GM121" s="99">
        <f>IF(AND(Database!NY54&gt;1,Database!NY59&gt;1),100*(Database!NY54/(Database!NY59)),0.0001)</f>
        <v>1E-4</v>
      </c>
      <c r="GN121" s="99">
        <f>IF(AND(Database!OA54&gt;1,Database!OA59&gt;1),100*(Database!OA54/(Database!OA59)),0.0001)</f>
        <v>1E-4</v>
      </c>
      <c r="GO121" s="99">
        <f>IF(AND(Database!OC54&gt;1,Database!OC59&gt;1),100*(Database!OC54/(Database!OC59)),0.0001)</f>
        <v>1E-4</v>
      </c>
      <c r="GP121" s="99">
        <f>IF(AND(Database!OE54&gt;1,Database!OE59&gt;1),100*(Database!OE54/(Database!OE59)),0.0001)</f>
        <v>1E-4</v>
      </c>
      <c r="GQ121" s="99">
        <f>IF(AND(Database!OG54&gt;1,Database!OG59&gt;1),100*(Database!OG54/(Database!OG59)),0.0001)</f>
        <v>1E-4</v>
      </c>
      <c r="GR121" s="99">
        <f>IF(AND(Database!OI54&gt;1,Database!OI59&gt;1),100*(Database!OI54/(Database!OI59)),0.0001)</f>
        <v>1E-4</v>
      </c>
      <c r="GS121" s="99">
        <f>IF(AND(Database!OK54&gt;1,Database!OK59&gt;1),100*(Database!OK54/(Database!OK59)),0.0001)</f>
        <v>1E-4</v>
      </c>
      <c r="GT121" s="99">
        <f>IF(AND(Database!OM54&gt;1,Database!OM59&gt;1),100*(Database!OM54/(Database!OM59)),0.0001)</f>
        <v>1E-4</v>
      </c>
    </row>
    <row r="122" spans="1:202" ht="18.75" customHeight="1" x14ac:dyDescent="0.4">
      <c r="A122" s="29" t="s">
        <v>132</v>
      </c>
      <c r="B122" s="306"/>
      <c r="C122" s="99">
        <f>IF(AND(Database!E55&gt;1,Database!E63&gt;1),100*(Database!E55/(Database!E63)),0.0001)</f>
        <v>697.88444040036404</v>
      </c>
      <c r="D122" s="99">
        <f>IF(AND(Database!G55&gt;1,Database!G63&gt;1),100*(Database!G55/(Database!G63)),0.0001)</f>
        <v>169.95412844036696</v>
      </c>
      <c r="E122" s="99">
        <f>IF(AND(Database!I55&gt;1,Database!I63&gt;1),100*(Database!I55/(Database!I63)),0.0001)</f>
        <v>170.030935808198</v>
      </c>
      <c r="F122" s="99">
        <f>IF(AND(Database!K55&gt;1,Database!K63&gt;1),100*(Database!K55/(Database!K63)),0.0001)</f>
        <v>168.28296247093988</v>
      </c>
      <c r="G122" s="99">
        <f>IF(AND(Database!M55&gt;1,Database!M63&gt;1),100*(Database!M55/(Database!M63)),0.0001)</f>
        <v>1E-4</v>
      </c>
      <c r="H122" s="99">
        <f>IF(AND(Database!O55&gt;1,Database!O63&gt;1),100*(Database!O55/(Database!O63)),0.0001)</f>
        <v>1E-4</v>
      </c>
      <c r="I122" s="99">
        <f>IF(AND(Database!Q55&gt;1,Database!Q63&gt;1),100*(Database!Q55/(Database!Q63)),0.0001)</f>
        <v>1E-4</v>
      </c>
      <c r="J122" s="99">
        <f>IF(AND(Database!S55&gt;1,Database!S63&gt;1),100*(Database!S55/(Database!S63)),0.0001)</f>
        <v>1E-4</v>
      </c>
      <c r="K122" s="99">
        <f>IF(AND(Database!U55&gt;1,Database!U63&gt;1),100*(Database!U55/(Database!U63)),0.0001)</f>
        <v>1E-4</v>
      </c>
      <c r="L122" s="99">
        <f>IF(AND(Database!W55&gt;1,Database!W63&gt;1),100*(Database!W55/(Database!W63)),0.0001)</f>
        <v>1E-4</v>
      </c>
      <c r="M122" s="99">
        <f>IF(AND(Database!Y55&gt;1,Database!Y63&gt;1),100*(Database!Y55/(Database!Y63)),0.0001)</f>
        <v>1E-4</v>
      </c>
      <c r="N122" s="99">
        <f>IF(AND(Database!AA55&gt;1,Database!AA63&gt;1),100*(Database!AA55/(Database!AA63)),0.0001)</f>
        <v>1E-4</v>
      </c>
      <c r="O122" s="99">
        <f>IF(AND(Database!AC55&gt;1,Database!AC63&gt;1),100*(Database!AC55/(Database!AC63)),0.0001)</f>
        <v>1E-4</v>
      </c>
      <c r="P122" s="99">
        <f>IF(AND(Database!AE55&gt;1,Database!AE63&gt;1),100*(Database!AE55/(Database!AE63)),0.0001)</f>
        <v>1E-4</v>
      </c>
      <c r="Q122" s="99">
        <f>IF(AND(Database!AG55&gt;1,Database!AG63&gt;1),100*(Database!AG55/(Database!AG63)),0.0001)</f>
        <v>1E-4</v>
      </c>
      <c r="R122" s="99">
        <f>IF(AND(Database!AI55&gt;1,Database!AI63&gt;1),100*(Database!AI55/(Database!AI63)),0.0001)</f>
        <v>1E-4</v>
      </c>
      <c r="S122" s="99">
        <f>IF(AND(Database!AK55&gt;1,Database!AK63&gt;1),100*(Database!AK55/(Database!AK63)),0.0001)</f>
        <v>1E-4</v>
      </c>
      <c r="T122" s="99">
        <f>IF(AND(Database!AM55&gt;1,Database!AM63&gt;1),100*(Database!AM55/(Database!AM63)),0.0001)</f>
        <v>1E-4</v>
      </c>
      <c r="U122" s="99">
        <f>IF(AND(Database!AO55&gt;1,Database!AO63&gt;1),100*(Database!AO55/(Database!AO63)),0.0001)</f>
        <v>1E-4</v>
      </c>
      <c r="V122" s="99">
        <f>IF(AND(Database!AQ55&gt;1,Database!AQ63&gt;1),100*(Database!AQ55/(Database!AQ63)),0.0001)</f>
        <v>1E-4</v>
      </c>
      <c r="W122" s="99">
        <f>IF(AND(Database!AS55&gt;1,Database!AS63&gt;1),100*(Database!AS55/(Database!AS63)),0.0001)</f>
        <v>1E-4</v>
      </c>
      <c r="X122" s="99">
        <f>IF(AND(Database!AU55&gt;1,Database!AU63&gt;1),100*(Database!AU55/(Database!AU63)),0.0001)</f>
        <v>1E-4</v>
      </c>
      <c r="Y122" s="99">
        <f>IF(AND(Database!AW55&gt;1,Database!AW63&gt;1),100*(Database!AW55/(Database!AW63)),0.0001)</f>
        <v>1E-4</v>
      </c>
      <c r="Z122" s="99">
        <f>IF(AND(Database!AY55&gt;1,Database!AY63&gt;1),100*(Database!AY55/(Database!AY63)),0.0001)</f>
        <v>1E-4</v>
      </c>
      <c r="AA122" s="99">
        <f>IF(AND(Database!BA55&gt;1,Database!BA63&gt;1),100*(Database!BA55/(Database!BA63)),0.0001)</f>
        <v>1E-4</v>
      </c>
      <c r="AB122" s="99">
        <f>IF(AND(Database!BC55&gt;1,Database!BC63&gt;1),100*(Database!BC55/(Database!BC63)),0.0001)</f>
        <v>1E-4</v>
      </c>
      <c r="AC122" s="99">
        <f>IF(AND(Database!BE55&gt;1,Database!BE63&gt;1),100*(Database!BE55/(Database!BE63)),0.0001)</f>
        <v>1E-4</v>
      </c>
      <c r="AD122" s="99">
        <f>IF(AND(Database!BG55&gt;1,Database!BG63&gt;1),100*(Database!BG55/(Database!BG63)),0.0001)</f>
        <v>1E-4</v>
      </c>
      <c r="AE122" s="99">
        <f>IF(AND(Database!BI55&gt;1,Database!BI63&gt;1),100*(Database!BI55/(Database!BI63)),0.0001)</f>
        <v>1E-4</v>
      </c>
      <c r="AF122" s="99">
        <f>IF(AND(Database!BK55&gt;1,Database!BK63&gt;1),100*(Database!BK55/(Database!BK63)),0.0001)</f>
        <v>1E-4</v>
      </c>
      <c r="AG122" s="99">
        <f>IF(AND(Database!BM55&gt;1,Database!BM63&gt;1),100*(Database!BM55/(Database!BM63)),0.0001)</f>
        <v>1E-4</v>
      </c>
      <c r="AH122" s="99">
        <f>IF(AND(Database!BO55&gt;1,Database!BO63&gt;1),100*(Database!BO55/(Database!BO63)),0.0001)</f>
        <v>1E-4</v>
      </c>
      <c r="AI122" s="99">
        <f>IF(AND(Database!BQ55&gt;1,Database!BQ63&gt;1),100*(Database!BQ55/(Database!BQ63)),0.0001)</f>
        <v>1E-4</v>
      </c>
      <c r="AJ122" s="99">
        <f>IF(AND(Database!BS55&gt;1,Database!BS63&gt;1),100*(Database!BS55/(Database!BS63)),0.0001)</f>
        <v>1E-4</v>
      </c>
      <c r="AK122" s="99">
        <f>IF(AND(Database!BU55&gt;1,Database!BU63&gt;1),100*(Database!BU55/(Database!BU63)),0.0001)</f>
        <v>1E-4</v>
      </c>
      <c r="AL122" s="99">
        <f>IF(AND(Database!BW55&gt;1,Database!BW63&gt;1),100*(Database!BW55/(Database!BW63)),0.0001)</f>
        <v>1E-4</v>
      </c>
      <c r="AM122" s="99">
        <f>IF(AND(Database!BY55&gt;1,Database!BY63&gt;1),100*(Database!BY55/(Database!BY63)),0.0001)</f>
        <v>1E-4</v>
      </c>
      <c r="AN122" s="99">
        <f>IF(AND(Database!CA55&gt;1,Database!CA63&gt;1),100*(Database!CA55/(Database!CA63)),0.0001)</f>
        <v>1E-4</v>
      </c>
      <c r="AO122" s="99">
        <f>IF(AND(Database!CC55&gt;1,Database!CC63&gt;1),100*(Database!CC55/(Database!CC63)),0.0001)</f>
        <v>1E-4</v>
      </c>
      <c r="AP122" s="99">
        <f>IF(AND(Database!CE55&gt;1,Database!CE63&gt;1),100*(Database!CE55/(Database!CE63)),0.0001)</f>
        <v>1E-4</v>
      </c>
      <c r="AQ122" s="99">
        <f>IF(AND(Database!CG55&gt;1,Database!CG63&gt;1),100*(Database!CG55/(Database!CG63)),0.0001)</f>
        <v>1E-4</v>
      </c>
      <c r="AR122" s="99">
        <f>IF(AND(Database!CI55&gt;1,Database!CI63&gt;1),100*(Database!CI55/(Database!CI63)),0.0001)</f>
        <v>1E-4</v>
      </c>
      <c r="AS122" s="99">
        <f>IF(AND(Database!CK55&gt;1,Database!CK63&gt;1),100*(Database!CK55/(Database!CK63)),0.0001)</f>
        <v>1E-4</v>
      </c>
      <c r="AT122" s="99">
        <f>IF(AND(Database!CM55&gt;1,Database!CM63&gt;1),100*(Database!CM55/(Database!CM63)),0.0001)</f>
        <v>1E-4</v>
      </c>
      <c r="AU122" s="99">
        <f>IF(AND(Database!CO55&gt;1,Database!CO63&gt;1),100*(Database!CO55/(Database!CO63)),0.0001)</f>
        <v>1E-4</v>
      </c>
      <c r="AV122" s="99">
        <f>IF(AND(Database!CQ55&gt;1,Database!CQ63&gt;1),100*(Database!CQ55/(Database!CQ63)),0.0001)</f>
        <v>1E-4</v>
      </c>
      <c r="AW122" s="99">
        <f>IF(AND(Database!CS55&gt;1,Database!CS63&gt;1),100*(Database!CS55/(Database!CS63)),0.0001)</f>
        <v>1E-4</v>
      </c>
      <c r="AX122" s="99">
        <f>IF(AND(Database!CU55&gt;1,Database!CU63&gt;1),100*(Database!CU55/(Database!CU63)),0.0001)</f>
        <v>1E-4</v>
      </c>
      <c r="AY122" s="99">
        <f>IF(AND(Database!CW55&gt;1,Database!CW63&gt;1),100*(Database!CW55/(Database!CW63)),0.0001)</f>
        <v>1E-4</v>
      </c>
      <c r="AZ122" s="99">
        <f>IF(AND(Database!CY55&gt;1,Database!CY63&gt;1),100*(Database!CY55/(Database!CY63)),0.0001)</f>
        <v>1E-4</v>
      </c>
      <c r="BA122" s="99">
        <f>IF(AND(Database!DA55&gt;1,Database!DA63&gt;1),100*(Database!DA55/(Database!DA63)),0.0001)</f>
        <v>1E-4</v>
      </c>
      <c r="BB122" s="99">
        <f>IF(AND(Database!DC55&gt;1,Database!DC63&gt;1),100*(Database!DC55/(Database!DC63)),0.0001)</f>
        <v>1E-4</v>
      </c>
      <c r="BC122" s="99">
        <f>IF(AND(Database!DE55&gt;1,Database!DE63&gt;1),100*(Database!DE55/(Database!DE63)),0.0001)</f>
        <v>1E-4</v>
      </c>
      <c r="BD122" s="99">
        <f>IF(AND(Database!DG55&gt;1,Database!DG63&gt;1),100*(Database!DG55/(Database!DG63)),0.0001)</f>
        <v>1E-4</v>
      </c>
      <c r="BE122" s="99">
        <f>IF(AND(Database!DI55&gt;1,Database!DI63&gt;1),100*(Database!DI55/(Database!DI63)),0.0001)</f>
        <v>1E-4</v>
      </c>
      <c r="BF122" s="99">
        <f>IF(AND(Database!DK55&gt;1,Database!DK63&gt;1),100*(Database!DK55/(Database!DK63)),0.0001)</f>
        <v>1E-4</v>
      </c>
      <c r="BG122" s="99">
        <f>IF(AND(Database!DM55&gt;1,Database!DM63&gt;1),100*(Database!DM55/(Database!DM63)),0.0001)</f>
        <v>1E-4</v>
      </c>
      <c r="BH122" s="99">
        <f>IF(AND(Database!DO55&gt;1,Database!DO63&gt;1),100*(Database!DO55/(Database!DO63)),0.0001)</f>
        <v>1E-4</v>
      </c>
      <c r="BI122" s="99">
        <f>IF(AND(Database!DQ55&gt;1,Database!DQ63&gt;1),100*(Database!DQ55/(Database!DQ63)),0.0001)</f>
        <v>1E-4</v>
      </c>
      <c r="BJ122" s="99">
        <f>IF(AND(Database!DS55&gt;1,Database!DS63&gt;1),100*(Database!DS55/(Database!DS63)),0.0001)</f>
        <v>1E-4</v>
      </c>
      <c r="BK122" s="99">
        <f>IF(AND(Database!DU55&gt;1,Database!DU63&gt;1),100*(Database!DU55/(Database!DU63)),0.0001)</f>
        <v>1E-4</v>
      </c>
      <c r="BL122" s="99">
        <f>IF(AND(Database!DW55&gt;1,Database!DW63&gt;1),100*(Database!DW55/(Database!DW63)),0.0001)</f>
        <v>1E-4</v>
      </c>
      <c r="BM122" s="99">
        <f>IF(AND(Database!DY55&gt;1,Database!DY63&gt;1),100*(Database!DY55/(Database!DY63)),0.0001)</f>
        <v>1E-4</v>
      </c>
      <c r="BN122" s="99">
        <f>IF(AND(Database!EA55&gt;1,Database!EA63&gt;1),100*(Database!EA55/(Database!EA63)),0.0001)</f>
        <v>1E-4</v>
      </c>
      <c r="BO122" s="99">
        <f>IF(AND(Database!EC55&gt;1,Database!EC63&gt;1),100*(Database!EC55/(Database!EC63)),0.0001)</f>
        <v>1E-4</v>
      </c>
      <c r="BP122" s="99">
        <f>IF(AND(Database!EE55&gt;1,Database!EE63&gt;1),100*(Database!EE55/(Database!EE63)),0.0001)</f>
        <v>1E-4</v>
      </c>
      <c r="BQ122" s="99">
        <f>IF(AND(Database!EG55&gt;1,Database!EG63&gt;1),100*(Database!EG55/(Database!EG63)),0.0001)</f>
        <v>1E-4</v>
      </c>
      <c r="BR122" s="99">
        <f>IF(AND(Database!EI55&gt;1,Database!EI63&gt;1),100*(Database!EI55/(Database!EI63)),0.0001)</f>
        <v>1E-4</v>
      </c>
      <c r="BS122" s="99">
        <f>IF(AND(Database!EK55&gt;1,Database!EK63&gt;1),100*(Database!EK55/(Database!EK63)),0.0001)</f>
        <v>1E-4</v>
      </c>
      <c r="BT122" s="99">
        <f>IF(AND(Database!EM55&gt;1,Database!EM63&gt;1),100*(Database!EM55/(Database!EM63)),0.0001)</f>
        <v>1E-4</v>
      </c>
      <c r="BU122" s="99">
        <f>IF(AND(Database!EO55&gt;1,Database!EO63&gt;1),100*(Database!EO55/(Database!EO63)),0.0001)</f>
        <v>1E-4</v>
      </c>
      <c r="BV122" s="99">
        <f>IF(AND(Database!EQ55&gt;1,Database!EQ63&gt;1),100*(Database!EQ55/(Database!EQ63)),0.0001)</f>
        <v>1E-4</v>
      </c>
      <c r="BW122" s="99">
        <f>IF(AND(Database!ES55&gt;1,Database!ES63&gt;1),100*(Database!ES55/(Database!ES63)),0.0001)</f>
        <v>1E-4</v>
      </c>
      <c r="BX122" s="99">
        <f>IF(AND(Database!EU55&gt;1,Database!EU63&gt;1),100*(Database!EU55/(Database!EU63)),0.0001)</f>
        <v>1E-4</v>
      </c>
      <c r="BY122" s="99">
        <f>IF(AND(Database!EW55&gt;1,Database!EW63&gt;1),100*(Database!EW55/(Database!EW63)),0.0001)</f>
        <v>1E-4</v>
      </c>
      <c r="BZ122" s="99">
        <f>IF(AND(Database!EY55&gt;1,Database!EY63&gt;1),100*(Database!EY55/(Database!EY63)),0.0001)</f>
        <v>1E-4</v>
      </c>
      <c r="CA122" s="99">
        <f>IF(AND(Database!FA55&gt;1,Database!FA63&gt;1),100*(Database!FA55/(Database!FA63)),0.0001)</f>
        <v>1E-4</v>
      </c>
      <c r="CB122" s="99">
        <f>IF(AND(Database!FC55&gt;1,Database!FC63&gt;1),100*(Database!FC55/(Database!FC63)),0.0001)</f>
        <v>1E-4</v>
      </c>
      <c r="CC122" s="99">
        <f>IF(AND(Database!FE55&gt;1,Database!FE63&gt;1),100*(Database!FE55/(Database!FE63)),0.0001)</f>
        <v>1E-4</v>
      </c>
      <c r="CD122" s="99">
        <f>IF(AND(Database!FG55&gt;1,Database!FG63&gt;1),100*(Database!FG55/(Database!FG63)),0.0001)</f>
        <v>1E-4</v>
      </c>
      <c r="CE122" s="99">
        <f>IF(AND(Database!FI55&gt;1,Database!FI63&gt;1),100*(Database!FI55/(Database!FI63)),0.0001)</f>
        <v>1E-4</v>
      </c>
      <c r="CF122" s="99">
        <f>IF(AND(Database!FK55&gt;1,Database!FK63&gt;1),100*(Database!FK55/(Database!FK63)),0.0001)</f>
        <v>1E-4</v>
      </c>
      <c r="CG122" s="99">
        <f>IF(AND(Database!FM55&gt;1,Database!FM63&gt;1),100*(Database!FM55/(Database!FM63)),0.0001)</f>
        <v>1E-4</v>
      </c>
      <c r="CH122" s="99">
        <f>IF(AND(Database!FO55&gt;1,Database!FO63&gt;1),100*(Database!FO55/(Database!FO63)),0.0001)</f>
        <v>1E-4</v>
      </c>
      <c r="CI122" s="99">
        <f>IF(AND(Database!FQ55&gt;1,Database!FQ63&gt;1),100*(Database!FQ55/(Database!FQ63)),0.0001)</f>
        <v>1E-4</v>
      </c>
      <c r="CJ122" s="99">
        <f>IF(AND(Database!FS55&gt;1,Database!FS63&gt;1),100*(Database!FS55/(Database!FS63)),0.0001)</f>
        <v>1E-4</v>
      </c>
      <c r="CK122" s="99">
        <f>IF(AND(Database!FU55&gt;1,Database!FU63&gt;1),100*(Database!FU55/(Database!FU63)),0.0001)</f>
        <v>1E-4</v>
      </c>
      <c r="CL122" s="99">
        <f>IF(AND(Database!FW55&gt;1,Database!FW63&gt;1),100*(Database!FW55/(Database!FW63)),0.0001)</f>
        <v>1E-4</v>
      </c>
      <c r="CM122" s="99">
        <f>IF(AND(Database!FY55&gt;1,Database!FY63&gt;1),100*(Database!FY55/(Database!FY63)),0.0001)</f>
        <v>1E-4</v>
      </c>
      <c r="CN122" s="99">
        <f>IF(AND(Database!GA55&gt;1,Database!GA63&gt;1),100*(Database!GA55/(Database!GA63)),0.0001)</f>
        <v>1E-4</v>
      </c>
      <c r="CO122" s="99">
        <f>IF(AND(Database!GC55&gt;1,Database!GC63&gt;1),100*(Database!GC55/(Database!GC63)),0.0001)</f>
        <v>1E-4</v>
      </c>
      <c r="CP122" s="99">
        <f>IF(AND(Database!GE55&gt;1,Database!GE63&gt;1),100*(Database!GE55/(Database!GE63)),0.0001)</f>
        <v>1E-4</v>
      </c>
      <c r="CQ122" s="99">
        <f>IF(AND(Database!GG55&gt;1,Database!GG63&gt;1),100*(Database!GG55/(Database!GG63)),0.0001)</f>
        <v>1E-4</v>
      </c>
      <c r="CR122" s="99">
        <f>IF(AND(Database!GI55&gt;1,Database!GI63&gt;1),100*(Database!GI55/(Database!GI63)),0.0001)</f>
        <v>1E-4</v>
      </c>
      <c r="CS122" s="99">
        <f>IF(AND(Database!GK55&gt;1,Database!GK63&gt;1),100*(Database!GK55/(Database!GK63)),0.0001)</f>
        <v>1E-4</v>
      </c>
      <c r="CT122" s="99">
        <f>IF(AND(Database!GM55&gt;1,Database!GM63&gt;1),100*(Database!GM55/(Database!GM63)),0.0001)</f>
        <v>1E-4</v>
      </c>
      <c r="CU122" s="99">
        <f>IF(AND(Database!GO55&gt;1,Database!GO63&gt;1),100*(Database!GO55/(Database!GO63)),0.0001)</f>
        <v>1E-4</v>
      </c>
      <c r="CV122" s="99">
        <f>IF(AND(Database!GQ55&gt;1,Database!GQ63&gt;1),100*(Database!GQ55/(Database!GQ63)),0.0001)</f>
        <v>1E-4</v>
      </c>
      <c r="CW122" s="99">
        <f>IF(AND(Database!GS55&gt;1,Database!GS63&gt;1),100*(Database!GS55/(Database!GS63)),0.0001)</f>
        <v>1E-4</v>
      </c>
      <c r="CX122" s="99">
        <f>IF(AND(Database!GU55&gt;1,Database!GU63&gt;1),100*(Database!GU55/(Database!GU63)),0.0001)</f>
        <v>1E-4</v>
      </c>
      <c r="CY122" s="99">
        <f>IF(AND(Database!GW55&gt;1,Database!GW63&gt;1),100*(Database!GW55/(Database!GW63)),0.0001)</f>
        <v>1E-4</v>
      </c>
      <c r="CZ122" s="99">
        <f>IF(AND(Database!GY55&gt;1,Database!GY63&gt;1),100*(Database!GY55/(Database!GY63)),0.0001)</f>
        <v>1E-4</v>
      </c>
      <c r="DA122" s="99">
        <f>IF(AND(Database!HA55&gt;1,Database!HA63&gt;1),100*(Database!HA55/(Database!HA63)),0.0001)</f>
        <v>1E-4</v>
      </c>
      <c r="DB122" s="99">
        <f>IF(AND(Database!HC55&gt;1,Database!HC63&gt;1),100*(Database!HC55/(Database!HC63)),0.0001)</f>
        <v>1E-4</v>
      </c>
      <c r="DC122" s="99">
        <f>IF(AND(Database!HE55&gt;1,Database!HE63&gt;1),100*(Database!HE55/(Database!HE63)),0.0001)</f>
        <v>1E-4</v>
      </c>
      <c r="DD122" s="99">
        <f>IF(AND(Database!HG55&gt;1,Database!HG63&gt;1),100*(Database!HG55/(Database!HG63)),0.0001)</f>
        <v>1E-4</v>
      </c>
      <c r="DE122" s="99">
        <f>IF(AND(Database!HI55&gt;1,Database!HI63&gt;1),100*(Database!HI55/(Database!HI63)),0.0001)</f>
        <v>1E-4</v>
      </c>
      <c r="DF122" s="99">
        <f>IF(AND(Database!HK55&gt;1,Database!HK63&gt;1),100*(Database!HK55/(Database!HK63)),0.0001)</f>
        <v>1E-4</v>
      </c>
      <c r="DG122" s="99">
        <f>IF(AND(Database!HM55&gt;1,Database!HM63&gt;1),100*(Database!HM55/(Database!HM63)),0.0001)</f>
        <v>1E-4</v>
      </c>
      <c r="DH122" s="99">
        <f>IF(AND(Database!HO55&gt;1,Database!HO63&gt;1),100*(Database!HO55/(Database!HO63)),0.0001)</f>
        <v>1E-4</v>
      </c>
      <c r="DI122" s="99">
        <f>IF(AND(Database!HQ55&gt;1,Database!HQ63&gt;1),100*(Database!HQ55/(Database!HQ63)),0.0001)</f>
        <v>1E-4</v>
      </c>
      <c r="DJ122" s="99">
        <f>IF(AND(Database!HS55&gt;1,Database!HS63&gt;1),100*(Database!HS55/(Database!HS63)),0.0001)</f>
        <v>1E-4</v>
      </c>
      <c r="DK122" s="99">
        <f>IF(AND(Database!HU55&gt;1,Database!HU63&gt;1),100*(Database!HU55/(Database!HU63)),0.0001)</f>
        <v>1E-4</v>
      </c>
      <c r="DL122" s="99">
        <f>IF(AND(Database!HW55&gt;1,Database!HW63&gt;1),100*(Database!HW55/(Database!HW63)),0.0001)</f>
        <v>1E-4</v>
      </c>
      <c r="DM122" s="99">
        <f>IF(AND(Database!HY55&gt;1,Database!HY63&gt;1),100*(Database!HY55/(Database!HY63)),0.0001)</f>
        <v>1E-4</v>
      </c>
      <c r="DN122" s="99">
        <f>IF(AND(Database!IA55&gt;1,Database!IA63&gt;1),100*(Database!IA55/(Database!IA63)),0.0001)</f>
        <v>1E-4</v>
      </c>
      <c r="DO122" s="99">
        <f>IF(AND(Database!IC55&gt;1,Database!IC63&gt;1),100*(Database!IC55/(Database!IC63)),0.0001)</f>
        <v>1E-4</v>
      </c>
      <c r="DP122" s="99">
        <f>IF(AND(Database!IE55&gt;1,Database!IE63&gt;1),100*(Database!IE55/(Database!IE63)),0.0001)</f>
        <v>1E-4</v>
      </c>
      <c r="DQ122" s="99">
        <f>IF(AND(Database!IG55&gt;1,Database!IG63&gt;1),100*(Database!IG55/(Database!IG63)),0.0001)</f>
        <v>1E-4</v>
      </c>
      <c r="DR122" s="99">
        <f>IF(AND(Database!II55&gt;1,Database!II63&gt;1),100*(Database!II55/(Database!II63)),0.0001)</f>
        <v>1E-4</v>
      </c>
      <c r="DS122" s="99">
        <f>IF(AND(Database!IK55&gt;1,Database!IK63&gt;1),100*(Database!IK55/(Database!IK63)),0.0001)</f>
        <v>1E-4</v>
      </c>
      <c r="DT122" s="99">
        <f>IF(AND(Database!IM55&gt;1,Database!IM63&gt;1),100*(Database!IM55/(Database!IM63)),0.0001)</f>
        <v>1E-4</v>
      </c>
      <c r="DU122" s="99">
        <f>IF(AND(Database!IO55&gt;1,Database!IO63&gt;1),100*(Database!IO55/(Database!IO63)),0.0001)</f>
        <v>1E-4</v>
      </c>
      <c r="DV122" s="99">
        <f>IF(AND(Database!IQ55&gt;1,Database!IQ63&gt;1),100*(Database!IQ55/(Database!IQ63)),0.0001)</f>
        <v>1E-4</v>
      </c>
      <c r="DW122" s="99">
        <f>IF(AND(Database!IS55&gt;1,Database!IS63&gt;1),100*(Database!IS55/(Database!IS63)),0.0001)</f>
        <v>1E-4</v>
      </c>
      <c r="DX122" s="99">
        <f>IF(AND(Database!IU55&gt;1,Database!IU63&gt;1),100*(Database!IU55/(Database!IU63)),0.0001)</f>
        <v>1E-4</v>
      </c>
      <c r="DY122" s="99">
        <f>IF(AND(Database!IW55&gt;1,Database!IW63&gt;1),100*(Database!IW55/(Database!IW63)),0.0001)</f>
        <v>1E-4</v>
      </c>
      <c r="DZ122" s="99">
        <f>IF(AND(Database!IY55&gt;1,Database!IY63&gt;1),100*(Database!IY55/(Database!IY63)),0.0001)</f>
        <v>1E-4</v>
      </c>
      <c r="EA122" s="99">
        <f>IF(AND(Database!JA55&gt;1,Database!JA63&gt;1),100*(Database!JA55/(Database!JA63)),0.0001)</f>
        <v>1E-4</v>
      </c>
      <c r="EB122" s="99">
        <f>IF(AND(Database!JC55&gt;1,Database!JC63&gt;1),100*(Database!JC55/(Database!JC63)),0.0001)</f>
        <v>1E-4</v>
      </c>
      <c r="EC122" s="99">
        <f>IF(AND(Database!JE55&gt;1,Database!JE63&gt;1),100*(Database!JE55/(Database!JE63)),0.0001)</f>
        <v>1E-4</v>
      </c>
      <c r="ED122" s="99">
        <f>IF(AND(Database!JG55&gt;1,Database!JG63&gt;1),100*(Database!JG55/(Database!JG63)),0.0001)</f>
        <v>1E-4</v>
      </c>
      <c r="EE122" s="99">
        <f>IF(AND(Database!JI55&gt;1,Database!JI63&gt;1),100*(Database!JI55/(Database!JI63)),0.0001)</f>
        <v>1E-4</v>
      </c>
      <c r="EF122" s="99">
        <f>IF(AND(Database!JK55&gt;1,Database!JK63&gt;1),100*(Database!JK55/(Database!JK63)),0.0001)</f>
        <v>1E-4</v>
      </c>
      <c r="EG122" s="99">
        <f>IF(AND(Database!JM55&gt;1,Database!JM63&gt;1),100*(Database!JM55/(Database!JM63)),0.0001)</f>
        <v>1E-4</v>
      </c>
      <c r="EH122" s="99">
        <f>IF(AND(Database!JO55&gt;1,Database!JO63&gt;1),100*(Database!JO55/(Database!JO63)),0.0001)</f>
        <v>1E-4</v>
      </c>
      <c r="EI122" s="99">
        <f>IF(AND(Database!JQ55&gt;1,Database!JQ63&gt;1),100*(Database!JQ55/(Database!JQ63)),0.0001)</f>
        <v>1E-4</v>
      </c>
      <c r="EJ122" s="99">
        <f>IF(AND(Database!JS55&gt;1,Database!JS63&gt;1),100*(Database!JS55/(Database!JS63)),0.0001)</f>
        <v>1E-4</v>
      </c>
      <c r="EK122" s="99">
        <f>IF(AND(Database!JU55&gt;1,Database!JU63&gt;1),100*(Database!JU55/(Database!JU63)),0.0001)</f>
        <v>1E-4</v>
      </c>
      <c r="EL122" s="99">
        <f>IF(AND(Database!JW55&gt;1,Database!JW63&gt;1),100*(Database!JW55/(Database!JW63)),0.0001)</f>
        <v>1E-4</v>
      </c>
      <c r="EM122" s="99">
        <f>IF(AND(Database!JY55&gt;1,Database!JY63&gt;1),100*(Database!JY55/(Database!JY63)),0.0001)</f>
        <v>1E-4</v>
      </c>
      <c r="EN122" s="99">
        <f>IF(AND(Database!KA55&gt;1,Database!KA63&gt;1),100*(Database!KA55/(Database!KA63)),0.0001)</f>
        <v>1E-4</v>
      </c>
      <c r="EO122" s="99">
        <f>IF(AND(Database!KC55&gt;1,Database!KC63&gt;1),100*(Database!KC55/(Database!KC63)),0.0001)</f>
        <v>1E-4</v>
      </c>
      <c r="EP122" s="99">
        <f>IF(AND(Database!KE55&gt;1,Database!KE63&gt;1),100*(Database!KE55/(Database!KE63)),0.0001)</f>
        <v>1E-4</v>
      </c>
      <c r="EQ122" s="99">
        <f>IF(AND(Database!KG55&gt;1,Database!KG63&gt;1),100*(Database!KG55/(Database!KG63)),0.0001)</f>
        <v>1E-4</v>
      </c>
      <c r="ER122" s="99">
        <f>IF(AND(Database!KI55&gt;1,Database!KI63&gt;1),100*(Database!KI55/(Database!KI63)),0.0001)</f>
        <v>1E-4</v>
      </c>
      <c r="ES122" s="99">
        <f>IF(AND(Database!KK55&gt;1,Database!KK63&gt;1),100*(Database!KK55/(Database!KK63)),0.0001)</f>
        <v>1E-4</v>
      </c>
      <c r="ET122" s="99">
        <f>IF(AND(Database!KM55&gt;1,Database!KM63&gt;1),100*(Database!KM55/(Database!KM63)),0.0001)</f>
        <v>1E-4</v>
      </c>
      <c r="EU122" s="99">
        <f>IF(AND(Database!KO55&gt;1,Database!KO63&gt;1),100*(Database!KO55/(Database!KO63)),0.0001)</f>
        <v>1E-4</v>
      </c>
      <c r="EV122" s="99">
        <f>IF(AND(Database!KQ55&gt;1,Database!KQ63&gt;1),100*(Database!KQ55/(Database!KQ63)),0.0001)</f>
        <v>1E-4</v>
      </c>
      <c r="EW122" s="99">
        <f>IF(AND(Database!KS55&gt;1,Database!KS63&gt;1),100*(Database!KS55/(Database!KS63)),0.0001)</f>
        <v>1E-4</v>
      </c>
      <c r="EX122" s="99">
        <f>IF(AND(Database!KU55&gt;1,Database!KU63&gt;1),100*(Database!KU55/(Database!KU63)),0.0001)</f>
        <v>1E-4</v>
      </c>
      <c r="EY122" s="99">
        <f>IF(AND(Database!KW55&gt;1,Database!KW63&gt;1),100*(Database!KW55/(Database!KW63)),0.0001)</f>
        <v>1E-4</v>
      </c>
      <c r="EZ122" s="99">
        <f>IF(AND(Database!KY55&gt;1,Database!KY63&gt;1),100*(Database!KY55/(Database!KY63)),0.0001)</f>
        <v>1E-4</v>
      </c>
      <c r="FA122" s="99">
        <f>IF(AND(Database!LA55&gt;1,Database!LA63&gt;1),100*(Database!LA55/(Database!LA63)),0.0001)</f>
        <v>1E-4</v>
      </c>
      <c r="FB122" s="99">
        <f>IF(AND(Database!LC55&gt;1,Database!LC63&gt;1),100*(Database!LC55/(Database!LC63)),0.0001)</f>
        <v>1E-4</v>
      </c>
      <c r="FC122" s="99">
        <f>IF(AND(Database!LE55&gt;1,Database!LE63&gt;1),100*(Database!LE55/(Database!LE63)),0.0001)</f>
        <v>1E-4</v>
      </c>
      <c r="FD122" s="99">
        <f>IF(AND(Database!LG55&gt;1,Database!LG63&gt;1),100*(Database!LG55/(Database!LG63)),0.0001)</f>
        <v>1E-4</v>
      </c>
      <c r="FE122" s="99">
        <f>IF(AND(Database!LI55&gt;1,Database!LI63&gt;1),100*(Database!LI55/(Database!LI63)),0.0001)</f>
        <v>1E-4</v>
      </c>
      <c r="FF122" s="99">
        <f>IF(AND(Database!LK55&gt;1,Database!LK63&gt;1),100*(Database!LK55/(Database!LK63)),0.0001)</f>
        <v>1E-4</v>
      </c>
      <c r="FG122" s="99">
        <f>IF(AND(Database!LM55&gt;1,Database!LM63&gt;1),100*(Database!LM55/(Database!LM63)),0.0001)</f>
        <v>1E-4</v>
      </c>
      <c r="FH122" s="99">
        <f>IF(AND(Database!LO55&gt;1,Database!LO63&gt;1),100*(Database!LO55/(Database!LO63)),0.0001)</f>
        <v>1E-4</v>
      </c>
      <c r="FI122" s="99">
        <f>IF(AND(Database!LQ55&gt;1,Database!LQ63&gt;1),100*(Database!LQ55/(Database!LQ63)),0.0001)</f>
        <v>1E-4</v>
      </c>
      <c r="FJ122" s="99">
        <f>IF(AND(Database!LS55&gt;1,Database!LS63&gt;1),100*(Database!LS55/(Database!LS63)),0.0001)</f>
        <v>1E-4</v>
      </c>
      <c r="FK122" s="99">
        <f>IF(AND(Database!LU55&gt;1,Database!LU63&gt;1),100*(Database!LU55/(Database!LU63)),0.0001)</f>
        <v>1E-4</v>
      </c>
      <c r="FL122" s="99">
        <f>IF(AND(Database!LW55&gt;1,Database!LW63&gt;1),100*(Database!LW55/(Database!LW63)),0.0001)</f>
        <v>1E-4</v>
      </c>
      <c r="FM122" s="99">
        <f>IF(AND(Database!LY55&gt;1,Database!LY63&gt;1),100*(Database!LY55/(Database!LY63)),0.0001)</f>
        <v>1E-4</v>
      </c>
      <c r="FN122" s="99">
        <f>IF(AND(Database!MA55&gt;1,Database!MA63&gt;1),100*(Database!MA55/(Database!MA63)),0.0001)</f>
        <v>1E-4</v>
      </c>
      <c r="FO122" s="99">
        <f>IF(AND(Database!MC55&gt;1,Database!MC63&gt;1),100*(Database!MC55/(Database!MC63)),0.0001)</f>
        <v>1E-4</v>
      </c>
      <c r="FP122" s="99">
        <f>IF(AND(Database!ME55&gt;1,Database!ME63&gt;1),100*(Database!ME55/(Database!ME63)),0.0001)</f>
        <v>1E-4</v>
      </c>
      <c r="FQ122" s="99">
        <f>IF(AND(Database!MG55&gt;1,Database!MG63&gt;1),100*(Database!MG55/(Database!MG63)),0.0001)</f>
        <v>1E-4</v>
      </c>
      <c r="FR122" s="99">
        <f>IF(AND(Database!MI55&gt;1,Database!MI63&gt;1),100*(Database!MI55/(Database!MI63)),0.0001)</f>
        <v>1E-4</v>
      </c>
      <c r="FS122" s="99">
        <f>IF(AND(Database!MK55&gt;1,Database!MK63&gt;1),100*(Database!MK55/(Database!MK63)),0.0001)</f>
        <v>1E-4</v>
      </c>
      <c r="FT122" s="99">
        <f>IF(AND(Database!MM55&gt;1,Database!MM63&gt;1),100*(Database!MM55/(Database!MM63)),0.0001)</f>
        <v>1E-4</v>
      </c>
      <c r="FU122" s="99">
        <f>IF(AND(Database!MO55&gt;1,Database!MO63&gt;1),100*(Database!MO55/(Database!MO63)),0.0001)</f>
        <v>1E-4</v>
      </c>
      <c r="FV122" s="99">
        <f>IF(AND(Database!MQ55&gt;1,Database!MQ63&gt;1),100*(Database!MQ55/(Database!MQ63)),0.0001)</f>
        <v>1E-4</v>
      </c>
      <c r="FW122" s="99">
        <f>IF(AND(Database!MS55&gt;1,Database!MS63&gt;1),100*(Database!MS55/(Database!MS63)),0.0001)</f>
        <v>1E-4</v>
      </c>
      <c r="FX122" s="99">
        <f>IF(AND(Database!MU55&gt;1,Database!MU63&gt;1),100*(Database!MU55/(Database!MU63)),0.0001)</f>
        <v>1E-4</v>
      </c>
      <c r="FY122" s="99">
        <f>IF(AND(Database!MW55&gt;1,Database!MW63&gt;1),100*(Database!MW55/(Database!MW63)),0.0001)</f>
        <v>1E-4</v>
      </c>
      <c r="FZ122" s="99">
        <f>IF(AND(Database!MY55&gt;1,Database!MY63&gt;1),100*(Database!MY55/(Database!MY63)),0.0001)</f>
        <v>1E-4</v>
      </c>
      <c r="GA122" s="99">
        <f>IF(AND(Database!NA55&gt;1,Database!NA63&gt;1),100*(Database!NA55/(Database!NA63)),0.0001)</f>
        <v>1E-4</v>
      </c>
      <c r="GB122" s="99">
        <f>IF(AND(Database!NC55&gt;1,Database!NC63&gt;1),100*(Database!NC55/(Database!NC63)),0.0001)</f>
        <v>1E-4</v>
      </c>
      <c r="GC122" s="99">
        <f>IF(AND(Database!NE55&gt;1,Database!NE63&gt;1),100*(Database!NE55/(Database!NE63)),0.0001)</f>
        <v>1E-4</v>
      </c>
      <c r="GD122" s="99">
        <f>IF(AND(Database!NG55&gt;1,Database!NG63&gt;1),100*(Database!NG55/(Database!NG63)),0.0001)</f>
        <v>1E-4</v>
      </c>
      <c r="GE122" s="99">
        <f>IF(AND(Database!NI55&gt;1,Database!NI63&gt;1),100*(Database!NI55/(Database!NI63)),0.0001)</f>
        <v>1E-4</v>
      </c>
      <c r="GF122" s="99">
        <f>IF(AND(Database!NK55&gt;1,Database!NK63&gt;1),100*(Database!NK55/(Database!NK63)),0.0001)</f>
        <v>1E-4</v>
      </c>
      <c r="GG122" s="99">
        <f>IF(AND(Database!NM55&gt;1,Database!NM63&gt;1),100*(Database!NM55/(Database!NM63)),0.0001)</f>
        <v>1E-4</v>
      </c>
      <c r="GH122" s="99">
        <f>IF(AND(Database!NO55&gt;1,Database!NO63&gt;1),100*(Database!NO55/(Database!NO63)),0.0001)</f>
        <v>1E-4</v>
      </c>
      <c r="GI122" s="99">
        <f>IF(AND(Database!NQ55&gt;1,Database!NQ63&gt;1),100*(Database!NQ55/(Database!NQ63)),0.0001)</f>
        <v>1E-4</v>
      </c>
      <c r="GJ122" s="99">
        <f>IF(AND(Database!NS55&gt;1,Database!NS63&gt;1),100*(Database!NS55/(Database!NS63)),0.0001)</f>
        <v>1E-4</v>
      </c>
      <c r="GK122" s="99">
        <f>IF(AND(Database!NU55&gt;1,Database!NU63&gt;1),100*(Database!NU55/(Database!NU63)),0.0001)</f>
        <v>1E-4</v>
      </c>
      <c r="GL122" s="99">
        <f>IF(AND(Database!NW55&gt;1,Database!NW63&gt;1),100*(Database!NW55/(Database!NW63)),0.0001)</f>
        <v>1E-4</v>
      </c>
      <c r="GM122" s="99">
        <f>IF(AND(Database!NY55&gt;1,Database!NY63&gt;1),100*(Database!NY55/(Database!NY63)),0.0001)</f>
        <v>1E-4</v>
      </c>
      <c r="GN122" s="99">
        <f>IF(AND(Database!OA55&gt;1,Database!OA63&gt;1),100*(Database!OA55/(Database!OA63)),0.0001)</f>
        <v>1E-4</v>
      </c>
      <c r="GO122" s="99">
        <f>IF(AND(Database!OC55&gt;1,Database!OC63&gt;1),100*(Database!OC55/(Database!OC63)),0.0001)</f>
        <v>1E-4</v>
      </c>
      <c r="GP122" s="99">
        <f>IF(AND(Database!OE55&gt;1,Database!OE63&gt;1),100*(Database!OE55/(Database!OE63)),0.0001)</f>
        <v>1E-4</v>
      </c>
      <c r="GQ122" s="99">
        <f>IF(AND(Database!OG55&gt;1,Database!OG63&gt;1),100*(Database!OG55/(Database!OG63)),0.0001)</f>
        <v>1E-4</v>
      </c>
      <c r="GR122" s="99">
        <f>IF(AND(Database!OI55&gt;1,Database!OI63&gt;1),100*(Database!OI55/(Database!OI63)),0.0001)</f>
        <v>1E-4</v>
      </c>
      <c r="GS122" s="99">
        <f>IF(AND(Database!OK55&gt;1,Database!OK63&gt;1),100*(Database!OK55/(Database!OK63)),0.0001)</f>
        <v>1E-4</v>
      </c>
      <c r="GT122" s="99">
        <f>IF(AND(Database!OM55&gt;1,Database!OM63&gt;1),100*(Database!OM55/(Database!OM63)),0.0001)</f>
        <v>1E-4</v>
      </c>
    </row>
    <row r="123" spans="1:202" ht="18.75" customHeight="1" x14ac:dyDescent="0.4">
      <c r="A123" s="29" t="s">
        <v>133</v>
      </c>
      <c r="B123" s="306"/>
      <c r="C123" s="99">
        <f>IF(AND(Database!E56&gt;1,Database!E59&gt;1),100*(Database!E56/(Database!E59)),0.0001)</f>
        <v>69.007294479921256</v>
      </c>
      <c r="D123" s="99">
        <f>IF(AND(Database!G56&gt;1,Database!G59&gt;1),100*(Database!G56/(Database!G59)),0.0001)</f>
        <v>33.264454754571325</v>
      </c>
      <c r="E123" s="99">
        <f>IF(AND(Database!I56&gt;1,Database!I59&gt;1),100*(Database!I56/(Database!I59)),0.0001)</f>
        <v>34.499288991834405</v>
      </c>
      <c r="F123" s="99">
        <f>IF(AND(Database!K56&gt;1,Database!K59&gt;1),100*(Database!K56/(Database!K59)),0.0001)</f>
        <v>36.975011081560282</v>
      </c>
      <c r="G123" s="99">
        <f>IF(AND(Database!M56&gt;1,Database!M59&gt;1),100*(Database!M56/(Database!M59)),0.0001)</f>
        <v>1E-4</v>
      </c>
      <c r="H123" s="99">
        <f>IF(AND(Database!O56&gt;1,Database!O59&gt;1),100*(Database!O56/(Database!O59)),0.0001)</f>
        <v>1E-4</v>
      </c>
      <c r="I123" s="99">
        <f>IF(AND(Database!Q56&gt;1,Database!Q59&gt;1),100*(Database!Q56/(Database!Q59)),0.0001)</f>
        <v>1E-4</v>
      </c>
      <c r="J123" s="99">
        <f>IF(AND(Database!S56&gt;1,Database!S59&gt;1),100*(Database!S56/(Database!S59)),0.0001)</f>
        <v>1E-4</v>
      </c>
      <c r="K123" s="99">
        <f>IF(AND(Database!U56&gt;1,Database!U59&gt;1),100*(Database!U56/(Database!U59)),0.0001)</f>
        <v>1E-4</v>
      </c>
      <c r="L123" s="99">
        <f>IF(AND(Database!W56&gt;1,Database!W59&gt;1),100*(Database!W56/(Database!W59)),0.0001)</f>
        <v>1E-4</v>
      </c>
      <c r="M123" s="99">
        <f>IF(AND(Database!Y56&gt;1,Database!Y59&gt;1),100*(Database!Y56/(Database!Y59)),0.0001)</f>
        <v>1E-4</v>
      </c>
      <c r="N123" s="99">
        <f>IF(AND(Database!AA56&gt;1,Database!AA59&gt;1),100*(Database!AA56/(Database!AA59)),0.0001)</f>
        <v>1E-4</v>
      </c>
      <c r="O123" s="99">
        <f>IF(AND(Database!AC56&gt;1,Database!AC59&gt;1),100*(Database!AC56/(Database!AC59)),0.0001)</f>
        <v>1E-4</v>
      </c>
      <c r="P123" s="99">
        <f>IF(AND(Database!AE56&gt;1,Database!AE59&gt;1),100*(Database!AE56/(Database!AE59)),0.0001)</f>
        <v>1E-4</v>
      </c>
      <c r="Q123" s="99">
        <f>IF(AND(Database!AG56&gt;1,Database!AG59&gt;1),100*(Database!AG56/(Database!AG59)),0.0001)</f>
        <v>1E-4</v>
      </c>
      <c r="R123" s="99">
        <f>IF(AND(Database!AI56&gt;1,Database!AI59&gt;1),100*(Database!AI56/(Database!AI59)),0.0001)</f>
        <v>1E-4</v>
      </c>
      <c r="S123" s="99">
        <f>IF(AND(Database!AK56&gt;1,Database!AK59&gt;1),100*(Database!AK56/(Database!AK59)),0.0001)</f>
        <v>1E-4</v>
      </c>
      <c r="T123" s="99">
        <f>IF(AND(Database!AM56&gt;1,Database!AM59&gt;1),100*(Database!AM56/(Database!AM59)),0.0001)</f>
        <v>1E-4</v>
      </c>
      <c r="U123" s="99">
        <f>IF(AND(Database!AO56&gt;1,Database!AO59&gt;1),100*(Database!AO56/(Database!AO59)),0.0001)</f>
        <v>1E-4</v>
      </c>
      <c r="V123" s="99">
        <f>IF(AND(Database!AQ56&gt;1,Database!AQ59&gt;1),100*(Database!AQ56/(Database!AQ59)),0.0001)</f>
        <v>1E-4</v>
      </c>
      <c r="W123" s="99">
        <f>IF(AND(Database!AS56&gt;1,Database!AS59&gt;1),100*(Database!AS56/(Database!AS59)),0.0001)</f>
        <v>1E-4</v>
      </c>
      <c r="X123" s="99">
        <f>IF(AND(Database!AU56&gt;1,Database!AU59&gt;1),100*(Database!AU56/(Database!AU59)),0.0001)</f>
        <v>1E-4</v>
      </c>
      <c r="Y123" s="99">
        <f>IF(AND(Database!AW56&gt;1,Database!AW59&gt;1),100*(Database!AW56/(Database!AW59)),0.0001)</f>
        <v>1E-4</v>
      </c>
      <c r="Z123" s="99">
        <f>IF(AND(Database!AY56&gt;1,Database!AY59&gt;1),100*(Database!AY56/(Database!AY59)),0.0001)</f>
        <v>1E-4</v>
      </c>
      <c r="AA123" s="99">
        <f>IF(AND(Database!BA56&gt;1,Database!BA59&gt;1),100*(Database!BA56/(Database!BA59)),0.0001)</f>
        <v>1E-4</v>
      </c>
      <c r="AB123" s="99">
        <f>IF(AND(Database!BC56&gt;1,Database!BC59&gt;1),100*(Database!BC56/(Database!BC59)),0.0001)</f>
        <v>1E-4</v>
      </c>
      <c r="AC123" s="99">
        <f>IF(AND(Database!BE56&gt;1,Database!BE59&gt;1),100*(Database!BE56/(Database!BE59)),0.0001)</f>
        <v>1E-4</v>
      </c>
      <c r="AD123" s="99">
        <f>IF(AND(Database!BG56&gt;1,Database!BG59&gt;1),100*(Database!BG56/(Database!BG59)),0.0001)</f>
        <v>1E-4</v>
      </c>
      <c r="AE123" s="99">
        <f>IF(AND(Database!BI56&gt;1,Database!BI59&gt;1),100*(Database!BI56/(Database!BI59)),0.0001)</f>
        <v>1E-4</v>
      </c>
      <c r="AF123" s="99">
        <f>IF(AND(Database!BK56&gt;1,Database!BK59&gt;1),100*(Database!BK56/(Database!BK59)),0.0001)</f>
        <v>1E-4</v>
      </c>
      <c r="AG123" s="99">
        <f>IF(AND(Database!BM56&gt;1,Database!BM59&gt;1),100*(Database!BM56/(Database!BM59)),0.0001)</f>
        <v>1E-4</v>
      </c>
      <c r="AH123" s="99">
        <f>IF(AND(Database!BO56&gt;1,Database!BO59&gt;1),100*(Database!BO56/(Database!BO59)),0.0001)</f>
        <v>1E-4</v>
      </c>
      <c r="AI123" s="99">
        <f>IF(AND(Database!BQ56&gt;1,Database!BQ59&gt;1),100*(Database!BQ56/(Database!BQ59)),0.0001)</f>
        <v>1E-4</v>
      </c>
      <c r="AJ123" s="99">
        <f>IF(AND(Database!BS56&gt;1,Database!BS59&gt;1),100*(Database!BS56/(Database!BS59)),0.0001)</f>
        <v>1E-4</v>
      </c>
      <c r="AK123" s="99">
        <f>IF(AND(Database!BU56&gt;1,Database!BU59&gt;1),100*(Database!BU56/(Database!BU59)),0.0001)</f>
        <v>1E-4</v>
      </c>
      <c r="AL123" s="99">
        <f>IF(AND(Database!BW56&gt;1,Database!BW59&gt;1),100*(Database!BW56/(Database!BW59)),0.0001)</f>
        <v>1E-4</v>
      </c>
      <c r="AM123" s="99">
        <f>IF(AND(Database!BY56&gt;1,Database!BY59&gt;1),100*(Database!BY56/(Database!BY59)),0.0001)</f>
        <v>1E-4</v>
      </c>
      <c r="AN123" s="99">
        <f>IF(AND(Database!CA56&gt;1,Database!CA59&gt;1),100*(Database!CA56/(Database!CA59)),0.0001)</f>
        <v>1E-4</v>
      </c>
      <c r="AO123" s="99">
        <f>IF(AND(Database!CC56&gt;1,Database!CC59&gt;1),100*(Database!CC56/(Database!CC59)),0.0001)</f>
        <v>1E-4</v>
      </c>
      <c r="AP123" s="99">
        <f>IF(AND(Database!CE56&gt;1,Database!CE59&gt;1),100*(Database!CE56/(Database!CE59)),0.0001)</f>
        <v>1E-4</v>
      </c>
      <c r="AQ123" s="99">
        <f>IF(AND(Database!CG56&gt;1,Database!CG59&gt;1),100*(Database!CG56/(Database!CG59)),0.0001)</f>
        <v>1E-4</v>
      </c>
      <c r="AR123" s="99">
        <f>IF(AND(Database!CI56&gt;1,Database!CI59&gt;1),100*(Database!CI56/(Database!CI59)),0.0001)</f>
        <v>1E-4</v>
      </c>
      <c r="AS123" s="99">
        <f>IF(AND(Database!CK56&gt;1,Database!CK59&gt;1),100*(Database!CK56/(Database!CK59)),0.0001)</f>
        <v>1E-4</v>
      </c>
      <c r="AT123" s="99">
        <f>IF(AND(Database!CM56&gt;1,Database!CM59&gt;1),100*(Database!CM56/(Database!CM59)),0.0001)</f>
        <v>1E-4</v>
      </c>
      <c r="AU123" s="99">
        <f>IF(AND(Database!CO56&gt;1,Database!CO59&gt;1),100*(Database!CO56/(Database!CO59)),0.0001)</f>
        <v>1E-4</v>
      </c>
      <c r="AV123" s="99">
        <f>IF(AND(Database!CQ56&gt;1,Database!CQ59&gt;1),100*(Database!CQ56/(Database!CQ59)),0.0001)</f>
        <v>1E-4</v>
      </c>
      <c r="AW123" s="99">
        <f>IF(AND(Database!CS56&gt;1,Database!CS59&gt;1),100*(Database!CS56/(Database!CS59)),0.0001)</f>
        <v>1E-4</v>
      </c>
      <c r="AX123" s="99">
        <f>IF(AND(Database!CU56&gt;1,Database!CU59&gt;1),100*(Database!CU56/(Database!CU59)),0.0001)</f>
        <v>1E-4</v>
      </c>
      <c r="AY123" s="99">
        <f>IF(AND(Database!CW56&gt;1,Database!CW59&gt;1),100*(Database!CW56/(Database!CW59)),0.0001)</f>
        <v>1E-4</v>
      </c>
      <c r="AZ123" s="99">
        <f>IF(AND(Database!CY56&gt;1,Database!CY59&gt;1),100*(Database!CY56/(Database!CY59)),0.0001)</f>
        <v>1E-4</v>
      </c>
      <c r="BA123" s="99">
        <f>IF(AND(Database!DA56&gt;1,Database!DA59&gt;1),100*(Database!DA56/(Database!DA59)),0.0001)</f>
        <v>1E-4</v>
      </c>
      <c r="BB123" s="99">
        <f>IF(AND(Database!DC56&gt;1,Database!DC59&gt;1),100*(Database!DC56/(Database!DC59)),0.0001)</f>
        <v>1E-4</v>
      </c>
      <c r="BC123" s="99">
        <f>IF(AND(Database!DE56&gt;1,Database!DE59&gt;1),100*(Database!DE56/(Database!DE59)),0.0001)</f>
        <v>1E-4</v>
      </c>
      <c r="BD123" s="99">
        <f>IF(AND(Database!DG56&gt;1,Database!DG59&gt;1),100*(Database!DG56/(Database!DG59)),0.0001)</f>
        <v>1E-4</v>
      </c>
      <c r="BE123" s="99">
        <f>IF(AND(Database!DI56&gt;1,Database!DI59&gt;1),100*(Database!DI56/(Database!DI59)),0.0001)</f>
        <v>1E-4</v>
      </c>
      <c r="BF123" s="99">
        <f>IF(AND(Database!DK56&gt;1,Database!DK59&gt;1),100*(Database!DK56/(Database!DK59)),0.0001)</f>
        <v>1E-4</v>
      </c>
      <c r="BG123" s="99">
        <f>IF(AND(Database!DM56&gt;1,Database!DM59&gt;1),100*(Database!DM56/(Database!DM59)),0.0001)</f>
        <v>1E-4</v>
      </c>
      <c r="BH123" s="99">
        <f>IF(AND(Database!DO56&gt;1,Database!DO59&gt;1),100*(Database!DO56/(Database!DO59)),0.0001)</f>
        <v>1E-4</v>
      </c>
      <c r="BI123" s="99">
        <f>IF(AND(Database!DQ56&gt;1,Database!DQ59&gt;1),100*(Database!DQ56/(Database!DQ59)),0.0001)</f>
        <v>1E-4</v>
      </c>
      <c r="BJ123" s="99">
        <f>IF(AND(Database!DS56&gt;1,Database!DS59&gt;1),100*(Database!DS56/(Database!DS59)),0.0001)</f>
        <v>1E-4</v>
      </c>
      <c r="BK123" s="99">
        <f>IF(AND(Database!DU56&gt;1,Database!DU59&gt;1),100*(Database!DU56/(Database!DU59)),0.0001)</f>
        <v>1E-4</v>
      </c>
      <c r="BL123" s="99">
        <f>IF(AND(Database!DW56&gt;1,Database!DW59&gt;1),100*(Database!DW56/(Database!DW59)),0.0001)</f>
        <v>1E-4</v>
      </c>
      <c r="BM123" s="99">
        <f>IF(AND(Database!DY56&gt;1,Database!DY59&gt;1),100*(Database!DY56/(Database!DY59)),0.0001)</f>
        <v>1E-4</v>
      </c>
      <c r="BN123" s="99">
        <f>IF(AND(Database!EA56&gt;1,Database!EA59&gt;1),100*(Database!EA56/(Database!EA59)),0.0001)</f>
        <v>1E-4</v>
      </c>
      <c r="BO123" s="99">
        <f>IF(AND(Database!EC56&gt;1,Database!EC59&gt;1),100*(Database!EC56/(Database!EC59)),0.0001)</f>
        <v>1E-4</v>
      </c>
      <c r="BP123" s="99">
        <f>IF(AND(Database!EE56&gt;1,Database!EE59&gt;1),100*(Database!EE56/(Database!EE59)),0.0001)</f>
        <v>1E-4</v>
      </c>
      <c r="BQ123" s="99">
        <f>IF(AND(Database!EG56&gt;1,Database!EG59&gt;1),100*(Database!EG56/(Database!EG59)),0.0001)</f>
        <v>1E-4</v>
      </c>
      <c r="BR123" s="99">
        <f>IF(AND(Database!EI56&gt;1,Database!EI59&gt;1),100*(Database!EI56/(Database!EI59)),0.0001)</f>
        <v>1E-4</v>
      </c>
      <c r="BS123" s="99">
        <f>IF(AND(Database!EK56&gt;1,Database!EK59&gt;1),100*(Database!EK56/(Database!EK59)),0.0001)</f>
        <v>1E-4</v>
      </c>
      <c r="BT123" s="99">
        <f>IF(AND(Database!EM56&gt;1,Database!EM59&gt;1),100*(Database!EM56/(Database!EM59)),0.0001)</f>
        <v>1E-4</v>
      </c>
      <c r="BU123" s="99">
        <f>IF(AND(Database!EO56&gt;1,Database!EO59&gt;1),100*(Database!EO56/(Database!EO59)),0.0001)</f>
        <v>1E-4</v>
      </c>
      <c r="BV123" s="99">
        <f>IF(AND(Database!EQ56&gt;1,Database!EQ59&gt;1),100*(Database!EQ56/(Database!EQ59)),0.0001)</f>
        <v>1E-4</v>
      </c>
      <c r="BW123" s="99">
        <f>IF(AND(Database!ES56&gt;1,Database!ES59&gt;1),100*(Database!ES56/(Database!ES59)),0.0001)</f>
        <v>1E-4</v>
      </c>
      <c r="BX123" s="99">
        <f>IF(AND(Database!EU56&gt;1,Database!EU59&gt;1),100*(Database!EU56/(Database!EU59)),0.0001)</f>
        <v>1E-4</v>
      </c>
      <c r="BY123" s="99">
        <f>IF(AND(Database!EW56&gt;1,Database!EW59&gt;1),100*(Database!EW56/(Database!EW59)),0.0001)</f>
        <v>1E-4</v>
      </c>
      <c r="BZ123" s="99">
        <f>IF(AND(Database!EY56&gt;1,Database!EY59&gt;1),100*(Database!EY56/(Database!EY59)),0.0001)</f>
        <v>1E-4</v>
      </c>
      <c r="CA123" s="99">
        <f>IF(AND(Database!FA56&gt;1,Database!FA59&gt;1),100*(Database!FA56/(Database!FA59)),0.0001)</f>
        <v>1E-4</v>
      </c>
      <c r="CB123" s="99">
        <f>IF(AND(Database!FC56&gt;1,Database!FC59&gt;1),100*(Database!FC56/(Database!FC59)),0.0001)</f>
        <v>1E-4</v>
      </c>
      <c r="CC123" s="99">
        <f>IF(AND(Database!FE56&gt;1,Database!FE59&gt;1),100*(Database!FE56/(Database!FE59)),0.0001)</f>
        <v>1E-4</v>
      </c>
      <c r="CD123" s="99">
        <f>IF(AND(Database!FG56&gt;1,Database!FG59&gt;1),100*(Database!FG56/(Database!FG59)),0.0001)</f>
        <v>1E-4</v>
      </c>
      <c r="CE123" s="99">
        <f>IF(AND(Database!FI56&gt;1,Database!FI59&gt;1),100*(Database!FI56/(Database!FI59)),0.0001)</f>
        <v>1E-4</v>
      </c>
      <c r="CF123" s="99">
        <f>IF(AND(Database!FK56&gt;1,Database!FK59&gt;1),100*(Database!FK56/(Database!FK59)),0.0001)</f>
        <v>1E-4</v>
      </c>
      <c r="CG123" s="99">
        <f>IF(AND(Database!FM56&gt;1,Database!FM59&gt;1),100*(Database!FM56/(Database!FM59)),0.0001)</f>
        <v>1E-4</v>
      </c>
      <c r="CH123" s="99">
        <f>IF(AND(Database!FO56&gt;1,Database!FO59&gt;1),100*(Database!FO56/(Database!FO59)),0.0001)</f>
        <v>1E-4</v>
      </c>
      <c r="CI123" s="99">
        <f>IF(AND(Database!FQ56&gt;1,Database!FQ59&gt;1),100*(Database!FQ56/(Database!FQ59)),0.0001)</f>
        <v>1E-4</v>
      </c>
      <c r="CJ123" s="99">
        <f>IF(AND(Database!FS56&gt;1,Database!FS59&gt;1),100*(Database!FS56/(Database!FS59)),0.0001)</f>
        <v>1E-4</v>
      </c>
      <c r="CK123" s="99">
        <f>IF(AND(Database!FU56&gt;1,Database!FU59&gt;1),100*(Database!FU56/(Database!FU59)),0.0001)</f>
        <v>1E-4</v>
      </c>
      <c r="CL123" s="99">
        <f>IF(AND(Database!FW56&gt;1,Database!FW59&gt;1),100*(Database!FW56/(Database!FW59)),0.0001)</f>
        <v>1E-4</v>
      </c>
      <c r="CM123" s="99">
        <f>IF(AND(Database!FY56&gt;1,Database!FY59&gt;1),100*(Database!FY56/(Database!FY59)),0.0001)</f>
        <v>1E-4</v>
      </c>
      <c r="CN123" s="99">
        <f>IF(AND(Database!GA56&gt;1,Database!GA59&gt;1),100*(Database!GA56/(Database!GA59)),0.0001)</f>
        <v>1E-4</v>
      </c>
      <c r="CO123" s="99">
        <f>IF(AND(Database!GC56&gt;1,Database!GC59&gt;1),100*(Database!GC56/(Database!GC59)),0.0001)</f>
        <v>1E-4</v>
      </c>
      <c r="CP123" s="99">
        <f>IF(AND(Database!GE56&gt;1,Database!GE59&gt;1),100*(Database!GE56/(Database!GE59)),0.0001)</f>
        <v>1E-4</v>
      </c>
      <c r="CQ123" s="99">
        <f>IF(AND(Database!GG56&gt;1,Database!GG59&gt;1),100*(Database!GG56/(Database!GG59)),0.0001)</f>
        <v>1E-4</v>
      </c>
      <c r="CR123" s="99">
        <f>IF(AND(Database!GI56&gt;1,Database!GI59&gt;1),100*(Database!GI56/(Database!GI59)),0.0001)</f>
        <v>1E-4</v>
      </c>
      <c r="CS123" s="99">
        <f>IF(AND(Database!GK56&gt;1,Database!GK59&gt;1),100*(Database!GK56/(Database!GK59)),0.0001)</f>
        <v>1E-4</v>
      </c>
      <c r="CT123" s="99">
        <f>IF(AND(Database!GM56&gt;1,Database!GM59&gt;1),100*(Database!GM56/(Database!GM59)),0.0001)</f>
        <v>1E-4</v>
      </c>
      <c r="CU123" s="99">
        <f>IF(AND(Database!GO56&gt;1,Database!GO59&gt;1),100*(Database!GO56/(Database!GO59)),0.0001)</f>
        <v>1E-4</v>
      </c>
      <c r="CV123" s="99">
        <f>IF(AND(Database!GQ56&gt;1,Database!GQ59&gt;1),100*(Database!GQ56/(Database!GQ59)),0.0001)</f>
        <v>1E-4</v>
      </c>
      <c r="CW123" s="99">
        <f>IF(AND(Database!GS56&gt;1,Database!GS59&gt;1),100*(Database!GS56/(Database!GS59)),0.0001)</f>
        <v>1E-4</v>
      </c>
      <c r="CX123" s="99">
        <f>IF(AND(Database!GU56&gt;1,Database!GU59&gt;1),100*(Database!GU56/(Database!GU59)),0.0001)</f>
        <v>1E-4</v>
      </c>
      <c r="CY123" s="99">
        <f>IF(AND(Database!GW56&gt;1,Database!GW59&gt;1),100*(Database!GW56/(Database!GW59)),0.0001)</f>
        <v>1E-4</v>
      </c>
      <c r="CZ123" s="99">
        <f>IF(AND(Database!GY56&gt;1,Database!GY59&gt;1),100*(Database!GY56/(Database!GY59)),0.0001)</f>
        <v>1E-4</v>
      </c>
      <c r="DA123" s="99">
        <f>IF(AND(Database!HA56&gt;1,Database!HA59&gt;1),100*(Database!HA56/(Database!HA59)),0.0001)</f>
        <v>1E-4</v>
      </c>
      <c r="DB123" s="99">
        <f>IF(AND(Database!HC56&gt;1,Database!HC59&gt;1),100*(Database!HC56/(Database!HC59)),0.0001)</f>
        <v>1E-4</v>
      </c>
      <c r="DC123" s="99">
        <f>IF(AND(Database!HE56&gt;1,Database!HE59&gt;1),100*(Database!HE56/(Database!HE59)),0.0001)</f>
        <v>1E-4</v>
      </c>
      <c r="DD123" s="99">
        <f>IF(AND(Database!HG56&gt;1,Database!HG59&gt;1),100*(Database!HG56/(Database!HG59)),0.0001)</f>
        <v>1E-4</v>
      </c>
      <c r="DE123" s="99">
        <f>IF(AND(Database!HI56&gt;1,Database!HI59&gt;1),100*(Database!HI56/(Database!HI59)),0.0001)</f>
        <v>1E-4</v>
      </c>
      <c r="DF123" s="99">
        <f>IF(AND(Database!HK56&gt;1,Database!HK59&gt;1),100*(Database!HK56/(Database!HK59)),0.0001)</f>
        <v>1E-4</v>
      </c>
      <c r="DG123" s="99">
        <f>IF(AND(Database!HM56&gt;1,Database!HM59&gt;1),100*(Database!HM56/(Database!HM59)),0.0001)</f>
        <v>1E-4</v>
      </c>
      <c r="DH123" s="99">
        <f>IF(AND(Database!HO56&gt;1,Database!HO59&gt;1),100*(Database!HO56/(Database!HO59)),0.0001)</f>
        <v>1E-4</v>
      </c>
      <c r="DI123" s="99">
        <f>IF(AND(Database!HQ56&gt;1,Database!HQ59&gt;1),100*(Database!HQ56/(Database!HQ59)),0.0001)</f>
        <v>1E-4</v>
      </c>
      <c r="DJ123" s="99">
        <f>IF(AND(Database!HS56&gt;1,Database!HS59&gt;1),100*(Database!HS56/(Database!HS59)),0.0001)</f>
        <v>1E-4</v>
      </c>
      <c r="DK123" s="99">
        <f>IF(AND(Database!HU56&gt;1,Database!HU59&gt;1),100*(Database!HU56/(Database!HU59)),0.0001)</f>
        <v>1E-4</v>
      </c>
      <c r="DL123" s="99">
        <f>IF(AND(Database!HW56&gt;1,Database!HW59&gt;1),100*(Database!HW56/(Database!HW59)),0.0001)</f>
        <v>1E-4</v>
      </c>
      <c r="DM123" s="99">
        <f>IF(AND(Database!HY56&gt;1,Database!HY59&gt;1),100*(Database!HY56/(Database!HY59)),0.0001)</f>
        <v>1E-4</v>
      </c>
      <c r="DN123" s="99">
        <f>IF(AND(Database!IA56&gt;1,Database!IA59&gt;1),100*(Database!IA56/(Database!IA59)),0.0001)</f>
        <v>1E-4</v>
      </c>
      <c r="DO123" s="99">
        <f>IF(AND(Database!IC56&gt;1,Database!IC59&gt;1),100*(Database!IC56/(Database!IC59)),0.0001)</f>
        <v>1E-4</v>
      </c>
      <c r="DP123" s="99">
        <f>IF(AND(Database!IE56&gt;1,Database!IE59&gt;1),100*(Database!IE56/(Database!IE59)),0.0001)</f>
        <v>1E-4</v>
      </c>
      <c r="DQ123" s="99">
        <f>IF(AND(Database!IG56&gt;1,Database!IG59&gt;1),100*(Database!IG56/(Database!IG59)),0.0001)</f>
        <v>1E-4</v>
      </c>
      <c r="DR123" s="99">
        <f>IF(AND(Database!II56&gt;1,Database!II59&gt;1),100*(Database!II56/(Database!II59)),0.0001)</f>
        <v>1E-4</v>
      </c>
      <c r="DS123" s="99">
        <f>IF(AND(Database!IK56&gt;1,Database!IK59&gt;1),100*(Database!IK56/(Database!IK59)),0.0001)</f>
        <v>1E-4</v>
      </c>
      <c r="DT123" s="99">
        <f>IF(AND(Database!IM56&gt;1,Database!IM59&gt;1),100*(Database!IM56/(Database!IM59)),0.0001)</f>
        <v>1E-4</v>
      </c>
      <c r="DU123" s="99">
        <f>IF(AND(Database!IO56&gt;1,Database!IO59&gt;1),100*(Database!IO56/(Database!IO59)),0.0001)</f>
        <v>1E-4</v>
      </c>
      <c r="DV123" s="99">
        <f>IF(AND(Database!IQ56&gt;1,Database!IQ59&gt;1),100*(Database!IQ56/(Database!IQ59)),0.0001)</f>
        <v>1E-4</v>
      </c>
      <c r="DW123" s="99">
        <f>IF(AND(Database!IS56&gt;1,Database!IS59&gt;1),100*(Database!IS56/(Database!IS59)),0.0001)</f>
        <v>1E-4</v>
      </c>
      <c r="DX123" s="99">
        <f>IF(AND(Database!IU56&gt;1,Database!IU59&gt;1),100*(Database!IU56/(Database!IU59)),0.0001)</f>
        <v>1E-4</v>
      </c>
      <c r="DY123" s="99">
        <f>IF(AND(Database!IW56&gt;1,Database!IW59&gt;1),100*(Database!IW56/(Database!IW59)),0.0001)</f>
        <v>1E-4</v>
      </c>
      <c r="DZ123" s="99">
        <f>IF(AND(Database!IY56&gt;1,Database!IY59&gt;1),100*(Database!IY56/(Database!IY59)),0.0001)</f>
        <v>1E-4</v>
      </c>
      <c r="EA123" s="99">
        <f>IF(AND(Database!JA56&gt;1,Database!JA59&gt;1),100*(Database!JA56/(Database!JA59)),0.0001)</f>
        <v>1E-4</v>
      </c>
      <c r="EB123" s="99">
        <f>IF(AND(Database!JC56&gt;1,Database!JC59&gt;1),100*(Database!JC56/(Database!JC59)),0.0001)</f>
        <v>1E-4</v>
      </c>
      <c r="EC123" s="99">
        <f>IF(AND(Database!JE56&gt;1,Database!JE59&gt;1),100*(Database!JE56/(Database!JE59)),0.0001)</f>
        <v>1E-4</v>
      </c>
      <c r="ED123" s="99">
        <f>IF(AND(Database!JG56&gt;1,Database!JG59&gt;1),100*(Database!JG56/(Database!JG59)),0.0001)</f>
        <v>1E-4</v>
      </c>
      <c r="EE123" s="99">
        <f>IF(AND(Database!JI56&gt;1,Database!JI59&gt;1),100*(Database!JI56/(Database!JI59)),0.0001)</f>
        <v>1E-4</v>
      </c>
      <c r="EF123" s="99">
        <f>IF(AND(Database!JK56&gt;1,Database!JK59&gt;1),100*(Database!JK56/(Database!JK59)),0.0001)</f>
        <v>1E-4</v>
      </c>
      <c r="EG123" s="99">
        <f>IF(AND(Database!JM56&gt;1,Database!JM59&gt;1),100*(Database!JM56/(Database!JM59)),0.0001)</f>
        <v>1E-4</v>
      </c>
      <c r="EH123" s="99">
        <f>IF(AND(Database!JO56&gt;1,Database!JO59&gt;1),100*(Database!JO56/(Database!JO59)),0.0001)</f>
        <v>1E-4</v>
      </c>
      <c r="EI123" s="99">
        <f>IF(AND(Database!JQ56&gt;1,Database!JQ59&gt;1),100*(Database!JQ56/(Database!JQ59)),0.0001)</f>
        <v>1E-4</v>
      </c>
      <c r="EJ123" s="99">
        <f>IF(AND(Database!JS56&gt;1,Database!JS59&gt;1),100*(Database!JS56/(Database!JS59)),0.0001)</f>
        <v>1E-4</v>
      </c>
      <c r="EK123" s="99">
        <f>IF(AND(Database!JU56&gt;1,Database!JU59&gt;1),100*(Database!JU56/(Database!JU59)),0.0001)</f>
        <v>1E-4</v>
      </c>
      <c r="EL123" s="99">
        <f>IF(AND(Database!JW56&gt;1,Database!JW59&gt;1),100*(Database!JW56/(Database!JW59)),0.0001)</f>
        <v>1E-4</v>
      </c>
      <c r="EM123" s="99">
        <f>IF(AND(Database!JY56&gt;1,Database!JY59&gt;1),100*(Database!JY56/(Database!JY59)),0.0001)</f>
        <v>1E-4</v>
      </c>
      <c r="EN123" s="99">
        <f>IF(AND(Database!KA56&gt;1,Database!KA59&gt;1),100*(Database!KA56/(Database!KA59)),0.0001)</f>
        <v>1E-4</v>
      </c>
      <c r="EO123" s="99">
        <f>IF(AND(Database!KC56&gt;1,Database!KC59&gt;1),100*(Database!KC56/(Database!KC59)),0.0001)</f>
        <v>1E-4</v>
      </c>
      <c r="EP123" s="99">
        <f>IF(AND(Database!KE56&gt;1,Database!KE59&gt;1),100*(Database!KE56/(Database!KE59)),0.0001)</f>
        <v>1E-4</v>
      </c>
      <c r="EQ123" s="99">
        <f>IF(AND(Database!KG56&gt;1,Database!KG59&gt;1),100*(Database!KG56/(Database!KG59)),0.0001)</f>
        <v>1E-4</v>
      </c>
      <c r="ER123" s="99">
        <f>IF(AND(Database!KI56&gt;1,Database!KI59&gt;1),100*(Database!KI56/(Database!KI59)),0.0001)</f>
        <v>1E-4</v>
      </c>
      <c r="ES123" s="99">
        <f>IF(AND(Database!KK56&gt;1,Database!KK59&gt;1),100*(Database!KK56/(Database!KK59)),0.0001)</f>
        <v>1E-4</v>
      </c>
      <c r="ET123" s="99">
        <f>IF(AND(Database!KM56&gt;1,Database!KM59&gt;1),100*(Database!KM56/(Database!KM59)),0.0001)</f>
        <v>1E-4</v>
      </c>
      <c r="EU123" s="99">
        <f>IF(AND(Database!KO56&gt;1,Database!KO59&gt;1),100*(Database!KO56/(Database!KO59)),0.0001)</f>
        <v>1E-4</v>
      </c>
      <c r="EV123" s="99">
        <f>IF(AND(Database!KQ56&gt;1,Database!KQ59&gt;1),100*(Database!KQ56/(Database!KQ59)),0.0001)</f>
        <v>1E-4</v>
      </c>
      <c r="EW123" s="99">
        <f>IF(AND(Database!KS56&gt;1,Database!KS59&gt;1),100*(Database!KS56/(Database!KS59)),0.0001)</f>
        <v>1E-4</v>
      </c>
      <c r="EX123" s="99">
        <f>IF(AND(Database!KU56&gt;1,Database!KU59&gt;1),100*(Database!KU56/(Database!KU59)),0.0001)</f>
        <v>1E-4</v>
      </c>
      <c r="EY123" s="99">
        <f>IF(AND(Database!KW56&gt;1,Database!KW59&gt;1),100*(Database!KW56/(Database!KW59)),0.0001)</f>
        <v>1E-4</v>
      </c>
      <c r="EZ123" s="99">
        <f>IF(AND(Database!KY56&gt;1,Database!KY59&gt;1),100*(Database!KY56/(Database!KY59)),0.0001)</f>
        <v>1E-4</v>
      </c>
      <c r="FA123" s="99">
        <f>IF(AND(Database!LA56&gt;1,Database!LA59&gt;1),100*(Database!LA56/(Database!LA59)),0.0001)</f>
        <v>1E-4</v>
      </c>
      <c r="FB123" s="99">
        <f>IF(AND(Database!LC56&gt;1,Database!LC59&gt;1),100*(Database!LC56/(Database!LC59)),0.0001)</f>
        <v>1E-4</v>
      </c>
      <c r="FC123" s="99">
        <f>IF(AND(Database!LE56&gt;1,Database!LE59&gt;1),100*(Database!LE56/(Database!LE59)),0.0001)</f>
        <v>1E-4</v>
      </c>
      <c r="FD123" s="99">
        <f>IF(AND(Database!LG56&gt;1,Database!LG59&gt;1),100*(Database!LG56/(Database!LG59)),0.0001)</f>
        <v>1E-4</v>
      </c>
      <c r="FE123" s="99">
        <f>IF(AND(Database!LI56&gt;1,Database!LI59&gt;1),100*(Database!LI56/(Database!LI59)),0.0001)</f>
        <v>1E-4</v>
      </c>
      <c r="FF123" s="99">
        <f>IF(AND(Database!LK56&gt;1,Database!LK59&gt;1),100*(Database!LK56/(Database!LK59)),0.0001)</f>
        <v>1E-4</v>
      </c>
      <c r="FG123" s="99">
        <f>IF(AND(Database!LM56&gt;1,Database!LM59&gt;1),100*(Database!LM56/(Database!LM59)),0.0001)</f>
        <v>1E-4</v>
      </c>
      <c r="FH123" s="99">
        <f>IF(AND(Database!LO56&gt;1,Database!LO59&gt;1),100*(Database!LO56/(Database!LO59)),0.0001)</f>
        <v>1E-4</v>
      </c>
      <c r="FI123" s="99">
        <f>IF(AND(Database!LQ56&gt;1,Database!LQ59&gt;1),100*(Database!LQ56/(Database!LQ59)),0.0001)</f>
        <v>1E-4</v>
      </c>
      <c r="FJ123" s="99">
        <f>IF(AND(Database!LS56&gt;1,Database!LS59&gt;1),100*(Database!LS56/(Database!LS59)),0.0001)</f>
        <v>1E-4</v>
      </c>
      <c r="FK123" s="99">
        <f>IF(AND(Database!LU56&gt;1,Database!LU59&gt;1),100*(Database!LU56/(Database!LU59)),0.0001)</f>
        <v>1E-4</v>
      </c>
      <c r="FL123" s="99">
        <f>IF(AND(Database!LW56&gt;1,Database!LW59&gt;1),100*(Database!LW56/(Database!LW59)),0.0001)</f>
        <v>1E-4</v>
      </c>
      <c r="FM123" s="99">
        <f>IF(AND(Database!LY56&gt;1,Database!LY59&gt;1),100*(Database!LY56/(Database!LY59)),0.0001)</f>
        <v>1E-4</v>
      </c>
      <c r="FN123" s="99">
        <f>IF(AND(Database!MA56&gt;1,Database!MA59&gt;1),100*(Database!MA56/(Database!MA59)),0.0001)</f>
        <v>1E-4</v>
      </c>
      <c r="FO123" s="99">
        <f>IF(AND(Database!MC56&gt;1,Database!MC59&gt;1),100*(Database!MC56/(Database!MC59)),0.0001)</f>
        <v>1E-4</v>
      </c>
      <c r="FP123" s="99">
        <f>IF(AND(Database!ME56&gt;1,Database!ME59&gt;1),100*(Database!ME56/(Database!ME59)),0.0001)</f>
        <v>1E-4</v>
      </c>
      <c r="FQ123" s="99">
        <f>IF(AND(Database!MG56&gt;1,Database!MG59&gt;1),100*(Database!MG56/(Database!MG59)),0.0001)</f>
        <v>1E-4</v>
      </c>
      <c r="FR123" s="99">
        <f>IF(AND(Database!MI56&gt;1,Database!MI59&gt;1),100*(Database!MI56/(Database!MI59)),0.0001)</f>
        <v>1E-4</v>
      </c>
      <c r="FS123" s="99">
        <f>IF(AND(Database!MK56&gt;1,Database!MK59&gt;1),100*(Database!MK56/(Database!MK59)),0.0001)</f>
        <v>1E-4</v>
      </c>
      <c r="FT123" s="99">
        <f>IF(AND(Database!MM56&gt;1,Database!MM59&gt;1),100*(Database!MM56/(Database!MM59)),0.0001)</f>
        <v>1E-4</v>
      </c>
      <c r="FU123" s="99">
        <f>IF(AND(Database!MO56&gt;1,Database!MO59&gt;1),100*(Database!MO56/(Database!MO59)),0.0001)</f>
        <v>1E-4</v>
      </c>
      <c r="FV123" s="99">
        <f>IF(AND(Database!MQ56&gt;1,Database!MQ59&gt;1),100*(Database!MQ56/(Database!MQ59)),0.0001)</f>
        <v>1E-4</v>
      </c>
      <c r="FW123" s="99">
        <f>IF(AND(Database!MS56&gt;1,Database!MS59&gt;1),100*(Database!MS56/(Database!MS59)),0.0001)</f>
        <v>1E-4</v>
      </c>
      <c r="FX123" s="99">
        <f>IF(AND(Database!MU56&gt;1,Database!MU59&gt;1),100*(Database!MU56/(Database!MU59)),0.0001)</f>
        <v>1E-4</v>
      </c>
      <c r="FY123" s="99">
        <f>IF(AND(Database!MW56&gt;1,Database!MW59&gt;1),100*(Database!MW56/(Database!MW59)),0.0001)</f>
        <v>1E-4</v>
      </c>
      <c r="FZ123" s="99">
        <f>IF(AND(Database!MY56&gt;1,Database!MY59&gt;1),100*(Database!MY56/(Database!MY59)),0.0001)</f>
        <v>1E-4</v>
      </c>
      <c r="GA123" s="99">
        <f>IF(AND(Database!NA56&gt;1,Database!NA59&gt;1),100*(Database!NA56/(Database!NA59)),0.0001)</f>
        <v>1E-4</v>
      </c>
      <c r="GB123" s="99">
        <f>IF(AND(Database!NC56&gt;1,Database!NC59&gt;1),100*(Database!NC56/(Database!NC59)),0.0001)</f>
        <v>1E-4</v>
      </c>
      <c r="GC123" s="99">
        <f>IF(AND(Database!NE56&gt;1,Database!NE59&gt;1),100*(Database!NE56/(Database!NE59)),0.0001)</f>
        <v>1E-4</v>
      </c>
      <c r="GD123" s="99">
        <f>IF(AND(Database!NG56&gt;1,Database!NG59&gt;1),100*(Database!NG56/(Database!NG59)),0.0001)</f>
        <v>1E-4</v>
      </c>
      <c r="GE123" s="99">
        <f>IF(AND(Database!NI56&gt;1,Database!NI59&gt;1),100*(Database!NI56/(Database!NI59)),0.0001)</f>
        <v>1E-4</v>
      </c>
      <c r="GF123" s="99">
        <f>IF(AND(Database!NK56&gt;1,Database!NK59&gt;1),100*(Database!NK56/(Database!NK59)),0.0001)</f>
        <v>1E-4</v>
      </c>
      <c r="GG123" s="99">
        <f>IF(AND(Database!NM56&gt;1,Database!NM59&gt;1),100*(Database!NM56/(Database!NM59)),0.0001)</f>
        <v>1E-4</v>
      </c>
      <c r="GH123" s="99">
        <f>IF(AND(Database!NO56&gt;1,Database!NO59&gt;1),100*(Database!NO56/(Database!NO59)),0.0001)</f>
        <v>1E-4</v>
      </c>
      <c r="GI123" s="99">
        <f>IF(AND(Database!NQ56&gt;1,Database!NQ59&gt;1),100*(Database!NQ56/(Database!NQ59)),0.0001)</f>
        <v>1E-4</v>
      </c>
      <c r="GJ123" s="99">
        <f>IF(AND(Database!NS56&gt;1,Database!NS59&gt;1),100*(Database!NS56/(Database!NS59)),0.0001)</f>
        <v>1E-4</v>
      </c>
      <c r="GK123" s="99">
        <f>IF(AND(Database!NU56&gt;1,Database!NU59&gt;1),100*(Database!NU56/(Database!NU59)),0.0001)</f>
        <v>1E-4</v>
      </c>
      <c r="GL123" s="99">
        <f>IF(AND(Database!NW56&gt;1,Database!NW59&gt;1),100*(Database!NW56/(Database!NW59)),0.0001)</f>
        <v>1E-4</v>
      </c>
      <c r="GM123" s="99">
        <f>IF(AND(Database!NY56&gt;1,Database!NY59&gt;1),100*(Database!NY56/(Database!NY59)),0.0001)</f>
        <v>1E-4</v>
      </c>
      <c r="GN123" s="99">
        <f>IF(AND(Database!OA56&gt;1,Database!OA59&gt;1),100*(Database!OA56/(Database!OA59)),0.0001)</f>
        <v>1E-4</v>
      </c>
      <c r="GO123" s="99">
        <f>IF(AND(Database!OC56&gt;1,Database!OC59&gt;1),100*(Database!OC56/(Database!OC59)),0.0001)</f>
        <v>1E-4</v>
      </c>
      <c r="GP123" s="99">
        <f>IF(AND(Database!OE56&gt;1,Database!OE59&gt;1),100*(Database!OE56/(Database!OE59)),0.0001)</f>
        <v>1E-4</v>
      </c>
      <c r="GQ123" s="99">
        <f>IF(AND(Database!OG56&gt;1,Database!OG59&gt;1),100*(Database!OG56/(Database!OG59)),0.0001)</f>
        <v>1E-4</v>
      </c>
      <c r="GR123" s="99">
        <f>IF(AND(Database!OI56&gt;1,Database!OI59&gt;1),100*(Database!OI56/(Database!OI59)),0.0001)</f>
        <v>1E-4</v>
      </c>
      <c r="GS123" s="99">
        <f>IF(AND(Database!OK56&gt;1,Database!OK59&gt;1),100*(Database!OK56/(Database!OK59)),0.0001)</f>
        <v>1E-4</v>
      </c>
      <c r="GT123" s="99">
        <f>IF(AND(Database!OM56&gt;1,Database!OM59&gt;1),100*(Database!OM56/(Database!OM59)),0.0001)</f>
        <v>1E-4</v>
      </c>
    </row>
    <row r="124" spans="1:202" ht="18.75" customHeight="1" x14ac:dyDescent="0.4">
      <c r="A124" s="29" t="s">
        <v>134</v>
      </c>
      <c r="B124" s="306"/>
      <c r="C124" s="99">
        <f>IF(AND(Database!E57&gt;1,Database!E69&gt;1),100*(Database!E57/(Database!E69)),0.0001)</f>
        <v>1E-4</v>
      </c>
      <c r="D124" s="99">
        <f>IF(AND(Database!G57&gt;1,Database!G69&gt;1),100*(Database!G57/(Database!G69)),0.0001)</f>
        <v>1E-4</v>
      </c>
      <c r="E124" s="99">
        <f>IF(AND(Database!I57&gt;1,Database!I69&gt;1),100*(Database!I57/(Database!I69)),0.0001)</f>
        <v>1E-4</v>
      </c>
      <c r="F124" s="99">
        <f>IF(AND(Database!K57&gt;1,Database!K69&gt;1),100*(Database!K57/(Database!K69)),0.0001)</f>
        <v>1E-4</v>
      </c>
      <c r="G124" s="99">
        <f>IF(AND(Database!M57&gt;1,Database!M69&gt;1),100*(Database!M57/(Database!M69)),0.0001)</f>
        <v>1E-4</v>
      </c>
      <c r="H124" s="99">
        <f>IF(AND(Database!O57&gt;1,Database!O69&gt;1),100*(Database!O57/(Database!O69)),0.0001)</f>
        <v>1E-4</v>
      </c>
      <c r="I124" s="99">
        <f>IF(AND(Database!Q57&gt;1,Database!Q69&gt;1),100*(Database!Q57/(Database!Q69)),0.0001)</f>
        <v>1E-4</v>
      </c>
      <c r="J124" s="99">
        <f>IF(AND(Database!S57&gt;1,Database!S69&gt;1),100*(Database!S57/(Database!S69)),0.0001)</f>
        <v>1E-4</v>
      </c>
      <c r="K124" s="99">
        <f>IF(AND(Database!U57&gt;1,Database!U69&gt;1),100*(Database!U57/(Database!U69)),0.0001)</f>
        <v>1E-4</v>
      </c>
      <c r="L124" s="99">
        <f>IF(AND(Database!W57&gt;1,Database!W69&gt;1),100*(Database!W57/(Database!W69)),0.0001)</f>
        <v>1E-4</v>
      </c>
      <c r="M124" s="99">
        <f>IF(AND(Database!Y57&gt;1,Database!Y69&gt;1),100*(Database!Y57/(Database!Y69)),0.0001)</f>
        <v>1E-4</v>
      </c>
      <c r="N124" s="99">
        <f>IF(AND(Database!AA57&gt;1,Database!AA69&gt;1),100*(Database!AA57/(Database!AA69)),0.0001)</f>
        <v>1E-4</v>
      </c>
      <c r="O124" s="99">
        <f>IF(AND(Database!AC57&gt;1,Database!AC69&gt;1),100*(Database!AC57/(Database!AC69)),0.0001)</f>
        <v>1E-4</v>
      </c>
      <c r="P124" s="99">
        <f>IF(AND(Database!AE57&gt;1,Database!AE69&gt;1),100*(Database!AE57/(Database!AE69)),0.0001)</f>
        <v>1E-4</v>
      </c>
      <c r="Q124" s="99">
        <f>IF(AND(Database!AG57&gt;1,Database!AG69&gt;1),100*(Database!AG57/(Database!AG69)),0.0001)</f>
        <v>1E-4</v>
      </c>
      <c r="R124" s="99">
        <f>IF(AND(Database!AI57&gt;1,Database!AI69&gt;1),100*(Database!AI57/(Database!AI69)),0.0001)</f>
        <v>1E-4</v>
      </c>
      <c r="S124" s="99">
        <f>IF(AND(Database!AK57&gt;1,Database!AK69&gt;1),100*(Database!AK57/(Database!AK69)),0.0001)</f>
        <v>1E-4</v>
      </c>
      <c r="T124" s="99">
        <f>IF(AND(Database!AM57&gt;1,Database!AM69&gt;1),100*(Database!AM57/(Database!AM69)),0.0001)</f>
        <v>1E-4</v>
      </c>
      <c r="U124" s="99">
        <f>IF(AND(Database!AO57&gt;1,Database!AO69&gt;1),100*(Database!AO57/(Database!AO69)),0.0001)</f>
        <v>1E-4</v>
      </c>
      <c r="V124" s="99">
        <f>IF(AND(Database!AQ57&gt;1,Database!AQ69&gt;1),100*(Database!AQ57/(Database!AQ69)),0.0001)</f>
        <v>1E-4</v>
      </c>
      <c r="W124" s="99">
        <f>IF(AND(Database!AS57&gt;1,Database!AS69&gt;1),100*(Database!AS57/(Database!AS69)),0.0001)</f>
        <v>1E-4</v>
      </c>
      <c r="X124" s="99">
        <f>IF(AND(Database!AU57&gt;1,Database!AU69&gt;1),100*(Database!AU57/(Database!AU69)),0.0001)</f>
        <v>1E-4</v>
      </c>
      <c r="Y124" s="99">
        <f>IF(AND(Database!AW57&gt;1,Database!AW69&gt;1),100*(Database!AW57/(Database!AW69)),0.0001)</f>
        <v>1E-4</v>
      </c>
      <c r="Z124" s="99">
        <f>IF(AND(Database!AY57&gt;1,Database!AY69&gt;1),100*(Database!AY57/(Database!AY69)),0.0001)</f>
        <v>1E-4</v>
      </c>
      <c r="AA124" s="99">
        <f>IF(AND(Database!BA57&gt;1,Database!BA69&gt;1),100*(Database!BA57/(Database!BA69)),0.0001)</f>
        <v>1E-4</v>
      </c>
      <c r="AB124" s="99">
        <f>IF(AND(Database!BC57&gt;1,Database!BC69&gt;1),100*(Database!BC57/(Database!BC69)),0.0001)</f>
        <v>1E-4</v>
      </c>
      <c r="AC124" s="99">
        <f>IF(AND(Database!BE57&gt;1,Database!BE69&gt;1),100*(Database!BE57/(Database!BE69)),0.0001)</f>
        <v>1E-4</v>
      </c>
      <c r="AD124" s="99">
        <f>IF(AND(Database!BG57&gt;1,Database!BG69&gt;1),100*(Database!BG57/(Database!BG69)),0.0001)</f>
        <v>1E-4</v>
      </c>
      <c r="AE124" s="99">
        <f>IF(AND(Database!BI57&gt;1,Database!BI69&gt;1),100*(Database!BI57/(Database!BI69)),0.0001)</f>
        <v>1E-4</v>
      </c>
      <c r="AF124" s="99">
        <f>IF(AND(Database!BK57&gt;1,Database!BK69&gt;1),100*(Database!BK57/(Database!BK69)),0.0001)</f>
        <v>1E-4</v>
      </c>
      <c r="AG124" s="99">
        <f>IF(AND(Database!BM57&gt;1,Database!BM69&gt;1),100*(Database!BM57/(Database!BM69)),0.0001)</f>
        <v>1E-4</v>
      </c>
      <c r="AH124" s="99">
        <f>IF(AND(Database!BO57&gt;1,Database!BO69&gt;1),100*(Database!BO57/(Database!BO69)),0.0001)</f>
        <v>1E-4</v>
      </c>
      <c r="AI124" s="99">
        <f>IF(AND(Database!BQ57&gt;1,Database!BQ69&gt;1),100*(Database!BQ57/(Database!BQ69)),0.0001)</f>
        <v>1E-4</v>
      </c>
      <c r="AJ124" s="99">
        <f>IF(AND(Database!BS57&gt;1,Database!BS69&gt;1),100*(Database!BS57/(Database!BS69)),0.0001)</f>
        <v>1E-4</v>
      </c>
      <c r="AK124" s="99">
        <f>IF(AND(Database!BU57&gt;1,Database!BU69&gt;1),100*(Database!BU57/(Database!BU69)),0.0001)</f>
        <v>1E-4</v>
      </c>
      <c r="AL124" s="99">
        <f>IF(AND(Database!BW57&gt;1,Database!BW69&gt;1),100*(Database!BW57/(Database!BW69)),0.0001)</f>
        <v>1E-4</v>
      </c>
      <c r="AM124" s="99">
        <f>IF(AND(Database!BY57&gt;1,Database!BY69&gt;1),100*(Database!BY57/(Database!BY69)),0.0001)</f>
        <v>1E-4</v>
      </c>
      <c r="AN124" s="99">
        <f>IF(AND(Database!CA57&gt;1,Database!CA69&gt;1),100*(Database!CA57/(Database!CA69)),0.0001)</f>
        <v>1E-4</v>
      </c>
      <c r="AO124" s="99">
        <f>IF(AND(Database!CC57&gt;1,Database!CC69&gt;1),100*(Database!CC57/(Database!CC69)),0.0001)</f>
        <v>1E-4</v>
      </c>
      <c r="AP124" s="99">
        <f>IF(AND(Database!CE57&gt;1,Database!CE69&gt;1),100*(Database!CE57/(Database!CE69)),0.0001)</f>
        <v>1E-4</v>
      </c>
      <c r="AQ124" s="99">
        <f>IF(AND(Database!CG57&gt;1,Database!CG69&gt;1),100*(Database!CG57/(Database!CG69)),0.0001)</f>
        <v>1E-4</v>
      </c>
      <c r="AR124" s="99">
        <f>IF(AND(Database!CI57&gt;1,Database!CI69&gt;1),100*(Database!CI57/(Database!CI69)),0.0001)</f>
        <v>1E-4</v>
      </c>
      <c r="AS124" s="99">
        <f>IF(AND(Database!CK57&gt;1,Database!CK69&gt;1),100*(Database!CK57/(Database!CK69)),0.0001)</f>
        <v>1E-4</v>
      </c>
      <c r="AT124" s="99">
        <f>IF(AND(Database!CM57&gt;1,Database!CM69&gt;1),100*(Database!CM57/(Database!CM69)),0.0001)</f>
        <v>1E-4</v>
      </c>
      <c r="AU124" s="99">
        <f>IF(AND(Database!CO57&gt;1,Database!CO69&gt;1),100*(Database!CO57/(Database!CO69)),0.0001)</f>
        <v>1E-4</v>
      </c>
      <c r="AV124" s="99">
        <f>IF(AND(Database!CQ57&gt;1,Database!CQ69&gt;1),100*(Database!CQ57/(Database!CQ69)),0.0001)</f>
        <v>1E-4</v>
      </c>
      <c r="AW124" s="99">
        <f>IF(AND(Database!CS57&gt;1,Database!CS69&gt;1),100*(Database!CS57/(Database!CS69)),0.0001)</f>
        <v>1E-4</v>
      </c>
      <c r="AX124" s="99">
        <f>IF(AND(Database!CU57&gt;1,Database!CU69&gt;1),100*(Database!CU57/(Database!CU69)),0.0001)</f>
        <v>1E-4</v>
      </c>
      <c r="AY124" s="99">
        <f>IF(AND(Database!CW57&gt;1,Database!CW69&gt;1),100*(Database!CW57/(Database!CW69)),0.0001)</f>
        <v>1E-4</v>
      </c>
      <c r="AZ124" s="99">
        <f>IF(AND(Database!CY57&gt;1,Database!CY69&gt;1),100*(Database!CY57/(Database!CY69)),0.0001)</f>
        <v>1E-4</v>
      </c>
      <c r="BA124" s="99">
        <f>IF(AND(Database!DA57&gt;1,Database!DA69&gt;1),100*(Database!DA57/(Database!DA69)),0.0001)</f>
        <v>1E-4</v>
      </c>
      <c r="BB124" s="99">
        <f>IF(AND(Database!DC57&gt;1,Database!DC69&gt;1),100*(Database!DC57/(Database!DC69)),0.0001)</f>
        <v>1E-4</v>
      </c>
      <c r="BC124" s="99">
        <f>IF(AND(Database!DE57&gt;1,Database!DE69&gt;1),100*(Database!DE57/(Database!DE69)),0.0001)</f>
        <v>1E-4</v>
      </c>
      <c r="BD124" s="99">
        <f>IF(AND(Database!DG57&gt;1,Database!DG69&gt;1),100*(Database!DG57/(Database!DG69)),0.0001)</f>
        <v>1E-4</v>
      </c>
      <c r="BE124" s="99">
        <f>IF(AND(Database!DI57&gt;1,Database!DI69&gt;1),100*(Database!DI57/(Database!DI69)),0.0001)</f>
        <v>1E-4</v>
      </c>
      <c r="BF124" s="99">
        <f>IF(AND(Database!DK57&gt;1,Database!DK69&gt;1),100*(Database!DK57/(Database!DK69)),0.0001)</f>
        <v>1E-4</v>
      </c>
      <c r="BG124" s="99">
        <f>IF(AND(Database!DM57&gt;1,Database!DM69&gt;1),100*(Database!DM57/(Database!DM69)),0.0001)</f>
        <v>1E-4</v>
      </c>
      <c r="BH124" s="99">
        <f>IF(AND(Database!DO57&gt;1,Database!DO69&gt;1),100*(Database!DO57/(Database!DO69)),0.0001)</f>
        <v>1E-4</v>
      </c>
      <c r="BI124" s="99">
        <f>IF(AND(Database!DQ57&gt;1,Database!DQ69&gt;1),100*(Database!DQ57/(Database!DQ69)),0.0001)</f>
        <v>1E-4</v>
      </c>
      <c r="BJ124" s="99">
        <f>IF(AND(Database!DS57&gt;1,Database!DS69&gt;1),100*(Database!DS57/(Database!DS69)),0.0001)</f>
        <v>1E-4</v>
      </c>
      <c r="BK124" s="99">
        <f>IF(AND(Database!DU57&gt;1,Database!DU69&gt;1),100*(Database!DU57/(Database!DU69)),0.0001)</f>
        <v>1E-4</v>
      </c>
      <c r="BL124" s="99">
        <f>IF(AND(Database!DW57&gt;1,Database!DW69&gt;1),100*(Database!DW57/(Database!DW69)),0.0001)</f>
        <v>1E-4</v>
      </c>
      <c r="BM124" s="99">
        <f>IF(AND(Database!DY57&gt;1,Database!DY69&gt;1),100*(Database!DY57/(Database!DY69)),0.0001)</f>
        <v>1E-4</v>
      </c>
      <c r="BN124" s="99">
        <f>IF(AND(Database!EA57&gt;1,Database!EA69&gt;1),100*(Database!EA57/(Database!EA69)),0.0001)</f>
        <v>1E-4</v>
      </c>
      <c r="BO124" s="99">
        <f>IF(AND(Database!EC57&gt;1,Database!EC69&gt;1),100*(Database!EC57/(Database!EC69)),0.0001)</f>
        <v>1E-4</v>
      </c>
      <c r="BP124" s="99">
        <f>IF(AND(Database!EE57&gt;1,Database!EE69&gt;1),100*(Database!EE57/(Database!EE69)),0.0001)</f>
        <v>1E-4</v>
      </c>
      <c r="BQ124" s="99">
        <f>IF(AND(Database!EG57&gt;1,Database!EG69&gt;1),100*(Database!EG57/(Database!EG69)),0.0001)</f>
        <v>1E-4</v>
      </c>
      <c r="BR124" s="99">
        <f>IF(AND(Database!EI57&gt;1,Database!EI69&gt;1),100*(Database!EI57/(Database!EI69)),0.0001)</f>
        <v>1E-4</v>
      </c>
      <c r="BS124" s="99">
        <f>IF(AND(Database!EK57&gt;1,Database!EK69&gt;1),100*(Database!EK57/(Database!EK69)),0.0001)</f>
        <v>1E-4</v>
      </c>
      <c r="BT124" s="99">
        <f>IF(AND(Database!EM57&gt;1,Database!EM69&gt;1),100*(Database!EM57/(Database!EM69)),0.0001)</f>
        <v>1E-4</v>
      </c>
      <c r="BU124" s="99">
        <f>IF(AND(Database!EO57&gt;1,Database!EO69&gt;1),100*(Database!EO57/(Database!EO69)),0.0001)</f>
        <v>1E-4</v>
      </c>
      <c r="BV124" s="99">
        <f>IF(AND(Database!EQ57&gt;1,Database!EQ69&gt;1),100*(Database!EQ57/(Database!EQ69)),0.0001)</f>
        <v>1E-4</v>
      </c>
      <c r="BW124" s="99">
        <f>IF(AND(Database!ES57&gt;1,Database!ES69&gt;1),100*(Database!ES57/(Database!ES69)),0.0001)</f>
        <v>1E-4</v>
      </c>
      <c r="BX124" s="99">
        <f>IF(AND(Database!EU57&gt;1,Database!EU69&gt;1),100*(Database!EU57/(Database!EU69)),0.0001)</f>
        <v>1E-4</v>
      </c>
      <c r="BY124" s="99">
        <f>IF(AND(Database!EW57&gt;1,Database!EW69&gt;1),100*(Database!EW57/(Database!EW69)),0.0001)</f>
        <v>1E-4</v>
      </c>
      <c r="BZ124" s="99">
        <f>IF(AND(Database!EY57&gt;1,Database!EY69&gt;1),100*(Database!EY57/(Database!EY69)),0.0001)</f>
        <v>1E-4</v>
      </c>
      <c r="CA124" s="99">
        <f>IF(AND(Database!FA57&gt;1,Database!FA69&gt;1),100*(Database!FA57/(Database!FA69)),0.0001)</f>
        <v>1E-4</v>
      </c>
      <c r="CB124" s="99">
        <f>IF(AND(Database!FC57&gt;1,Database!FC69&gt;1),100*(Database!FC57/(Database!FC69)),0.0001)</f>
        <v>1E-4</v>
      </c>
      <c r="CC124" s="99">
        <f>IF(AND(Database!FE57&gt;1,Database!FE69&gt;1),100*(Database!FE57/(Database!FE69)),0.0001)</f>
        <v>1E-4</v>
      </c>
      <c r="CD124" s="99">
        <f>IF(AND(Database!FG57&gt;1,Database!FG69&gt;1),100*(Database!FG57/(Database!FG69)),0.0001)</f>
        <v>1E-4</v>
      </c>
      <c r="CE124" s="99">
        <f>IF(AND(Database!FI57&gt;1,Database!FI69&gt;1),100*(Database!FI57/(Database!FI69)),0.0001)</f>
        <v>1E-4</v>
      </c>
      <c r="CF124" s="99">
        <f>IF(AND(Database!FK57&gt;1,Database!FK69&gt;1),100*(Database!FK57/(Database!FK69)),0.0001)</f>
        <v>1E-4</v>
      </c>
      <c r="CG124" s="99">
        <f>IF(AND(Database!FM57&gt;1,Database!FM69&gt;1),100*(Database!FM57/(Database!FM69)),0.0001)</f>
        <v>1E-4</v>
      </c>
      <c r="CH124" s="99">
        <f>IF(AND(Database!FO57&gt;1,Database!FO69&gt;1),100*(Database!FO57/(Database!FO69)),0.0001)</f>
        <v>1E-4</v>
      </c>
      <c r="CI124" s="99">
        <f>IF(AND(Database!FQ57&gt;1,Database!FQ69&gt;1),100*(Database!FQ57/(Database!FQ69)),0.0001)</f>
        <v>1E-4</v>
      </c>
      <c r="CJ124" s="99">
        <f>IF(AND(Database!FS57&gt;1,Database!FS69&gt;1),100*(Database!FS57/(Database!FS69)),0.0001)</f>
        <v>1E-4</v>
      </c>
      <c r="CK124" s="99">
        <f>IF(AND(Database!FU57&gt;1,Database!FU69&gt;1),100*(Database!FU57/(Database!FU69)),0.0001)</f>
        <v>1E-4</v>
      </c>
      <c r="CL124" s="99">
        <f>IF(AND(Database!FW57&gt;1,Database!FW69&gt;1),100*(Database!FW57/(Database!FW69)),0.0001)</f>
        <v>1E-4</v>
      </c>
      <c r="CM124" s="99">
        <f>IF(AND(Database!FY57&gt;1,Database!FY69&gt;1),100*(Database!FY57/(Database!FY69)),0.0001)</f>
        <v>1E-4</v>
      </c>
      <c r="CN124" s="99">
        <f>IF(AND(Database!GA57&gt;1,Database!GA69&gt;1),100*(Database!GA57/(Database!GA69)),0.0001)</f>
        <v>1E-4</v>
      </c>
      <c r="CO124" s="99">
        <f>IF(AND(Database!GC57&gt;1,Database!GC69&gt;1),100*(Database!GC57/(Database!GC69)),0.0001)</f>
        <v>1E-4</v>
      </c>
      <c r="CP124" s="99">
        <f>IF(AND(Database!GE57&gt;1,Database!GE69&gt;1),100*(Database!GE57/(Database!GE69)),0.0001)</f>
        <v>1E-4</v>
      </c>
      <c r="CQ124" s="99">
        <f>IF(AND(Database!GG57&gt;1,Database!GG69&gt;1),100*(Database!GG57/(Database!GG69)),0.0001)</f>
        <v>1E-4</v>
      </c>
      <c r="CR124" s="99">
        <f>IF(AND(Database!GI57&gt;1,Database!GI69&gt;1),100*(Database!GI57/(Database!GI69)),0.0001)</f>
        <v>1E-4</v>
      </c>
      <c r="CS124" s="99">
        <f>IF(AND(Database!GK57&gt;1,Database!GK69&gt;1),100*(Database!GK57/(Database!GK69)),0.0001)</f>
        <v>1E-4</v>
      </c>
      <c r="CT124" s="99">
        <f>IF(AND(Database!GM57&gt;1,Database!GM69&gt;1),100*(Database!GM57/(Database!GM69)),0.0001)</f>
        <v>1E-4</v>
      </c>
      <c r="CU124" s="99">
        <f>IF(AND(Database!GO57&gt;1,Database!GO69&gt;1),100*(Database!GO57/(Database!GO69)),0.0001)</f>
        <v>1E-4</v>
      </c>
      <c r="CV124" s="99">
        <f>IF(AND(Database!GQ57&gt;1,Database!GQ69&gt;1),100*(Database!GQ57/(Database!GQ69)),0.0001)</f>
        <v>1E-4</v>
      </c>
      <c r="CW124" s="99">
        <f>IF(AND(Database!GS57&gt;1,Database!GS69&gt;1),100*(Database!GS57/(Database!GS69)),0.0001)</f>
        <v>1E-4</v>
      </c>
      <c r="CX124" s="99">
        <f>IF(AND(Database!GU57&gt;1,Database!GU69&gt;1),100*(Database!GU57/(Database!GU69)),0.0001)</f>
        <v>1E-4</v>
      </c>
      <c r="CY124" s="99">
        <f>IF(AND(Database!GW57&gt;1,Database!GW69&gt;1),100*(Database!GW57/(Database!GW69)),0.0001)</f>
        <v>1E-4</v>
      </c>
      <c r="CZ124" s="99">
        <f>IF(AND(Database!GY57&gt;1,Database!GY69&gt;1),100*(Database!GY57/(Database!GY69)),0.0001)</f>
        <v>1E-4</v>
      </c>
      <c r="DA124" s="99">
        <f>IF(AND(Database!HA57&gt;1,Database!HA69&gt;1),100*(Database!HA57/(Database!HA69)),0.0001)</f>
        <v>1E-4</v>
      </c>
      <c r="DB124" s="99">
        <f>IF(AND(Database!HC57&gt;1,Database!HC69&gt;1),100*(Database!HC57/(Database!HC69)),0.0001)</f>
        <v>1E-4</v>
      </c>
      <c r="DC124" s="99">
        <f>IF(AND(Database!HE57&gt;1,Database!HE69&gt;1),100*(Database!HE57/(Database!HE69)),0.0001)</f>
        <v>1E-4</v>
      </c>
      <c r="DD124" s="99">
        <f>IF(AND(Database!HG57&gt;1,Database!HG69&gt;1),100*(Database!HG57/(Database!HG69)),0.0001)</f>
        <v>1E-4</v>
      </c>
      <c r="DE124" s="99">
        <f>IF(AND(Database!HI57&gt;1,Database!HI69&gt;1),100*(Database!HI57/(Database!HI69)),0.0001)</f>
        <v>1E-4</v>
      </c>
      <c r="DF124" s="99">
        <f>IF(AND(Database!HK57&gt;1,Database!HK69&gt;1),100*(Database!HK57/(Database!HK69)),0.0001)</f>
        <v>1E-4</v>
      </c>
      <c r="DG124" s="99">
        <f>IF(AND(Database!HM57&gt;1,Database!HM69&gt;1),100*(Database!HM57/(Database!HM69)),0.0001)</f>
        <v>1E-4</v>
      </c>
      <c r="DH124" s="99">
        <f>IF(AND(Database!HO57&gt;1,Database!HO69&gt;1),100*(Database!HO57/(Database!HO69)),0.0001)</f>
        <v>1E-4</v>
      </c>
      <c r="DI124" s="99">
        <f>IF(AND(Database!HQ57&gt;1,Database!HQ69&gt;1),100*(Database!HQ57/(Database!HQ69)),0.0001)</f>
        <v>1E-4</v>
      </c>
      <c r="DJ124" s="99">
        <f>IF(AND(Database!HS57&gt;1,Database!HS69&gt;1),100*(Database!HS57/(Database!HS69)),0.0001)</f>
        <v>1E-4</v>
      </c>
      <c r="DK124" s="99">
        <f>IF(AND(Database!HU57&gt;1,Database!HU69&gt;1),100*(Database!HU57/(Database!HU69)),0.0001)</f>
        <v>1E-4</v>
      </c>
      <c r="DL124" s="99">
        <f>IF(AND(Database!HW57&gt;1,Database!HW69&gt;1),100*(Database!HW57/(Database!HW69)),0.0001)</f>
        <v>1E-4</v>
      </c>
      <c r="DM124" s="99">
        <f>IF(AND(Database!HY57&gt;1,Database!HY69&gt;1),100*(Database!HY57/(Database!HY69)),0.0001)</f>
        <v>1E-4</v>
      </c>
      <c r="DN124" s="99">
        <f>IF(AND(Database!IA57&gt;1,Database!IA69&gt;1),100*(Database!IA57/(Database!IA69)),0.0001)</f>
        <v>1E-4</v>
      </c>
      <c r="DO124" s="99">
        <f>IF(AND(Database!IC57&gt;1,Database!IC69&gt;1),100*(Database!IC57/(Database!IC69)),0.0001)</f>
        <v>1E-4</v>
      </c>
      <c r="DP124" s="99">
        <f>IF(AND(Database!IE57&gt;1,Database!IE69&gt;1),100*(Database!IE57/(Database!IE69)),0.0001)</f>
        <v>1E-4</v>
      </c>
      <c r="DQ124" s="99">
        <f>IF(AND(Database!IG57&gt;1,Database!IG69&gt;1),100*(Database!IG57/(Database!IG69)),0.0001)</f>
        <v>1E-4</v>
      </c>
      <c r="DR124" s="99">
        <f>IF(AND(Database!II57&gt;1,Database!II69&gt;1),100*(Database!II57/(Database!II69)),0.0001)</f>
        <v>1E-4</v>
      </c>
      <c r="DS124" s="99">
        <f>IF(AND(Database!IK57&gt;1,Database!IK69&gt;1),100*(Database!IK57/(Database!IK69)),0.0001)</f>
        <v>1E-4</v>
      </c>
      <c r="DT124" s="99">
        <f>IF(AND(Database!IM57&gt;1,Database!IM69&gt;1),100*(Database!IM57/(Database!IM69)),0.0001)</f>
        <v>1E-4</v>
      </c>
      <c r="DU124" s="99">
        <f>IF(AND(Database!IO57&gt;1,Database!IO69&gt;1),100*(Database!IO57/(Database!IO69)),0.0001)</f>
        <v>1E-4</v>
      </c>
      <c r="DV124" s="99">
        <f>IF(AND(Database!IQ57&gt;1,Database!IQ69&gt;1),100*(Database!IQ57/(Database!IQ69)),0.0001)</f>
        <v>1E-4</v>
      </c>
      <c r="DW124" s="99">
        <f>IF(AND(Database!IS57&gt;1,Database!IS69&gt;1),100*(Database!IS57/(Database!IS69)),0.0001)</f>
        <v>1E-4</v>
      </c>
      <c r="DX124" s="99">
        <f>IF(AND(Database!IU57&gt;1,Database!IU69&gt;1),100*(Database!IU57/(Database!IU69)),0.0001)</f>
        <v>1E-4</v>
      </c>
      <c r="DY124" s="99">
        <f>IF(AND(Database!IW57&gt;1,Database!IW69&gt;1),100*(Database!IW57/(Database!IW69)),0.0001)</f>
        <v>1E-4</v>
      </c>
      <c r="DZ124" s="99">
        <f>IF(AND(Database!IY57&gt;1,Database!IY69&gt;1),100*(Database!IY57/(Database!IY69)),0.0001)</f>
        <v>1E-4</v>
      </c>
      <c r="EA124" s="99">
        <f>IF(AND(Database!JA57&gt;1,Database!JA69&gt;1),100*(Database!JA57/(Database!JA69)),0.0001)</f>
        <v>1E-4</v>
      </c>
      <c r="EB124" s="99">
        <f>IF(AND(Database!JC57&gt;1,Database!JC69&gt;1),100*(Database!JC57/(Database!JC69)),0.0001)</f>
        <v>1E-4</v>
      </c>
      <c r="EC124" s="99">
        <f>IF(AND(Database!JE57&gt;1,Database!JE69&gt;1),100*(Database!JE57/(Database!JE69)),0.0001)</f>
        <v>1E-4</v>
      </c>
      <c r="ED124" s="99">
        <f>IF(AND(Database!JG57&gt;1,Database!JG69&gt;1),100*(Database!JG57/(Database!JG69)),0.0001)</f>
        <v>1E-4</v>
      </c>
      <c r="EE124" s="99">
        <f>IF(AND(Database!JI57&gt;1,Database!JI69&gt;1),100*(Database!JI57/(Database!JI69)),0.0001)</f>
        <v>1E-4</v>
      </c>
      <c r="EF124" s="99">
        <f>IF(AND(Database!JK57&gt;1,Database!JK69&gt;1),100*(Database!JK57/(Database!JK69)),0.0001)</f>
        <v>1E-4</v>
      </c>
      <c r="EG124" s="99">
        <f>IF(AND(Database!JM57&gt;1,Database!JM69&gt;1),100*(Database!JM57/(Database!JM69)),0.0001)</f>
        <v>1E-4</v>
      </c>
      <c r="EH124" s="99">
        <f>IF(AND(Database!JO57&gt;1,Database!JO69&gt;1),100*(Database!JO57/(Database!JO69)),0.0001)</f>
        <v>1E-4</v>
      </c>
      <c r="EI124" s="99">
        <f>IF(AND(Database!JQ57&gt;1,Database!JQ69&gt;1),100*(Database!JQ57/(Database!JQ69)),0.0001)</f>
        <v>1E-4</v>
      </c>
      <c r="EJ124" s="99">
        <f>IF(AND(Database!JS57&gt;1,Database!JS69&gt;1),100*(Database!JS57/(Database!JS69)),0.0001)</f>
        <v>1E-4</v>
      </c>
      <c r="EK124" s="99">
        <f>IF(AND(Database!JU57&gt;1,Database!JU69&gt;1),100*(Database!JU57/(Database!JU69)),0.0001)</f>
        <v>1E-4</v>
      </c>
      <c r="EL124" s="99">
        <f>IF(AND(Database!JW57&gt;1,Database!JW69&gt;1),100*(Database!JW57/(Database!JW69)),0.0001)</f>
        <v>1E-4</v>
      </c>
      <c r="EM124" s="99">
        <f>IF(AND(Database!JY57&gt;1,Database!JY69&gt;1),100*(Database!JY57/(Database!JY69)),0.0001)</f>
        <v>1E-4</v>
      </c>
      <c r="EN124" s="99">
        <f>IF(AND(Database!KA57&gt;1,Database!KA69&gt;1),100*(Database!KA57/(Database!KA69)),0.0001)</f>
        <v>1E-4</v>
      </c>
      <c r="EO124" s="99">
        <f>IF(AND(Database!KC57&gt;1,Database!KC69&gt;1),100*(Database!KC57/(Database!KC69)),0.0001)</f>
        <v>1E-4</v>
      </c>
      <c r="EP124" s="99">
        <f>IF(AND(Database!KE57&gt;1,Database!KE69&gt;1),100*(Database!KE57/(Database!KE69)),0.0001)</f>
        <v>1E-4</v>
      </c>
      <c r="EQ124" s="99">
        <f>IF(AND(Database!KG57&gt;1,Database!KG69&gt;1),100*(Database!KG57/(Database!KG69)),0.0001)</f>
        <v>1E-4</v>
      </c>
      <c r="ER124" s="99">
        <f>IF(AND(Database!KI57&gt;1,Database!KI69&gt;1),100*(Database!KI57/(Database!KI69)),0.0001)</f>
        <v>1E-4</v>
      </c>
      <c r="ES124" s="99">
        <f>IF(AND(Database!KK57&gt;1,Database!KK69&gt;1),100*(Database!KK57/(Database!KK69)),0.0001)</f>
        <v>1E-4</v>
      </c>
      <c r="ET124" s="99">
        <f>IF(AND(Database!KM57&gt;1,Database!KM69&gt;1),100*(Database!KM57/(Database!KM69)),0.0001)</f>
        <v>1E-4</v>
      </c>
      <c r="EU124" s="99">
        <f>IF(AND(Database!KO57&gt;1,Database!KO69&gt;1),100*(Database!KO57/(Database!KO69)),0.0001)</f>
        <v>1E-4</v>
      </c>
      <c r="EV124" s="99">
        <f>IF(AND(Database!KQ57&gt;1,Database!KQ69&gt;1),100*(Database!KQ57/(Database!KQ69)),0.0001)</f>
        <v>1E-4</v>
      </c>
      <c r="EW124" s="99">
        <f>IF(AND(Database!KS57&gt;1,Database!KS69&gt;1),100*(Database!KS57/(Database!KS69)),0.0001)</f>
        <v>1E-4</v>
      </c>
      <c r="EX124" s="99">
        <f>IF(AND(Database!KU57&gt;1,Database!KU69&gt;1),100*(Database!KU57/(Database!KU69)),0.0001)</f>
        <v>1E-4</v>
      </c>
      <c r="EY124" s="99">
        <f>IF(AND(Database!KW57&gt;1,Database!KW69&gt;1),100*(Database!KW57/(Database!KW69)),0.0001)</f>
        <v>1E-4</v>
      </c>
      <c r="EZ124" s="99">
        <f>IF(AND(Database!KY57&gt;1,Database!KY69&gt;1),100*(Database!KY57/(Database!KY69)),0.0001)</f>
        <v>1E-4</v>
      </c>
      <c r="FA124" s="99">
        <f>IF(AND(Database!LA57&gt;1,Database!LA69&gt;1),100*(Database!LA57/(Database!LA69)),0.0001)</f>
        <v>1E-4</v>
      </c>
      <c r="FB124" s="99">
        <f>IF(AND(Database!LC57&gt;1,Database!LC69&gt;1),100*(Database!LC57/(Database!LC69)),0.0001)</f>
        <v>1E-4</v>
      </c>
      <c r="FC124" s="99">
        <f>IF(AND(Database!LE57&gt;1,Database!LE69&gt;1),100*(Database!LE57/(Database!LE69)),0.0001)</f>
        <v>1E-4</v>
      </c>
      <c r="FD124" s="99">
        <f>IF(AND(Database!LG57&gt;1,Database!LG69&gt;1),100*(Database!LG57/(Database!LG69)),0.0001)</f>
        <v>1E-4</v>
      </c>
      <c r="FE124" s="99">
        <f>IF(AND(Database!LI57&gt;1,Database!LI69&gt;1),100*(Database!LI57/(Database!LI69)),0.0001)</f>
        <v>1E-4</v>
      </c>
      <c r="FF124" s="99">
        <f>IF(AND(Database!LK57&gt;1,Database!LK69&gt;1),100*(Database!LK57/(Database!LK69)),0.0001)</f>
        <v>1E-4</v>
      </c>
      <c r="FG124" s="99">
        <f>IF(AND(Database!LM57&gt;1,Database!LM69&gt;1),100*(Database!LM57/(Database!LM69)),0.0001)</f>
        <v>1E-4</v>
      </c>
      <c r="FH124" s="99">
        <f>IF(AND(Database!LO57&gt;1,Database!LO69&gt;1),100*(Database!LO57/(Database!LO69)),0.0001)</f>
        <v>1E-4</v>
      </c>
      <c r="FI124" s="99">
        <f>IF(AND(Database!LQ57&gt;1,Database!LQ69&gt;1),100*(Database!LQ57/(Database!LQ69)),0.0001)</f>
        <v>1E-4</v>
      </c>
      <c r="FJ124" s="99">
        <f>IF(AND(Database!LS57&gt;1,Database!LS69&gt;1),100*(Database!LS57/(Database!LS69)),0.0001)</f>
        <v>1E-4</v>
      </c>
      <c r="FK124" s="99">
        <f>IF(AND(Database!LU57&gt;1,Database!LU69&gt;1),100*(Database!LU57/(Database!LU69)),0.0001)</f>
        <v>1E-4</v>
      </c>
      <c r="FL124" s="99">
        <f>IF(AND(Database!LW57&gt;1,Database!LW69&gt;1),100*(Database!LW57/(Database!LW69)),0.0001)</f>
        <v>1E-4</v>
      </c>
      <c r="FM124" s="99">
        <f>IF(AND(Database!LY57&gt;1,Database!LY69&gt;1),100*(Database!LY57/(Database!LY69)),0.0001)</f>
        <v>1E-4</v>
      </c>
      <c r="FN124" s="99">
        <f>IF(AND(Database!MA57&gt;1,Database!MA69&gt;1),100*(Database!MA57/(Database!MA69)),0.0001)</f>
        <v>1E-4</v>
      </c>
      <c r="FO124" s="99">
        <f>IF(AND(Database!MC57&gt;1,Database!MC69&gt;1),100*(Database!MC57/(Database!MC69)),0.0001)</f>
        <v>1E-4</v>
      </c>
      <c r="FP124" s="99">
        <f>IF(AND(Database!ME57&gt;1,Database!ME69&gt;1),100*(Database!ME57/(Database!ME69)),0.0001)</f>
        <v>1E-4</v>
      </c>
      <c r="FQ124" s="99">
        <f>IF(AND(Database!MG57&gt;1,Database!MG69&gt;1),100*(Database!MG57/(Database!MG69)),0.0001)</f>
        <v>1E-4</v>
      </c>
      <c r="FR124" s="99">
        <f>IF(AND(Database!MI57&gt;1,Database!MI69&gt;1),100*(Database!MI57/(Database!MI69)),0.0001)</f>
        <v>1E-4</v>
      </c>
      <c r="FS124" s="99">
        <f>IF(AND(Database!MK57&gt;1,Database!MK69&gt;1),100*(Database!MK57/(Database!MK69)),0.0001)</f>
        <v>1E-4</v>
      </c>
      <c r="FT124" s="99">
        <f>IF(AND(Database!MM57&gt;1,Database!MM69&gt;1),100*(Database!MM57/(Database!MM69)),0.0001)</f>
        <v>1E-4</v>
      </c>
      <c r="FU124" s="99">
        <f>IF(AND(Database!MO57&gt;1,Database!MO69&gt;1),100*(Database!MO57/(Database!MO69)),0.0001)</f>
        <v>1E-4</v>
      </c>
      <c r="FV124" s="99">
        <f>IF(AND(Database!MQ57&gt;1,Database!MQ69&gt;1),100*(Database!MQ57/(Database!MQ69)),0.0001)</f>
        <v>1E-4</v>
      </c>
      <c r="FW124" s="99">
        <f>IF(AND(Database!MS57&gt;1,Database!MS69&gt;1),100*(Database!MS57/(Database!MS69)),0.0001)</f>
        <v>1E-4</v>
      </c>
      <c r="FX124" s="99">
        <f>IF(AND(Database!MU57&gt;1,Database!MU69&gt;1),100*(Database!MU57/(Database!MU69)),0.0001)</f>
        <v>1E-4</v>
      </c>
      <c r="FY124" s="99">
        <f>IF(AND(Database!MW57&gt;1,Database!MW69&gt;1),100*(Database!MW57/(Database!MW69)),0.0001)</f>
        <v>1E-4</v>
      </c>
      <c r="FZ124" s="99">
        <f>IF(AND(Database!MY57&gt;1,Database!MY69&gt;1),100*(Database!MY57/(Database!MY69)),0.0001)</f>
        <v>1E-4</v>
      </c>
      <c r="GA124" s="99">
        <f>IF(AND(Database!NA57&gt;1,Database!NA69&gt;1),100*(Database!NA57/(Database!NA69)),0.0001)</f>
        <v>1E-4</v>
      </c>
      <c r="GB124" s="99">
        <f>IF(AND(Database!NC57&gt;1,Database!NC69&gt;1),100*(Database!NC57/(Database!NC69)),0.0001)</f>
        <v>1E-4</v>
      </c>
      <c r="GC124" s="99">
        <f>IF(AND(Database!NE57&gt;1,Database!NE69&gt;1),100*(Database!NE57/(Database!NE69)),0.0001)</f>
        <v>1E-4</v>
      </c>
      <c r="GD124" s="99">
        <f>IF(AND(Database!NG57&gt;1,Database!NG69&gt;1),100*(Database!NG57/(Database!NG69)),0.0001)</f>
        <v>1E-4</v>
      </c>
      <c r="GE124" s="99">
        <f>IF(AND(Database!NI57&gt;1,Database!NI69&gt;1),100*(Database!NI57/(Database!NI69)),0.0001)</f>
        <v>1E-4</v>
      </c>
      <c r="GF124" s="99">
        <f>IF(AND(Database!NK57&gt;1,Database!NK69&gt;1),100*(Database!NK57/(Database!NK69)),0.0001)</f>
        <v>1E-4</v>
      </c>
      <c r="GG124" s="99">
        <f>IF(AND(Database!NM57&gt;1,Database!NM69&gt;1),100*(Database!NM57/(Database!NM69)),0.0001)</f>
        <v>1E-4</v>
      </c>
      <c r="GH124" s="99">
        <f>IF(AND(Database!NO57&gt;1,Database!NO69&gt;1),100*(Database!NO57/(Database!NO69)),0.0001)</f>
        <v>1E-4</v>
      </c>
      <c r="GI124" s="99">
        <f>IF(AND(Database!NQ57&gt;1,Database!NQ69&gt;1),100*(Database!NQ57/(Database!NQ69)),0.0001)</f>
        <v>1E-4</v>
      </c>
      <c r="GJ124" s="99">
        <f>IF(AND(Database!NS57&gt;1,Database!NS69&gt;1),100*(Database!NS57/(Database!NS69)),0.0001)</f>
        <v>1E-4</v>
      </c>
      <c r="GK124" s="99">
        <f>IF(AND(Database!NU57&gt;1,Database!NU69&gt;1),100*(Database!NU57/(Database!NU69)),0.0001)</f>
        <v>1E-4</v>
      </c>
      <c r="GL124" s="99">
        <f>IF(AND(Database!NW57&gt;1,Database!NW69&gt;1),100*(Database!NW57/(Database!NW69)),0.0001)</f>
        <v>1E-4</v>
      </c>
      <c r="GM124" s="99">
        <f>IF(AND(Database!NY57&gt;1,Database!NY69&gt;1),100*(Database!NY57/(Database!NY69)),0.0001)</f>
        <v>1E-4</v>
      </c>
      <c r="GN124" s="99">
        <f>IF(AND(Database!OA57&gt;1,Database!OA69&gt;1),100*(Database!OA57/(Database!OA69)),0.0001)</f>
        <v>1E-4</v>
      </c>
      <c r="GO124" s="99">
        <f>IF(AND(Database!OC57&gt;1,Database!OC69&gt;1),100*(Database!OC57/(Database!OC69)),0.0001)</f>
        <v>1E-4</v>
      </c>
      <c r="GP124" s="99">
        <f>IF(AND(Database!OE57&gt;1,Database!OE69&gt;1),100*(Database!OE57/(Database!OE69)),0.0001)</f>
        <v>1E-4</v>
      </c>
      <c r="GQ124" s="99">
        <f>IF(AND(Database!OG57&gt;1,Database!OG69&gt;1),100*(Database!OG57/(Database!OG69)),0.0001)</f>
        <v>1E-4</v>
      </c>
      <c r="GR124" s="99">
        <f>IF(AND(Database!OI57&gt;1,Database!OI69&gt;1),100*(Database!OI57/(Database!OI69)),0.0001)</f>
        <v>1E-4</v>
      </c>
      <c r="GS124" s="99">
        <f>IF(AND(Database!OK57&gt;1,Database!OK69&gt;1),100*(Database!OK57/(Database!OK69)),0.0001)</f>
        <v>1E-4</v>
      </c>
      <c r="GT124" s="99">
        <f>IF(AND(Database!OM57&gt;1,Database!OM69&gt;1),100*(Database!OM57/(Database!OM69)),0.0001)</f>
        <v>1E-4</v>
      </c>
    </row>
    <row r="125" spans="1:202" ht="18.75" customHeight="1" x14ac:dyDescent="0.4">
      <c r="A125" s="29" t="s">
        <v>135</v>
      </c>
      <c r="B125" s="306"/>
      <c r="C125" s="99">
        <f>IF(AND(Database!E58&gt;1,Database!E59&gt;1),100*(Database!E58/(Database!E59)),0.0001)</f>
        <v>90.65599838461344</v>
      </c>
      <c r="D125" s="99">
        <f>IF(AND(Database!G58&gt;1,Database!G59&gt;1),100*(Database!G58/(Database!G59)),0.0001)</f>
        <v>89.231548988264649</v>
      </c>
      <c r="E125" s="99">
        <f>IF(AND(Database!I58&gt;1,Database!I59&gt;1),100*(Database!I58/(Database!I59)),0.0001)</f>
        <v>89.943265946373856</v>
      </c>
      <c r="F125" s="99">
        <f>IF(AND(Database!K58&gt;1,Database!K59&gt;1),100*(Database!K58/(Database!K59)),0.0001)</f>
        <v>93.097573138297875</v>
      </c>
      <c r="G125" s="99">
        <f>IF(AND(Database!M58&gt;1,Database!M59&gt;1),100*(Database!M58/(Database!M59)),0.0001)</f>
        <v>1E-4</v>
      </c>
      <c r="H125" s="99">
        <f>IF(AND(Database!O58&gt;1,Database!O59&gt;1),100*(Database!O58/(Database!O59)),0.0001)</f>
        <v>1E-4</v>
      </c>
      <c r="I125" s="99">
        <f>IF(AND(Database!Q58&gt;1,Database!Q59&gt;1),100*(Database!Q58/(Database!Q59)),0.0001)</f>
        <v>1E-4</v>
      </c>
      <c r="J125" s="99">
        <f>IF(AND(Database!S58&gt;1,Database!S59&gt;1),100*(Database!S58/(Database!S59)),0.0001)</f>
        <v>1E-4</v>
      </c>
      <c r="K125" s="99">
        <f>IF(AND(Database!U58&gt;1,Database!U59&gt;1),100*(Database!U58/(Database!U59)),0.0001)</f>
        <v>1E-4</v>
      </c>
      <c r="L125" s="99">
        <f>IF(AND(Database!W58&gt;1,Database!W59&gt;1),100*(Database!W58/(Database!W59)),0.0001)</f>
        <v>1E-4</v>
      </c>
      <c r="M125" s="99">
        <f>IF(AND(Database!Y58&gt;1,Database!Y59&gt;1),100*(Database!Y58/(Database!Y59)),0.0001)</f>
        <v>1E-4</v>
      </c>
      <c r="N125" s="99">
        <f>IF(AND(Database!AA58&gt;1,Database!AA59&gt;1),100*(Database!AA58/(Database!AA59)),0.0001)</f>
        <v>1E-4</v>
      </c>
      <c r="O125" s="99">
        <f>IF(AND(Database!AC58&gt;1,Database!AC59&gt;1),100*(Database!AC58/(Database!AC59)),0.0001)</f>
        <v>1E-4</v>
      </c>
      <c r="P125" s="99">
        <f>IF(AND(Database!AE58&gt;1,Database!AE59&gt;1),100*(Database!AE58/(Database!AE59)),0.0001)</f>
        <v>1E-4</v>
      </c>
      <c r="Q125" s="99">
        <f>IF(AND(Database!AG58&gt;1,Database!AG59&gt;1),100*(Database!AG58/(Database!AG59)),0.0001)</f>
        <v>1E-4</v>
      </c>
      <c r="R125" s="99">
        <f>IF(AND(Database!AI58&gt;1,Database!AI59&gt;1),100*(Database!AI58/(Database!AI59)),0.0001)</f>
        <v>1E-4</v>
      </c>
      <c r="S125" s="99">
        <f>IF(AND(Database!AK58&gt;1,Database!AK59&gt;1),100*(Database!AK58/(Database!AK59)),0.0001)</f>
        <v>1E-4</v>
      </c>
      <c r="T125" s="99">
        <f>IF(AND(Database!AM58&gt;1,Database!AM59&gt;1),100*(Database!AM58/(Database!AM59)),0.0001)</f>
        <v>1E-4</v>
      </c>
      <c r="U125" s="99">
        <f>IF(AND(Database!AO58&gt;1,Database!AO59&gt;1),100*(Database!AO58/(Database!AO59)),0.0001)</f>
        <v>1E-4</v>
      </c>
      <c r="V125" s="99">
        <f>IF(AND(Database!AQ58&gt;1,Database!AQ59&gt;1),100*(Database!AQ58/(Database!AQ59)),0.0001)</f>
        <v>1E-4</v>
      </c>
      <c r="W125" s="99">
        <f>IF(AND(Database!AS58&gt;1,Database!AS59&gt;1),100*(Database!AS58/(Database!AS59)),0.0001)</f>
        <v>1E-4</v>
      </c>
      <c r="X125" s="99">
        <f>IF(AND(Database!AU58&gt;1,Database!AU59&gt;1),100*(Database!AU58/(Database!AU59)),0.0001)</f>
        <v>1E-4</v>
      </c>
      <c r="Y125" s="99">
        <f>IF(AND(Database!AW58&gt;1,Database!AW59&gt;1),100*(Database!AW58/(Database!AW59)),0.0001)</f>
        <v>1E-4</v>
      </c>
      <c r="Z125" s="99">
        <f>IF(AND(Database!AY58&gt;1,Database!AY59&gt;1),100*(Database!AY58/(Database!AY59)),0.0001)</f>
        <v>1E-4</v>
      </c>
      <c r="AA125" s="99">
        <f>IF(AND(Database!BA58&gt;1,Database!BA59&gt;1),100*(Database!BA58/(Database!BA59)),0.0001)</f>
        <v>1E-4</v>
      </c>
      <c r="AB125" s="99">
        <f>IF(AND(Database!BC58&gt;1,Database!BC59&gt;1),100*(Database!BC58/(Database!BC59)),0.0001)</f>
        <v>1E-4</v>
      </c>
      <c r="AC125" s="99">
        <f>IF(AND(Database!BE58&gt;1,Database!BE59&gt;1),100*(Database!BE58/(Database!BE59)),0.0001)</f>
        <v>1E-4</v>
      </c>
      <c r="AD125" s="99">
        <f>IF(AND(Database!BG58&gt;1,Database!BG59&gt;1),100*(Database!BG58/(Database!BG59)),0.0001)</f>
        <v>1E-4</v>
      </c>
      <c r="AE125" s="99">
        <f>IF(AND(Database!BI58&gt;1,Database!BI59&gt;1),100*(Database!BI58/(Database!BI59)),0.0001)</f>
        <v>1E-4</v>
      </c>
      <c r="AF125" s="99">
        <f>IF(AND(Database!BK58&gt;1,Database!BK59&gt;1),100*(Database!BK58/(Database!BK59)),0.0001)</f>
        <v>1E-4</v>
      </c>
      <c r="AG125" s="99">
        <f>IF(AND(Database!BM58&gt;1,Database!BM59&gt;1),100*(Database!BM58/(Database!BM59)),0.0001)</f>
        <v>1E-4</v>
      </c>
      <c r="AH125" s="99">
        <f>IF(AND(Database!BO58&gt;1,Database!BO59&gt;1),100*(Database!BO58/(Database!BO59)),0.0001)</f>
        <v>1E-4</v>
      </c>
      <c r="AI125" s="99">
        <f>IF(AND(Database!BQ58&gt;1,Database!BQ59&gt;1),100*(Database!BQ58/(Database!BQ59)),0.0001)</f>
        <v>1E-4</v>
      </c>
      <c r="AJ125" s="99">
        <f>IF(AND(Database!BS58&gt;1,Database!BS59&gt;1),100*(Database!BS58/(Database!BS59)),0.0001)</f>
        <v>1E-4</v>
      </c>
      <c r="AK125" s="99">
        <f>IF(AND(Database!BU58&gt;1,Database!BU59&gt;1),100*(Database!BU58/(Database!BU59)),0.0001)</f>
        <v>1E-4</v>
      </c>
      <c r="AL125" s="99">
        <f>IF(AND(Database!BW58&gt;1,Database!BW59&gt;1),100*(Database!BW58/(Database!BW59)),0.0001)</f>
        <v>1E-4</v>
      </c>
      <c r="AM125" s="99">
        <f>IF(AND(Database!BY58&gt;1,Database!BY59&gt;1),100*(Database!BY58/(Database!BY59)),0.0001)</f>
        <v>1E-4</v>
      </c>
      <c r="AN125" s="99">
        <f>IF(AND(Database!CA58&gt;1,Database!CA59&gt;1),100*(Database!CA58/(Database!CA59)),0.0001)</f>
        <v>1E-4</v>
      </c>
      <c r="AO125" s="99">
        <f>IF(AND(Database!CC58&gt;1,Database!CC59&gt;1),100*(Database!CC58/(Database!CC59)),0.0001)</f>
        <v>1E-4</v>
      </c>
      <c r="AP125" s="99">
        <f>IF(AND(Database!CE58&gt;1,Database!CE59&gt;1),100*(Database!CE58/(Database!CE59)),0.0001)</f>
        <v>1E-4</v>
      </c>
      <c r="AQ125" s="99">
        <f>IF(AND(Database!CG58&gt;1,Database!CG59&gt;1),100*(Database!CG58/(Database!CG59)),0.0001)</f>
        <v>1E-4</v>
      </c>
      <c r="AR125" s="99">
        <f>IF(AND(Database!CI58&gt;1,Database!CI59&gt;1),100*(Database!CI58/(Database!CI59)),0.0001)</f>
        <v>1E-4</v>
      </c>
      <c r="AS125" s="99">
        <f>IF(AND(Database!CK58&gt;1,Database!CK59&gt;1),100*(Database!CK58/(Database!CK59)),0.0001)</f>
        <v>1E-4</v>
      </c>
      <c r="AT125" s="99">
        <f>IF(AND(Database!CM58&gt;1,Database!CM59&gt;1),100*(Database!CM58/(Database!CM59)),0.0001)</f>
        <v>1E-4</v>
      </c>
      <c r="AU125" s="99">
        <f>IF(AND(Database!CO58&gt;1,Database!CO59&gt;1),100*(Database!CO58/(Database!CO59)),0.0001)</f>
        <v>1E-4</v>
      </c>
      <c r="AV125" s="99">
        <f>IF(AND(Database!CQ58&gt;1,Database!CQ59&gt;1),100*(Database!CQ58/(Database!CQ59)),0.0001)</f>
        <v>1E-4</v>
      </c>
      <c r="AW125" s="99">
        <f>IF(AND(Database!CS58&gt;1,Database!CS59&gt;1),100*(Database!CS58/(Database!CS59)),0.0001)</f>
        <v>1E-4</v>
      </c>
      <c r="AX125" s="99">
        <f>IF(AND(Database!CU58&gt;1,Database!CU59&gt;1),100*(Database!CU58/(Database!CU59)),0.0001)</f>
        <v>1E-4</v>
      </c>
      <c r="AY125" s="99">
        <f>IF(AND(Database!CW58&gt;1,Database!CW59&gt;1),100*(Database!CW58/(Database!CW59)),0.0001)</f>
        <v>1E-4</v>
      </c>
      <c r="AZ125" s="99">
        <f>IF(AND(Database!CY58&gt;1,Database!CY59&gt;1),100*(Database!CY58/(Database!CY59)),0.0001)</f>
        <v>1E-4</v>
      </c>
      <c r="BA125" s="99">
        <f>IF(AND(Database!DA58&gt;1,Database!DA59&gt;1),100*(Database!DA58/(Database!DA59)),0.0001)</f>
        <v>1E-4</v>
      </c>
      <c r="BB125" s="99">
        <f>IF(AND(Database!DC58&gt;1,Database!DC59&gt;1),100*(Database!DC58/(Database!DC59)),0.0001)</f>
        <v>1E-4</v>
      </c>
      <c r="BC125" s="99">
        <f>IF(AND(Database!DE58&gt;1,Database!DE59&gt;1),100*(Database!DE58/(Database!DE59)),0.0001)</f>
        <v>1E-4</v>
      </c>
      <c r="BD125" s="99">
        <f>IF(AND(Database!DG58&gt;1,Database!DG59&gt;1),100*(Database!DG58/(Database!DG59)),0.0001)</f>
        <v>1E-4</v>
      </c>
      <c r="BE125" s="99">
        <f>IF(AND(Database!DI58&gt;1,Database!DI59&gt;1),100*(Database!DI58/(Database!DI59)),0.0001)</f>
        <v>1E-4</v>
      </c>
      <c r="BF125" s="99">
        <f>IF(AND(Database!DK58&gt;1,Database!DK59&gt;1),100*(Database!DK58/(Database!DK59)),0.0001)</f>
        <v>1E-4</v>
      </c>
      <c r="BG125" s="99">
        <f>IF(AND(Database!DM58&gt;1,Database!DM59&gt;1),100*(Database!DM58/(Database!DM59)),0.0001)</f>
        <v>1E-4</v>
      </c>
      <c r="BH125" s="99">
        <f>IF(AND(Database!DO58&gt;1,Database!DO59&gt;1),100*(Database!DO58/(Database!DO59)),0.0001)</f>
        <v>1E-4</v>
      </c>
      <c r="BI125" s="99">
        <f>IF(AND(Database!DQ58&gt;1,Database!DQ59&gt;1),100*(Database!DQ58/(Database!DQ59)),0.0001)</f>
        <v>1E-4</v>
      </c>
      <c r="BJ125" s="99">
        <f>IF(AND(Database!DS58&gt;1,Database!DS59&gt;1),100*(Database!DS58/(Database!DS59)),0.0001)</f>
        <v>1E-4</v>
      </c>
      <c r="BK125" s="99">
        <f>IF(AND(Database!DU58&gt;1,Database!DU59&gt;1),100*(Database!DU58/(Database!DU59)),0.0001)</f>
        <v>1E-4</v>
      </c>
      <c r="BL125" s="99">
        <f>IF(AND(Database!DW58&gt;1,Database!DW59&gt;1),100*(Database!DW58/(Database!DW59)),0.0001)</f>
        <v>1E-4</v>
      </c>
      <c r="BM125" s="99">
        <f>IF(AND(Database!DY58&gt;1,Database!DY59&gt;1),100*(Database!DY58/(Database!DY59)),0.0001)</f>
        <v>1E-4</v>
      </c>
      <c r="BN125" s="99">
        <f>IF(AND(Database!EA58&gt;1,Database!EA59&gt;1),100*(Database!EA58/(Database!EA59)),0.0001)</f>
        <v>1E-4</v>
      </c>
      <c r="BO125" s="99">
        <f>IF(AND(Database!EC58&gt;1,Database!EC59&gt;1),100*(Database!EC58/(Database!EC59)),0.0001)</f>
        <v>1E-4</v>
      </c>
      <c r="BP125" s="99">
        <f>IF(AND(Database!EE58&gt;1,Database!EE59&gt;1),100*(Database!EE58/(Database!EE59)),0.0001)</f>
        <v>1E-4</v>
      </c>
      <c r="BQ125" s="99">
        <f>IF(AND(Database!EG58&gt;1,Database!EG59&gt;1),100*(Database!EG58/(Database!EG59)),0.0001)</f>
        <v>1E-4</v>
      </c>
      <c r="BR125" s="99">
        <f>IF(AND(Database!EI58&gt;1,Database!EI59&gt;1),100*(Database!EI58/(Database!EI59)),0.0001)</f>
        <v>1E-4</v>
      </c>
      <c r="BS125" s="99">
        <f>IF(AND(Database!EK58&gt;1,Database!EK59&gt;1),100*(Database!EK58/(Database!EK59)),0.0001)</f>
        <v>1E-4</v>
      </c>
      <c r="BT125" s="99">
        <f>IF(AND(Database!EM58&gt;1,Database!EM59&gt;1),100*(Database!EM58/(Database!EM59)),0.0001)</f>
        <v>1E-4</v>
      </c>
      <c r="BU125" s="99">
        <f>IF(AND(Database!EO58&gt;1,Database!EO59&gt;1),100*(Database!EO58/(Database!EO59)),0.0001)</f>
        <v>1E-4</v>
      </c>
      <c r="BV125" s="99">
        <f>IF(AND(Database!EQ58&gt;1,Database!EQ59&gt;1),100*(Database!EQ58/(Database!EQ59)),0.0001)</f>
        <v>1E-4</v>
      </c>
      <c r="BW125" s="99">
        <f>IF(AND(Database!ES58&gt;1,Database!ES59&gt;1),100*(Database!ES58/(Database!ES59)),0.0001)</f>
        <v>1E-4</v>
      </c>
      <c r="BX125" s="99">
        <f>IF(AND(Database!EU58&gt;1,Database!EU59&gt;1),100*(Database!EU58/(Database!EU59)),0.0001)</f>
        <v>1E-4</v>
      </c>
      <c r="BY125" s="99">
        <f>IF(AND(Database!EW58&gt;1,Database!EW59&gt;1),100*(Database!EW58/(Database!EW59)),0.0001)</f>
        <v>1E-4</v>
      </c>
      <c r="BZ125" s="99">
        <f>IF(AND(Database!EY58&gt;1,Database!EY59&gt;1),100*(Database!EY58/(Database!EY59)),0.0001)</f>
        <v>1E-4</v>
      </c>
      <c r="CA125" s="99">
        <f>IF(AND(Database!FA58&gt;1,Database!FA59&gt;1),100*(Database!FA58/(Database!FA59)),0.0001)</f>
        <v>1E-4</v>
      </c>
      <c r="CB125" s="99">
        <f>IF(AND(Database!FC58&gt;1,Database!FC59&gt;1),100*(Database!FC58/(Database!FC59)),0.0001)</f>
        <v>1E-4</v>
      </c>
      <c r="CC125" s="99">
        <f>IF(AND(Database!FE58&gt;1,Database!FE59&gt;1),100*(Database!FE58/(Database!FE59)),0.0001)</f>
        <v>1E-4</v>
      </c>
      <c r="CD125" s="99">
        <f>IF(AND(Database!FG58&gt;1,Database!FG59&gt;1),100*(Database!FG58/(Database!FG59)),0.0001)</f>
        <v>1E-4</v>
      </c>
      <c r="CE125" s="99">
        <f>IF(AND(Database!FI58&gt;1,Database!FI59&gt;1),100*(Database!FI58/(Database!FI59)),0.0001)</f>
        <v>1E-4</v>
      </c>
      <c r="CF125" s="99">
        <f>IF(AND(Database!FK58&gt;1,Database!FK59&gt;1),100*(Database!FK58/(Database!FK59)),0.0001)</f>
        <v>1E-4</v>
      </c>
      <c r="CG125" s="99">
        <f>IF(AND(Database!FM58&gt;1,Database!FM59&gt;1),100*(Database!FM58/(Database!FM59)),0.0001)</f>
        <v>1E-4</v>
      </c>
      <c r="CH125" s="99">
        <f>IF(AND(Database!FO58&gt;1,Database!FO59&gt;1),100*(Database!FO58/(Database!FO59)),0.0001)</f>
        <v>1E-4</v>
      </c>
      <c r="CI125" s="99">
        <f>IF(AND(Database!FQ58&gt;1,Database!FQ59&gt;1),100*(Database!FQ58/(Database!FQ59)),0.0001)</f>
        <v>1E-4</v>
      </c>
      <c r="CJ125" s="99">
        <f>IF(AND(Database!FS58&gt;1,Database!FS59&gt;1),100*(Database!FS58/(Database!FS59)),0.0001)</f>
        <v>1E-4</v>
      </c>
      <c r="CK125" s="99">
        <f>IF(AND(Database!FU58&gt;1,Database!FU59&gt;1),100*(Database!FU58/(Database!FU59)),0.0001)</f>
        <v>1E-4</v>
      </c>
      <c r="CL125" s="99">
        <f>IF(AND(Database!FW58&gt;1,Database!FW59&gt;1),100*(Database!FW58/(Database!FW59)),0.0001)</f>
        <v>1E-4</v>
      </c>
      <c r="CM125" s="99">
        <f>IF(AND(Database!FY58&gt;1,Database!FY59&gt;1),100*(Database!FY58/(Database!FY59)),0.0001)</f>
        <v>1E-4</v>
      </c>
      <c r="CN125" s="99">
        <f>IF(AND(Database!GA58&gt;1,Database!GA59&gt;1),100*(Database!GA58/(Database!GA59)),0.0001)</f>
        <v>1E-4</v>
      </c>
      <c r="CO125" s="99">
        <f>IF(AND(Database!GC58&gt;1,Database!GC59&gt;1),100*(Database!GC58/(Database!GC59)),0.0001)</f>
        <v>1E-4</v>
      </c>
      <c r="CP125" s="99">
        <f>IF(AND(Database!GE58&gt;1,Database!GE59&gt;1),100*(Database!GE58/(Database!GE59)),0.0001)</f>
        <v>1E-4</v>
      </c>
      <c r="CQ125" s="99">
        <f>IF(AND(Database!GG58&gt;1,Database!GG59&gt;1),100*(Database!GG58/(Database!GG59)),0.0001)</f>
        <v>1E-4</v>
      </c>
      <c r="CR125" s="99">
        <f>IF(AND(Database!GI58&gt;1,Database!GI59&gt;1),100*(Database!GI58/(Database!GI59)),0.0001)</f>
        <v>1E-4</v>
      </c>
      <c r="CS125" s="99">
        <f>IF(AND(Database!GK58&gt;1,Database!GK59&gt;1),100*(Database!GK58/(Database!GK59)),0.0001)</f>
        <v>1E-4</v>
      </c>
      <c r="CT125" s="99">
        <f>IF(AND(Database!GM58&gt;1,Database!GM59&gt;1),100*(Database!GM58/(Database!GM59)),0.0001)</f>
        <v>1E-4</v>
      </c>
      <c r="CU125" s="99">
        <f>IF(AND(Database!GO58&gt;1,Database!GO59&gt;1),100*(Database!GO58/(Database!GO59)),0.0001)</f>
        <v>1E-4</v>
      </c>
      <c r="CV125" s="99">
        <f>IF(AND(Database!GQ58&gt;1,Database!GQ59&gt;1),100*(Database!GQ58/(Database!GQ59)),0.0001)</f>
        <v>1E-4</v>
      </c>
      <c r="CW125" s="99">
        <f>IF(AND(Database!GS58&gt;1,Database!GS59&gt;1),100*(Database!GS58/(Database!GS59)),0.0001)</f>
        <v>1E-4</v>
      </c>
      <c r="CX125" s="99">
        <f>IF(AND(Database!GU58&gt;1,Database!GU59&gt;1),100*(Database!GU58/(Database!GU59)),0.0001)</f>
        <v>1E-4</v>
      </c>
      <c r="CY125" s="99">
        <f>IF(AND(Database!GW58&gt;1,Database!GW59&gt;1),100*(Database!GW58/(Database!GW59)),0.0001)</f>
        <v>1E-4</v>
      </c>
      <c r="CZ125" s="99">
        <f>IF(AND(Database!GY58&gt;1,Database!GY59&gt;1),100*(Database!GY58/(Database!GY59)),0.0001)</f>
        <v>1E-4</v>
      </c>
      <c r="DA125" s="99">
        <f>IF(AND(Database!HA58&gt;1,Database!HA59&gt;1),100*(Database!HA58/(Database!HA59)),0.0001)</f>
        <v>1E-4</v>
      </c>
      <c r="DB125" s="99">
        <f>IF(AND(Database!HC58&gt;1,Database!HC59&gt;1),100*(Database!HC58/(Database!HC59)),0.0001)</f>
        <v>1E-4</v>
      </c>
      <c r="DC125" s="99">
        <f>IF(AND(Database!HE58&gt;1,Database!HE59&gt;1),100*(Database!HE58/(Database!HE59)),0.0001)</f>
        <v>1E-4</v>
      </c>
      <c r="DD125" s="99">
        <f>IF(AND(Database!HG58&gt;1,Database!HG59&gt;1),100*(Database!HG58/(Database!HG59)),0.0001)</f>
        <v>1E-4</v>
      </c>
      <c r="DE125" s="99">
        <f>IF(AND(Database!HI58&gt;1,Database!HI59&gt;1),100*(Database!HI58/(Database!HI59)),0.0001)</f>
        <v>1E-4</v>
      </c>
      <c r="DF125" s="99">
        <f>IF(AND(Database!HK58&gt;1,Database!HK59&gt;1),100*(Database!HK58/(Database!HK59)),0.0001)</f>
        <v>1E-4</v>
      </c>
      <c r="DG125" s="99">
        <f>IF(AND(Database!HM58&gt;1,Database!HM59&gt;1),100*(Database!HM58/(Database!HM59)),0.0001)</f>
        <v>1E-4</v>
      </c>
      <c r="DH125" s="99">
        <f>IF(AND(Database!HO58&gt;1,Database!HO59&gt;1),100*(Database!HO58/(Database!HO59)),0.0001)</f>
        <v>1E-4</v>
      </c>
      <c r="DI125" s="99">
        <f>IF(AND(Database!HQ58&gt;1,Database!HQ59&gt;1),100*(Database!HQ58/(Database!HQ59)),0.0001)</f>
        <v>1E-4</v>
      </c>
      <c r="DJ125" s="99">
        <f>IF(AND(Database!HS58&gt;1,Database!HS59&gt;1),100*(Database!HS58/(Database!HS59)),0.0001)</f>
        <v>1E-4</v>
      </c>
      <c r="DK125" s="99">
        <f>IF(AND(Database!HU58&gt;1,Database!HU59&gt;1),100*(Database!HU58/(Database!HU59)),0.0001)</f>
        <v>1E-4</v>
      </c>
      <c r="DL125" s="99">
        <f>IF(AND(Database!HW58&gt;1,Database!HW59&gt;1),100*(Database!HW58/(Database!HW59)),0.0001)</f>
        <v>1E-4</v>
      </c>
      <c r="DM125" s="99">
        <f>IF(AND(Database!HY58&gt;1,Database!HY59&gt;1),100*(Database!HY58/(Database!HY59)),0.0001)</f>
        <v>1E-4</v>
      </c>
      <c r="DN125" s="99">
        <f>IF(AND(Database!IA58&gt;1,Database!IA59&gt;1),100*(Database!IA58/(Database!IA59)),0.0001)</f>
        <v>1E-4</v>
      </c>
      <c r="DO125" s="99">
        <f>IF(AND(Database!IC58&gt;1,Database!IC59&gt;1),100*(Database!IC58/(Database!IC59)),0.0001)</f>
        <v>1E-4</v>
      </c>
      <c r="DP125" s="99">
        <f>IF(AND(Database!IE58&gt;1,Database!IE59&gt;1),100*(Database!IE58/(Database!IE59)),0.0001)</f>
        <v>1E-4</v>
      </c>
      <c r="DQ125" s="99">
        <f>IF(AND(Database!IG58&gt;1,Database!IG59&gt;1),100*(Database!IG58/(Database!IG59)),0.0001)</f>
        <v>1E-4</v>
      </c>
      <c r="DR125" s="99">
        <f>IF(AND(Database!II58&gt;1,Database!II59&gt;1),100*(Database!II58/(Database!II59)),0.0001)</f>
        <v>1E-4</v>
      </c>
      <c r="DS125" s="99">
        <f>IF(AND(Database!IK58&gt;1,Database!IK59&gt;1),100*(Database!IK58/(Database!IK59)),0.0001)</f>
        <v>1E-4</v>
      </c>
      <c r="DT125" s="99">
        <f>IF(AND(Database!IM58&gt;1,Database!IM59&gt;1),100*(Database!IM58/(Database!IM59)),0.0001)</f>
        <v>1E-4</v>
      </c>
      <c r="DU125" s="99">
        <f>IF(AND(Database!IO58&gt;1,Database!IO59&gt;1),100*(Database!IO58/(Database!IO59)),0.0001)</f>
        <v>1E-4</v>
      </c>
      <c r="DV125" s="99">
        <f>IF(AND(Database!IQ58&gt;1,Database!IQ59&gt;1),100*(Database!IQ58/(Database!IQ59)),0.0001)</f>
        <v>1E-4</v>
      </c>
      <c r="DW125" s="99">
        <f>IF(AND(Database!IS58&gt;1,Database!IS59&gt;1),100*(Database!IS58/(Database!IS59)),0.0001)</f>
        <v>1E-4</v>
      </c>
      <c r="DX125" s="99">
        <f>IF(AND(Database!IU58&gt;1,Database!IU59&gt;1),100*(Database!IU58/(Database!IU59)),0.0001)</f>
        <v>1E-4</v>
      </c>
      <c r="DY125" s="99">
        <f>IF(AND(Database!IW58&gt;1,Database!IW59&gt;1),100*(Database!IW58/(Database!IW59)),0.0001)</f>
        <v>1E-4</v>
      </c>
      <c r="DZ125" s="99">
        <f>IF(AND(Database!IY58&gt;1,Database!IY59&gt;1),100*(Database!IY58/(Database!IY59)),0.0001)</f>
        <v>1E-4</v>
      </c>
      <c r="EA125" s="99">
        <f>IF(AND(Database!JA58&gt;1,Database!JA59&gt;1),100*(Database!JA58/(Database!JA59)),0.0001)</f>
        <v>1E-4</v>
      </c>
      <c r="EB125" s="99">
        <f>IF(AND(Database!JC58&gt;1,Database!JC59&gt;1),100*(Database!JC58/(Database!JC59)),0.0001)</f>
        <v>1E-4</v>
      </c>
      <c r="EC125" s="99">
        <f>IF(AND(Database!JE58&gt;1,Database!JE59&gt;1),100*(Database!JE58/(Database!JE59)),0.0001)</f>
        <v>1E-4</v>
      </c>
      <c r="ED125" s="99">
        <f>IF(AND(Database!JG58&gt;1,Database!JG59&gt;1),100*(Database!JG58/(Database!JG59)),0.0001)</f>
        <v>1E-4</v>
      </c>
      <c r="EE125" s="99">
        <f>IF(AND(Database!JI58&gt;1,Database!JI59&gt;1),100*(Database!JI58/(Database!JI59)),0.0001)</f>
        <v>1E-4</v>
      </c>
      <c r="EF125" s="99">
        <f>IF(AND(Database!JK58&gt;1,Database!JK59&gt;1),100*(Database!JK58/(Database!JK59)),0.0001)</f>
        <v>1E-4</v>
      </c>
      <c r="EG125" s="99">
        <f>IF(AND(Database!JM58&gt;1,Database!JM59&gt;1),100*(Database!JM58/(Database!JM59)),0.0001)</f>
        <v>1E-4</v>
      </c>
      <c r="EH125" s="99">
        <f>IF(AND(Database!JO58&gt;1,Database!JO59&gt;1),100*(Database!JO58/(Database!JO59)),0.0001)</f>
        <v>1E-4</v>
      </c>
      <c r="EI125" s="99">
        <f>IF(AND(Database!JQ58&gt;1,Database!JQ59&gt;1),100*(Database!JQ58/(Database!JQ59)),0.0001)</f>
        <v>1E-4</v>
      </c>
      <c r="EJ125" s="99">
        <f>IF(AND(Database!JS58&gt;1,Database!JS59&gt;1),100*(Database!JS58/(Database!JS59)),0.0001)</f>
        <v>1E-4</v>
      </c>
      <c r="EK125" s="99">
        <f>IF(AND(Database!JU58&gt;1,Database!JU59&gt;1),100*(Database!JU58/(Database!JU59)),0.0001)</f>
        <v>1E-4</v>
      </c>
      <c r="EL125" s="99">
        <f>IF(AND(Database!JW58&gt;1,Database!JW59&gt;1),100*(Database!JW58/(Database!JW59)),0.0001)</f>
        <v>1E-4</v>
      </c>
      <c r="EM125" s="99">
        <f>IF(AND(Database!JY58&gt;1,Database!JY59&gt;1),100*(Database!JY58/(Database!JY59)),0.0001)</f>
        <v>1E-4</v>
      </c>
      <c r="EN125" s="99">
        <f>IF(AND(Database!KA58&gt;1,Database!KA59&gt;1),100*(Database!KA58/(Database!KA59)),0.0001)</f>
        <v>1E-4</v>
      </c>
      <c r="EO125" s="99">
        <f>IF(AND(Database!KC58&gt;1,Database!KC59&gt;1),100*(Database!KC58/(Database!KC59)),0.0001)</f>
        <v>1E-4</v>
      </c>
      <c r="EP125" s="99">
        <f>IF(AND(Database!KE58&gt;1,Database!KE59&gt;1),100*(Database!KE58/(Database!KE59)),0.0001)</f>
        <v>1E-4</v>
      </c>
      <c r="EQ125" s="99">
        <f>IF(AND(Database!KG58&gt;1,Database!KG59&gt;1),100*(Database!KG58/(Database!KG59)),0.0001)</f>
        <v>1E-4</v>
      </c>
      <c r="ER125" s="99">
        <f>IF(AND(Database!KI58&gt;1,Database!KI59&gt;1),100*(Database!KI58/(Database!KI59)),0.0001)</f>
        <v>1E-4</v>
      </c>
      <c r="ES125" s="99">
        <f>IF(AND(Database!KK58&gt;1,Database!KK59&gt;1),100*(Database!KK58/(Database!KK59)),0.0001)</f>
        <v>1E-4</v>
      </c>
      <c r="ET125" s="99">
        <f>IF(AND(Database!KM58&gt;1,Database!KM59&gt;1),100*(Database!KM58/(Database!KM59)),0.0001)</f>
        <v>1E-4</v>
      </c>
      <c r="EU125" s="99">
        <f>IF(AND(Database!KO58&gt;1,Database!KO59&gt;1),100*(Database!KO58/(Database!KO59)),0.0001)</f>
        <v>1E-4</v>
      </c>
      <c r="EV125" s="99">
        <f>IF(AND(Database!KQ58&gt;1,Database!KQ59&gt;1),100*(Database!KQ58/(Database!KQ59)),0.0001)</f>
        <v>1E-4</v>
      </c>
      <c r="EW125" s="99">
        <f>IF(AND(Database!KS58&gt;1,Database!KS59&gt;1),100*(Database!KS58/(Database!KS59)),0.0001)</f>
        <v>1E-4</v>
      </c>
      <c r="EX125" s="99">
        <f>IF(AND(Database!KU58&gt;1,Database!KU59&gt;1),100*(Database!KU58/(Database!KU59)),0.0001)</f>
        <v>1E-4</v>
      </c>
      <c r="EY125" s="99">
        <f>IF(AND(Database!KW58&gt;1,Database!KW59&gt;1),100*(Database!KW58/(Database!KW59)),0.0001)</f>
        <v>1E-4</v>
      </c>
      <c r="EZ125" s="99">
        <f>IF(AND(Database!KY58&gt;1,Database!KY59&gt;1),100*(Database!KY58/(Database!KY59)),0.0001)</f>
        <v>1E-4</v>
      </c>
      <c r="FA125" s="99">
        <f>IF(AND(Database!LA58&gt;1,Database!LA59&gt;1),100*(Database!LA58/(Database!LA59)),0.0001)</f>
        <v>1E-4</v>
      </c>
      <c r="FB125" s="99">
        <f>IF(AND(Database!LC58&gt;1,Database!LC59&gt;1),100*(Database!LC58/(Database!LC59)),0.0001)</f>
        <v>1E-4</v>
      </c>
      <c r="FC125" s="99">
        <f>IF(AND(Database!LE58&gt;1,Database!LE59&gt;1),100*(Database!LE58/(Database!LE59)),0.0001)</f>
        <v>1E-4</v>
      </c>
      <c r="FD125" s="99">
        <f>IF(AND(Database!LG58&gt;1,Database!LG59&gt;1),100*(Database!LG58/(Database!LG59)),0.0001)</f>
        <v>1E-4</v>
      </c>
      <c r="FE125" s="99">
        <f>IF(AND(Database!LI58&gt;1,Database!LI59&gt;1),100*(Database!LI58/(Database!LI59)),0.0001)</f>
        <v>1E-4</v>
      </c>
      <c r="FF125" s="99">
        <f>IF(AND(Database!LK58&gt;1,Database!LK59&gt;1),100*(Database!LK58/(Database!LK59)),0.0001)</f>
        <v>1E-4</v>
      </c>
      <c r="FG125" s="99">
        <f>IF(AND(Database!LM58&gt;1,Database!LM59&gt;1),100*(Database!LM58/(Database!LM59)),0.0001)</f>
        <v>1E-4</v>
      </c>
      <c r="FH125" s="99">
        <f>IF(AND(Database!LO58&gt;1,Database!LO59&gt;1),100*(Database!LO58/(Database!LO59)),0.0001)</f>
        <v>1E-4</v>
      </c>
      <c r="FI125" s="99">
        <f>IF(AND(Database!LQ58&gt;1,Database!LQ59&gt;1),100*(Database!LQ58/(Database!LQ59)),0.0001)</f>
        <v>1E-4</v>
      </c>
      <c r="FJ125" s="99">
        <f>IF(AND(Database!LS58&gt;1,Database!LS59&gt;1),100*(Database!LS58/(Database!LS59)),0.0001)</f>
        <v>1E-4</v>
      </c>
      <c r="FK125" s="99">
        <f>IF(AND(Database!LU58&gt;1,Database!LU59&gt;1),100*(Database!LU58/(Database!LU59)),0.0001)</f>
        <v>1E-4</v>
      </c>
      <c r="FL125" s="99">
        <f>IF(AND(Database!LW58&gt;1,Database!LW59&gt;1),100*(Database!LW58/(Database!LW59)),0.0001)</f>
        <v>1E-4</v>
      </c>
      <c r="FM125" s="99">
        <f>IF(AND(Database!LY58&gt;1,Database!LY59&gt;1),100*(Database!LY58/(Database!LY59)),0.0001)</f>
        <v>1E-4</v>
      </c>
      <c r="FN125" s="99">
        <f>IF(AND(Database!MA58&gt;1,Database!MA59&gt;1),100*(Database!MA58/(Database!MA59)),0.0001)</f>
        <v>1E-4</v>
      </c>
      <c r="FO125" s="99">
        <f>IF(AND(Database!MC58&gt;1,Database!MC59&gt;1),100*(Database!MC58/(Database!MC59)),0.0001)</f>
        <v>1E-4</v>
      </c>
      <c r="FP125" s="99">
        <f>IF(AND(Database!ME58&gt;1,Database!ME59&gt;1),100*(Database!ME58/(Database!ME59)),0.0001)</f>
        <v>1E-4</v>
      </c>
      <c r="FQ125" s="99">
        <f>IF(AND(Database!MG58&gt;1,Database!MG59&gt;1),100*(Database!MG58/(Database!MG59)),0.0001)</f>
        <v>1E-4</v>
      </c>
      <c r="FR125" s="99">
        <f>IF(AND(Database!MI58&gt;1,Database!MI59&gt;1),100*(Database!MI58/(Database!MI59)),0.0001)</f>
        <v>1E-4</v>
      </c>
      <c r="FS125" s="99">
        <f>IF(AND(Database!MK58&gt;1,Database!MK59&gt;1),100*(Database!MK58/(Database!MK59)),0.0001)</f>
        <v>1E-4</v>
      </c>
      <c r="FT125" s="99">
        <f>IF(AND(Database!MM58&gt;1,Database!MM59&gt;1),100*(Database!MM58/(Database!MM59)),0.0001)</f>
        <v>1E-4</v>
      </c>
      <c r="FU125" s="99">
        <f>IF(AND(Database!MO58&gt;1,Database!MO59&gt;1),100*(Database!MO58/(Database!MO59)),0.0001)</f>
        <v>1E-4</v>
      </c>
      <c r="FV125" s="99">
        <f>IF(AND(Database!MQ58&gt;1,Database!MQ59&gt;1),100*(Database!MQ58/(Database!MQ59)),0.0001)</f>
        <v>1E-4</v>
      </c>
      <c r="FW125" s="99">
        <f>IF(AND(Database!MS58&gt;1,Database!MS59&gt;1),100*(Database!MS58/(Database!MS59)),0.0001)</f>
        <v>1E-4</v>
      </c>
      <c r="FX125" s="99">
        <f>IF(AND(Database!MU58&gt;1,Database!MU59&gt;1),100*(Database!MU58/(Database!MU59)),0.0001)</f>
        <v>1E-4</v>
      </c>
      <c r="FY125" s="99">
        <f>IF(AND(Database!MW58&gt;1,Database!MW59&gt;1),100*(Database!MW58/(Database!MW59)),0.0001)</f>
        <v>1E-4</v>
      </c>
      <c r="FZ125" s="99">
        <f>IF(AND(Database!MY58&gt;1,Database!MY59&gt;1),100*(Database!MY58/(Database!MY59)),0.0001)</f>
        <v>1E-4</v>
      </c>
      <c r="GA125" s="99">
        <f>IF(AND(Database!NA58&gt;1,Database!NA59&gt;1),100*(Database!NA58/(Database!NA59)),0.0001)</f>
        <v>1E-4</v>
      </c>
      <c r="GB125" s="99">
        <f>IF(AND(Database!NC58&gt;1,Database!NC59&gt;1),100*(Database!NC58/(Database!NC59)),0.0001)</f>
        <v>1E-4</v>
      </c>
      <c r="GC125" s="99">
        <f>IF(AND(Database!NE58&gt;1,Database!NE59&gt;1),100*(Database!NE58/(Database!NE59)),0.0001)</f>
        <v>1E-4</v>
      </c>
      <c r="GD125" s="99">
        <f>IF(AND(Database!NG58&gt;1,Database!NG59&gt;1),100*(Database!NG58/(Database!NG59)),0.0001)</f>
        <v>1E-4</v>
      </c>
      <c r="GE125" s="99">
        <f>IF(AND(Database!NI58&gt;1,Database!NI59&gt;1),100*(Database!NI58/(Database!NI59)),0.0001)</f>
        <v>1E-4</v>
      </c>
      <c r="GF125" s="99">
        <f>IF(AND(Database!NK58&gt;1,Database!NK59&gt;1),100*(Database!NK58/(Database!NK59)),0.0001)</f>
        <v>1E-4</v>
      </c>
      <c r="GG125" s="99">
        <f>IF(AND(Database!NM58&gt;1,Database!NM59&gt;1),100*(Database!NM58/(Database!NM59)),0.0001)</f>
        <v>1E-4</v>
      </c>
      <c r="GH125" s="99">
        <f>IF(AND(Database!NO58&gt;1,Database!NO59&gt;1),100*(Database!NO58/(Database!NO59)),0.0001)</f>
        <v>1E-4</v>
      </c>
      <c r="GI125" s="99">
        <f>IF(AND(Database!NQ58&gt;1,Database!NQ59&gt;1),100*(Database!NQ58/(Database!NQ59)),0.0001)</f>
        <v>1E-4</v>
      </c>
      <c r="GJ125" s="99">
        <f>IF(AND(Database!NS58&gt;1,Database!NS59&gt;1),100*(Database!NS58/(Database!NS59)),0.0001)</f>
        <v>1E-4</v>
      </c>
      <c r="GK125" s="99">
        <f>IF(AND(Database!NU58&gt;1,Database!NU59&gt;1),100*(Database!NU58/(Database!NU59)),0.0001)</f>
        <v>1E-4</v>
      </c>
      <c r="GL125" s="99">
        <f>IF(AND(Database!NW58&gt;1,Database!NW59&gt;1),100*(Database!NW58/(Database!NW59)),0.0001)</f>
        <v>1E-4</v>
      </c>
      <c r="GM125" s="99">
        <f>IF(AND(Database!NY58&gt;1,Database!NY59&gt;1),100*(Database!NY58/(Database!NY59)),0.0001)</f>
        <v>1E-4</v>
      </c>
      <c r="GN125" s="99">
        <f>IF(AND(Database!OA58&gt;1,Database!OA59&gt;1),100*(Database!OA58/(Database!OA59)),0.0001)</f>
        <v>1E-4</v>
      </c>
      <c r="GO125" s="99">
        <f>IF(AND(Database!OC58&gt;1,Database!OC59&gt;1),100*(Database!OC58/(Database!OC59)),0.0001)</f>
        <v>1E-4</v>
      </c>
      <c r="GP125" s="99">
        <f>IF(AND(Database!OE58&gt;1,Database!OE59&gt;1),100*(Database!OE58/(Database!OE59)),0.0001)</f>
        <v>1E-4</v>
      </c>
      <c r="GQ125" s="99">
        <f>IF(AND(Database!OG58&gt;1,Database!OG59&gt;1),100*(Database!OG58/(Database!OG59)),0.0001)</f>
        <v>1E-4</v>
      </c>
      <c r="GR125" s="99">
        <f>IF(AND(Database!OI58&gt;1,Database!OI59&gt;1),100*(Database!OI58/(Database!OI59)),0.0001)</f>
        <v>1E-4</v>
      </c>
      <c r="GS125" s="99">
        <f>IF(AND(Database!OK58&gt;1,Database!OK59&gt;1),100*(Database!OK58/(Database!OK59)),0.0001)</f>
        <v>1E-4</v>
      </c>
      <c r="GT125" s="99">
        <f>IF(AND(Database!OM58&gt;1,Database!OM59&gt;1),100*(Database!OM58/(Database!OM59)),0.0001)</f>
        <v>1E-4</v>
      </c>
    </row>
    <row r="126" spans="1:202" ht="18.75" customHeight="1" x14ac:dyDescent="0.4">
      <c r="A126" s="29" t="s">
        <v>136</v>
      </c>
      <c r="B126" s="306"/>
      <c r="C126" s="99">
        <f>IF(AND(Database!E60&gt;1,Database!E59&gt;1),100*(Database!E60/(Database!E59)),0.0001)</f>
        <v>71.066912340038868</v>
      </c>
      <c r="D126" s="99">
        <f>IF(AND(Database!G60&gt;1,Database!G59&gt;1),100*(Database!G60/(Database!G59)),0.0001)</f>
        <v>83.86681741978245</v>
      </c>
      <c r="E126" s="99">
        <f>IF(AND(Database!I60&gt;1,Database!I59&gt;1),100*(Database!I60/(Database!I59)),0.0001)</f>
        <v>84.881181006553007</v>
      </c>
      <c r="F126" s="99">
        <f>IF(AND(Database!K60&gt;1,Database!K59&gt;1),100*(Database!K60/(Database!K59)),0.0001)</f>
        <v>88.1565824468085</v>
      </c>
      <c r="G126" s="99">
        <f>IF(AND(Database!M60&gt;1,Database!M59&gt;1),100*(Database!M60/(Database!M59)),0.0001)</f>
        <v>1E-4</v>
      </c>
      <c r="H126" s="99">
        <f>IF(AND(Database!O60&gt;1,Database!O59&gt;1),100*(Database!O60/(Database!O59)),0.0001)</f>
        <v>1E-4</v>
      </c>
      <c r="I126" s="99">
        <f>IF(AND(Database!Q60&gt;1,Database!Q59&gt;1),100*(Database!Q60/(Database!Q59)),0.0001)</f>
        <v>1E-4</v>
      </c>
      <c r="J126" s="99">
        <f>IF(AND(Database!S60&gt;1,Database!S59&gt;1),100*(Database!S60/(Database!S59)),0.0001)</f>
        <v>1E-4</v>
      </c>
      <c r="K126" s="99">
        <f>IF(AND(Database!U60&gt;1,Database!U59&gt;1),100*(Database!U60/(Database!U59)),0.0001)</f>
        <v>1E-4</v>
      </c>
      <c r="L126" s="99">
        <f>IF(AND(Database!W60&gt;1,Database!W59&gt;1),100*(Database!W60/(Database!W59)),0.0001)</f>
        <v>1E-4</v>
      </c>
      <c r="M126" s="99">
        <f>IF(AND(Database!Y60&gt;1,Database!Y59&gt;1),100*(Database!Y60/(Database!Y59)),0.0001)</f>
        <v>1E-4</v>
      </c>
      <c r="N126" s="99">
        <f>IF(AND(Database!AA60&gt;1,Database!AA59&gt;1),100*(Database!AA60/(Database!AA59)),0.0001)</f>
        <v>1E-4</v>
      </c>
      <c r="O126" s="99">
        <f>IF(AND(Database!AC60&gt;1,Database!AC59&gt;1),100*(Database!AC60/(Database!AC59)),0.0001)</f>
        <v>1E-4</v>
      </c>
      <c r="P126" s="99">
        <f>IF(AND(Database!AE60&gt;1,Database!AE59&gt;1),100*(Database!AE60/(Database!AE59)),0.0001)</f>
        <v>1E-4</v>
      </c>
      <c r="Q126" s="99">
        <f>IF(AND(Database!AG60&gt;1,Database!AG59&gt;1),100*(Database!AG60/(Database!AG59)),0.0001)</f>
        <v>1E-4</v>
      </c>
      <c r="R126" s="99">
        <f>IF(AND(Database!AI60&gt;1,Database!AI59&gt;1),100*(Database!AI60/(Database!AI59)),0.0001)</f>
        <v>1E-4</v>
      </c>
      <c r="S126" s="99">
        <f>IF(AND(Database!AK60&gt;1,Database!AK59&gt;1),100*(Database!AK60/(Database!AK59)),0.0001)</f>
        <v>1E-4</v>
      </c>
      <c r="T126" s="99">
        <f>IF(AND(Database!AM60&gt;1,Database!AM59&gt;1),100*(Database!AM60/(Database!AM59)),0.0001)</f>
        <v>1E-4</v>
      </c>
      <c r="U126" s="99">
        <f>IF(AND(Database!AO60&gt;1,Database!AO59&gt;1),100*(Database!AO60/(Database!AO59)),0.0001)</f>
        <v>1E-4</v>
      </c>
      <c r="V126" s="99">
        <f>IF(AND(Database!AQ60&gt;1,Database!AQ59&gt;1),100*(Database!AQ60/(Database!AQ59)),0.0001)</f>
        <v>1E-4</v>
      </c>
      <c r="W126" s="99">
        <f>IF(AND(Database!AS60&gt;1,Database!AS59&gt;1),100*(Database!AS60/(Database!AS59)),0.0001)</f>
        <v>1E-4</v>
      </c>
      <c r="X126" s="99">
        <f>IF(AND(Database!AU60&gt;1,Database!AU59&gt;1),100*(Database!AU60/(Database!AU59)),0.0001)</f>
        <v>1E-4</v>
      </c>
      <c r="Y126" s="99">
        <f>IF(AND(Database!AW60&gt;1,Database!AW59&gt;1),100*(Database!AW60/(Database!AW59)),0.0001)</f>
        <v>1E-4</v>
      </c>
      <c r="Z126" s="99">
        <f>IF(AND(Database!AY60&gt;1,Database!AY59&gt;1),100*(Database!AY60/(Database!AY59)),0.0001)</f>
        <v>1E-4</v>
      </c>
      <c r="AA126" s="99">
        <f>IF(AND(Database!BA60&gt;1,Database!BA59&gt;1),100*(Database!BA60/(Database!BA59)),0.0001)</f>
        <v>1E-4</v>
      </c>
      <c r="AB126" s="99">
        <f>IF(AND(Database!BC60&gt;1,Database!BC59&gt;1),100*(Database!BC60/(Database!BC59)),0.0001)</f>
        <v>1E-4</v>
      </c>
      <c r="AC126" s="99">
        <f>IF(AND(Database!BE60&gt;1,Database!BE59&gt;1),100*(Database!BE60/(Database!BE59)),0.0001)</f>
        <v>1E-4</v>
      </c>
      <c r="AD126" s="99">
        <f>IF(AND(Database!BG60&gt;1,Database!BG59&gt;1),100*(Database!BG60/(Database!BG59)),0.0001)</f>
        <v>1E-4</v>
      </c>
      <c r="AE126" s="99">
        <f>IF(AND(Database!BI60&gt;1,Database!BI59&gt;1),100*(Database!BI60/(Database!BI59)),0.0001)</f>
        <v>1E-4</v>
      </c>
      <c r="AF126" s="99">
        <f>IF(AND(Database!BK60&gt;1,Database!BK59&gt;1),100*(Database!BK60/(Database!BK59)),0.0001)</f>
        <v>1E-4</v>
      </c>
      <c r="AG126" s="99">
        <f>IF(AND(Database!BM60&gt;1,Database!BM59&gt;1),100*(Database!BM60/(Database!BM59)),0.0001)</f>
        <v>1E-4</v>
      </c>
      <c r="AH126" s="99">
        <f>IF(AND(Database!BO60&gt;1,Database!BO59&gt;1),100*(Database!BO60/(Database!BO59)),0.0001)</f>
        <v>1E-4</v>
      </c>
      <c r="AI126" s="99">
        <f>IF(AND(Database!BQ60&gt;1,Database!BQ59&gt;1),100*(Database!BQ60/(Database!BQ59)),0.0001)</f>
        <v>1E-4</v>
      </c>
      <c r="AJ126" s="99">
        <f>IF(AND(Database!BS60&gt;1,Database!BS59&gt;1),100*(Database!BS60/(Database!BS59)),0.0001)</f>
        <v>1E-4</v>
      </c>
      <c r="AK126" s="99">
        <f>IF(AND(Database!BU60&gt;1,Database!BU59&gt;1),100*(Database!BU60/(Database!BU59)),0.0001)</f>
        <v>1E-4</v>
      </c>
      <c r="AL126" s="99">
        <f>IF(AND(Database!BW60&gt;1,Database!BW59&gt;1),100*(Database!BW60/(Database!BW59)),0.0001)</f>
        <v>1E-4</v>
      </c>
      <c r="AM126" s="99">
        <f>IF(AND(Database!BY60&gt;1,Database!BY59&gt;1),100*(Database!BY60/(Database!BY59)),0.0001)</f>
        <v>1E-4</v>
      </c>
      <c r="AN126" s="99">
        <f>IF(AND(Database!CA60&gt;1,Database!CA59&gt;1),100*(Database!CA60/(Database!CA59)),0.0001)</f>
        <v>1E-4</v>
      </c>
      <c r="AO126" s="99">
        <f>IF(AND(Database!CC60&gt;1,Database!CC59&gt;1),100*(Database!CC60/(Database!CC59)),0.0001)</f>
        <v>1E-4</v>
      </c>
      <c r="AP126" s="99">
        <f>IF(AND(Database!CE60&gt;1,Database!CE59&gt;1),100*(Database!CE60/(Database!CE59)),0.0001)</f>
        <v>1E-4</v>
      </c>
      <c r="AQ126" s="99">
        <f>IF(AND(Database!CG60&gt;1,Database!CG59&gt;1),100*(Database!CG60/(Database!CG59)),0.0001)</f>
        <v>1E-4</v>
      </c>
      <c r="AR126" s="99">
        <f>IF(AND(Database!CI60&gt;1,Database!CI59&gt;1),100*(Database!CI60/(Database!CI59)),0.0001)</f>
        <v>1E-4</v>
      </c>
      <c r="AS126" s="99">
        <f>IF(AND(Database!CK60&gt;1,Database!CK59&gt;1),100*(Database!CK60/(Database!CK59)),0.0001)</f>
        <v>1E-4</v>
      </c>
      <c r="AT126" s="99">
        <f>IF(AND(Database!CM60&gt;1,Database!CM59&gt;1),100*(Database!CM60/(Database!CM59)),0.0001)</f>
        <v>1E-4</v>
      </c>
      <c r="AU126" s="99">
        <f>IF(AND(Database!CO60&gt;1,Database!CO59&gt;1),100*(Database!CO60/(Database!CO59)),0.0001)</f>
        <v>1E-4</v>
      </c>
      <c r="AV126" s="99">
        <f>IF(AND(Database!CQ60&gt;1,Database!CQ59&gt;1),100*(Database!CQ60/(Database!CQ59)),0.0001)</f>
        <v>1E-4</v>
      </c>
      <c r="AW126" s="99">
        <f>IF(AND(Database!CS60&gt;1,Database!CS59&gt;1),100*(Database!CS60/(Database!CS59)),0.0001)</f>
        <v>1E-4</v>
      </c>
      <c r="AX126" s="99">
        <f>IF(AND(Database!CU60&gt;1,Database!CU59&gt;1),100*(Database!CU60/(Database!CU59)),0.0001)</f>
        <v>1E-4</v>
      </c>
      <c r="AY126" s="99">
        <f>IF(AND(Database!CW60&gt;1,Database!CW59&gt;1),100*(Database!CW60/(Database!CW59)),0.0001)</f>
        <v>1E-4</v>
      </c>
      <c r="AZ126" s="99">
        <f>IF(AND(Database!CY60&gt;1,Database!CY59&gt;1),100*(Database!CY60/(Database!CY59)),0.0001)</f>
        <v>1E-4</v>
      </c>
      <c r="BA126" s="99">
        <f>IF(AND(Database!DA60&gt;1,Database!DA59&gt;1),100*(Database!DA60/(Database!DA59)),0.0001)</f>
        <v>1E-4</v>
      </c>
      <c r="BB126" s="99">
        <f>IF(AND(Database!DC60&gt;1,Database!DC59&gt;1),100*(Database!DC60/(Database!DC59)),0.0001)</f>
        <v>1E-4</v>
      </c>
      <c r="BC126" s="99">
        <f>IF(AND(Database!DE60&gt;1,Database!DE59&gt;1),100*(Database!DE60/(Database!DE59)),0.0001)</f>
        <v>1E-4</v>
      </c>
      <c r="BD126" s="99">
        <f>IF(AND(Database!DG60&gt;1,Database!DG59&gt;1),100*(Database!DG60/(Database!DG59)),0.0001)</f>
        <v>1E-4</v>
      </c>
      <c r="BE126" s="99">
        <f>IF(AND(Database!DI60&gt;1,Database!DI59&gt;1),100*(Database!DI60/(Database!DI59)),0.0001)</f>
        <v>1E-4</v>
      </c>
      <c r="BF126" s="99">
        <f>IF(AND(Database!DK60&gt;1,Database!DK59&gt;1),100*(Database!DK60/(Database!DK59)),0.0001)</f>
        <v>1E-4</v>
      </c>
      <c r="BG126" s="99">
        <f>IF(AND(Database!DM60&gt;1,Database!DM59&gt;1),100*(Database!DM60/(Database!DM59)),0.0001)</f>
        <v>1E-4</v>
      </c>
      <c r="BH126" s="99">
        <f>IF(AND(Database!DO60&gt;1,Database!DO59&gt;1),100*(Database!DO60/(Database!DO59)),0.0001)</f>
        <v>1E-4</v>
      </c>
      <c r="BI126" s="99">
        <f>IF(AND(Database!DQ60&gt;1,Database!DQ59&gt;1),100*(Database!DQ60/(Database!DQ59)),0.0001)</f>
        <v>1E-4</v>
      </c>
      <c r="BJ126" s="99">
        <f>IF(AND(Database!DS60&gt;1,Database!DS59&gt;1),100*(Database!DS60/(Database!DS59)),0.0001)</f>
        <v>1E-4</v>
      </c>
      <c r="BK126" s="99">
        <f>IF(AND(Database!DU60&gt;1,Database!DU59&gt;1),100*(Database!DU60/(Database!DU59)),0.0001)</f>
        <v>1E-4</v>
      </c>
      <c r="BL126" s="99">
        <f>IF(AND(Database!DW60&gt;1,Database!DW59&gt;1),100*(Database!DW60/(Database!DW59)),0.0001)</f>
        <v>1E-4</v>
      </c>
      <c r="BM126" s="99">
        <f>IF(AND(Database!DY60&gt;1,Database!DY59&gt;1),100*(Database!DY60/(Database!DY59)),0.0001)</f>
        <v>1E-4</v>
      </c>
      <c r="BN126" s="99">
        <f>IF(AND(Database!EA60&gt;1,Database!EA59&gt;1),100*(Database!EA60/(Database!EA59)),0.0001)</f>
        <v>1E-4</v>
      </c>
      <c r="BO126" s="99">
        <f>IF(AND(Database!EC60&gt;1,Database!EC59&gt;1),100*(Database!EC60/(Database!EC59)),0.0001)</f>
        <v>1E-4</v>
      </c>
      <c r="BP126" s="99">
        <f>IF(AND(Database!EE60&gt;1,Database!EE59&gt;1),100*(Database!EE60/(Database!EE59)),0.0001)</f>
        <v>1E-4</v>
      </c>
      <c r="BQ126" s="99">
        <f>IF(AND(Database!EG60&gt;1,Database!EG59&gt;1),100*(Database!EG60/(Database!EG59)),0.0001)</f>
        <v>1E-4</v>
      </c>
      <c r="BR126" s="99">
        <f>IF(AND(Database!EI60&gt;1,Database!EI59&gt;1),100*(Database!EI60/(Database!EI59)),0.0001)</f>
        <v>1E-4</v>
      </c>
      <c r="BS126" s="99">
        <f>IF(AND(Database!EK60&gt;1,Database!EK59&gt;1),100*(Database!EK60/(Database!EK59)),0.0001)</f>
        <v>1E-4</v>
      </c>
      <c r="BT126" s="99">
        <f>IF(AND(Database!EM60&gt;1,Database!EM59&gt;1),100*(Database!EM60/(Database!EM59)),0.0001)</f>
        <v>1E-4</v>
      </c>
      <c r="BU126" s="99">
        <f>IF(AND(Database!EO60&gt;1,Database!EO59&gt;1),100*(Database!EO60/(Database!EO59)),0.0001)</f>
        <v>1E-4</v>
      </c>
      <c r="BV126" s="99">
        <f>IF(AND(Database!EQ60&gt;1,Database!EQ59&gt;1),100*(Database!EQ60/(Database!EQ59)),0.0001)</f>
        <v>1E-4</v>
      </c>
      <c r="BW126" s="99">
        <f>IF(AND(Database!ES60&gt;1,Database!ES59&gt;1),100*(Database!ES60/(Database!ES59)),0.0001)</f>
        <v>1E-4</v>
      </c>
      <c r="BX126" s="99">
        <f>IF(AND(Database!EU60&gt;1,Database!EU59&gt;1),100*(Database!EU60/(Database!EU59)),0.0001)</f>
        <v>1E-4</v>
      </c>
      <c r="BY126" s="99">
        <f>IF(AND(Database!EW60&gt;1,Database!EW59&gt;1),100*(Database!EW60/(Database!EW59)),0.0001)</f>
        <v>1E-4</v>
      </c>
      <c r="BZ126" s="99">
        <f>IF(AND(Database!EY60&gt;1,Database!EY59&gt;1),100*(Database!EY60/(Database!EY59)),0.0001)</f>
        <v>1E-4</v>
      </c>
      <c r="CA126" s="99">
        <f>IF(AND(Database!FA60&gt;1,Database!FA59&gt;1),100*(Database!FA60/(Database!FA59)),0.0001)</f>
        <v>1E-4</v>
      </c>
      <c r="CB126" s="99">
        <f>IF(AND(Database!FC60&gt;1,Database!FC59&gt;1),100*(Database!FC60/(Database!FC59)),0.0001)</f>
        <v>1E-4</v>
      </c>
      <c r="CC126" s="99">
        <f>IF(AND(Database!FE60&gt;1,Database!FE59&gt;1),100*(Database!FE60/(Database!FE59)),0.0001)</f>
        <v>1E-4</v>
      </c>
      <c r="CD126" s="99">
        <f>IF(AND(Database!FG60&gt;1,Database!FG59&gt;1),100*(Database!FG60/(Database!FG59)),0.0001)</f>
        <v>1E-4</v>
      </c>
      <c r="CE126" s="99">
        <f>IF(AND(Database!FI60&gt;1,Database!FI59&gt;1),100*(Database!FI60/(Database!FI59)),0.0001)</f>
        <v>1E-4</v>
      </c>
      <c r="CF126" s="99">
        <f>IF(AND(Database!FK60&gt;1,Database!FK59&gt;1),100*(Database!FK60/(Database!FK59)),0.0001)</f>
        <v>1E-4</v>
      </c>
      <c r="CG126" s="99">
        <f>IF(AND(Database!FM60&gt;1,Database!FM59&gt;1),100*(Database!FM60/(Database!FM59)),0.0001)</f>
        <v>1E-4</v>
      </c>
      <c r="CH126" s="99">
        <f>IF(AND(Database!FO60&gt;1,Database!FO59&gt;1),100*(Database!FO60/(Database!FO59)),0.0001)</f>
        <v>1E-4</v>
      </c>
      <c r="CI126" s="99">
        <f>IF(AND(Database!FQ60&gt;1,Database!FQ59&gt;1),100*(Database!FQ60/(Database!FQ59)),0.0001)</f>
        <v>1E-4</v>
      </c>
      <c r="CJ126" s="99">
        <f>IF(AND(Database!FS60&gt;1,Database!FS59&gt;1),100*(Database!FS60/(Database!FS59)),0.0001)</f>
        <v>1E-4</v>
      </c>
      <c r="CK126" s="99">
        <f>IF(AND(Database!FU60&gt;1,Database!FU59&gt;1),100*(Database!FU60/(Database!FU59)),0.0001)</f>
        <v>1E-4</v>
      </c>
      <c r="CL126" s="99">
        <f>IF(AND(Database!FW60&gt;1,Database!FW59&gt;1),100*(Database!FW60/(Database!FW59)),0.0001)</f>
        <v>1E-4</v>
      </c>
      <c r="CM126" s="99">
        <f>IF(AND(Database!FY60&gt;1,Database!FY59&gt;1),100*(Database!FY60/(Database!FY59)),0.0001)</f>
        <v>1E-4</v>
      </c>
      <c r="CN126" s="99">
        <f>IF(AND(Database!GA60&gt;1,Database!GA59&gt;1),100*(Database!GA60/(Database!GA59)),0.0001)</f>
        <v>1E-4</v>
      </c>
      <c r="CO126" s="99">
        <f>IF(AND(Database!GC60&gt;1,Database!GC59&gt;1),100*(Database!GC60/(Database!GC59)),0.0001)</f>
        <v>1E-4</v>
      </c>
      <c r="CP126" s="99">
        <f>IF(AND(Database!GE60&gt;1,Database!GE59&gt;1),100*(Database!GE60/(Database!GE59)),0.0001)</f>
        <v>1E-4</v>
      </c>
      <c r="CQ126" s="99">
        <f>IF(AND(Database!GG60&gt;1,Database!GG59&gt;1),100*(Database!GG60/(Database!GG59)),0.0001)</f>
        <v>1E-4</v>
      </c>
      <c r="CR126" s="99">
        <f>IF(AND(Database!GI60&gt;1,Database!GI59&gt;1),100*(Database!GI60/(Database!GI59)),0.0001)</f>
        <v>1E-4</v>
      </c>
      <c r="CS126" s="99">
        <f>IF(AND(Database!GK60&gt;1,Database!GK59&gt;1),100*(Database!GK60/(Database!GK59)),0.0001)</f>
        <v>1E-4</v>
      </c>
      <c r="CT126" s="99">
        <f>IF(AND(Database!GM60&gt;1,Database!GM59&gt;1),100*(Database!GM60/(Database!GM59)),0.0001)</f>
        <v>1E-4</v>
      </c>
      <c r="CU126" s="99">
        <f>IF(AND(Database!GO60&gt;1,Database!GO59&gt;1),100*(Database!GO60/(Database!GO59)),0.0001)</f>
        <v>1E-4</v>
      </c>
      <c r="CV126" s="99">
        <f>IF(AND(Database!GQ60&gt;1,Database!GQ59&gt;1),100*(Database!GQ60/(Database!GQ59)),0.0001)</f>
        <v>1E-4</v>
      </c>
      <c r="CW126" s="99">
        <f>IF(AND(Database!GS60&gt;1,Database!GS59&gt;1),100*(Database!GS60/(Database!GS59)),0.0001)</f>
        <v>1E-4</v>
      </c>
      <c r="CX126" s="99">
        <f>IF(AND(Database!GU60&gt;1,Database!GU59&gt;1),100*(Database!GU60/(Database!GU59)),0.0001)</f>
        <v>1E-4</v>
      </c>
      <c r="CY126" s="99">
        <f>IF(AND(Database!GW60&gt;1,Database!GW59&gt;1),100*(Database!GW60/(Database!GW59)),0.0001)</f>
        <v>1E-4</v>
      </c>
      <c r="CZ126" s="99">
        <f>IF(AND(Database!GY60&gt;1,Database!GY59&gt;1),100*(Database!GY60/(Database!GY59)),0.0001)</f>
        <v>1E-4</v>
      </c>
      <c r="DA126" s="99">
        <f>IF(AND(Database!HA60&gt;1,Database!HA59&gt;1),100*(Database!HA60/(Database!HA59)),0.0001)</f>
        <v>1E-4</v>
      </c>
      <c r="DB126" s="99">
        <f>IF(AND(Database!HC60&gt;1,Database!HC59&gt;1),100*(Database!HC60/(Database!HC59)),0.0001)</f>
        <v>1E-4</v>
      </c>
      <c r="DC126" s="99">
        <f>IF(AND(Database!HE60&gt;1,Database!HE59&gt;1),100*(Database!HE60/(Database!HE59)),0.0001)</f>
        <v>1E-4</v>
      </c>
      <c r="DD126" s="99">
        <f>IF(AND(Database!HG60&gt;1,Database!HG59&gt;1),100*(Database!HG60/(Database!HG59)),0.0001)</f>
        <v>1E-4</v>
      </c>
      <c r="DE126" s="99">
        <f>IF(AND(Database!HI60&gt;1,Database!HI59&gt;1),100*(Database!HI60/(Database!HI59)),0.0001)</f>
        <v>1E-4</v>
      </c>
      <c r="DF126" s="99">
        <f>IF(AND(Database!HK60&gt;1,Database!HK59&gt;1),100*(Database!HK60/(Database!HK59)),0.0001)</f>
        <v>1E-4</v>
      </c>
      <c r="DG126" s="99">
        <f>IF(AND(Database!HM60&gt;1,Database!HM59&gt;1),100*(Database!HM60/(Database!HM59)),0.0001)</f>
        <v>1E-4</v>
      </c>
      <c r="DH126" s="99">
        <f>IF(AND(Database!HO60&gt;1,Database!HO59&gt;1),100*(Database!HO60/(Database!HO59)),0.0001)</f>
        <v>1E-4</v>
      </c>
      <c r="DI126" s="99">
        <f>IF(AND(Database!HQ60&gt;1,Database!HQ59&gt;1),100*(Database!HQ60/(Database!HQ59)),0.0001)</f>
        <v>1E-4</v>
      </c>
      <c r="DJ126" s="99">
        <f>IF(AND(Database!HS60&gt;1,Database!HS59&gt;1),100*(Database!HS60/(Database!HS59)),0.0001)</f>
        <v>1E-4</v>
      </c>
      <c r="DK126" s="99">
        <f>IF(AND(Database!HU60&gt;1,Database!HU59&gt;1),100*(Database!HU60/(Database!HU59)),0.0001)</f>
        <v>1E-4</v>
      </c>
      <c r="DL126" s="99">
        <f>IF(AND(Database!HW60&gt;1,Database!HW59&gt;1),100*(Database!HW60/(Database!HW59)),0.0001)</f>
        <v>1E-4</v>
      </c>
      <c r="DM126" s="99">
        <f>IF(AND(Database!HY60&gt;1,Database!HY59&gt;1),100*(Database!HY60/(Database!HY59)),0.0001)</f>
        <v>1E-4</v>
      </c>
      <c r="DN126" s="99">
        <f>IF(AND(Database!IA60&gt;1,Database!IA59&gt;1),100*(Database!IA60/(Database!IA59)),0.0001)</f>
        <v>1E-4</v>
      </c>
      <c r="DO126" s="99">
        <f>IF(AND(Database!IC60&gt;1,Database!IC59&gt;1),100*(Database!IC60/(Database!IC59)),0.0001)</f>
        <v>1E-4</v>
      </c>
      <c r="DP126" s="99">
        <f>IF(AND(Database!IE60&gt;1,Database!IE59&gt;1),100*(Database!IE60/(Database!IE59)),0.0001)</f>
        <v>1E-4</v>
      </c>
      <c r="DQ126" s="99">
        <f>IF(AND(Database!IG60&gt;1,Database!IG59&gt;1),100*(Database!IG60/(Database!IG59)),0.0001)</f>
        <v>1E-4</v>
      </c>
      <c r="DR126" s="99">
        <f>IF(AND(Database!II60&gt;1,Database!II59&gt;1),100*(Database!II60/(Database!II59)),0.0001)</f>
        <v>1E-4</v>
      </c>
      <c r="DS126" s="99">
        <f>IF(AND(Database!IK60&gt;1,Database!IK59&gt;1),100*(Database!IK60/(Database!IK59)),0.0001)</f>
        <v>1E-4</v>
      </c>
      <c r="DT126" s="99">
        <f>IF(AND(Database!IM60&gt;1,Database!IM59&gt;1),100*(Database!IM60/(Database!IM59)),0.0001)</f>
        <v>1E-4</v>
      </c>
      <c r="DU126" s="99">
        <f>IF(AND(Database!IO60&gt;1,Database!IO59&gt;1),100*(Database!IO60/(Database!IO59)),0.0001)</f>
        <v>1E-4</v>
      </c>
      <c r="DV126" s="99">
        <f>IF(AND(Database!IQ60&gt;1,Database!IQ59&gt;1),100*(Database!IQ60/(Database!IQ59)),0.0001)</f>
        <v>1E-4</v>
      </c>
      <c r="DW126" s="99">
        <f>IF(AND(Database!IS60&gt;1,Database!IS59&gt;1),100*(Database!IS60/(Database!IS59)),0.0001)</f>
        <v>1E-4</v>
      </c>
      <c r="DX126" s="99">
        <f>IF(AND(Database!IU60&gt;1,Database!IU59&gt;1),100*(Database!IU60/(Database!IU59)),0.0001)</f>
        <v>1E-4</v>
      </c>
      <c r="DY126" s="99">
        <f>IF(AND(Database!IW60&gt;1,Database!IW59&gt;1),100*(Database!IW60/(Database!IW59)),0.0001)</f>
        <v>1E-4</v>
      </c>
      <c r="DZ126" s="99">
        <f>IF(AND(Database!IY60&gt;1,Database!IY59&gt;1),100*(Database!IY60/(Database!IY59)),0.0001)</f>
        <v>1E-4</v>
      </c>
      <c r="EA126" s="99">
        <f>IF(AND(Database!JA60&gt;1,Database!JA59&gt;1),100*(Database!JA60/(Database!JA59)),0.0001)</f>
        <v>1E-4</v>
      </c>
      <c r="EB126" s="99">
        <f>IF(AND(Database!JC60&gt;1,Database!JC59&gt;1),100*(Database!JC60/(Database!JC59)),0.0001)</f>
        <v>1E-4</v>
      </c>
      <c r="EC126" s="99">
        <f>IF(AND(Database!JE60&gt;1,Database!JE59&gt;1),100*(Database!JE60/(Database!JE59)),0.0001)</f>
        <v>1E-4</v>
      </c>
      <c r="ED126" s="99">
        <f>IF(AND(Database!JG60&gt;1,Database!JG59&gt;1),100*(Database!JG60/(Database!JG59)),0.0001)</f>
        <v>1E-4</v>
      </c>
      <c r="EE126" s="99">
        <f>IF(AND(Database!JI60&gt;1,Database!JI59&gt;1),100*(Database!JI60/(Database!JI59)),0.0001)</f>
        <v>1E-4</v>
      </c>
      <c r="EF126" s="99">
        <f>IF(AND(Database!JK60&gt;1,Database!JK59&gt;1),100*(Database!JK60/(Database!JK59)),0.0001)</f>
        <v>1E-4</v>
      </c>
      <c r="EG126" s="99">
        <f>IF(AND(Database!JM60&gt;1,Database!JM59&gt;1),100*(Database!JM60/(Database!JM59)),0.0001)</f>
        <v>1E-4</v>
      </c>
      <c r="EH126" s="99">
        <f>IF(AND(Database!JO60&gt;1,Database!JO59&gt;1),100*(Database!JO60/(Database!JO59)),0.0001)</f>
        <v>1E-4</v>
      </c>
      <c r="EI126" s="99">
        <f>IF(AND(Database!JQ60&gt;1,Database!JQ59&gt;1),100*(Database!JQ60/(Database!JQ59)),0.0001)</f>
        <v>1E-4</v>
      </c>
      <c r="EJ126" s="99">
        <f>IF(AND(Database!JS60&gt;1,Database!JS59&gt;1),100*(Database!JS60/(Database!JS59)),0.0001)</f>
        <v>1E-4</v>
      </c>
      <c r="EK126" s="99">
        <f>IF(AND(Database!JU60&gt;1,Database!JU59&gt;1),100*(Database!JU60/(Database!JU59)),0.0001)</f>
        <v>1E-4</v>
      </c>
      <c r="EL126" s="99">
        <f>IF(AND(Database!JW60&gt;1,Database!JW59&gt;1),100*(Database!JW60/(Database!JW59)),0.0001)</f>
        <v>1E-4</v>
      </c>
      <c r="EM126" s="99">
        <f>IF(AND(Database!JY60&gt;1,Database!JY59&gt;1),100*(Database!JY60/(Database!JY59)),0.0001)</f>
        <v>1E-4</v>
      </c>
      <c r="EN126" s="99">
        <f>IF(AND(Database!KA60&gt;1,Database!KA59&gt;1),100*(Database!KA60/(Database!KA59)),0.0001)</f>
        <v>1E-4</v>
      </c>
      <c r="EO126" s="99">
        <f>IF(AND(Database!KC60&gt;1,Database!KC59&gt;1),100*(Database!KC60/(Database!KC59)),0.0001)</f>
        <v>1E-4</v>
      </c>
      <c r="EP126" s="99">
        <f>IF(AND(Database!KE60&gt;1,Database!KE59&gt;1),100*(Database!KE60/(Database!KE59)),0.0001)</f>
        <v>1E-4</v>
      </c>
      <c r="EQ126" s="99">
        <f>IF(AND(Database!KG60&gt;1,Database!KG59&gt;1),100*(Database!KG60/(Database!KG59)),0.0001)</f>
        <v>1E-4</v>
      </c>
      <c r="ER126" s="99">
        <f>IF(AND(Database!KI60&gt;1,Database!KI59&gt;1),100*(Database!KI60/(Database!KI59)),0.0001)</f>
        <v>1E-4</v>
      </c>
      <c r="ES126" s="99">
        <f>IF(AND(Database!KK60&gt;1,Database!KK59&gt;1),100*(Database!KK60/(Database!KK59)),0.0001)</f>
        <v>1E-4</v>
      </c>
      <c r="ET126" s="99">
        <f>IF(AND(Database!KM60&gt;1,Database!KM59&gt;1),100*(Database!KM60/(Database!KM59)),0.0001)</f>
        <v>1E-4</v>
      </c>
      <c r="EU126" s="99">
        <f>IF(AND(Database!KO60&gt;1,Database!KO59&gt;1),100*(Database!KO60/(Database!KO59)),0.0001)</f>
        <v>1E-4</v>
      </c>
      <c r="EV126" s="99">
        <f>IF(AND(Database!KQ60&gt;1,Database!KQ59&gt;1),100*(Database!KQ60/(Database!KQ59)),0.0001)</f>
        <v>1E-4</v>
      </c>
      <c r="EW126" s="99">
        <f>IF(AND(Database!KS60&gt;1,Database!KS59&gt;1),100*(Database!KS60/(Database!KS59)),0.0001)</f>
        <v>1E-4</v>
      </c>
      <c r="EX126" s="99">
        <f>IF(AND(Database!KU60&gt;1,Database!KU59&gt;1),100*(Database!KU60/(Database!KU59)),0.0001)</f>
        <v>1E-4</v>
      </c>
      <c r="EY126" s="99">
        <f>IF(AND(Database!KW60&gt;1,Database!KW59&gt;1),100*(Database!KW60/(Database!KW59)),0.0001)</f>
        <v>1E-4</v>
      </c>
      <c r="EZ126" s="99">
        <f>IF(AND(Database!KY60&gt;1,Database!KY59&gt;1),100*(Database!KY60/(Database!KY59)),0.0001)</f>
        <v>1E-4</v>
      </c>
      <c r="FA126" s="99">
        <f>IF(AND(Database!LA60&gt;1,Database!LA59&gt;1),100*(Database!LA60/(Database!LA59)),0.0001)</f>
        <v>1E-4</v>
      </c>
      <c r="FB126" s="99">
        <f>IF(AND(Database!LC60&gt;1,Database!LC59&gt;1),100*(Database!LC60/(Database!LC59)),0.0001)</f>
        <v>1E-4</v>
      </c>
      <c r="FC126" s="99">
        <f>IF(AND(Database!LE60&gt;1,Database!LE59&gt;1),100*(Database!LE60/(Database!LE59)),0.0001)</f>
        <v>1E-4</v>
      </c>
      <c r="FD126" s="99">
        <f>IF(AND(Database!LG60&gt;1,Database!LG59&gt;1),100*(Database!LG60/(Database!LG59)),0.0001)</f>
        <v>1E-4</v>
      </c>
      <c r="FE126" s="99">
        <f>IF(AND(Database!LI60&gt;1,Database!LI59&gt;1),100*(Database!LI60/(Database!LI59)),0.0001)</f>
        <v>1E-4</v>
      </c>
      <c r="FF126" s="99">
        <f>IF(AND(Database!LK60&gt;1,Database!LK59&gt;1),100*(Database!LK60/(Database!LK59)),0.0001)</f>
        <v>1E-4</v>
      </c>
      <c r="FG126" s="99">
        <f>IF(AND(Database!LM60&gt;1,Database!LM59&gt;1),100*(Database!LM60/(Database!LM59)),0.0001)</f>
        <v>1E-4</v>
      </c>
      <c r="FH126" s="99">
        <f>IF(AND(Database!LO60&gt;1,Database!LO59&gt;1),100*(Database!LO60/(Database!LO59)),0.0001)</f>
        <v>1E-4</v>
      </c>
      <c r="FI126" s="99">
        <f>IF(AND(Database!LQ60&gt;1,Database!LQ59&gt;1),100*(Database!LQ60/(Database!LQ59)),0.0001)</f>
        <v>1E-4</v>
      </c>
      <c r="FJ126" s="99">
        <f>IF(AND(Database!LS60&gt;1,Database!LS59&gt;1),100*(Database!LS60/(Database!LS59)),0.0001)</f>
        <v>1E-4</v>
      </c>
      <c r="FK126" s="99">
        <f>IF(AND(Database!LU60&gt;1,Database!LU59&gt;1),100*(Database!LU60/(Database!LU59)),0.0001)</f>
        <v>1E-4</v>
      </c>
      <c r="FL126" s="99">
        <f>IF(AND(Database!LW60&gt;1,Database!LW59&gt;1),100*(Database!LW60/(Database!LW59)),0.0001)</f>
        <v>1E-4</v>
      </c>
      <c r="FM126" s="99">
        <f>IF(AND(Database!LY60&gt;1,Database!LY59&gt;1),100*(Database!LY60/(Database!LY59)),0.0001)</f>
        <v>1E-4</v>
      </c>
      <c r="FN126" s="99">
        <f>IF(AND(Database!MA60&gt;1,Database!MA59&gt;1),100*(Database!MA60/(Database!MA59)),0.0001)</f>
        <v>1E-4</v>
      </c>
      <c r="FO126" s="99">
        <f>IF(AND(Database!MC60&gt;1,Database!MC59&gt;1),100*(Database!MC60/(Database!MC59)),0.0001)</f>
        <v>1E-4</v>
      </c>
      <c r="FP126" s="99">
        <f>IF(AND(Database!ME60&gt;1,Database!ME59&gt;1),100*(Database!ME60/(Database!ME59)),0.0001)</f>
        <v>1E-4</v>
      </c>
      <c r="FQ126" s="99">
        <f>IF(AND(Database!MG60&gt;1,Database!MG59&gt;1),100*(Database!MG60/(Database!MG59)),0.0001)</f>
        <v>1E-4</v>
      </c>
      <c r="FR126" s="99">
        <f>IF(AND(Database!MI60&gt;1,Database!MI59&gt;1),100*(Database!MI60/(Database!MI59)),0.0001)</f>
        <v>1E-4</v>
      </c>
      <c r="FS126" s="99">
        <f>IF(AND(Database!MK60&gt;1,Database!MK59&gt;1),100*(Database!MK60/(Database!MK59)),0.0001)</f>
        <v>1E-4</v>
      </c>
      <c r="FT126" s="99">
        <f>IF(AND(Database!MM60&gt;1,Database!MM59&gt;1),100*(Database!MM60/(Database!MM59)),0.0001)</f>
        <v>1E-4</v>
      </c>
      <c r="FU126" s="99">
        <f>IF(AND(Database!MO60&gt;1,Database!MO59&gt;1),100*(Database!MO60/(Database!MO59)),0.0001)</f>
        <v>1E-4</v>
      </c>
      <c r="FV126" s="99">
        <f>IF(AND(Database!MQ60&gt;1,Database!MQ59&gt;1),100*(Database!MQ60/(Database!MQ59)),0.0001)</f>
        <v>1E-4</v>
      </c>
      <c r="FW126" s="99">
        <f>IF(AND(Database!MS60&gt;1,Database!MS59&gt;1),100*(Database!MS60/(Database!MS59)),0.0001)</f>
        <v>1E-4</v>
      </c>
      <c r="FX126" s="99">
        <f>IF(AND(Database!MU60&gt;1,Database!MU59&gt;1),100*(Database!MU60/(Database!MU59)),0.0001)</f>
        <v>1E-4</v>
      </c>
      <c r="FY126" s="99">
        <f>IF(AND(Database!MW60&gt;1,Database!MW59&gt;1),100*(Database!MW60/(Database!MW59)),0.0001)</f>
        <v>1E-4</v>
      </c>
      <c r="FZ126" s="99">
        <f>IF(AND(Database!MY60&gt;1,Database!MY59&gt;1),100*(Database!MY60/(Database!MY59)),0.0001)</f>
        <v>1E-4</v>
      </c>
      <c r="GA126" s="99">
        <f>IF(AND(Database!NA60&gt;1,Database!NA59&gt;1),100*(Database!NA60/(Database!NA59)),0.0001)</f>
        <v>1E-4</v>
      </c>
      <c r="GB126" s="99">
        <f>IF(AND(Database!NC60&gt;1,Database!NC59&gt;1),100*(Database!NC60/(Database!NC59)),0.0001)</f>
        <v>1E-4</v>
      </c>
      <c r="GC126" s="99">
        <f>IF(AND(Database!NE60&gt;1,Database!NE59&gt;1),100*(Database!NE60/(Database!NE59)),0.0001)</f>
        <v>1E-4</v>
      </c>
      <c r="GD126" s="99">
        <f>IF(AND(Database!NG60&gt;1,Database!NG59&gt;1),100*(Database!NG60/(Database!NG59)),0.0001)</f>
        <v>1E-4</v>
      </c>
      <c r="GE126" s="99">
        <f>IF(AND(Database!NI60&gt;1,Database!NI59&gt;1),100*(Database!NI60/(Database!NI59)),0.0001)</f>
        <v>1E-4</v>
      </c>
      <c r="GF126" s="99">
        <f>IF(AND(Database!NK60&gt;1,Database!NK59&gt;1),100*(Database!NK60/(Database!NK59)),0.0001)</f>
        <v>1E-4</v>
      </c>
      <c r="GG126" s="99">
        <f>IF(AND(Database!NM60&gt;1,Database!NM59&gt;1),100*(Database!NM60/(Database!NM59)),0.0001)</f>
        <v>1E-4</v>
      </c>
      <c r="GH126" s="99">
        <f>IF(AND(Database!NO60&gt;1,Database!NO59&gt;1),100*(Database!NO60/(Database!NO59)),0.0001)</f>
        <v>1E-4</v>
      </c>
      <c r="GI126" s="99">
        <f>IF(AND(Database!NQ60&gt;1,Database!NQ59&gt;1),100*(Database!NQ60/(Database!NQ59)),0.0001)</f>
        <v>1E-4</v>
      </c>
      <c r="GJ126" s="99">
        <f>IF(AND(Database!NS60&gt;1,Database!NS59&gt;1),100*(Database!NS60/(Database!NS59)),0.0001)</f>
        <v>1E-4</v>
      </c>
      <c r="GK126" s="99">
        <f>IF(AND(Database!NU60&gt;1,Database!NU59&gt;1),100*(Database!NU60/(Database!NU59)),0.0001)</f>
        <v>1E-4</v>
      </c>
      <c r="GL126" s="99">
        <f>IF(AND(Database!NW60&gt;1,Database!NW59&gt;1),100*(Database!NW60/(Database!NW59)),0.0001)</f>
        <v>1E-4</v>
      </c>
      <c r="GM126" s="99">
        <f>IF(AND(Database!NY60&gt;1,Database!NY59&gt;1),100*(Database!NY60/(Database!NY59)),0.0001)</f>
        <v>1E-4</v>
      </c>
      <c r="GN126" s="99">
        <f>IF(AND(Database!OA60&gt;1,Database!OA59&gt;1),100*(Database!OA60/(Database!OA59)),0.0001)</f>
        <v>1E-4</v>
      </c>
      <c r="GO126" s="99">
        <f>IF(AND(Database!OC60&gt;1,Database!OC59&gt;1),100*(Database!OC60/(Database!OC59)),0.0001)</f>
        <v>1E-4</v>
      </c>
      <c r="GP126" s="99">
        <f>IF(AND(Database!OE60&gt;1,Database!OE59&gt;1),100*(Database!OE60/(Database!OE59)),0.0001)</f>
        <v>1E-4</v>
      </c>
      <c r="GQ126" s="99">
        <f>IF(AND(Database!OG60&gt;1,Database!OG59&gt;1),100*(Database!OG60/(Database!OG59)),0.0001)</f>
        <v>1E-4</v>
      </c>
      <c r="GR126" s="99">
        <f>IF(AND(Database!OI60&gt;1,Database!OI59&gt;1),100*(Database!OI60/(Database!OI59)),0.0001)</f>
        <v>1E-4</v>
      </c>
      <c r="GS126" s="99">
        <f>IF(AND(Database!OK60&gt;1,Database!OK59&gt;1),100*(Database!OK60/(Database!OK59)),0.0001)</f>
        <v>1E-4</v>
      </c>
      <c r="GT126" s="99">
        <f>IF(AND(Database!OM60&gt;1,Database!OM59&gt;1),100*(Database!OM60/(Database!OM59)),0.0001)</f>
        <v>1E-4</v>
      </c>
    </row>
    <row r="127" spans="1:202" ht="18.75" customHeight="1" x14ac:dyDescent="0.4">
      <c r="A127" s="29" t="s">
        <v>137</v>
      </c>
      <c r="B127" s="306"/>
      <c r="C127" s="99">
        <f>IF(AND(Database!E61&gt;1,Database!E62&gt;1),100*(Database!E61/(Database!E62)),0.0001)</f>
        <v>142.81225451688923</v>
      </c>
      <c r="D127" s="99">
        <f>IF(AND(Database!G61&gt;1,Database!G62&gt;1),100*(Database!G61/(Database!G62)),0.0001)</f>
        <v>159.31360946745562</v>
      </c>
      <c r="E127" s="99">
        <f>IF(AND(Database!I61&gt;1,Database!I62&gt;1),100*(Database!I61/(Database!I62)),0.0001)</f>
        <v>156.81373006249416</v>
      </c>
      <c r="F127" s="99">
        <f>IF(AND(Database!K61&gt;1,Database!K62&gt;1),100*(Database!K61/(Database!K62)),0.0001)</f>
        <v>158.21882514599795</v>
      </c>
      <c r="G127" s="99">
        <f>IF(AND(Database!M61&gt;1,Database!M62&gt;1),100*(Database!M61/(Database!M62)),0.0001)</f>
        <v>1E-4</v>
      </c>
      <c r="H127" s="99">
        <f>IF(AND(Database!O61&gt;1,Database!O62&gt;1),100*(Database!O61/(Database!O62)),0.0001)</f>
        <v>1E-4</v>
      </c>
      <c r="I127" s="99">
        <f>IF(AND(Database!Q61&gt;1,Database!Q62&gt;1),100*(Database!Q61/(Database!Q62)),0.0001)</f>
        <v>1E-4</v>
      </c>
      <c r="J127" s="99">
        <f>IF(AND(Database!S61&gt;1,Database!S62&gt;1),100*(Database!S61/(Database!S62)),0.0001)</f>
        <v>1E-4</v>
      </c>
      <c r="K127" s="99">
        <f>IF(AND(Database!U61&gt;1,Database!U62&gt;1),100*(Database!U61/(Database!U62)),0.0001)</f>
        <v>1E-4</v>
      </c>
      <c r="L127" s="99">
        <f>IF(AND(Database!W61&gt;1,Database!W62&gt;1),100*(Database!W61/(Database!W62)),0.0001)</f>
        <v>1E-4</v>
      </c>
      <c r="M127" s="99">
        <f>IF(AND(Database!Y61&gt;1,Database!Y62&gt;1),100*(Database!Y61/(Database!Y62)),0.0001)</f>
        <v>1E-4</v>
      </c>
      <c r="N127" s="99">
        <f>IF(AND(Database!AA61&gt;1,Database!AA62&gt;1),100*(Database!AA61/(Database!AA62)),0.0001)</f>
        <v>1E-4</v>
      </c>
      <c r="O127" s="99">
        <f>IF(AND(Database!AC61&gt;1,Database!AC62&gt;1),100*(Database!AC61/(Database!AC62)),0.0001)</f>
        <v>1E-4</v>
      </c>
      <c r="P127" s="99">
        <f>IF(AND(Database!AE61&gt;1,Database!AE62&gt;1),100*(Database!AE61/(Database!AE62)),0.0001)</f>
        <v>1E-4</v>
      </c>
      <c r="Q127" s="99">
        <f>IF(AND(Database!AG61&gt;1,Database!AG62&gt;1),100*(Database!AG61/(Database!AG62)),0.0001)</f>
        <v>1E-4</v>
      </c>
      <c r="R127" s="99">
        <f>IF(AND(Database!AI61&gt;1,Database!AI62&gt;1),100*(Database!AI61/(Database!AI62)),0.0001)</f>
        <v>1E-4</v>
      </c>
      <c r="S127" s="99">
        <f>IF(AND(Database!AK61&gt;1,Database!AK62&gt;1),100*(Database!AK61/(Database!AK62)),0.0001)</f>
        <v>1E-4</v>
      </c>
      <c r="T127" s="99">
        <f>IF(AND(Database!AM61&gt;1,Database!AM62&gt;1),100*(Database!AM61/(Database!AM62)),0.0001)</f>
        <v>1E-4</v>
      </c>
      <c r="U127" s="99">
        <f>IF(AND(Database!AO61&gt;1,Database!AO62&gt;1),100*(Database!AO61/(Database!AO62)),0.0001)</f>
        <v>1E-4</v>
      </c>
      <c r="V127" s="99">
        <f>IF(AND(Database!AQ61&gt;1,Database!AQ62&gt;1),100*(Database!AQ61/(Database!AQ62)),0.0001)</f>
        <v>1E-4</v>
      </c>
      <c r="W127" s="99">
        <f>IF(AND(Database!AS61&gt;1,Database!AS62&gt;1),100*(Database!AS61/(Database!AS62)),0.0001)</f>
        <v>1E-4</v>
      </c>
      <c r="X127" s="99">
        <f>IF(AND(Database!AU61&gt;1,Database!AU62&gt;1),100*(Database!AU61/(Database!AU62)),0.0001)</f>
        <v>1E-4</v>
      </c>
      <c r="Y127" s="99">
        <f>IF(AND(Database!AW61&gt;1,Database!AW62&gt;1),100*(Database!AW61/(Database!AW62)),0.0001)</f>
        <v>1E-4</v>
      </c>
      <c r="Z127" s="99">
        <f>IF(AND(Database!AY61&gt;1,Database!AY62&gt;1),100*(Database!AY61/(Database!AY62)),0.0001)</f>
        <v>1E-4</v>
      </c>
      <c r="AA127" s="99">
        <f>IF(AND(Database!BA61&gt;1,Database!BA62&gt;1),100*(Database!BA61/(Database!BA62)),0.0001)</f>
        <v>1E-4</v>
      </c>
      <c r="AB127" s="99">
        <f>IF(AND(Database!BC61&gt;1,Database!BC62&gt;1),100*(Database!BC61/(Database!BC62)),0.0001)</f>
        <v>1E-4</v>
      </c>
      <c r="AC127" s="99">
        <f>IF(AND(Database!BE61&gt;1,Database!BE62&gt;1),100*(Database!BE61/(Database!BE62)),0.0001)</f>
        <v>1E-4</v>
      </c>
      <c r="AD127" s="99">
        <f>IF(AND(Database!BG61&gt;1,Database!BG62&gt;1),100*(Database!BG61/(Database!BG62)),0.0001)</f>
        <v>1E-4</v>
      </c>
      <c r="AE127" s="99">
        <f>IF(AND(Database!BI61&gt;1,Database!BI62&gt;1),100*(Database!BI61/(Database!BI62)),0.0001)</f>
        <v>1E-4</v>
      </c>
      <c r="AF127" s="99">
        <f>IF(AND(Database!BK61&gt;1,Database!BK62&gt;1),100*(Database!BK61/(Database!BK62)),0.0001)</f>
        <v>1E-4</v>
      </c>
      <c r="AG127" s="99">
        <f>IF(AND(Database!BM61&gt;1,Database!BM62&gt;1),100*(Database!BM61/(Database!BM62)),0.0001)</f>
        <v>1E-4</v>
      </c>
      <c r="AH127" s="99">
        <f>IF(AND(Database!BO61&gt;1,Database!BO62&gt;1),100*(Database!BO61/(Database!BO62)),0.0001)</f>
        <v>1E-4</v>
      </c>
      <c r="AI127" s="99">
        <f>IF(AND(Database!BQ61&gt;1,Database!BQ62&gt;1),100*(Database!BQ61/(Database!BQ62)),0.0001)</f>
        <v>1E-4</v>
      </c>
      <c r="AJ127" s="99">
        <f>IF(AND(Database!BS61&gt;1,Database!BS62&gt;1),100*(Database!BS61/(Database!BS62)),0.0001)</f>
        <v>1E-4</v>
      </c>
      <c r="AK127" s="99">
        <f>IF(AND(Database!BU61&gt;1,Database!BU62&gt;1),100*(Database!BU61/(Database!BU62)),0.0001)</f>
        <v>1E-4</v>
      </c>
      <c r="AL127" s="99">
        <f>IF(AND(Database!BW61&gt;1,Database!BW62&gt;1),100*(Database!BW61/(Database!BW62)),0.0001)</f>
        <v>1E-4</v>
      </c>
      <c r="AM127" s="99">
        <f>IF(AND(Database!BY61&gt;1,Database!BY62&gt;1),100*(Database!BY61/(Database!BY62)),0.0001)</f>
        <v>1E-4</v>
      </c>
      <c r="AN127" s="99">
        <f>IF(AND(Database!CA61&gt;1,Database!CA62&gt;1),100*(Database!CA61/(Database!CA62)),0.0001)</f>
        <v>1E-4</v>
      </c>
      <c r="AO127" s="99">
        <f>IF(AND(Database!CC61&gt;1,Database!CC62&gt;1),100*(Database!CC61/(Database!CC62)),0.0001)</f>
        <v>1E-4</v>
      </c>
      <c r="AP127" s="99">
        <f>IF(AND(Database!CE61&gt;1,Database!CE62&gt;1),100*(Database!CE61/(Database!CE62)),0.0001)</f>
        <v>1E-4</v>
      </c>
      <c r="AQ127" s="99">
        <f>IF(AND(Database!CG61&gt;1,Database!CG62&gt;1),100*(Database!CG61/(Database!CG62)),0.0001)</f>
        <v>1E-4</v>
      </c>
      <c r="AR127" s="99">
        <f>IF(AND(Database!CI61&gt;1,Database!CI62&gt;1),100*(Database!CI61/(Database!CI62)),0.0001)</f>
        <v>1E-4</v>
      </c>
      <c r="AS127" s="99">
        <f>IF(AND(Database!CK61&gt;1,Database!CK62&gt;1),100*(Database!CK61/(Database!CK62)),0.0001)</f>
        <v>1E-4</v>
      </c>
      <c r="AT127" s="99">
        <f>IF(AND(Database!CM61&gt;1,Database!CM62&gt;1),100*(Database!CM61/(Database!CM62)),0.0001)</f>
        <v>1E-4</v>
      </c>
      <c r="AU127" s="99">
        <f>IF(AND(Database!CO61&gt;1,Database!CO62&gt;1),100*(Database!CO61/(Database!CO62)),0.0001)</f>
        <v>1E-4</v>
      </c>
      <c r="AV127" s="99">
        <f>IF(AND(Database!CQ61&gt;1,Database!CQ62&gt;1),100*(Database!CQ61/(Database!CQ62)),0.0001)</f>
        <v>1E-4</v>
      </c>
      <c r="AW127" s="99">
        <f>IF(AND(Database!CS61&gt;1,Database!CS62&gt;1),100*(Database!CS61/(Database!CS62)),0.0001)</f>
        <v>1E-4</v>
      </c>
      <c r="AX127" s="99">
        <f>IF(AND(Database!CU61&gt;1,Database!CU62&gt;1),100*(Database!CU61/(Database!CU62)),0.0001)</f>
        <v>1E-4</v>
      </c>
      <c r="AY127" s="99">
        <f>IF(AND(Database!CW61&gt;1,Database!CW62&gt;1),100*(Database!CW61/(Database!CW62)),0.0001)</f>
        <v>1E-4</v>
      </c>
      <c r="AZ127" s="99">
        <f>IF(AND(Database!CY61&gt;1,Database!CY62&gt;1),100*(Database!CY61/(Database!CY62)),0.0001)</f>
        <v>1E-4</v>
      </c>
      <c r="BA127" s="99">
        <f>IF(AND(Database!DA61&gt;1,Database!DA62&gt;1),100*(Database!DA61/(Database!DA62)),0.0001)</f>
        <v>1E-4</v>
      </c>
      <c r="BB127" s="99">
        <f>IF(AND(Database!DC61&gt;1,Database!DC62&gt;1),100*(Database!DC61/(Database!DC62)),0.0001)</f>
        <v>1E-4</v>
      </c>
      <c r="BC127" s="99">
        <f>IF(AND(Database!DE61&gt;1,Database!DE62&gt;1),100*(Database!DE61/(Database!DE62)),0.0001)</f>
        <v>1E-4</v>
      </c>
      <c r="BD127" s="99">
        <f>IF(AND(Database!DG61&gt;1,Database!DG62&gt;1),100*(Database!DG61/(Database!DG62)),0.0001)</f>
        <v>1E-4</v>
      </c>
      <c r="BE127" s="99">
        <f>IF(AND(Database!DI61&gt;1,Database!DI62&gt;1),100*(Database!DI61/(Database!DI62)),0.0001)</f>
        <v>1E-4</v>
      </c>
      <c r="BF127" s="99">
        <f>IF(AND(Database!DK61&gt;1,Database!DK62&gt;1),100*(Database!DK61/(Database!DK62)),0.0001)</f>
        <v>1E-4</v>
      </c>
      <c r="BG127" s="99">
        <f>IF(AND(Database!DM61&gt;1,Database!DM62&gt;1),100*(Database!DM61/(Database!DM62)),0.0001)</f>
        <v>1E-4</v>
      </c>
      <c r="BH127" s="99">
        <f>IF(AND(Database!DO61&gt;1,Database!DO62&gt;1),100*(Database!DO61/(Database!DO62)),0.0001)</f>
        <v>1E-4</v>
      </c>
      <c r="BI127" s="99">
        <f>IF(AND(Database!DQ61&gt;1,Database!DQ62&gt;1),100*(Database!DQ61/(Database!DQ62)),0.0001)</f>
        <v>1E-4</v>
      </c>
      <c r="BJ127" s="99">
        <f>IF(AND(Database!DS61&gt;1,Database!DS62&gt;1),100*(Database!DS61/(Database!DS62)),0.0001)</f>
        <v>1E-4</v>
      </c>
      <c r="BK127" s="99">
        <f>IF(AND(Database!DU61&gt;1,Database!DU62&gt;1),100*(Database!DU61/(Database!DU62)),0.0001)</f>
        <v>1E-4</v>
      </c>
      <c r="BL127" s="99">
        <f>IF(AND(Database!DW61&gt;1,Database!DW62&gt;1),100*(Database!DW61/(Database!DW62)),0.0001)</f>
        <v>1E-4</v>
      </c>
      <c r="BM127" s="99">
        <f>IF(AND(Database!DY61&gt;1,Database!DY62&gt;1),100*(Database!DY61/(Database!DY62)),0.0001)</f>
        <v>1E-4</v>
      </c>
      <c r="BN127" s="99">
        <f>IF(AND(Database!EA61&gt;1,Database!EA62&gt;1),100*(Database!EA61/(Database!EA62)),0.0001)</f>
        <v>1E-4</v>
      </c>
      <c r="BO127" s="99">
        <f>IF(AND(Database!EC61&gt;1,Database!EC62&gt;1),100*(Database!EC61/(Database!EC62)),0.0001)</f>
        <v>1E-4</v>
      </c>
      <c r="BP127" s="99">
        <f>IF(AND(Database!EE61&gt;1,Database!EE62&gt;1),100*(Database!EE61/(Database!EE62)),0.0001)</f>
        <v>1E-4</v>
      </c>
      <c r="BQ127" s="99">
        <f>IF(AND(Database!EG61&gt;1,Database!EG62&gt;1),100*(Database!EG61/(Database!EG62)),0.0001)</f>
        <v>1E-4</v>
      </c>
      <c r="BR127" s="99">
        <f>IF(AND(Database!EI61&gt;1,Database!EI62&gt;1),100*(Database!EI61/(Database!EI62)),0.0001)</f>
        <v>1E-4</v>
      </c>
      <c r="BS127" s="99">
        <f>IF(AND(Database!EK61&gt;1,Database!EK62&gt;1),100*(Database!EK61/(Database!EK62)),0.0001)</f>
        <v>1E-4</v>
      </c>
      <c r="BT127" s="99">
        <f>IF(AND(Database!EM61&gt;1,Database!EM62&gt;1),100*(Database!EM61/(Database!EM62)),0.0001)</f>
        <v>1E-4</v>
      </c>
      <c r="BU127" s="99">
        <f>IF(AND(Database!EO61&gt;1,Database!EO62&gt;1),100*(Database!EO61/(Database!EO62)),0.0001)</f>
        <v>1E-4</v>
      </c>
      <c r="BV127" s="99">
        <f>IF(AND(Database!EQ61&gt;1,Database!EQ62&gt;1),100*(Database!EQ61/(Database!EQ62)),0.0001)</f>
        <v>1E-4</v>
      </c>
      <c r="BW127" s="99">
        <f>IF(AND(Database!ES61&gt;1,Database!ES62&gt;1),100*(Database!ES61/(Database!ES62)),0.0001)</f>
        <v>1E-4</v>
      </c>
      <c r="BX127" s="99">
        <f>IF(AND(Database!EU61&gt;1,Database!EU62&gt;1),100*(Database!EU61/(Database!EU62)),0.0001)</f>
        <v>1E-4</v>
      </c>
      <c r="BY127" s="99">
        <f>IF(AND(Database!EW61&gt;1,Database!EW62&gt;1),100*(Database!EW61/(Database!EW62)),0.0001)</f>
        <v>1E-4</v>
      </c>
      <c r="BZ127" s="99">
        <f>IF(AND(Database!EY61&gt;1,Database!EY62&gt;1),100*(Database!EY61/(Database!EY62)),0.0001)</f>
        <v>1E-4</v>
      </c>
      <c r="CA127" s="99">
        <f>IF(AND(Database!FA61&gt;1,Database!FA62&gt;1),100*(Database!FA61/(Database!FA62)),0.0001)</f>
        <v>1E-4</v>
      </c>
      <c r="CB127" s="99">
        <f>IF(AND(Database!FC61&gt;1,Database!FC62&gt;1),100*(Database!FC61/(Database!FC62)),0.0001)</f>
        <v>1E-4</v>
      </c>
      <c r="CC127" s="99">
        <f>IF(AND(Database!FE61&gt;1,Database!FE62&gt;1),100*(Database!FE61/(Database!FE62)),0.0001)</f>
        <v>1E-4</v>
      </c>
      <c r="CD127" s="99">
        <f>IF(AND(Database!FG61&gt;1,Database!FG62&gt;1),100*(Database!FG61/(Database!FG62)),0.0001)</f>
        <v>1E-4</v>
      </c>
      <c r="CE127" s="99">
        <f>IF(AND(Database!FI61&gt;1,Database!FI62&gt;1),100*(Database!FI61/(Database!FI62)),0.0001)</f>
        <v>1E-4</v>
      </c>
      <c r="CF127" s="99">
        <f>IF(AND(Database!FK61&gt;1,Database!FK62&gt;1),100*(Database!FK61/(Database!FK62)),0.0001)</f>
        <v>1E-4</v>
      </c>
      <c r="CG127" s="99">
        <f>IF(AND(Database!FM61&gt;1,Database!FM62&gt;1),100*(Database!FM61/(Database!FM62)),0.0001)</f>
        <v>1E-4</v>
      </c>
      <c r="CH127" s="99">
        <f>IF(AND(Database!FO61&gt;1,Database!FO62&gt;1),100*(Database!FO61/(Database!FO62)),0.0001)</f>
        <v>1E-4</v>
      </c>
      <c r="CI127" s="99">
        <f>IF(AND(Database!FQ61&gt;1,Database!FQ62&gt;1),100*(Database!FQ61/(Database!FQ62)),0.0001)</f>
        <v>1E-4</v>
      </c>
      <c r="CJ127" s="99">
        <f>IF(AND(Database!FS61&gt;1,Database!FS62&gt;1),100*(Database!FS61/(Database!FS62)),0.0001)</f>
        <v>1E-4</v>
      </c>
      <c r="CK127" s="99">
        <f>IF(AND(Database!FU61&gt;1,Database!FU62&gt;1),100*(Database!FU61/(Database!FU62)),0.0001)</f>
        <v>1E-4</v>
      </c>
      <c r="CL127" s="99">
        <f>IF(AND(Database!FW61&gt;1,Database!FW62&gt;1),100*(Database!FW61/(Database!FW62)),0.0001)</f>
        <v>1E-4</v>
      </c>
      <c r="CM127" s="99">
        <f>IF(AND(Database!FY61&gt;1,Database!FY62&gt;1),100*(Database!FY61/(Database!FY62)),0.0001)</f>
        <v>1E-4</v>
      </c>
      <c r="CN127" s="99">
        <f>IF(AND(Database!GA61&gt;1,Database!GA62&gt;1),100*(Database!GA61/(Database!GA62)),0.0001)</f>
        <v>1E-4</v>
      </c>
      <c r="CO127" s="99">
        <f>IF(AND(Database!GC61&gt;1,Database!GC62&gt;1),100*(Database!GC61/(Database!GC62)),0.0001)</f>
        <v>1E-4</v>
      </c>
      <c r="CP127" s="99">
        <f>IF(AND(Database!GE61&gt;1,Database!GE62&gt;1),100*(Database!GE61/(Database!GE62)),0.0001)</f>
        <v>1E-4</v>
      </c>
      <c r="CQ127" s="99">
        <f>IF(AND(Database!GG61&gt;1,Database!GG62&gt;1),100*(Database!GG61/(Database!GG62)),0.0001)</f>
        <v>1E-4</v>
      </c>
      <c r="CR127" s="99">
        <f>IF(AND(Database!GI61&gt;1,Database!GI62&gt;1),100*(Database!GI61/(Database!GI62)),0.0001)</f>
        <v>1E-4</v>
      </c>
      <c r="CS127" s="99">
        <f>IF(AND(Database!GK61&gt;1,Database!GK62&gt;1),100*(Database!GK61/(Database!GK62)),0.0001)</f>
        <v>1E-4</v>
      </c>
      <c r="CT127" s="99">
        <f>IF(AND(Database!GM61&gt;1,Database!GM62&gt;1),100*(Database!GM61/(Database!GM62)),0.0001)</f>
        <v>1E-4</v>
      </c>
      <c r="CU127" s="99">
        <f>IF(AND(Database!GO61&gt;1,Database!GO62&gt;1),100*(Database!GO61/(Database!GO62)),0.0001)</f>
        <v>1E-4</v>
      </c>
      <c r="CV127" s="99">
        <f>IF(AND(Database!GQ61&gt;1,Database!GQ62&gt;1),100*(Database!GQ61/(Database!GQ62)),0.0001)</f>
        <v>1E-4</v>
      </c>
      <c r="CW127" s="99">
        <f>IF(AND(Database!GS61&gt;1,Database!GS62&gt;1),100*(Database!GS61/(Database!GS62)),0.0001)</f>
        <v>1E-4</v>
      </c>
      <c r="CX127" s="99">
        <f>IF(AND(Database!GU61&gt;1,Database!GU62&gt;1),100*(Database!GU61/(Database!GU62)),0.0001)</f>
        <v>1E-4</v>
      </c>
      <c r="CY127" s="99">
        <f>IF(AND(Database!GW61&gt;1,Database!GW62&gt;1),100*(Database!GW61/(Database!GW62)),0.0001)</f>
        <v>1E-4</v>
      </c>
      <c r="CZ127" s="99">
        <f>IF(AND(Database!GY61&gt;1,Database!GY62&gt;1),100*(Database!GY61/(Database!GY62)),0.0001)</f>
        <v>1E-4</v>
      </c>
      <c r="DA127" s="99">
        <f>IF(AND(Database!HA61&gt;1,Database!HA62&gt;1),100*(Database!HA61/(Database!HA62)),0.0001)</f>
        <v>1E-4</v>
      </c>
      <c r="DB127" s="99">
        <f>IF(AND(Database!HC61&gt;1,Database!HC62&gt;1),100*(Database!HC61/(Database!HC62)),0.0001)</f>
        <v>1E-4</v>
      </c>
      <c r="DC127" s="99">
        <f>IF(AND(Database!HE61&gt;1,Database!HE62&gt;1),100*(Database!HE61/(Database!HE62)),0.0001)</f>
        <v>1E-4</v>
      </c>
      <c r="DD127" s="99">
        <f>IF(AND(Database!HG61&gt;1,Database!HG62&gt;1),100*(Database!HG61/(Database!HG62)),0.0001)</f>
        <v>1E-4</v>
      </c>
      <c r="DE127" s="99">
        <f>IF(AND(Database!HI61&gt;1,Database!HI62&gt;1),100*(Database!HI61/(Database!HI62)),0.0001)</f>
        <v>1E-4</v>
      </c>
      <c r="DF127" s="99">
        <f>IF(AND(Database!HK61&gt;1,Database!HK62&gt;1),100*(Database!HK61/(Database!HK62)),0.0001)</f>
        <v>1E-4</v>
      </c>
      <c r="DG127" s="99">
        <f>IF(AND(Database!HM61&gt;1,Database!HM62&gt;1),100*(Database!HM61/(Database!HM62)),0.0001)</f>
        <v>1E-4</v>
      </c>
      <c r="DH127" s="99">
        <f>IF(AND(Database!HO61&gt;1,Database!HO62&gt;1),100*(Database!HO61/(Database!HO62)),0.0001)</f>
        <v>1E-4</v>
      </c>
      <c r="DI127" s="99">
        <f>IF(AND(Database!HQ61&gt;1,Database!HQ62&gt;1),100*(Database!HQ61/(Database!HQ62)),0.0001)</f>
        <v>1E-4</v>
      </c>
      <c r="DJ127" s="99">
        <f>IF(AND(Database!HS61&gt;1,Database!HS62&gt;1),100*(Database!HS61/(Database!HS62)),0.0001)</f>
        <v>1E-4</v>
      </c>
      <c r="DK127" s="99">
        <f>IF(AND(Database!HU61&gt;1,Database!HU62&gt;1),100*(Database!HU61/(Database!HU62)),0.0001)</f>
        <v>1E-4</v>
      </c>
      <c r="DL127" s="99">
        <f>IF(AND(Database!HW61&gt;1,Database!HW62&gt;1),100*(Database!HW61/(Database!HW62)),0.0001)</f>
        <v>1E-4</v>
      </c>
      <c r="DM127" s="99">
        <f>IF(AND(Database!HY61&gt;1,Database!HY62&gt;1),100*(Database!HY61/(Database!HY62)),0.0001)</f>
        <v>1E-4</v>
      </c>
      <c r="DN127" s="99">
        <f>IF(AND(Database!IA61&gt;1,Database!IA62&gt;1),100*(Database!IA61/(Database!IA62)),0.0001)</f>
        <v>1E-4</v>
      </c>
      <c r="DO127" s="99">
        <f>IF(AND(Database!IC61&gt;1,Database!IC62&gt;1),100*(Database!IC61/(Database!IC62)),0.0001)</f>
        <v>1E-4</v>
      </c>
      <c r="DP127" s="99">
        <f>IF(AND(Database!IE61&gt;1,Database!IE62&gt;1),100*(Database!IE61/(Database!IE62)),0.0001)</f>
        <v>1E-4</v>
      </c>
      <c r="DQ127" s="99">
        <f>IF(AND(Database!IG61&gt;1,Database!IG62&gt;1),100*(Database!IG61/(Database!IG62)),0.0001)</f>
        <v>1E-4</v>
      </c>
      <c r="DR127" s="99">
        <f>IF(AND(Database!II61&gt;1,Database!II62&gt;1),100*(Database!II61/(Database!II62)),0.0001)</f>
        <v>1E-4</v>
      </c>
      <c r="DS127" s="99">
        <f>IF(AND(Database!IK61&gt;1,Database!IK62&gt;1),100*(Database!IK61/(Database!IK62)),0.0001)</f>
        <v>1E-4</v>
      </c>
      <c r="DT127" s="99">
        <f>IF(AND(Database!IM61&gt;1,Database!IM62&gt;1),100*(Database!IM61/(Database!IM62)),0.0001)</f>
        <v>1E-4</v>
      </c>
      <c r="DU127" s="99">
        <f>IF(AND(Database!IO61&gt;1,Database!IO62&gt;1),100*(Database!IO61/(Database!IO62)),0.0001)</f>
        <v>1E-4</v>
      </c>
      <c r="DV127" s="99">
        <f>IF(AND(Database!IQ61&gt;1,Database!IQ62&gt;1),100*(Database!IQ61/(Database!IQ62)),0.0001)</f>
        <v>1E-4</v>
      </c>
      <c r="DW127" s="99">
        <f>IF(AND(Database!IS61&gt;1,Database!IS62&gt;1),100*(Database!IS61/(Database!IS62)),0.0001)</f>
        <v>1E-4</v>
      </c>
      <c r="DX127" s="99">
        <f>IF(AND(Database!IU61&gt;1,Database!IU62&gt;1),100*(Database!IU61/(Database!IU62)),0.0001)</f>
        <v>1E-4</v>
      </c>
      <c r="DY127" s="99">
        <f>IF(AND(Database!IW61&gt;1,Database!IW62&gt;1),100*(Database!IW61/(Database!IW62)),0.0001)</f>
        <v>1E-4</v>
      </c>
      <c r="DZ127" s="99">
        <f>IF(AND(Database!IY61&gt;1,Database!IY62&gt;1),100*(Database!IY61/(Database!IY62)),0.0001)</f>
        <v>1E-4</v>
      </c>
      <c r="EA127" s="99">
        <f>IF(AND(Database!JA61&gt;1,Database!JA62&gt;1),100*(Database!JA61/(Database!JA62)),0.0001)</f>
        <v>1E-4</v>
      </c>
      <c r="EB127" s="99">
        <f>IF(AND(Database!JC61&gt;1,Database!JC62&gt;1),100*(Database!JC61/(Database!JC62)),0.0001)</f>
        <v>1E-4</v>
      </c>
      <c r="EC127" s="99">
        <f>IF(AND(Database!JE61&gt;1,Database!JE62&gt;1),100*(Database!JE61/(Database!JE62)),0.0001)</f>
        <v>1E-4</v>
      </c>
      <c r="ED127" s="99">
        <f>IF(AND(Database!JG61&gt;1,Database!JG62&gt;1),100*(Database!JG61/(Database!JG62)),0.0001)</f>
        <v>1E-4</v>
      </c>
      <c r="EE127" s="99">
        <f>IF(AND(Database!JI61&gt;1,Database!JI62&gt;1),100*(Database!JI61/(Database!JI62)),0.0001)</f>
        <v>1E-4</v>
      </c>
      <c r="EF127" s="99">
        <f>IF(AND(Database!JK61&gt;1,Database!JK62&gt;1),100*(Database!JK61/(Database!JK62)),0.0001)</f>
        <v>1E-4</v>
      </c>
      <c r="EG127" s="99">
        <f>IF(AND(Database!JM61&gt;1,Database!JM62&gt;1),100*(Database!JM61/(Database!JM62)),0.0001)</f>
        <v>1E-4</v>
      </c>
      <c r="EH127" s="99">
        <f>IF(AND(Database!JO61&gt;1,Database!JO62&gt;1),100*(Database!JO61/(Database!JO62)),0.0001)</f>
        <v>1E-4</v>
      </c>
      <c r="EI127" s="99">
        <f>IF(AND(Database!JQ61&gt;1,Database!JQ62&gt;1),100*(Database!JQ61/(Database!JQ62)),0.0001)</f>
        <v>1E-4</v>
      </c>
      <c r="EJ127" s="99">
        <f>IF(AND(Database!JS61&gt;1,Database!JS62&gt;1),100*(Database!JS61/(Database!JS62)),0.0001)</f>
        <v>1E-4</v>
      </c>
      <c r="EK127" s="99">
        <f>IF(AND(Database!JU61&gt;1,Database!JU62&gt;1),100*(Database!JU61/(Database!JU62)),0.0001)</f>
        <v>1E-4</v>
      </c>
      <c r="EL127" s="99">
        <f>IF(AND(Database!JW61&gt;1,Database!JW62&gt;1),100*(Database!JW61/(Database!JW62)),0.0001)</f>
        <v>1E-4</v>
      </c>
      <c r="EM127" s="99">
        <f>IF(AND(Database!JY61&gt;1,Database!JY62&gt;1),100*(Database!JY61/(Database!JY62)),0.0001)</f>
        <v>1E-4</v>
      </c>
      <c r="EN127" s="99">
        <f>IF(AND(Database!KA61&gt;1,Database!KA62&gt;1),100*(Database!KA61/(Database!KA62)),0.0001)</f>
        <v>1E-4</v>
      </c>
      <c r="EO127" s="99">
        <f>IF(AND(Database!KC61&gt;1,Database!KC62&gt;1),100*(Database!KC61/(Database!KC62)),0.0001)</f>
        <v>1E-4</v>
      </c>
      <c r="EP127" s="99">
        <f>IF(AND(Database!KE61&gt;1,Database!KE62&gt;1),100*(Database!KE61/(Database!KE62)),0.0001)</f>
        <v>1E-4</v>
      </c>
      <c r="EQ127" s="99">
        <f>IF(AND(Database!KG61&gt;1,Database!KG62&gt;1),100*(Database!KG61/(Database!KG62)),0.0001)</f>
        <v>1E-4</v>
      </c>
      <c r="ER127" s="99">
        <f>IF(AND(Database!KI61&gt;1,Database!KI62&gt;1),100*(Database!KI61/(Database!KI62)),0.0001)</f>
        <v>1E-4</v>
      </c>
      <c r="ES127" s="99">
        <f>IF(AND(Database!KK61&gt;1,Database!KK62&gt;1),100*(Database!KK61/(Database!KK62)),0.0001)</f>
        <v>1E-4</v>
      </c>
      <c r="ET127" s="99">
        <f>IF(AND(Database!KM61&gt;1,Database!KM62&gt;1),100*(Database!KM61/(Database!KM62)),0.0001)</f>
        <v>1E-4</v>
      </c>
      <c r="EU127" s="99">
        <f>IF(AND(Database!KO61&gt;1,Database!KO62&gt;1),100*(Database!KO61/(Database!KO62)),0.0001)</f>
        <v>1E-4</v>
      </c>
      <c r="EV127" s="99">
        <f>IF(AND(Database!KQ61&gt;1,Database!KQ62&gt;1),100*(Database!KQ61/(Database!KQ62)),0.0001)</f>
        <v>1E-4</v>
      </c>
      <c r="EW127" s="99">
        <f>IF(AND(Database!KS61&gt;1,Database!KS62&gt;1),100*(Database!KS61/(Database!KS62)),0.0001)</f>
        <v>1E-4</v>
      </c>
      <c r="EX127" s="99">
        <f>IF(AND(Database!KU61&gt;1,Database!KU62&gt;1),100*(Database!KU61/(Database!KU62)),0.0001)</f>
        <v>1E-4</v>
      </c>
      <c r="EY127" s="99">
        <f>IF(AND(Database!KW61&gt;1,Database!KW62&gt;1),100*(Database!KW61/(Database!KW62)),0.0001)</f>
        <v>1E-4</v>
      </c>
      <c r="EZ127" s="99">
        <f>IF(AND(Database!KY61&gt;1,Database!KY62&gt;1),100*(Database!KY61/(Database!KY62)),0.0001)</f>
        <v>1E-4</v>
      </c>
      <c r="FA127" s="99">
        <f>IF(AND(Database!LA61&gt;1,Database!LA62&gt;1),100*(Database!LA61/(Database!LA62)),0.0001)</f>
        <v>1E-4</v>
      </c>
      <c r="FB127" s="99">
        <f>IF(AND(Database!LC61&gt;1,Database!LC62&gt;1),100*(Database!LC61/(Database!LC62)),0.0001)</f>
        <v>1E-4</v>
      </c>
      <c r="FC127" s="99">
        <f>IF(AND(Database!LE61&gt;1,Database!LE62&gt;1),100*(Database!LE61/(Database!LE62)),0.0001)</f>
        <v>1E-4</v>
      </c>
      <c r="FD127" s="99">
        <f>IF(AND(Database!LG61&gt;1,Database!LG62&gt;1),100*(Database!LG61/(Database!LG62)),0.0001)</f>
        <v>1E-4</v>
      </c>
      <c r="FE127" s="99">
        <f>IF(AND(Database!LI61&gt;1,Database!LI62&gt;1),100*(Database!LI61/(Database!LI62)),0.0001)</f>
        <v>1E-4</v>
      </c>
      <c r="FF127" s="99">
        <f>IF(AND(Database!LK61&gt;1,Database!LK62&gt;1),100*(Database!LK61/(Database!LK62)),0.0001)</f>
        <v>1E-4</v>
      </c>
      <c r="FG127" s="99">
        <f>IF(AND(Database!LM61&gt;1,Database!LM62&gt;1),100*(Database!LM61/(Database!LM62)),0.0001)</f>
        <v>1E-4</v>
      </c>
      <c r="FH127" s="99">
        <f>IF(AND(Database!LO61&gt;1,Database!LO62&gt;1),100*(Database!LO61/(Database!LO62)),0.0001)</f>
        <v>1E-4</v>
      </c>
      <c r="FI127" s="99">
        <f>IF(AND(Database!LQ61&gt;1,Database!LQ62&gt;1),100*(Database!LQ61/(Database!LQ62)),0.0001)</f>
        <v>1E-4</v>
      </c>
      <c r="FJ127" s="99">
        <f>IF(AND(Database!LS61&gt;1,Database!LS62&gt;1),100*(Database!LS61/(Database!LS62)),0.0001)</f>
        <v>1E-4</v>
      </c>
      <c r="FK127" s="99">
        <f>IF(AND(Database!LU61&gt;1,Database!LU62&gt;1),100*(Database!LU61/(Database!LU62)),0.0001)</f>
        <v>1E-4</v>
      </c>
      <c r="FL127" s="99">
        <f>IF(AND(Database!LW61&gt;1,Database!LW62&gt;1),100*(Database!LW61/(Database!LW62)),0.0001)</f>
        <v>1E-4</v>
      </c>
      <c r="FM127" s="99">
        <f>IF(AND(Database!LY61&gt;1,Database!LY62&gt;1),100*(Database!LY61/(Database!LY62)),0.0001)</f>
        <v>1E-4</v>
      </c>
      <c r="FN127" s="99">
        <f>IF(AND(Database!MA61&gt;1,Database!MA62&gt;1),100*(Database!MA61/(Database!MA62)),0.0001)</f>
        <v>1E-4</v>
      </c>
      <c r="FO127" s="99">
        <f>IF(AND(Database!MC61&gt;1,Database!MC62&gt;1),100*(Database!MC61/(Database!MC62)),0.0001)</f>
        <v>1E-4</v>
      </c>
      <c r="FP127" s="99">
        <f>IF(AND(Database!ME61&gt;1,Database!ME62&gt;1),100*(Database!ME61/(Database!ME62)),0.0001)</f>
        <v>1E-4</v>
      </c>
      <c r="FQ127" s="99">
        <f>IF(AND(Database!MG61&gt;1,Database!MG62&gt;1),100*(Database!MG61/(Database!MG62)),0.0001)</f>
        <v>1E-4</v>
      </c>
      <c r="FR127" s="99">
        <f>IF(AND(Database!MI61&gt;1,Database!MI62&gt;1),100*(Database!MI61/(Database!MI62)),0.0001)</f>
        <v>1E-4</v>
      </c>
      <c r="FS127" s="99">
        <f>IF(AND(Database!MK61&gt;1,Database!MK62&gt;1),100*(Database!MK61/(Database!MK62)),0.0001)</f>
        <v>1E-4</v>
      </c>
      <c r="FT127" s="99">
        <f>IF(AND(Database!MM61&gt;1,Database!MM62&gt;1),100*(Database!MM61/(Database!MM62)),0.0001)</f>
        <v>1E-4</v>
      </c>
      <c r="FU127" s="99">
        <f>IF(AND(Database!MO61&gt;1,Database!MO62&gt;1),100*(Database!MO61/(Database!MO62)),0.0001)</f>
        <v>1E-4</v>
      </c>
      <c r="FV127" s="99">
        <f>IF(AND(Database!MQ61&gt;1,Database!MQ62&gt;1),100*(Database!MQ61/(Database!MQ62)),0.0001)</f>
        <v>1E-4</v>
      </c>
      <c r="FW127" s="99">
        <f>IF(AND(Database!MS61&gt;1,Database!MS62&gt;1),100*(Database!MS61/(Database!MS62)),0.0001)</f>
        <v>1E-4</v>
      </c>
      <c r="FX127" s="99">
        <f>IF(AND(Database!MU61&gt;1,Database!MU62&gt;1),100*(Database!MU61/(Database!MU62)),0.0001)</f>
        <v>1E-4</v>
      </c>
      <c r="FY127" s="99">
        <f>IF(AND(Database!MW61&gt;1,Database!MW62&gt;1),100*(Database!MW61/(Database!MW62)),0.0001)</f>
        <v>1E-4</v>
      </c>
      <c r="FZ127" s="99">
        <f>IF(AND(Database!MY61&gt;1,Database!MY62&gt;1),100*(Database!MY61/(Database!MY62)),0.0001)</f>
        <v>1E-4</v>
      </c>
      <c r="GA127" s="99">
        <f>IF(AND(Database!NA61&gt;1,Database!NA62&gt;1),100*(Database!NA61/(Database!NA62)),0.0001)</f>
        <v>1E-4</v>
      </c>
      <c r="GB127" s="99">
        <f>IF(AND(Database!NC61&gt;1,Database!NC62&gt;1),100*(Database!NC61/(Database!NC62)),0.0001)</f>
        <v>1E-4</v>
      </c>
      <c r="GC127" s="99">
        <f>IF(AND(Database!NE61&gt;1,Database!NE62&gt;1),100*(Database!NE61/(Database!NE62)),0.0001)</f>
        <v>1E-4</v>
      </c>
      <c r="GD127" s="99">
        <f>IF(AND(Database!NG61&gt;1,Database!NG62&gt;1),100*(Database!NG61/(Database!NG62)),0.0001)</f>
        <v>1E-4</v>
      </c>
      <c r="GE127" s="99">
        <f>IF(AND(Database!NI61&gt;1,Database!NI62&gt;1),100*(Database!NI61/(Database!NI62)),0.0001)</f>
        <v>1E-4</v>
      </c>
      <c r="GF127" s="99">
        <f>IF(AND(Database!NK61&gt;1,Database!NK62&gt;1),100*(Database!NK61/(Database!NK62)),0.0001)</f>
        <v>1E-4</v>
      </c>
      <c r="GG127" s="99">
        <f>IF(AND(Database!NM61&gt;1,Database!NM62&gt;1),100*(Database!NM61/(Database!NM62)),0.0001)</f>
        <v>1E-4</v>
      </c>
      <c r="GH127" s="99">
        <f>IF(AND(Database!NO61&gt;1,Database!NO62&gt;1),100*(Database!NO61/(Database!NO62)),0.0001)</f>
        <v>1E-4</v>
      </c>
      <c r="GI127" s="99">
        <f>IF(AND(Database!NQ61&gt;1,Database!NQ62&gt;1),100*(Database!NQ61/(Database!NQ62)),0.0001)</f>
        <v>1E-4</v>
      </c>
      <c r="GJ127" s="99">
        <f>IF(AND(Database!NS61&gt;1,Database!NS62&gt;1),100*(Database!NS61/(Database!NS62)),0.0001)</f>
        <v>1E-4</v>
      </c>
      <c r="GK127" s="99">
        <f>IF(AND(Database!NU61&gt;1,Database!NU62&gt;1),100*(Database!NU61/(Database!NU62)),0.0001)</f>
        <v>1E-4</v>
      </c>
      <c r="GL127" s="99">
        <f>IF(AND(Database!NW61&gt;1,Database!NW62&gt;1),100*(Database!NW61/(Database!NW62)),0.0001)</f>
        <v>1E-4</v>
      </c>
      <c r="GM127" s="99">
        <f>IF(AND(Database!NY61&gt;1,Database!NY62&gt;1),100*(Database!NY61/(Database!NY62)),0.0001)</f>
        <v>1E-4</v>
      </c>
      <c r="GN127" s="99">
        <f>IF(AND(Database!OA61&gt;1,Database!OA62&gt;1),100*(Database!OA61/(Database!OA62)),0.0001)</f>
        <v>1E-4</v>
      </c>
      <c r="GO127" s="99">
        <f>IF(AND(Database!OC61&gt;1,Database!OC62&gt;1),100*(Database!OC61/(Database!OC62)),0.0001)</f>
        <v>1E-4</v>
      </c>
      <c r="GP127" s="99">
        <f>IF(AND(Database!OE61&gt;1,Database!OE62&gt;1),100*(Database!OE61/(Database!OE62)),0.0001)</f>
        <v>1E-4</v>
      </c>
      <c r="GQ127" s="99">
        <f>IF(AND(Database!OG61&gt;1,Database!OG62&gt;1),100*(Database!OG61/(Database!OG62)),0.0001)</f>
        <v>1E-4</v>
      </c>
      <c r="GR127" s="99">
        <f>IF(AND(Database!OI61&gt;1,Database!OI62&gt;1),100*(Database!OI61/(Database!OI62)),0.0001)</f>
        <v>1E-4</v>
      </c>
      <c r="GS127" s="99">
        <f>IF(AND(Database!OK61&gt;1,Database!OK62&gt;1),100*(Database!OK61/(Database!OK62)),0.0001)</f>
        <v>1E-4</v>
      </c>
      <c r="GT127" s="99">
        <f>IF(AND(Database!OM61&gt;1,Database!OM62&gt;1),100*(Database!OM61/(Database!OM62)),0.0001)</f>
        <v>1E-4</v>
      </c>
    </row>
    <row r="128" spans="1:202" ht="18.75" customHeight="1" x14ac:dyDescent="0.4">
      <c r="A128" s="29" t="s">
        <v>138</v>
      </c>
      <c r="B128" s="306"/>
      <c r="C128" s="99">
        <f>IF(AND(Database!E64&gt;1,Database!E69&gt;1),100*(Database!E64/Database!E69),0.0001)</f>
        <v>81.623526936026934</v>
      </c>
      <c r="D128" s="99">
        <f>IF(AND(Database!G64&gt;1,Database!G69&gt;1),100*(Database!G64/Database!G69),0.0001)</f>
        <v>110.47928513403737</v>
      </c>
      <c r="E128" s="99">
        <f>IF(AND(Database!I64&gt;1,Database!I69&gt;1),100*(Database!I64/Database!I69),0.0001)</f>
        <v>107.84138342277878</v>
      </c>
      <c r="F128" s="99">
        <f>IF(AND(Database!K64&gt;1,Database!K69&gt;1),100*(Database!K64/Database!K69),0.0001)</f>
        <v>110.05540734660373</v>
      </c>
      <c r="G128" s="99">
        <f>IF(AND(Database!M64&gt;1,Database!M69&gt;1),100*(Database!M64/Database!M69),0.0001)</f>
        <v>1E-4</v>
      </c>
      <c r="H128" s="99">
        <f>IF(AND(Database!O64&gt;1,Database!O69&gt;1),100*(Database!O64/Database!O69),0.0001)</f>
        <v>1E-4</v>
      </c>
      <c r="I128" s="99">
        <f>IF(AND(Database!Q64&gt;1,Database!Q69&gt;1),100*(Database!Q64/Database!Q69),0.0001)</f>
        <v>1E-4</v>
      </c>
      <c r="J128" s="99">
        <f>IF(AND(Database!S64&gt;1,Database!S69&gt;1),100*(Database!S64/Database!S69),0.0001)</f>
        <v>1E-4</v>
      </c>
      <c r="K128" s="99">
        <f>IF(AND(Database!U64&gt;1,Database!U69&gt;1),100*(Database!U64/Database!U69),0.0001)</f>
        <v>1E-4</v>
      </c>
      <c r="L128" s="99">
        <f>IF(AND(Database!W64&gt;1,Database!W69&gt;1),100*(Database!W64/Database!W69),0.0001)</f>
        <v>1E-4</v>
      </c>
      <c r="M128" s="99">
        <f>IF(AND(Database!Y64&gt;1,Database!Y69&gt;1),100*(Database!Y64/Database!Y69),0.0001)</f>
        <v>1E-4</v>
      </c>
      <c r="N128" s="99">
        <f>IF(AND(Database!AA64&gt;1,Database!AA69&gt;1),100*(Database!AA64/Database!AA69),0.0001)</f>
        <v>1E-4</v>
      </c>
      <c r="O128" s="99">
        <f>IF(AND(Database!AC64&gt;1,Database!AC69&gt;1),100*(Database!AC64/Database!AC69),0.0001)</f>
        <v>1E-4</v>
      </c>
      <c r="P128" s="99">
        <f>IF(AND(Database!AE64&gt;1,Database!AE69&gt;1),100*(Database!AE64/Database!AE69),0.0001)</f>
        <v>1E-4</v>
      </c>
      <c r="Q128" s="99">
        <f>IF(AND(Database!AG64&gt;1,Database!AG69&gt;1),100*(Database!AG64/Database!AG69),0.0001)</f>
        <v>1E-4</v>
      </c>
      <c r="R128" s="99">
        <f>IF(AND(Database!AI64&gt;1,Database!AI69&gt;1),100*(Database!AI64/Database!AI69),0.0001)</f>
        <v>1E-4</v>
      </c>
      <c r="S128" s="99">
        <f>IF(AND(Database!AK64&gt;1,Database!AK69&gt;1),100*(Database!AK64/Database!AK69),0.0001)</f>
        <v>1E-4</v>
      </c>
      <c r="T128" s="99">
        <f>IF(AND(Database!AM64&gt;1,Database!AM69&gt;1),100*(Database!AM64/Database!AM69),0.0001)</f>
        <v>1E-4</v>
      </c>
      <c r="U128" s="99">
        <f>IF(AND(Database!AO64&gt;1,Database!AO69&gt;1),100*(Database!AO64/Database!AO69),0.0001)</f>
        <v>1E-4</v>
      </c>
      <c r="V128" s="99">
        <f>IF(AND(Database!AQ64&gt;1,Database!AQ69&gt;1),100*(Database!AQ64/Database!AQ69),0.0001)</f>
        <v>1E-4</v>
      </c>
      <c r="W128" s="99">
        <f>IF(AND(Database!AS64&gt;1,Database!AS69&gt;1),100*(Database!AS64/Database!AS69),0.0001)</f>
        <v>1E-4</v>
      </c>
      <c r="X128" s="99">
        <f>IF(AND(Database!AU64&gt;1,Database!AU69&gt;1),100*(Database!AU64/Database!AU69),0.0001)</f>
        <v>1E-4</v>
      </c>
      <c r="Y128" s="99">
        <f>IF(AND(Database!AW64&gt;1,Database!AW69&gt;1),100*(Database!AW64/Database!AW69),0.0001)</f>
        <v>1E-4</v>
      </c>
      <c r="Z128" s="99">
        <f>IF(AND(Database!AY64&gt;1,Database!AY69&gt;1),100*(Database!AY64/Database!AY69),0.0001)</f>
        <v>1E-4</v>
      </c>
      <c r="AA128" s="99">
        <f>IF(AND(Database!BA64&gt;1,Database!BA69&gt;1),100*(Database!BA64/Database!BA69),0.0001)</f>
        <v>1E-4</v>
      </c>
      <c r="AB128" s="99">
        <f>IF(AND(Database!BC64&gt;1,Database!BC69&gt;1),100*(Database!BC64/Database!BC69),0.0001)</f>
        <v>1E-4</v>
      </c>
      <c r="AC128" s="99">
        <f>IF(AND(Database!BE64&gt;1,Database!BE69&gt;1),100*(Database!BE64/Database!BE69),0.0001)</f>
        <v>1E-4</v>
      </c>
      <c r="AD128" s="99">
        <f>IF(AND(Database!BG64&gt;1,Database!BG69&gt;1),100*(Database!BG64/Database!BG69),0.0001)</f>
        <v>1E-4</v>
      </c>
      <c r="AE128" s="99">
        <f>IF(AND(Database!BI64&gt;1,Database!BI69&gt;1),100*(Database!BI64/Database!BI69),0.0001)</f>
        <v>1E-4</v>
      </c>
      <c r="AF128" s="99">
        <f>IF(AND(Database!BK64&gt;1,Database!BK69&gt;1),100*(Database!BK64/Database!BK69),0.0001)</f>
        <v>1E-4</v>
      </c>
      <c r="AG128" s="99">
        <f>IF(AND(Database!BM64&gt;1,Database!BM69&gt;1),100*(Database!BM64/Database!BM69),0.0001)</f>
        <v>1E-4</v>
      </c>
      <c r="AH128" s="99">
        <f>IF(AND(Database!BO64&gt;1,Database!BO69&gt;1),100*(Database!BO64/Database!BO69),0.0001)</f>
        <v>1E-4</v>
      </c>
      <c r="AI128" s="99">
        <f>IF(AND(Database!BQ64&gt;1,Database!BQ69&gt;1),100*(Database!BQ64/Database!BQ69),0.0001)</f>
        <v>1E-4</v>
      </c>
      <c r="AJ128" s="99">
        <f>IF(AND(Database!BS64&gt;1,Database!BS69&gt;1),100*(Database!BS64/Database!BS69),0.0001)</f>
        <v>1E-4</v>
      </c>
      <c r="AK128" s="99">
        <f>IF(AND(Database!BU64&gt;1,Database!BU69&gt;1),100*(Database!BU64/Database!BU69),0.0001)</f>
        <v>1E-4</v>
      </c>
      <c r="AL128" s="99">
        <f>IF(AND(Database!BW64&gt;1,Database!BW69&gt;1),100*(Database!BW64/Database!BW69),0.0001)</f>
        <v>1E-4</v>
      </c>
      <c r="AM128" s="99">
        <f>IF(AND(Database!BY64&gt;1,Database!BY69&gt;1),100*(Database!BY64/Database!BY69),0.0001)</f>
        <v>1E-4</v>
      </c>
      <c r="AN128" s="99">
        <f>IF(AND(Database!CA64&gt;1,Database!CA69&gt;1),100*(Database!CA64/Database!CA69),0.0001)</f>
        <v>1E-4</v>
      </c>
      <c r="AO128" s="99">
        <f>IF(AND(Database!CC64&gt;1,Database!CC69&gt;1),100*(Database!CC64/Database!CC69),0.0001)</f>
        <v>1E-4</v>
      </c>
      <c r="AP128" s="99">
        <f>IF(AND(Database!CE64&gt;1,Database!CE69&gt;1),100*(Database!CE64/Database!CE69),0.0001)</f>
        <v>1E-4</v>
      </c>
      <c r="AQ128" s="99">
        <f>IF(AND(Database!CG64&gt;1,Database!CG69&gt;1),100*(Database!CG64/Database!CG69),0.0001)</f>
        <v>1E-4</v>
      </c>
      <c r="AR128" s="99">
        <f>IF(AND(Database!CI64&gt;1,Database!CI69&gt;1),100*(Database!CI64/Database!CI69),0.0001)</f>
        <v>1E-4</v>
      </c>
      <c r="AS128" s="99">
        <f>IF(AND(Database!CK64&gt;1,Database!CK69&gt;1),100*(Database!CK64/Database!CK69),0.0001)</f>
        <v>1E-4</v>
      </c>
      <c r="AT128" s="99">
        <f>IF(AND(Database!CM64&gt;1,Database!CM69&gt;1),100*(Database!CM64/Database!CM69),0.0001)</f>
        <v>1E-4</v>
      </c>
      <c r="AU128" s="99">
        <f>IF(AND(Database!CO64&gt;1,Database!CO69&gt;1),100*(Database!CO64/Database!CO69),0.0001)</f>
        <v>1E-4</v>
      </c>
      <c r="AV128" s="99">
        <f>IF(AND(Database!CQ64&gt;1,Database!CQ69&gt;1),100*(Database!CQ64/Database!CQ69),0.0001)</f>
        <v>1E-4</v>
      </c>
      <c r="AW128" s="99">
        <f>IF(AND(Database!CS64&gt;1,Database!CS69&gt;1),100*(Database!CS64/Database!CS69),0.0001)</f>
        <v>1E-4</v>
      </c>
      <c r="AX128" s="99">
        <f>IF(AND(Database!CU64&gt;1,Database!CU69&gt;1),100*(Database!CU64/Database!CU69),0.0001)</f>
        <v>1E-4</v>
      </c>
      <c r="AY128" s="99">
        <f>IF(AND(Database!CW64&gt;1,Database!CW69&gt;1),100*(Database!CW64/Database!CW69),0.0001)</f>
        <v>1E-4</v>
      </c>
      <c r="AZ128" s="99">
        <f>IF(AND(Database!CY64&gt;1,Database!CY69&gt;1),100*(Database!CY64/Database!CY69),0.0001)</f>
        <v>1E-4</v>
      </c>
      <c r="BA128" s="99">
        <f>IF(AND(Database!DA64&gt;1,Database!DA69&gt;1),100*(Database!DA64/Database!DA69),0.0001)</f>
        <v>1E-4</v>
      </c>
      <c r="BB128" s="99">
        <f>IF(AND(Database!DC64&gt;1,Database!DC69&gt;1),100*(Database!DC64/Database!DC69),0.0001)</f>
        <v>1E-4</v>
      </c>
      <c r="BC128" s="99">
        <f>IF(AND(Database!DE64&gt;1,Database!DE69&gt;1),100*(Database!DE64/Database!DE69),0.0001)</f>
        <v>1E-4</v>
      </c>
      <c r="BD128" s="99">
        <f>IF(AND(Database!DG64&gt;1,Database!DG69&gt;1),100*(Database!DG64/Database!DG69),0.0001)</f>
        <v>1E-4</v>
      </c>
      <c r="BE128" s="99">
        <f>IF(AND(Database!DI64&gt;1,Database!DI69&gt;1),100*(Database!DI64/Database!DI69),0.0001)</f>
        <v>1E-4</v>
      </c>
      <c r="BF128" s="99">
        <f>IF(AND(Database!DK64&gt;1,Database!DK69&gt;1),100*(Database!DK64/Database!DK69),0.0001)</f>
        <v>1E-4</v>
      </c>
      <c r="BG128" s="99">
        <f>IF(AND(Database!DM64&gt;1,Database!DM69&gt;1),100*(Database!DM64/Database!DM69),0.0001)</f>
        <v>1E-4</v>
      </c>
      <c r="BH128" s="99">
        <f>IF(AND(Database!DO64&gt;1,Database!DO69&gt;1),100*(Database!DO64/Database!DO69),0.0001)</f>
        <v>1E-4</v>
      </c>
      <c r="BI128" s="99">
        <f>IF(AND(Database!DQ64&gt;1,Database!DQ69&gt;1),100*(Database!DQ64/Database!DQ69),0.0001)</f>
        <v>1E-4</v>
      </c>
      <c r="BJ128" s="99">
        <f>IF(AND(Database!DS64&gt;1,Database!DS69&gt;1),100*(Database!DS64/Database!DS69),0.0001)</f>
        <v>1E-4</v>
      </c>
      <c r="BK128" s="99">
        <f>IF(AND(Database!DU64&gt;1,Database!DU69&gt;1),100*(Database!DU64/Database!DU69),0.0001)</f>
        <v>1E-4</v>
      </c>
      <c r="BL128" s="99">
        <f>IF(AND(Database!DW64&gt;1,Database!DW69&gt;1),100*(Database!DW64/Database!DW69),0.0001)</f>
        <v>1E-4</v>
      </c>
      <c r="BM128" s="99">
        <f>IF(AND(Database!DY64&gt;1,Database!DY69&gt;1),100*(Database!DY64/Database!DY69),0.0001)</f>
        <v>1E-4</v>
      </c>
      <c r="BN128" s="99">
        <f>IF(AND(Database!EA64&gt;1,Database!EA69&gt;1),100*(Database!EA64/Database!EA69),0.0001)</f>
        <v>1E-4</v>
      </c>
      <c r="BO128" s="99">
        <f>IF(AND(Database!EC64&gt;1,Database!EC69&gt;1),100*(Database!EC64/Database!EC69),0.0001)</f>
        <v>1E-4</v>
      </c>
      <c r="BP128" s="99">
        <f>IF(AND(Database!EE64&gt;1,Database!EE69&gt;1),100*(Database!EE64/Database!EE69),0.0001)</f>
        <v>1E-4</v>
      </c>
      <c r="BQ128" s="99">
        <f>IF(AND(Database!EG64&gt;1,Database!EG69&gt;1),100*(Database!EG64/Database!EG69),0.0001)</f>
        <v>1E-4</v>
      </c>
      <c r="BR128" s="99">
        <f>IF(AND(Database!EI64&gt;1,Database!EI69&gt;1),100*(Database!EI64/Database!EI69),0.0001)</f>
        <v>1E-4</v>
      </c>
      <c r="BS128" s="99">
        <f>IF(AND(Database!EK64&gt;1,Database!EK69&gt;1),100*(Database!EK64/Database!EK69),0.0001)</f>
        <v>1E-4</v>
      </c>
      <c r="BT128" s="99">
        <f>IF(AND(Database!EM64&gt;1,Database!EM69&gt;1),100*(Database!EM64/Database!EM69),0.0001)</f>
        <v>1E-4</v>
      </c>
      <c r="BU128" s="99">
        <f>IF(AND(Database!EO64&gt;1,Database!EO69&gt;1),100*(Database!EO64/Database!EO69),0.0001)</f>
        <v>1E-4</v>
      </c>
      <c r="BV128" s="99">
        <f>IF(AND(Database!EQ64&gt;1,Database!EQ69&gt;1),100*(Database!EQ64/Database!EQ69),0.0001)</f>
        <v>1E-4</v>
      </c>
      <c r="BW128" s="99">
        <f>IF(AND(Database!ES64&gt;1,Database!ES69&gt;1),100*(Database!ES64/Database!ES69),0.0001)</f>
        <v>1E-4</v>
      </c>
      <c r="BX128" s="99">
        <f>IF(AND(Database!EU64&gt;1,Database!EU69&gt;1),100*(Database!EU64/Database!EU69),0.0001)</f>
        <v>1E-4</v>
      </c>
      <c r="BY128" s="99">
        <f>IF(AND(Database!EW64&gt;1,Database!EW69&gt;1),100*(Database!EW64/Database!EW69),0.0001)</f>
        <v>1E-4</v>
      </c>
      <c r="BZ128" s="99">
        <f>IF(AND(Database!EY64&gt;1,Database!EY69&gt;1),100*(Database!EY64/Database!EY69),0.0001)</f>
        <v>1E-4</v>
      </c>
      <c r="CA128" s="99">
        <f>IF(AND(Database!FA64&gt;1,Database!FA69&gt;1),100*(Database!FA64/Database!FA69),0.0001)</f>
        <v>1E-4</v>
      </c>
      <c r="CB128" s="99">
        <f>IF(AND(Database!FC64&gt;1,Database!FC69&gt;1),100*(Database!FC64/Database!FC69),0.0001)</f>
        <v>1E-4</v>
      </c>
      <c r="CC128" s="99">
        <f>IF(AND(Database!FE64&gt;1,Database!FE69&gt;1),100*(Database!FE64/Database!FE69),0.0001)</f>
        <v>1E-4</v>
      </c>
      <c r="CD128" s="99">
        <f>IF(AND(Database!FG64&gt;1,Database!FG69&gt;1),100*(Database!FG64/Database!FG69),0.0001)</f>
        <v>1E-4</v>
      </c>
      <c r="CE128" s="99">
        <f>IF(AND(Database!FI64&gt;1,Database!FI69&gt;1),100*(Database!FI64/Database!FI69),0.0001)</f>
        <v>1E-4</v>
      </c>
      <c r="CF128" s="99">
        <f>IF(AND(Database!FK64&gt;1,Database!FK69&gt;1),100*(Database!FK64/Database!FK69),0.0001)</f>
        <v>1E-4</v>
      </c>
      <c r="CG128" s="99">
        <f>IF(AND(Database!FM64&gt;1,Database!FM69&gt;1),100*(Database!FM64/Database!FM69),0.0001)</f>
        <v>1E-4</v>
      </c>
      <c r="CH128" s="99">
        <f>IF(AND(Database!FO64&gt;1,Database!FO69&gt;1),100*(Database!FO64/Database!FO69),0.0001)</f>
        <v>1E-4</v>
      </c>
      <c r="CI128" s="99">
        <f>IF(AND(Database!FQ64&gt;1,Database!FQ69&gt;1),100*(Database!FQ64/Database!FQ69),0.0001)</f>
        <v>1E-4</v>
      </c>
      <c r="CJ128" s="99">
        <f>IF(AND(Database!FS64&gt;1,Database!FS69&gt;1),100*(Database!FS64/Database!FS69),0.0001)</f>
        <v>1E-4</v>
      </c>
      <c r="CK128" s="99">
        <f>IF(AND(Database!FU64&gt;1,Database!FU69&gt;1),100*(Database!FU64/Database!FU69),0.0001)</f>
        <v>1E-4</v>
      </c>
      <c r="CL128" s="99">
        <f>IF(AND(Database!FW64&gt;1,Database!FW69&gt;1),100*(Database!FW64/Database!FW69),0.0001)</f>
        <v>1E-4</v>
      </c>
      <c r="CM128" s="99">
        <f>IF(AND(Database!FY64&gt;1,Database!FY69&gt;1),100*(Database!FY64/Database!FY69),0.0001)</f>
        <v>1E-4</v>
      </c>
      <c r="CN128" s="99">
        <f>IF(AND(Database!GA64&gt;1,Database!GA69&gt;1),100*(Database!GA64/Database!GA69),0.0001)</f>
        <v>1E-4</v>
      </c>
      <c r="CO128" s="99">
        <f>IF(AND(Database!GC64&gt;1,Database!GC69&gt;1),100*(Database!GC64/Database!GC69),0.0001)</f>
        <v>1E-4</v>
      </c>
      <c r="CP128" s="99">
        <f>IF(AND(Database!GE64&gt;1,Database!GE69&gt;1),100*(Database!GE64/Database!GE69),0.0001)</f>
        <v>1E-4</v>
      </c>
      <c r="CQ128" s="99">
        <f>IF(AND(Database!GG64&gt;1,Database!GG69&gt;1),100*(Database!GG64/Database!GG69),0.0001)</f>
        <v>1E-4</v>
      </c>
      <c r="CR128" s="99">
        <f>IF(AND(Database!GI64&gt;1,Database!GI69&gt;1),100*(Database!GI64/Database!GI69),0.0001)</f>
        <v>1E-4</v>
      </c>
      <c r="CS128" s="99">
        <f>IF(AND(Database!GK64&gt;1,Database!GK69&gt;1),100*(Database!GK64/Database!GK69),0.0001)</f>
        <v>1E-4</v>
      </c>
      <c r="CT128" s="99">
        <f>IF(AND(Database!GM64&gt;1,Database!GM69&gt;1),100*(Database!GM64/Database!GM69),0.0001)</f>
        <v>1E-4</v>
      </c>
      <c r="CU128" s="99">
        <f>IF(AND(Database!GO64&gt;1,Database!GO69&gt;1),100*(Database!GO64/Database!GO69),0.0001)</f>
        <v>1E-4</v>
      </c>
      <c r="CV128" s="99">
        <f>IF(AND(Database!GQ64&gt;1,Database!GQ69&gt;1),100*(Database!GQ64/Database!GQ69),0.0001)</f>
        <v>1E-4</v>
      </c>
      <c r="CW128" s="99">
        <f>IF(AND(Database!GS64&gt;1,Database!GS69&gt;1),100*(Database!GS64/Database!GS69),0.0001)</f>
        <v>1E-4</v>
      </c>
      <c r="CX128" s="99">
        <f>IF(AND(Database!GU64&gt;1,Database!GU69&gt;1),100*(Database!GU64/Database!GU69),0.0001)</f>
        <v>1E-4</v>
      </c>
      <c r="CY128" s="99">
        <f>IF(AND(Database!GW64&gt;1,Database!GW69&gt;1),100*(Database!GW64/Database!GW69),0.0001)</f>
        <v>1E-4</v>
      </c>
      <c r="CZ128" s="99">
        <f>IF(AND(Database!GY64&gt;1,Database!GY69&gt;1),100*(Database!GY64/Database!GY69),0.0001)</f>
        <v>1E-4</v>
      </c>
      <c r="DA128" s="99">
        <f>IF(AND(Database!HA64&gt;1,Database!HA69&gt;1),100*(Database!HA64/Database!HA69),0.0001)</f>
        <v>1E-4</v>
      </c>
      <c r="DB128" s="99">
        <f>IF(AND(Database!HC64&gt;1,Database!HC69&gt;1),100*(Database!HC64/Database!HC69),0.0001)</f>
        <v>1E-4</v>
      </c>
      <c r="DC128" s="99">
        <f>IF(AND(Database!HE64&gt;1,Database!HE69&gt;1),100*(Database!HE64/Database!HE69),0.0001)</f>
        <v>1E-4</v>
      </c>
      <c r="DD128" s="99">
        <f>IF(AND(Database!HG64&gt;1,Database!HG69&gt;1),100*(Database!HG64/Database!HG69),0.0001)</f>
        <v>1E-4</v>
      </c>
      <c r="DE128" s="99">
        <f>IF(AND(Database!HI64&gt;1,Database!HI69&gt;1),100*(Database!HI64/Database!HI69),0.0001)</f>
        <v>1E-4</v>
      </c>
      <c r="DF128" s="99">
        <f>IF(AND(Database!HK64&gt;1,Database!HK69&gt;1),100*(Database!HK64/Database!HK69),0.0001)</f>
        <v>1E-4</v>
      </c>
      <c r="DG128" s="99">
        <f>IF(AND(Database!HM64&gt;1,Database!HM69&gt;1),100*(Database!HM64/Database!HM69),0.0001)</f>
        <v>1E-4</v>
      </c>
      <c r="DH128" s="99">
        <f>IF(AND(Database!HO64&gt;1,Database!HO69&gt;1),100*(Database!HO64/Database!HO69),0.0001)</f>
        <v>1E-4</v>
      </c>
      <c r="DI128" s="99">
        <f>IF(AND(Database!HQ64&gt;1,Database!HQ69&gt;1),100*(Database!HQ64/Database!HQ69),0.0001)</f>
        <v>1E-4</v>
      </c>
      <c r="DJ128" s="99">
        <f>IF(AND(Database!HS64&gt;1,Database!HS69&gt;1),100*(Database!HS64/Database!HS69),0.0001)</f>
        <v>1E-4</v>
      </c>
      <c r="DK128" s="99">
        <f>IF(AND(Database!HU64&gt;1,Database!HU69&gt;1),100*(Database!HU64/Database!HU69),0.0001)</f>
        <v>1E-4</v>
      </c>
      <c r="DL128" s="99">
        <f>IF(AND(Database!HW64&gt;1,Database!HW69&gt;1),100*(Database!HW64/Database!HW69),0.0001)</f>
        <v>1E-4</v>
      </c>
      <c r="DM128" s="99">
        <f>IF(AND(Database!HY64&gt;1,Database!HY69&gt;1),100*(Database!HY64/Database!HY69),0.0001)</f>
        <v>1E-4</v>
      </c>
      <c r="DN128" s="99">
        <f>IF(AND(Database!IA64&gt;1,Database!IA69&gt;1),100*(Database!IA64/Database!IA69),0.0001)</f>
        <v>1E-4</v>
      </c>
      <c r="DO128" s="99">
        <f>IF(AND(Database!IC64&gt;1,Database!IC69&gt;1),100*(Database!IC64/Database!IC69),0.0001)</f>
        <v>1E-4</v>
      </c>
      <c r="DP128" s="99">
        <f>IF(AND(Database!IE64&gt;1,Database!IE69&gt;1),100*(Database!IE64/Database!IE69),0.0001)</f>
        <v>1E-4</v>
      </c>
      <c r="DQ128" s="99">
        <f>IF(AND(Database!IG64&gt;1,Database!IG69&gt;1),100*(Database!IG64/Database!IG69),0.0001)</f>
        <v>1E-4</v>
      </c>
      <c r="DR128" s="99">
        <f>IF(AND(Database!II64&gt;1,Database!II69&gt;1),100*(Database!II64/Database!II69),0.0001)</f>
        <v>1E-4</v>
      </c>
      <c r="DS128" s="99">
        <f>IF(AND(Database!IK64&gt;1,Database!IK69&gt;1),100*(Database!IK64/Database!IK69),0.0001)</f>
        <v>1E-4</v>
      </c>
      <c r="DT128" s="99">
        <f>IF(AND(Database!IM64&gt;1,Database!IM69&gt;1),100*(Database!IM64/Database!IM69),0.0001)</f>
        <v>1E-4</v>
      </c>
      <c r="DU128" s="99">
        <f>IF(AND(Database!IO64&gt;1,Database!IO69&gt;1),100*(Database!IO64/Database!IO69),0.0001)</f>
        <v>1E-4</v>
      </c>
      <c r="DV128" s="99">
        <f>IF(AND(Database!IQ64&gt;1,Database!IQ69&gt;1),100*(Database!IQ64/Database!IQ69),0.0001)</f>
        <v>1E-4</v>
      </c>
      <c r="DW128" s="99">
        <f>IF(AND(Database!IS64&gt;1,Database!IS69&gt;1),100*(Database!IS64/Database!IS69),0.0001)</f>
        <v>1E-4</v>
      </c>
      <c r="DX128" s="99">
        <f>IF(AND(Database!IU64&gt;1,Database!IU69&gt;1),100*(Database!IU64/Database!IU69),0.0001)</f>
        <v>1E-4</v>
      </c>
      <c r="DY128" s="99">
        <f>IF(AND(Database!IW64&gt;1,Database!IW69&gt;1),100*(Database!IW64/Database!IW69),0.0001)</f>
        <v>1E-4</v>
      </c>
      <c r="DZ128" s="99">
        <f>IF(AND(Database!IY64&gt;1,Database!IY69&gt;1),100*(Database!IY64/Database!IY69),0.0001)</f>
        <v>1E-4</v>
      </c>
      <c r="EA128" s="99">
        <f>IF(AND(Database!JA64&gt;1,Database!JA69&gt;1),100*(Database!JA64/Database!JA69),0.0001)</f>
        <v>1E-4</v>
      </c>
      <c r="EB128" s="99">
        <f>IF(AND(Database!JC64&gt;1,Database!JC69&gt;1),100*(Database!JC64/Database!JC69),0.0001)</f>
        <v>1E-4</v>
      </c>
      <c r="EC128" s="99">
        <f>IF(AND(Database!JE64&gt;1,Database!JE69&gt;1),100*(Database!JE64/Database!JE69),0.0001)</f>
        <v>1E-4</v>
      </c>
      <c r="ED128" s="99">
        <f>IF(AND(Database!JG64&gt;1,Database!JG69&gt;1),100*(Database!JG64/Database!JG69),0.0001)</f>
        <v>1E-4</v>
      </c>
      <c r="EE128" s="99">
        <f>IF(AND(Database!JI64&gt;1,Database!JI69&gt;1),100*(Database!JI64/Database!JI69),0.0001)</f>
        <v>1E-4</v>
      </c>
      <c r="EF128" s="99">
        <f>IF(AND(Database!JK64&gt;1,Database!JK69&gt;1),100*(Database!JK64/Database!JK69),0.0001)</f>
        <v>1E-4</v>
      </c>
      <c r="EG128" s="99">
        <f>IF(AND(Database!JM64&gt;1,Database!JM69&gt;1),100*(Database!JM64/Database!JM69),0.0001)</f>
        <v>1E-4</v>
      </c>
      <c r="EH128" s="99">
        <f>IF(AND(Database!JO64&gt;1,Database!JO69&gt;1),100*(Database!JO64/Database!JO69),0.0001)</f>
        <v>1E-4</v>
      </c>
      <c r="EI128" s="99">
        <f>IF(AND(Database!JQ64&gt;1,Database!JQ69&gt;1),100*(Database!JQ64/Database!JQ69),0.0001)</f>
        <v>1E-4</v>
      </c>
      <c r="EJ128" s="99">
        <f>IF(AND(Database!JS64&gt;1,Database!JS69&gt;1),100*(Database!JS64/Database!JS69),0.0001)</f>
        <v>1E-4</v>
      </c>
      <c r="EK128" s="99">
        <f>IF(AND(Database!JU64&gt;1,Database!JU69&gt;1),100*(Database!JU64/Database!JU69),0.0001)</f>
        <v>1E-4</v>
      </c>
      <c r="EL128" s="99">
        <f>IF(AND(Database!JW64&gt;1,Database!JW69&gt;1),100*(Database!JW64/Database!JW69),0.0001)</f>
        <v>1E-4</v>
      </c>
      <c r="EM128" s="99">
        <f>IF(AND(Database!JY64&gt;1,Database!JY69&gt;1),100*(Database!JY64/Database!JY69),0.0001)</f>
        <v>1E-4</v>
      </c>
      <c r="EN128" s="99">
        <f>IF(AND(Database!KA64&gt;1,Database!KA69&gt;1),100*(Database!KA64/Database!KA69),0.0001)</f>
        <v>1E-4</v>
      </c>
      <c r="EO128" s="99">
        <f>IF(AND(Database!KC64&gt;1,Database!KC69&gt;1),100*(Database!KC64/Database!KC69),0.0001)</f>
        <v>1E-4</v>
      </c>
      <c r="EP128" s="99">
        <f>IF(AND(Database!KE64&gt;1,Database!KE69&gt;1),100*(Database!KE64/Database!KE69),0.0001)</f>
        <v>1E-4</v>
      </c>
      <c r="EQ128" s="99">
        <f>IF(AND(Database!KG64&gt;1,Database!KG69&gt;1),100*(Database!KG64/Database!KG69),0.0001)</f>
        <v>1E-4</v>
      </c>
      <c r="ER128" s="99">
        <f>IF(AND(Database!KI64&gt;1,Database!KI69&gt;1),100*(Database!KI64/Database!KI69),0.0001)</f>
        <v>1E-4</v>
      </c>
      <c r="ES128" s="99">
        <f>IF(AND(Database!KK64&gt;1,Database!KK69&gt;1),100*(Database!KK64/Database!KK69),0.0001)</f>
        <v>1E-4</v>
      </c>
      <c r="ET128" s="99">
        <f>IF(AND(Database!KM64&gt;1,Database!KM69&gt;1),100*(Database!KM64/Database!KM69),0.0001)</f>
        <v>1E-4</v>
      </c>
      <c r="EU128" s="99">
        <f>IF(AND(Database!KO64&gt;1,Database!KO69&gt;1),100*(Database!KO64/Database!KO69),0.0001)</f>
        <v>1E-4</v>
      </c>
      <c r="EV128" s="99">
        <f>IF(AND(Database!KQ64&gt;1,Database!KQ69&gt;1),100*(Database!KQ64/Database!KQ69),0.0001)</f>
        <v>1E-4</v>
      </c>
      <c r="EW128" s="99">
        <f>IF(AND(Database!KS64&gt;1,Database!KS69&gt;1),100*(Database!KS64/Database!KS69),0.0001)</f>
        <v>1E-4</v>
      </c>
      <c r="EX128" s="99">
        <f>IF(AND(Database!KU64&gt;1,Database!KU69&gt;1),100*(Database!KU64/Database!KU69),0.0001)</f>
        <v>1E-4</v>
      </c>
      <c r="EY128" s="99">
        <f>IF(AND(Database!KW64&gt;1,Database!KW69&gt;1),100*(Database!KW64/Database!KW69),0.0001)</f>
        <v>1E-4</v>
      </c>
      <c r="EZ128" s="99">
        <f>IF(AND(Database!KY64&gt;1,Database!KY69&gt;1),100*(Database!KY64/Database!KY69),0.0001)</f>
        <v>1E-4</v>
      </c>
      <c r="FA128" s="99">
        <f>IF(AND(Database!LA64&gt;1,Database!LA69&gt;1),100*(Database!LA64/Database!LA69),0.0001)</f>
        <v>1E-4</v>
      </c>
      <c r="FB128" s="99">
        <f>IF(AND(Database!LC64&gt;1,Database!LC69&gt;1),100*(Database!LC64/Database!LC69),0.0001)</f>
        <v>1E-4</v>
      </c>
      <c r="FC128" s="99">
        <f>IF(AND(Database!LE64&gt;1,Database!LE69&gt;1),100*(Database!LE64/Database!LE69),0.0001)</f>
        <v>1E-4</v>
      </c>
      <c r="FD128" s="99">
        <f>IF(AND(Database!LG64&gt;1,Database!LG69&gt;1),100*(Database!LG64/Database!LG69),0.0001)</f>
        <v>1E-4</v>
      </c>
      <c r="FE128" s="99">
        <f>IF(AND(Database!LI64&gt;1,Database!LI69&gt;1),100*(Database!LI64/Database!LI69),0.0001)</f>
        <v>1E-4</v>
      </c>
      <c r="FF128" s="99">
        <f>IF(AND(Database!LK64&gt;1,Database!LK69&gt;1),100*(Database!LK64/Database!LK69),0.0001)</f>
        <v>1E-4</v>
      </c>
      <c r="FG128" s="99">
        <f>IF(AND(Database!LM64&gt;1,Database!LM69&gt;1),100*(Database!LM64/Database!LM69),0.0001)</f>
        <v>1E-4</v>
      </c>
      <c r="FH128" s="99">
        <f>IF(AND(Database!LO64&gt;1,Database!LO69&gt;1),100*(Database!LO64/Database!LO69),0.0001)</f>
        <v>1E-4</v>
      </c>
      <c r="FI128" s="99">
        <f>IF(AND(Database!LQ64&gt;1,Database!LQ69&gt;1),100*(Database!LQ64/Database!LQ69),0.0001)</f>
        <v>1E-4</v>
      </c>
      <c r="FJ128" s="99">
        <f>IF(AND(Database!LS64&gt;1,Database!LS69&gt;1),100*(Database!LS64/Database!LS69),0.0001)</f>
        <v>1E-4</v>
      </c>
      <c r="FK128" s="99">
        <f>IF(AND(Database!LU64&gt;1,Database!LU69&gt;1),100*(Database!LU64/Database!LU69),0.0001)</f>
        <v>1E-4</v>
      </c>
      <c r="FL128" s="99">
        <f>IF(AND(Database!LW64&gt;1,Database!LW69&gt;1),100*(Database!LW64/Database!LW69),0.0001)</f>
        <v>1E-4</v>
      </c>
      <c r="FM128" s="99">
        <f>IF(AND(Database!LY64&gt;1,Database!LY69&gt;1),100*(Database!LY64/Database!LY69),0.0001)</f>
        <v>1E-4</v>
      </c>
      <c r="FN128" s="99">
        <f>IF(AND(Database!MA64&gt;1,Database!MA69&gt;1),100*(Database!MA64/Database!MA69),0.0001)</f>
        <v>1E-4</v>
      </c>
      <c r="FO128" s="99">
        <f>IF(AND(Database!MC64&gt;1,Database!MC69&gt;1),100*(Database!MC64/Database!MC69),0.0001)</f>
        <v>1E-4</v>
      </c>
      <c r="FP128" s="99">
        <f>IF(AND(Database!ME64&gt;1,Database!ME69&gt;1),100*(Database!ME64/Database!ME69),0.0001)</f>
        <v>1E-4</v>
      </c>
      <c r="FQ128" s="99">
        <f>IF(AND(Database!MG64&gt;1,Database!MG69&gt;1),100*(Database!MG64/Database!MG69),0.0001)</f>
        <v>1E-4</v>
      </c>
      <c r="FR128" s="99">
        <f>IF(AND(Database!MI64&gt;1,Database!MI69&gt;1),100*(Database!MI64/Database!MI69),0.0001)</f>
        <v>1E-4</v>
      </c>
      <c r="FS128" s="99">
        <f>IF(AND(Database!MK64&gt;1,Database!MK69&gt;1),100*(Database!MK64/Database!MK69),0.0001)</f>
        <v>1E-4</v>
      </c>
      <c r="FT128" s="99">
        <f>IF(AND(Database!MM64&gt;1,Database!MM69&gt;1),100*(Database!MM64/Database!MM69),0.0001)</f>
        <v>1E-4</v>
      </c>
      <c r="FU128" s="99">
        <f>IF(AND(Database!MO64&gt;1,Database!MO69&gt;1),100*(Database!MO64/Database!MO69),0.0001)</f>
        <v>1E-4</v>
      </c>
      <c r="FV128" s="99">
        <f>IF(AND(Database!MQ64&gt;1,Database!MQ69&gt;1),100*(Database!MQ64/Database!MQ69),0.0001)</f>
        <v>1E-4</v>
      </c>
      <c r="FW128" s="99">
        <f>IF(AND(Database!MS64&gt;1,Database!MS69&gt;1),100*(Database!MS64/Database!MS69),0.0001)</f>
        <v>1E-4</v>
      </c>
      <c r="FX128" s="99">
        <f>IF(AND(Database!MU64&gt;1,Database!MU69&gt;1),100*(Database!MU64/Database!MU69),0.0001)</f>
        <v>1E-4</v>
      </c>
      <c r="FY128" s="99">
        <f>IF(AND(Database!MW64&gt;1,Database!MW69&gt;1),100*(Database!MW64/Database!MW69),0.0001)</f>
        <v>1E-4</v>
      </c>
      <c r="FZ128" s="99">
        <f>IF(AND(Database!MY64&gt;1,Database!MY69&gt;1),100*(Database!MY64/Database!MY69),0.0001)</f>
        <v>1E-4</v>
      </c>
      <c r="GA128" s="99">
        <f>IF(AND(Database!NA64&gt;1,Database!NA69&gt;1),100*(Database!NA64/Database!NA69),0.0001)</f>
        <v>1E-4</v>
      </c>
      <c r="GB128" s="99">
        <f>IF(AND(Database!NC64&gt;1,Database!NC69&gt;1),100*(Database!NC64/Database!NC69),0.0001)</f>
        <v>1E-4</v>
      </c>
      <c r="GC128" s="99">
        <f>IF(AND(Database!NE64&gt;1,Database!NE69&gt;1),100*(Database!NE64/Database!NE69),0.0001)</f>
        <v>1E-4</v>
      </c>
      <c r="GD128" s="99">
        <f>IF(AND(Database!NG64&gt;1,Database!NG69&gt;1),100*(Database!NG64/Database!NG69),0.0001)</f>
        <v>1E-4</v>
      </c>
      <c r="GE128" s="99">
        <f>IF(AND(Database!NI64&gt;1,Database!NI69&gt;1),100*(Database!NI64/Database!NI69),0.0001)</f>
        <v>1E-4</v>
      </c>
      <c r="GF128" s="99">
        <f>IF(AND(Database!NK64&gt;1,Database!NK69&gt;1),100*(Database!NK64/Database!NK69),0.0001)</f>
        <v>1E-4</v>
      </c>
      <c r="GG128" s="99">
        <f>IF(AND(Database!NM64&gt;1,Database!NM69&gt;1),100*(Database!NM64/Database!NM69),0.0001)</f>
        <v>1E-4</v>
      </c>
      <c r="GH128" s="99">
        <f>IF(AND(Database!NO64&gt;1,Database!NO69&gt;1),100*(Database!NO64/Database!NO69),0.0001)</f>
        <v>1E-4</v>
      </c>
      <c r="GI128" s="99">
        <f>IF(AND(Database!NQ64&gt;1,Database!NQ69&gt;1),100*(Database!NQ64/Database!NQ69),0.0001)</f>
        <v>1E-4</v>
      </c>
      <c r="GJ128" s="99">
        <f>IF(AND(Database!NS64&gt;1,Database!NS69&gt;1),100*(Database!NS64/Database!NS69),0.0001)</f>
        <v>1E-4</v>
      </c>
      <c r="GK128" s="99">
        <f>IF(AND(Database!NU64&gt;1,Database!NU69&gt;1),100*(Database!NU64/Database!NU69),0.0001)</f>
        <v>1E-4</v>
      </c>
      <c r="GL128" s="99">
        <f>IF(AND(Database!NW64&gt;1,Database!NW69&gt;1),100*(Database!NW64/Database!NW69),0.0001)</f>
        <v>1E-4</v>
      </c>
      <c r="GM128" s="99">
        <f>IF(AND(Database!NY64&gt;1,Database!NY69&gt;1),100*(Database!NY64/Database!NY69),0.0001)</f>
        <v>1E-4</v>
      </c>
      <c r="GN128" s="99">
        <f>IF(AND(Database!OA64&gt;1,Database!OA69&gt;1),100*(Database!OA64/Database!OA69),0.0001)</f>
        <v>1E-4</v>
      </c>
      <c r="GO128" s="99">
        <f>IF(AND(Database!OC64&gt;1,Database!OC69&gt;1),100*(Database!OC64/Database!OC69),0.0001)</f>
        <v>1E-4</v>
      </c>
      <c r="GP128" s="99">
        <f>IF(AND(Database!OE64&gt;1,Database!OE69&gt;1),100*(Database!OE64/Database!OE69),0.0001)</f>
        <v>1E-4</v>
      </c>
      <c r="GQ128" s="99">
        <f>IF(AND(Database!OG64&gt;1,Database!OG69&gt;1),100*(Database!OG64/Database!OG69),0.0001)</f>
        <v>1E-4</v>
      </c>
      <c r="GR128" s="99">
        <f>IF(AND(Database!OI64&gt;1,Database!OI69&gt;1),100*(Database!OI64/Database!OI69),0.0001)</f>
        <v>1E-4</v>
      </c>
      <c r="GS128" s="99">
        <f>IF(AND(Database!OK64&gt;1,Database!OK69&gt;1),100*(Database!OK64/Database!OK69),0.0001)</f>
        <v>1E-4</v>
      </c>
      <c r="GT128" s="99">
        <f>IF(AND(Database!OM64&gt;1,Database!OM69&gt;1),100*(Database!OM64/Database!OM69),0.0001)</f>
        <v>1E-4</v>
      </c>
    </row>
    <row r="129" spans="1:205" ht="18.75" customHeight="1" x14ac:dyDescent="0.4">
      <c r="A129" s="29" t="s">
        <v>139</v>
      </c>
      <c r="B129" s="306"/>
      <c r="C129" s="99">
        <f>IF(AND(Database!E65&gt;1,Database!E74&gt;1),100*(Database!E65/(Database!E74)),0.0001)</f>
        <v>17.416625927264224</v>
      </c>
      <c r="D129" s="99">
        <f>IF(AND(Database!G65&gt;1,Database!G74&gt;1),100*(Database!G65/(Database!G74)),0.0001)</f>
        <v>16.821589205397302</v>
      </c>
      <c r="E129" s="99">
        <f>IF(AND(Database!I65&gt;1,Database!I74&gt;1),100*(Database!I65/(Database!I74)),0.0001)</f>
        <v>17.372303984104839</v>
      </c>
      <c r="F129" s="99">
        <f>IF(AND(Database!K65&gt;1,Database!K74&gt;1),100*(Database!K65/(Database!K74)),0.0001)</f>
        <v>16.711150873530652</v>
      </c>
      <c r="G129" s="99">
        <f>IF(AND(Database!M65&gt;1,Database!M74&gt;1),100*(Database!M65/(Database!M74)),0.0001)</f>
        <v>1E-4</v>
      </c>
      <c r="H129" s="99">
        <f>IF(AND(Database!O65&gt;1,Database!O74&gt;1),100*(Database!O65/(Database!O74)),0.0001)</f>
        <v>1E-4</v>
      </c>
      <c r="I129" s="99">
        <f>IF(AND(Database!Q65&gt;1,Database!Q74&gt;1),100*(Database!Q65/(Database!Q74)),0.0001)</f>
        <v>1E-4</v>
      </c>
      <c r="J129" s="99">
        <f>IF(AND(Database!S65&gt;1,Database!S74&gt;1),100*(Database!S65/(Database!S74)),0.0001)</f>
        <v>1E-4</v>
      </c>
      <c r="K129" s="99">
        <f>IF(AND(Database!U65&gt;1,Database!U74&gt;1),100*(Database!U65/(Database!U74)),0.0001)</f>
        <v>1E-4</v>
      </c>
      <c r="L129" s="99">
        <f>IF(AND(Database!W65&gt;1,Database!W74&gt;1),100*(Database!W65/(Database!W74)),0.0001)</f>
        <v>1E-4</v>
      </c>
      <c r="M129" s="99">
        <f>IF(AND(Database!Y65&gt;1,Database!Y74&gt;1),100*(Database!Y65/(Database!Y74)),0.0001)</f>
        <v>1E-4</v>
      </c>
      <c r="N129" s="99">
        <f>IF(AND(Database!AA65&gt;1,Database!AA74&gt;1),100*(Database!AA65/(Database!AA74)),0.0001)</f>
        <v>1E-4</v>
      </c>
      <c r="O129" s="99">
        <f>IF(AND(Database!AC65&gt;1,Database!AC74&gt;1),100*(Database!AC65/(Database!AC74)),0.0001)</f>
        <v>1E-4</v>
      </c>
      <c r="P129" s="99">
        <f>IF(AND(Database!AE65&gt;1,Database!AE74&gt;1),100*(Database!AE65/(Database!AE74)),0.0001)</f>
        <v>1E-4</v>
      </c>
      <c r="Q129" s="99">
        <f>IF(AND(Database!AG65&gt;1,Database!AG74&gt;1),100*(Database!AG65/(Database!AG74)),0.0001)</f>
        <v>1E-4</v>
      </c>
      <c r="R129" s="99">
        <f>IF(AND(Database!AI65&gt;1,Database!AI74&gt;1),100*(Database!AI65/(Database!AI74)),0.0001)</f>
        <v>1E-4</v>
      </c>
      <c r="S129" s="99">
        <f>IF(AND(Database!AK65&gt;1,Database!AK74&gt;1),100*(Database!AK65/(Database!AK74)),0.0001)</f>
        <v>1E-4</v>
      </c>
      <c r="T129" s="99">
        <f>IF(AND(Database!AM65&gt;1,Database!AM74&gt;1),100*(Database!AM65/(Database!AM74)),0.0001)</f>
        <v>1E-4</v>
      </c>
      <c r="U129" s="99">
        <f>IF(AND(Database!AO65&gt;1,Database!AO74&gt;1),100*(Database!AO65/(Database!AO74)),0.0001)</f>
        <v>1E-4</v>
      </c>
      <c r="V129" s="99">
        <f>IF(AND(Database!AQ65&gt;1,Database!AQ74&gt;1),100*(Database!AQ65/(Database!AQ74)),0.0001)</f>
        <v>1E-4</v>
      </c>
      <c r="W129" s="99">
        <f>IF(AND(Database!AS65&gt;1,Database!AS74&gt;1),100*(Database!AS65/(Database!AS74)),0.0001)</f>
        <v>1E-4</v>
      </c>
      <c r="X129" s="99">
        <f>IF(AND(Database!AU65&gt;1,Database!AU74&gt;1),100*(Database!AU65/(Database!AU74)),0.0001)</f>
        <v>1E-4</v>
      </c>
      <c r="Y129" s="99">
        <f>IF(AND(Database!AW65&gt;1,Database!AW74&gt;1),100*(Database!AW65/(Database!AW74)),0.0001)</f>
        <v>1E-4</v>
      </c>
      <c r="Z129" s="99">
        <f>IF(AND(Database!AY65&gt;1,Database!AY74&gt;1),100*(Database!AY65/(Database!AY74)),0.0001)</f>
        <v>1E-4</v>
      </c>
      <c r="AA129" s="99">
        <f>IF(AND(Database!BA65&gt;1,Database!BA74&gt;1),100*(Database!BA65/(Database!BA74)),0.0001)</f>
        <v>1E-4</v>
      </c>
      <c r="AB129" s="99">
        <f>IF(AND(Database!BC65&gt;1,Database!BC74&gt;1),100*(Database!BC65/(Database!BC74)),0.0001)</f>
        <v>1E-4</v>
      </c>
      <c r="AC129" s="99">
        <f>IF(AND(Database!BE65&gt;1,Database!BE74&gt;1),100*(Database!BE65/(Database!BE74)),0.0001)</f>
        <v>1E-4</v>
      </c>
      <c r="AD129" s="99">
        <f>IF(AND(Database!BG65&gt;1,Database!BG74&gt;1),100*(Database!BG65/(Database!BG74)),0.0001)</f>
        <v>1E-4</v>
      </c>
      <c r="AE129" s="99">
        <f>IF(AND(Database!BI65&gt;1,Database!BI74&gt;1),100*(Database!BI65/(Database!BI74)),0.0001)</f>
        <v>1E-4</v>
      </c>
      <c r="AF129" s="99">
        <f>IF(AND(Database!BK65&gt;1,Database!BK74&gt;1),100*(Database!BK65/(Database!BK74)),0.0001)</f>
        <v>1E-4</v>
      </c>
      <c r="AG129" s="99">
        <f>IF(AND(Database!BM65&gt;1,Database!BM74&gt;1),100*(Database!BM65/(Database!BM74)),0.0001)</f>
        <v>1E-4</v>
      </c>
      <c r="AH129" s="99">
        <f>IF(AND(Database!BO65&gt;1,Database!BO74&gt;1),100*(Database!BO65/(Database!BO74)),0.0001)</f>
        <v>1E-4</v>
      </c>
      <c r="AI129" s="99">
        <f>IF(AND(Database!BQ65&gt;1,Database!BQ74&gt;1),100*(Database!BQ65/(Database!BQ74)),0.0001)</f>
        <v>1E-4</v>
      </c>
      <c r="AJ129" s="99">
        <f>IF(AND(Database!BS65&gt;1,Database!BS74&gt;1),100*(Database!BS65/(Database!BS74)),0.0001)</f>
        <v>1E-4</v>
      </c>
      <c r="AK129" s="99">
        <f>IF(AND(Database!BU65&gt;1,Database!BU74&gt;1),100*(Database!BU65/(Database!BU74)),0.0001)</f>
        <v>1E-4</v>
      </c>
      <c r="AL129" s="99">
        <f>IF(AND(Database!BW65&gt;1,Database!BW74&gt;1),100*(Database!BW65/(Database!BW74)),0.0001)</f>
        <v>1E-4</v>
      </c>
      <c r="AM129" s="99">
        <f>IF(AND(Database!BY65&gt;1,Database!BY74&gt;1),100*(Database!BY65/(Database!BY74)),0.0001)</f>
        <v>1E-4</v>
      </c>
      <c r="AN129" s="99">
        <f>IF(AND(Database!CA65&gt;1,Database!CA74&gt;1),100*(Database!CA65/(Database!CA74)),0.0001)</f>
        <v>1E-4</v>
      </c>
      <c r="AO129" s="99">
        <f>IF(AND(Database!CC65&gt;1,Database!CC74&gt;1),100*(Database!CC65/(Database!CC74)),0.0001)</f>
        <v>1E-4</v>
      </c>
      <c r="AP129" s="99">
        <f>IF(AND(Database!CE65&gt;1,Database!CE74&gt;1),100*(Database!CE65/(Database!CE74)),0.0001)</f>
        <v>1E-4</v>
      </c>
      <c r="AQ129" s="99">
        <f>IF(AND(Database!CG65&gt;1,Database!CG74&gt;1),100*(Database!CG65/(Database!CG74)),0.0001)</f>
        <v>1E-4</v>
      </c>
      <c r="AR129" s="99">
        <f>IF(AND(Database!CI65&gt;1,Database!CI74&gt;1),100*(Database!CI65/(Database!CI74)),0.0001)</f>
        <v>1E-4</v>
      </c>
      <c r="AS129" s="99">
        <f>IF(AND(Database!CK65&gt;1,Database!CK74&gt;1),100*(Database!CK65/(Database!CK74)),0.0001)</f>
        <v>1E-4</v>
      </c>
      <c r="AT129" s="99">
        <f>IF(AND(Database!CM65&gt;1,Database!CM74&gt;1),100*(Database!CM65/(Database!CM74)),0.0001)</f>
        <v>1E-4</v>
      </c>
      <c r="AU129" s="99">
        <f>IF(AND(Database!CO65&gt;1,Database!CO74&gt;1),100*(Database!CO65/(Database!CO74)),0.0001)</f>
        <v>1E-4</v>
      </c>
      <c r="AV129" s="99">
        <f>IF(AND(Database!CQ65&gt;1,Database!CQ74&gt;1),100*(Database!CQ65/(Database!CQ74)),0.0001)</f>
        <v>1E-4</v>
      </c>
      <c r="AW129" s="99">
        <f>IF(AND(Database!CS65&gt;1,Database!CS74&gt;1),100*(Database!CS65/(Database!CS74)),0.0001)</f>
        <v>1E-4</v>
      </c>
      <c r="AX129" s="99">
        <f>IF(AND(Database!CU65&gt;1,Database!CU74&gt;1),100*(Database!CU65/(Database!CU74)),0.0001)</f>
        <v>1E-4</v>
      </c>
      <c r="AY129" s="99">
        <f>IF(AND(Database!CW65&gt;1,Database!CW74&gt;1),100*(Database!CW65/(Database!CW74)),0.0001)</f>
        <v>1E-4</v>
      </c>
      <c r="AZ129" s="99">
        <f>IF(AND(Database!CY65&gt;1,Database!CY74&gt;1),100*(Database!CY65/(Database!CY74)),0.0001)</f>
        <v>1E-4</v>
      </c>
      <c r="BA129" s="99">
        <f>IF(AND(Database!DA65&gt;1,Database!DA74&gt;1),100*(Database!DA65/(Database!DA74)),0.0001)</f>
        <v>1E-4</v>
      </c>
      <c r="BB129" s="99">
        <f>IF(AND(Database!DC65&gt;1,Database!DC74&gt;1),100*(Database!DC65/(Database!DC74)),0.0001)</f>
        <v>1E-4</v>
      </c>
      <c r="BC129" s="99">
        <f>IF(AND(Database!DE65&gt;1,Database!DE74&gt;1),100*(Database!DE65/(Database!DE74)),0.0001)</f>
        <v>1E-4</v>
      </c>
      <c r="BD129" s="99">
        <f>IF(AND(Database!DG65&gt;1,Database!DG74&gt;1),100*(Database!DG65/(Database!DG74)),0.0001)</f>
        <v>1E-4</v>
      </c>
      <c r="BE129" s="99">
        <f>IF(AND(Database!DI65&gt;1,Database!DI74&gt;1),100*(Database!DI65/(Database!DI74)),0.0001)</f>
        <v>1E-4</v>
      </c>
      <c r="BF129" s="99">
        <f>IF(AND(Database!DK65&gt;1,Database!DK74&gt;1),100*(Database!DK65/(Database!DK74)),0.0001)</f>
        <v>1E-4</v>
      </c>
      <c r="BG129" s="99">
        <f>IF(AND(Database!DM65&gt;1,Database!DM74&gt;1),100*(Database!DM65/(Database!DM74)),0.0001)</f>
        <v>1E-4</v>
      </c>
      <c r="BH129" s="99">
        <f>IF(AND(Database!DO65&gt;1,Database!DO74&gt;1),100*(Database!DO65/(Database!DO74)),0.0001)</f>
        <v>1E-4</v>
      </c>
      <c r="BI129" s="99">
        <f>IF(AND(Database!DQ65&gt;1,Database!DQ74&gt;1),100*(Database!DQ65/(Database!DQ74)),0.0001)</f>
        <v>1E-4</v>
      </c>
      <c r="BJ129" s="99">
        <f>IF(AND(Database!DS65&gt;1,Database!DS74&gt;1),100*(Database!DS65/(Database!DS74)),0.0001)</f>
        <v>1E-4</v>
      </c>
      <c r="BK129" s="99">
        <f>IF(AND(Database!DU65&gt;1,Database!DU74&gt;1),100*(Database!DU65/(Database!DU74)),0.0001)</f>
        <v>1E-4</v>
      </c>
      <c r="BL129" s="99">
        <f>IF(AND(Database!DW65&gt;1,Database!DW74&gt;1),100*(Database!DW65/(Database!DW74)),0.0001)</f>
        <v>1E-4</v>
      </c>
      <c r="BM129" s="99">
        <f>IF(AND(Database!DY65&gt;1,Database!DY74&gt;1),100*(Database!DY65/(Database!DY74)),0.0001)</f>
        <v>1E-4</v>
      </c>
      <c r="BN129" s="99">
        <f>IF(AND(Database!EA65&gt;1,Database!EA74&gt;1),100*(Database!EA65/(Database!EA74)),0.0001)</f>
        <v>1E-4</v>
      </c>
      <c r="BO129" s="99">
        <f>IF(AND(Database!EC65&gt;1,Database!EC74&gt;1),100*(Database!EC65/(Database!EC74)),0.0001)</f>
        <v>1E-4</v>
      </c>
      <c r="BP129" s="99">
        <f>IF(AND(Database!EE65&gt;1,Database!EE74&gt;1),100*(Database!EE65/(Database!EE74)),0.0001)</f>
        <v>1E-4</v>
      </c>
      <c r="BQ129" s="99">
        <f>IF(AND(Database!EG65&gt;1,Database!EG74&gt;1),100*(Database!EG65/(Database!EG74)),0.0001)</f>
        <v>1E-4</v>
      </c>
      <c r="BR129" s="99">
        <f>IF(AND(Database!EI65&gt;1,Database!EI74&gt;1),100*(Database!EI65/(Database!EI74)),0.0001)</f>
        <v>1E-4</v>
      </c>
      <c r="BS129" s="99">
        <f>IF(AND(Database!EK65&gt;1,Database!EK74&gt;1),100*(Database!EK65/(Database!EK74)),0.0001)</f>
        <v>1E-4</v>
      </c>
      <c r="BT129" s="99">
        <f>IF(AND(Database!EM65&gt;1,Database!EM74&gt;1),100*(Database!EM65/(Database!EM74)),0.0001)</f>
        <v>1E-4</v>
      </c>
      <c r="BU129" s="99">
        <f>IF(AND(Database!EO65&gt;1,Database!EO74&gt;1),100*(Database!EO65/(Database!EO74)),0.0001)</f>
        <v>1E-4</v>
      </c>
      <c r="BV129" s="99">
        <f>IF(AND(Database!EQ65&gt;1,Database!EQ74&gt;1),100*(Database!EQ65/(Database!EQ74)),0.0001)</f>
        <v>1E-4</v>
      </c>
      <c r="BW129" s="99">
        <f>IF(AND(Database!ES65&gt;1,Database!ES74&gt;1),100*(Database!ES65/(Database!ES74)),0.0001)</f>
        <v>1E-4</v>
      </c>
      <c r="BX129" s="99">
        <f>IF(AND(Database!EU65&gt;1,Database!EU74&gt;1),100*(Database!EU65/(Database!EU74)),0.0001)</f>
        <v>1E-4</v>
      </c>
      <c r="BY129" s="99">
        <f>IF(AND(Database!EW65&gt;1,Database!EW74&gt;1),100*(Database!EW65/(Database!EW74)),0.0001)</f>
        <v>1E-4</v>
      </c>
      <c r="BZ129" s="99">
        <f>IF(AND(Database!EY65&gt;1,Database!EY74&gt;1),100*(Database!EY65/(Database!EY74)),0.0001)</f>
        <v>1E-4</v>
      </c>
      <c r="CA129" s="99">
        <f>IF(AND(Database!FA65&gt;1,Database!FA74&gt;1),100*(Database!FA65/(Database!FA74)),0.0001)</f>
        <v>1E-4</v>
      </c>
      <c r="CB129" s="99">
        <f>IF(AND(Database!FC65&gt;1,Database!FC74&gt;1),100*(Database!FC65/(Database!FC74)),0.0001)</f>
        <v>1E-4</v>
      </c>
      <c r="CC129" s="99">
        <f>IF(AND(Database!FE65&gt;1,Database!FE74&gt;1),100*(Database!FE65/(Database!FE74)),0.0001)</f>
        <v>1E-4</v>
      </c>
      <c r="CD129" s="99">
        <f>IF(AND(Database!FG65&gt;1,Database!FG74&gt;1),100*(Database!FG65/(Database!FG74)),0.0001)</f>
        <v>1E-4</v>
      </c>
      <c r="CE129" s="99">
        <f>IF(AND(Database!FI65&gt;1,Database!FI74&gt;1),100*(Database!FI65/(Database!FI74)),0.0001)</f>
        <v>1E-4</v>
      </c>
      <c r="CF129" s="99">
        <f>IF(AND(Database!FK65&gt;1,Database!FK74&gt;1),100*(Database!FK65/(Database!FK74)),0.0001)</f>
        <v>1E-4</v>
      </c>
      <c r="CG129" s="99">
        <f>IF(AND(Database!FM65&gt;1,Database!FM74&gt;1),100*(Database!FM65/(Database!FM74)),0.0001)</f>
        <v>1E-4</v>
      </c>
      <c r="CH129" s="99">
        <f>IF(AND(Database!FO65&gt;1,Database!FO74&gt;1),100*(Database!FO65/(Database!FO74)),0.0001)</f>
        <v>1E-4</v>
      </c>
      <c r="CI129" s="99">
        <f>IF(AND(Database!FQ65&gt;1,Database!FQ74&gt;1),100*(Database!FQ65/(Database!FQ74)),0.0001)</f>
        <v>1E-4</v>
      </c>
      <c r="CJ129" s="99">
        <f>IF(AND(Database!FS65&gt;1,Database!FS74&gt;1),100*(Database!FS65/(Database!FS74)),0.0001)</f>
        <v>1E-4</v>
      </c>
      <c r="CK129" s="99">
        <f>IF(AND(Database!FU65&gt;1,Database!FU74&gt;1),100*(Database!FU65/(Database!FU74)),0.0001)</f>
        <v>1E-4</v>
      </c>
      <c r="CL129" s="99">
        <f>IF(AND(Database!FW65&gt;1,Database!FW74&gt;1),100*(Database!FW65/(Database!FW74)),0.0001)</f>
        <v>1E-4</v>
      </c>
      <c r="CM129" s="99">
        <f>IF(AND(Database!FY65&gt;1,Database!FY74&gt;1),100*(Database!FY65/(Database!FY74)),0.0001)</f>
        <v>1E-4</v>
      </c>
      <c r="CN129" s="99">
        <f>IF(AND(Database!GA65&gt;1,Database!GA74&gt;1),100*(Database!GA65/(Database!GA74)),0.0001)</f>
        <v>1E-4</v>
      </c>
      <c r="CO129" s="99">
        <f>IF(AND(Database!GC65&gt;1,Database!GC74&gt;1),100*(Database!GC65/(Database!GC74)),0.0001)</f>
        <v>1E-4</v>
      </c>
      <c r="CP129" s="99">
        <f>IF(AND(Database!GE65&gt;1,Database!GE74&gt;1),100*(Database!GE65/(Database!GE74)),0.0001)</f>
        <v>1E-4</v>
      </c>
      <c r="CQ129" s="99">
        <f>IF(AND(Database!GG65&gt;1,Database!GG74&gt;1),100*(Database!GG65/(Database!GG74)),0.0001)</f>
        <v>1E-4</v>
      </c>
      <c r="CR129" s="99">
        <f>IF(AND(Database!GI65&gt;1,Database!GI74&gt;1),100*(Database!GI65/(Database!GI74)),0.0001)</f>
        <v>1E-4</v>
      </c>
      <c r="CS129" s="99">
        <f>IF(AND(Database!GK65&gt;1,Database!GK74&gt;1),100*(Database!GK65/(Database!GK74)),0.0001)</f>
        <v>1E-4</v>
      </c>
      <c r="CT129" s="99">
        <f>IF(AND(Database!GM65&gt;1,Database!GM74&gt;1),100*(Database!GM65/(Database!GM74)),0.0001)</f>
        <v>1E-4</v>
      </c>
      <c r="CU129" s="99">
        <f>IF(AND(Database!GO65&gt;1,Database!GO74&gt;1),100*(Database!GO65/(Database!GO74)),0.0001)</f>
        <v>1E-4</v>
      </c>
      <c r="CV129" s="99">
        <f>IF(AND(Database!GQ65&gt;1,Database!GQ74&gt;1),100*(Database!GQ65/(Database!GQ74)),0.0001)</f>
        <v>1E-4</v>
      </c>
      <c r="CW129" s="99">
        <f>IF(AND(Database!GS65&gt;1,Database!GS74&gt;1),100*(Database!GS65/(Database!GS74)),0.0001)</f>
        <v>1E-4</v>
      </c>
      <c r="CX129" s="99">
        <f>IF(AND(Database!GU65&gt;1,Database!GU74&gt;1),100*(Database!GU65/(Database!GU74)),0.0001)</f>
        <v>1E-4</v>
      </c>
      <c r="CY129" s="99">
        <f>IF(AND(Database!GW65&gt;1,Database!GW74&gt;1),100*(Database!GW65/(Database!GW74)),0.0001)</f>
        <v>1E-4</v>
      </c>
      <c r="CZ129" s="99">
        <f>IF(AND(Database!GY65&gt;1,Database!GY74&gt;1),100*(Database!GY65/(Database!GY74)),0.0001)</f>
        <v>1E-4</v>
      </c>
      <c r="DA129" s="99">
        <f>IF(AND(Database!HA65&gt;1,Database!HA74&gt;1),100*(Database!HA65/(Database!HA74)),0.0001)</f>
        <v>1E-4</v>
      </c>
      <c r="DB129" s="99">
        <f>IF(AND(Database!HC65&gt;1,Database!HC74&gt;1),100*(Database!HC65/(Database!HC74)),0.0001)</f>
        <v>1E-4</v>
      </c>
      <c r="DC129" s="99">
        <f>IF(AND(Database!HE65&gt;1,Database!HE74&gt;1),100*(Database!HE65/(Database!HE74)),0.0001)</f>
        <v>1E-4</v>
      </c>
      <c r="DD129" s="99">
        <f>IF(AND(Database!HG65&gt;1,Database!HG74&gt;1),100*(Database!HG65/(Database!HG74)),0.0001)</f>
        <v>1E-4</v>
      </c>
      <c r="DE129" s="99">
        <f>IF(AND(Database!HI65&gt;1,Database!HI74&gt;1),100*(Database!HI65/(Database!HI74)),0.0001)</f>
        <v>1E-4</v>
      </c>
      <c r="DF129" s="99">
        <f>IF(AND(Database!HK65&gt;1,Database!HK74&gt;1),100*(Database!HK65/(Database!HK74)),0.0001)</f>
        <v>1E-4</v>
      </c>
      <c r="DG129" s="99">
        <f>IF(AND(Database!HM65&gt;1,Database!HM74&gt;1),100*(Database!HM65/(Database!HM74)),0.0001)</f>
        <v>1E-4</v>
      </c>
      <c r="DH129" s="99">
        <f>IF(AND(Database!HO65&gt;1,Database!HO74&gt;1),100*(Database!HO65/(Database!HO74)),0.0001)</f>
        <v>1E-4</v>
      </c>
      <c r="DI129" s="99">
        <f>IF(AND(Database!HQ65&gt;1,Database!HQ74&gt;1),100*(Database!HQ65/(Database!HQ74)),0.0001)</f>
        <v>1E-4</v>
      </c>
      <c r="DJ129" s="99">
        <f>IF(AND(Database!HS65&gt;1,Database!HS74&gt;1),100*(Database!HS65/(Database!HS74)),0.0001)</f>
        <v>1E-4</v>
      </c>
      <c r="DK129" s="99">
        <f>IF(AND(Database!HU65&gt;1,Database!HU74&gt;1),100*(Database!HU65/(Database!HU74)),0.0001)</f>
        <v>1E-4</v>
      </c>
      <c r="DL129" s="99">
        <f>IF(AND(Database!HW65&gt;1,Database!HW74&gt;1),100*(Database!HW65/(Database!HW74)),0.0001)</f>
        <v>1E-4</v>
      </c>
      <c r="DM129" s="99">
        <f>IF(AND(Database!HY65&gt;1,Database!HY74&gt;1),100*(Database!HY65/(Database!HY74)),0.0001)</f>
        <v>1E-4</v>
      </c>
      <c r="DN129" s="99">
        <f>IF(AND(Database!IA65&gt;1,Database!IA74&gt;1),100*(Database!IA65/(Database!IA74)),0.0001)</f>
        <v>1E-4</v>
      </c>
      <c r="DO129" s="99">
        <f>IF(AND(Database!IC65&gt;1,Database!IC74&gt;1),100*(Database!IC65/(Database!IC74)),0.0001)</f>
        <v>1E-4</v>
      </c>
      <c r="DP129" s="99">
        <f>IF(AND(Database!IE65&gt;1,Database!IE74&gt;1),100*(Database!IE65/(Database!IE74)),0.0001)</f>
        <v>1E-4</v>
      </c>
      <c r="DQ129" s="99">
        <f>IF(AND(Database!IG65&gt;1,Database!IG74&gt;1),100*(Database!IG65/(Database!IG74)),0.0001)</f>
        <v>1E-4</v>
      </c>
      <c r="DR129" s="99">
        <f>IF(AND(Database!II65&gt;1,Database!II74&gt;1),100*(Database!II65/(Database!II74)),0.0001)</f>
        <v>1E-4</v>
      </c>
      <c r="DS129" s="99">
        <f>IF(AND(Database!IK65&gt;1,Database!IK74&gt;1),100*(Database!IK65/(Database!IK74)),0.0001)</f>
        <v>1E-4</v>
      </c>
      <c r="DT129" s="99">
        <f>IF(AND(Database!IM65&gt;1,Database!IM74&gt;1),100*(Database!IM65/(Database!IM74)),0.0001)</f>
        <v>1E-4</v>
      </c>
      <c r="DU129" s="99">
        <f>IF(AND(Database!IO65&gt;1,Database!IO74&gt;1),100*(Database!IO65/(Database!IO74)),0.0001)</f>
        <v>1E-4</v>
      </c>
      <c r="DV129" s="99">
        <f>IF(AND(Database!IQ65&gt;1,Database!IQ74&gt;1),100*(Database!IQ65/(Database!IQ74)),0.0001)</f>
        <v>1E-4</v>
      </c>
      <c r="DW129" s="99">
        <f>IF(AND(Database!IS65&gt;1,Database!IS74&gt;1),100*(Database!IS65/(Database!IS74)),0.0001)</f>
        <v>1E-4</v>
      </c>
      <c r="DX129" s="99">
        <f>IF(AND(Database!IU65&gt;1,Database!IU74&gt;1),100*(Database!IU65/(Database!IU74)),0.0001)</f>
        <v>1E-4</v>
      </c>
      <c r="DY129" s="99">
        <f>IF(AND(Database!IW65&gt;1,Database!IW74&gt;1),100*(Database!IW65/(Database!IW74)),0.0001)</f>
        <v>1E-4</v>
      </c>
      <c r="DZ129" s="99">
        <f>IF(AND(Database!IY65&gt;1,Database!IY74&gt;1),100*(Database!IY65/(Database!IY74)),0.0001)</f>
        <v>1E-4</v>
      </c>
      <c r="EA129" s="99">
        <f>IF(AND(Database!JA65&gt;1,Database!JA74&gt;1),100*(Database!JA65/(Database!JA74)),0.0001)</f>
        <v>1E-4</v>
      </c>
      <c r="EB129" s="99">
        <f>IF(AND(Database!JC65&gt;1,Database!JC74&gt;1),100*(Database!JC65/(Database!JC74)),0.0001)</f>
        <v>1E-4</v>
      </c>
      <c r="EC129" s="99">
        <f>IF(AND(Database!JE65&gt;1,Database!JE74&gt;1),100*(Database!JE65/(Database!JE74)),0.0001)</f>
        <v>1E-4</v>
      </c>
      <c r="ED129" s="99">
        <f>IF(AND(Database!JG65&gt;1,Database!JG74&gt;1),100*(Database!JG65/(Database!JG74)),0.0001)</f>
        <v>1E-4</v>
      </c>
      <c r="EE129" s="99">
        <f>IF(AND(Database!JI65&gt;1,Database!JI74&gt;1),100*(Database!JI65/(Database!JI74)),0.0001)</f>
        <v>1E-4</v>
      </c>
      <c r="EF129" s="99">
        <f>IF(AND(Database!JK65&gt;1,Database!JK74&gt;1),100*(Database!JK65/(Database!JK74)),0.0001)</f>
        <v>1E-4</v>
      </c>
      <c r="EG129" s="99">
        <f>IF(AND(Database!JM65&gt;1,Database!JM74&gt;1),100*(Database!JM65/(Database!JM74)),0.0001)</f>
        <v>1E-4</v>
      </c>
      <c r="EH129" s="99">
        <f>IF(AND(Database!JO65&gt;1,Database!JO74&gt;1),100*(Database!JO65/(Database!JO74)),0.0001)</f>
        <v>1E-4</v>
      </c>
      <c r="EI129" s="99">
        <f>IF(AND(Database!JQ65&gt;1,Database!JQ74&gt;1),100*(Database!JQ65/(Database!JQ74)),0.0001)</f>
        <v>1E-4</v>
      </c>
      <c r="EJ129" s="99">
        <f>IF(AND(Database!JS65&gt;1,Database!JS74&gt;1),100*(Database!JS65/(Database!JS74)),0.0001)</f>
        <v>1E-4</v>
      </c>
      <c r="EK129" s="99">
        <f>IF(AND(Database!JU65&gt;1,Database!JU74&gt;1),100*(Database!JU65/(Database!JU74)),0.0001)</f>
        <v>1E-4</v>
      </c>
      <c r="EL129" s="99">
        <f>IF(AND(Database!JW65&gt;1,Database!JW74&gt;1),100*(Database!JW65/(Database!JW74)),0.0001)</f>
        <v>1E-4</v>
      </c>
      <c r="EM129" s="99">
        <f>IF(AND(Database!JY65&gt;1,Database!JY74&gt;1),100*(Database!JY65/(Database!JY74)),0.0001)</f>
        <v>1E-4</v>
      </c>
      <c r="EN129" s="99">
        <f>IF(AND(Database!KA65&gt;1,Database!KA74&gt;1),100*(Database!KA65/(Database!KA74)),0.0001)</f>
        <v>1E-4</v>
      </c>
      <c r="EO129" s="99">
        <f>IF(AND(Database!KC65&gt;1,Database!KC74&gt;1),100*(Database!KC65/(Database!KC74)),0.0001)</f>
        <v>1E-4</v>
      </c>
      <c r="EP129" s="99">
        <f>IF(AND(Database!KE65&gt;1,Database!KE74&gt;1),100*(Database!KE65/(Database!KE74)),0.0001)</f>
        <v>1E-4</v>
      </c>
      <c r="EQ129" s="99">
        <f>IF(AND(Database!KG65&gt;1,Database!KG74&gt;1),100*(Database!KG65/(Database!KG74)),0.0001)</f>
        <v>1E-4</v>
      </c>
      <c r="ER129" s="99">
        <f>IF(AND(Database!KI65&gt;1,Database!KI74&gt;1),100*(Database!KI65/(Database!KI74)),0.0001)</f>
        <v>1E-4</v>
      </c>
      <c r="ES129" s="99">
        <f>IF(AND(Database!KK65&gt;1,Database!KK74&gt;1),100*(Database!KK65/(Database!KK74)),0.0001)</f>
        <v>1E-4</v>
      </c>
      <c r="ET129" s="99">
        <f>IF(AND(Database!KM65&gt;1,Database!KM74&gt;1),100*(Database!KM65/(Database!KM74)),0.0001)</f>
        <v>1E-4</v>
      </c>
      <c r="EU129" s="99">
        <f>IF(AND(Database!KO65&gt;1,Database!KO74&gt;1),100*(Database!KO65/(Database!KO74)),0.0001)</f>
        <v>1E-4</v>
      </c>
      <c r="EV129" s="99">
        <f>IF(AND(Database!KQ65&gt;1,Database!KQ74&gt;1),100*(Database!KQ65/(Database!KQ74)),0.0001)</f>
        <v>1E-4</v>
      </c>
      <c r="EW129" s="99">
        <f>IF(AND(Database!KS65&gt;1,Database!KS74&gt;1),100*(Database!KS65/(Database!KS74)),0.0001)</f>
        <v>1E-4</v>
      </c>
      <c r="EX129" s="99">
        <f>IF(AND(Database!KU65&gt;1,Database!KU74&gt;1),100*(Database!KU65/(Database!KU74)),0.0001)</f>
        <v>1E-4</v>
      </c>
      <c r="EY129" s="99">
        <f>IF(AND(Database!KW65&gt;1,Database!KW74&gt;1),100*(Database!KW65/(Database!KW74)),0.0001)</f>
        <v>1E-4</v>
      </c>
      <c r="EZ129" s="99">
        <f>IF(AND(Database!KY65&gt;1,Database!KY74&gt;1),100*(Database!KY65/(Database!KY74)),0.0001)</f>
        <v>1E-4</v>
      </c>
      <c r="FA129" s="99">
        <f>IF(AND(Database!LA65&gt;1,Database!LA74&gt;1),100*(Database!LA65/(Database!LA74)),0.0001)</f>
        <v>1E-4</v>
      </c>
      <c r="FB129" s="99">
        <f>IF(AND(Database!LC65&gt;1,Database!LC74&gt;1),100*(Database!LC65/(Database!LC74)),0.0001)</f>
        <v>1E-4</v>
      </c>
      <c r="FC129" s="99">
        <f>IF(AND(Database!LE65&gt;1,Database!LE74&gt;1),100*(Database!LE65/(Database!LE74)),0.0001)</f>
        <v>1E-4</v>
      </c>
      <c r="FD129" s="99">
        <f>IF(AND(Database!LG65&gt;1,Database!LG74&gt;1),100*(Database!LG65/(Database!LG74)),0.0001)</f>
        <v>1E-4</v>
      </c>
      <c r="FE129" s="99">
        <f>IF(AND(Database!LI65&gt;1,Database!LI74&gt;1),100*(Database!LI65/(Database!LI74)),0.0001)</f>
        <v>1E-4</v>
      </c>
      <c r="FF129" s="99">
        <f>IF(AND(Database!LK65&gt;1,Database!LK74&gt;1),100*(Database!LK65/(Database!LK74)),0.0001)</f>
        <v>1E-4</v>
      </c>
      <c r="FG129" s="99">
        <f>IF(AND(Database!LM65&gt;1,Database!LM74&gt;1),100*(Database!LM65/(Database!LM74)),0.0001)</f>
        <v>1E-4</v>
      </c>
      <c r="FH129" s="99">
        <f>IF(AND(Database!LO65&gt;1,Database!LO74&gt;1),100*(Database!LO65/(Database!LO74)),0.0001)</f>
        <v>1E-4</v>
      </c>
      <c r="FI129" s="99">
        <f>IF(AND(Database!LQ65&gt;1,Database!LQ74&gt;1),100*(Database!LQ65/(Database!LQ74)),0.0001)</f>
        <v>1E-4</v>
      </c>
      <c r="FJ129" s="99">
        <f>IF(AND(Database!LS65&gt;1,Database!LS74&gt;1),100*(Database!LS65/(Database!LS74)),0.0001)</f>
        <v>1E-4</v>
      </c>
      <c r="FK129" s="99">
        <f>IF(AND(Database!LU65&gt;1,Database!LU74&gt;1),100*(Database!LU65/(Database!LU74)),0.0001)</f>
        <v>1E-4</v>
      </c>
      <c r="FL129" s="99">
        <f>IF(AND(Database!LW65&gt;1,Database!LW74&gt;1),100*(Database!LW65/(Database!LW74)),0.0001)</f>
        <v>1E-4</v>
      </c>
      <c r="FM129" s="99">
        <f>IF(AND(Database!LY65&gt;1,Database!LY74&gt;1),100*(Database!LY65/(Database!LY74)),0.0001)</f>
        <v>1E-4</v>
      </c>
      <c r="FN129" s="99">
        <f>IF(AND(Database!MA65&gt;1,Database!MA74&gt;1),100*(Database!MA65/(Database!MA74)),0.0001)</f>
        <v>1E-4</v>
      </c>
      <c r="FO129" s="99">
        <f>IF(AND(Database!MC65&gt;1,Database!MC74&gt;1),100*(Database!MC65/(Database!MC74)),0.0001)</f>
        <v>1E-4</v>
      </c>
      <c r="FP129" s="99">
        <f>IF(AND(Database!ME65&gt;1,Database!ME74&gt;1),100*(Database!ME65/(Database!ME74)),0.0001)</f>
        <v>1E-4</v>
      </c>
      <c r="FQ129" s="99">
        <f>IF(AND(Database!MG65&gt;1,Database!MG74&gt;1),100*(Database!MG65/(Database!MG74)),0.0001)</f>
        <v>1E-4</v>
      </c>
      <c r="FR129" s="99">
        <f>IF(AND(Database!MI65&gt;1,Database!MI74&gt;1),100*(Database!MI65/(Database!MI74)),0.0001)</f>
        <v>1E-4</v>
      </c>
      <c r="FS129" s="99">
        <f>IF(AND(Database!MK65&gt;1,Database!MK74&gt;1),100*(Database!MK65/(Database!MK74)),0.0001)</f>
        <v>1E-4</v>
      </c>
      <c r="FT129" s="99">
        <f>IF(AND(Database!MM65&gt;1,Database!MM74&gt;1),100*(Database!MM65/(Database!MM74)),0.0001)</f>
        <v>1E-4</v>
      </c>
      <c r="FU129" s="99">
        <f>IF(AND(Database!MO65&gt;1,Database!MO74&gt;1),100*(Database!MO65/(Database!MO74)),0.0001)</f>
        <v>1E-4</v>
      </c>
      <c r="FV129" s="99">
        <f>IF(AND(Database!MQ65&gt;1,Database!MQ74&gt;1),100*(Database!MQ65/(Database!MQ74)),0.0001)</f>
        <v>1E-4</v>
      </c>
      <c r="FW129" s="99">
        <f>IF(AND(Database!MS65&gt;1,Database!MS74&gt;1),100*(Database!MS65/(Database!MS74)),0.0001)</f>
        <v>1E-4</v>
      </c>
      <c r="FX129" s="99">
        <f>IF(AND(Database!MU65&gt;1,Database!MU74&gt;1),100*(Database!MU65/(Database!MU74)),0.0001)</f>
        <v>1E-4</v>
      </c>
      <c r="FY129" s="99">
        <f>IF(AND(Database!MW65&gt;1,Database!MW74&gt;1),100*(Database!MW65/(Database!MW74)),0.0001)</f>
        <v>1E-4</v>
      </c>
      <c r="FZ129" s="99">
        <f>IF(AND(Database!MY65&gt;1,Database!MY74&gt;1),100*(Database!MY65/(Database!MY74)),0.0001)</f>
        <v>1E-4</v>
      </c>
      <c r="GA129" s="99">
        <f>IF(AND(Database!NA65&gt;1,Database!NA74&gt;1),100*(Database!NA65/(Database!NA74)),0.0001)</f>
        <v>1E-4</v>
      </c>
      <c r="GB129" s="99">
        <f>IF(AND(Database!NC65&gt;1,Database!NC74&gt;1),100*(Database!NC65/(Database!NC74)),0.0001)</f>
        <v>1E-4</v>
      </c>
      <c r="GC129" s="99">
        <f>IF(AND(Database!NE65&gt;1,Database!NE74&gt;1),100*(Database!NE65/(Database!NE74)),0.0001)</f>
        <v>1E-4</v>
      </c>
      <c r="GD129" s="99">
        <f>IF(AND(Database!NG65&gt;1,Database!NG74&gt;1),100*(Database!NG65/(Database!NG74)),0.0001)</f>
        <v>1E-4</v>
      </c>
      <c r="GE129" s="99">
        <f>IF(AND(Database!NI65&gt;1,Database!NI74&gt;1),100*(Database!NI65/(Database!NI74)),0.0001)</f>
        <v>1E-4</v>
      </c>
      <c r="GF129" s="99">
        <f>IF(AND(Database!NK65&gt;1,Database!NK74&gt;1),100*(Database!NK65/(Database!NK74)),0.0001)</f>
        <v>1E-4</v>
      </c>
      <c r="GG129" s="99">
        <f>IF(AND(Database!NM65&gt;1,Database!NM74&gt;1),100*(Database!NM65/(Database!NM74)),0.0001)</f>
        <v>1E-4</v>
      </c>
      <c r="GH129" s="99">
        <f>IF(AND(Database!NO65&gt;1,Database!NO74&gt;1),100*(Database!NO65/(Database!NO74)),0.0001)</f>
        <v>1E-4</v>
      </c>
      <c r="GI129" s="99">
        <f>IF(AND(Database!NQ65&gt;1,Database!NQ74&gt;1),100*(Database!NQ65/(Database!NQ74)),0.0001)</f>
        <v>1E-4</v>
      </c>
      <c r="GJ129" s="99">
        <f>IF(AND(Database!NS65&gt;1,Database!NS74&gt;1),100*(Database!NS65/(Database!NS74)),0.0001)</f>
        <v>1E-4</v>
      </c>
      <c r="GK129" s="99">
        <f>IF(AND(Database!NU65&gt;1,Database!NU74&gt;1),100*(Database!NU65/(Database!NU74)),0.0001)</f>
        <v>1E-4</v>
      </c>
      <c r="GL129" s="99">
        <f>IF(AND(Database!NW65&gt;1,Database!NW74&gt;1),100*(Database!NW65/(Database!NW74)),0.0001)</f>
        <v>1E-4</v>
      </c>
      <c r="GM129" s="99">
        <f>IF(AND(Database!NY65&gt;1,Database!NY74&gt;1),100*(Database!NY65/(Database!NY74)),0.0001)</f>
        <v>1E-4</v>
      </c>
      <c r="GN129" s="99">
        <f>IF(AND(Database!OA65&gt;1,Database!OA74&gt;1),100*(Database!OA65/(Database!OA74)),0.0001)</f>
        <v>1E-4</v>
      </c>
      <c r="GO129" s="99">
        <f>IF(AND(Database!OC65&gt;1,Database!OC74&gt;1),100*(Database!OC65/(Database!OC74)),0.0001)</f>
        <v>1E-4</v>
      </c>
      <c r="GP129" s="99">
        <f>IF(AND(Database!OE65&gt;1,Database!OE74&gt;1),100*(Database!OE65/(Database!OE74)),0.0001)</f>
        <v>1E-4</v>
      </c>
      <c r="GQ129" s="99">
        <f>IF(AND(Database!OG65&gt;1,Database!OG74&gt;1),100*(Database!OG65/(Database!OG74)),0.0001)</f>
        <v>1E-4</v>
      </c>
      <c r="GR129" s="99">
        <f>IF(AND(Database!OI65&gt;1,Database!OI74&gt;1),100*(Database!OI65/(Database!OI74)),0.0001)</f>
        <v>1E-4</v>
      </c>
      <c r="GS129" s="99">
        <f>IF(AND(Database!OK65&gt;1,Database!OK74&gt;1),100*(Database!OK65/(Database!OK74)),0.0001)</f>
        <v>1E-4</v>
      </c>
      <c r="GT129" s="99">
        <f>IF(AND(Database!OM65&gt;1,Database!OM74&gt;1),100*(Database!OM65/(Database!OM74)),0.0001)</f>
        <v>1E-4</v>
      </c>
    </row>
    <row r="130" spans="1:205" ht="18.75" customHeight="1" x14ac:dyDescent="0.4">
      <c r="A130" s="29" t="s">
        <v>140</v>
      </c>
      <c r="B130" s="306"/>
      <c r="C130" s="99">
        <f>IF(AND(Database!E66&gt;1,Database!E68&gt;1),100*(Database!E66/(Database!E68)),0.0001)</f>
        <v>32.6875082096414</v>
      </c>
      <c r="D130" s="99">
        <f>IF(AND(Database!G66&gt;1,Database!G68&gt;1),100*(Database!G66/(Database!G68)),0.0001)</f>
        <v>1E-4</v>
      </c>
      <c r="E130" s="99">
        <f>IF(AND(Database!I66&gt;1,Database!I68&gt;1),100*(Database!I66/(Database!I68)),0.0001)</f>
        <v>1E-4</v>
      </c>
      <c r="F130" s="99">
        <f>IF(AND(Database!K66&gt;1,Database!K68&gt;1),100*(Database!K66/(Database!K68)),0.0001)</f>
        <v>1E-4</v>
      </c>
      <c r="G130" s="99">
        <f>IF(AND(Database!M66&gt;1,Database!M68&gt;1),100*(Database!M66/(Database!M68)),0.0001)</f>
        <v>1E-4</v>
      </c>
      <c r="H130" s="99">
        <f>IF(AND(Database!O66&gt;1,Database!O68&gt;1),100*(Database!O66/(Database!O68)),0.0001)</f>
        <v>1E-4</v>
      </c>
      <c r="I130" s="99">
        <f>IF(AND(Database!Q66&gt;1,Database!Q68&gt;1),100*(Database!Q66/(Database!Q68)),0.0001)</f>
        <v>1E-4</v>
      </c>
      <c r="J130" s="99">
        <f>IF(AND(Database!S66&gt;1,Database!S68&gt;1),100*(Database!S66/(Database!S68)),0.0001)</f>
        <v>1E-4</v>
      </c>
      <c r="K130" s="99">
        <f>IF(AND(Database!U66&gt;1,Database!U68&gt;1),100*(Database!U66/(Database!U68)),0.0001)</f>
        <v>1E-4</v>
      </c>
      <c r="L130" s="99">
        <f>IF(AND(Database!W66&gt;1,Database!W68&gt;1),100*(Database!W66/(Database!W68)),0.0001)</f>
        <v>1E-4</v>
      </c>
      <c r="M130" s="99">
        <f>IF(AND(Database!Y66&gt;1,Database!Y68&gt;1),100*(Database!Y66/(Database!Y68)),0.0001)</f>
        <v>1E-4</v>
      </c>
      <c r="N130" s="99">
        <f>IF(AND(Database!AA66&gt;1,Database!AA68&gt;1),100*(Database!AA66/(Database!AA68)),0.0001)</f>
        <v>1E-4</v>
      </c>
      <c r="O130" s="99">
        <f>IF(AND(Database!AC66&gt;1,Database!AC68&gt;1),100*(Database!AC66/(Database!AC68)),0.0001)</f>
        <v>1E-4</v>
      </c>
      <c r="P130" s="99">
        <f>IF(AND(Database!AE66&gt;1,Database!AE68&gt;1),100*(Database!AE66/(Database!AE68)),0.0001)</f>
        <v>1E-4</v>
      </c>
      <c r="Q130" s="99">
        <f>IF(AND(Database!AG66&gt;1,Database!AG68&gt;1),100*(Database!AG66/(Database!AG68)),0.0001)</f>
        <v>1E-4</v>
      </c>
      <c r="R130" s="99">
        <f>IF(AND(Database!AI66&gt;1,Database!AI68&gt;1),100*(Database!AI66/(Database!AI68)),0.0001)</f>
        <v>1E-4</v>
      </c>
      <c r="S130" s="99">
        <f>IF(AND(Database!AK66&gt;1,Database!AK68&gt;1),100*(Database!AK66/(Database!AK68)),0.0001)</f>
        <v>1E-4</v>
      </c>
      <c r="T130" s="99">
        <f>IF(AND(Database!AM66&gt;1,Database!AM68&gt;1),100*(Database!AM66/(Database!AM68)),0.0001)</f>
        <v>1E-4</v>
      </c>
      <c r="U130" s="99">
        <f>IF(AND(Database!AO66&gt;1,Database!AO68&gt;1),100*(Database!AO66/(Database!AO68)),0.0001)</f>
        <v>1E-4</v>
      </c>
      <c r="V130" s="99">
        <f>IF(AND(Database!AQ66&gt;1,Database!AQ68&gt;1),100*(Database!AQ66/(Database!AQ68)),0.0001)</f>
        <v>1E-4</v>
      </c>
      <c r="W130" s="99">
        <f>IF(AND(Database!AS66&gt;1,Database!AS68&gt;1),100*(Database!AS66/(Database!AS68)),0.0001)</f>
        <v>1E-4</v>
      </c>
      <c r="X130" s="99">
        <f>IF(AND(Database!AU66&gt;1,Database!AU68&gt;1),100*(Database!AU66/(Database!AU68)),0.0001)</f>
        <v>1E-4</v>
      </c>
      <c r="Y130" s="99">
        <f>IF(AND(Database!AW66&gt;1,Database!AW68&gt;1),100*(Database!AW66/(Database!AW68)),0.0001)</f>
        <v>1E-4</v>
      </c>
      <c r="Z130" s="99">
        <f>IF(AND(Database!AY66&gt;1,Database!AY68&gt;1),100*(Database!AY66/(Database!AY68)),0.0001)</f>
        <v>1E-4</v>
      </c>
      <c r="AA130" s="99">
        <f>IF(AND(Database!BA66&gt;1,Database!BA68&gt;1),100*(Database!BA66/(Database!BA68)),0.0001)</f>
        <v>1E-4</v>
      </c>
      <c r="AB130" s="99">
        <f>IF(AND(Database!BC66&gt;1,Database!BC68&gt;1),100*(Database!BC66/(Database!BC68)),0.0001)</f>
        <v>1E-4</v>
      </c>
      <c r="AC130" s="99">
        <f>IF(AND(Database!BE66&gt;1,Database!BE68&gt;1),100*(Database!BE66/(Database!BE68)),0.0001)</f>
        <v>1E-4</v>
      </c>
      <c r="AD130" s="99">
        <f>IF(AND(Database!BG66&gt;1,Database!BG68&gt;1),100*(Database!BG66/(Database!BG68)),0.0001)</f>
        <v>1E-4</v>
      </c>
      <c r="AE130" s="99">
        <f>IF(AND(Database!BI66&gt;1,Database!BI68&gt;1),100*(Database!BI66/(Database!BI68)),0.0001)</f>
        <v>1E-4</v>
      </c>
      <c r="AF130" s="99">
        <f>IF(AND(Database!BK66&gt;1,Database!BK68&gt;1),100*(Database!BK66/(Database!BK68)),0.0001)</f>
        <v>1E-4</v>
      </c>
      <c r="AG130" s="99">
        <f>IF(AND(Database!BM66&gt;1,Database!BM68&gt;1),100*(Database!BM66/(Database!BM68)),0.0001)</f>
        <v>1E-4</v>
      </c>
      <c r="AH130" s="99">
        <f>IF(AND(Database!BO66&gt;1,Database!BO68&gt;1),100*(Database!BO66/(Database!BO68)),0.0001)</f>
        <v>1E-4</v>
      </c>
      <c r="AI130" s="99">
        <f>IF(AND(Database!BQ66&gt;1,Database!BQ68&gt;1),100*(Database!BQ66/(Database!BQ68)),0.0001)</f>
        <v>1E-4</v>
      </c>
      <c r="AJ130" s="99">
        <f>IF(AND(Database!BS66&gt;1,Database!BS68&gt;1),100*(Database!BS66/(Database!BS68)),0.0001)</f>
        <v>1E-4</v>
      </c>
      <c r="AK130" s="99">
        <f>IF(AND(Database!BU66&gt;1,Database!BU68&gt;1),100*(Database!BU66/(Database!BU68)),0.0001)</f>
        <v>1E-4</v>
      </c>
      <c r="AL130" s="99">
        <f>IF(AND(Database!BW66&gt;1,Database!BW68&gt;1),100*(Database!BW66/(Database!BW68)),0.0001)</f>
        <v>1E-4</v>
      </c>
      <c r="AM130" s="99">
        <f>IF(AND(Database!BY66&gt;1,Database!BY68&gt;1),100*(Database!BY66/(Database!BY68)),0.0001)</f>
        <v>1E-4</v>
      </c>
      <c r="AN130" s="99">
        <f>IF(AND(Database!CA66&gt;1,Database!CA68&gt;1),100*(Database!CA66/(Database!CA68)),0.0001)</f>
        <v>1E-4</v>
      </c>
      <c r="AO130" s="99">
        <f>IF(AND(Database!CC66&gt;1,Database!CC68&gt;1),100*(Database!CC66/(Database!CC68)),0.0001)</f>
        <v>1E-4</v>
      </c>
      <c r="AP130" s="99">
        <f>IF(AND(Database!CE66&gt;1,Database!CE68&gt;1),100*(Database!CE66/(Database!CE68)),0.0001)</f>
        <v>1E-4</v>
      </c>
      <c r="AQ130" s="99">
        <f>IF(AND(Database!CG66&gt;1,Database!CG68&gt;1),100*(Database!CG66/(Database!CG68)),0.0001)</f>
        <v>1E-4</v>
      </c>
      <c r="AR130" s="99">
        <f>IF(AND(Database!CI66&gt;1,Database!CI68&gt;1),100*(Database!CI66/(Database!CI68)),0.0001)</f>
        <v>1E-4</v>
      </c>
      <c r="AS130" s="99">
        <f>IF(AND(Database!CK66&gt;1,Database!CK68&gt;1),100*(Database!CK66/(Database!CK68)),0.0001)</f>
        <v>1E-4</v>
      </c>
      <c r="AT130" s="99">
        <f>IF(AND(Database!CM66&gt;1,Database!CM68&gt;1),100*(Database!CM66/(Database!CM68)),0.0001)</f>
        <v>1E-4</v>
      </c>
      <c r="AU130" s="99">
        <f>IF(AND(Database!CO66&gt;1,Database!CO68&gt;1),100*(Database!CO66/(Database!CO68)),0.0001)</f>
        <v>1E-4</v>
      </c>
      <c r="AV130" s="99">
        <f>IF(AND(Database!CQ66&gt;1,Database!CQ68&gt;1),100*(Database!CQ66/(Database!CQ68)),0.0001)</f>
        <v>1E-4</v>
      </c>
      <c r="AW130" s="99">
        <f>IF(AND(Database!CS66&gt;1,Database!CS68&gt;1),100*(Database!CS66/(Database!CS68)),0.0001)</f>
        <v>1E-4</v>
      </c>
      <c r="AX130" s="99">
        <f>IF(AND(Database!CU66&gt;1,Database!CU68&gt;1),100*(Database!CU66/(Database!CU68)),0.0001)</f>
        <v>1E-4</v>
      </c>
      <c r="AY130" s="99">
        <f>IF(AND(Database!CW66&gt;1,Database!CW68&gt;1),100*(Database!CW66/(Database!CW68)),0.0001)</f>
        <v>1E-4</v>
      </c>
      <c r="AZ130" s="99">
        <f>IF(AND(Database!CY66&gt;1,Database!CY68&gt;1),100*(Database!CY66/(Database!CY68)),0.0001)</f>
        <v>1E-4</v>
      </c>
      <c r="BA130" s="99">
        <f>IF(AND(Database!DA66&gt;1,Database!DA68&gt;1),100*(Database!DA66/(Database!DA68)),0.0001)</f>
        <v>1E-4</v>
      </c>
      <c r="BB130" s="99">
        <f>IF(AND(Database!DC66&gt;1,Database!DC68&gt;1),100*(Database!DC66/(Database!DC68)),0.0001)</f>
        <v>1E-4</v>
      </c>
      <c r="BC130" s="99">
        <f>IF(AND(Database!DE66&gt;1,Database!DE68&gt;1),100*(Database!DE66/(Database!DE68)),0.0001)</f>
        <v>1E-4</v>
      </c>
      <c r="BD130" s="99">
        <f>IF(AND(Database!DG66&gt;1,Database!DG68&gt;1),100*(Database!DG66/(Database!DG68)),0.0001)</f>
        <v>1E-4</v>
      </c>
      <c r="BE130" s="99">
        <f>IF(AND(Database!DI66&gt;1,Database!DI68&gt;1),100*(Database!DI66/(Database!DI68)),0.0001)</f>
        <v>1E-4</v>
      </c>
      <c r="BF130" s="99">
        <f>IF(AND(Database!DK66&gt;1,Database!DK68&gt;1),100*(Database!DK66/(Database!DK68)),0.0001)</f>
        <v>1E-4</v>
      </c>
      <c r="BG130" s="99">
        <f>IF(AND(Database!DM66&gt;1,Database!DM68&gt;1),100*(Database!DM66/(Database!DM68)),0.0001)</f>
        <v>1E-4</v>
      </c>
      <c r="BH130" s="99">
        <f>IF(AND(Database!DO66&gt;1,Database!DO68&gt;1),100*(Database!DO66/(Database!DO68)),0.0001)</f>
        <v>1E-4</v>
      </c>
      <c r="BI130" s="99">
        <f>IF(AND(Database!DQ66&gt;1,Database!DQ68&gt;1),100*(Database!DQ66/(Database!DQ68)),0.0001)</f>
        <v>1E-4</v>
      </c>
      <c r="BJ130" s="99">
        <f>IF(AND(Database!DS66&gt;1,Database!DS68&gt;1),100*(Database!DS66/(Database!DS68)),0.0001)</f>
        <v>1E-4</v>
      </c>
      <c r="BK130" s="99">
        <f>IF(AND(Database!DU66&gt;1,Database!DU68&gt;1),100*(Database!DU66/(Database!DU68)),0.0001)</f>
        <v>1E-4</v>
      </c>
      <c r="BL130" s="99">
        <f>IF(AND(Database!DW66&gt;1,Database!DW68&gt;1),100*(Database!DW66/(Database!DW68)),0.0001)</f>
        <v>1E-4</v>
      </c>
      <c r="BM130" s="99">
        <f>IF(AND(Database!DY66&gt;1,Database!DY68&gt;1),100*(Database!DY66/(Database!DY68)),0.0001)</f>
        <v>1E-4</v>
      </c>
      <c r="BN130" s="99">
        <f>IF(AND(Database!EA66&gt;1,Database!EA68&gt;1),100*(Database!EA66/(Database!EA68)),0.0001)</f>
        <v>1E-4</v>
      </c>
      <c r="BO130" s="99">
        <f>IF(AND(Database!EC66&gt;1,Database!EC68&gt;1),100*(Database!EC66/(Database!EC68)),0.0001)</f>
        <v>1E-4</v>
      </c>
      <c r="BP130" s="99">
        <f>IF(AND(Database!EE66&gt;1,Database!EE68&gt;1),100*(Database!EE66/(Database!EE68)),0.0001)</f>
        <v>1E-4</v>
      </c>
      <c r="BQ130" s="99">
        <f>IF(AND(Database!EG66&gt;1,Database!EG68&gt;1),100*(Database!EG66/(Database!EG68)),0.0001)</f>
        <v>1E-4</v>
      </c>
      <c r="BR130" s="99">
        <f>IF(AND(Database!EI66&gt;1,Database!EI68&gt;1),100*(Database!EI66/(Database!EI68)),0.0001)</f>
        <v>1E-4</v>
      </c>
      <c r="BS130" s="99">
        <f>IF(AND(Database!EK66&gt;1,Database!EK68&gt;1),100*(Database!EK66/(Database!EK68)),0.0001)</f>
        <v>1E-4</v>
      </c>
      <c r="BT130" s="99">
        <f>IF(AND(Database!EM66&gt;1,Database!EM68&gt;1),100*(Database!EM66/(Database!EM68)),0.0001)</f>
        <v>1E-4</v>
      </c>
      <c r="BU130" s="99">
        <f>IF(AND(Database!EO66&gt;1,Database!EO68&gt;1),100*(Database!EO66/(Database!EO68)),0.0001)</f>
        <v>1E-4</v>
      </c>
      <c r="BV130" s="99">
        <f>IF(AND(Database!EQ66&gt;1,Database!EQ68&gt;1),100*(Database!EQ66/(Database!EQ68)),0.0001)</f>
        <v>1E-4</v>
      </c>
      <c r="BW130" s="99">
        <f>IF(AND(Database!ES66&gt;1,Database!ES68&gt;1),100*(Database!ES66/(Database!ES68)),0.0001)</f>
        <v>1E-4</v>
      </c>
      <c r="BX130" s="99">
        <f>IF(AND(Database!EU66&gt;1,Database!EU68&gt;1),100*(Database!EU66/(Database!EU68)),0.0001)</f>
        <v>1E-4</v>
      </c>
      <c r="BY130" s="99">
        <f>IF(AND(Database!EW66&gt;1,Database!EW68&gt;1),100*(Database!EW66/(Database!EW68)),0.0001)</f>
        <v>1E-4</v>
      </c>
      <c r="BZ130" s="99">
        <f>IF(AND(Database!EY66&gt;1,Database!EY68&gt;1),100*(Database!EY66/(Database!EY68)),0.0001)</f>
        <v>1E-4</v>
      </c>
      <c r="CA130" s="99">
        <f>IF(AND(Database!FA66&gt;1,Database!FA68&gt;1),100*(Database!FA66/(Database!FA68)),0.0001)</f>
        <v>1E-4</v>
      </c>
      <c r="CB130" s="99">
        <f>IF(AND(Database!FC66&gt;1,Database!FC68&gt;1),100*(Database!FC66/(Database!FC68)),0.0001)</f>
        <v>1E-4</v>
      </c>
      <c r="CC130" s="99">
        <f>IF(AND(Database!FE66&gt;1,Database!FE68&gt;1),100*(Database!FE66/(Database!FE68)),0.0001)</f>
        <v>1E-4</v>
      </c>
      <c r="CD130" s="99">
        <f>IF(AND(Database!FG66&gt;1,Database!FG68&gt;1),100*(Database!FG66/(Database!FG68)),0.0001)</f>
        <v>1E-4</v>
      </c>
      <c r="CE130" s="99">
        <f>IF(AND(Database!FI66&gt;1,Database!FI68&gt;1),100*(Database!FI66/(Database!FI68)),0.0001)</f>
        <v>1E-4</v>
      </c>
      <c r="CF130" s="99">
        <f>IF(AND(Database!FK66&gt;1,Database!FK68&gt;1),100*(Database!FK66/(Database!FK68)),0.0001)</f>
        <v>1E-4</v>
      </c>
      <c r="CG130" s="99">
        <f>IF(AND(Database!FM66&gt;1,Database!FM68&gt;1),100*(Database!FM66/(Database!FM68)),0.0001)</f>
        <v>1E-4</v>
      </c>
      <c r="CH130" s="99">
        <f>IF(AND(Database!FO66&gt;1,Database!FO68&gt;1),100*(Database!FO66/(Database!FO68)),0.0001)</f>
        <v>1E-4</v>
      </c>
      <c r="CI130" s="99">
        <f>IF(AND(Database!FQ66&gt;1,Database!FQ68&gt;1),100*(Database!FQ66/(Database!FQ68)),0.0001)</f>
        <v>1E-4</v>
      </c>
      <c r="CJ130" s="99">
        <f>IF(AND(Database!FS66&gt;1,Database!FS68&gt;1),100*(Database!FS66/(Database!FS68)),0.0001)</f>
        <v>1E-4</v>
      </c>
      <c r="CK130" s="99">
        <f>IF(AND(Database!FU66&gt;1,Database!FU68&gt;1),100*(Database!FU66/(Database!FU68)),0.0001)</f>
        <v>1E-4</v>
      </c>
      <c r="CL130" s="99">
        <f>IF(AND(Database!FW66&gt;1,Database!FW68&gt;1),100*(Database!FW66/(Database!FW68)),0.0001)</f>
        <v>1E-4</v>
      </c>
      <c r="CM130" s="99">
        <f>IF(AND(Database!FY66&gt;1,Database!FY68&gt;1),100*(Database!FY66/(Database!FY68)),0.0001)</f>
        <v>1E-4</v>
      </c>
      <c r="CN130" s="99">
        <f>IF(AND(Database!GA66&gt;1,Database!GA68&gt;1),100*(Database!GA66/(Database!GA68)),0.0001)</f>
        <v>1E-4</v>
      </c>
      <c r="CO130" s="99">
        <f>IF(AND(Database!GC66&gt;1,Database!GC68&gt;1),100*(Database!GC66/(Database!GC68)),0.0001)</f>
        <v>1E-4</v>
      </c>
      <c r="CP130" s="99">
        <f>IF(AND(Database!GE66&gt;1,Database!GE68&gt;1),100*(Database!GE66/(Database!GE68)),0.0001)</f>
        <v>1E-4</v>
      </c>
      <c r="CQ130" s="99">
        <f>IF(AND(Database!GG66&gt;1,Database!GG68&gt;1),100*(Database!GG66/(Database!GG68)),0.0001)</f>
        <v>1E-4</v>
      </c>
      <c r="CR130" s="99">
        <f>IF(AND(Database!GI66&gt;1,Database!GI68&gt;1),100*(Database!GI66/(Database!GI68)),0.0001)</f>
        <v>1E-4</v>
      </c>
      <c r="CS130" s="99">
        <f>IF(AND(Database!GK66&gt;1,Database!GK68&gt;1),100*(Database!GK66/(Database!GK68)),0.0001)</f>
        <v>1E-4</v>
      </c>
      <c r="CT130" s="99">
        <f>IF(AND(Database!GM66&gt;1,Database!GM68&gt;1),100*(Database!GM66/(Database!GM68)),0.0001)</f>
        <v>1E-4</v>
      </c>
      <c r="CU130" s="99">
        <f>IF(AND(Database!GO66&gt;1,Database!GO68&gt;1),100*(Database!GO66/(Database!GO68)),0.0001)</f>
        <v>1E-4</v>
      </c>
      <c r="CV130" s="99">
        <f>IF(AND(Database!GQ66&gt;1,Database!GQ68&gt;1),100*(Database!GQ66/(Database!GQ68)),0.0001)</f>
        <v>1E-4</v>
      </c>
      <c r="CW130" s="99">
        <f>IF(AND(Database!GS66&gt;1,Database!GS68&gt;1),100*(Database!GS66/(Database!GS68)),0.0001)</f>
        <v>1E-4</v>
      </c>
      <c r="CX130" s="99">
        <f>IF(AND(Database!GU66&gt;1,Database!GU68&gt;1),100*(Database!GU66/(Database!GU68)),0.0001)</f>
        <v>1E-4</v>
      </c>
      <c r="CY130" s="99">
        <f>IF(AND(Database!GW66&gt;1,Database!GW68&gt;1),100*(Database!GW66/(Database!GW68)),0.0001)</f>
        <v>1E-4</v>
      </c>
      <c r="CZ130" s="99">
        <f>IF(AND(Database!GY66&gt;1,Database!GY68&gt;1),100*(Database!GY66/(Database!GY68)),0.0001)</f>
        <v>1E-4</v>
      </c>
      <c r="DA130" s="99">
        <f>IF(AND(Database!HA66&gt;1,Database!HA68&gt;1),100*(Database!HA66/(Database!HA68)),0.0001)</f>
        <v>1E-4</v>
      </c>
      <c r="DB130" s="99">
        <f>IF(AND(Database!HC66&gt;1,Database!HC68&gt;1),100*(Database!HC66/(Database!HC68)),0.0001)</f>
        <v>1E-4</v>
      </c>
      <c r="DC130" s="99">
        <f>IF(AND(Database!HE66&gt;1,Database!HE68&gt;1),100*(Database!HE66/(Database!HE68)),0.0001)</f>
        <v>1E-4</v>
      </c>
      <c r="DD130" s="99">
        <f>IF(AND(Database!HG66&gt;1,Database!HG68&gt;1),100*(Database!HG66/(Database!HG68)),0.0001)</f>
        <v>1E-4</v>
      </c>
      <c r="DE130" s="99">
        <f>IF(AND(Database!HI66&gt;1,Database!HI68&gt;1),100*(Database!HI66/(Database!HI68)),0.0001)</f>
        <v>1E-4</v>
      </c>
      <c r="DF130" s="99">
        <f>IF(AND(Database!HK66&gt;1,Database!HK68&gt;1),100*(Database!HK66/(Database!HK68)),0.0001)</f>
        <v>1E-4</v>
      </c>
      <c r="DG130" s="99">
        <f>IF(AND(Database!HM66&gt;1,Database!HM68&gt;1),100*(Database!HM66/(Database!HM68)),0.0001)</f>
        <v>1E-4</v>
      </c>
      <c r="DH130" s="99">
        <f>IF(AND(Database!HO66&gt;1,Database!HO68&gt;1),100*(Database!HO66/(Database!HO68)),0.0001)</f>
        <v>1E-4</v>
      </c>
      <c r="DI130" s="99">
        <f>IF(AND(Database!HQ66&gt;1,Database!HQ68&gt;1),100*(Database!HQ66/(Database!HQ68)),0.0001)</f>
        <v>1E-4</v>
      </c>
      <c r="DJ130" s="99">
        <f>IF(AND(Database!HS66&gt;1,Database!HS68&gt;1),100*(Database!HS66/(Database!HS68)),0.0001)</f>
        <v>1E-4</v>
      </c>
      <c r="DK130" s="99">
        <f>IF(AND(Database!HU66&gt;1,Database!HU68&gt;1),100*(Database!HU66/(Database!HU68)),0.0001)</f>
        <v>1E-4</v>
      </c>
      <c r="DL130" s="99">
        <f>IF(AND(Database!HW66&gt;1,Database!HW68&gt;1),100*(Database!HW66/(Database!HW68)),0.0001)</f>
        <v>1E-4</v>
      </c>
      <c r="DM130" s="99">
        <f>IF(AND(Database!HY66&gt;1,Database!HY68&gt;1),100*(Database!HY66/(Database!HY68)),0.0001)</f>
        <v>1E-4</v>
      </c>
      <c r="DN130" s="99">
        <f>IF(AND(Database!IA66&gt;1,Database!IA68&gt;1),100*(Database!IA66/(Database!IA68)),0.0001)</f>
        <v>1E-4</v>
      </c>
      <c r="DO130" s="99">
        <f>IF(AND(Database!IC66&gt;1,Database!IC68&gt;1),100*(Database!IC66/(Database!IC68)),0.0001)</f>
        <v>1E-4</v>
      </c>
      <c r="DP130" s="99">
        <f>IF(AND(Database!IE66&gt;1,Database!IE68&gt;1),100*(Database!IE66/(Database!IE68)),0.0001)</f>
        <v>1E-4</v>
      </c>
      <c r="DQ130" s="99">
        <f>IF(AND(Database!IG66&gt;1,Database!IG68&gt;1),100*(Database!IG66/(Database!IG68)),0.0001)</f>
        <v>1E-4</v>
      </c>
      <c r="DR130" s="99">
        <f>IF(AND(Database!II66&gt;1,Database!II68&gt;1),100*(Database!II66/(Database!II68)),0.0001)</f>
        <v>1E-4</v>
      </c>
      <c r="DS130" s="99">
        <f>IF(AND(Database!IK66&gt;1,Database!IK68&gt;1),100*(Database!IK66/(Database!IK68)),0.0001)</f>
        <v>1E-4</v>
      </c>
      <c r="DT130" s="99">
        <f>IF(AND(Database!IM66&gt;1,Database!IM68&gt;1),100*(Database!IM66/(Database!IM68)),0.0001)</f>
        <v>1E-4</v>
      </c>
      <c r="DU130" s="99">
        <f>IF(AND(Database!IO66&gt;1,Database!IO68&gt;1),100*(Database!IO66/(Database!IO68)),0.0001)</f>
        <v>1E-4</v>
      </c>
      <c r="DV130" s="99">
        <f>IF(AND(Database!IQ66&gt;1,Database!IQ68&gt;1),100*(Database!IQ66/(Database!IQ68)),0.0001)</f>
        <v>1E-4</v>
      </c>
      <c r="DW130" s="99">
        <f>IF(AND(Database!IS66&gt;1,Database!IS68&gt;1),100*(Database!IS66/(Database!IS68)),0.0001)</f>
        <v>1E-4</v>
      </c>
      <c r="DX130" s="99">
        <f>IF(AND(Database!IU66&gt;1,Database!IU68&gt;1),100*(Database!IU66/(Database!IU68)),0.0001)</f>
        <v>1E-4</v>
      </c>
      <c r="DY130" s="99">
        <f>IF(AND(Database!IW66&gt;1,Database!IW68&gt;1),100*(Database!IW66/(Database!IW68)),0.0001)</f>
        <v>1E-4</v>
      </c>
      <c r="DZ130" s="99">
        <f>IF(AND(Database!IY66&gt;1,Database!IY68&gt;1),100*(Database!IY66/(Database!IY68)),0.0001)</f>
        <v>1E-4</v>
      </c>
      <c r="EA130" s="99">
        <f>IF(AND(Database!JA66&gt;1,Database!JA68&gt;1),100*(Database!JA66/(Database!JA68)),0.0001)</f>
        <v>1E-4</v>
      </c>
      <c r="EB130" s="99">
        <f>IF(AND(Database!JC66&gt;1,Database!JC68&gt;1),100*(Database!JC66/(Database!JC68)),0.0001)</f>
        <v>1E-4</v>
      </c>
      <c r="EC130" s="99">
        <f>IF(AND(Database!JE66&gt;1,Database!JE68&gt;1),100*(Database!JE66/(Database!JE68)),0.0001)</f>
        <v>1E-4</v>
      </c>
      <c r="ED130" s="99">
        <f>IF(AND(Database!JG66&gt;1,Database!JG68&gt;1),100*(Database!JG66/(Database!JG68)),0.0001)</f>
        <v>1E-4</v>
      </c>
      <c r="EE130" s="99">
        <f>IF(AND(Database!JI66&gt;1,Database!JI68&gt;1),100*(Database!JI66/(Database!JI68)),0.0001)</f>
        <v>1E-4</v>
      </c>
      <c r="EF130" s="99">
        <f>IF(AND(Database!JK66&gt;1,Database!JK68&gt;1),100*(Database!JK66/(Database!JK68)),0.0001)</f>
        <v>1E-4</v>
      </c>
      <c r="EG130" s="99">
        <f>IF(AND(Database!JM66&gt;1,Database!JM68&gt;1),100*(Database!JM66/(Database!JM68)),0.0001)</f>
        <v>1E-4</v>
      </c>
      <c r="EH130" s="99">
        <f>IF(AND(Database!JO66&gt;1,Database!JO68&gt;1),100*(Database!JO66/(Database!JO68)),0.0001)</f>
        <v>1E-4</v>
      </c>
      <c r="EI130" s="99">
        <f>IF(AND(Database!JQ66&gt;1,Database!JQ68&gt;1),100*(Database!JQ66/(Database!JQ68)),0.0001)</f>
        <v>1E-4</v>
      </c>
      <c r="EJ130" s="99">
        <f>IF(AND(Database!JS66&gt;1,Database!JS68&gt;1),100*(Database!JS66/(Database!JS68)),0.0001)</f>
        <v>1E-4</v>
      </c>
      <c r="EK130" s="99">
        <f>IF(AND(Database!JU66&gt;1,Database!JU68&gt;1),100*(Database!JU66/(Database!JU68)),0.0001)</f>
        <v>1E-4</v>
      </c>
      <c r="EL130" s="99">
        <f>IF(AND(Database!JW66&gt;1,Database!JW68&gt;1),100*(Database!JW66/(Database!JW68)),0.0001)</f>
        <v>1E-4</v>
      </c>
      <c r="EM130" s="99">
        <f>IF(AND(Database!JY66&gt;1,Database!JY68&gt;1),100*(Database!JY66/(Database!JY68)),0.0001)</f>
        <v>1E-4</v>
      </c>
      <c r="EN130" s="99">
        <f>IF(AND(Database!KA66&gt;1,Database!KA68&gt;1),100*(Database!KA66/(Database!KA68)),0.0001)</f>
        <v>1E-4</v>
      </c>
      <c r="EO130" s="99">
        <f>IF(AND(Database!KC66&gt;1,Database!KC68&gt;1),100*(Database!KC66/(Database!KC68)),0.0001)</f>
        <v>1E-4</v>
      </c>
      <c r="EP130" s="99">
        <f>IF(AND(Database!KE66&gt;1,Database!KE68&gt;1),100*(Database!KE66/(Database!KE68)),0.0001)</f>
        <v>1E-4</v>
      </c>
      <c r="EQ130" s="99">
        <f>IF(AND(Database!KG66&gt;1,Database!KG68&gt;1),100*(Database!KG66/(Database!KG68)),0.0001)</f>
        <v>1E-4</v>
      </c>
      <c r="ER130" s="99">
        <f>IF(AND(Database!KI66&gt;1,Database!KI68&gt;1),100*(Database!KI66/(Database!KI68)),0.0001)</f>
        <v>1E-4</v>
      </c>
      <c r="ES130" s="99">
        <f>IF(AND(Database!KK66&gt;1,Database!KK68&gt;1),100*(Database!KK66/(Database!KK68)),0.0001)</f>
        <v>1E-4</v>
      </c>
      <c r="ET130" s="99">
        <f>IF(AND(Database!KM66&gt;1,Database!KM68&gt;1),100*(Database!KM66/(Database!KM68)),0.0001)</f>
        <v>1E-4</v>
      </c>
      <c r="EU130" s="99">
        <f>IF(AND(Database!KO66&gt;1,Database!KO68&gt;1),100*(Database!KO66/(Database!KO68)),0.0001)</f>
        <v>1E-4</v>
      </c>
      <c r="EV130" s="99">
        <f>IF(AND(Database!KQ66&gt;1,Database!KQ68&gt;1),100*(Database!KQ66/(Database!KQ68)),0.0001)</f>
        <v>1E-4</v>
      </c>
      <c r="EW130" s="99">
        <f>IF(AND(Database!KS66&gt;1,Database!KS68&gt;1),100*(Database!KS66/(Database!KS68)),0.0001)</f>
        <v>1E-4</v>
      </c>
      <c r="EX130" s="99">
        <f>IF(AND(Database!KU66&gt;1,Database!KU68&gt;1),100*(Database!KU66/(Database!KU68)),0.0001)</f>
        <v>1E-4</v>
      </c>
      <c r="EY130" s="99">
        <f>IF(AND(Database!KW66&gt;1,Database!KW68&gt;1),100*(Database!KW66/(Database!KW68)),0.0001)</f>
        <v>1E-4</v>
      </c>
      <c r="EZ130" s="99">
        <f>IF(AND(Database!KY66&gt;1,Database!KY68&gt;1),100*(Database!KY66/(Database!KY68)),0.0001)</f>
        <v>1E-4</v>
      </c>
      <c r="FA130" s="99">
        <f>IF(AND(Database!LA66&gt;1,Database!LA68&gt;1),100*(Database!LA66/(Database!LA68)),0.0001)</f>
        <v>1E-4</v>
      </c>
      <c r="FB130" s="99">
        <f>IF(AND(Database!LC66&gt;1,Database!LC68&gt;1),100*(Database!LC66/(Database!LC68)),0.0001)</f>
        <v>1E-4</v>
      </c>
      <c r="FC130" s="99">
        <f>IF(AND(Database!LE66&gt;1,Database!LE68&gt;1),100*(Database!LE66/(Database!LE68)),0.0001)</f>
        <v>1E-4</v>
      </c>
      <c r="FD130" s="99">
        <f>IF(AND(Database!LG66&gt;1,Database!LG68&gt;1),100*(Database!LG66/(Database!LG68)),0.0001)</f>
        <v>1E-4</v>
      </c>
      <c r="FE130" s="99">
        <f>IF(AND(Database!LI66&gt;1,Database!LI68&gt;1),100*(Database!LI66/(Database!LI68)),0.0001)</f>
        <v>1E-4</v>
      </c>
      <c r="FF130" s="99">
        <f>IF(AND(Database!LK66&gt;1,Database!LK68&gt;1),100*(Database!LK66/(Database!LK68)),0.0001)</f>
        <v>1E-4</v>
      </c>
      <c r="FG130" s="99">
        <f>IF(AND(Database!LM66&gt;1,Database!LM68&gt;1),100*(Database!LM66/(Database!LM68)),0.0001)</f>
        <v>1E-4</v>
      </c>
      <c r="FH130" s="99">
        <f>IF(AND(Database!LO66&gt;1,Database!LO68&gt;1),100*(Database!LO66/(Database!LO68)),0.0001)</f>
        <v>1E-4</v>
      </c>
      <c r="FI130" s="99">
        <f>IF(AND(Database!LQ66&gt;1,Database!LQ68&gt;1),100*(Database!LQ66/(Database!LQ68)),0.0001)</f>
        <v>1E-4</v>
      </c>
      <c r="FJ130" s="99">
        <f>IF(AND(Database!LS66&gt;1,Database!LS68&gt;1),100*(Database!LS66/(Database!LS68)),0.0001)</f>
        <v>1E-4</v>
      </c>
      <c r="FK130" s="99">
        <f>IF(AND(Database!LU66&gt;1,Database!LU68&gt;1),100*(Database!LU66/(Database!LU68)),0.0001)</f>
        <v>1E-4</v>
      </c>
      <c r="FL130" s="99">
        <f>IF(AND(Database!LW66&gt;1,Database!LW68&gt;1),100*(Database!LW66/(Database!LW68)),0.0001)</f>
        <v>1E-4</v>
      </c>
      <c r="FM130" s="99">
        <f>IF(AND(Database!LY66&gt;1,Database!LY68&gt;1),100*(Database!LY66/(Database!LY68)),0.0001)</f>
        <v>1E-4</v>
      </c>
      <c r="FN130" s="99">
        <f>IF(AND(Database!MA66&gt;1,Database!MA68&gt;1),100*(Database!MA66/(Database!MA68)),0.0001)</f>
        <v>1E-4</v>
      </c>
      <c r="FO130" s="99">
        <f>IF(AND(Database!MC66&gt;1,Database!MC68&gt;1),100*(Database!MC66/(Database!MC68)),0.0001)</f>
        <v>1E-4</v>
      </c>
      <c r="FP130" s="99">
        <f>IF(AND(Database!ME66&gt;1,Database!ME68&gt;1),100*(Database!ME66/(Database!ME68)),0.0001)</f>
        <v>1E-4</v>
      </c>
      <c r="FQ130" s="99">
        <f>IF(AND(Database!MG66&gt;1,Database!MG68&gt;1),100*(Database!MG66/(Database!MG68)),0.0001)</f>
        <v>1E-4</v>
      </c>
      <c r="FR130" s="99">
        <f>IF(AND(Database!MI66&gt;1,Database!MI68&gt;1),100*(Database!MI66/(Database!MI68)),0.0001)</f>
        <v>1E-4</v>
      </c>
      <c r="FS130" s="99">
        <f>IF(AND(Database!MK66&gt;1,Database!MK68&gt;1),100*(Database!MK66/(Database!MK68)),0.0001)</f>
        <v>1E-4</v>
      </c>
      <c r="FT130" s="99">
        <f>IF(AND(Database!MM66&gt;1,Database!MM68&gt;1),100*(Database!MM66/(Database!MM68)),0.0001)</f>
        <v>1E-4</v>
      </c>
      <c r="FU130" s="99">
        <f>IF(AND(Database!MO66&gt;1,Database!MO68&gt;1),100*(Database!MO66/(Database!MO68)),0.0001)</f>
        <v>1E-4</v>
      </c>
      <c r="FV130" s="99">
        <f>IF(AND(Database!MQ66&gt;1,Database!MQ68&gt;1),100*(Database!MQ66/(Database!MQ68)),0.0001)</f>
        <v>1E-4</v>
      </c>
      <c r="FW130" s="99">
        <f>IF(AND(Database!MS66&gt;1,Database!MS68&gt;1),100*(Database!MS66/(Database!MS68)),0.0001)</f>
        <v>1E-4</v>
      </c>
      <c r="FX130" s="99">
        <f>IF(AND(Database!MU66&gt;1,Database!MU68&gt;1),100*(Database!MU66/(Database!MU68)),0.0001)</f>
        <v>1E-4</v>
      </c>
      <c r="FY130" s="99">
        <f>IF(AND(Database!MW66&gt;1,Database!MW68&gt;1),100*(Database!MW66/(Database!MW68)),0.0001)</f>
        <v>1E-4</v>
      </c>
      <c r="FZ130" s="99">
        <f>IF(AND(Database!MY66&gt;1,Database!MY68&gt;1),100*(Database!MY66/(Database!MY68)),0.0001)</f>
        <v>1E-4</v>
      </c>
      <c r="GA130" s="99">
        <f>IF(AND(Database!NA66&gt;1,Database!NA68&gt;1),100*(Database!NA66/(Database!NA68)),0.0001)</f>
        <v>1E-4</v>
      </c>
      <c r="GB130" s="99">
        <f>IF(AND(Database!NC66&gt;1,Database!NC68&gt;1),100*(Database!NC66/(Database!NC68)),0.0001)</f>
        <v>1E-4</v>
      </c>
      <c r="GC130" s="99">
        <f>IF(AND(Database!NE66&gt;1,Database!NE68&gt;1),100*(Database!NE66/(Database!NE68)),0.0001)</f>
        <v>1E-4</v>
      </c>
      <c r="GD130" s="99">
        <f>IF(AND(Database!NG66&gt;1,Database!NG68&gt;1),100*(Database!NG66/(Database!NG68)),0.0001)</f>
        <v>1E-4</v>
      </c>
      <c r="GE130" s="99">
        <f>IF(AND(Database!NI66&gt;1,Database!NI68&gt;1),100*(Database!NI66/(Database!NI68)),0.0001)</f>
        <v>1E-4</v>
      </c>
      <c r="GF130" s="99">
        <f>IF(AND(Database!NK66&gt;1,Database!NK68&gt;1),100*(Database!NK66/(Database!NK68)),0.0001)</f>
        <v>1E-4</v>
      </c>
      <c r="GG130" s="99">
        <f>IF(AND(Database!NM66&gt;1,Database!NM68&gt;1),100*(Database!NM66/(Database!NM68)),0.0001)</f>
        <v>1E-4</v>
      </c>
      <c r="GH130" s="99">
        <f>IF(AND(Database!NO66&gt;1,Database!NO68&gt;1),100*(Database!NO66/(Database!NO68)),0.0001)</f>
        <v>1E-4</v>
      </c>
      <c r="GI130" s="99">
        <f>IF(AND(Database!NQ66&gt;1,Database!NQ68&gt;1),100*(Database!NQ66/(Database!NQ68)),0.0001)</f>
        <v>1E-4</v>
      </c>
      <c r="GJ130" s="99">
        <f>IF(AND(Database!NS66&gt;1,Database!NS68&gt;1),100*(Database!NS66/(Database!NS68)),0.0001)</f>
        <v>1E-4</v>
      </c>
      <c r="GK130" s="99">
        <f>IF(AND(Database!NU66&gt;1,Database!NU68&gt;1),100*(Database!NU66/(Database!NU68)),0.0001)</f>
        <v>1E-4</v>
      </c>
      <c r="GL130" s="99">
        <f>IF(AND(Database!NW66&gt;1,Database!NW68&gt;1),100*(Database!NW66/(Database!NW68)),0.0001)</f>
        <v>1E-4</v>
      </c>
      <c r="GM130" s="99">
        <f>IF(AND(Database!NY66&gt;1,Database!NY68&gt;1),100*(Database!NY66/(Database!NY68)),0.0001)</f>
        <v>1E-4</v>
      </c>
      <c r="GN130" s="99">
        <f>IF(AND(Database!OA66&gt;1,Database!OA68&gt;1),100*(Database!OA66/(Database!OA68)),0.0001)</f>
        <v>1E-4</v>
      </c>
      <c r="GO130" s="99">
        <f>IF(AND(Database!OC66&gt;1,Database!OC68&gt;1),100*(Database!OC66/(Database!OC68)),0.0001)</f>
        <v>1E-4</v>
      </c>
      <c r="GP130" s="99">
        <f>IF(AND(Database!OE66&gt;1,Database!OE68&gt;1),100*(Database!OE66/(Database!OE68)),0.0001)</f>
        <v>1E-4</v>
      </c>
      <c r="GQ130" s="99">
        <f>IF(AND(Database!OG66&gt;1,Database!OG68&gt;1),100*(Database!OG66/(Database!OG68)),0.0001)</f>
        <v>1E-4</v>
      </c>
      <c r="GR130" s="99">
        <f>IF(AND(Database!OI66&gt;1,Database!OI68&gt;1),100*(Database!OI66/(Database!OI68)),0.0001)</f>
        <v>1E-4</v>
      </c>
      <c r="GS130" s="99">
        <f>IF(AND(Database!OK66&gt;1,Database!OK68&gt;1),100*(Database!OK66/(Database!OK68)),0.0001)</f>
        <v>1E-4</v>
      </c>
      <c r="GT130" s="99">
        <f>IF(AND(Database!OM66&gt;1,Database!OM68&gt;1),100*(Database!OM66/(Database!OM68)),0.0001)</f>
        <v>1E-4</v>
      </c>
    </row>
    <row r="131" spans="1:205" ht="18.75" customHeight="1" x14ac:dyDescent="0.4">
      <c r="A131" s="29" t="s">
        <v>141</v>
      </c>
      <c r="B131" s="306"/>
      <c r="C131" s="99">
        <f>IF(AND(Database!E67&gt;1,Database!E74&gt;1),100*(Database!E67/(Database!E74)),0.0001)</f>
        <v>22.486733125030998</v>
      </c>
      <c r="D131" s="99">
        <f>IF(AND(Database!G67&gt;1,Database!G74&gt;1),100*(Database!G67/(Database!G74)),0.0001)</f>
        <v>12.600517922856753</v>
      </c>
      <c r="E131" s="99">
        <f>IF(AND(Database!I67&gt;1,Database!I74&gt;1),100*(Database!I67/(Database!I74)),0.0001)</f>
        <v>13.042392525799778</v>
      </c>
      <c r="F131" s="99">
        <f>IF(AND(Database!K67&gt;1,Database!K74&gt;1),100*(Database!K67/(Database!K74)),0.0001)</f>
        <v>13.449141380252987</v>
      </c>
      <c r="G131" s="99">
        <f>IF(AND(Database!M67&gt;1,Database!M74&gt;1),100*(Database!M67/(Database!M74)),0.0001)</f>
        <v>1E-4</v>
      </c>
      <c r="H131" s="99">
        <f>IF(AND(Database!O67&gt;1,Database!O74&gt;1),100*(Database!O67/(Database!O74)),0.0001)</f>
        <v>1E-4</v>
      </c>
      <c r="I131" s="99">
        <f>IF(AND(Database!Q67&gt;1,Database!Q74&gt;1),100*(Database!Q67/(Database!Q74)),0.0001)</f>
        <v>1E-4</v>
      </c>
      <c r="J131" s="99">
        <f>IF(AND(Database!S67&gt;1,Database!S74&gt;1),100*(Database!S67/(Database!S74)),0.0001)</f>
        <v>1E-4</v>
      </c>
      <c r="K131" s="99">
        <f>IF(AND(Database!U67&gt;1,Database!U74&gt;1),100*(Database!U67/(Database!U74)),0.0001)</f>
        <v>1E-4</v>
      </c>
      <c r="L131" s="99">
        <f>IF(AND(Database!W67&gt;1,Database!W74&gt;1),100*(Database!W67/(Database!W74)),0.0001)</f>
        <v>1E-4</v>
      </c>
      <c r="M131" s="99">
        <f>IF(AND(Database!Y67&gt;1,Database!Y74&gt;1),100*(Database!Y67/(Database!Y74)),0.0001)</f>
        <v>1E-4</v>
      </c>
      <c r="N131" s="99">
        <f>IF(AND(Database!AA67&gt;1,Database!AA74&gt;1),100*(Database!AA67/(Database!AA74)),0.0001)</f>
        <v>1E-4</v>
      </c>
      <c r="O131" s="99">
        <f>IF(AND(Database!AC67&gt;1,Database!AC74&gt;1),100*(Database!AC67/(Database!AC74)),0.0001)</f>
        <v>1E-4</v>
      </c>
      <c r="P131" s="99">
        <f>IF(AND(Database!AE67&gt;1,Database!AE74&gt;1),100*(Database!AE67/(Database!AE74)),0.0001)</f>
        <v>1E-4</v>
      </c>
      <c r="Q131" s="99">
        <f>IF(AND(Database!AG67&gt;1,Database!AG74&gt;1),100*(Database!AG67/(Database!AG74)),0.0001)</f>
        <v>1E-4</v>
      </c>
      <c r="R131" s="99">
        <f>IF(AND(Database!AI67&gt;1,Database!AI74&gt;1),100*(Database!AI67/(Database!AI74)),0.0001)</f>
        <v>1E-4</v>
      </c>
      <c r="S131" s="99">
        <f>IF(AND(Database!AK67&gt;1,Database!AK74&gt;1),100*(Database!AK67/(Database!AK74)),0.0001)</f>
        <v>1E-4</v>
      </c>
      <c r="T131" s="99">
        <f>IF(AND(Database!AM67&gt;1,Database!AM74&gt;1),100*(Database!AM67/(Database!AM74)),0.0001)</f>
        <v>1E-4</v>
      </c>
      <c r="U131" s="99">
        <f>IF(AND(Database!AO67&gt;1,Database!AO74&gt;1),100*(Database!AO67/(Database!AO74)),0.0001)</f>
        <v>1E-4</v>
      </c>
      <c r="V131" s="99">
        <f>IF(AND(Database!AQ67&gt;1,Database!AQ74&gt;1),100*(Database!AQ67/(Database!AQ74)),0.0001)</f>
        <v>1E-4</v>
      </c>
      <c r="W131" s="99">
        <f>IF(AND(Database!AS67&gt;1,Database!AS74&gt;1),100*(Database!AS67/(Database!AS74)),0.0001)</f>
        <v>1E-4</v>
      </c>
      <c r="X131" s="99">
        <f>IF(AND(Database!AU67&gt;1,Database!AU74&gt;1),100*(Database!AU67/(Database!AU74)),0.0001)</f>
        <v>1E-4</v>
      </c>
      <c r="Y131" s="99">
        <f>IF(AND(Database!AW67&gt;1,Database!AW74&gt;1),100*(Database!AW67/(Database!AW74)),0.0001)</f>
        <v>1E-4</v>
      </c>
      <c r="Z131" s="99">
        <f>IF(AND(Database!AY67&gt;1,Database!AY74&gt;1),100*(Database!AY67/(Database!AY74)),0.0001)</f>
        <v>1E-4</v>
      </c>
      <c r="AA131" s="99">
        <f>IF(AND(Database!BA67&gt;1,Database!BA74&gt;1),100*(Database!BA67/(Database!BA74)),0.0001)</f>
        <v>1E-4</v>
      </c>
      <c r="AB131" s="99">
        <f>IF(AND(Database!BC67&gt;1,Database!BC74&gt;1),100*(Database!BC67/(Database!BC74)),0.0001)</f>
        <v>1E-4</v>
      </c>
      <c r="AC131" s="99">
        <f>IF(AND(Database!BE67&gt;1,Database!BE74&gt;1),100*(Database!BE67/(Database!BE74)),0.0001)</f>
        <v>1E-4</v>
      </c>
      <c r="AD131" s="99">
        <f>IF(AND(Database!BG67&gt;1,Database!BG74&gt;1),100*(Database!BG67/(Database!BG74)),0.0001)</f>
        <v>1E-4</v>
      </c>
      <c r="AE131" s="99">
        <f>IF(AND(Database!BI67&gt;1,Database!BI74&gt;1),100*(Database!BI67/(Database!BI74)),0.0001)</f>
        <v>1E-4</v>
      </c>
      <c r="AF131" s="99">
        <f>IF(AND(Database!BK67&gt;1,Database!BK74&gt;1),100*(Database!BK67/(Database!BK74)),0.0001)</f>
        <v>1E-4</v>
      </c>
      <c r="AG131" s="99">
        <f>IF(AND(Database!BM67&gt;1,Database!BM74&gt;1),100*(Database!BM67/(Database!BM74)),0.0001)</f>
        <v>1E-4</v>
      </c>
      <c r="AH131" s="99">
        <f>IF(AND(Database!BO67&gt;1,Database!BO74&gt;1),100*(Database!BO67/(Database!BO74)),0.0001)</f>
        <v>1E-4</v>
      </c>
      <c r="AI131" s="99">
        <f>IF(AND(Database!BQ67&gt;1,Database!BQ74&gt;1),100*(Database!BQ67/(Database!BQ74)),0.0001)</f>
        <v>1E-4</v>
      </c>
      <c r="AJ131" s="99">
        <f>IF(AND(Database!BS67&gt;1,Database!BS74&gt;1),100*(Database!BS67/(Database!BS74)),0.0001)</f>
        <v>1E-4</v>
      </c>
      <c r="AK131" s="99">
        <f>IF(AND(Database!BU67&gt;1,Database!BU74&gt;1),100*(Database!BU67/(Database!BU74)),0.0001)</f>
        <v>1E-4</v>
      </c>
      <c r="AL131" s="99">
        <f>IF(AND(Database!BW67&gt;1,Database!BW74&gt;1),100*(Database!BW67/(Database!BW74)),0.0001)</f>
        <v>1E-4</v>
      </c>
      <c r="AM131" s="99">
        <f>IF(AND(Database!BY67&gt;1,Database!BY74&gt;1),100*(Database!BY67/(Database!BY74)),0.0001)</f>
        <v>1E-4</v>
      </c>
      <c r="AN131" s="99">
        <f>IF(AND(Database!CA67&gt;1,Database!CA74&gt;1),100*(Database!CA67/(Database!CA74)),0.0001)</f>
        <v>1E-4</v>
      </c>
      <c r="AO131" s="99">
        <f>IF(AND(Database!CC67&gt;1,Database!CC74&gt;1),100*(Database!CC67/(Database!CC74)),0.0001)</f>
        <v>1E-4</v>
      </c>
      <c r="AP131" s="99">
        <f>IF(AND(Database!CE67&gt;1,Database!CE74&gt;1),100*(Database!CE67/(Database!CE74)),0.0001)</f>
        <v>1E-4</v>
      </c>
      <c r="AQ131" s="99">
        <f>IF(AND(Database!CG67&gt;1,Database!CG74&gt;1),100*(Database!CG67/(Database!CG74)),0.0001)</f>
        <v>1E-4</v>
      </c>
      <c r="AR131" s="99">
        <f>IF(AND(Database!CI67&gt;1,Database!CI74&gt;1),100*(Database!CI67/(Database!CI74)),0.0001)</f>
        <v>1E-4</v>
      </c>
      <c r="AS131" s="99">
        <f>IF(AND(Database!CK67&gt;1,Database!CK74&gt;1),100*(Database!CK67/(Database!CK74)),0.0001)</f>
        <v>1E-4</v>
      </c>
      <c r="AT131" s="99">
        <f>IF(AND(Database!CM67&gt;1,Database!CM74&gt;1),100*(Database!CM67/(Database!CM74)),0.0001)</f>
        <v>1E-4</v>
      </c>
      <c r="AU131" s="99">
        <f>IF(AND(Database!CO67&gt;1,Database!CO74&gt;1),100*(Database!CO67/(Database!CO74)),0.0001)</f>
        <v>1E-4</v>
      </c>
      <c r="AV131" s="99">
        <f>IF(AND(Database!CQ67&gt;1,Database!CQ74&gt;1),100*(Database!CQ67/(Database!CQ74)),0.0001)</f>
        <v>1E-4</v>
      </c>
      <c r="AW131" s="99">
        <f>IF(AND(Database!CS67&gt;1,Database!CS74&gt;1),100*(Database!CS67/(Database!CS74)),0.0001)</f>
        <v>1E-4</v>
      </c>
      <c r="AX131" s="99">
        <f>IF(AND(Database!CU67&gt;1,Database!CU74&gt;1),100*(Database!CU67/(Database!CU74)),0.0001)</f>
        <v>1E-4</v>
      </c>
      <c r="AY131" s="99">
        <f>IF(AND(Database!CW67&gt;1,Database!CW74&gt;1),100*(Database!CW67/(Database!CW74)),0.0001)</f>
        <v>1E-4</v>
      </c>
      <c r="AZ131" s="99">
        <f>IF(AND(Database!CY67&gt;1,Database!CY74&gt;1),100*(Database!CY67/(Database!CY74)),0.0001)</f>
        <v>1E-4</v>
      </c>
      <c r="BA131" s="99">
        <f>IF(AND(Database!DA67&gt;1,Database!DA74&gt;1),100*(Database!DA67/(Database!DA74)),0.0001)</f>
        <v>1E-4</v>
      </c>
      <c r="BB131" s="99">
        <f>IF(AND(Database!DC67&gt;1,Database!DC74&gt;1),100*(Database!DC67/(Database!DC74)),0.0001)</f>
        <v>1E-4</v>
      </c>
      <c r="BC131" s="99">
        <f>IF(AND(Database!DE67&gt;1,Database!DE74&gt;1),100*(Database!DE67/(Database!DE74)),0.0001)</f>
        <v>1E-4</v>
      </c>
      <c r="BD131" s="99">
        <f>IF(AND(Database!DG67&gt;1,Database!DG74&gt;1),100*(Database!DG67/(Database!DG74)),0.0001)</f>
        <v>1E-4</v>
      </c>
      <c r="BE131" s="99">
        <f>IF(AND(Database!DI67&gt;1,Database!DI74&gt;1),100*(Database!DI67/(Database!DI74)),0.0001)</f>
        <v>1E-4</v>
      </c>
      <c r="BF131" s="99">
        <f>IF(AND(Database!DK67&gt;1,Database!DK74&gt;1),100*(Database!DK67/(Database!DK74)),0.0001)</f>
        <v>1E-4</v>
      </c>
      <c r="BG131" s="99">
        <f>IF(AND(Database!DM67&gt;1,Database!DM74&gt;1),100*(Database!DM67/(Database!DM74)),0.0001)</f>
        <v>1E-4</v>
      </c>
      <c r="BH131" s="99">
        <f>IF(AND(Database!DO67&gt;1,Database!DO74&gt;1),100*(Database!DO67/(Database!DO74)),0.0001)</f>
        <v>1E-4</v>
      </c>
      <c r="BI131" s="99">
        <f>IF(AND(Database!DQ67&gt;1,Database!DQ74&gt;1),100*(Database!DQ67/(Database!DQ74)),0.0001)</f>
        <v>1E-4</v>
      </c>
      <c r="BJ131" s="99">
        <f>IF(AND(Database!DS67&gt;1,Database!DS74&gt;1),100*(Database!DS67/(Database!DS74)),0.0001)</f>
        <v>1E-4</v>
      </c>
      <c r="BK131" s="99">
        <f>IF(AND(Database!DU67&gt;1,Database!DU74&gt;1),100*(Database!DU67/(Database!DU74)),0.0001)</f>
        <v>1E-4</v>
      </c>
      <c r="BL131" s="99">
        <f>IF(AND(Database!DW67&gt;1,Database!DW74&gt;1),100*(Database!DW67/(Database!DW74)),0.0001)</f>
        <v>1E-4</v>
      </c>
      <c r="BM131" s="99">
        <f>IF(AND(Database!DY67&gt;1,Database!DY74&gt;1),100*(Database!DY67/(Database!DY74)),0.0001)</f>
        <v>1E-4</v>
      </c>
      <c r="BN131" s="99">
        <f>IF(AND(Database!EA67&gt;1,Database!EA74&gt;1),100*(Database!EA67/(Database!EA74)),0.0001)</f>
        <v>1E-4</v>
      </c>
      <c r="BO131" s="99">
        <f>IF(AND(Database!EC67&gt;1,Database!EC74&gt;1),100*(Database!EC67/(Database!EC74)),0.0001)</f>
        <v>1E-4</v>
      </c>
      <c r="BP131" s="99">
        <f>IF(AND(Database!EE67&gt;1,Database!EE74&gt;1),100*(Database!EE67/(Database!EE74)),0.0001)</f>
        <v>1E-4</v>
      </c>
      <c r="BQ131" s="99">
        <f>IF(AND(Database!EG67&gt;1,Database!EG74&gt;1),100*(Database!EG67/(Database!EG74)),0.0001)</f>
        <v>1E-4</v>
      </c>
      <c r="BR131" s="99">
        <f>IF(AND(Database!EI67&gt;1,Database!EI74&gt;1),100*(Database!EI67/(Database!EI74)),0.0001)</f>
        <v>1E-4</v>
      </c>
      <c r="BS131" s="99">
        <f>IF(AND(Database!EK67&gt;1,Database!EK74&gt;1),100*(Database!EK67/(Database!EK74)),0.0001)</f>
        <v>1E-4</v>
      </c>
      <c r="BT131" s="99">
        <f>IF(AND(Database!EM67&gt;1,Database!EM74&gt;1),100*(Database!EM67/(Database!EM74)),0.0001)</f>
        <v>1E-4</v>
      </c>
      <c r="BU131" s="99">
        <f>IF(AND(Database!EO67&gt;1,Database!EO74&gt;1),100*(Database!EO67/(Database!EO74)),0.0001)</f>
        <v>1E-4</v>
      </c>
      <c r="BV131" s="99">
        <f>IF(AND(Database!EQ67&gt;1,Database!EQ74&gt;1),100*(Database!EQ67/(Database!EQ74)),0.0001)</f>
        <v>1E-4</v>
      </c>
      <c r="BW131" s="99">
        <f>IF(AND(Database!ES67&gt;1,Database!ES74&gt;1),100*(Database!ES67/(Database!ES74)),0.0001)</f>
        <v>1E-4</v>
      </c>
      <c r="BX131" s="99">
        <f>IF(AND(Database!EU67&gt;1,Database!EU74&gt;1),100*(Database!EU67/(Database!EU74)),0.0001)</f>
        <v>1E-4</v>
      </c>
      <c r="BY131" s="99">
        <f>IF(AND(Database!EW67&gt;1,Database!EW74&gt;1),100*(Database!EW67/(Database!EW74)),0.0001)</f>
        <v>1E-4</v>
      </c>
      <c r="BZ131" s="99">
        <f>IF(AND(Database!EY67&gt;1,Database!EY74&gt;1),100*(Database!EY67/(Database!EY74)),0.0001)</f>
        <v>1E-4</v>
      </c>
      <c r="CA131" s="99">
        <f>IF(AND(Database!FA67&gt;1,Database!FA74&gt;1),100*(Database!FA67/(Database!FA74)),0.0001)</f>
        <v>1E-4</v>
      </c>
      <c r="CB131" s="99">
        <f>IF(AND(Database!FC67&gt;1,Database!FC74&gt;1),100*(Database!FC67/(Database!FC74)),0.0001)</f>
        <v>1E-4</v>
      </c>
      <c r="CC131" s="99">
        <f>IF(AND(Database!FE67&gt;1,Database!FE74&gt;1),100*(Database!FE67/(Database!FE74)),0.0001)</f>
        <v>1E-4</v>
      </c>
      <c r="CD131" s="99">
        <f>IF(AND(Database!FG67&gt;1,Database!FG74&gt;1),100*(Database!FG67/(Database!FG74)),0.0001)</f>
        <v>1E-4</v>
      </c>
      <c r="CE131" s="99">
        <f>IF(AND(Database!FI67&gt;1,Database!FI74&gt;1),100*(Database!FI67/(Database!FI74)),0.0001)</f>
        <v>1E-4</v>
      </c>
      <c r="CF131" s="99">
        <f>IF(AND(Database!FK67&gt;1,Database!FK74&gt;1),100*(Database!FK67/(Database!FK74)),0.0001)</f>
        <v>1E-4</v>
      </c>
      <c r="CG131" s="99">
        <f>IF(AND(Database!FM67&gt;1,Database!FM74&gt;1),100*(Database!FM67/(Database!FM74)),0.0001)</f>
        <v>1E-4</v>
      </c>
      <c r="CH131" s="99">
        <f>IF(AND(Database!FO67&gt;1,Database!FO74&gt;1),100*(Database!FO67/(Database!FO74)),0.0001)</f>
        <v>1E-4</v>
      </c>
      <c r="CI131" s="99">
        <f>IF(AND(Database!FQ67&gt;1,Database!FQ74&gt;1),100*(Database!FQ67/(Database!FQ74)),0.0001)</f>
        <v>1E-4</v>
      </c>
      <c r="CJ131" s="99">
        <f>IF(AND(Database!FS67&gt;1,Database!FS74&gt;1),100*(Database!FS67/(Database!FS74)),0.0001)</f>
        <v>1E-4</v>
      </c>
      <c r="CK131" s="99">
        <f>IF(AND(Database!FU67&gt;1,Database!FU74&gt;1),100*(Database!FU67/(Database!FU74)),0.0001)</f>
        <v>1E-4</v>
      </c>
      <c r="CL131" s="99">
        <f>IF(AND(Database!FW67&gt;1,Database!FW74&gt;1),100*(Database!FW67/(Database!FW74)),0.0001)</f>
        <v>1E-4</v>
      </c>
      <c r="CM131" s="99">
        <f>IF(AND(Database!FY67&gt;1,Database!FY74&gt;1),100*(Database!FY67/(Database!FY74)),0.0001)</f>
        <v>1E-4</v>
      </c>
      <c r="CN131" s="99">
        <f>IF(AND(Database!GA67&gt;1,Database!GA74&gt;1),100*(Database!GA67/(Database!GA74)),0.0001)</f>
        <v>1E-4</v>
      </c>
      <c r="CO131" s="99">
        <f>IF(AND(Database!GC67&gt;1,Database!GC74&gt;1),100*(Database!GC67/(Database!GC74)),0.0001)</f>
        <v>1E-4</v>
      </c>
      <c r="CP131" s="99">
        <f>IF(AND(Database!GE67&gt;1,Database!GE74&gt;1),100*(Database!GE67/(Database!GE74)),0.0001)</f>
        <v>1E-4</v>
      </c>
      <c r="CQ131" s="99">
        <f>IF(AND(Database!GG67&gt;1,Database!GG74&gt;1),100*(Database!GG67/(Database!GG74)),0.0001)</f>
        <v>1E-4</v>
      </c>
      <c r="CR131" s="99">
        <f>IF(AND(Database!GI67&gt;1,Database!GI74&gt;1),100*(Database!GI67/(Database!GI74)),0.0001)</f>
        <v>1E-4</v>
      </c>
      <c r="CS131" s="99">
        <f>IF(AND(Database!GK67&gt;1,Database!GK74&gt;1),100*(Database!GK67/(Database!GK74)),0.0001)</f>
        <v>1E-4</v>
      </c>
      <c r="CT131" s="99">
        <f>IF(AND(Database!GM67&gt;1,Database!GM74&gt;1),100*(Database!GM67/(Database!GM74)),0.0001)</f>
        <v>1E-4</v>
      </c>
      <c r="CU131" s="99">
        <f>IF(AND(Database!GO67&gt;1,Database!GO74&gt;1),100*(Database!GO67/(Database!GO74)),0.0001)</f>
        <v>1E-4</v>
      </c>
      <c r="CV131" s="99">
        <f>IF(AND(Database!GQ67&gt;1,Database!GQ74&gt;1),100*(Database!GQ67/(Database!GQ74)),0.0001)</f>
        <v>1E-4</v>
      </c>
      <c r="CW131" s="99">
        <f>IF(AND(Database!GS67&gt;1,Database!GS74&gt;1),100*(Database!GS67/(Database!GS74)),0.0001)</f>
        <v>1E-4</v>
      </c>
      <c r="CX131" s="99">
        <f>IF(AND(Database!GU67&gt;1,Database!GU74&gt;1),100*(Database!GU67/(Database!GU74)),0.0001)</f>
        <v>1E-4</v>
      </c>
      <c r="CY131" s="99">
        <f>IF(AND(Database!GW67&gt;1,Database!GW74&gt;1),100*(Database!GW67/(Database!GW74)),0.0001)</f>
        <v>1E-4</v>
      </c>
      <c r="CZ131" s="99">
        <f>IF(AND(Database!GY67&gt;1,Database!GY74&gt;1),100*(Database!GY67/(Database!GY74)),0.0001)</f>
        <v>1E-4</v>
      </c>
      <c r="DA131" s="99">
        <f>IF(AND(Database!HA67&gt;1,Database!HA74&gt;1),100*(Database!HA67/(Database!HA74)),0.0001)</f>
        <v>1E-4</v>
      </c>
      <c r="DB131" s="99">
        <f>IF(AND(Database!HC67&gt;1,Database!HC74&gt;1),100*(Database!HC67/(Database!HC74)),0.0001)</f>
        <v>1E-4</v>
      </c>
      <c r="DC131" s="99">
        <f>IF(AND(Database!HE67&gt;1,Database!HE74&gt;1),100*(Database!HE67/(Database!HE74)),0.0001)</f>
        <v>1E-4</v>
      </c>
      <c r="DD131" s="99">
        <f>IF(AND(Database!HG67&gt;1,Database!HG74&gt;1),100*(Database!HG67/(Database!HG74)),0.0001)</f>
        <v>1E-4</v>
      </c>
      <c r="DE131" s="99">
        <f>IF(AND(Database!HI67&gt;1,Database!HI74&gt;1),100*(Database!HI67/(Database!HI74)),0.0001)</f>
        <v>1E-4</v>
      </c>
      <c r="DF131" s="99">
        <f>IF(AND(Database!HK67&gt;1,Database!HK74&gt;1),100*(Database!HK67/(Database!HK74)),0.0001)</f>
        <v>1E-4</v>
      </c>
      <c r="DG131" s="99">
        <f>IF(AND(Database!HM67&gt;1,Database!HM74&gt;1),100*(Database!HM67/(Database!HM74)),0.0001)</f>
        <v>1E-4</v>
      </c>
      <c r="DH131" s="99">
        <f>IF(AND(Database!HO67&gt;1,Database!HO74&gt;1),100*(Database!HO67/(Database!HO74)),0.0001)</f>
        <v>1E-4</v>
      </c>
      <c r="DI131" s="99">
        <f>IF(AND(Database!HQ67&gt;1,Database!HQ74&gt;1),100*(Database!HQ67/(Database!HQ74)),0.0001)</f>
        <v>1E-4</v>
      </c>
      <c r="DJ131" s="99">
        <f>IF(AND(Database!HS67&gt;1,Database!HS74&gt;1),100*(Database!HS67/(Database!HS74)),0.0001)</f>
        <v>1E-4</v>
      </c>
      <c r="DK131" s="99">
        <f>IF(AND(Database!HU67&gt;1,Database!HU74&gt;1),100*(Database!HU67/(Database!HU74)),0.0001)</f>
        <v>1E-4</v>
      </c>
      <c r="DL131" s="99">
        <f>IF(AND(Database!HW67&gt;1,Database!HW74&gt;1),100*(Database!HW67/(Database!HW74)),0.0001)</f>
        <v>1E-4</v>
      </c>
      <c r="DM131" s="99">
        <f>IF(AND(Database!HY67&gt;1,Database!HY74&gt;1),100*(Database!HY67/(Database!HY74)),0.0001)</f>
        <v>1E-4</v>
      </c>
      <c r="DN131" s="99">
        <f>IF(AND(Database!IA67&gt;1,Database!IA74&gt;1),100*(Database!IA67/(Database!IA74)),0.0001)</f>
        <v>1E-4</v>
      </c>
      <c r="DO131" s="99">
        <f>IF(AND(Database!IC67&gt;1,Database!IC74&gt;1),100*(Database!IC67/(Database!IC74)),0.0001)</f>
        <v>1E-4</v>
      </c>
      <c r="DP131" s="99">
        <f>IF(AND(Database!IE67&gt;1,Database!IE74&gt;1),100*(Database!IE67/(Database!IE74)),0.0001)</f>
        <v>1E-4</v>
      </c>
      <c r="DQ131" s="99">
        <f>IF(AND(Database!IG67&gt;1,Database!IG74&gt;1),100*(Database!IG67/(Database!IG74)),0.0001)</f>
        <v>1E-4</v>
      </c>
      <c r="DR131" s="99">
        <f>IF(AND(Database!II67&gt;1,Database!II74&gt;1),100*(Database!II67/(Database!II74)),0.0001)</f>
        <v>1E-4</v>
      </c>
      <c r="DS131" s="99">
        <f>IF(AND(Database!IK67&gt;1,Database!IK74&gt;1),100*(Database!IK67/(Database!IK74)),0.0001)</f>
        <v>1E-4</v>
      </c>
      <c r="DT131" s="99">
        <f>IF(AND(Database!IM67&gt;1,Database!IM74&gt;1),100*(Database!IM67/(Database!IM74)),0.0001)</f>
        <v>1E-4</v>
      </c>
      <c r="DU131" s="99">
        <f>IF(AND(Database!IO67&gt;1,Database!IO74&gt;1),100*(Database!IO67/(Database!IO74)),0.0001)</f>
        <v>1E-4</v>
      </c>
      <c r="DV131" s="99">
        <f>IF(AND(Database!IQ67&gt;1,Database!IQ74&gt;1),100*(Database!IQ67/(Database!IQ74)),0.0001)</f>
        <v>1E-4</v>
      </c>
      <c r="DW131" s="99">
        <f>IF(AND(Database!IS67&gt;1,Database!IS74&gt;1),100*(Database!IS67/(Database!IS74)),0.0001)</f>
        <v>1E-4</v>
      </c>
      <c r="DX131" s="99">
        <f>IF(AND(Database!IU67&gt;1,Database!IU74&gt;1),100*(Database!IU67/(Database!IU74)),0.0001)</f>
        <v>1E-4</v>
      </c>
      <c r="DY131" s="99">
        <f>IF(AND(Database!IW67&gt;1,Database!IW74&gt;1),100*(Database!IW67/(Database!IW74)),0.0001)</f>
        <v>1E-4</v>
      </c>
      <c r="DZ131" s="99">
        <f>IF(AND(Database!IY67&gt;1,Database!IY74&gt;1),100*(Database!IY67/(Database!IY74)),0.0001)</f>
        <v>1E-4</v>
      </c>
      <c r="EA131" s="99">
        <f>IF(AND(Database!JA67&gt;1,Database!JA74&gt;1),100*(Database!JA67/(Database!JA74)),0.0001)</f>
        <v>1E-4</v>
      </c>
      <c r="EB131" s="99">
        <f>IF(AND(Database!JC67&gt;1,Database!JC74&gt;1),100*(Database!JC67/(Database!JC74)),0.0001)</f>
        <v>1E-4</v>
      </c>
      <c r="EC131" s="99">
        <f>IF(AND(Database!JE67&gt;1,Database!JE74&gt;1),100*(Database!JE67/(Database!JE74)),0.0001)</f>
        <v>1E-4</v>
      </c>
      <c r="ED131" s="99">
        <f>IF(AND(Database!JG67&gt;1,Database!JG74&gt;1),100*(Database!JG67/(Database!JG74)),0.0001)</f>
        <v>1E-4</v>
      </c>
      <c r="EE131" s="99">
        <f>IF(AND(Database!JI67&gt;1,Database!JI74&gt;1),100*(Database!JI67/(Database!JI74)),0.0001)</f>
        <v>1E-4</v>
      </c>
      <c r="EF131" s="99">
        <f>IF(AND(Database!JK67&gt;1,Database!JK74&gt;1),100*(Database!JK67/(Database!JK74)),0.0001)</f>
        <v>1E-4</v>
      </c>
      <c r="EG131" s="99">
        <f>IF(AND(Database!JM67&gt;1,Database!JM74&gt;1),100*(Database!JM67/(Database!JM74)),0.0001)</f>
        <v>1E-4</v>
      </c>
      <c r="EH131" s="99">
        <f>IF(AND(Database!JO67&gt;1,Database!JO74&gt;1),100*(Database!JO67/(Database!JO74)),0.0001)</f>
        <v>1E-4</v>
      </c>
      <c r="EI131" s="99">
        <f>IF(AND(Database!JQ67&gt;1,Database!JQ74&gt;1),100*(Database!JQ67/(Database!JQ74)),0.0001)</f>
        <v>1E-4</v>
      </c>
      <c r="EJ131" s="99">
        <f>IF(AND(Database!JS67&gt;1,Database!JS74&gt;1),100*(Database!JS67/(Database!JS74)),0.0001)</f>
        <v>1E-4</v>
      </c>
      <c r="EK131" s="99">
        <f>IF(AND(Database!JU67&gt;1,Database!JU74&gt;1),100*(Database!JU67/(Database!JU74)),0.0001)</f>
        <v>1E-4</v>
      </c>
      <c r="EL131" s="99">
        <f>IF(AND(Database!JW67&gt;1,Database!JW74&gt;1),100*(Database!JW67/(Database!JW74)),0.0001)</f>
        <v>1E-4</v>
      </c>
      <c r="EM131" s="99">
        <f>IF(AND(Database!JY67&gt;1,Database!JY74&gt;1),100*(Database!JY67/(Database!JY74)),0.0001)</f>
        <v>1E-4</v>
      </c>
      <c r="EN131" s="99">
        <f>IF(AND(Database!KA67&gt;1,Database!KA74&gt;1),100*(Database!KA67/(Database!KA74)),0.0001)</f>
        <v>1E-4</v>
      </c>
      <c r="EO131" s="99">
        <f>IF(AND(Database!KC67&gt;1,Database!KC74&gt;1),100*(Database!KC67/(Database!KC74)),0.0001)</f>
        <v>1E-4</v>
      </c>
      <c r="EP131" s="99">
        <f>IF(AND(Database!KE67&gt;1,Database!KE74&gt;1),100*(Database!KE67/(Database!KE74)),0.0001)</f>
        <v>1E-4</v>
      </c>
      <c r="EQ131" s="99">
        <f>IF(AND(Database!KG67&gt;1,Database!KG74&gt;1),100*(Database!KG67/(Database!KG74)),0.0001)</f>
        <v>1E-4</v>
      </c>
      <c r="ER131" s="99">
        <f>IF(AND(Database!KI67&gt;1,Database!KI74&gt;1),100*(Database!KI67/(Database!KI74)),0.0001)</f>
        <v>1E-4</v>
      </c>
      <c r="ES131" s="99">
        <f>IF(AND(Database!KK67&gt;1,Database!KK74&gt;1),100*(Database!KK67/(Database!KK74)),0.0001)</f>
        <v>1E-4</v>
      </c>
      <c r="ET131" s="99">
        <f>IF(AND(Database!KM67&gt;1,Database!KM74&gt;1),100*(Database!KM67/(Database!KM74)),0.0001)</f>
        <v>1E-4</v>
      </c>
      <c r="EU131" s="99">
        <f>IF(AND(Database!KO67&gt;1,Database!KO74&gt;1),100*(Database!KO67/(Database!KO74)),0.0001)</f>
        <v>1E-4</v>
      </c>
      <c r="EV131" s="99">
        <f>IF(AND(Database!KQ67&gt;1,Database!KQ74&gt;1),100*(Database!KQ67/(Database!KQ74)),0.0001)</f>
        <v>1E-4</v>
      </c>
      <c r="EW131" s="99">
        <f>IF(AND(Database!KS67&gt;1,Database!KS74&gt;1),100*(Database!KS67/(Database!KS74)),0.0001)</f>
        <v>1E-4</v>
      </c>
      <c r="EX131" s="99">
        <f>IF(AND(Database!KU67&gt;1,Database!KU74&gt;1),100*(Database!KU67/(Database!KU74)),0.0001)</f>
        <v>1E-4</v>
      </c>
      <c r="EY131" s="99">
        <f>IF(AND(Database!KW67&gt;1,Database!KW74&gt;1),100*(Database!KW67/(Database!KW74)),0.0001)</f>
        <v>1E-4</v>
      </c>
      <c r="EZ131" s="99">
        <f>IF(AND(Database!KY67&gt;1,Database!KY74&gt;1),100*(Database!KY67/(Database!KY74)),0.0001)</f>
        <v>1E-4</v>
      </c>
      <c r="FA131" s="99">
        <f>IF(AND(Database!LA67&gt;1,Database!LA74&gt;1),100*(Database!LA67/(Database!LA74)),0.0001)</f>
        <v>1E-4</v>
      </c>
      <c r="FB131" s="99">
        <f>IF(AND(Database!LC67&gt;1,Database!LC74&gt;1),100*(Database!LC67/(Database!LC74)),0.0001)</f>
        <v>1E-4</v>
      </c>
      <c r="FC131" s="99">
        <f>IF(AND(Database!LE67&gt;1,Database!LE74&gt;1),100*(Database!LE67/(Database!LE74)),0.0001)</f>
        <v>1E-4</v>
      </c>
      <c r="FD131" s="99">
        <f>IF(AND(Database!LG67&gt;1,Database!LG74&gt;1),100*(Database!LG67/(Database!LG74)),0.0001)</f>
        <v>1E-4</v>
      </c>
      <c r="FE131" s="99">
        <f>IF(AND(Database!LI67&gt;1,Database!LI74&gt;1),100*(Database!LI67/(Database!LI74)),0.0001)</f>
        <v>1E-4</v>
      </c>
      <c r="FF131" s="99">
        <f>IF(AND(Database!LK67&gt;1,Database!LK74&gt;1),100*(Database!LK67/(Database!LK74)),0.0001)</f>
        <v>1E-4</v>
      </c>
      <c r="FG131" s="99">
        <f>IF(AND(Database!LM67&gt;1,Database!LM74&gt;1),100*(Database!LM67/(Database!LM74)),0.0001)</f>
        <v>1E-4</v>
      </c>
      <c r="FH131" s="99">
        <f>IF(AND(Database!LO67&gt;1,Database!LO74&gt;1),100*(Database!LO67/(Database!LO74)),0.0001)</f>
        <v>1E-4</v>
      </c>
      <c r="FI131" s="99">
        <f>IF(AND(Database!LQ67&gt;1,Database!LQ74&gt;1),100*(Database!LQ67/(Database!LQ74)),0.0001)</f>
        <v>1E-4</v>
      </c>
      <c r="FJ131" s="99">
        <f>IF(AND(Database!LS67&gt;1,Database!LS74&gt;1),100*(Database!LS67/(Database!LS74)),0.0001)</f>
        <v>1E-4</v>
      </c>
      <c r="FK131" s="99">
        <f>IF(AND(Database!LU67&gt;1,Database!LU74&gt;1),100*(Database!LU67/(Database!LU74)),0.0001)</f>
        <v>1E-4</v>
      </c>
      <c r="FL131" s="99">
        <f>IF(AND(Database!LW67&gt;1,Database!LW74&gt;1),100*(Database!LW67/(Database!LW74)),0.0001)</f>
        <v>1E-4</v>
      </c>
      <c r="FM131" s="99">
        <f>IF(AND(Database!LY67&gt;1,Database!LY74&gt;1),100*(Database!LY67/(Database!LY74)),0.0001)</f>
        <v>1E-4</v>
      </c>
      <c r="FN131" s="99">
        <f>IF(AND(Database!MA67&gt;1,Database!MA74&gt;1),100*(Database!MA67/(Database!MA74)),0.0001)</f>
        <v>1E-4</v>
      </c>
      <c r="FO131" s="99">
        <f>IF(AND(Database!MC67&gt;1,Database!MC74&gt;1),100*(Database!MC67/(Database!MC74)),0.0001)</f>
        <v>1E-4</v>
      </c>
      <c r="FP131" s="99">
        <f>IF(AND(Database!ME67&gt;1,Database!ME74&gt;1),100*(Database!ME67/(Database!ME74)),0.0001)</f>
        <v>1E-4</v>
      </c>
      <c r="FQ131" s="99">
        <f>IF(AND(Database!MG67&gt;1,Database!MG74&gt;1),100*(Database!MG67/(Database!MG74)),0.0001)</f>
        <v>1E-4</v>
      </c>
      <c r="FR131" s="99">
        <f>IF(AND(Database!MI67&gt;1,Database!MI74&gt;1),100*(Database!MI67/(Database!MI74)),0.0001)</f>
        <v>1E-4</v>
      </c>
      <c r="FS131" s="99">
        <f>IF(AND(Database!MK67&gt;1,Database!MK74&gt;1),100*(Database!MK67/(Database!MK74)),0.0001)</f>
        <v>1E-4</v>
      </c>
      <c r="FT131" s="99">
        <f>IF(AND(Database!MM67&gt;1,Database!MM74&gt;1),100*(Database!MM67/(Database!MM74)),0.0001)</f>
        <v>1E-4</v>
      </c>
      <c r="FU131" s="99">
        <f>IF(AND(Database!MO67&gt;1,Database!MO74&gt;1),100*(Database!MO67/(Database!MO74)),0.0001)</f>
        <v>1E-4</v>
      </c>
      <c r="FV131" s="99">
        <f>IF(AND(Database!MQ67&gt;1,Database!MQ74&gt;1),100*(Database!MQ67/(Database!MQ74)),0.0001)</f>
        <v>1E-4</v>
      </c>
      <c r="FW131" s="99">
        <f>IF(AND(Database!MS67&gt;1,Database!MS74&gt;1),100*(Database!MS67/(Database!MS74)),0.0001)</f>
        <v>1E-4</v>
      </c>
      <c r="FX131" s="99">
        <f>IF(AND(Database!MU67&gt;1,Database!MU74&gt;1),100*(Database!MU67/(Database!MU74)),0.0001)</f>
        <v>1E-4</v>
      </c>
      <c r="FY131" s="99">
        <f>IF(AND(Database!MW67&gt;1,Database!MW74&gt;1),100*(Database!MW67/(Database!MW74)),0.0001)</f>
        <v>1E-4</v>
      </c>
      <c r="FZ131" s="99">
        <f>IF(AND(Database!MY67&gt;1,Database!MY74&gt;1),100*(Database!MY67/(Database!MY74)),0.0001)</f>
        <v>1E-4</v>
      </c>
      <c r="GA131" s="99">
        <f>IF(AND(Database!NA67&gt;1,Database!NA74&gt;1),100*(Database!NA67/(Database!NA74)),0.0001)</f>
        <v>1E-4</v>
      </c>
      <c r="GB131" s="99">
        <f>IF(AND(Database!NC67&gt;1,Database!NC74&gt;1),100*(Database!NC67/(Database!NC74)),0.0001)</f>
        <v>1E-4</v>
      </c>
      <c r="GC131" s="99">
        <f>IF(AND(Database!NE67&gt;1,Database!NE74&gt;1),100*(Database!NE67/(Database!NE74)),0.0001)</f>
        <v>1E-4</v>
      </c>
      <c r="GD131" s="99">
        <f>IF(AND(Database!NG67&gt;1,Database!NG74&gt;1),100*(Database!NG67/(Database!NG74)),0.0001)</f>
        <v>1E-4</v>
      </c>
      <c r="GE131" s="99">
        <f>IF(AND(Database!NI67&gt;1,Database!NI74&gt;1),100*(Database!NI67/(Database!NI74)),0.0001)</f>
        <v>1E-4</v>
      </c>
      <c r="GF131" s="99">
        <f>IF(AND(Database!NK67&gt;1,Database!NK74&gt;1),100*(Database!NK67/(Database!NK74)),0.0001)</f>
        <v>1E-4</v>
      </c>
      <c r="GG131" s="99">
        <f>IF(AND(Database!NM67&gt;1,Database!NM74&gt;1),100*(Database!NM67/(Database!NM74)),0.0001)</f>
        <v>1E-4</v>
      </c>
      <c r="GH131" s="99">
        <f>IF(AND(Database!NO67&gt;1,Database!NO74&gt;1),100*(Database!NO67/(Database!NO74)),0.0001)</f>
        <v>1E-4</v>
      </c>
      <c r="GI131" s="99">
        <f>IF(AND(Database!NQ67&gt;1,Database!NQ74&gt;1),100*(Database!NQ67/(Database!NQ74)),0.0001)</f>
        <v>1E-4</v>
      </c>
      <c r="GJ131" s="99">
        <f>IF(AND(Database!NS67&gt;1,Database!NS74&gt;1),100*(Database!NS67/(Database!NS74)),0.0001)</f>
        <v>1E-4</v>
      </c>
      <c r="GK131" s="99">
        <f>IF(AND(Database!NU67&gt;1,Database!NU74&gt;1),100*(Database!NU67/(Database!NU74)),0.0001)</f>
        <v>1E-4</v>
      </c>
      <c r="GL131" s="99">
        <f>IF(AND(Database!NW67&gt;1,Database!NW74&gt;1),100*(Database!NW67/(Database!NW74)),0.0001)</f>
        <v>1E-4</v>
      </c>
      <c r="GM131" s="99">
        <f>IF(AND(Database!NY67&gt;1,Database!NY74&gt;1),100*(Database!NY67/(Database!NY74)),0.0001)</f>
        <v>1E-4</v>
      </c>
      <c r="GN131" s="99">
        <f>IF(AND(Database!OA67&gt;1,Database!OA74&gt;1),100*(Database!OA67/(Database!OA74)),0.0001)</f>
        <v>1E-4</v>
      </c>
      <c r="GO131" s="99">
        <f>IF(AND(Database!OC67&gt;1,Database!OC74&gt;1),100*(Database!OC67/(Database!OC74)),0.0001)</f>
        <v>1E-4</v>
      </c>
      <c r="GP131" s="99">
        <f>IF(AND(Database!OE67&gt;1,Database!OE74&gt;1),100*(Database!OE67/(Database!OE74)),0.0001)</f>
        <v>1E-4</v>
      </c>
      <c r="GQ131" s="99">
        <f>IF(AND(Database!OG67&gt;1,Database!OG74&gt;1),100*(Database!OG67/(Database!OG74)),0.0001)</f>
        <v>1E-4</v>
      </c>
      <c r="GR131" s="99">
        <f>IF(AND(Database!OI67&gt;1,Database!OI74&gt;1),100*(Database!OI67/(Database!OI74)),0.0001)</f>
        <v>1E-4</v>
      </c>
      <c r="GS131" s="99">
        <f>IF(AND(Database!OK67&gt;1,Database!OK74&gt;1),100*(Database!OK67/(Database!OK74)),0.0001)</f>
        <v>1E-4</v>
      </c>
      <c r="GT131" s="99">
        <f>IF(AND(Database!OM67&gt;1,Database!OM74&gt;1),100*(Database!OM67/(Database!OM74)),0.0001)</f>
        <v>1E-4</v>
      </c>
    </row>
    <row r="132" spans="1:205" ht="18.75" customHeight="1" x14ac:dyDescent="0.4">
      <c r="A132" s="29" t="s">
        <v>142</v>
      </c>
      <c r="B132" s="306"/>
      <c r="C132" s="99">
        <f>IF(AND(Database!E70&gt;1,Database!E74&gt;1),100*(Database!E70/(Database!E74)),0.0001)</f>
        <v>7.6944332263481199</v>
      </c>
      <c r="D132" s="99">
        <f>IF(AND(Database!G70&gt;1,Database!G74&gt;1),100*(Database!G70/(Database!G74)),0.0001)</f>
        <v>15.254191086275043</v>
      </c>
      <c r="E132" s="99">
        <f>IF(AND(Database!I70&gt;1,Database!I74&gt;1),100*(Database!I70/(Database!I74)),0.0001)</f>
        <v>15.265977948720732</v>
      </c>
      <c r="F132" s="99">
        <f>IF(AND(Database!K70&gt;1,Database!K74&gt;1),100*(Database!K70/(Database!K74)),0.0001)</f>
        <v>15.092323367876936</v>
      </c>
      <c r="G132" s="99">
        <f>IF(AND(Database!M70&gt;1,Database!M74&gt;1),100*(Database!M70/(Database!M74)),0.0001)</f>
        <v>1E-4</v>
      </c>
      <c r="H132" s="99">
        <f>IF(AND(Database!O70&gt;1,Database!O74&gt;1),100*(Database!O70/(Database!O74)),0.0001)</f>
        <v>1E-4</v>
      </c>
      <c r="I132" s="99">
        <f>IF(AND(Database!Q70&gt;1,Database!Q74&gt;1),100*(Database!Q70/(Database!Q74)),0.0001)</f>
        <v>1E-4</v>
      </c>
      <c r="J132" s="99">
        <f>IF(AND(Database!S70&gt;1,Database!S74&gt;1),100*(Database!S70/(Database!S74)),0.0001)</f>
        <v>1E-4</v>
      </c>
      <c r="K132" s="99">
        <f>IF(AND(Database!U70&gt;1,Database!U74&gt;1),100*(Database!U70/(Database!U74)),0.0001)</f>
        <v>1E-4</v>
      </c>
      <c r="L132" s="99">
        <f>IF(AND(Database!W70&gt;1,Database!W74&gt;1),100*(Database!W70/(Database!W74)),0.0001)</f>
        <v>1E-4</v>
      </c>
      <c r="M132" s="99">
        <f>IF(AND(Database!Y70&gt;1,Database!Y74&gt;1),100*(Database!Y70/(Database!Y74)),0.0001)</f>
        <v>1E-4</v>
      </c>
      <c r="N132" s="99">
        <f>IF(AND(Database!AA70&gt;1,Database!AA74&gt;1),100*(Database!AA70/(Database!AA74)),0.0001)</f>
        <v>1E-4</v>
      </c>
      <c r="O132" s="99">
        <f>IF(AND(Database!AC70&gt;1,Database!AC74&gt;1),100*(Database!AC70/(Database!AC74)),0.0001)</f>
        <v>1E-4</v>
      </c>
      <c r="P132" s="99">
        <f>IF(AND(Database!AE70&gt;1,Database!AE74&gt;1),100*(Database!AE70/(Database!AE74)),0.0001)</f>
        <v>1E-4</v>
      </c>
      <c r="Q132" s="99">
        <f>IF(AND(Database!AG70&gt;1,Database!AG74&gt;1),100*(Database!AG70/(Database!AG74)),0.0001)</f>
        <v>1E-4</v>
      </c>
      <c r="R132" s="99">
        <f>IF(AND(Database!AI70&gt;1,Database!AI74&gt;1),100*(Database!AI70/(Database!AI74)),0.0001)</f>
        <v>1E-4</v>
      </c>
      <c r="S132" s="99">
        <f>IF(AND(Database!AK70&gt;1,Database!AK74&gt;1),100*(Database!AK70/(Database!AK74)),0.0001)</f>
        <v>1E-4</v>
      </c>
      <c r="T132" s="99">
        <f>IF(AND(Database!AM70&gt;1,Database!AM74&gt;1),100*(Database!AM70/(Database!AM74)),0.0001)</f>
        <v>1E-4</v>
      </c>
      <c r="U132" s="99">
        <f>IF(AND(Database!AO70&gt;1,Database!AO74&gt;1),100*(Database!AO70/(Database!AO74)),0.0001)</f>
        <v>1E-4</v>
      </c>
      <c r="V132" s="99">
        <f>IF(AND(Database!AQ70&gt;1,Database!AQ74&gt;1),100*(Database!AQ70/(Database!AQ74)),0.0001)</f>
        <v>1E-4</v>
      </c>
      <c r="W132" s="99">
        <f>IF(AND(Database!AS70&gt;1,Database!AS74&gt;1),100*(Database!AS70/(Database!AS74)),0.0001)</f>
        <v>1E-4</v>
      </c>
      <c r="X132" s="99">
        <f>IF(AND(Database!AU70&gt;1,Database!AU74&gt;1),100*(Database!AU70/(Database!AU74)),0.0001)</f>
        <v>1E-4</v>
      </c>
      <c r="Y132" s="99">
        <f>IF(AND(Database!AW70&gt;1,Database!AW74&gt;1),100*(Database!AW70/(Database!AW74)),0.0001)</f>
        <v>1E-4</v>
      </c>
      <c r="Z132" s="99">
        <f>IF(AND(Database!AY70&gt;1,Database!AY74&gt;1),100*(Database!AY70/(Database!AY74)),0.0001)</f>
        <v>1E-4</v>
      </c>
      <c r="AA132" s="99">
        <f>IF(AND(Database!BA70&gt;1,Database!BA74&gt;1),100*(Database!BA70/(Database!BA74)),0.0001)</f>
        <v>1E-4</v>
      </c>
      <c r="AB132" s="99">
        <f>IF(AND(Database!BC70&gt;1,Database!BC74&gt;1),100*(Database!BC70/(Database!BC74)),0.0001)</f>
        <v>1E-4</v>
      </c>
      <c r="AC132" s="99">
        <f>IF(AND(Database!BE70&gt;1,Database!BE74&gt;1),100*(Database!BE70/(Database!BE74)),0.0001)</f>
        <v>1E-4</v>
      </c>
      <c r="AD132" s="99">
        <f>IF(AND(Database!BG70&gt;1,Database!BG74&gt;1),100*(Database!BG70/(Database!BG74)),0.0001)</f>
        <v>1E-4</v>
      </c>
      <c r="AE132" s="99">
        <f>IF(AND(Database!BI70&gt;1,Database!BI74&gt;1),100*(Database!BI70/(Database!BI74)),0.0001)</f>
        <v>1E-4</v>
      </c>
      <c r="AF132" s="99">
        <f>IF(AND(Database!BK70&gt;1,Database!BK74&gt;1),100*(Database!BK70/(Database!BK74)),0.0001)</f>
        <v>1E-4</v>
      </c>
      <c r="AG132" s="99">
        <f>IF(AND(Database!BM70&gt;1,Database!BM74&gt;1),100*(Database!BM70/(Database!BM74)),0.0001)</f>
        <v>1E-4</v>
      </c>
      <c r="AH132" s="99">
        <f>IF(AND(Database!BO70&gt;1,Database!BO74&gt;1),100*(Database!BO70/(Database!BO74)),0.0001)</f>
        <v>1E-4</v>
      </c>
      <c r="AI132" s="99">
        <f>IF(AND(Database!BQ70&gt;1,Database!BQ74&gt;1),100*(Database!BQ70/(Database!BQ74)),0.0001)</f>
        <v>1E-4</v>
      </c>
      <c r="AJ132" s="99">
        <f>IF(AND(Database!BS70&gt;1,Database!BS74&gt;1),100*(Database!BS70/(Database!BS74)),0.0001)</f>
        <v>1E-4</v>
      </c>
      <c r="AK132" s="99">
        <f>IF(AND(Database!BU70&gt;1,Database!BU74&gt;1),100*(Database!BU70/(Database!BU74)),0.0001)</f>
        <v>1E-4</v>
      </c>
      <c r="AL132" s="99">
        <f>IF(AND(Database!BW70&gt;1,Database!BW74&gt;1),100*(Database!BW70/(Database!BW74)),0.0001)</f>
        <v>1E-4</v>
      </c>
      <c r="AM132" s="99">
        <f>IF(AND(Database!BY70&gt;1,Database!BY74&gt;1),100*(Database!BY70/(Database!BY74)),0.0001)</f>
        <v>1E-4</v>
      </c>
      <c r="AN132" s="99">
        <f>IF(AND(Database!CA70&gt;1,Database!CA74&gt;1),100*(Database!CA70/(Database!CA74)),0.0001)</f>
        <v>1E-4</v>
      </c>
      <c r="AO132" s="99">
        <f>IF(AND(Database!CC70&gt;1,Database!CC74&gt;1),100*(Database!CC70/(Database!CC74)),0.0001)</f>
        <v>1E-4</v>
      </c>
      <c r="AP132" s="99">
        <f>IF(AND(Database!CE70&gt;1,Database!CE74&gt;1),100*(Database!CE70/(Database!CE74)),0.0001)</f>
        <v>1E-4</v>
      </c>
      <c r="AQ132" s="99">
        <f>IF(AND(Database!CG70&gt;1,Database!CG74&gt;1),100*(Database!CG70/(Database!CG74)),0.0001)</f>
        <v>1E-4</v>
      </c>
      <c r="AR132" s="99">
        <f>IF(AND(Database!CI70&gt;1,Database!CI74&gt;1),100*(Database!CI70/(Database!CI74)),0.0001)</f>
        <v>1E-4</v>
      </c>
      <c r="AS132" s="99">
        <f>IF(AND(Database!CK70&gt;1,Database!CK74&gt;1),100*(Database!CK70/(Database!CK74)),0.0001)</f>
        <v>1E-4</v>
      </c>
      <c r="AT132" s="99">
        <f>IF(AND(Database!CM70&gt;1,Database!CM74&gt;1),100*(Database!CM70/(Database!CM74)),0.0001)</f>
        <v>1E-4</v>
      </c>
      <c r="AU132" s="99">
        <f>IF(AND(Database!CO70&gt;1,Database!CO74&gt;1),100*(Database!CO70/(Database!CO74)),0.0001)</f>
        <v>1E-4</v>
      </c>
      <c r="AV132" s="99">
        <f>IF(AND(Database!CQ70&gt;1,Database!CQ74&gt;1),100*(Database!CQ70/(Database!CQ74)),0.0001)</f>
        <v>1E-4</v>
      </c>
      <c r="AW132" s="99">
        <f>IF(AND(Database!CS70&gt;1,Database!CS74&gt;1),100*(Database!CS70/(Database!CS74)),0.0001)</f>
        <v>1E-4</v>
      </c>
      <c r="AX132" s="99">
        <f>IF(AND(Database!CU70&gt;1,Database!CU74&gt;1),100*(Database!CU70/(Database!CU74)),0.0001)</f>
        <v>1E-4</v>
      </c>
      <c r="AY132" s="99">
        <f>IF(AND(Database!CW70&gt;1,Database!CW74&gt;1),100*(Database!CW70/(Database!CW74)),0.0001)</f>
        <v>1E-4</v>
      </c>
      <c r="AZ132" s="99">
        <f>IF(AND(Database!CY70&gt;1,Database!CY74&gt;1),100*(Database!CY70/(Database!CY74)),0.0001)</f>
        <v>1E-4</v>
      </c>
      <c r="BA132" s="99">
        <f>IF(AND(Database!DA70&gt;1,Database!DA74&gt;1),100*(Database!DA70/(Database!DA74)),0.0001)</f>
        <v>1E-4</v>
      </c>
      <c r="BB132" s="99">
        <f>IF(AND(Database!DC70&gt;1,Database!DC74&gt;1),100*(Database!DC70/(Database!DC74)),0.0001)</f>
        <v>1E-4</v>
      </c>
      <c r="BC132" s="99">
        <f>IF(AND(Database!DE70&gt;1,Database!DE74&gt;1),100*(Database!DE70/(Database!DE74)),0.0001)</f>
        <v>1E-4</v>
      </c>
      <c r="BD132" s="99">
        <f>IF(AND(Database!DG70&gt;1,Database!DG74&gt;1),100*(Database!DG70/(Database!DG74)),0.0001)</f>
        <v>1E-4</v>
      </c>
      <c r="BE132" s="99">
        <f>IF(AND(Database!DI70&gt;1,Database!DI74&gt;1),100*(Database!DI70/(Database!DI74)),0.0001)</f>
        <v>1E-4</v>
      </c>
      <c r="BF132" s="99">
        <f>IF(AND(Database!DK70&gt;1,Database!DK74&gt;1),100*(Database!DK70/(Database!DK74)),0.0001)</f>
        <v>1E-4</v>
      </c>
      <c r="BG132" s="99">
        <f>IF(AND(Database!DM70&gt;1,Database!DM74&gt;1),100*(Database!DM70/(Database!DM74)),0.0001)</f>
        <v>1E-4</v>
      </c>
      <c r="BH132" s="99">
        <f>IF(AND(Database!DO70&gt;1,Database!DO74&gt;1),100*(Database!DO70/(Database!DO74)),0.0001)</f>
        <v>1E-4</v>
      </c>
      <c r="BI132" s="99">
        <f>IF(AND(Database!DQ70&gt;1,Database!DQ74&gt;1),100*(Database!DQ70/(Database!DQ74)),0.0001)</f>
        <v>1E-4</v>
      </c>
      <c r="BJ132" s="99">
        <f>IF(AND(Database!DS70&gt;1,Database!DS74&gt;1),100*(Database!DS70/(Database!DS74)),0.0001)</f>
        <v>1E-4</v>
      </c>
      <c r="BK132" s="99">
        <f>IF(AND(Database!DU70&gt;1,Database!DU74&gt;1),100*(Database!DU70/(Database!DU74)),0.0001)</f>
        <v>1E-4</v>
      </c>
      <c r="BL132" s="99">
        <f>IF(AND(Database!DW70&gt;1,Database!DW74&gt;1),100*(Database!DW70/(Database!DW74)),0.0001)</f>
        <v>1E-4</v>
      </c>
      <c r="BM132" s="99">
        <f>IF(AND(Database!DY70&gt;1,Database!DY74&gt;1),100*(Database!DY70/(Database!DY74)),0.0001)</f>
        <v>1E-4</v>
      </c>
      <c r="BN132" s="99">
        <f>IF(AND(Database!EA70&gt;1,Database!EA74&gt;1),100*(Database!EA70/(Database!EA74)),0.0001)</f>
        <v>1E-4</v>
      </c>
      <c r="BO132" s="99">
        <f>IF(AND(Database!EC70&gt;1,Database!EC74&gt;1),100*(Database!EC70/(Database!EC74)),0.0001)</f>
        <v>1E-4</v>
      </c>
      <c r="BP132" s="99">
        <f>IF(AND(Database!EE70&gt;1,Database!EE74&gt;1),100*(Database!EE70/(Database!EE74)),0.0001)</f>
        <v>1E-4</v>
      </c>
      <c r="BQ132" s="99">
        <f>IF(AND(Database!EG70&gt;1,Database!EG74&gt;1),100*(Database!EG70/(Database!EG74)),0.0001)</f>
        <v>1E-4</v>
      </c>
      <c r="BR132" s="99">
        <f>IF(AND(Database!EI70&gt;1,Database!EI74&gt;1),100*(Database!EI70/(Database!EI74)),0.0001)</f>
        <v>1E-4</v>
      </c>
      <c r="BS132" s="99">
        <f>IF(AND(Database!EK70&gt;1,Database!EK74&gt;1),100*(Database!EK70/(Database!EK74)),0.0001)</f>
        <v>1E-4</v>
      </c>
      <c r="BT132" s="99">
        <f>IF(AND(Database!EM70&gt;1,Database!EM74&gt;1),100*(Database!EM70/(Database!EM74)),0.0001)</f>
        <v>1E-4</v>
      </c>
      <c r="BU132" s="99">
        <f>IF(AND(Database!EO70&gt;1,Database!EO74&gt;1),100*(Database!EO70/(Database!EO74)),0.0001)</f>
        <v>1E-4</v>
      </c>
      <c r="BV132" s="99">
        <f>IF(AND(Database!EQ70&gt;1,Database!EQ74&gt;1),100*(Database!EQ70/(Database!EQ74)),0.0001)</f>
        <v>1E-4</v>
      </c>
      <c r="BW132" s="99">
        <f>IF(AND(Database!ES70&gt;1,Database!ES74&gt;1),100*(Database!ES70/(Database!ES74)),0.0001)</f>
        <v>1E-4</v>
      </c>
      <c r="BX132" s="99">
        <f>IF(AND(Database!EU70&gt;1,Database!EU74&gt;1),100*(Database!EU70/(Database!EU74)),0.0001)</f>
        <v>1E-4</v>
      </c>
      <c r="BY132" s="99">
        <f>IF(AND(Database!EW70&gt;1,Database!EW74&gt;1),100*(Database!EW70/(Database!EW74)),0.0001)</f>
        <v>1E-4</v>
      </c>
      <c r="BZ132" s="99">
        <f>IF(AND(Database!EY70&gt;1,Database!EY74&gt;1),100*(Database!EY70/(Database!EY74)),0.0001)</f>
        <v>1E-4</v>
      </c>
      <c r="CA132" s="99">
        <f>IF(AND(Database!FA70&gt;1,Database!FA74&gt;1),100*(Database!FA70/(Database!FA74)),0.0001)</f>
        <v>1E-4</v>
      </c>
      <c r="CB132" s="99">
        <f>IF(AND(Database!FC70&gt;1,Database!FC74&gt;1),100*(Database!FC70/(Database!FC74)),0.0001)</f>
        <v>1E-4</v>
      </c>
      <c r="CC132" s="99">
        <f>IF(AND(Database!FE70&gt;1,Database!FE74&gt;1),100*(Database!FE70/(Database!FE74)),0.0001)</f>
        <v>1E-4</v>
      </c>
      <c r="CD132" s="99">
        <f>IF(AND(Database!FG70&gt;1,Database!FG74&gt;1),100*(Database!FG70/(Database!FG74)),0.0001)</f>
        <v>1E-4</v>
      </c>
      <c r="CE132" s="99">
        <f>IF(AND(Database!FI70&gt;1,Database!FI74&gt;1),100*(Database!FI70/(Database!FI74)),0.0001)</f>
        <v>1E-4</v>
      </c>
      <c r="CF132" s="99">
        <f>IF(AND(Database!FK70&gt;1,Database!FK74&gt;1),100*(Database!FK70/(Database!FK74)),0.0001)</f>
        <v>1E-4</v>
      </c>
      <c r="CG132" s="99">
        <f>IF(AND(Database!FM70&gt;1,Database!FM74&gt;1),100*(Database!FM70/(Database!FM74)),0.0001)</f>
        <v>1E-4</v>
      </c>
      <c r="CH132" s="99">
        <f>IF(AND(Database!FO70&gt;1,Database!FO74&gt;1),100*(Database!FO70/(Database!FO74)),0.0001)</f>
        <v>1E-4</v>
      </c>
      <c r="CI132" s="99">
        <f>IF(AND(Database!FQ70&gt;1,Database!FQ74&gt;1),100*(Database!FQ70/(Database!FQ74)),0.0001)</f>
        <v>1E-4</v>
      </c>
      <c r="CJ132" s="99">
        <f>IF(AND(Database!FS70&gt;1,Database!FS74&gt;1),100*(Database!FS70/(Database!FS74)),0.0001)</f>
        <v>1E-4</v>
      </c>
      <c r="CK132" s="99">
        <f>IF(AND(Database!FU70&gt;1,Database!FU74&gt;1),100*(Database!FU70/(Database!FU74)),0.0001)</f>
        <v>1E-4</v>
      </c>
      <c r="CL132" s="99">
        <f>IF(AND(Database!FW70&gt;1,Database!FW74&gt;1),100*(Database!FW70/(Database!FW74)),0.0001)</f>
        <v>1E-4</v>
      </c>
      <c r="CM132" s="99">
        <f>IF(AND(Database!FY70&gt;1,Database!FY74&gt;1),100*(Database!FY70/(Database!FY74)),0.0001)</f>
        <v>1E-4</v>
      </c>
      <c r="CN132" s="99">
        <f>IF(AND(Database!GA70&gt;1,Database!GA74&gt;1),100*(Database!GA70/(Database!GA74)),0.0001)</f>
        <v>1E-4</v>
      </c>
      <c r="CO132" s="99">
        <f>IF(AND(Database!GC70&gt;1,Database!GC74&gt;1),100*(Database!GC70/(Database!GC74)),0.0001)</f>
        <v>1E-4</v>
      </c>
      <c r="CP132" s="99">
        <f>IF(AND(Database!GE70&gt;1,Database!GE74&gt;1),100*(Database!GE70/(Database!GE74)),0.0001)</f>
        <v>1E-4</v>
      </c>
      <c r="CQ132" s="99">
        <f>IF(AND(Database!GG70&gt;1,Database!GG74&gt;1),100*(Database!GG70/(Database!GG74)),0.0001)</f>
        <v>1E-4</v>
      </c>
      <c r="CR132" s="99">
        <f>IF(AND(Database!GI70&gt;1,Database!GI74&gt;1),100*(Database!GI70/(Database!GI74)),0.0001)</f>
        <v>1E-4</v>
      </c>
      <c r="CS132" s="99">
        <f>IF(AND(Database!GK70&gt;1,Database!GK74&gt;1),100*(Database!GK70/(Database!GK74)),0.0001)</f>
        <v>1E-4</v>
      </c>
      <c r="CT132" s="99">
        <f>IF(AND(Database!GM70&gt;1,Database!GM74&gt;1),100*(Database!GM70/(Database!GM74)),0.0001)</f>
        <v>1E-4</v>
      </c>
      <c r="CU132" s="99">
        <f>IF(AND(Database!GO70&gt;1,Database!GO74&gt;1),100*(Database!GO70/(Database!GO74)),0.0001)</f>
        <v>1E-4</v>
      </c>
      <c r="CV132" s="99">
        <f>IF(AND(Database!GQ70&gt;1,Database!GQ74&gt;1),100*(Database!GQ70/(Database!GQ74)),0.0001)</f>
        <v>1E-4</v>
      </c>
      <c r="CW132" s="99">
        <f>IF(AND(Database!GS70&gt;1,Database!GS74&gt;1),100*(Database!GS70/(Database!GS74)),0.0001)</f>
        <v>1E-4</v>
      </c>
      <c r="CX132" s="99">
        <f>IF(AND(Database!GU70&gt;1,Database!GU74&gt;1),100*(Database!GU70/(Database!GU74)),0.0001)</f>
        <v>1E-4</v>
      </c>
      <c r="CY132" s="99">
        <f>IF(AND(Database!GW70&gt;1,Database!GW74&gt;1),100*(Database!GW70/(Database!GW74)),0.0001)</f>
        <v>1E-4</v>
      </c>
      <c r="CZ132" s="99">
        <f>IF(AND(Database!GY70&gt;1,Database!GY74&gt;1),100*(Database!GY70/(Database!GY74)),0.0001)</f>
        <v>1E-4</v>
      </c>
      <c r="DA132" s="99">
        <f>IF(AND(Database!HA70&gt;1,Database!HA74&gt;1),100*(Database!HA70/(Database!HA74)),0.0001)</f>
        <v>1E-4</v>
      </c>
      <c r="DB132" s="99">
        <f>IF(AND(Database!HC70&gt;1,Database!HC74&gt;1),100*(Database!HC70/(Database!HC74)),0.0001)</f>
        <v>1E-4</v>
      </c>
      <c r="DC132" s="99">
        <f>IF(AND(Database!HE70&gt;1,Database!HE74&gt;1),100*(Database!HE70/(Database!HE74)),0.0001)</f>
        <v>1E-4</v>
      </c>
      <c r="DD132" s="99">
        <f>IF(AND(Database!HG70&gt;1,Database!HG74&gt;1),100*(Database!HG70/(Database!HG74)),0.0001)</f>
        <v>1E-4</v>
      </c>
      <c r="DE132" s="99">
        <f>IF(AND(Database!HI70&gt;1,Database!HI74&gt;1),100*(Database!HI70/(Database!HI74)),0.0001)</f>
        <v>1E-4</v>
      </c>
      <c r="DF132" s="99">
        <f>IF(AND(Database!HK70&gt;1,Database!HK74&gt;1),100*(Database!HK70/(Database!HK74)),0.0001)</f>
        <v>1E-4</v>
      </c>
      <c r="DG132" s="99">
        <f>IF(AND(Database!HM70&gt;1,Database!HM74&gt;1),100*(Database!HM70/(Database!HM74)),0.0001)</f>
        <v>1E-4</v>
      </c>
      <c r="DH132" s="99">
        <f>IF(AND(Database!HO70&gt;1,Database!HO74&gt;1),100*(Database!HO70/(Database!HO74)),0.0001)</f>
        <v>1E-4</v>
      </c>
      <c r="DI132" s="99">
        <f>IF(AND(Database!HQ70&gt;1,Database!HQ74&gt;1),100*(Database!HQ70/(Database!HQ74)),0.0001)</f>
        <v>1E-4</v>
      </c>
      <c r="DJ132" s="99">
        <f>IF(AND(Database!HS70&gt;1,Database!HS74&gt;1),100*(Database!HS70/(Database!HS74)),0.0001)</f>
        <v>1E-4</v>
      </c>
      <c r="DK132" s="99">
        <f>IF(AND(Database!HU70&gt;1,Database!HU74&gt;1),100*(Database!HU70/(Database!HU74)),0.0001)</f>
        <v>1E-4</v>
      </c>
      <c r="DL132" s="99">
        <f>IF(AND(Database!HW70&gt;1,Database!HW74&gt;1),100*(Database!HW70/(Database!HW74)),0.0001)</f>
        <v>1E-4</v>
      </c>
      <c r="DM132" s="99">
        <f>IF(AND(Database!HY70&gt;1,Database!HY74&gt;1),100*(Database!HY70/(Database!HY74)),0.0001)</f>
        <v>1E-4</v>
      </c>
      <c r="DN132" s="99">
        <f>IF(AND(Database!IA70&gt;1,Database!IA74&gt;1),100*(Database!IA70/(Database!IA74)),0.0001)</f>
        <v>1E-4</v>
      </c>
      <c r="DO132" s="99">
        <f>IF(AND(Database!IC70&gt;1,Database!IC74&gt;1),100*(Database!IC70/(Database!IC74)),0.0001)</f>
        <v>1E-4</v>
      </c>
      <c r="DP132" s="99">
        <f>IF(AND(Database!IE70&gt;1,Database!IE74&gt;1),100*(Database!IE70/(Database!IE74)),0.0001)</f>
        <v>1E-4</v>
      </c>
      <c r="DQ132" s="99">
        <f>IF(AND(Database!IG70&gt;1,Database!IG74&gt;1),100*(Database!IG70/(Database!IG74)),0.0001)</f>
        <v>1E-4</v>
      </c>
      <c r="DR132" s="99">
        <f>IF(AND(Database!II70&gt;1,Database!II74&gt;1),100*(Database!II70/(Database!II74)),0.0001)</f>
        <v>1E-4</v>
      </c>
      <c r="DS132" s="99">
        <f>IF(AND(Database!IK70&gt;1,Database!IK74&gt;1),100*(Database!IK70/(Database!IK74)),0.0001)</f>
        <v>1E-4</v>
      </c>
      <c r="DT132" s="99">
        <f>IF(AND(Database!IM70&gt;1,Database!IM74&gt;1),100*(Database!IM70/(Database!IM74)),0.0001)</f>
        <v>1E-4</v>
      </c>
      <c r="DU132" s="99">
        <f>IF(AND(Database!IO70&gt;1,Database!IO74&gt;1),100*(Database!IO70/(Database!IO74)),0.0001)</f>
        <v>1E-4</v>
      </c>
      <c r="DV132" s="99">
        <f>IF(AND(Database!IQ70&gt;1,Database!IQ74&gt;1),100*(Database!IQ70/(Database!IQ74)),0.0001)</f>
        <v>1E-4</v>
      </c>
      <c r="DW132" s="99">
        <f>IF(AND(Database!IS70&gt;1,Database!IS74&gt;1),100*(Database!IS70/(Database!IS74)),0.0001)</f>
        <v>1E-4</v>
      </c>
      <c r="DX132" s="99">
        <f>IF(AND(Database!IU70&gt;1,Database!IU74&gt;1),100*(Database!IU70/(Database!IU74)),0.0001)</f>
        <v>1E-4</v>
      </c>
      <c r="DY132" s="99">
        <f>IF(AND(Database!IW70&gt;1,Database!IW74&gt;1),100*(Database!IW70/(Database!IW74)),0.0001)</f>
        <v>1E-4</v>
      </c>
      <c r="DZ132" s="99">
        <f>IF(AND(Database!IY70&gt;1,Database!IY74&gt;1),100*(Database!IY70/(Database!IY74)),0.0001)</f>
        <v>1E-4</v>
      </c>
      <c r="EA132" s="99">
        <f>IF(AND(Database!JA70&gt;1,Database!JA74&gt;1),100*(Database!JA70/(Database!JA74)),0.0001)</f>
        <v>1E-4</v>
      </c>
      <c r="EB132" s="99">
        <f>IF(AND(Database!JC70&gt;1,Database!JC74&gt;1),100*(Database!JC70/(Database!JC74)),0.0001)</f>
        <v>1E-4</v>
      </c>
      <c r="EC132" s="99">
        <f>IF(AND(Database!JE70&gt;1,Database!JE74&gt;1),100*(Database!JE70/(Database!JE74)),0.0001)</f>
        <v>1E-4</v>
      </c>
      <c r="ED132" s="99">
        <f>IF(AND(Database!JG70&gt;1,Database!JG74&gt;1),100*(Database!JG70/(Database!JG74)),0.0001)</f>
        <v>1E-4</v>
      </c>
      <c r="EE132" s="99">
        <f>IF(AND(Database!JI70&gt;1,Database!JI74&gt;1),100*(Database!JI70/(Database!JI74)),0.0001)</f>
        <v>1E-4</v>
      </c>
      <c r="EF132" s="99">
        <f>IF(AND(Database!JK70&gt;1,Database!JK74&gt;1),100*(Database!JK70/(Database!JK74)),0.0001)</f>
        <v>1E-4</v>
      </c>
      <c r="EG132" s="99">
        <f>IF(AND(Database!JM70&gt;1,Database!JM74&gt;1),100*(Database!JM70/(Database!JM74)),0.0001)</f>
        <v>1E-4</v>
      </c>
      <c r="EH132" s="99">
        <f>IF(AND(Database!JO70&gt;1,Database!JO74&gt;1),100*(Database!JO70/(Database!JO74)),0.0001)</f>
        <v>1E-4</v>
      </c>
      <c r="EI132" s="99">
        <f>IF(AND(Database!JQ70&gt;1,Database!JQ74&gt;1),100*(Database!JQ70/(Database!JQ74)),0.0001)</f>
        <v>1E-4</v>
      </c>
      <c r="EJ132" s="99">
        <f>IF(AND(Database!JS70&gt;1,Database!JS74&gt;1),100*(Database!JS70/(Database!JS74)),0.0001)</f>
        <v>1E-4</v>
      </c>
      <c r="EK132" s="99">
        <f>IF(AND(Database!JU70&gt;1,Database!JU74&gt;1),100*(Database!JU70/(Database!JU74)),0.0001)</f>
        <v>1E-4</v>
      </c>
      <c r="EL132" s="99">
        <f>IF(AND(Database!JW70&gt;1,Database!JW74&gt;1),100*(Database!JW70/(Database!JW74)),0.0001)</f>
        <v>1E-4</v>
      </c>
      <c r="EM132" s="99">
        <f>IF(AND(Database!JY70&gt;1,Database!JY74&gt;1),100*(Database!JY70/(Database!JY74)),0.0001)</f>
        <v>1E-4</v>
      </c>
      <c r="EN132" s="99">
        <f>IF(AND(Database!KA70&gt;1,Database!KA74&gt;1),100*(Database!KA70/(Database!KA74)),0.0001)</f>
        <v>1E-4</v>
      </c>
      <c r="EO132" s="99">
        <f>IF(AND(Database!KC70&gt;1,Database!KC74&gt;1),100*(Database!KC70/(Database!KC74)),0.0001)</f>
        <v>1E-4</v>
      </c>
      <c r="EP132" s="99">
        <f>IF(AND(Database!KE70&gt;1,Database!KE74&gt;1),100*(Database!KE70/(Database!KE74)),0.0001)</f>
        <v>1E-4</v>
      </c>
      <c r="EQ132" s="99">
        <f>IF(AND(Database!KG70&gt;1,Database!KG74&gt;1),100*(Database!KG70/(Database!KG74)),0.0001)</f>
        <v>1E-4</v>
      </c>
      <c r="ER132" s="99">
        <f>IF(AND(Database!KI70&gt;1,Database!KI74&gt;1),100*(Database!KI70/(Database!KI74)),0.0001)</f>
        <v>1E-4</v>
      </c>
      <c r="ES132" s="99">
        <f>IF(AND(Database!KK70&gt;1,Database!KK74&gt;1),100*(Database!KK70/(Database!KK74)),0.0001)</f>
        <v>1E-4</v>
      </c>
      <c r="ET132" s="99">
        <f>IF(AND(Database!KM70&gt;1,Database!KM74&gt;1),100*(Database!KM70/(Database!KM74)),0.0001)</f>
        <v>1E-4</v>
      </c>
      <c r="EU132" s="99">
        <f>IF(AND(Database!KO70&gt;1,Database!KO74&gt;1),100*(Database!KO70/(Database!KO74)),0.0001)</f>
        <v>1E-4</v>
      </c>
      <c r="EV132" s="99">
        <f>IF(AND(Database!KQ70&gt;1,Database!KQ74&gt;1),100*(Database!KQ70/(Database!KQ74)),0.0001)</f>
        <v>1E-4</v>
      </c>
      <c r="EW132" s="99">
        <f>IF(AND(Database!KS70&gt;1,Database!KS74&gt;1),100*(Database!KS70/(Database!KS74)),0.0001)</f>
        <v>1E-4</v>
      </c>
      <c r="EX132" s="99">
        <f>IF(AND(Database!KU70&gt;1,Database!KU74&gt;1),100*(Database!KU70/(Database!KU74)),0.0001)</f>
        <v>1E-4</v>
      </c>
      <c r="EY132" s="99">
        <f>IF(AND(Database!KW70&gt;1,Database!KW74&gt;1),100*(Database!KW70/(Database!KW74)),0.0001)</f>
        <v>1E-4</v>
      </c>
      <c r="EZ132" s="99">
        <f>IF(AND(Database!KY70&gt;1,Database!KY74&gt;1),100*(Database!KY70/(Database!KY74)),0.0001)</f>
        <v>1E-4</v>
      </c>
      <c r="FA132" s="99">
        <f>IF(AND(Database!LA70&gt;1,Database!LA74&gt;1),100*(Database!LA70/(Database!LA74)),0.0001)</f>
        <v>1E-4</v>
      </c>
      <c r="FB132" s="99">
        <f>IF(AND(Database!LC70&gt;1,Database!LC74&gt;1),100*(Database!LC70/(Database!LC74)),0.0001)</f>
        <v>1E-4</v>
      </c>
      <c r="FC132" s="99">
        <f>IF(AND(Database!LE70&gt;1,Database!LE74&gt;1),100*(Database!LE70/(Database!LE74)),0.0001)</f>
        <v>1E-4</v>
      </c>
      <c r="FD132" s="99">
        <f>IF(AND(Database!LG70&gt;1,Database!LG74&gt;1),100*(Database!LG70/(Database!LG74)),0.0001)</f>
        <v>1E-4</v>
      </c>
      <c r="FE132" s="99">
        <f>IF(AND(Database!LI70&gt;1,Database!LI74&gt;1),100*(Database!LI70/(Database!LI74)),0.0001)</f>
        <v>1E-4</v>
      </c>
      <c r="FF132" s="99">
        <f>IF(AND(Database!LK70&gt;1,Database!LK74&gt;1),100*(Database!LK70/(Database!LK74)),0.0001)</f>
        <v>1E-4</v>
      </c>
      <c r="FG132" s="99">
        <f>IF(AND(Database!LM70&gt;1,Database!LM74&gt;1),100*(Database!LM70/(Database!LM74)),0.0001)</f>
        <v>1E-4</v>
      </c>
      <c r="FH132" s="99">
        <f>IF(AND(Database!LO70&gt;1,Database!LO74&gt;1),100*(Database!LO70/(Database!LO74)),0.0001)</f>
        <v>1E-4</v>
      </c>
      <c r="FI132" s="99">
        <f>IF(AND(Database!LQ70&gt;1,Database!LQ74&gt;1),100*(Database!LQ70/(Database!LQ74)),0.0001)</f>
        <v>1E-4</v>
      </c>
      <c r="FJ132" s="99">
        <f>IF(AND(Database!LS70&gt;1,Database!LS74&gt;1),100*(Database!LS70/(Database!LS74)),0.0001)</f>
        <v>1E-4</v>
      </c>
      <c r="FK132" s="99">
        <f>IF(AND(Database!LU70&gt;1,Database!LU74&gt;1),100*(Database!LU70/(Database!LU74)),0.0001)</f>
        <v>1E-4</v>
      </c>
      <c r="FL132" s="99">
        <f>IF(AND(Database!LW70&gt;1,Database!LW74&gt;1),100*(Database!LW70/(Database!LW74)),0.0001)</f>
        <v>1E-4</v>
      </c>
      <c r="FM132" s="99">
        <f>IF(AND(Database!LY70&gt;1,Database!LY74&gt;1),100*(Database!LY70/(Database!LY74)),0.0001)</f>
        <v>1E-4</v>
      </c>
      <c r="FN132" s="99">
        <f>IF(AND(Database!MA70&gt;1,Database!MA74&gt;1),100*(Database!MA70/(Database!MA74)),0.0001)</f>
        <v>1E-4</v>
      </c>
      <c r="FO132" s="99">
        <f>IF(AND(Database!MC70&gt;1,Database!MC74&gt;1),100*(Database!MC70/(Database!MC74)),0.0001)</f>
        <v>1E-4</v>
      </c>
      <c r="FP132" s="99">
        <f>IF(AND(Database!ME70&gt;1,Database!ME74&gt;1),100*(Database!ME70/(Database!ME74)),0.0001)</f>
        <v>1E-4</v>
      </c>
      <c r="FQ132" s="99">
        <f>IF(AND(Database!MG70&gt;1,Database!MG74&gt;1),100*(Database!MG70/(Database!MG74)),0.0001)</f>
        <v>1E-4</v>
      </c>
      <c r="FR132" s="99">
        <f>IF(AND(Database!MI70&gt;1,Database!MI74&gt;1),100*(Database!MI70/(Database!MI74)),0.0001)</f>
        <v>1E-4</v>
      </c>
      <c r="FS132" s="99">
        <f>IF(AND(Database!MK70&gt;1,Database!MK74&gt;1),100*(Database!MK70/(Database!MK74)),0.0001)</f>
        <v>1E-4</v>
      </c>
      <c r="FT132" s="99">
        <f>IF(AND(Database!MM70&gt;1,Database!MM74&gt;1),100*(Database!MM70/(Database!MM74)),0.0001)</f>
        <v>1E-4</v>
      </c>
      <c r="FU132" s="99">
        <f>IF(AND(Database!MO70&gt;1,Database!MO74&gt;1),100*(Database!MO70/(Database!MO74)),0.0001)</f>
        <v>1E-4</v>
      </c>
      <c r="FV132" s="99">
        <f>IF(AND(Database!MQ70&gt;1,Database!MQ74&gt;1),100*(Database!MQ70/(Database!MQ74)),0.0001)</f>
        <v>1E-4</v>
      </c>
      <c r="FW132" s="99">
        <f>IF(AND(Database!MS70&gt;1,Database!MS74&gt;1),100*(Database!MS70/(Database!MS74)),0.0001)</f>
        <v>1E-4</v>
      </c>
      <c r="FX132" s="99">
        <f>IF(AND(Database!MU70&gt;1,Database!MU74&gt;1),100*(Database!MU70/(Database!MU74)),0.0001)</f>
        <v>1E-4</v>
      </c>
      <c r="FY132" s="99">
        <f>IF(AND(Database!MW70&gt;1,Database!MW74&gt;1),100*(Database!MW70/(Database!MW74)),0.0001)</f>
        <v>1E-4</v>
      </c>
      <c r="FZ132" s="99">
        <f>IF(AND(Database!MY70&gt;1,Database!MY74&gt;1),100*(Database!MY70/(Database!MY74)),0.0001)</f>
        <v>1E-4</v>
      </c>
      <c r="GA132" s="99">
        <f>IF(AND(Database!NA70&gt;1,Database!NA74&gt;1),100*(Database!NA70/(Database!NA74)),0.0001)</f>
        <v>1E-4</v>
      </c>
      <c r="GB132" s="99">
        <f>IF(AND(Database!NC70&gt;1,Database!NC74&gt;1),100*(Database!NC70/(Database!NC74)),0.0001)</f>
        <v>1E-4</v>
      </c>
      <c r="GC132" s="99">
        <f>IF(AND(Database!NE70&gt;1,Database!NE74&gt;1),100*(Database!NE70/(Database!NE74)),0.0001)</f>
        <v>1E-4</v>
      </c>
      <c r="GD132" s="99">
        <f>IF(AND(Database!NG70&gt;1,Database!NG74&gt;1),100*(Database!NG70/(Database!NG74)),0.0001)</f>
        <v>1E-4</v>
      </c>
      <c r="GE132" s="99">
        <f>IF(AND(Database!NI70&gt;1,Database!NI74&gt;1),100*(Database!NI70/(Database!NI74)),0.0001)</f>
        <v>1E-4</v>
      </c>
      <c r="GF132" s="99">
        <f>IF(AND(Database!NK70&gt;1,Database!NK74&gt;1),100*(Database!NK70/(Database!NK74)),0.0001)</f>
        <v>1E-4</v>
      </c>
      <c r="GG132" s="99">
        <f>IF(AND(Database!NM70&gt;1,Database!NM74&gt;1),100*(Database!NM70/(Database!NM74)),0.0001)</f>
        <v>1E-4</v>
      </c>
      <c r="GH132" s="99">
        <f>IF(AND(Database!NO70&gt;1,Database!NO74&gt;1),100*(Database!NO70/(Database!NO74)),0.0001)</f>
        <v>1E-4</v>
      </c>
      <c r="GI132" s="99">
        <f>IF(AND(Database!NQ70&gt;1,Database!NQ74&gt;1),100*(Database!NQ70/(Database!NQ74)),0.0001)</f>
        <v>1E-4</v>
      </c>
      <c r="GJ132" s="99">
        <f>IF(AND(Database!NS70&gt;1,Database!NS74&gt;1),100*(Database!NS70/(Database!NS74)),0.0001)</f>
        <v>1E-4</v>
      </c>
      <c r="GK132" s="99">
        <f>IF(AND(Database!NU70&gt;1,Database!NU74&gt;1),100*(Database!NU70/(Database!NU74)),0.0001)</f>
        <v>1E-4</v>
      </c>
      <c r="GL132" s="99">
        <f>IF(AND(Database!NW70&gt;1,Database!NW74&gt;1),100*(Database!NW70/(Database!NW74)),0.0001)</f>
        <v>1E-4</v>
      </c>
      <c r="GM132" s="99">
        <f>IF(AND(Database!NY70&gt;1,Database!NY74&gt;1),100*(Database!NY70/(Database!NY74)),0.0001)</f>
        <v>1E-4</v>
      </c>
      <c r="GN132" s="99">
        <f>IF(AND(Database!OA70&gt;1,Database!OA74&gt;1),100*(Database!OA70/(Database!OA74)),0.0001)</f>
        <v>1E-4</v>
      </c>
      <c r="GO132" s="99">
        <f>IF(AND(Database!OC70&gt;1,Database!OC74&gt;1),100*(Database!OC70/(Database!OC74)),0.0001)</f>
        <v>1E-4</v>
      </c>
      <c r="GP132" s="99">
        <f>IF(AND(Database!OE70&gt;1,Database!OE74&gt;1),100*(Database!OE70/(Database!OE74)),0.0001)</f>
        <v>1E-4</v>
      </c>
      <c r="GQ132" s="99">
        <f>IF(AND(Database!OG70&gt;1,Database!OG74&gt;1),100*(Database!OG70/(Database!OG74)),0.0001)</f>
        <v>1E-4</v>
      </c>
      <c r="GR132" s="99">
        <f>IF(AND(Database!OI70&gt;1,Database!OI74&gt;1),100*(Database!OI70/(Database!OI74)),0.0001)</f>
        <v>1E-4</v>
      </c>
      <c r="GS132" s="99">
        <f>IF(AND(Database!OK70&gt;1,Database!OK74&gt;1),100*(Database!OK70/(Database!OK74)),0.0001)</f>
        <v>1E-4</v>
      </c>
      <c r="GT132" s="99">
        <f>IF(AND(Database!OM70&gt;1,Database!OM74&gt;1),100*(Database!OM70/(Database!OM74)),0.0001)</f>
        <v>1E-4</v>
      </c>
    </row>
    <row r="133" spans="1:205" ht="18.75" customHeight="1" x14ac:dyDescent="0.4">
      <c r="A133" s="29" t="s">
        <v>143</v>
      </c>
      <c r="B133" s="306"/>
      <c r="C133" s="99">
        <f>IF(AND(Database!E71&gt;1,Database!E68&gt;1),100*(Database!E71/(Database!E68)),0.0001)</f>
        <v>64.118393975217828</v>
      </c>
      <c r="D133" s="99">
        <f>IF(AND(Database!G71&gt;1,Database!G68&gt;1),100*(Database!G71/(Database!G68)),0.0001)</f>
        <v>1E-4</v>
      </c>
      <c r="E133" s="99">
        <f>IF(AND(Database!I71&gt;1,Database!I68&gt;1),100*(Database!I71/(Database!I68)),0.0001)</f>
        <v>1E-4</v>
      </c>
      <c r="F133" s="99">
        <f>IF(AND(Database!K71&gt;1,Database!K68&gt;1),100*(Database!K71/(Database!K68)),0.0001)</f>
        <v>1E-4</v>
      </c>
      <c r="G133" s="99">
        <f>IF(AND(Database!M71&gt;1,Database!M68&gt;1),100*(Database!M71/(Database!M68)),0.0001)</f>
        <v>1E-4</v>
      </c>
      <c r="H133" s="99">
        <f>IF(AND(Database!O71&gt;1,Database!O68&gt;1),100*(Database!O71/(Database!O68)),0.0001)</f>
        <v>1E-4</v>
      </c>
      <c r="I133" s="99">
        <f>IF(AND(Database!Q71&gt;1,Database!Q68&gt;1),100*(Database!Q71/(Database!Q68)),0.0001)</f>
        <v>1E-4</v>
      </c>
      <c r="J133" s="99">
        <f>IF(AND(Database!S71&gt;1,Database!S68&gt;1),100*(Database!S71/(Database!S68)),0.0001)</f>
        <v>1E-4</v>
      </c>
      <c r="K133" s="99">
        <f>IF(AND(Database!U71&gt;1,Database!U68&gt;1),100*(Database!U71/(Database!U68)),0.0001)</f>
        <v>1E-4</v>
      </c>
      <c r="L133" s="99">
        <f>IF(AND(Database!W71&gt;1,Database!W68&gt;1),100*(Database!W71/(Database!W68)),0.0001)</f>
        <v>1E-4</v>
      </c>
      <c r="M133" s="99">
        <f>IF(AND(Database!Y71&gt;1,Database!Y68&gt;1),100*(Database!Y71/(Database!Y68)),0.0001)</f>
        <v>1E-4</v>
      </c>
      <c r="N133" s="99">
        <f>IF(AND(Database!AA71&gt;1,Database!AA68&gt;1),100*(Database!AA71/(Database!AA68)),0.0001)</f>
        <v>1E-4</v>
      </c>
      <c r="O133" s="99">
        <f>IF(AND(Database!AC71&gt;1,Database!AC68&gt;1),100*(Database!AC71/(Database!AC68)),0.0001)</f>
        <v>1E-4</v>
      </c>
      <c r="P133" s="99">
        <f>IF(AND(Database!AE71&gt;1,Database!AE68&gt;1),100*(Database!AE71/(Database!AE68)),0.0001)</f>
        <v>1E-4</v>
      </c>
      <c r="Q133" s="99">
        <f>IF(AND(Database!AG71&gt;1,Database!AG68&gt;1),100*(Database!AG71/(Database!AG68)),0.0001)</f>
        <v>1E-4</v>
      </c>
      <c r="R133" s="99">
        <f>IF(AND(Database!AI71&gt;1,Database!AI68&gt;1),100*(Database!AI71/(Database!AI68)),0.0001)</f>
        <v>1E-4</v>
      </c>
      <c r="S133" s="99">
        <f>IF(AND(Database!AK71&gt;1,Database!AK68&gt;1),100*(Database!AK71/(Database!AK68)),0.0001)</f>
        <v>1E-4</v>
      </c>
      <c r="T133" s="99">
        <f>IF(AND(Database!AM71&gt;1,Database!AM68&gt;1),100*(Database!AM71/(Database!AM68)),0.0001)</f>
        <v>1E-4</v>
      </c>
      <c r="U133" s="99">
        <f>IF(AND(Database!AO71&gt;1,Database!AO68&gt;1),100*(Database!AO71/(Database!AO68)),0.0001)</f>
        <v>1E-4</v>
      </c>
      <c r="V133" s="99">
        <f>IF(AND(Database!AQ71&gt;1,Database!AQ68&gt;1),100*(Database!AQ71/(Database!AQ68)),0.0001)</f>
        <v>1E-4</v>
      </c>
      <c r="W133" s="99">
        <f>IF(AND(Database!AS71&gt;1,Database!AS68&gt;1),100*(Database!AS71/(Database!AS68)),0.0001)</f>
        <v>1E-4</v>
      </c>
      <c r="X133" s="99">
        <f>IF(AND(Database!AU71&gt;1,Database!AU68&gt;1),100*(Database!AU71/(Database!AU68)),0.0001)</f>
        <v>1E-4</v>
      </c>
      <c r="Y133" s="99">
        <f>IF(AND(Database!AW71&gt;1,Database!AW68&gt;1),100*(Database!AW71/(Database!AW68)),0.0001)</f>
        <v>1E-4</v>
      </c>
      <c r="Z133" s="99">
        <f>IF(AND(Database!AY71&gt;1,Database!AY68&gt;1),100*(Database!AY71/(Database!AY68)),0.0001)</f>
        <v>1E-4</v>
      </c>
      <c r="AA133" s="99">
        <f>IF(AND(Database!BA71&gt;1,Database!BA68&gt;1),100*(Database!BA71/(Database!BA68)),0.0001)</f>
        <v>1E-4</v>
      </c>
      <c r="AB133" s="99">
        <f>IF(AND(Database!BC71&gt;1,Database!BC68&gt;1),100*(Database!BC71/(Database!BC68)),0.0001)</f>
        <v>1E-4</v>
      </c>
      <c r="AC133" s="99">
        <f>IF(AND(Database!BE71&gt;1,Database!BE68&gt;1),100*(Database!BE71/(Database!BE68)),0.0001)</f>
        <v>1E-4</v>
      </c>
      <c r="AD133" s="99">
        <f>IF(AND(Database!BG71&gt;1,Database!BG68&gt;1),100*(Database!BG71/(Database!BG68)),0.0001)</f>
        <v>1E-4</v>
      </c>
      <c r="AE133" s="99">
        <f>IF(AND(Database!BI71&gt;1,Database!BI68&gt;1),100*(Database!BI71/(Database!BI68)),0.0001)</f>
        <v>1E-4</v>
      </c>
      <c r="AF133" s="99">
        <f>IF(AND(Database!BK71&gt;1,Database!BK68&gt;1),100*(Database!BK71/(Database!BK68)),0.0001)</f>
        <v>1E-4</v>
      </c>
      <c r="AG133" s="99">
        <f>IF(AND(Database!BM71&gt;1,Database!BM68&gt;1),100*(Database!BM71/(Database!BM68)),0.0001)</f>
        <v>1E-4</v>
      </c>
      <c r="AH133" s="99">
        <f>IF(AND(Database!BO71&gt;1,Database!BO68&gt;1),100*(Database!BO71/(Database!BO68)),0.0001)</f>
        <v>1E-4</v>
      </c>
      <c r="AI133" s="99">
        <f>IF(AND(Database!BQ71&gt;1,Database!BQ68&gt;1),100*(Database!BQ71/(Database!BQ68)),0.0001)</f>
        <v>1E-4</v>
      </c>
      <c r="AJ133" s="99">
        <f>IF(AND(Database!BS71&gt;1,Database!BS68&gt;1),100*(Database!BS71/(Database!BS68)),0.0001)</f>
        <v>1E-4</v>
      </c>
      <c r="AK133" s="99">
        <f>IF(AND(Database!BU71&gt;1,Database!BU68&gt;1),100*(Database!BU71/(Database!BU68)),0.0001)</f>
        <v>1E-4</v>
      </c>
      <c r="AL133" s="99">
        <f>IF(AND(Database!BW71&gt;1,Database!BW68&gt;1),100*(Database!BW71/(Database!BW68)),0.0001)</f>
        <v>1E-4</v>
      </c>
      <c r="AM133" s="99">
        <f>IF(AND(Database!BY71&gt;1,Database!BY68&gt;1),100*(Database!BY71/(Database!BY68)),0.0001)</f>
        <v>1E-4</v>
      </c>
      <c r="AN133" s="99">
        <f>IF(AND(Database!CA71&gt;1,Database!CA68&gt;1),100*(Database!CA71/(Database!CA68)),0.0001)</f>
        <v>1E-4</v>
      </c>
      <c r="AO133" s="99">
        <f>IF(AND(Database!CC71&gt;1,Database!CC68&gt;1),100*(Database!CC71/(Database!CC68)),0.0001)</f>
        <v>1E-4</v>
      </c>
      <c r="AP133" s="99">
        <f>IF(AND(Database!CE71&gt;1,Database!CE68&gt;1),100*(Database!CE71/(Database!CE68)),0.0001)</f>
        <v>1E-4</v>
      </c>
      <c r="AQ133" s="99">
        <f>IF(AND(Database!CG71&gt;1,Database!CG68&gt;1),100*(Database!CG71/(Database!CG68)),0.0001)</f>
        <v>1E-4</v>
      </c>
      <c r="AR133" s="99">
        <f>IF(AND(Database!CI71&gt;1,Database!CI68&gt;1),100*(Database!CI71/(Database!CI68)),0.0001)</f>
        <v>1E-4</v>
      </c>
      <c r="AS133" s="99">
        <f>IF(AND(Database!CK71&gt;1,Database!CK68&gt;1),100*(Database!CK71/(Database!CK68)),0.0001)</f>
        <v>1E-4</v>
      </c>
      <c r="AT133" s="99">
        <f>IF(AND(Database!CM71&gt;1,Database!CM68&gt;1),100*(Database!CM71/(Database!CM68)),0.0001)</f>
        <v>1E-4</v>
      </c>
      <c r="AU133" s="99">
        <f>IF(AND(Database!CO71&gt;1,Database!CO68&gt;1),100*(Database!CO71/(Database!CO68)),0.0001)</f>
        <v>1E-4</v>
      </c>
      <c r="AV133" s="99">
        <f>IF(AND(Database!CQ71&gt;1,Database!CQ68&gt;1),100*(Database!CQ71/(Database!CQ68)),0.0001)</f>
        <v>1E-4</v>
      </c>
      <c r="AW133" s="99">
        <f>IF(AND(Database!CS71&gt;1,Database!CS68&gt;1),100*(Database!CS71/(Database!CS68)),0.0001)</f>
        <v>1E-4</v>
      </c>
      <c r="AX133" s="99">
        <f>IF(AND(Database!CU71&gt;1,Database!CU68&gt;1),100*(Database!CU71/(Database!CU68)),0.0001)</f>
        <v>1E-4</v>
      </c>
      <c r="AY133" s="99">
        <f>IF(AND(Database!CW71&gt;1,Database!CW68&gt;1),100*(Database!CW71/(Database!CW68)),0.0001)</f>
        <v>1E-4</v>
      </c>
      <c r="AZ133" s="99">
        <f>IF(AND(Database!CY71&gt;1,Database!CY68&gt;1),100*(Database!CY71/(Database!CY68)),0.0001)</f>
        <v>1E-4</v>
      </c>
      <c r="BA133" s="99">
        <f>IF(AND(Database!DA71&gt;1,Database!DA68&gt;1),100*(Database!DA71/(Database!DA68)),0.0001)</f>
        <v>1E-4</v>
      </c>
      <c r="BB133" s="99">
        <f>IF(AND(Database!DC71&gt;1,Database!DC68&gt;1),100*(Database!DC71/(Database!DC68)),0.0001)</f>
        <v>1E-4</v>
      </c>
      <c r="BC133" s="99">
        <f>IF(AND(Database!DE71&gt;1,Database!DE68&gt;1),100*(Database!DE71/(Database!DE68)),0.0001)</f>
        <v>1E-4</v>
      </c>
      <c r="BD133" s="99">
        <f>IF(AND(Database!DG71&gt;1,Database!DG68&gt;1),100*(Database!DG71/(Database!DG68)),0.0001)</f>
        <v>1E-4</v>
      </c>
      <c r="BE133" s="99">
        <f>IF(AND(Database!DI71&gt;1,Database!DI68&gt;1),100*(Database!DI71/(Database!DI68)),0.0001)</f>
        <v>1E-4</v>
      </c>
      <c r="BF133" s="99">
        <f>IF(AND(Database!DK71&gt;1,Database!DK68&gt;1),100*(Database!DK71/(Database!DK68)),0.0001)</f>
        <v>1E-4</v>
      </c>
      <c r="BG133" s="99">
        <f>IF(AND(Database!DM71&gt;1,Database!DM68&gt;1),100*(Database!DM71/(Database!DM68)),0.0001)</f>
        <v>1E-4</v>
      </c>
      <c r="BH133" s="99">
        <f>IF(AND(Database!DO71&gt;1,Database!DO68&gt;1),100*(Database!DO71/(Database!DO68)),0.0001)</f>
        <v>1E-4</v>
      </c>
      <c r="BI133" s="99">
        <f>IF(AND(Database!DQ71&gt;1,Database!DQ68&gt;1),100*(Database!DQ71/(Database!DQ68)),0.0001)</f>
        <v>1E-4</v>
      </c>
      <c r="BJ133" s="99">
        <f>IF(AND(Database!DS71&gt;1,Database!DS68&gt;1),100*(Database!DS71/(Database!DS68)),0.0001)</f>
        <v>1E-4</v>
      </c>
      <c r="BK133" s="99">
        <f>IF(AND(Database!DU71&gt;1,Database!DU68&gt;1),100*(Database!DU71/(Database!DU68)),0.0001)</f>
        <v>1E-4</v>
      </c>
      <c r="BL133" s="99">
        <f>IF(AND(Database!DW71&gt;1,Database!DW68&gt;1),100*(Database!DW71/(Database!DW68)),0.0001)</f>
        <v>1E-4</v>
      </c>
      <c r="BM133" s="99">
        <f>IF(AND(Database!DY71&gt;1,Database!DY68&gt;1),100*(Database!DY71/(Database!DY68)),0.0001)</f>
        <v>1E-4</v>
      </c>
      <c r="BN133" s="99">
        <f>IF(AND(Database!EA71&gt;1,Database!EA68&gt;1),100*(Database!EA71/(Database!EA68)),0.0001)</f>
        <v>1E-4</v>
      </c>
      <c r="BO133" s="99">
        <f>IF(AND(Database!EC71&gt;1,Database!EC68&gt;1),100*(Database!EC71/(Database!EC68)),0.0001)</f>
        <v>1E-4</v>
      </c>
      <c r="BP133" s="99">
        <f>IF(AND(Database!EE71&gt;1,Database!EE68&gt;1),100*(Database!EE71/(Database!EE68)),0.0001)</f>
        <v>1E-4</v>
      </c>
      <c r="BQ133" s="99">
        <f>IF(AND(Database!EG71&gt;1,Database!EG68&gt;1),100*(Database!EG71/(Database!EG68)),0.0001)</f>
        <v>1E-4</v>
      </c>
      <c r="BR133" s="99">
        <f>IF(AND(Database!EI71&gt;1,Database!EI68&gt;1),100*(Database!EI71/(Database!EI68)),0.0001)</f>
        <v>1E-4</v>
      </c>
      <c r="BS133" s="99">
        <f>IF(AND(Database!EK71&gt;1,Database!EK68&gt;1),100*(Database!EK71/(Database!EK68)),0.0001)</f>
        <v>1E-4</v>
      </c>
      <c r="BT133" s="99">
        <f>IF(AND(Database!EM71&gt;1,Database!EM68&gt;1),100*(Database!EM71/(Database!EM68)),0.0001)</f>
        <v>1E-4</v>
      </c>
      <c r="BU133" s="99">
        <f>IF(AND(Database!EO71&gt;1,Database!EO68&gt;1),100*(Database!EO71/(Database!EO68)),0.0001)</f>
        <v>1E-4</v>
      </c>
      <c r="BV133" s="99">
        <f>IF(AND(Database!EQ71&gt;1,Database!EQ68&gt;1),100*(Database!EQ71/(Database!EQ68)),0.0001)</f>
        <v>1E-4</v>
      </c>
      <c r="BW133" s="99">
        <f>IF(AND(Database!ES71&gt;1,Database!ES68&gt;1),100*(Database!ES71/(Database!ES68)),0.0001)</f>
        <v>1E-4</v>
      </c>
      <c r="BX133" s="99">
        <f>IF(AND(Database!EU71&gt;1,Database!EU68&gt;1),100*(Database!EU71/(Database!EU68)),0.0001)</f>
        <v>1E-4</v>
      </c>
      <c r="BY133" s="99">
        <f>IF(AND(Database!EW71&gt;1,Database!EW68&gt;1),100*(Database!EW71/(Database!EW68)),0.0001)</f>
        <v>1E-4</v>
      </c>
      <c r="BZ133" s="99">
        <f>IF(AND(Database!EY71&gt;1,Database!EY68&gt;1),100*(Database!EY71/(Database!EY68)),0.0001)</f>
        <v>1E-4</v>
      </c>
      <c r="CA133" s="99">
        <f>IF(AND(Database!FA71&gt;1,Database!FA68&gt;1),100*(Database!FA71/(Database!FA68)),0.0001)</f>
        <v>1E-4</v>
      </c>
      <c r="CB133" s="99">
        <f>IF(AND(Database!FC71&gt;1,Database!FC68&gt;1),100*(Database!FC71/(Database!FC68)),0.0001)</f>
        <v>1E-4</v>
      </c>
      <c r="CC133" s="99">
        <f>IF(AND(Database!FE71&gt;1,Database!FE68&gt;1),100*(Database!FE71/(Database!FE68)),0.0001)</f>
        <v>1E-4</v>
      </c>
      <c r="CD133" s="99">
        <f>IF(AND(Database!FG71&gt;1,Database!FG68&gt;1),100*(Database!FG71/(Database!FG68)),0.0001)</f>
        <v>1E-4</v>
      </c>
      <c r="CE133" s="99">
        <f>IF(AND(Database!FI71&gt;1,Database!FI68&gt;1),100*(Database!FI71/(Database!FI68)),0.0001)</f>
        <v>1E-4</v>
      </c>
      <c r="CF133" s="99">
        <f>IF(AND(Database!FK71&gt;1,Database!FK68&gt;1),100*(Database!FK71/(Database!FK68)),0.0001)</f>
        <v>1E-4</v>
      </c>
      <c r="CG133" s="99">
        <f>IF(AND(Database!FM71&gt;1,Database!FM68&gt;1),100*(Database!FM71/(Database!FM68)),0.0001)</f>
        <v>1E-4</v>
      </c>
      <c r="CH133" s="99">
        <f>IF(AND(Database!FO71&gt;1,Database!FO68&gt;1),100*(Database!FO71/(Database!FO68)),0.0001)</f>
        <v>1E-4</v>
      </c>
      <c r="CI133" s="99">
        <f>IF(AND(Database!FQ71&gt;1,Database!FQ68&gt;1),100*(Database!FQ71/(Database!FQ68)),0.0001)</f>
        <v>1E-4</v>
      </c>
      <c r="CJ133" s="99">
        <f>IF(AND(Database!FS71&gt;1,Database!FS68&gt;1),100*(Database!FS71/(Database!FS68)),0.0001)</f>
        <v>1E-4</v>
      </c>
      <c r="CK133" s="99">
        <f>IF(AND(Database!FU71&gt;1,Database!FU68&gt;1),100*(Database!FU71/(Database!FU68)),0.0001)</f>
        <v>1E-4</v>
      </c>
      <c r="CL133" s="99">
        <f>IF(AND(Database!FW71&gt;1,Database!FW68&gt;1),100*(Database!FW71/(Database!FW68)),0.0001)</f>
        <v>1E-4</v>
      </c>
      <c r="CM133" s="99">
        <f>IF(AND(Database!FY71&gt;1,Database!FY68&gt;1),100*(Database!FY71/(Database!FY68)),0.0001)</f>
        <v>1E-4</v>
      </c>
      <c r="CN133" s="99">
        <f>IF(AND(Database!GA71&gt;1,Database!GA68&gt;1),100*(Database!GA71/(Database!GA68)),0.0001)</f>
        <v>1E-4</v>
      </c>
      <c r="CO133" s="99">
        <f>IF(AND(Database!GC71&gt;1,Database!GC68&gt;1),100*(Database!GC71/(Database!GC68)),0.0001)</f>
        <v>1E-4</v>
      </c>
      <c r="CP133" s="99">
        <f>IF(AND(Database!GE71&gt;1,Database!GE68&gt;1),100*(Database!GE71/(Database!GE68)),0.0001)</f>
        <v>1E-4</v>
      </c>
      <c r="CQ133" s="99">
        <f>IF(AND(Database!GG71&gt;1,Database!GG68&gt;1),100*(Database!GG71/(Database!GG68)),0.0001)</f>
        <v>1E-4</v>
      </c>
      <c r="CR133" s="99">
        <f>IF(AND(Database!GI71&gt;1,Database!GI68&gt;1),100*(Database!GI71/(Database!GI68)),0.0001)</f>
        <v>1E-4</v>
      </c>
      <c r="CS133" s="99">
        <f>IF(AND(Database!GK71&gt;1,Database!GK68&gt;1),100*(Database!GK71/(Database!GK68)),0.0001)</f>
        <v>1E-4</v>
      </c>
      <c r="CT133" s="99">
        <f>IF(AND(Database!GM71&gt;1,Database!GM68&gt;1),100*(Database!GM71/(Database!GM68)),0.0001)</f>
        <v>1E-4</v>
      </c>
      <c r="CU133" s="99">
        <f>IF(AND(Database!GO71&gt;1,Database!GO68&gt;1),100*(Database!GO71/(Database!GO68)),0.0001)</f>
        <v>1E-4</v>
      </c>
      <c r="CV133" s="99">
        <f>IF(AND(Database!GQ71&gt;1,Database!GQ68&gt;1),100*(Database!GQ71/(Database!GQ68)),0.0001)</f>
        <v>1E-4</v>
      </c>
      <c r="CW133" s="99">
        <f>IF(AND(Database!GS71&gt;1,Database!GS68&gt;1),100*(Database!GS71/(Database!GS68)),0.0001)</f>
        <v>1E-4</v>
      </c>
      <c r="CX133" s="99">
        <f>IF(AND(Database!GU71&gt;1,Database!GU68&gt;1),100*(Database!GU71/(Database!GU68)),0.0001)</f>
        <v>1E-4</v>
      </c>
      <c r="CY133" s="99">
        <f>IF(AND(Database!GW71&gt;1,Database!GW68&gt;1),100*(Database!GW71/(Database!GW68)),0.0001)</f>
        <v>1E-4</v>
      </c>
      <c r="CZ133" s="99">
        <f>IF(AND(Database!GY71&gt;1,Database!GY68&gt;1),100*(Database!GY71/(Database!GY68)),0.0001)</f>
        <v>1E-4</v>
      </c>
      <c r="DA133" s="99">
        <f>IF(AND(Database!HA71&gt;1,Database!HA68&gt;1),100*(Database!HA71/(Database!HA68)),0.0001)</f>
        <v>1E-4</v>
      </c>
      <c r="DB133" s="99">
        <f>IF(AND(Database!HC71&gt;1,Database!HC68&gt;1),100*(Database!HC71/(Database!HC68)),0.0001)</f>
        <v>1E-4</v>
      </c>
      <c r="DC133" s="99">
        <f>IF(AND(Database!HE71&gt;1,Database!HE68&gt;1),100*(Database!HE71/(Database!HE68)),0.0001)</f>
        <v>1E-4</v>
      </c>
      <c r="DD133" s="99">
        <f>IF(AND(Database!HG71&gt;1,Database!HG68&gt;1),100*(Database!HG71/(Database!HG68)),0.0001)</f>
        <v>1E-4</v>
      </c>
      <c r="DE133" s="99">
        <f>IF(AND(Database!HI71&gt;1,Database!HI68&gt;1),100*(Database!HI71/(Database!HI68)),0.0001)</f>
        <v>1E-4</v>
      </c>
      <c r="DF133" s="99">
        <f>IF(AND(Database!HK71&gt;1,Database!HK68&gt;1),100*(Database!HK71/(Database!HK68)),0.0001)</f>
        <v>1E-4</v>
      </c>
      <c r="DG133" s="99">
        <f>IF(AND(Database!HM71&gt;1,Database!HM68&gt;1),100*(Database!HM71/(Database!HM68)),0.0001)</f>
        <v>1E-4</v>
      </c>
      <c r="DH133" s="99">
        <f>IF(AND(Database!HO71&gt;1,Database!HO68&gt;1),100*(Database!HO71/(Database!HO68)),0.0001)</f>
        <v>1E-4</v>
      </c>
      <c r="DI133" s="99">
        <f>IF(AND(Database!HQ71&gt;1,Database!HQ68&gt;1),100*(Database!HQ71/(Database!HQ68)),0.0001)</f>
        <v>1E-4</v>
      </c>
      <c r="DJ133" s="99">
        <f>IF(AND(Database!HS71&gt;1,Database!HS68&gt;1),100*(Database!HS71/(Database!HS68)),0.0001)</f>
        <v>1E-4</v>
      </c>
      <c r="DK133" s="99">
        <f>IF(AND(Database!HU71&gt;1,Database!HU68&gt;1),100*(Database!HU71/(Database!HU68)),0.0001)</f>
        <v>1E-4</v>
      </c>
      <c r="DL133" s="99">
        <f>IF(AND(Database!HW71&gt;1,Database!HW68&gt;1),100*(Database!HW71/(Database!HW68)),0.0001)</f>
        <v>1E-4</v>
      </c>
      <c r="DM133" s="99">
        <f>IF(AND(Database!HY71&gt;1,Database!HY68&gt;1),100*(Database!HY71/(Database!HY68)),0.0001)</f>
        <v>1E-4</v>
      </c>
      <c r="DN133" s="99">
        <f>IF(AND(Database!IA71&gt;1,Database!IA68&gt;1),100*(Database!IA71/(Database!IA68)),0.0001)</f>
        <v>1E-4</v>
      </c>
      <c r="DO133" s="99">
        <f>IF(AND(Database!IC71&gt;1,Database!IC68&gt;1),100*(Database!IC71/(Database!IC68)),0.0001)</f>
        <v>1E-4</v>
      </c>
      <c r="DP133" s="99">
        <f>IF(AND(Database!IE71&gt;1,Database!IE68&gt;1),100*(Database!IE71/(Database!IE68)),0.0001)</f>
        <v>1E-4</v>
      </c>
      <c r="DQ133" s="99">
        <f>IF(AND(Database!IG71&gt;1,Database!IG68&gt;1),100*(Database!IG71/(Database!IG68)),0.0001)</f>
        <v>1E-4</v>
      </c>
      <c r="DR133" s="99">
        <f>IF(AND(Database!II71&gt;1,Database!II68&gt;1),100*(Database!II71/(Database!II68)),0.0001)</f>
        <v>1E-4</v>
      </c>
      <c r="DS133" s="99">
        <f>IF(AND(Database!IK71&gt;1,Database!IK68&gt;1),100*(Database!IK71/(Database!IK68)),0.0001)</f>
        <v>1E-4</v>
      </c>
      <c r="DT133" s="99">
        <f>IF(AND(Database!IM71&gt;1,Database!IM68&gt;1),100*(Database!IM71/(Database!IM68)),0.0001)</f>
        <v>1E-4</v>
      </c>
      <c r="DU133" s="99">
        <f>IF(AND(Database!IO71&gt;1,Database!IO68&gt;1),100*(Database!IO71/(Database!IO68)),0.0001)</f>
        <v>1E-4</v>
      </c>
      <c r="DV133" s="99">
        <f>IF(AND(Database!IQ71&gt;1,Database!IQ68&gt;1),100*(Database!IQ71/(Database!IQ68)),0.0001)</f>
        <v>1E-4</v>
      </c>
      <c r="DW133" s="99">
        <f>IF(AND(Database!IS71&gt;1,Database!IS68&gt;1),100*(Database!IS71/(Database!IS68)),0.0001)</f>
        <v>1E-4</v>
      </c>
      <c r="DX133" s="99">
        <f>IF(AND(Database!IU71&gt;1,Database!IU68&gt;1),100*(Database!IU71/(Database!IU68)),0.0001)</f>
        <v>1E-4</v>
      </c>
      <c r="DY133" s="99">
        <f>IF(AND(Database!IW71&gt;1,Database!IW68&gt;1),100*(Database!IW71/(Database!IW68)),0.0001)</f>
        <v>1E-4</v>
      </c>
      <c r="DZ133" s="99">
        <f>IF(AND(Database!IY71&gt;1,Database!IY68&gt;1),100*(Database!IY71/(Database!IY68)),0.0001)</f>
        <v>1E-4</v>
      </c>
      <c r="EA133" s="99">
        <f>IF(AND(Database!JA71&gt;1,Database!JA68&gt;1),100*(Database!JA71/(Database!JA68)),0.0001)</f>
        <v>1E-4</v>
      </c>
      <c r="EB133" s="99">
        <f>IF(AND(Database!JC71&gt;1,Database!JC68&gt;1),100*(Database!JC71/(Database!JC68)),0.0001)</f>
        <v>1E-4</v>
      </c>
      <c r="EC133" s="99">
        <f>IF(AND(Database!JE71&gt;1,Database!JE68&gt;1),100*(Database!JE71/(Database!JE68)),0.0001)</f>
        <v>1E-4</v>
      </c>
      <c r="ED133" s="99">
        <f>IF(AND(Database!JG71&gt;1,Database!JG68&gt;1),100*(Database!JG71/(Database!JG68)),0.0001)</f>
        <v>1E-4</v>
      </c>
      <c r="EE133" s="99">
        <f>IF(AND(Database!JI71&gt;1,Database!JI68&gt;1),100*(Database!JI71/(Database!JI68)),0.0001)</f>
        <v>1E-4</v>
      </c>
      <c r="EF133" s="99">
        <f>IF(AND(Database!JK71&gt;1,Database!JK68&gt;1),100*(Database!JK71/(Database!JK68)),0.0001)</f>
        <v>1E-4</v>
      </c>
      <c r="EG133" s="99">
        <f>IF(AND(Database!JM71&gt;1,Database!JM68&gt;1),100*(Database!JM71/(Database!JM68)),0.0001)</f>
        <v>1E-4</v>
      </c>
      <c r="EH133" s="99">
        <f>IF(AND(Database!JO71&gt;1,Database!JO68&gt;1),100*(Database!JO71/(Database!JO68)),0.0001)</f>
        <v>1E-4</v>
      </c>
      <c r="EI133" s="99">
        <f>IF(AND(Database!JQ71&gt;1,Database!JQ68&gt;1),100*(Database!JQ71/(Database!JQ68)),0.0001)</f>
        <v>1E-4</v>
      </c>
      <c r="EJ133" s="99">
        <f>IF(AND(Database!JS71&gt;1,Database!JS68&gt;1),100*(Database!JS71/(Database!JS68)),0.0001)</f>
        <v>1E-4</v>
      </c>
      <c r="EK133" s="99">
        <f>IF(AND(Database!JU71&gt;1,Database!JU68&gt;1),100*(Database!JU71/(Database!JU68)),0.0001)</f>
        <v>1E-4</v>
      </c>
      <c r="EL133" s="99">
        <f>IF(AND(Database!JW71&gt;1,Database!JW68&gt;1),100*(Database!JW71/(Database!JW68)),0.0001)</f>
        <v>1E-4</v>
      </c>
      <c r="EM133" s="99">
        <f>IF(AND(Database!JY71&gt;1,Database!JY68&gt;1),100*(Database!JY71/(Database!JY68)),0.0001)</f>
        <v>1E-4</v>
      </c>
      <c r="EN133" s="99">
        <f>IF(AND(Database!KA71&gt;1,Database!KA68&gt;1),100*(Database!KA71/(Database!KA68)),0.0001)</f>
        <v>1E-4</v>
      </c>
      <c r="EO133" s="99">
        <f>IF(AND(Database!KC71&gt;1,Database!KC68&gt;1),100*(Database!KC71/(Database!KC68)),0.0001)</f>
        <v>1E-4</v>
      </c>
      <c r="EP133" s="99">
        <f>IF(AND(Database!KE71&gt;1,Database!KE68&gt;1),100*(Database!KE71/(Database!KE68)),0.0001)</f>
        <v>1E-4</v>
      </c>
      <c r="EQ133" s="99">
        <f>IF(AND(Database!KG71&gt;1,Database!KG68&gt;1),100*(Database!KG71/(Database!KG68)),0.0001)</f>
        <v>1E-4</v>
      </c>
      <c r="ER133" s="99">
        <f>IF(AND(Database!KI71&gt;1,Database!KI68&gt;1),100*(Database!KI71/(Database!KI68)),0.0001)</f>
        <v>1E-4</v>
      </c>
      <c r="ES133" s="99">
        <f>IF(AND(Database!KK71&gt;1,Database!KK68&gt;1),100*(Database!KK71/(Database!KK68)),0.0001)</f>
        <v>1E-4</v>
      </c>
      <c r="ET133" s="99">
        <f>IF(AND(Database!KM71&gt;1,Database!KM68&gt;1),100*(Database!KM71/(Database!KM68)),0.0001)</f>
        <v>1E-4</v>
      </c>
      <c r="EU133" s="99">
        <f>IF(AND(Database!KO71&gt;1,Database!KO68&gt;1),100*(Database!KO71/(Database!KO68)),0.0001)</f>
        <v>1E-4</v>
      </c>
      <c r="EV133" s="99">
        <f>IF(AND(Database!KQ71&gt;1,Database!KQ68&gt;1),100*(Database!KQ71/(Database!KQ68)),0.0001)</f>
        <v>1E-4</v>
      </c>
      <c r="EW133" s="99">
        <f>IF(AND(Database!KS71&gt;1,Database!KS68&gt;1),100*(Database!KS71/(Database!KS68)),0.0001)</f>
        <v>1E-4</v>
      </c>
      <c r="EX133" s="99">
        <f>IF(AND(Database!KU71&gt;1,Database!KU68&gt;1),100*(Database!KU71/(Database!KU68)),0.0001)</f>
        <v>1E-4</v>
      </c>
      <c r="EY133" s="99">
        <f>IF(AND(Database!KW71&gt;1,Database!KW68&gt;1),100*(Database!KW71/(Database!KW68)),0.0001)</f>
        <v>1E-4</v>
      </c>
      <c r="EZ133" s="99">
        <f>IF(AND(Database!KY71&gt;1,Database!KY68&gt;1),100*(Database!KY71/(Database!KY68)),0.0001)</f>
        <v>1E-4</v>
      </c>
      <c r="FA133" s="99">
        <f>IF(AND(Database!LA71&gt;1,Database!LA68&gt;1),100*(Database!LA71/(Database!LA68)),0.0001)</f>
        <v>1E-4</v>
      </c>
      <c r="FB133" s="99">
        <f>IF(AND(Database!LC71&gt;1,Database!LC68&gt;1),100*(Database!LC71/(Database!LC68)),0.0001)</f>
        <v>1E-4</v>
      </c>
      <c r="FC133" s="99">
        <f>IF(AND(Database!LE71&gt;1,Database!LE68&gt;1),100*(Database!LE71/(Database!LE68)),0.0001)</f>
        <v>1E-4</v>
      </c>
      <c r="FD133" s="99">
        <f>IF(AND(Database!LG71&gt;1,Database!LG68&gt;1),100*(Database!LG71/(Database!LG68)),0.0001)</f>
        <v>1E-4</v>
      </c>
      <c r="FE133" s="99">
        <f>IF(AND(Database!LI71&gt;1,Database!LI68&gt;1),100*(Database!LI71/(Database!LI68)),0.0001)</f>
        <v>1E-4</v>
      </c>
      <c r="FF133" s="99">
        <f>IF(AND(Database!LK71&gt;1,Database!LK68&gt;1),100*(Database!LK71/(Database!LK68)),0.0001)</f>
        <v>1E-4</v>
      </c>
      <c r="FG133" s="99">
        <f>IF(AND(Database!LM71&gt;1,Database!LM68&gt;1),100*(Database!LM71/(Database!LM68)),0.0001)</f>
        <v>1E-4</v>
      </c>
      <c r="FH133" s="99">
        <f>IF(AND(Database!LO71&gt;1,Database!LO68&gt;1),100*(Database!LO71/(Database!LO68)),0.0001)</f>
        <v>1E-4</v>
      </c>
      <c r="FI133" s="99">
        <f>IF(AND(Database!LQ71&gt;1,Database!LQ68&gt;1),100*(Database!LQ71/(Database!LQ68)),0.0001)</f>
        <v>1E-4</v>
      </c>
      <c r="FJ133" s="99">
        <f>IF(AND(Database!LS71&gt;1,Database!LS68&gt;1),100*(Database!LS71/(Database!LS68)),0.0001)</f>
        <v>1E-4</v>
      </c>
      <c r="FK133" s="99">
        <f>IF(AND(Database!LU71&gt;1,Database!LU68&gt;1),100*(Database!LU71/(Database!LU68)),0.0001)</f>
        <v>1E-4</v>
      </c>
      <c r="FL133" s="99">
        <f>IF(AND(Database!LW71&gt;1,Database!LW68&gt;1),100*(Database!LW71/(Database!LW68)),0.0001)</f>
        <v>1E-4</v>
      </c>
      <c r="FM133" s="99">
        <f>IF(AND(Database!LY71&gt;1,Database!LY68&gt;1),100*(Database!LY71/(Database!LY68)),0.0001)</f>
        <v>1E-4</v>
      </c>
      <c r="FN133" s="99">
        <f>IF(AND(Database!MA71&gt;1,Database!MA68&gt;1),100*(Database!MA71/(Database!MA68)),0.0001)</f>
        <v>1E-4</v>
      </c>
      <c r="FO133" s="99">
        <f>IF(AND(Database!MC71&gt;1,Database!MC68&gt;1),100*(Database!MC71/(Database!MC68)),0.0001)</f>
        <v>1E-4</v>
      </c>
      <c r="FP133" s="99">
        <f>IF(AND(Database!ME71&gt;1,Database!ME68&gt;1),100*(Database!ME71/(Database!ME68)),0.0001)</f>
        <v>1E-4</v>
      </c>
      <c r="FQ133" s="99">
        <f>IF(AND(Database!MG71&gt;1,Database!MG68&gt;1),100*(Database!MG71/(Database!MG68)),0.0001)</f>
        <v>1E-4</v>
      </c>
      <c r="FR133" s="99">
        <f>IF(AND(Database!MI71&gt;1,Database!MI68&gt;1),100*(Database!MI71/(Database!MI68)),0.0001)</f>
        <v>1E-4</v>
      </c>
      <c r="FS133" s="99">
        <f>IF(AND(Database!MK71&gt;1,Database!MK68&gt;1),100*(Database!MK71/(Database!MK68)),0.0001)</f>
        <v>1E-4</v>
      </c>
      <c r="FT133" s="99">
        <f>IF(AND(Database!MM71&gt;1,Database!MM68&gt;1),100*(Database!MM71/(Database!MM68)),0.0001)</f>
        <v>1E-4</v>
      </c>
      <c r="FU133" s="99">
        <f>IF(AND(Database!MO71&gt;1,Database!MO68&gt;1),100*(Database!MO71/(Database!MO68)),0.0001)</f>
        <v>1E-4</v>
      </c>
      <c r="FV133" s="99">
        <f>IF(AND(Database!MQ71&gt;1,Database!MQ68&gt;1),100*(Database!MQ71/(Database!MQ68)),0.0001)</f>
        <v>1E-4</v>
      </c>
      <c r="FW133" s="99">
        <f>IF(AND(Database!MS71&gt;1,Database!MS68&gt;1),100*(Database!MS71/(Database!MS68)),0.0001)</f>
        <v>1E-4</v>
      </c>
      <c r="FX133" s="99">
        <f>IF(AND(Database!MU71&gt;1,Database!MU68&gt;1),100*(Database!MU71/(Database!MU68)),0.0001)</f>
        <v>1E-4</v>
      </c>
      <c r="FY133" s="99">
        <f>IF(AND(Database!MW71&gt;1,Database!MW68&gt;1),100*(Database!MW71/(Database!MW68)),0.0001)</f>
        <v>1E-4</v>
      </c>
      <c r="FZ133" s="99">
        <f>IF(AND(Database!MY71&gt;1,Database!MY68&gt;1),100*(Database!MY71/(Database!MY68)),0.0001)</f>
        <v>1E-4</v>
      </c>
      <c r="GA133" s="99">
        <f>IF(AND(Database!NA71&gt;1,Database!NA68&gt;1),100*(Database!NA71/(Database!NA68)),0.0001)</f>
        <v>1E-4</v>
      </c>
      <c r="GB133" s="99">
        <f>IF(AND(Database!NC71&gt;1,Database!NC68&gt;1),100*(Database!NC71/(Database!NC68)),0.0001)</f>
        <v>1E-4</v>
      </c>
      <c r="GC133" s="99">
        <f>IF(AND(Database!NE71&gt;1,Database!NE68&gt;1),100*(Database!NE71/(Database!NE68)),0.0001)</f>
        <v>1E-4</v>
      </c>
      <c r="GD133" s="99">
        <f>IF(AND(Database!NG71&gt;1,Database!NG68&gt;1),100*(Database!NG71/(Database!NG68)),0.0001)</f>
        <v>1E-4</v>
      </c>
      <c r="GE133" s="99">
        <f>IF(AND(Database!NI71&gt;1,Database!NI68&gt;1),100*(Database!NI71/(Database!NI68)),0.0001)</f>
        <v>1E-4</v>
      </c>
      <c r="GF133" s="99">
        <f>IF(AND(Database!NK71&gt;1,Database!NK68&gt;1),100*(Database!NK71/(Database!NK68)),0.0001)</f>
        <v>1E-4</v>
      </c>
      <c r="GG133" s="99">
        <f>IF(AND(Database!NM71&gt;1,Database!NM68&gt;1),100*(Database!NM71/(Database!NM68)),0.0001)</f>
        <v>1E-4</v>
      </c>
      <c r="GH133" s="99">
        <f>IF(AND(Database!NO71&gt;1,Database!NO68&gt;1),100*(Database!NO71/(Database!NO68)),0.0001)</f>
        <v>1E-4</v>
      </c>
      <c r="GI133" s="99">
        <f>IF(AND(Database!NQ71&gt;1,Database!NQ68&gt;1),100*(Database!NQ71/(Database!NQ68)),0.0001)</f>
        <v>1E-4</v>
      </c>
      <c r="GJ133" s="99">
        <f>IF(AND(Database!NS71&gt;1,Database!NS68&gt;1),100*(Database!NS71/(Database!NS68)),0.0001)</f>
        <v>1E-4</v>
      </c>
      <c r="GK133" s="99">
        <f>IF(AND(Database!NU71&gt;1,Database!NU68&gt;1),100*(Database!NU71/(Database!NU68)),0.0001)</f>
        <v>1E-4</v>
      </c>
      <c r="GL133" s="99">
        <f>IF(AND(Database!NW71&gt;1,Database!NW68&gt;1),100*(Database!NW71/(Database!NW68)),0.0001)</f>
        <v>1E-4</v>
      </c>
      <c r="GM133" s="99">
        <f>IF(AND(Database!NY71&gt;1,Database!NY68&gt;1),100*(Database!NY71/(Database!NY68)),0.0001)</f>
        <v>1E-4</v>
      </c>
      <c r="GN133" s="99">
        <f>IF(AND(Database!OA71&gt;1,Database!OA68&gt;1),100*(Database!OA71/(Database!OA68)),0.0001)</f>
        <v>1E-4</v>
      </c>
      <c r="GO133" s="99">
        <f>IF(AND(Database!OC71&gt;1,Database!OC68&gt;1),100*(Database!OC71/(Database!OC68)),0.0001)</f>
        <v>1E-4</v>
      </c>
      <c r="GP133" s="99">
        <f>IF(AND(Database!OE71&gt;1,Database!OE68&gt;1),100*(Database!OE71/(Database!OE68)),0.0001)</f>
        <v>1E-4</v>
      </c>
      <c r="GQ133" s="99">
        <f>IF(AND(Database!OG71&gt;1,Database!OG68&gt;1),100*(Database!OG71/(Database!OG68)),0.0001)</f>
        <v>1E-4</v>
      </c>
      <c r="GR133" s="99">
        <f>IF(AND(Database!OI71&gt;1,Database!OI68&gt;1),100*(Database!OI71/(Database!OI68)),0.0001)</f>
        <v>1E-4</v>
      </c>
      <c r="GS133" s="99">
        <f>IF(AND(Database!OK71&gt;1,Database!OK68&gt;1),100*(Database!OK71/(Database!OK68)),0.0001)</f>
        <v>1E-4</v>
      </c>
      <c r="GT133" s="99">
        <f>IF(AND(Database!OM71&gt;1,Database!OM68&gt;1),100*(Database!OM71/(Database!OM68)),0.0001)</f>
        <v>1E-4</v>
      </c>
    </row>
    <row r="134" spans="1:205" ht="18.75" customHeight="1" x14ac:dyDescent="0.4">
      <c r="A134" s="29" t="s">
        <v>144</v>
      </c>
      <c r="B134" s="306"/>
      <c r="C134" s="99">
        <f>IF(AND(Database!E72&gt;1,Database!E74&gt;1),100*(Database!E72/(Database!E74)),0.0001)</f>
        <v>49.601462367419813</v>
      </c>
      <c r="D134" s="99">
        <f>IF(AND(Database!G72&gt;1,Database!G74&gt;1),100*(Database!G72/(Database!G74)),0.0001)</f>
        <v>47.572577347689794</v>
      </c>
      <c r="E134" s="99">
        <f>IF(AND(Database!I72&gt;1,Database!I74&gt;1),100*(Database!I72/(Database!I74)),0.0001)</f>
        <v>46.585091771756773</v>
      </c>
      <c r="F134" s="99">
        <f>IF(AND(Database!K72&gt;1,Database!K74&gt;1),100*(Database!K72/(Database!K74)),0.0001)</f>
        <v>46.112974974527198</v>
      </c>
      <c r="G134" s="99">
        <f>IF(AND(Database!M72&gt;1,Database!M74&gt;1),100*(Database!M72/(Database!M74)),0.0001)</f>
        <v>1E-4</v>
      </c>
      <c r="H134" s="99">
        <f>IF(AND(Database!O72&gt;1,Database!O74&gt;1),100*(Database!O72/(Database!O74)),0.0001)</f>
        <v>1E-4</v>
      </c>
      <c r="I134" s="99">
        <f>IF(AND(Database!Q72&gt;1,Database!Q74&gt;1),100*(Database!Q72/(Database!Q74)),0.0001)</f>
        <v>1E-4</v>
      </c>
      <c r="J134" s="99">
        <f>IF(AND(Database!S72&gt;1,Database!S74&gt;1),100*(Database!S72/(Database!S74)),0.0001)</f>
        <v>1E-4</v>
      </c>
      <c r="K134" s="99">
        <f>IF(AND(Database!U72&gt;1,Database!U74&gt;1),100*(Database!U72/(Database!U74)),0.0001)</f>
        <v>1E-4</v>
      </c>
      <c r="L134" s="99">
        <f>IF(AND(Database!W72&gt;1,Database!W74&gt;1),100*(Database!W72/(Database!W74)),0.0001)</f>
        <v>1E-4</v>
      </c>
      <c r="M134" s="99">
        <f>IF(AND(Database!Y72&gt;1,Database!Y74&gt;1),100*(Database!Y72/(Database!Y74)),0.0001)</f>
        <v>1E-4</v>
      </c>
      <c r="N134" s="99">
        <f>IF(AND(Database!AA72&gt;1,Database!AA74&gt;1),100*(Database!AA72/(Database!AA74)),0.0001)</f>
        <v>1E-4</v>
      </c>
      <c r="O134" s="99">
        <f>IF(AND(Database!AC72&gt;1,Database!AC74&gt;1),100*(Database!AC72/(Database!AC74)),0.0001)</f>
        <v>1E-4</v>
      </c>
      <c r="P134" s="99">
        <f>IF(AND(Database!AE72&gt;1,Database!AE74&gt;1),100*(Database!AE72/(Database!AE74)),0.0001)</f>
        <v>1E-4</v>
      </c>
      <c r="Q134" s="99">
        <f>IF(AND(Database!AG72&gt;1,Database!AG74&gt;1),100*(Database!AG72/(Database!AG74)),0.0001)</f>
        <v>1E-4</v>
      </c>
      <c r="R134" s="99">
        <f>IF(AND(Database!AI72&gt;1,Database!AI74&gt;1),100*(Database!AI72/(Database!AI74)),0.0001)</f>
        <v>1E-4</v>
      </c>
      <c r="S134" s="99">
        <f>IF(AND(Database!AK72&gt;1,Database!AK74&gt;1),100*(Database!AK72/(Database!AK74)),0.0001)</f>
        <v>1E-4</v>
      </c>
      <c r="T134" s="99">
        <f>IF(AND(Database!AM72&gt;1,Database!AM74&gt;1),100*(Database!AM72/(Database!AM74)),0.0001)</f>
        <v>1E-4</v>
      </c>
      <c r="U134" s="99">
        <f>IF(AND(Database!AO72&gt;1,Database!AO74&gt;1),100*(Database!AO72/(Database!AO74)),0.0001)</f>
        <v>1E-4</v>
      </c>
      <c r="V134" s="99">
        <f>IF(AND(Database!AQ72&gt;1,Database!AQ74&gt;1),100*(Database!AQ72/(Database!AQ74)),0.0001)</f>
        <v>1E-4</v>
      </c>
      <c r="W134" s="99">
        <f>IF(AND(Database!AS72&gt;1,Database!AS74&gt;1),100*(Database!AS72/(Database!AS74)),0.0001)</f>
        <v>1E-4</v>
      </c>
      <c r="X134" s="99">
        <f>IF(AND(Database!AU72&gt;1,Database!AU74&gt;1),100*(Database!AU72/(Database!AU74)),0.0001)</f>
        <v>1E-4</v>
      </c>
      <c r="Y134" s="99">
        <f>IF(AND(Database!AW72&gt;1,Database!AW74&gt;1),100*(Database!AW72/(Database!AW74)),0.0001)</f>
        <v>1E-4</v>
      </c>
      <c r="Z134" s="99">
        <f>IF(AND(Database!AY72&gt;1,Database!AY74&gt;1),100*(Database!AY72/(Database!AY74)),0.0001)</f>
        <v>1E-4</v>
      </c>
      <c r="AA134" s="99">
        <f>IF(AND(Database!BA72&gt;1,Database!BA74&gt;1),100*(Database!BA72/(Database!BA74)),0.0001)</f>
        <v>1E-4</v>
      </c>
      <c r="AB134" s="99">
        <f>IF(AND(Database!BC72&gt;1,Database!BC74&gt;1),100*(Database!BC72/(Database!BC74)),0.0001)</f>
        <v>1E-4</v>
      </c>
      <c r="AC134" s="99">
        <f>IF(AND(Database!BE72&gt;1,Database!BE74&gt;1),100*(Database!BE72/(Database!BE74)),0.0001)</f>
        <v>1E-4</v>
      </c>
      <c r="AD134" s="99">
        <f>IF(AND(Database!BG72&gt;1,Database!BG74&gt;1),100*(Database!BG72/(Database!BG74)),0.0001)</f>
        <v>1E-4</v>
      </c>
      <c r="AE134" s="99">
        <f>IF(AND(Database!BI72&gt;1,Database!BI74&gt;1),100*(Database!BI72/(Database!BI74)),0.0001)</f>
        <v>1E-4</v>
      </c>
      <c r="AF134" s="99">
        <f>IF(AND(Database!BK72&gt;1,Database!BK74&gt;1),100*(Database!BK72/(Database!BK74)),0.0001)</f>
        <v>1E-4</v>
      </c>
      <c r="AG134" s="99">
        <f>IF(AND(Database!BM72&gt;1,Database!BM74&gt;1),100*(Database!BM72/(Database!BM74)),0.0001)</f>
        <v>1E-4</v>
      </c>
      <c r="AH134" s="99">
        <f>IF(AND(Database!BO72&gt;1,Database!BO74&gt;1),100*(Database!BO72/(Database!BO74)),0.0001)</f>
        <v>1E-4</v>
      </c>
      <c r="AI134" s="99">
        <f>IF(AND(Database!BQ72&gt;1,Database!BQ74&gt;1),100*(Database!BQ72/(Database!BQ74)),0.0001)</f>
        <v>1E-4</v>
      </c>
      <c r="AJ134" s="99">
        <f>IF(AND(Database!BS72&gt;1,Database!BS74&gt;1),100*(Database!BS72/(Database!BS74)),0.0001)</f>
        <v>1E-4</v>
      </c>
      <c r="AK134" s="99">
        <f>IF(AND(Database!BU72&gt;1,Database!BU74&gt;1),100*(Database!BU72/(Database!BU74)),0.0001)</f>
        <v>1E-4</v>
      </c>
      <c r="AL134" s="99">
        <f>IF(AND(Database!BW72&gt;1,Database!BW74&gt;1),100*(Database!BW72/(Database!BW74)),0.0001)</f>
        <v>1E-4</v>
      </c>
      <c r="AM134" s="99">
        <f>IF(AND(Database!BY72&gt;1,Database!BY74&gt;1),100*(Database!BY72/(Database!BY74)),0.0001)</f>
        <v>1E-4</v>
      </c>
      <c r="AN134" s="99">
        <f>IF(AND(Database!CA72&gt;1,Database!CA74&gt;1),100*(Database!CA72/(Database!CA74)),0.0001)</f>
        <v>1E-4</v>
      </c>
      <c r="AO134" s="99">
        <f>IF(AND(Database!CC72&gt;1,Database!CC74&gt;1),100*(Database!CC72/(Database!CC74)),0.0001)</f>
        <v>1E-4</v>
      </c>
      <c r="AP134" s="99">
        <f>IF(AND(Database!CE72&gt;1,Database!CE74&gt;1),100*(Database!CE72/(Database!CE74)),0.0001)</f>
        <v>1E-4</v>
      </c>
      <c r="AQ134" s="99">
        <f>IF(AND(Database!CG72&gt;1,Database!CG74&gt;1),100*(Database!CG72/(Database!CG74)),0.0001)</f>
        <v>1E-4</v>
      </c>
      <c r="AR134" s="99">
        <f>IF(AND(Database!CI72&gt;1,Database!CI74&gt;1),100*(Database!CI72/(Database!CI74)),0.0001)</f>
        <v>1E-4</v>
      </c>
      <c r="AS134" s="99">
        <f>IF(AND(Database!CK72&gt;1,Database!CK74&gt;1),100*(Database!CK72/(Database!CK74)),0.0001)</f>
        <v>1E-4</v>
      </c>
      <c r="AT134" s="99">
        <f>IF(AND(Database!CM72&gt;1,Database!CM74&gt;1),100*(Database!CM72/(Database!CM74)),0.0001)</f>
        <v>1E-4</v>
      </c>
      <c r="AU134" s="99">
        <f>IF(AND(Database!CO72&gt;1,Database!CO74&gt;1),100*(Database!CO72/(Database!CO74)),0.0001)</f>
        <v>1E-4</v>
      </c>
      <c r="AV134" s="99">
        <f>IF(AND(Database!CQ72&gt;1,Database!CQ74&gt;1),100*(Database!CQ72/(Database!CQ74)),0.0001)</f>
        <v>1E-4</v>
      </c>
      <c r="AW134" s="99">
        <f>IF(AND(Database!CS72&gt;1,Database!CS74&gt;1),100*(Database!CS72/(Database!CS74)),0.0001)</f>
        <v>1E-4</v>
      </c>
      <c r="AX134" s="99">
        <f>IF(AND(Database!CU72&gt;1,Database!CU74&gt;1),100*(Database!CU72/(Database!CU74)),0.0001)</f>
        <v>1E-4</v>
      </c>
      <c r="AY134" s="99">
        <f>IF(AND(Database!CW72&gt;1,Database!CW74&gt;1),100*(Database!CW72/(Database!CW74)),0.0001)</f>
        <v>1E-4</v>
      </c>
      <c r="AZ134" s="99">
        <f>IF(AND(Database!CY72&gt;1,Database!CY74&gt;1),100*(Database!CY72/(Database!CY74)),0.0001)</f>
        <v>1E-4</v>
      </c>
      <c r="BA134" s="99">
        <f>IF(AND(Database!DA72&gt;1,Database!DA74&gt;1),100*(Database!DA72/(Database!DA74)),0.0001)</f>
        <v>1E-4</v>
      </c>
      <c r="BB134" s="99">
        <f>IF(AND(Database!DC72&gt;1,Database!DC74&gt;1),100*(Database!DC72/(Database!DC74)),0.0001)</f>
        <v>1E-4</v>
      </c>
      <c r="BC134" s="99">
        <f>IF(AND(Database!DE72&gt;1,Database!DE74&gt;1),100*(Database!DE72/(Database!DE74)),0.0001)</f>
        <v>1E-4</v>
      </c>
      <c r="BD134" s="99">
        <f>IF(AND(Database!DG72&gt;1,Database!DG74&gt;1),100*(Database!DG72/(Database!DG74)),0.0001)</f>
        <v>1E-4</v>
      </c>
      <c r="BE134" s="99">
        <f>IF(AND(Database!DI72&gt;1,Database!DI74&gt;1),100*(Database!DI72/(Database!DI74)),0.0001)</f>
        <v>1E-4</v>
      </c>
      <c r="BF134" s="99">
        <f>IF(AND(Database!DK72&gt;1,Database!DK74&gt;1),100*(Database!DK72/(Database!DK74)),0.0001)</f>
        <v>1E-4</v>
      </c>
      <c r="BG134" s="99">
        <f>IF(AND(Database!DM72&gt;1,Database!DM74&gt;1),100*(Database!DM72/(Database!DM74)),0.0001)</f>
        <v>1E-4</v>
      </c>
      <c r="BH134" s="99">
        <f>IF(AND(Database!DO72&gt;1,Database!DO74&gt;1),100*(Database!DO72/(Database!DO74)),0.0001)</f>
        <v>1E-4</v>
      </c>
      <c r="BI134" s="99">
        <f>IF(AND(Database!DQ72&gt;1,Database!DQ74&gt;1),100*(Database!DQ72/(Database!DQ74)),0.0001)</f>
        <v>1E-4</v>
      </c>
      <c r="BJ134" s="99">
        <f>IF(AND(Database!DS72&gt;1,Database!DS74&gt;1),100*(Database!DS72/(Database!DS74)),0.0001)</f>
        <v>1E-4</v>
      </c>
      <c r="BK134" s="99">
        <f>IF(AND(Database!DU72&gt;1,Database!DU74&gt;1),100*(Database!DU72/(Database!DU74)),0.0001)</f>
        <v>1E-4</v>
      </c>
      <c r="BL134" s="99">
        <f>IF(AND(Database!DW72&gt;1,Database!DW74&gt;1),100*(Database!DW72/(Database!DW74)),0.0001)</f>
        <v>1E-4</v>
      </c>
      <c r="BM134" s="99">
        <f>IF(AND(Database!DY72&gt;1,Database!DY74&gt;1),100*(Database!DY72/(Database!DY74)),0.0001)</f>
        <v>1E-4</v>
      </c>
      <c r="BN134" s="99">
        <f>IF(AND(Database!EA72&gt;1,Database!EA74&gt;1),100*(Database!EA72/(Database!EA74)),0.0001)</f>
        <v>1E-4</v>
      </c>
      <c r="BO134" s="99">
        <f>IF(AND(Database!EC72&gt;1,Database!EC74&gt;1),100*(Database!EC72/(Database!EC74)),0.0001)</f>
        <v>1E-4</v>
      </c>
      <c r="BP134" s="99">
        <f>IF(AND(Database!EE72&gt;1,Database!EE74&gt;1),100*(Database!EE72/(Database!EE74)),0.0001)</f>
        <v>1E-4</v>
      </c>
      <c r="BQ134" s="99">
        <f>IF(AND(Database!EG72&gt;1,Database!EG74&gt;1),100*(Database!EG72/(Database!EG74)),0.0001)</f>
        <v>1E-4</v>
      </c>
      <c r="BR134" s="99">
        <f>IF(AND(Database!EI72&gt;1,Database!EI74&gt;1),100*(Database!EI72/(Database!EI74)),0.0001)</f>
        <v>1E-4</v>
      </c>
      <c r="BS134" s="99">
        <f>IF(AND(Database!EK72&gt;1,Database!EK74&gt;1),100*(Database!EK72/(Database!EK74)),0.0001)</f>
        <v>1E-4</v>
      </c>
      <c r="BT134" s="99">
        <f>IF(AND(Database!EM72&gt;1,Database!EM74&gt;1),100*(Database!EM72/(Database!EM74)),0.0001)</f>
        <v>1E-4</v>
      </c>
      <c r="BU134" s="99">
        <f>IF(AND(Database!EO72&gt;1,Database!EO74&gt;1),100*(Database!EO72/(Database!EO74)),0.0001)</f>
        <v>1E-4</v>
      </c>
      <c r="BV134" s="99">
        <f>IF(AND(Database!EQ72&gt;1,Database!EQ74&gt;1),100*(Database!EQ72/(Database!EQ74)),0.0001)</f>
        <v>1E-4</v>
      </c>
      <c r="BW134" s="99">
        <f>IF(AND(Database!ES72&gt;1,Database!ES74&gt;1),100*(Database!ES72/(Database!ES74)),0.0001)</f>
        <v>1E-4</v>
      </c>
      <c r="BX134" s="99">
        <f>IF(AND(Database!EU72&gt;1,Database!EU74&gt;1),100*(Database!EU72/(Database!EU74)),0.0001)</f>
        <v>1E-4</v>
      </c>
      <c r="BY134" s="99">
        <f>IF(AND(Database!EW72&gt;1,Database!EW74&gt;1),100*(Database!EW72/(Database!EW74)),0.0001)</f>
        <v>1E-4</v>
      </c>
      <c r="BZ134" s="99">
        <f>IF(AND(Database!EY72&gt;1,Database!EY74&gt;1),100*(Database!EY72/(Database!EY74)),0.0001)</f>
        <v>1E-4</v>
      </c>
      <c r="CA134" s="99">
        <f>IF(AND(Database!FA72&gt;1,Database!FA74&gt;1),100*(Database!FA72/(Database!FA74)),0.0001)</f>
        <v>1E-4</v>
      </c>
      <c r="CB134" s="99">
        <f>IF(AND(Database!FC72&gt;1,Database!FC74&gt;1),100*(Database!FC72/(Database!FC74)),0.0001)</f>
        <v>1E-4</v>
      </c>
      <c r="CC134" s="99">
        <f>IF(AND(Database!FE72&gt;1,Database!FE74&gt;1),100*(Database!FE72/(Database!FE74)),0.0001)</f>
        <v>1E-4</v>
      </c>
      <c r="CD134" s="99">
        <f>IF(AND(Database!FG72&gt;1,Database!FG74&gt;1),100*(Database!FG72/(Database!FG74)),0.0001)</f>
        <v>1E-4</v>
      </c>
      <c r="CE134" s="99">
        <f>IF(AND(Database!FI72&gt;1,Database!FI74&gt;1),100*(Database!FI72/(Database!FI74)),0.0001)</f>
        <v>1E-4</v>
      </c>
      <c r="CF134" s="99">
        <f>IF(AND(Database!FK72&gt;1,Database!FK74&gt;1),100*(Database!FK72/(Database!FK74)),0.0001)</f>
        <v>1E-4</v>
      </c>
      <c r="CG134" s="99">
        <f>IF(AND(Database!FM72&gt;1,Database!FM74&gt;1),100*(Database!FM72/(Database!FM74)),0.0001)</f>
        <v>1E-4</v>
      </c>
      <c r="CH134" s="99">
        <f>IF(AND(Database!FO72&gt;1,Database!FO74&gt;1),100*(Database!FO72/(Database!FO74)),0.0001)</f>
        <v>1E-4</v>
      </c>
      <c r="CI134" s="99">
        <f>IF(AND(Database!FQ72&gt;1,Database!FQ74&gt;1),100*(Database!FQ72/(Database!FQ74)),0.0001)</f>
        <v>1E-4</v>
      </c>
      <c r="CJ134" s="99">
        <f>IF(AND(Database!FS72&gt;1,Database!FS74&gt;1),100*(Database!FS72/(Database!FS74)),0.0001)</f>
        <v>1E-4</v>
      </c>
      <c r="CK134" s="99">
        <f>IF(AND(Database!FU72&gt;1,Database!FU74&gt;1),100*(Database!FU72/(Database!FU74)),0.0001)</f>
        <v>1E-4</v>
      </c>
      <c r="CL134" s="99">
        <f>IF(AND(Database!FW72&gt;1,Database!FW74&gt;1),100*(Database!FW72/(Database!FW74)),0.0001)</f>
        <v>1E-4</v>
      </c>
      <c r="CM134" s="99">
        <f>IF(AND(Database!FY72&gt;1,Database!FY74&gt;1),100*(Database!FY72/(Database!FY74)),0.0001)</f>
        <v>1E-4</v>
      </c>
      <c r="CN134" s="99">
        <f>IF(AND(Database!GA72&gt;1,Database!GA74&gt;1),100*(Database!GA72/(Database!GA74)),0.0001)</f>
        <v>1E-4</v>
      </c>
      <c r="CO134" s="99">
        <f>IF(AND(Database!GC72&gt;1,Database!GC74&gt;1),100*(Database!GC72/(Database!GC74)),0.0001)</f>
        <v>1E-4</v>
      </c>
      <c r="CP134" s="99">
        <f>IF(AND(Database!GE72&gt;1,Database!GE74&gt;1),100*(Database!GE72/(Database!GE74)),0.0001)</f>
        <v>1E-4</v>
      </c>
      <c r="CQ134" s="99">
        <f>IF(AND(Database!GG72&gt;1,Database!GG74&gt;1),100*(Database!GG72/(Database!GG74)),0.0001)</f>
        <v>1E-4</v>
      </c>
      <c r="CR134" s="99">
        <f>IF(AND(Database!GI72&gt;1,Database!GI74&gt;1),100*(Database!GI72/(Database!GI74)),0.0001)</f>
        <v>1E-4</v>
      </c>
      <c r="CS134" s="99">
        <f>IF(AND(Database!GK72&gt;1,Database!GK74&gt;1),100*(Database!GK72/(Database!GK74)),0.0001)</f>
        <v>1E-4</v>
      </c>
      <c r="CT134" s="99">
        <f>IF(AND(Database!GM72&gt;1,Database!GM74&gt;1),100*(Database!GM72/(Database!GM74)),0.0001)</f>
        <v>1E-4</v>
      </c>
      <c r="CU134" s="99">
        <f>IF(AND(Database!GO72&gt;1,Database!GO74&gt;1),100*(Database!GO72/(Database!GO74)),0.0001)</f>
        <v>1E-4</v>
      </c>
      <c r="CV134" s="99">
        <f>IF(AND(Database!GQ72&gt;1,Database!GQ74&gt;1),100*(Database!GQ72/(Database!GQ74)),0.0001)</f>
        <v>1E-4</v>
      </c>
      <c r="CW134" s="99">
        <f>IF(AND(Database!GS72&gt;1,Database!GS74&gt;1),100*(Database!GS72/(Database!GS74)),0.0001)</f>
        <v>1E-4</v>
      </c>
      <c r="CX134" s="99">
        <f>IF(AND(Database!GU72&gt;1,Database!GU74&gt;1),100*(Database!GU72/(Database!GU74)),0.0001)</f>
        <v>1E-4</v>
      </c>
      <c r="CY134" s="99">
        <f>IF(AND(Database!GW72&gt;1,Database!GW74&gt;1),100*(Database!GW72/(Database!GW74)),0.0001)</f>
        <v>1E-4</v>
      </c>
      <c r="CZ134" s="99">
        <f>IF(AND(Database!GY72&gt;1,Database!GY74&gt;1),100*(Database!GY72/(Database!GY74)),0.0001)</f>
        <v>1E-4</v>
      </c>
      <c r="DA134" s="99">
        <f>IF(AND(Database!HA72&gt;1,Database!HA74&gt;1),100*(Database!HA72/(Database!HA74)),0.0001)</f>
        <v>1E-4</v>
      </c>
      <c r="DB134" s="99">
        <f>IF(AND(Database!HC72&gt;1,Database!HC74&gt;1),100*(Database!HC72/(Database!HC74)),0.0001)</f>
        <v>1E-4</v>
      </c>
      <c r="DC134" s="99">
        <f>IF(AND(Database!HE72&gt;1,Database!HE74&gt;1),100*(Database!HE72/(Database!HE74)),0.0001)</f>
        <v>1E-4</v>
      </c>
      <c r="DD134" s="99">
        <f>IF(AND(Database!HG72&gt;1,Database!HG74&gt;1),100*(Database!HG72/(Database!HG74)),0.0001)</f>
        <v>1E-4</v>
      </c>
      <c r="DE134" s="99">
        <f>IF(AND(Database!HI72&gt;1,Database!HI74&gt;1),100*(Database!HI72/(Database!HI74)),0.0001)</f>
        <v>1E-4</v>
      </c>
      <c r="DF134" s="99">
        <f>IF(AND(Database!HK72&gt;1,Database!HK74&gt;1),100*(Database!HK72/(Database!HK74)),0.0001)</f>
        <v>1E-4</v>
      </c>
      <c r="DG134" s="99">
        <f>IF(AND(Database!HM72&gt;1,Database!HM74&gt;1),100*(Database!HM72/(Database!HM74)),0.0001)</f>
        <v>1E-4</v>
      </c>
      <c r="DH134" s="99">
        <f>IF(AND(Database!HO72&gt;1,Database!HO74&gt;1),100*(Database!HO72/(Database!HO74)),0.0001)</f>
        <v>1E-4</v>
      </c>
      <c r="DI134" s="99">
        <f>IF(AND(Database!HQ72&gt;1,Database!HQ74&gt;1),100*(Database!HQ72/(Database!HQ74)),0.0001)</f>
        <v>1E-4</v>
      </c>
      <c r="DJ134" s="99">
        <f>IF(AND(Database!HS72&gt;1,Database!HS74&gt;1),100*(Database!HS72/(Database!HS74)),0.0001)</f>
        <v>1E-4</v>
      </c>
      <c r="DK134" s="99">
        <f>IF(AND(Database!HU72&gt;1,Database!HU74&gt;1),100*(Database!HU72/(Database!HU74)),0.0001)</f>
        <v>1E-4</v>
      </c>
      <c r="DL134" s="99">
        <f>IF(AND(Database!HW72&gt;1,Database!HW74&gt;1),100*(Database!HW72/(Database!HW74)),0.0001)</f>
        <v>1E-4</v>
      </c>
      <c r="DM134" s="99">
        <f>IF(AND(Database!HY72&gt;1,Database!HY74&gt;1),100*(Database!HY72/(Database!HY74)),0.0001)</f>
        <v>1E-4</v>
      </c>
      <c r="DN134" s="99">
        <f>IF(AND(Database!IA72&gt;1,Database!IA74&gt;1),100*(Database!IA72/(Database!IA74)),0.0001)</f>
        <v>1E-4</v>
      </c>
      <c r="DO134" s="99">
        <f>IF(AND(Database!IC72&gt;1,Database!IC74&gt;1),100*(Database!IC72/(Database!IC74)),0.0001)</f>
        <v>1E-4</v>
      </c>
      <c r="DP134" s="99">
        <f>IF(AND(Database!IE72&gt;1,Database!IE74&gt;1),100*(Database!IE72/(Database!IE74)),0.0001)</f>
        <v>1E-4</v>
      </c>
      <c r="DQ134" s="99">
        <f>IF(AND(Database!IG72&gt;1,Database!IG74&gt;1),100*(Database!IG72/(Database!IG74)),0.0001)</f>
        <v>1E-4</v>
      </c>
      <c r="DR134" s="99">
        <f>IF(AND(Database!II72&gt;1,Database!II74&gt;1),100*(Database!II72/(Database!II74)),0.0001)</f>
        <v>1E-4</v>
      </c>
      <c r="DS134" s="99">
        <f>IF(AND(Database!IK72&gt;1,Database!IK74&gt;1),100*(Database!IK72/(Database!IK74)),0.0001)</f>
        <v>1E-4</v>
      </c>
      <c r="DT134" s="99">
        <f>IF(AND(Database!IM72&gt;1,Database!IM74&gt;1),100*(Database!IM72/(Database!IM74)),0.0001)</f>
        <v>1E-4</v>
      </c>
      <c r="DU134" s="99">
        <f>IF(AND(Database!IO72&gt;1,Database!IO74&gt;1),100*(Database!IO72/(Database!IO74)),0.0001)</f>
        <v>1E-4</v>
      </c>
      <c r="DV134" s="99">
        <f>IF(AND(Database!IQ72&gt;1,Database!IQ74&gt;1),100*(Database!IQ72/(Database!IQ74)),0.0001)</f>
        <v>1E-4</v>
      </c>
      <c r="DW134" s="99">
        <f>IF(AND(Database!IS72&gt;1,Database!IS74&gt;1),100*(Database!IS72/(Database!IS74)),0.0001)</f>
        <v>1E-4</v>
      </c>
      <c r="DX134" s="99">
        <f>IF(AND(Database!IU72&gt;1,Database!IU74&gt;1),100*(Database!IU72/(Database!IU74)),0.0001)</f>
        <v>1E-4</v>
      </c>
      <c r="DY134" s="99">
        <f>IF(AND(Database!IW72&gt;1,Database!IW74&gt;1),100*(Database!IW72/(Database!IW74)),0.0001)</f>
        <v>1E-4</v>
      </c>
      <c r="DZ134" s="99">
        <f>IF(AND(Database!IY72&gt;1,Database!IY74&gt;1),100*(Database!IY72/(Database!IY74)),0.0001)</f>
        <v>1E-4</v>
      </c>
      <c r="EA134" s="99">
        <f>IF(AND(Database!JA72&gt;1,Database!JA74&gt;1),100*(Database!JA72/(Database!JA74)),0.0001)</f>
        <v>1E-4</v>
      </c>
      <c r="EB134" s="99">
        <f>IF(AND(Database!JC72&gt;1,Database!JC74&gt;1),100*(Database!JC72/(Database!JC74)),0.0001)</f>
        <v>1E-4</v>
      </c>
      <c r="EC134" s="99">
        <f>IF(AND(Database!JE72&gt;1,Database!JE74&gt;1),100*(Database!JE72/(Database!JE74)),0.0001)</f>
        <v>1E-4</v>
      </c>
      <c r="ED134" s="99">
        <f>IF(AND(Database!JG72&gt;1,Database!JG74&gt;1),100*(Database!JG72/(Database!JG74)),0.0001)</f>
        <v>1E-4</v>
      </c>
      <c r="EE134" s="99">
        <f>IF(AND(Database!JI72&gt;1,Database!JI74&gt;1),100*(Database!JI72/(Database!JI74)),0.0001)</f>
        <v>1E-4</v>
      </c>
      <c r="EF134" s="99">
        <f>IF(AND(Database!JK72&gt;1,Database!JK74&gt;1),100*(Database!JK72/(Database!JK74)),0.0001)</f>
        <v>1E-4</v>
      </c>
      <c r="EG134" s="99">
        <f>IF(AND(Database!JM72&gt;1,Database!JM74&gt;1),100*(Database!JM72/(Database!JM74)),0.0001)</f>
        <v>1E-4</v>
      </c>
      <c r="EH134" s="99">
        <f>IF(AND(Database!JO72&gt;1,Database!JO74&gt;1),100*(Database!JO72/(Database!JO74)),0.0001)</f>
        <v>1E-4</v>
      </c>
      <c r="EI134" s="99">
        <f>IF(AND(Database!JQ72&gt;1,Database!JQ74&gt;1),100*(Database!JQ72/(Database!JQ74)),0.0001)</f>
        <v>1E-4</v>
      </c>
      <c r="EJ134" s="99">
        <f>IF(AND(Database!JS72&gt;1,Database!JS74&gt;1),100*(Database!JS72/(Database!JS74)),0.0001)</f>
        <v>1E-4</v>
      </c>
      <c r="EK134" s="99">
        <f>IF(AND(Database!JU72&gt;1,Database!JU74&gt;1),100*(Database!JU72/(Database!JU74)),0.0001)</f>
        <v>1E-4</v>
      </c>
      <c r="EL134" s="99">
        <f>IF(AND(Database!JW72&gt;1,Database!JW74&gt;1),100*(Database!JW72/(Database!JW74)),0.0001)</f>
        <v>1E-4</v>
      </c>
      <c r="EM134" s="99">
        <f>IF(AND(Database!JY72&gt;1,Database!JY74&gt;1),100*(Database!JY72/(Database!JY74)),0.0001)</f>
        <v>1E-4</v>
      </c>
      <c r="EN134" s="99">
        <f>IF(AND(Database!KA72&gt;1,Database!KA74&gt;1),100*(Database!KA72/(Database!KA74)),0.0001)</f>
        <v>1E-4</v>
      </c>
      <c r="EO134" s="99">
        <f>IF(AND(Database!KC72&gt;1,Database!KC74&gt;1),100*(Database!KC72/(Database!KC74)),0.0001)</f>
        <v>1E-4</v>
      </c>
      <c r="EP134" s="99">
        <f>IF(AND(Database!KE72&gt;1,Database!KE74&gt;1),100*(Database!KE72/(Database!KE74)),0.0001)</f>
        <v>1E-4</v>
      </c>
      <c r="EQ134" s="99">
        <f>IF(AND(Database!KG72&gt;1,Database!KG74&gt;1),100*(Database!KG72/(Database!KG74)),0.0001)</f>
        <v>1E-4</v>
      </c>
      <c r="ER134" s="99">
        <f>IF(AND(Database!KI72&gt;1,Database!KI74&gt;1),100*(Database!KI72/(Database!KI74)),0.0001)</f>
        <v>1E-4</v>
      </c>
      <c r="ES134" s="99">
        <f>IF(AND(Database!KK72&gt;1,Database!KK74&gt;1),100*(Database!KK72/(Database!KK74)),0.0001)</f>
        <v>1E-4</v>
      </c>
      <c r="ET134" s="99">
        <f>IF(AND(Database!KM72&gt;1,Database!KM74&gt;1),100*(Database!KM72/(Database!KM74)),0.0001)</f>
        <v>1E-4</v>
      </c>
      <c r="EU134" s="99">
        <f>IF(AND(Database!KO72&gt;1,Database!KO74&gt;1),100*(Database!KO72/(Database!KO74)),0.0001)</f>
        <v>1E-4</v>
      </c>
      <c r="EV134" s="99">
        <f>IF(AND(Database!KQ72&gt;1,Database!KQ74&gt;1),100*(Database!KQ72/(Database!KQ74)),0.0001)</f>
        <v>1E-4</v>
      </c>
      <c r="EW134" s="99">
        <f>IF(AND(Database!KS72&gt;1,Database!KS74&gt;1),100*(Database!KS72/(Database!KS74)),0.0001)</f>
        <v>1E-4</v>
      </c>
      <c r="EX134" s="99">
        <f>IF(AND(Database!KU72&gt;1,Database!KU74&gt;1),100*(Database!KU72/(Database!KU74)),0.0001)</f>
        <v>1E-4</v>
      </c>
      <c r="EY134" s="99">
        <f>IF(AND(Database!KW72&gt;1,Database!KW74&gt;1),100*(Database!KW72/(Database!KW74)),0.0001)</f>
        <v>1E-4</v>
      </c>
      <c r="EZ134" s="99">
        <f>IF(AND(Database!KY72&gt;1,Database!KY74&gt;1),100*(Database!KY72/(Database!KY74)),0.0001)</f>
        <v>1E-4</v>
      </c>
      <c r="FA134" s="99">
        <f>IF(AND(Database!LA72&gt;1,Database!LA74&gt;1),100*(Database!LA72/(Database!LA74)),0.0001)</f>
        <v>1E-4</v>
      </c>
      <c r="FB134" s="99">
        <f>IF(AND(Database!LC72&gt;1,Database!LC74&gt;1),100*(Database!LC72/(Database!LC74)),0.0001)</f>
        <v>1E-4</v>
      </c>
      <c r="FC134" s="99">
        <f>IF(AND(Database!LE72&gt;1,Database!LE74&gt;1),100*(Database!LE72/(Database!LE74)),0.0001)</f>
        <v>1E-4</v>
      </c>
      <c r="FD134" s="99">
        <f>IF(AND(Database!LG72&gt;1,Database!LG74&gt;1),100*(Database!LG72/(Database!LG74)),0.0001)</f>
        <v>1E-4</v>
      </c>
      <c r="FE134" s="99">
        <f>IF(AND(Database!LI72&gt;1,Database!LI74&gt;1),100*(Database!LI72/(Database!LI74)),0.0001)</f>
        <v>1E-4</v>
      </c>
      <c r="FF134" s="99">
        <f>IF(AND(Database!LK72&gt;1,Database!LK74&gt;1),100*(Database!LK72/(Database!LK74)),0.0001)</f>
        <v>1E-4</v>
      </c>
      <c r="FG134" s="99">
        <f>IF(AND(Database!LM72&gt;1,Database!LM74&gt;1),100*(Database!LM72/(Database!LM74)),0.0001)</f>
        <v>1E-4</v>
      </c>
      <c r="FH134" s="99">
        <f>IF(AND(Database!LO72&gt;1,Database!LO74&gt;1),100*(Database!LO72/(Database!LO74)),0.0001)</f>
        <v>1E-4</v>
      </c>
      <c r="FI134" s="99">
        <f>IF(AND(Database!LQ72&gt;1,Database!LQ74&gt;1),100*(Database!LQ72/(Database!LQ74)),0.0001)</f>
        <v>1E-4</v>
      </c>
      <c r="FJ134" s="99">
        <f>IF(AND(Database!LS72&gt;1,Database!LS74&gt;1),100*(Database!LS72/(Database!LS74)),0.0001)</f>
        <v>1E-4</v>
      </c>
      <c r="FK134" s="99">
        <f>IF(AND(Database!LU72&gt;1,Database!LU74&gt;1),100*(Database!LU72/(Database!LU74)),0.0001)</f>
        <v>1E-4</v>
      </c>
      <c r="FL134" s="99">
        <f>IF(AND(Database!LW72&gt;1,Database!LW74&gt;1),100*(Database!LW72/(Database!LW74)),0.0001)</f>
        <v>1E-4</v>
      </c>
      <c r="FM134" s="99">
        <f>IF(AND(Database!LY72&gt;1,Database!LY74&gt;1),100*(Database!LY72/(Database!LY74)),0.0001)</f>
        <v>1E-4</v>
      </c>
      <c r="FN134" s="99">
        <f>IF(AND(Database!MA72&gt;1,Database!MA74&gt;1),100*(Database!MA72/(Database!MA74)),0.0001)</f>
        <v>1E-4</v>
      </c>
      <c r="FO134" s="99">
        <f>IF(AND(Database!MC72&gt;1,Database!MC74&gt;1),100*(Database!MC72/(Database!MC74)),0.0001)</f>
        <v>1E-4</v>
      </c>
      <c r="FP134" s="99">
        <f>IF(AND(Database!ME72&gt;1,Database!ME74&gt;1),100*(Database!ME72/(Database!ME74)),0.0001)</f>
        <v>1E-4</v>
      </c>
      <c r="FQ134" s="99">
        <f>IF(AND(Database!MG72&gt;1,Database!MG74&gt;1),100*(Database!MG72/(Database!MG74)),0.0001)</f>
        <v>1E-4</v>
      </c>
      <c r="FR134" s="99">
        <f>IF(AND(Database!MI72&gt;1,Database!MI74&gt;1),100*(Database!MI72/(Database!MI74)),0.0001)</f>
        <v>1E-4</v>
      </c>
      <c r="FS134" s="99">
        <f>IF(AND(Database!MK72&gt;1,Database!MK74&gt;1),100*(Database!MK72/(Database!MK74)),0.0001)</f>
        <v>1E-4</v>
      </c>
      <c r="FT134" s="99">
        <f>IF(AND(Database!MM72&gt;1,Database!MM74&gt;1),100*(Database!MM72/(Database!MM74)),0.0001)</f>
        <v>1E-4</v>
      </c>
      <c r="FU134" s="99">
        <f>IF(AND(Database!MO72&gt;1,Database!MO74&gt;1),100*(Database!MO72/(Database!MO74)),0.0001)</f>
        <v>1E-4</v>
      </c>
      <c r="FV134" s="99">
        <f>IF(AND(Database!MQ72&gt;1,Database!MQ74&gt;1),100*(Database!MQ72/(Database!MQ74)),0.0001)</f>
        <v>1E-4</v>
      </c>
      <c r="FW134" s="99">
        <f>IF(AND(Database!MS72&gt;1,Database!MS74&gt;1),100*(Database!MS72/(Database!MS74)),0.0001)</f>
        <v>1E-4</v>
      </c>
      <c r="FX134" s="99">
        <f>IF(AND(Database!MU72&gt;1,Database!MU74&gt;1),100*(Database!MU72/(Database!MU74)),0.0001)</f>
        <v>1E-4</v>
      </c>
      <c r="FY134" s="99">
        <f>IF(AND(Database!MW72&gt;1,Database!MW74&gt;1),100*(Database!MW72/(Database!MW74)),0.0001)</f>
        <v>1E-4</v>
      </c>
      <c r="FZ134" s="99">
        <f>IF(AND(Database!MY72&gt;1,Database!MY74&gt;1),100*(Database!MY72/(Database!MY74)),0.0001)</f>
        <v>1E-4</v>
      </c>
      <c r="GA134" s="99">
        <f>IF(AND(Database!NA72&gt;1,Database!NA74&gt;1),100*(Database!NA72/(Database!NA74)),0.0001)</f>
        <v>1E-4</v>
      </c>
      <c r="GB134" s="99">
        <f>IF(AND(Database!NC72&gt;1,Database!NC74&gt;1),100*(Database!NC72/(Database!NC74)),0.0001)</f>
        <v>1E-4</v>
      </c>
      <c r="GC134" s="99">
        <f>IF(AND(Database!NE72&gt;1,Database!NE74&gt;1),100*(Database!NE72/(Database!NE74)),0.0001)</f>
        <v>1E-4</v>
      </c>
      <c r="GD134" s="99">
        <f>IF(AND(Database!NG72&gt;1,Database!NG74&gt;1),100*(Database!NG72/(Database!NG74)),0.0001)</f>
        <v>1E-4</v>
      </c>
      <c r="GE134" s="99">
        <f>IF(AND(Database!NI72&gt;1,Database!NI74&gt;1),100*(Database!NI72/(Database!NI74)),0.0001)</f>
        <v>1E-4</v>
      </c>
      <c r="GF134" s="99">
        <f>IF(AND(Database!NK72&gt;1,Database!NK74&gt;1),100*(Database!NK72/(Database!NK74)),0.0001)</f>
        <v>1E-4</v>
      </c>
      <c r="GG134" s="99">
        <f>IF(AND(Database!NM72&gt;1,Database!NM74&gt;1),100*(Database!NM72/(Database!NM74)),0.0001)</f>
        <v>1E-4</v>
      </c>
      <c r="GH134" s="99">
        <f>IF(AND(Database!NO72&gt;1,Database!NO74&gt;1),100*(Database!NO72/(Database!NO74)),0.0001)</f>
        <v>1E-4</v>
      </c>
      <c r="GI134" s="99">
        <f>IF(AND(Database!NQ72&gt;1,Database!NQ74&gt;1),100*(Database!NQ72/(Database!NQ74)),0.0001)</f>
        <v>1E-4</v>
      </c>
      <c r="GJ134" s="99">
        <f>IF(AND(Database!NS72&gt;1,Database!NS74&gt;1),100*(Database!NS72/(Database!NS74)),0.0001)</f>
        <v>1E-4</v>
      </c>
      <c r="GK134" s="99">
        <f>IF(AND(Database!NU72&gt;1,Database!NU74&gt;1),100*(Database!NU72/(Database!NU74)),0.0001)</f>
        <v>1E-4</v>
      </c>
      <c r="GL134" s="99">
        <f>IF(AND(Database!NW72&gt;1,Database!NW74&gt;1),100*(Database!NW72/(Database!NW74)),0.0001)</f>
        <v>1E-4</v>
      </c>
      <c r="GM134" s="99">
        <f>IF(AND(Database!NY72&gt;1,Database!NY74&gt;1),100*(Database!NY72/(Database!NY74)),0.0001)</f>
        <v>1E-4</v>
      </c>
      <c r="GN134" s="99">
        <f>IF(AND(Database!OA72&gt;1,Database!OA74&gt;1),100*(Database!OA72/(Database!OA74)),0.0001)</f>
        <v>1E-4</v>
      </c>
      <c r="GO134" s="99">
        <f>IF(AND(Database!OC72&gt;1,Database!OC74&gt;1),100*(Database!OC72/(Database!OC74)),0.0001)</f>
        <v>1E-4</v>
      </c>
      <c r="GP134" s="99">
        <f>IF(AND(Database!OE72&gt;1,Database!OE74&gt;1),100*(Database!OE72/(Database!OE74)),0.0001)</f>
        <v>1E-4</v>
      </c>
      <c r="GQ134" s="99">
        <f>IF(AND(Database!OG72&gt;1,Database!OG74&gt;1),100*(Database!OG72/(Database!OG74)),0.0001)</f>
        <v>1E-4</v>
      </c>
      <c r="GR134" s="99">
        <f>IF(AND(Database!OI72&gt;1,Database!OI74&gt;1),100*(Database!OI72/(Database!OI74)),0.0001)</f>
        <v>1E-4</v>
      </c>
      <c r="GS134" s="99">
        <f>IF(AND(Database!OK72&gt;1,Database!OK74&gt;1),100*(Database!OK72/(Database!OK74)),0.0001)</f>
        <v>1E-4</v>
      </c>
      <c r="GT134" s="99">
        <f>IF(AND(Database!OM72&gt;1,Database!OM74&gt;1),100*(Database!OM72/(Database!OM74)),0.0001)</f>
        <v>1E-4</v>
      </c>
    </row>
    <row r="135" spans="1:205" ht="18.75" customHeight="1" x14ac:dyDescent="0.4">
      <c r="A135" s="29" t="s">
        <v>145</v>
      </c>
      <c r="B135" s="306"/>
      <c r="C135" s="99">
        <f>IF(AND(Database!E73&gt;1,Database!E74&gt;1),100*(Database!E73/(Database!E74)),0.0001)</f>
        <v>7.7766205425779891</v>
      </c>
      <c r="D135" s="99">
        <f>IF(AND(Database!G73&gt;1,Database!G74&gt;1),100*(Database!G73/(Database!G74)),0.0001)</f>
        <v>7.1418836036527198</v>
      </c>
      <c r="E135" s="99">
        <f>IF(AND(Database!I73&gt;1,Database!I74&gt;1),100*(Database!I73/(Database!I74)),0.0001)</f>
        <v>7.9969816565059952</v>
      </c>
      <c r="F135" s="99">
        <f>IF(AND(Database!K73&gt;1,Database!K74&gt;1),100*(Database!K73/(Database!K74)),0.0001)</f>
        <v>7.9022838539725138</v>
      </c>
      <c r="G135" s="99">
        <f>IF(AND(Database!M73&gt;1,Database!M74&gt;1),100*(Database!M73/(Database!M74)),0.0001)</f>
        <v>1E-4</v>
      </c>
      <c r="H135" s="99">
        <f>IF(AND(Database!O73&gt;1,Database!O74&gt;1),100*(Database!O73/(Database!O74)),0.0001)</f>
        <v>1E-4</v>
      </c>
      <c r="I135" s="99">
        <f>IF(AND(Database!Q73&gt;1,Database!Q74&gt;1),100*(Database!Q73/(Database!Q74)),0.0001)</f>
        <v>1E-4</v>
      </c>
      <c r="J135" s="99">
        <f>IF(AND(Database!S73&gt;1,Database!S74&gt;1),100*(Database!S73/(Database!S74)),0.0001)</f>
        <v>1E-4</v>
      </c>
      <c r="K135" s="99">
        <f>IF(AND(Database!U73&gt;1,Database!U74&gt;1),100*(Database!U73/(Database!U74)),0.0001)</f>
        <v>1E-4</v>
      </c>
      <c r="L135" s="99">
        <f>IF(AND(Database!W73&gt;1,Database!W74&gt;1),100*(Database!W73/(Database!W74)),0.0001)</f>
        <v>1E-4</v>
      </c>
      <c r="M135" s="99">
        <f>IF(AND(Database!Y73&gt;1,Database!Y74&gt;1),100*(Database!Y73/(Database!Y74)),0.0001)</f>
        <v>1E-4</v>
      </c>
      <c r="N135" s="99">
        <f>IF(AND(Database!AA73&gt;1,Database!AA74&gt;1),100*(Database!AA73/(Database!AA74)),0.0001)</f>
        <v>1E-4</v>
      </c>
      <c r="O135" s="99">
        <f>IF(AND(Database!AC73&gt;1,Database!AC74&gt;1),100*(Database!AC73/(Database!AC74)),0.0001)</f>
        <v>1E-4</v>
      </c>
      <c r="P135" s="99">
        <f>IF(AND(Database!AE73&gt;1,Database!AE74&gt;1),100*(Database!AE73/(Database!AE74)),0.0001)</f>
        <v>1E-4</v>
      </c>
      <c r="Q135" s="99">
        <f>IF(AND(Database!AG73&gt;1,Database!AG74&gt;1),100*(Database!AG73/(Database!AG74)),0.0001)</f>
        <v>1E-4</v>
      </c>
      <c r="R135" s="99">
        <f>IF(AND(Database!AI73&gt;1,Database!AI74&gt;1),100*(Database!AI73/(Database!AI74)),0.0001)</f>
        <v>1E-4</v>
      </c>
      <c r="S135" s="99">
        <f>IF(AND(Database!AK73&gt;1,Database!AK74&gt;1),100*(Database!AK73/(Database!AK74)),0.0001)</f>
        <v>1E-4</v>
      </c>
      <c r="T135" s="99">
        <f>IF(AND(Database!AM73&gt;1,Database!AM74&gt;1),100*(Database!AM73/(Database!AM74)),0.0001)</f>
        <v>1E-4</v>
      </c>
      <c r="U135" s="99">
        <f>IF(AND(Database!AO73&gt;1,Database!AO74&gt;1),100*(Database!AO73/(Database!AO74)),0.0001)</f>
        <v>1E-4</v>
      </c>
      <c r="V135" s="99">
        <f>IF(AND(Database!AQ73&gt;1,Database!AQ74&gt;1),100*(Database!AQ73/(Database!AQ74)),0.0001)</f>
        <v>1E-4</v>
      </c>
      <c r="W135" s="99">
        <f>IF(AND(Database!AS73&gt;1,Database!AS74&gt;1),100*(Database!AS73/(Database!AS74)),0.0001)</f>
        <v>1E-4</v>
      </c>
      <c r="X135" s="99">
        <f>IF(AND(Database!AU73&gt;1,Database!AU74&gt;1),100*(Database!AU73/(Database!AU74)),0.0001)</f>
        <v>1E-4</v>
      </c>
      <c r="Y135" s="99">
        <f>IF(AND(Database!AW73&gt;1,Database!AW74&gt;1),100*(Database!AW73/(Database!AW74)),0.0001)</f>
        <v>1E-4</v>
      </c>
      <c r="Z135" s="99">
        <f>IF(AND(Database!AY73&gt;1,Database!AY74&gt;1),100*(Database!AY73/(Database!AY74)),0.0001)</f>
        <v>1E-4</v>
      </c>
      <c r="AA135" s="99">
        <f>IF(AND(Database!BA73&gt;1,Database!BA74&gt;1),100*(Database!BA73/(Database!BA74)),0.0001)</f>
        <v>1E-4</v>
      </c>
      <c r="AB135" s="99">
        <f>IF(AND(Database!BC73&gt;1,Database!BC74&gt;1),100*(Database!BC73/(Database!BC74)),0.0001)</f>
        <v>1E-4</v>
      </c>
      <c r="AC135" s="99">
        <f>IF(AND(Database!BE73&gt;1,Database!BE74&gt;1),100*(Database!BE73/(Database!BE74)),0.0001)</f>
        <v>1E-4</v>
      </c>
      <c r="AD135" s="99">
        <f>IF(AND(Database!BG73&gt;1,Database!BG74&gt;1),100*(Database!BG73/(Database!BG74)),0.0001)</f>
        <v>1E-4</v>
      </c>
      <c r="AE135" s="99">
        <f>IF(AND(Database!BI73&gt;1,Database!BI74&gt;1),100*(Database!BI73/(Database!BI74)),0.0001)</f>
        <v>1E-4</v>
      </c>
      <c r="AF135" s="99">
        <f>IF(AND(Database!BK73&gt;1,Database!BK74&gt;1),100*(Database!BK73/(Database!BK74)),0.0001)</f>
        <v>1E-4</v>
      </c>
      <c r="AG135" s="99">
        <f>IF(AND(Database!BM73&gt;1,Database!BM74&gt;1),100*(Database!BM73/(Database!BM74)),0.0001)</f>
        <v>1E-4</v>
      </c>
      <c r="AH135" s="99">
        <f>IF(AND(Database!BO73&gt;1,Database!BO74&gt;1),100*(Database!BO73/(Database!BO74)),0.0001)</f>
        <v>1E-4</v>
      </c>
      <c r="AI135" s="99">
        <f>IF(AND(Database!BQ73&gt;1,Database!BQ74&gt;1),100*(Database!BQ73/(Database!BQ74)),0.0001)</f>
        <v>1E-4</v>
      </c>
      <c r="AJ135" s="99">
        <f>IF(AND(Database!BS73&gt;1,Database!BS74&gt;1),100*(Database!BS73/(Database!BS74)),0.0001)</f>
        <v>1E-4</v>
      </c>
      <c r="AK135" s="99">
        <f>IF(AND(Database!BU73&gt;1,Database!BU74&gt;1),100*(Database!BU73/(Database!BU74)),0.0001)</f>
        <v>1E-4</v>
      </c>
      <c r="AL135" s="99">
        <f>IF(AND(Database!BW73&gt;1,Database!BW74&gt;1),100*(Database!BW73/(Database!BW74)),0.0001)</f>
        <v>1E-4</v>
      </c>
      <c r="AM135" s="99">
        <f>IF(AND(Database!BY73&gt;1,Database!BY74&gt;1),100*(Database!BY73/(Database!BY74)),0.0001)</f>
        <v>1E-4</v>
      </c>
      <c r="AN135" s="99">
        <f>IF(AND(Database!CA73&gt;1,Database!CA74&gt;1),100*(Database!CA73/(Database!CA74)),0.0001)</f>
        <v>1E-4</v>
      </c>
      <c r="AO135" s="99">
        <f>IF(AND(Database!CC73&gt;1,Database!CC74&gt;1),100*(Database!CC73/(Database!CC74)),0.0001)</f>
        <v>1E-4</v>
      </c>
      <c r="AP135" s="99">
        <f>IF(AND(Database!CE73&gt;1,Database!CE74&gt;1),100*(Database!CE73/(Database!CE74)),0.0001)</f>
        <v>1E-4</v>
      </c>
      <c r="AQ135" s="99">
        <f>IF(AND(Database!CG73&gt;1,Database!CG74&gt;1),100*(Database!CG73/(Database!CG74)),0.0001)</f>
        <v>1E-4</v>
      </c>
      <c r="AR135" s="99">
        <f>IF(AND(Database!CI73&gt;1,Database!CI74&gt;1),100*(Database!CI73/(Database!CI74)),0.0001)</f>
        <v>1E-4</v>
      </c>
      <c r="AS135" s="99">
        <f>IF(AND(Database!CK73&gt;1,Database!CK74&gt;1),100*(Database!CK73/(Database!CK74)),0.0001)</f>
        <v>1E-4</v>
      </c>
      <c r="AT135" s="99">
        <f>IF(AND(Database!CM73&gt;1,Database!CM74&gt;1),100*(Database!CM73/(Database!CM74)),0.0001)</f>
        <v>1E-4</v>
      </c>
      <c r="AU135" s="99">
        <f>IF(AND(Database!CO73&gt;1,Database!CO74&gt;1),100*(Database!CO73/(Database!CO74)),0.0001)</f>
        <v>1E-4</v>
      </c>
      <c r="AV135" s="99">
        <f>IF(AND(Database!CQ73&gt;1,Database!CQ74&gt;1),100*(Database!CQ73/(Database!CQ74)),0.0001)</f>
        <v>1E-4</v>
      </c>
      <c r="AW135" s="99">
        <f>IF(AND(Database!CS73&gt;1,Database!CS74&gt;1),100*(Database!CS73/(Database!CS74)),0.0001)</f>
        <v>1E-4</v>
      </c>
      <c r="AX135" s="99">
        <f>IF(AND(Database!CU73&gt;1,Database!CU74&gt;1),100*(Database!CU73/(Database!CU74)),0.0001)</f>
        <v>1E-4</v>
      </c>
      <c r="AY135" s="99">
        <f>IF(AND(Database!CW73&gt;1,Database!CW74&gt;1),100*(Database!CW73/(Database!CW74)),0.0001)</f>
        <v>1E-4</v>
      </c>
      <c r="AZ135" s="99">
        <f>IF(AND(Database!CY73&gt;1,Database!CY74&gt;1),100*(Database!CY73/(Database!CY74)),0.0001)</f>
        <v>1E-4</v>
      </c>
      <c r="BA135" s="99">
        <f>IF(AND(Database!DA73&gt;1,Database!DA74&gt;1),100*(Database!DA73/(Database!DA74)),0.0001)</f>
        <v>1E-4</v>
      </c>
      <c r="BB135" s="99">
        <f>IF(AND(Database!DC73&gt;1,Database!DC74&gt;1),100*(Database!DC73/(Database!DC74)),0.0001)</f>
        <v>1E-4</v>
      </c>
      <c r="BC135" s="99">
        <f>IF(AND(Database!DE73&gt;1,Database!DE74&gt;1),100*(Database!DE73/(Database!DE74)),0.0001)</f>
        <v>1E-4</v>
      </c>
      <c r="BD135" s="99">
        <f>IF(AND(Database!DG73&gt;1,Database!DG74&gt;1),100*(Database!DG73/(Database!DG74)),0.0001)</f>
        <v>1E-4</v>
      </c>
      <c r="BE135" s="99">
        <f>IF(AND(Database!DI73&gt;1,Database!DI74&gt;1),100*(Database!DI73/(Database!DI74)),0.0001)</f>
        <v>1E-4</v>
      </c>
      <c r="BF135" s="99">
        <f>IF(AND(Database!DK73&gt;1,Database!DK74&gt;1),100*(Database!DK73/(Database!DK74)),0.0001)</f>
        <v>1E-4</v>
      </c>
      <c r="BG135" s="99">
        <f>IF(AND(Database!DM73&gt;1,Database!DM74&gt;1),100*(Database!DM73/(Database!DM74)),0.0001)</f>
        <v>1E-4</v>
      </c>
      <c r="BH135" s="99">
        <f>IF(AND(Database!DO73&gt;1,Database!DO74&gt;1),100*(Database!DO73/(Database!DO74)),0.0001)</f>
        <v>1E-4</v>
      </c>
      <c r="BI135" s="99">
        <f>IF(AND(Database!DQ73&gt;1,Database!DQ74&gt;1),100*(Database!DQ73/(Database!DQ74)),0.0001)</f>
        <v>1E-4</v>
      </c>
      <c r="BJ135" s="99">
        <f>IF(AND(Database!DS73&gt;1,Database!DS74&gt;1),100*(Database!DS73/(Database!DS74)),0.0001)</f>
        <v>1E-4</v>
      </c>
      <c r="BK135" s="99">
        <f>IF(AND(Database!DU73&gt;1,Database!DU74&gt;1),100*(Database!DU73/(Database!DU74)),0.0001)</f>
        <v>1E-4</v>
      </c>
      <c r="BL135" s="99">
        <f>IF(AND(Database!DW73&gt;1,Database!DW74&gt;1),100*(Database!DW73/(Database!DW74)),0.0001)</f>
        <v>1E-4</v>
      </c>
      <c r="BM135" s="99">
        <f>IF(AND(Database!DY73&gt;1,Database!DY74&gt;1),100*(Database!DY73/(Database!DY74)),0.0001)</f>
        <v>1E-4</v>
      </c>
      <c r="BN135" s="99">
        <f>IF(AND(Database!EA73&gt;1,Database!EA74&gt;1),100*(Database!EA73/(Database!EA74)),0.0001)</f>
        <v>1E-4</v>
      </c>
      <c r="BO135" s="99">
        <f>IF(AND(Database!EC73&gt;1,Database!EC74&gt;1),100*(Database!EC73/(Database!EC74)),0.0001)</f>
        <v>1E-4</v>
      </c>
      <c r="BP135" s="99">
        <f>IF(AND(Database!EE73&gt;1,Database!EE74&gt;1),100*(Database!EE73/(Database!EE74)),0.0001)</f>
        <v>1E-4</v>
      </c>
      <c r="BQ135" s="99">
        <f>IF(AND(Database!EG73&gt;1,Database!EG74&gt;1),100*(Database!EG73/(Database!EG74)),0.0001)</f>
        <v>1E-4</v>
      </c>
      <c r="BR135" s="99">
        <f>IF(AND(Database!EI73&gt;1,Database!EI74&gt;1),100*(Database!EI73/(Database!EI74)),0.0001)</f>
        <v>1E-4</v>
      </c>
      <c r="BS135" s="99">
        <f>IF(AND(Database!EK73&gt;1,Database!EK74&gt;1),100*(Database!EK73/(Database!EK74)),0.0001)</f>
        <v>1E-4</v>
      </c>
      <c r="BT135" s="99">
        <f>IF(AND(Database!EM73&gt;1,Database!EM74&gt;1),100*(Database!EM73/(Database!EM74)),0.0001)</f>
        <v>1E-4</v>
      </c>
      <c r="BU135" s="99">
        <f>IF(AND(Database!EO73&gt;1,Database!EO74&gt;1),100*(Database!EO73/(Database!EO74)),0.0001)</f>
        <v>1E-4</v>
      </c>
      <c r="BV135" s="99">
        <f>IF(AND(Database!EQ73&gt;1,Database!EQ74&gt;1),100*(Database!EQ73/(Database!EQ74)),0.0001)</f>
        <v>1E-4</v>
      </c>
      <c r="BW135" s="99">
        <f>IF(AND(Database!ES73&gt;1,Database!ES74&gt;1),100*(Database!ES73/(Database!ES74)),0.0001)</f>
        <v>1E-4</v>
      </c>
      <c r="BX135" s="99">
        <f>IF(AND(Database!EU73&gt;1,Database!EU74&gt;1),100*(Database!EU73/(Database!EU74)),0.0001)</f>
        <v>1E-4</v>
      </c>
      <c r="BY135" s="99">
        <f>IF(AND(Database!EW73&gt;1,Database!EW74&gt;1),100*(Database!EW73/(Database!EW74)),0.0001)</f>
        <v>1E-4</v>
      </c>
      <c r="BZ135" s="99">
        <f>IF(AND(Database!EY73&gt;1,Database!EY74&gt;1),100*(Database!EY73/(Database!EY74)),0.0001)</f>
        <v>1E-4</v>
      </c>
      <c r="CA135" s="99">
        <f>IF(AND(Database!FA73&gt;1,Database!FA74&gt;1),100*(Database!FA73/(Database!FA74)),0.0001)</f>
        <v>1E-4</v>
      </c>
      <c r="CB135" s="99">
        <f>IF(AND(Database!FC73&gt;1,Database!FC74&gt;1),100*(Database!FC73/(Database!FC74)),0.0001)</f>
        <v>1E-4</v>
      </c>
      <c r="CC135" s="99">
        <f>IF(AND(Database!FE73&gt;1,Database!FE74&gt;1),100*(Database!FE73/(Database!FE74)),0.0001)</f>
        <v>1E-4</v>
      </c>
      <c r="CD135" s="99">
        <f>IF(AND(Database!FG73&gt;1,Database!FG74&gt;1),100*(Database!FG73/(Database!FG74)),0.0001)</f>
        <v>1E-4</v>
      </c>
      <c r="CE135" s="99">
        <f>IF(AND(Database!FI73&gt;1,Database!FI74&gt;1),100*(Database!FI73/(Database!FI74)),0.0001)</f>
        <v>1E-4</v>
      </c>
      <c r="CF135" s="99">
        <f>IF(AND(Database!FK73&gt;1,Database!FK74&gt;1),100*(Database!FK73/(Database!FK74)),0.0001)</f>
        <v>1E-4</v>
      </c>
      <c r="CG135" s="99">
        <f>IF(AND(Database!FM73&gt;1,Database!FM74&gt;1),100*(Database!FM73/(Database!FM74)),0.0001)</f>
        <v>1E-4</v>
      </c>
      <c r="CH135" s="99">
        <f>IF(AND(Database!FO73&gt;1,Database!FO74&gt;1),100*(Database!FO73/(Database!FO74)),0.0001)</f>
        <v>1E-4</v>
      </c>
      <c r="CI135" s="99">
        <f>IF(AND(Database!FQ73&gt;1,Database!FQ74&gt;1),100*(Database!FQ73/(Database!FQ74)),0.0001)</f>
        <v>1E-4</v>
      </c>
      <c r="CJ135" s="99">
        <f>IF(AND(Database!FS73&gt;1,Database!FS74&gt;1),100*(Database!FS73/(Database!FS74)),0.0001)</f>
        <v>1E-4</v>
      </c>
      <c r="CK135" s="99">
        <f>IF(AND(Database!FU73&gt;1,Database!FU74&gt;1),100*(Database!FU73/(Database!FU74)),0.0001)</f>
        <v>1E-4</v>
      </c>
      <c r="CL135" s="99">
        <f>IF(AND(Database!FW73&gt;1,Database!FW74&gt;1),100*(Database!FW73/(Database!FW74)),0.0001)</f>
        <v>1E-4</v>
      </c>
      <c r="CM135" s="99">
        <f>IF(AND(Database!FY73&gt;1,Database!FY74&gt;1),100*(Database!FY73/(Database!FY74)),0.0001)</f>
        <v>1E-4</v>
      </c>
      <c r="CN135" s="99">
        <f>IF(AND(Database!GA73&gt;1,Database!GA74&gt;1),100*(Database!GA73/(Database!GA74)),0.0001)</f>
        <v>1E-4</v>
      </c>
      <c r="CO135" s="99">
        <f>IF(AND(Database!GC73&gt;1,Database!GC74&gt;1),100*(Database!GC73/(Database!GC74)),0.0001)</f>
        <v>1E-4</v>
      </c>
      <c r="CP135" s="99">
        <f>IF(AND(Database!GE73&gt;1,Database!GE74&gt;1),100*(Database!GE73/(Database!GE74)),0.0001)</f>
        <v>1E-4</v>
      </c>
      <c r="CQ135" s="99">
        <f>IF(AND(Database!GG73&gt;1,Database!GG74&gt;1),100*(Database!GG73/(Database!GG74)),0.0001)</f>
        <v>1E-4</v>
      </c>
      <c r="CR135" s="99">
        <f>IF(AND(Database!GI73&gt;1,Database!GI74&gt;1),100*(Database!GI73/(Database!GI74)),0.0001)</f>
        <v>1E-4</v>
      </c>
      <c r="CS135" s="99">
        <f>IF(AND(Database!GK73&gt;1,Database!GK74&gt;1),100*(Database!GK73/(Database!GK74)),0.0001)</f>
        <v>1E-4</v>
      </c>
      <c r="CT135" s="99">
        <f>IF(AND(Database!GM73&gt;1,Database!GM74&gt;1),100*(Database!GM73/(Database!GM74)),0.0001)</f>
        <v>1E-4</v>
      </c>
      <c r="CU135" s="99">
        <f>IF(AND(Database!GO73&gt;1,Database!GO74&gt;1),100*(Database!GO73/(Database!GO74)),0.0001)</f>
        <v>1E-4</v>
      </c>
      <c r="CV135" s="99">
        <f>IF(AND(Database!GQ73&gt;1,Database!GQ74&gt;1),100*(Database!GQ73/(Database!GQ74)),0.0001)</f>
        <v>1E-4</v>
      </c>
      <c r="CW135" s="99">
        <f>IF(AND(Database!GS73&gt;1,Database!GS74&gt;1),100*(Database!GS73/(Database!GS74)),0.0001)</f>
        <v>1E-4</v>
      </c>
      <c r="CX135" s="99">
        <f>IF(AND(Database!GU73&gt;1,Database!GU74&gt;1),100*(Database!GU73/(Database!GU74)),0.0001)</f>
        <v>1E-4</v>
      </c>
      <c r="CY135" s="99">
        <f>IF(AND(Database!GW73&gt;1,Database!GW74&gt;1),100*(Database!GW73/(Database!GW74)),0.0001)</f>
        <v>1E-4</v>
      </c>
      <c r="CZ135" s="99">
        <f>IF(AND(Database!GY73&gt;1,Database!GY74&gt;1),100*(Database!GY73/(Database!GY74)),0.0001)</f>
        <v>1E-4</v>
      </c>
      <c r="DA135" s="99">
        <f>IF(AND(Database!HA73&gt;1,Database!HA74&gt;1),100*(Database!HA73/(Database!HA74)),0.0001)</f>
        <v>1E-4</v>
      </c>
      <c r="DB135" s="99">
        <f>IF(AND(Database!HC73&gt;1,Database!HC74&gt;1),100*(Database!HC73/(Database!HC74)),0.0001)</f>
        <v>1E-4</v>
      </c>
      <c r="DC135" s="99">
        <f>IF(AND(Database!HE73&gt;1,Database!HE74&gt;1),100*(Database!HE73/(Database!HE74)),0.0001)</f>
        <v>1E-4</v>
      </c>
      <c r="DD135" s="99">
        <f>IF(AND(Database!HG73&gt;1,Database!HG74&gt;1),100*(Database!HG73/(Database!HG74)),0.0001)</f>
        <v>1E-4</v>
      </c>
      <c r="DE135" s="99">
        <f>IF(AND(Database!HI73&gt;1,Database!HI74&gt;1),100*(Database!HI73/(Database!HI74)),0.0001)</f>
        <v>1E-4</v>
      </c>
      <c r="DF135" s="99">
        <f>IF(AND(Database!HK73&gt;1,Database!HK74&gt;1),100*(Database!HK73/(Database!HK74)),0.0001)</f>
        <v>1E-4</v>
      </c>
      <c r="DG135" s="99">
        <f>IF(AND(Database!HM73&gt;1,Database!HM74&gt;1),100*(Database!HM73/(Database!HM74)),0.0001)</f>
        <v>1E-4</v>
      </c>
      <c r="DH135" s="99">
        <f>IF(AND(Database!HO73&gt;1,Database!HO74&gt;1),100*(Database!HO73/(Database!HO74)),0.0001)</f>
        <v>1E-4</v>
      </c>
      <c r="DI135" s="99">
        <f>IF(AND(Database!HQ73&gt;1,Database!HQ74&gt;1),100*(Database!HQ73/(Database!HQ74)),0.0001)</f>
        <v>1E-4</v>
      </c>
      <c r="DJ135" s="99">
        <f>IF(AND(Database!HS73&gt;1,Database!HS74&gt;1),100*(Database!HS73/(Database!HS74)),0.0001)</f>
        <v>1E-4</v>
      </c>
      <c r="DK135" s="99">
        <f>IF(AND(Database!HU73&gt;1,Database!HU74&gt;1),100*(Database!HU73/(Database!HU74)),0.0001)</f>
        <v>1E-4</v>
      </c>
      <c r="DL135" s="99">
        <f>IF(AND(Database!HW73&gt;1,Database!HW74&gt;1),100*(Database!HW73/(Database!HW74)),0.0001)</f>
        <v>1E-4</v>
      </c>
      <c r="DM135" s="99">
        <f>IF(AND(Database!HY73&gt;1,Database!HY74&gt;1),100*(Database!HY73/(Database!HY74)),0.0001)</f>
        <v>1E-4</v>
      </c>
      <c r="DN135" s="99">
        <f>IF(AND(Database!IA73&gt;1,Database!IA74&gt;1),100*(Database!IA73/(Database!IA74)),0.0001)</f>
        <v>1E-4</v>
      </c>
      <c r="DO135" s="99">
        <f>IF(AND(Database!IC73&gt;1,Database!IC74&gt;1),100*(Database!IC73/(Database!IC74)),0.0001)</f>
        <v>1E-4</v>
      </c>
      <c r="DP135" s="99">
        <f>IF(AND(Database!IE73&gt;1,Database!IE74&gt;1),100*(Database!IE73/(Database!IE74)),0.0001)</f>
        <v>1E-4</v>
      </c>
      <c r="DQ135" s="99">
        <f>IF(AND(Database!IG73&gt;1,Database!IG74&gt;1),100*(Database!IG73/(Database!IG74)),0.0001)</f>
        <v>1E-4</v>
      </c>
      <c r="DR135" s="99">
        <f>IF(AND(Database!II73&gt;1,Database!II74&gt;1),100*(Database!II73/(Database!II74)),0.0001)</f>
        <v>1E-4</v>
      </c>
      <c r="DS135" s="99">
        <f>IF(AND(Database!IK73&gt;1,Database!IK74&gt;1),100*(Database!IK73/(Database!IK74)),0.0001)</f>
        <v>1E-4</v>
      </c>
      <c r="DT135" s="99">
        <f>IF(AND(Database!IM73&gt;1,Database!IM74&gt;1),100*(Database!IM73/(Database!IM74)),0.0001)</f>
        <v>1E-4</v>
      </c>
      <c r="DU135" s="99">
        <f>IF(AND(Database!IO73&gt;1,Database!IO74&gt;1),100*(Database!IO73/(Database!IO74)),0.0001)</f>
        <v>1E-4</v>
      </c>
      <c r="DV135" s="99">
        <f>IF(AND(Database!IQ73&gt;1,Database!IQ74&gt;1),100*(Database!IQ73/(Database!IQ74)),0.0001)</f>
        <v>1E-4</v>
      </c>
      <c r="DW135" s="99">
        <f>IF(AND(Database!IS73&gt;1,Database!IS74&gt;1),100*(Database!IS73/(Database!IS74)),0.0001)</f>
        <v>1E-4</v>
      </c>
      <c r="DX135" s="99">
        <f>IF(AND(Database!IU73&gt;1,Database!IU74&gt;1),100*(Database!IU73/(Database!IU74)),0.0001)</f>
        <v>1E-4</v>
      </c>
      <c r="DY135" s="99">
        <f>IF(AND(Database!IW73&gt;1,Database!IW74&gt;1),100*(Database!IW73/(Database!IW74)),0.0001)</f>
        <v>1E-4</v>
      </c>
      <c r="DZ135" s="99">
        <f>IF(AND(Database!IY73&gt;1,Database!IY74&gt;1),100*(Database!IY73/(Database!IY74)),0.0001)</f>
        <v>1E-4</v>
      </c>
      <c r="EA135" s="99">
        <f>IF(AND(Database!JA73&gt;1,Database!JA74&gt;1),100*(Database!JA73/(Database!JA74)),0.0001)</f>
        <v>1E-4</v>
      </c>
      <c r="EB135" s="99">
        <f>IF(AND(Database!JC73&gt;1,Database!JC74&gt;1),100*(Database!JC73/(Database!JC74)),0.0001)</f>
        <v>1E-4</v>
      </c>
      <c r="EC135" s="99">
        <f>IF(AND(Database!JE73&gt;1,Database!JE74&gt;1),100*(Database!JE73/(Database!JE74)),0.0001)</f>
        <v>1E-4</v>
      </c>
      <c r="ED135" s="99">
        <f>IF(AND(Database!JG73&gt;1,Database!JG74&gt;1),100*(Database!JG73/(Database!JG74)),0.0001)</f>
        <v>1E-4</v>
      </c>
      <c r="EE135" s="99">
        <f>IF(AND(Database!JI73&gt;1,Database!JI74&gt;1),100*(Database!JI73/(Database!JI74)),0.0001)</f>
        <v>1E-4</v>
      </c>
      <c r="EF135" s="99">
        <f>IF(AND(Database!JK73&gt;1,Database!JK74&gt;1),100*(Database!JK73/(Database!JK74)),0.0001)</f>
        <v>1E-4</v>
      </c>
      <c r="EG135" s="99">
        <f>IF(AND(Database!JM73&gt;1,Database!JM74&gt;1),100*(Database!JM73/(Database!JM74)),0.0001)</f>
        <v>1E-4</v>
      </c>
      <c r="EH135" s="99">
        <f>IF(AND(Database!JO73&gt;1,Database!JO74&gt;1),100*(Database!JO73/(Database!JO74)),0.0001)</f>
        <v>1E-4</v>
      </c>
      <c r="EI135" s="99">
        <f>IF(AND(Database!JQ73&gt;1,Database!JQ74&gt;1),100*(Database!JQ73/(Database!JQ74)),0.0001)</f>
        <v>1E-4</v>
      </c>
      <c r="EJ135" s="99">
        <f>IF(AND(Database!JS73&gt;1,Database!JS74&gt;1),100*(Database!JS73/(Database!JS74)),0.0001)</f>
        <v>1E-4</v>
      </c>
      <c r="EK135" s="99">
        <f>IF(AND(Database!JU73&gt;1,Database!JU74&gt;1),100*(Database!JU73/(Database!JU74)),0.0001)</f>
        <v>1E-4</v>
      </c>
      <c r="EL135" s="99">
        <f>IF(AND(Database!JW73&gt;1,Database!JW74&gt;1),100*(Database!JW73/(Database!JW74)),0.0001)</f>
        <v>1E-4</v>
      </c>
      <c r="EM135" s="99">
        <f>IF(AND(Database!JY73&gt;1,Database!JY74&gt;1),100*(Database!JY73/(Database!JY74)),0.0001)</f>
        <v>1E-4</v>
      </c>
      <c r="EN135" s="99">
        <f>IF(AND(Database!KA73&gt;1,Database!KA74&gt;1),100*(Database!KA73/(Database!KA74)),0.0001)</f>
        <v>1E-4</v>
      </c>
      <c r="EO135" s="99">
        <f>IF(AND(Database!KC73&gt;1,Database!KC74&gt;1),100*(Database!KC73/(Database!KC74)),0.0001)</f>
        <v>1E-4</v>
      </c>
      <c r="EP135" s="99">
        <f>IF(AND(Database!KE73&gt;1,Database!KE74&gt;1),100*(Database!KE73/(Database!KE74)),0.0001)</f>
        <v>1E-4</v>
      </c>
      <c r="EQ135" s="99">
        <f>IF(AND(Database!KG73&gt;1,Database!KG74&gt;1),100*(Database!KG73/(Database!KG74)),0.0001)</f>
        <v>1E-4</v>
      </c>
      <c r="ER135" s="99">
        <f>IF(AND(Database!KI73&gt;1,Database!KI74&gt;1),100*(Database!KI73/(Database!KI74)),0.0001)</f>
        <v>1E-4</v>
      </c>
      <c r="ES135" s="99">
        <f>IF(AND(Database!KK73&gt;1,Database!KK74&gt;1),100*(Database!KK73/(Database!KK74)),0.0001)</f>
        <v>1E-4</v>
      </c>
      <c r="ET135" s="99">
        <f>IF(AND(Database!KM73&gt;1,Database!KM74&gt;1),100*(Database!KM73/(Database!KM74)),0.0001)</f>
        <v>1E-4</v>
      </c>
      <c r="EU135" s="99">
        <f>IF(AND(Database!KO73&gt;1,Database!KO74&gt;1),100*(Database!KO73/(Database!KO74)),0.0001)</f>
        <v>1E-4</v>
      </c>
      <c r="EV135" s="99">
        <f>IF(AND(Database!KQ73&gt;1,Database!KQ74&gt;1),100*(Database!KQ73/(Database!KQ74)),0.0001)</f>
        <v>1E-4</v>
      </c>
      <c r="EW135" s="99">
        <f>IF(AND(Database!KS73&gt;1,Database!KS74&gt;1),100*(Database!KS73/(Database!KS74)),0.0001)</f>
        <v>1E-4</v>
      </c>
      <c r="EX135" s="99">
        <f>IF(AND(Database!KU73&gt;1,Database!KU74&gt;1),100*(Database!KU73/(Database!KU74)),0.0001)</f>
        <v>1E-4</v>
      </c>
      <c r="EY135" s="99">
        <f>IF(AND(Database!KW73&gt;1,Database!KW74&gt;1),100*(Database!KW73/(Database!KW74)),0.0001)</f>
        <v>1E-4</v>
      </c>
      <c r="EZ135" s="99">
        <f>IF(AND(Database!KY73&gt;1,Database!KY74&gt;1),100*(Database!KY73/(Database!KY74)),0.0001)</f>
        <v>1E-4</v>
      </c>
      <c r="FA135" s="99">
        <f>IF(AND(Database!LA73&gt;1,Database!LA74&gt;1),100*(Database!LA73/(Database!LA74)),0.0001)</f>
        <v>1E-4</v>
      </c>
      <c r="FB135" s="99">
        <f>IF(AND(Database!LC73&gt;1,Database!LC74&gt;1),100*(Database!LC73/(Database!LC74)),0.0001)</f>
        <v>1E-4</v>
      </c>
      <c r="FC135" s="99">
        <f>IF(AND(Database!LE73&gt;1,Database!LE74&gt;1),100*(Database!LE73/(Database!LE74)),0.0001)</f>
        <v>1E-4</v>
      </c>
      <c r="FD135" s="99">
        <f>IF(AND(Database!LG73&gt;1,Database!LG74&gt;1),100*(Database!LG73/(Database!LG74)),0.0001)</f>
        <v>1E-4</v>
      </c>
      <c r="FE135" s="99">
        <f>IF(AND(Database!LI73&gt;1,Database!LI74&gt;1),100*(Database!LI73/(Database!LI74)),0.0001)</f>
        <v>1E-4</v>
      </c>
      <c r="FF135" s="99">
        <f>IF(AND(Database!LK73&gt;1,Database!LK74&gt;1),100*(Database!LK73/(Database!LK74)),0.0001)</f>
        <v>1E-4</v>
      </c>
      <c r="FG135" s="99">
        <f>IF(AND(Database!LM73&gt;1,Database!LM74&gt;1),100*(Database!LM73/(Database!LM74)),0.0001)</f>
        <v>1E-4</v>
      </c>
      <c r="FH135" s="99">
        <f>IF(AND(Database!LO73&gt;1,Database!LO74&gt;1),100*(Database!LO73/(Database!LO74)),0.0001)</f>
        <v>1E-4</v>
      </c>
      <c r="FI135" s="99">
        <f>IF(AND(Database!LQ73&gt;1,Database!LQ74&gt;1),100*(Database!LQ73/(Database!LQ74)),0.0001)</f>
        <v>1E-4</v>
      </c>
      <c r="FJ135" s="99">
        <f>IF(AND(Database!LS73&gt;1,Database!LS74&gt;1),100*(Database!LS73/(Database!LS74)),0.0001)</f>
        <v>1E-4</v>
      </c>
      <c r="FK135" s="99">
        <f>IF(AND(Database!LU73&gt;1,Database!LU74&gt;1),100*(Database!LU73/(Database!LU74)),0.0001)</f>
        <v>1E-4</v>
      </c>
      <c r="FL135" s="99">
        <f>IF(AND(Database!LW73&gt;1,Database!LW74&gt;1),100*(Database!LW73/(Database!LW74)),0.0001)</f>
        <v>1E-4</v>
      </c>
      <c r="FM135" s="99">
        <f>IF(AND(Database!LY73&gt;1,Database!LY74&gt;1),100*(Database!LY73/(Database!LY74)),0.0001)</f>
        <v>1E-4</v>
      </c>
      <c r="FN135" s="99">
        <f>IF(AND(Database!MA73&gt;1,Database!MA74&gt;1),100*(Database!MA73/(Database!MA74)),0.0001)</f>
        <v>1E-4</v>
      </c>
      <c r="FO135" s="99">
        <f>IF(AND(Database!MC73&gt;1,Database!MC74&gt;1),100*(Database!MC73/(Database!MC74)),0.0001)</f>
        <v>1E-4</v>
      </c>
      <c r="FP135" s="99">
        <f>IF(AND(Database!ME73&gt;1,Database!ME74&gt;1),100*(Database!ME73/(Database!ME74)),0.0001)</f>
        <v>1E-4</v>
      </c>
      <c r="FQ135" s="99">
        <f>IF(AND(Database!MG73&gt;1,Database!MG74&gt;1),100*(Database!MG73/(Database!MG74)),0.0001)</f>
        <v>1E-4</v>
      </c>
      <c r="FR135" s="99">
        <f>IF(AND(Database!MI73&gt;1,Database!MI74&gt;1),100*(Database!MI73/(Database!MI74)),0.0001)</f>
        <v>1E-4</v>
      </c>
      <c r="FS135" s="99">
        <f>IF(AND(Database!MK73&gt;1,Database!MK74&gt;1),100*(Database!MK73/(Database!MK74)),0.0001)</f>
        <v>1E-4</v>
      </c>
      <c r="FT135" s="99">
        <f>IF(AND(Database!MM73&gt;1,Database!MM74&gt;1),100*(Database!MM73/(Database!MM74)),0.0001)</f>
        <v>1E-4</v>
      </c>
      <c r="FU135" s="99">
        <f>IF(AND(Database!MO73&gt;1,Database!MO74&gt;1),100*(Database!MO73/(Database!MO74)),0.0001)</f>
        <v>1E-4</v>
      </c>
      <c r="FV135" s="99">
        <f>IF(AND(Database!MQ73&gt;1,Database!MQ74&gt;1),100*(Database!MQ73/(Database!MQ74)),0.0001)</f>
        <v>1E-4</v>
      </c>
      <c r="FW135" s="99">
        <f>IF(AND(Database!MS73&gt;1,Database!MS74&gt;1),100*(Database!MS73/(Database!MS74)),0.0001)</f>
        <v>1E-4</v>
      </c>
      <c r="FX135" s="99">
        <f>IF(AND(Database!MU73&gt;1,Database!MU74&gt;1),100*(Database!MU73/(Database!MU74)),0.0001)</f>
        <v>1E-4</v>
      </c>
      <c r="FY135" s="99">
        <f>IF(AND(Database!MW73&gt;1,Database!MW74&gt;1),100*(Database!MW73/(Database!MW74)),0.0001)</f>
        <v>1E-4</v>
      </c>
      <c r="FZ135" s="99">
        <f>IF(AND(Database!MY73&gt;1,Database!MY74&gt;1),100*(Database!MY73/(Database!MY74)),0.0001)</f>
        <v>1E-4</v>
      </c>
      <c r="GA135" s="99">
        <f>IF(AND(Database!NA73&gt;1,Database!NA74&gt;1),100*(Database!NA73/(Database!NA74)),0.0001)</f>
        <v>1E-4</v>
      </c>
      <c r="GB135" s="99">
        <f>IF(AND(Database!NC73&gt;1,Database!NC74&gt;1),100*(Database!NC73/(Database!NC74)),0.0001)</f>
        <v>1E-4</v>
      </c>
      <c r="GC135" s="99">
        <f>IF(AND(Database!NE73&gt;1,Database!NE74&gt;1),100*(Database!NE73/(Database!NE74)),0.0001)</f>
        <v>1E-4</v>
      </c>
      <c r="GD135" s="99">
        <f>IF(AND(Database!NG73&gt;1,Database!NG74&gt;1),100*(Database!NG73/(Database!NG74)),0.0001)</f>
        <v>1E-4</v>
      </c>
      <c r="GE135" s="99">
        <f>IF(AND(Database!NI73&gt;1,Database!NI74&gt;1),100*(Database!NI73/(Database!NI74)),0.0001)</f>
        <v>1E-4</v>
      </c>
      <c r="GF135" s="99">
        <f>IF(AND(Database!NK73&gt;1,Database!NK74&gt;1),100*(Database!NK73/(Database!NK74)),0.0001)</f>
        <v>1E-4</v>
      </c>
      <c r="GG135" s="99">
        <f>IF(AND(Database!NM73&gt;1,Database!NM74&gt;1),100*(Database!NM73/(Database!NM74)),0.0001)</f>
        <v>1E-4</v>
      </c>
      <c r="GH135" s="99">
        <f>IF(AND(Database!NO73&gt;1,Database!NO74&gt;1),100*(Database!NO73/(Database!NO74)),0.0001)</f>
        <v>1E-4</v>
      </c>
      <c r="GI135" s="99">
        <f>IF(AND(Database!NQ73&gt;1,Database!NQ74&gt;1),100*(Database!NQ73/(Database!NQ74)),0.0001)</f>
        <v>1E-4</v>
      </c>
      <c r="GJ135" s="99">
        <f>IF(AND(Database!NS73&gt;1,Database!NS74&gt;1),100*(Database!NS73/(Database!NS74)),0.0001)</f>
        <v>1E-4</v>
      </c>
      <c r="GK135" s="99">
        <f>IF(AND(Database!NU73&gt;1,Database!NU74&gt;1),100*(Database!NU73/(Database!NU74)),0.0001)</f>
        <v>1E-4</v>
      </c>
      <c r="GL135" s="99">
        <f>IF(AND(Database!NW73&gt;1,Database!NW74&gt;1),100*(Database!NW73/(Database!NW74)),0.0001)</f>
        <v>1E-4</v>
      </c>
      <c r="GM135" s="99">
        <f>IF(AND(Database!NY73&gt;1,Database!NY74&gt;1),100*(Database!NY73/(Database!NY74)),0.0001)</f>
        <v>1E-4</v>
      </c>
      <c r="GN135" s="99">
        <f>IF(AND(Database!OA73&gt;1,Database!OA74&gt;1),100*(Database!OA73/(Database!OA74)),0.0001)</f>
        <v>1E-4</v>
      </c>
      <c r="GO135" s="99">
        <f>IF(AND(Database!OC73&gt;1,Database!OC74&gt;1),100*(Database!OC73/(Database!OC74)),0.0001)</f>
        <v>1E-4</v>
      </c>
      <c r="GP135" s="99">
        <f>IF(AND(Database!OE73&gt;1,Database!OE74&gt;1),100*(Database!OE73/(Database!OE74)),0.0001)</f>
        <v>1E-4</v>
      </c>
      <c r="GQ135" s="99">
        <f>IF(AND(Database!OG73&gt;1,Database!OG74&gt;1),100*(Database!OG73/(Database!OG74)),0.0001)</f>
        <v>1E-4</v>
      </c>
      <c r="GR135" s="99">
        <f>IF(AND(Database!OI73&gt;1,Database!OI74&gt;1),100*(Database!OI73/(Database!OI74)),0.0001)</f>
        <v>1E-4</v>
      </c>
      <c r="GS135" s="99">
        <f>IF(AND(Database!OK73&gt;1,Database!OK74&gt;1),100*(Database!OK73/(Database!OK74)),0.0001)</f>
        <v>1E-4</v>
      </c>
      <c r="GT135" s="99">
        <f>IF(AND(Database!OM73&gt;1,Database!OM74&gt;1),100*(Database!OM73/(Database!OM74)),0.0001)</f>
        <v>1E-4</v>
      </c>
    </row>
    <row r="136" spans="1:205" ht="18.75" customHeight="1" x14ac:dyDescent="0.4">
      <c r="A136" s="29" t="s">
        <v>146</v>
      </c>
      <c r="B136" s="306"/>
      <c r="C136" s="99">
        <f>IF(AND(Database!E75&gt;1,Database!E68&gt;1),100*(Database!E75/(Database!E68)),0.0001)</f>
        <v>68.632602127939052</v>
      </c>
      <c r="D136" s="99">
        <f>IF(AND(Database!G75&gt;1,Database!G68&gt;1),100*(Database!G75/(Database!G68)),0.0001)</f>
        <v>52.00503004051977</v>
      </c>
      <c r="E136" s="99">
        <f>IF(AND(Database!I75&gt;1,Database!I68&gt;1),100*(Database!I75/(Database!I68)),0.0001)</f>
        <v>50.479429408152669</v>
      </c>
      <c r="F136" s="99">
        <f>IF(AND(Database!K75&gt;1,Database!K68&gt;1),100*(Database!K75/(Database!K68)),0.0001)</f>
        <v>51.037719600413368</v>
      </c>
      <c r="G136" s="99">
        <f>IF(AND(Database!M75&gt;1,Database!M68&gt;1),100*(Database!M75/(Database!M68)),0.0001)</f>
        <v>1E-4</v>
      </c>
      <c r="H136" s="99">
        <f>IF(AND(Database!O75&gt;1,Database!O68&gt;1),100*(Database!O75/(Database!O68)),0.0001)</f>
        <v>1E-4</v>
      </c>
      <c r="I136" s="99">
        <f>IF(AND(Database!Q75&gt;1,Database!Q68&gt;1),100*(Database!Q75/(Database!Q68)),0.0001)</f>
        <v>1E-4</v>
      </c>
      <c r="J136" s="99">
        <f>IF(AND(Database!S75&gt;1,Database!S68&gt;1),100*(Database!S75/(Database!S68)),0.0001)</f>
        <v>1E-4</v>
      </c>
      <c r="K136" s="99">
        <f>IF(AND(Database!U75&gt;1,Database!U68&gt;1),100*(Database!U75/(Database!U68)),0.0001)</f>
        <v>1E-4</v>
      </c>
      <c r="L136" s="99">
        <f>IF(AND(Database!W75&gt;1,Database!W68&gt;1),100*(Database!W75/(Database!W68)),0.0001)</f>
        <v>1E-4</v>
      </c>
      <c r="M136" s="99">
        <f>IF(AND(Database!Y75&gt;1,Database!Y68&gt;1),100*(Database!Y75/(Database!Y68)),0.0001)</f>
        <v>1E-4</v>
      </c>
      <c r="N136" s="99">
        <f>IF(AND(Database!AA75&gt;1,Database!AA68&gt;1),100*(Database!AA75/(Database!AA68)),0.0001)</f>
        <v>1E-4</v>
      </c>
      <c r="O136" s="99">
        <f>IF(AND(Database!AC75&gt;1,Database!AC68&gt;1),100*(Database!AC75/(Database!AC68)),0.0001)</f>
        <v>1E-4</v>
      </c>
      <c r="P136" s="99">
        <f>IF(AND(Database!AE75&gt;1,Database!AE68&gt;1),100*(Database!AE75/(Database!AE68)),0.0001)</f>
        <v>1E-4</v>
      </c>
      <c r="Q136" s="99">
        <f>IF(AND(Database!AG75&gt;1,Database!AG68&gt;1),100*(Database!AG75/(Database!AG68)),0.0001)</f>
        <v>1E-4</v>
      </c>
      <c r="R136" s="99">
        <f>IF(AND(Database!AI75&gt;1,Database!AI68&gt;1),100*(Database!AI75/(Database!AI68)),0.0001)</f>
        <v>1E-4</v>
      </c>
      <c r="S136" s="99">
        <f>IF(AND(Database!AK75&gt;1,Database!AK68&gt;1),100*(Database!AK75/(Database!AK68)),0.0001)</f>
        <v>1E-4</v>
      </c>
      <c r="T136" s="99">
        <f>IF(AND(Database!AM75&gt;1,Database!AM68&gt;1),100*(Database!AM75/(Database!AM68)),0.0001)</f>
        <v>1E-4</v>
      </c>
      <c r="U136" s="99">
        <f>IF(AND(Database!AO75&gt;1,Database!AO68&gt;1),100*(Database!AO75/(Database!AO68)),0.0001)</f>
        <v>1E-4</v>
      </c>
      <c r="V136" s="99">
        <f>IF(AND(Database!AQ75&gt;1,Database!AQ68&gt;1),100*(Database!AQ75/(Database!AQ68)),0.0001)</f>
        <v>1E-4</v>
      </c>
      <c r="W136" s="99">
        <f>IF(AND(Database!AS75&gt;1,Database!AS68&gt;1),100*(Database!AS75/(Database!AS68)),0.0001)</f>
        <v>1E-4</v>
      </c>
      <c r="X136" s="99">
        <f>IF(AND(Database!AU75&gt;1,Database!AU68&gt;1),100*(Database!AU75/(Database!AU68)),0.0001)</f>
        <v>1E-4</v>
      </c>
      <c r="Y136" s="99">
        <f>IF(AND(Database!AW75&gt;1,Database!AW68&gt;1),100*(Database!AW75/(Database!AW68)),0.0001)</f>
        <v>1E-4</v>
      </c>
      <c r="Z136" s="99">
        <f>IF(AND(Database!AY75&gt;1,Database!AY68&gt;1),100*(Database!AY75/(Database!AY68)),0.0001)</f>
        <v>1E-4</v>
      </c>
      <c r="AA136" s="99">
        <f>IF(AND(Database!BA75&gt;1,Database!BA68&gt;1),100*(Database!BA75/(Database!BA68)),0.0001)</f>
        <v>1E-4</v>
      </c>
      <c r="AB136" s="99">
        <f>IF(AND(Database!BC75&gt;1,Database!BC68&gt;1),100*(Database!BC75/(Database!BC68)),0.0001)</f>
        <v>1E-4</v>
      </c>
      <c r="AC136" s="99">
        <f>IF(AND(Database!BE75&gt;1,Database!BE68&gt;1),100*(Database!BE75/(Database!BE68)),0.0001)</f>
        <v>1E-4</v>
      </c>
      <c r="AD136" s="99">
        <f>IF(AND(Database!BG75&gt;1,Database!BG68&gt;1),100*(Database!BG75/(Database!BG68)),0.0001)</f>
        <v>1E-4</v>
      </c>
      <c r="AE136" s="99">
        <f>IF(AND(Database!BI75&gt;1,Database!BI68&gt;1),100*(Database!BI75/(Database!BI68)),0.0001)</f>
        <v>1E-4</v>
      </c>
      <c r="AF136" s="99">
        <f>IF(AND(Database!BK75&gt;1,Database!BK68&gt;1),100*(Database!BK75/(Database!BK68)),0.0001)</f>
        <v>1E-4</v>
      </c>
      <c r="AG136" s="99">
        <f>IF(AND(Database!BM75&gt;1,Database!BM68&gt;1),100*(Database!BM75/(Database!BM68)),0.0001)</f>
        <v>1E-4</v>
      </c>
      <c r="AH136" s="99">
        <f>IF(AND(Database!BO75&gt;1,Database!BO68&gt;1),100*(Database!BO75/(Database!BO68)),0.0001)</f>
        <v>1E-4</v>
      </c>
      <c r="AI136" s="99">
        <f>IF(AND(Database!BQ75&gt;1,Database!BQ68&gt;1),100*(Database!BQ75/(Database!BQ68)),0.0001)</f>
        <v>1E-4</v>
      </c>
      <c r="AJ136" s="99">
        <f>IF(AND(Database!BS75&gt;1,Database!BS68&gt;1),100*(Database!BS75/(Database!BS68)),0.0001)</f>
        <v>1E-4</v>
      </c>
      <c r="AK136" s="99">
        <f>IF(AND(Database!BU75&gt;1,Database!BU68&gt;1),100*(Database!BU75/(Database!BU68)),0.0001)</f>
        <v>1E-4</v>
      </c>
      <c r="AL136" s="99">
        <f>IF(AND(Database!BW75&gt;1,Database!BW68&gt;1),100*(Database!BW75/(Database!BW68)),0.0001)</f>
        <v>1E-4</v>
      </c>
      <c r="AM136" s="99">
        <f>IF(AND(Database!BY75&gt;1,Database!BY68&gt;1),100*(Database!BY75/(Database!BY68)),0.0001)</f>
        <v>1E-4</v>
      </c>
      <c r="AN136" s="99">
        <f>IF(AND(Database!CA75&gt;1,Database!CA68&gt;1),100*(Database!CA75/(Database!CA68)),0.0001)</f>
        <v>1E-4</v>
      </c>
      <c r="AO136" s="99">
        <f>IF(AND(Database!CC75&gt;1,Database!CC68&gt;1),100*(Database!CC75/(Database!CC68)),0.0001)</f>
        <v>1E-4</v>
      </c>
      <c r="AP136" s="99">
        <f>IF(AND(Database!CE75&gt;1,Database!CE68&gt;1),100*(Database!CE75/(Database!CE68)),0.0001)</f>
        <v>1E-4</v>
      </c>
      <c r="AQ136" s="99">
        <f>IF(AND(Database!CG75&gt;1,Database!CG68&gt;1),100*(Database!CG75/(Database!CG68)),0.0001)</f>
        <v>1E-4</v>
      </c>
      <c r="AR136" s="99">
        <f>IF(AND(Database!CI75&gt;1,Database!CI68&gt;1),100*(Database!CI75/(Database!CI68)),0.0001)</f>
        <v>1E-4</v>
      </c>
      <c r="AS136" s="99">
        <f>IF(AND(Database!CK75&gt;1,Database!CK68&gt;1),100*(Database!CK75/(Database!CK68)),0.0001)</f>
        <v>1E-4</v>
      </c>
      <c r="AT136" s="99">
        <f>IF(AND(Database!CM75&gt;1,Database!CM68&gt;1),100*(Database!CM75/(Database!CM68)),0.0001)</f>
        <v>1E-4</v>
      </c>
      <c r="AU136" s="99">
        <f>IF(AND(Database!CO75&gt;1,Database!CO68&gt;1),100*(Database!CO75/(Database!CO68)),0.0001)</f>
        <v>1E-4</v>
      </c>
      <c r="AV136" s="99">
        <f>IF(AND(Database!CQ75&gt;1,Database!CQ68&gt;1),100*(Database!CQ75/(Database!CQ68)),0.0001)</f>
        <v>1E-4</v>
      </c>
      <c r="AW136" s="99">
        <f>IF(AND(Database!CS75&gt;1,Database!CS68&gt;1),100*(Database!CS75/(Database!CS68)),0.0001)</f>
        <v>1E-4</v>
      </c>
      <c r="AX136" s="99">
        <f>IF(AND(Database!CU75&gt;1,Database!CU68&gt;1),100*(Database!CU75/(Database!CU68)),0.0001)</f>
        <v>1E-4</v>
      </c>
      <c r="AY136" s="99">
        <f>IF(AND(Database!CW75&gt;1,Database!CW68&gt;1),100*(Database!CW75/(Database!CW68)),0.0001)</f>
        <v>1E-4</v>
      </c>
      <c r="AZ136" s="99">
        <f>IF(AND(Database!CY75&gt;1,Database!CY68&gt;1),100*(Database!CY75/(Database!CY68)),0.0001)</f>
        <v>1E-4</v>
      </c>
      <c r="BA136" s="99">
        <f>IF(AND(Database!DA75&gt;1,Database!DA68&gt;1),100*(Database!DA75/(Database!DA68)),0.0001)</f>
        <v>1E-4</v>
      </c>
      <c r="BB136" s="99">
        <f>IF(AND(Database!DC75&gt;1,Database!DC68&gt;1),100*(Database!DC75/(Database!DC68)),0.0001)</f>
        <v>1E-4</v>
      </c>
      <c r="BC136" s="99">
        <f>IF(AND(Database!DE75&gt;1,Database!DE68&gt;1),100*(Database!DE75/(Database!DE68)),0.0001)</f>
        <v>1E-4</v>
      </c>
      <c r="BD136" s="99">
        <f>IF(AND(Database!DG75&gt;1,Database!DG68&gt;1),100*(Database!DG75/(Database!DG68)),0.0001)</f>
        <v>1E-4</v>
      </c>
      <c r="BE136" s="99">
        <f>IF(AND(Database!DI75&gt;1,Database!DI68&gt;1),100*(Database!DI75/(Database!DI68)),0.0001)</f>
        <v>1E-4</v>
      </c>
      <c r="BF136" s="99">
        <f>IF(AND(Database!DK75&gt;1,Database!DK68&gt;1),100*(Database!DK75/(Database!DK68)),0.0001)</f>
        <v>1E-4</v>
      </c>
      <c r="BG136" s="99">
        <f>IF(AND(Database!DM75&gt;1,Database!DM68&gt;1),100*(Database!DM75/(Database!DM68)),0.0001)</f>
        <v>1E-4</v>
      </c>
      <c r="BH136" s="99">
        <f>IF(AND(Database!DO75&gt;1,Database!DO68&gt;1),100*(Database!DO75/(Database!DO68)),0.0001)</f>
        <v>1E-4</v>
      </c>
      <c r="BI136" s="99">
        <f>IF(AND(Database!DQ75&gt;1,Database!DQ68&gt;1),100*(Database!DQ75/(Database!DQ68)),0.0001)</f>
        <v>1E-4</v>
      </c>
      <c r="BJ136" s="99">
        <f>IF(AND(Database!DS75&gt;1,Database!DS68&gt;1),100*(Database!DS75/(Database!DS68)),0.0001)</f>
        <v>1E-4</v>
      </c>
      <c r="BK136" s="99">
        <f>IF(AND(Database!DU75&gt;1,Database!DU68&gt;1),100*(Database!DU75/(Database!DU68)),0.0001)</f>
        <v>1E-4</v>
      </c>
      <c r="BL136" s="99">
        <f>IF(AND(Database!DW75&gt;1,Database!DW68&gt;1),100*(Database!DW75/(Database!DW68)),0.0001)</f>
        <v>1E-4</v>
      </c>
      <c r="BM136" s="99">
        <f>IF(AND(Database!DY75&gt;1,Database!DY68&gt;1),100*(Database!DY75/(Database!DY68)),0.0001)</f>
        <v>1E-4</v>
      </c>
      <c r="BN136" s="99">
        <f>IF(AND(Database!EA75&gt;1,Database!EA68&gt;1),100*(Database!EA75/(Database!EA68)),0.0001)</f>
        <v>1E-4</v>
      </c>
      <c r="BO136" s="99">
        <f>IF(AND(Database!EC75&gt;1,Database!EC68&gt;1),100*(Database!EC75/(Database!EC68)),0.0001)</f>
        <v>1E-4</v>
      </c>
      <c r="BP136" s="99">
        <f>IF(AND(Database!EE75&gt;1,Database!EE68&gt;1),100*(Database!EE75/(Database!EE68)),0.0001)</f>
        <v>1E-4</v>
      </c>
      <c r="BQ136" s="99">
        <f>IF(AND(Database!EG75&gt;1,Database!EG68&gt;1),100*(Database!EG75/(Database!EG68)),0.0001)</f>
        <v>1E-4</v>
      </c>
      <c r="BR136" s="99">
        <f>IF(AND(Database!EI75&gt;1,Database!EI68&gt;1),100*(Database!EI75/(Database!EI68)),0.0001)</f>
        <v>1E-4</v>
      </c>
      <c r="BS136" s="99">
        <f>IF(AND(Database!EK75&gt;1,Database!EK68&gt;1),100*(Database!EK75/(Database!EK68)),0.0001)</f>
        <v>1E-4</v>
      </c>
      <c r="BT136" s="99">
        <f>IF(AND(Database!EM75&gt;1,Database!EM68&gt;1),100*(Database!EM75/(Database!EM68)),0.0001)</f>
        <v>1E-4</v>
      </c>
      <c r="BU136" s="99">
        <f>IF(AND(Database!EO75&gt;1,Database!EO68&gt;1),100*(Database!EO75/(Database!EO68)),0.0001)</f>
        <v>1E-4</v>
      </c>
      <c r="BV136" s="99">
        <f>IF(AND(Database!EQ75&gt;1,Database!EQ68&gt;1),100*(Database!EQ75/(Database!EQ68)),0.0001)</f>
        <v>1E-4</v>
      </c>
      <c r="BW136" s="99">
        <f>IF(AND(Database!ES75&gt;1,Database!ES68&gt;1),100*(Database!ES75/(Database!ES68)),0.0001)</f>
        <v>1E-4</v>
      </c>
      <c r="BX136" s="99">
        <f>IF(AND(Database!EU75&gt;1,Database!EU68&gt;1),100*(Database!EU75/(Database!EU68)),0.0001)</f>
        <v>1E-4</v>
      </c>
      <c r="BY136" s="99">
        <f>IF(AND(Database!EW75&gt;1,Database!EW68&gt;1),100*(Database!EW75/(Database!EW68)),0.0001)</f>
        <v>1E-4</v>
      </c>
      <c r="BZ136" s="99">
        <f>IF(AND(Database!EY75&gt;1,Database!EY68&gt;1),100*(Database!EY75/(Database!EY68)),0.0001)</f>
        <v>1E-4</v>
      </c>
      <c r="CA136" s="99">
        <f>IF(AND(Database!FA75&gt;1,Database!FA68&gt;1),100*(Database!FA75/(Database!FA68)),0.0001)</f>
        <v>1E-4</v>
      </c>
      <c r="CB136" s="99">
        <f>IF(AND(Database!FC75&gt;1,Database!FC68&gt;1),100*(Database!FC75/(Database!FC68)),0.0001)</f>
        <v>1E-4</v>
      </c>
      <c r="CC136" s="99">
        <f>IF(AND(Database!FE75&gt;1,Database!FE68&gt;1),100*(Database!FE75/(Database!FE68)),0.0001)</f>
        <v>1E-4</v>
      </c>
      <c r="CD136" s="99">
        <f>IF(AND(Database!FG75&gt;1,Database!FG68&gt;1),100*(Database!FG75/(Database!FG68)),0.0001)</f>
        <v>1E-4</v>
      </c>
      <c r="CE136" s="99">
        <f>IF(AND(Database!FI75&gt;1,Database!FI68&gt;1),100*(Database!FI75/(Database!FI68)),0.0001)</f>
        <v>1E-4</v>
      </c>
      <c r="CF136" s="99">
        <f>IF(AND(Database!FK75&gt;1,Database!FK68&gt;1),100*(Database!FK75/(Database!FK68)),0.0001)</f>
        <v>1E-4</v>
      </c>
      <c r="CG136" s="99">
        <f>IF(AND(Database!FM75&gt;1,Database!FM68&gt;1),100*(Database!FM75/(Database!FM68)),0.0001)</f>
        <v>1E-4</v>
      </c>
      <c r="CH136" s="99">
        <f>IF(AND(Database!FO75&gt;1,Database!FO68&gt;1),100*(Database!FO75/(Database!FO68)),0.0001)</f>
        <v>1E-4</v>
      </c>
      <c r="CI136" s="99">
        <f>IF(AND(Database!FQ75&gt;1,Database!FQ68&gt;1),100*(Database!FQ75/(Database!FQ68)),0.0001)</f>
        <v>1E-4</v>
      </c>
      <c r="CJ136" s="99">
        <f>IF(AND(Database!FS75&gt;1,Database!FS68&gt;1),100*(Database!FS75/(Database!FS68)),0.0001)</f>
        <v>1E-4</v>
      </c>
      <c r="CK136" s="99">
        <f>IF(AND(Database!FU75&gt;1,Database!FU68&gt;1),100*(Database!FU75/(Database!FU68)),0.0001)</f>
        <v>1E-4</v>
      </c>
      <c r="CL136" s="99">
        <f>IF(AND(Database!FW75&gt;1,Database!FW68&gt;1),100*(Database!FW75/(Database!FW68)),0.0001)</f>
        <v>1E-4</v>
      </c>
      <c r="CM136" s="99">
        <f>IF(AND(Database!FY75&gt;1,Database!FY68&gt;1),100*(Database!FY75/(Database!FY68)),0.0001)</f>
        <v>1E-4</v>
      </c>
      <c r="CN136" s="99">
        <f>IF(AND(Database!GA75&gt;1,Database!GA68&gt;1),100*(Database!GA75/(Database!GA68)),0.0001)</f>
        <v>1E-4</v>
      </c>
      <c r="CO136" s="99">
        <f>IF(AND(Database!GC75&gt;1,Database!GC68&gt;1),100*(Database!GC75/(Database!GC68)),0.0001)</f>
        <v>1E-4</v>
      </c>
      <c r="CP136" s="99">
        <f>IF(AND(Database!GE75&gt;1,Database!GE68&gt;1),100*(Database!GE75/(Database!GE68)),0.0001)</f>
        <v>1E-4</v>
      </c>
      <c r="CQ136" s="99">
        <f>IF(AND(Database!GG75&gt;1,Database!GG68&gt;1),100*(Database!GG75/(Database!GG68)),0.0001)</f>
        <v>1E-4</v>
      </c>
      <c r="CR136" s="99">
        <f>IF(AND(Database!GI75&gt;1,Database!GI68&gt;1),100*(Database!GI75/(Database!GI68)),0.0001)</f>
        <v>1E-4</v>
      </c>
      <c r="CS136" s="99">
        <f>IF(AND(Database!GK75&gt;1,Database!GK68&gt;1),100*(Database!GK75/(Database!GK68)),0.0001)</f>
        <v>1E-4</v>
      </c>
      <c r="CT136" s="99">
        <f>IF(AND(Database!GM75&gt;1,Database!GM68&gt;1),100*(Database!GM75/(Database!GM68)),0.0001)</f>
        <v>1E-4</v>
      </c>
      <c r="CU136" s="99">
        <f>IF(AND(Database!GO75&gt;1,Database!GO68&gt;1),100*(Database!GO75/(Database!GO68)),0.0001)</f>
        <v>1E-4</v>
      </c>
      <c r="CV136" s="99">
        <f>IF(AND(Database!GQ75&gt;1,Database!GQ68&gt;1),100*(Database!GQ75/(Database!GQ68)),0.0001)</f>
        <v>1E-4</v>
      </c>
      <c r="CW136" s="99">
        <f>IF(AND(Database!GS75&gt;1,Database!GS68&gt;1),100*(Database!GS75/(Database!GS68)),0.0001)</f>
        <v>1E-4</v>
      </c>
      <c r="CX136" s="99">
        <f>IF(AND(Database!GU75&gt;1,Database!GU68&gt;1),100*(Database!GU75/(Database!GU68)),0.0001)</f>
        <v>1E-4</v>
      </c>
      <c r="CY136" s="99">
        <f>IF(AND(Database!GW75&gt;1,Database!GW68&gt;1),100*(Database!GW75/(Database!GW68)),0.0001)</f>
        <v>1E-4</v>
      </c>
      <c r="CZ136" s="99">
        <f>IF(AND(Database!GY75&gt;1,Database!GY68&gt;1),100*(Database!GY75/(Database!GY68)),0.0001)</f>
        <v>1E-4</v>
      </c>
      <c r="DA136" s="99">
        <f>IF(AND(Database!HA75&gt;1,Database!HA68&gt;1),100*(Database!HA75/(Database!HA68)),0.0001)</f>
        <v>1E-4</v>
      </c>
      <c r="DB136" s="99">
        <f>IF(AND(Database!HC75&gt;1,Database!HC68&gt;1),100*(Database!HC75/(Database!HC68)),0.0001)</f>
        <v>1E-4</v>
      </c>
      <c r="DC136" s="99">
        <f>IF(AND(Database!HE75&gt;1,Database!HE68&gt;1),100*(Database!HE75/(Database!HE68)),0.0001)</f>
        <v>1E-4</v>
      </c>
      <c r="DD136" s="99">
        <f>IF(AND(Database!HG75&gt;1,Database!HG68&gt;1),100*(Database!HG75/(Database!HG68)),0.0001)</f>
        <v>1E-4</v>
      </c>
      <c r="DE136" s="99">
        <f>IF(AND(Database!HI75&gt;1,Database!HI68&gt;1),100*(Database!HI75/(Database!HI68)),0.0001)</f>
        <v>1E-4</v>
      </c>
      <c r="DF136" s="99">
        <f>IF(AND(Database!HK75&gt;1,Database!HK68&gt;1),100*(Database!HK75/(Database!HK68)),0.0001)</f>
        <v>1E-4</v>
      </c>
      <c r="DG136" s="99">
        <f>IF(AND(Database!HM75&gt;1,Database!HM68&gt;1),100*(Database!HM75/(Database!HM68)),0.0001)</f>
        <v>1E-4</v>
      </c>
      <c r="DH136" s="99">
        <f>IF(AND(Database!HO75&gt;1,Database!HO68&gt;1),100*(Database!HO75/(Database!HO68)),0.0001)</f>
        <v>1E-4</v>
      </c>
      <c r="DI136" s="99">
        <f>IF(AND(Database!HQ75&gt;1,Database!HQ68&gt;1),100*(Database!HQ75/(Database!HQ68)),0.0001)</f>
        <v>1E-4</v>
      </c>
      <c r="DJ136" s="99">
        <f>IF(AND(Database!HS75&gt;1,Database!HS68&gt;1),100*(Database!HS75/(Database!HS68)),0.0001)</f>
        <v>1E-4</v>
      </c>
      <c r="DK136" s="99">
        <f>IF(AND(Database!HU75&gt;1,Database!HU68&gt;1),100*(Database!HU75/(Database!HU68)),0.0001)</f>
        <v>1E-4</v>
      </c>
      <c r="DL136" s="99">
        <f>IF(AND(Database!HW75&gt;1,Database!HW68&gt;1),100*(Database!HW75/(Database!HW68)),0.0001)</f>
        <v>1E-4</v>
      </c>
      <c r="DM136" s="99">
        <f>IF(AND(Database!HY75&gt;1,Database!HY68&gt;1),100*(Database!HY75/(Database!HY68)),0.0001)</f>
        <v>1E-4</v>
      </c>
      <c r="DN136" s="99">
        <f>IF(AND(Database!IA75&gt;1,Database!IA68&gt;1),100*(Database!IA75/(Database!IA68)),0.0001)</f>
        <v>1E-4</v>
      </c>
      <c r="DO136" s="99">
        <f>IF(AND(Database!IC75&gt;1,Database!IC68&gt;1),100*(Database!IC75/(Database!IC68)),0.0001)</f>
        <v>1E-4</v>
      </c>
      <c r="DP136" s="99">
        <f>IF(AND(Database!IE75&gt;1,Database!IE68&gt;1),100*(Database!IE75/(Database!IE68)),0.0001)</f>
        <v>1E-4</v>
      </c>
      <c r="DQ136" s="99">
        <f>IF(AND(Database!IG75&gt;1,Database!IG68&gt;1),100*(Database!IG75/(Database!IG68)),0.0001)</f>
        <v>1E-4</v>
      </c>
      <c r="DR136" s="99">
        <f>IF(AND(Database!II75&gt;1,Database!II68&gt;1),100*(Database!II75/(Database!II68)),0.0001)</f>
        <v>1E-4</v>
      </c>
      <c r="DS136" s="99">
        <f>IF(AND(Database!IK75&gt;1,Database!IK68&gt;1),100*(Database!IK75/(Database!IK68)),0.0001)</f>
        <v>1E-4</v>
      </c>
      <c r="DT136" s="99">
        <f>IF(AND(Database!IM75&gt;1,Database!IM68&gt;1),100*(Database!IM75/(Database!IM68)),0.0001)</f>
        <v>1E-4</v>
      </c>
      <c r="DU136" s="99">
        <f>IF(AND(Database!IO75&gt;1,Database!IO68&gt;1),100*(Database!IO75/(Database!IO68)),0.0001)</f>
        <v>1E-4</v>
      </c>
      <c r="DV136" s="99">
        <f>IF(AND(Database!IQ75&gt;1,Database!IQ68&gt;1),100*(Database!IQ75/(Database!IQ68)),0.0001)</f>
        <v>1E-4</v>
      </c>
      <c r="DW136" s="99">
        <f>IF(AND(Database!IS75&gt;1,Database!IS68&gt;1),100*(Database!IS75/(Database!IS68)),0.0001)</f>
        <v>1E-4</v>
      </c>
      <c r="DX136" s="99">
        <f>IF(AND(Database!IU75&gt;1,Database!IU68&gt;1),100*(Database!IU75/(Database!IU68)),0.0001)</f>
        <v>1E-4</v>
      </c>
      <c r="DY136" s="99">
        <f>IF(AND(Database!IW75&gt;1,Database!IW68&gt;1),100*(Database!IW75/(Database!IW68)),0.0001)</f>
        <v>1E-4</v>
      </c>
      <c r="DZ136" s="99">
        <f>IF(AND(Database!IY75&gt;1,Database!IY68&gt;1),100*(Database!IY75/(Database!IY68)),0.0001)</f>
        <v>1E-4</v>
      </c>
      <c r="EA136" s="99">
        <f>IF(AND(Database!JA75&gt;1,Database!JA68&gt;1),100*(Database!JA75/(Database!JA68)),0.0001)</f>
        <v>1E-4</v>
      </c>
      <c r="EB136" s="99">
        <f>IF(AND(Database!JC75&gt;1,Database!JC68&gt;1),100*(Database!JC75/(Database!JC68)),0.0001)</f>
        <v>1E-4</v>
      </c>
      <c r="EC136" s="99">
        <f>IF(AND(Database!JE75&gt;1,Database!JE68&gt;1),100*(Database!JE75/(Database!JE68)),0.0001)</f>
        <v>1E-4</v>
      </c>
      <c r="ED136" s="99">
        <f>IF(AND(Database!JG75&gt;1,Database!JG68&gt;1),100*(Database!JG75/(Database!JG68)),0.0001)</f>
        <v>1E-4</v>
      </c>
      <c r="EE136" s="99">
        <f>IF(AND(Database!JI75&gt;1,Database!JI68&gt;1),100*(Database!JI75/(Database!JI68)),0.0001)</f>
        <v>1E-4</v>
      </c>
      <c r="EF136" s="99">
        <f>IF(AND(Database!JK75&gt;1,Database!JK68&gt;1),100*(Database!JK75/(Database!JK68)),0.0001)</f>
        <v>1E-4</v>
      </c>
      <c r="EG136" s="99">
        <f>IF(AND(Database!JM75&gt;1,Database!JM68&gt;1),100*(Database!JM75/(Database!JM68)),0.0001)</f>
        <v>1E-4</v>
      </c>
      <c r="EH136" s="99">
        <f>IF(AND(Database!JO75&gt;1,Database!JO68&gt;1),100*(Database!JO75/(Database!JO68)),0.0001)</f>
        <v>1E-4</v>
      </c>
      <c r="EI136" s="99">
        <f>IF(AND(Database!JQ75&gt;1,Database!JQ68&gt;1),100*(Database!JQ75/(Database!JQ68)),0.0001)</f>
        <v>1E-4</v>
      </c>
      <c r="EJ136" s="99">
        <f>IF(AND(Database!JS75&gt;1,Database!JS68&gt;1),100*(Database!JS75/(Database!JS68)),0.0001)</f>
        <v>1E-4</v>
      </c>
      <c r="EK136" s="99">
        <f>IF(AND(Database!JU75&gt;1,Database!JU68&gt;1),100*(Database!JU75/(Database!JU68)),0.0001)</f>
        <v>1E-4</v>
      </c>
      <c r="EL136" s="99">
        <f>IF(AND(Database!JW75&gt;1,Database!JW68&gt;1),100*(Database!JW75/(Database!JW68)),0.0001)</f>
        <v>1E-4</v>
      </c>
      <c r="EM136" s="99">
        <f>IF(AND(Database!JY75&gt;1,Database!JY68&gt;1),100*(Database!JY75/(Database!JY68)),0.0001)</f>
        <v>1E-4</v>
      </c>
      <c r="EN136" s="99">
        <f>IF(AND(Database!KA75&gt;1,Database!KA68&gt;1),100*(Database!KA75/(Database!KA68)),0.0001)</f>
        <v>1E-4</v>
      </c>
      <c r="EO136" s="99">
        <f>IF(AND(Database!KC75&gt;1,Database!KC68&gt;1),100*(Database!KC75/(Database!KC68)),0.0001)</f>
        <v>1E-4</v>
      </c>
      <c r="EP136" s="99">
        <f>IF(AND(Database!KE75&gt;1,Database!KE68&gt;1),100*(Database!KE75/(Database!KE68)),0.0001)</f>
        <v>1E-4</v>
      </c>
      <c r="EQ136" s="99">
        <f>IF(AND(Database!KG75&gt;1,Database!KG68&gt;1),100*(Database!KG75/(Database!KG68)),0.0001)</f>
        <v>1E-4</v>
      </c>
      <c r="ER136" s="99">
        <f>IF(AND(Database!KI75&gt;1,Database!KI68&gt;1),100*(Database!KI75/(Database!KI68)),0.0001)</f>
        <v>1E-4</v>
      </c>
      <c r="ES136" s="99">
        <f>IF(AND(Database!KK75&gt;1,Database!KK68&gt;1),100*(Database!KK75/(Database!KK68)),0.0001)</f>
        <v>1E-4</v>
      </c>
      <c r="ET136" s="99">
        <f>IF(AND(Database!KM75&gt;1,Database!KM68&gt;1),100*(Database!KM75/(Database!KM68)),0.0001)</f>
        <v>1E-4</v>
      </c>
      <c r="EU136" s="99">
        <f>IF(AND(Database!KO75&gt;1,Database!KO68&gt;1),100*(Database!KO75/(Database!KO68)),0.0001)</f>
        <v>1E-4</v>
      </c>
      <c r="EV136" s="99">
        <f>IF(AND(Database!KQ75&gt;1,Database!KQ68&gt;1),100*(Database!KQ75/(Database!KQ68)),0.0001)</f>
        <v>1E-4</v>
      </c>
      <c r="EW136" s="99">
        <f>IF(AND(Database!KS75&gt;1,Database!KS68&gt;1),100*(Database!KS75/(Database!KS68)),0.0001)</f>
        <v>1E-4</v>
      </c>
      <c r="EX136" s="99">
        <f>IF(AND(Database!KU75&gt;1,Database!KU68&gt;1),100*(Database!KU75/(Database!KU68)),0.0001)</f>
        <v>1E-4</v>
      </c>
      <c r="EY136" s="99">
        <f>IF(AND(Database!KW75&gt;1,Database!KW68&gt;1),100*(Database!KW75/(Database!KW68)),0.0001)</f>
        <v>1E-4</v>
      </c>
      <c r="EZ136" s="99">
        <f>IF(AND(Database!KY75&gt;1,Database!KY68&gt;1),100*(Database!KY75/(Database!KY68)),0.0001)</f>
        <v>1E-4</v>
      </c>
      <c r="FA136" s="99">
        <f>IF(AND(Database!LA75&gt;1,Database!LA68&gt;1),100*(Database!LA75/(Database!LA68)),0.0001)</f>
        <v>1E-4</v>
      </c>
      <c r="FB136" s="99">
        <f>IF(AND(Database!LC75&gt;1,Database!LC68&gt;1),100*(Database!LC75/(Database!LC68)),0.0001)</f>
        <v>1E-4</v>
      </c>
      <c r="FC136" s="99">
        <f>IF(AND(Database!LE75&gt;1,Database!LE68&gt;1),100*(Database!LE75/(Database!LE68)),0.0001)</f>
        <v>1E-4</v>
      </c>
      <c r="FD136" s="99">
        <f>IF(AND(Database!LG75&gt;1,Database!LG68&gt;1),100*(Database!LG75/(Database!LG68)),0.0001)</f>
        <v>1E-4</v>
      </c>
      <c r="FE136" s="99">
        <f>IF(AND(Database!LI75&gt;1,Database!LI68&gt;1),100*(Database!LI75/(Database!LI68)),0.0001)</f>
        <v>1E-4</v>
      </c>
      <c r="FF136" s="99">
        <f>IF(AND(Database!LK75&gt;1,Database!LK68&gt;1),100*(Database!LK75/(Database!LK68)),0.0001)</f>
        <v>1E-4</v>
      </c>
      <c r="FG136" s="99">
        <f>IF(AND(Database!LM75&gt;1,Database!LM68&gt;1),100*(Database!LM75/(Database!LM68)),0.0001)</f>
        <v>1E-4</v>
      </c>
      <c r="FH136" s="99">
        <f>IF(AND(Database!LO75&gt;1,Database!LO68&gt;1),100*(Database!LO75/(Database!LO68)),0.0001)</f>
        <v>1E-4</v>
      </c>
      <c r="FI136" s="99">
        <f>IF(AND(Database!LQ75&gt;1,Database!LQ68&gt;1),100*(Database!LQ75/(Database!LQ68)),0.0001)</f>
        <v>1E-4</v>
      </c>
      <c r="FJ136" s="99">
        <f>IF(AND(Database!LS75&gt;1,Database!LS68&gt;1),100*(Database!LS75/(Database!LS68)),0.0001)</f>
        <v>1E-4</v>
      </c>
      <c r="FK136" s="99">
        <f>IF(AND(Database!LU75&gt;1,Database!LU68&gt;1),100*(Database!LU75/(Database!LU68)),0.0001)</f>
        <v>1E-4</v>
      </c>
      <c r="FL136" s="99">
        <f>IF(AND(Database!LW75&gt;1,Database!LW68&gt;1),100*(Database!LW75/(Database!LW68)),0.0001)</f>
        <v>1E-4</v>
      </c>
      <c r="FM136" s="99">
        <f>IF(AND(Database!LY75&gt;1,Database!LY68&gt;1),100*(Database!LY75/(Database!LY68)),0.0001)</f>
        <v>1E-4</v>
      </c>
      <c r="FN136" s="99">
        <f>IF(AND(Database!MA75&gt;1,Database!MA68&gt;1),100*(Database!MA75/(Database!MA68)),0.0001)</f>
        <v>1E-4</v>
      </c>
      <c r="FO136" s="99">
        <f>IF(AND(Database!MC75&gt;1,Database!MC68&gt;1),100*(Database!MC75/(Database!MC68)),0.0001)</f>
        <v>1E-4</v>
      </c>
      <c r="FP136" s="99">
        <f>IF(AND(Database!ME75&gt;1,Database!ME68&gt;1),100*(Database!ME75/(Database!ME68)),0.0001)</f>
        <v>1E-4</v>
      </c>
      <c r="FQ136" s="99">
        <f>IF(AND(Database!MG75&gt;1,Database!MG68&gt;1),100*(Database!MG75/(Database!MG68)),0.0001)</f>
        <v>1E-4</v>
      </c>
      <c r="FR136" s="99">
        <f>IF(AND(Database!MI75&gt;1,Database!MI68&gt;1),100*(Database!MI75/(Database!MI68)),0.0001)</f>
        <v>1E-4</v>
      </c>
      <c r="FS136" s="99">
        <f>IF(AND(Database!MK75&gt;1,Database!MK68&gt;1),100*(Database!MK75/(Database!MK68)),0.0001)</f>
        <v>1E-4</v>
      </c>
      <c r="FT136" s="99">
        <f>IF(AND(Database!MM75&gt;1,Database!MM68&gt;1),100*(Database!MM75/(Database!MM68)),0.0001)</f>
        <v>1E-4</v>
      </c>
      <c r="FU136" s="99">
        <f>IF(AND(Database!MO75&gt;1,Database!MO68&gt;1),100*(Database!MO75/(Database!MO68)),0.0001)</f>
        <v>1E-4</v>
      </c>
      <c r="FV136" s="99">
        <f>IF(AND(Database!MQ75&gt;1,Database!MQ68&gt;1),100*(Database!MQ75/(Database!MQ68)),0.0001)</f>
        <v>1E-4</v>
      </c>
      <c r="FW136" s="99">
        <f>IF(AND(Database!MS75&gt;1,Database!MS68&gt;1),100*(Database!MS75/(Database!MS68)),0.0001)</f>
        <v>1E-4</v>
      </c>
      <c r="FX136" s="99">
        <f>IF(AND(Database!MU75&gt;1,Database!MU68&gt;1),100*(Database!MU75/(Database!MU68)),0.0001)</f>
        <v>1E-4</v>
      </c>
      <c r="FY136" s="99">
        <f>IF(AND(Database!MW75&gt;1,Database!MW68&gt;1),100*(Database!MW75/(Database!MW68)),0.0001)</f>
        <v>1E-4</v>
      </c>
      <c r="FZ136" s="99">
        <f>IF(AND(Database!MY75&gt;1,Database!MY68&gt;1),100*(Database!MY75/(Database!MY68)),0.0001)</f>
        <v>1E-4</v>
      </c>
      <c r="GA136" s="99">
        <f>IF(AND(Database!NA75&gt;1,Database!NA68&gt;1),100*(Database!NA75/(Database!NA68)),0.0001)</f>
        <v>1E-4</v>
      </c>
      <c r="GB136" s="99">
        <f>IF(AND(Database!NC75&gt;1,Database!NC68&gt;1),100*(Database!NC75/(Database!NC68)),0.0001)</f>
        <v>1E-4</v>
      </c>
      <c r="GC136" s="99">
        <f>IF(AND(Database!NE75&gt;1,Database!NE68&gt;1),100*(Database!NE75/(Database!NE68)),0.0001)</f>
        <v>1E-4</v>
      </c>
      <c r="GD136" s="99">
        <f>IF(AND(Database!NG75&gt;1,Database!NG68&gt;1),100*(Database!NG75/(Database!NG68)),0.0001)</f>
        <v>1E-4</v>
      </c>
      <c r="GE136" s="99">
        <f>IF(AND(Database!NI75&gt;1,Database!NI68&gt;1),100*(Database!NI75/(Database!NI68)),0.0001)</f>
        <v>1E-4</v>
      </c>
      <c r="GF136" s="99">
        <f>IF(AND(Database!NK75&gt;1,Database!NK68&gt;1),100*(Database!NK75/(Database!NK68)),0.0001)</f>
        <v>1E-4</v>
      </c>
      <c r="GG136" s="99">
        <f>IF(AND(Database!NM75&gt;1,Database!NM68&gt;1),100*(Database!NM75/(Database!NM68)),0.0001)</f>
        <v>1E-4</v>
      </c>
      <c r="GH136" s="99">
        <f>IF(AND(Database!NO75&gt;1,Database!NO68&gt;1),100*(Database!NO75/(Database!NO68)),0.0001)</f>
        <v>1E-4</v>
      </c>
      <c r="GI136" s="99">
        <f>IF(AND(Database!NQ75&gt;1,Database!NQ68&gt;1),100*(Database!NQ75/(Database!NQ68)),0.0001)</f>
        <v>1E-4</v>
      </c>
      <c r="GJ136" s="99">
        <f>IF(AND(Database!NS75&gt;1,Database!NS68&gt;1),100*(Database!NS75/(Database!NS68)),0.0001)</f>
        <v>1E-4</v>
      </c>
      <c r="GK136" s="99">
        <f>IF(AND(Database!NU75&gt;1,Database!NU68&gt;1),100*(Database!NU75/(Database!NU68)),0.0001)</f>
        <v>1E-4</v>
      </c>
      <c r="GL136" s="99">
        <f>IF(AND(Database!NW75&gt;1,Database!NW68&gt;1),100*(Database!NW75/(Database!NW68)),0.0001)</f>
        <v>1E-4</v>
      </c>
      <c r="GM136" s="99">
        <f>IF(AND(Database!NY75&gt;1,Database!NY68&gt;1),100*(Database!NY75/(Database!NY68)),0.0001)</f>
        <v>1E-4</v>
      </c>
      <c r="GN136" s="99">
        <f>IF(AND(Database!OA75&gt;1,Database!OA68&gt;1),100*(Database!OA75/(Database!OA68)),0.0001)</f>
        <v>1E-4</v>
      </c>
      <c r="GO136" s="99">
        <f>IF(AND(Database!OC75&gt;1,Database!OC68&gt;1),100*(Database!OC75/(Database!OC68)),0.0001)</f>
        <v>1E-4</v>
      </c>
      <c r="GP136" s="99">
        <f>IF(AND(Database!OE75&gt;1,Database!OE68&gt;1),100*(Database!OE75/(Database!OE68)),0.0001)</f>
        <v>1E-4</v>
      </c>
      <c r="GQ136" s="99">
        <f>IF(AND(Database!OG75&gt;1,Database!OG68&gt;1),100*(Database!OG75/(Database!OG68)),0.0001)</f>
        <v>1E-4</v>
      </c>
      <c r="GR136" s="99">
        <f>IF(AND(Database!OI75&gt;1,Database!OI68&gt;1),100*(Database!OI75/(Database!OI68)),0.0001)</f>
        <v>1E-4</v>
      </c>
      <c r="GS136" s="99">
        <f>IF(AND(Database!OK75&gt;1,Database!OK68&gt;1),100*(Database!OK75/(Database!OK68)),0.0001)</f>
        <v>1E-4</v>
      </c>
      <c r="GT136" s="99">
        <f>IF(AND(Database!OM75&gt;1,Database!OM68&gt;1),100*(Database!OM75/(Database!OM68)),0.0001)</f>
        <v>1E-4</v>
      </c>
    </row>
    <row r="137" spans="1:205" ht="18.75" customHeight="1" x14ac:dyDescent="0.4">
      <c r="A137" s="29" t="s">
        <v>147</v>
      </c>
      <c r="B137" s="306"/>
      <c r="C137" s="99">
        <f>IF(AND(Database!E76&gt;1,Database!E74&gt;1),100*(Database!E76/(Database!E74)),0.0001)</f>
        <v>41.937495128984494</v>
      </c>
      <c r="D137" s="99">
        <f>IF(AND(Database!G76&gt;1,Database!G74&gt;1),100*(Database!G76/(Database!G74)),0.0001)</f>
        <v>30.723729044568625</v>
      </c>
      <c r="E137" s="99">
        <f>IF(AND(Database!I76&gt;1,Database!I74&gt;1),100*(Database!I76/(Database!I74)),0.0001)</f>
        <v>30.570499492418858</v>
      </c>
      <c r="F137" s="99">
        <f>IF(AND(Database!K76&gt;1,Database!K74&gt;1),100*(Database!K76/(Database!K74)),0.0001)</f>
        <v>30.846193990904347</v>
      </c>
      <c r="G137" s="99">
        <f>IF(AND(Database!M76&gt;1,Database!M74&gt;1),100*(Database!M76/(Database!M74)),0.0001)</f>
        <v>1E-4</v>
      </c>
      <c r="H137" s="99">
        <f>IF(AND(Database!O76&gt;1,Database!O74&gt;1),100*(Database!O76/(Database!O74)),0.0001)</f>
        <v>1E-4</v>
      </c>
      <c r="I137" s="99">
        <f>IF(AND(Database!Q76&gt;1,Database!Q74&gt;1),100*(Database!Q76/(Database!Q74)),0.0001)</f>
        <v>1E-4</v>
      </c>
      <c r="J137" s="99">
        <f>IF(AND(Database!S76&gt;1,Database!S74&gt;1),100*(Database!S76/(Database!S74)),0.0001)</f>
        <v>1E-4</v>
      </c>
      <c r="K137" s="99">
        <f>IF(AND(Database!U76&gt;1,Database!U74&gt;1),100*(Database!U76/(Database!U74)),0.0001)</f>
        <v>1E-4</v>
      </c>
      <c r="L137" s="99">
        <f>IF(AND(Database!W76&gt;1,Database!W74&gt;1),100*(Database!W76/(Database!W74)),0.0001)</f>
        <v>1E-4</v>
      </c>
      <c r="M137" s="99">
        <f>IF(AND(Database!Y76&gt;1,Database!Y74&gt;1),100*(Database!Y76/(Database!Y74)),0.0001)</f>
        <v>1E-4</v>
      </c>
      <c r="N137" s="99">
        <f>IF(AND(Database!AA76&gt;1,Database!AA74&gt;1),100*(Database!AA76/(Database!AA74)),0.0001)</f>
        <v>1E-4</v>
      </c>
      <c r="O137" s="99">
        <f>IF(AND(Database!AC76&gt;1,Database!AC74&gt;1),100*(Database!AC76/(Database!AC74)),0.0001)</f>
        <v>1E-4</v>
      </c>
      <c r="P137" s="99">
        <f>IF(AND(Database!AE76&gt;1,Database!AE74&gt;1),100*(Database!AE76/(Database!AE74)),0.0001)</f>
        <v>1E-4</v>
      </c>
      <c r="Q137" s="99">
        <f>IF(AND(Database!AG76&gt;1,Database!AG74&gt;1),100*(Database!AG76/(Database!AG74)),0.0001)</f>
        <v>1E-4</v>
      </c>
      <c r="R137" s="99">
        <f>IF(AND(Database!AI76&gt;1,Database!AI74&gt;1),100*(Database!AI76/(Database!AI74)),0.0001)</f>
        <v>1E-4</v>
      </c>
      <c r="S137" s="99">
        <f>IF(AND(Database!AK76&gt;1,Database!AK74&gt;1),100*(Database!AK76/(Database!AK74)),0.0001)</f>
        <v>1E-4</v>
      </c>
      <c r="T137" s="99">
        <f>IF(AND(Database!AM76&gt;1,Database!AM74&gt;1),100*(Database!AM76/(Database!AM74)),0.0001)</f>
        <v>1E-4</v>
      </c>
      <c r="U137" s="99">
        <f>IF(AND(Database!AO76&gt;1,Database!AO74&gt;1),100*(Database!AO76/(Database!AO74)),0.0001)</f>
        <v>1E-4</v>
      </c>
      <c r="V137" s="99">
        <f>IF(AND(Database!AQ76&gt;1,Database!AQ74&gt;1),100*(Database!AQ76/(Database!AQ74)),0.0001)</f>
        <v>1E-4</v>
      </c>
      <c r="W137" s="99">
        <f>IF(AND(Database!AS76&gt;1,Database!AS74&gt;1),100*(Database!AS76/(Database!AS74)),0.0001)</f>
        <v>1E-4</v>
      </c>
      <c r="X137" s="99">
        <f>IF(AND(Database!AU76&gt;1,Database!AU74&gt;1),100*(Database!AU76/(Database!AU74)),0.0001)</f>
        <v>1E-4</v>
      </c>
      <c r="Y137" s="99">
        <f>IF(AND(Database!AW76&gt;1,Database!AW74&gt;1),100*(Database!AW76/(Database!AW74)),0.0001)</f>
        <v>1E-4</v>
      </c>
      <c r="Z137" s="99">
        <f>IF(AND(Database!AY76&gt;1,Database!AY74&gt;1),100*(Database!AY76/(Database!AY74)),0.0001)</f>
        <v>1E-4</v>
      </c>
      <c r="AA137" s="99">
        <f>IF(AND(Database!BA76&gt;1,Database!BA74&gt;1),100*(Database!BA76/(Database!BA74)),0.0001)</f>
        <v>1E-4</v>
      </c>
      <c r="AB137" s="99">
        <f>IF(AND(Database!BC76&gt;1,Database!BC74&gt;1),100*(Database!BC76/(Database!BC74)),0.0001)</f>
        <v>1E-4</v>
      </c>
      <c r="AC137" s="99">
        <f>IF(AND(Database!BE76&gt;1,Database!BE74&gt;1),100*(Database!BE76/(Database!BE74)),0.0001)</f>
        <v>1E-4</v>
      </c>
      <c r="AD137" s="99">
        <f>IF(AND(Database!BG76&gt;1,Database!BG74&gt;1),100*(Database!BG76/(Database!BG74)),0.0001)</f>
        <v>1E-4</v>
      </c>
      <c r="AE137" s="99">
        <f>IF(AND(Database!BI76&gt;1,Database!BI74&gt;1),100*(Database!BI76/(Database!BI74)),0.0001)</f>
        <v>1E-4</v>
      </c>
      <c r="AF137" s="99">
        <f>IF(AND(Database!BK76&gt;1,Database!BK74&gt;1),100*(Database!BK76/(Database!BK74)),0.0001)</f>
        <v>1E-4</v>
      </c>
      <c r="AG137" s="99">
        <f>IF(AND(Database!BM76&gt;1,Database!BM74&gt;1),100*(Database!BM76/(Database!BM74)),0.0001)</f>
        <v>1E-4</v>
      </c>
      <c r="AH137" s="99">
        <f>IF(AND(Database!BO76&gt;1,Database!BO74&gt;1),100*(Database!BO76/(Database!BO74)),0.0001)</f>
        <v>1E-4</v>
      </c>
      <c r="AI137" s="99">
        <f>IF(AND(Database!BQ76&gt;1,Database!BQ74&gt;1),100*(Database!BQ76/(Database!BQ74)),0.0001)</f>
        <v>1E-4</v>
      </c>
      <c r="AJ137" s="99">
        <f>IF(AND(Database!BS76&gt;1,Database!BS74&gt;1),100*(Database!BS76/(Database!BS74)),0.0001)</f>
        <v>1E-4</v>
      </c>
      <c r="AK137" s="99">
        <f>IF(AND(Database!BU76&gt;1,Database!BU74&gt;1),100*(Database!BU76/(Database!BU74)),0.0001)</f>
        <v>1E-4</v>
      </c>
      <c r="AL137" s="99">
        <f>IF(AND(Database!BW76&gt;1,Database!BW74&gt;1),100*(Database!BW76/(Database!BW74)),0.0001)</f>
        <v>1E-4</v>
      </c>
      <c r="AM137" s="99">
        <f>IF(AND(Database!BY76&gt;1,Database!BY74&gt;1),100*(Database!BY76/(Database!BY74)),0.0001)</f>
        <v>1E-4</v>
      </c>
      <c r="AN137" s="99">
        <f>IF(AND(Database!CA76&gt;1,Database!CA74&gt;1),100*(Database!CA76/(Database!CA74)),0.0001)</f>
        <v>1E-4</v>
      </c>
      <c r="AO137" s="99">
        <f>IF(AND(Database!CC76&gt;1,Database!CC74&gt;1),100*(Database!CC76/(Database!CC74)),0.0001)</f>
        <v>1E-4</v>
      </c>
      <c r="AP137" s="99">
        <f>IF(AND(Database!CE76&gt;1,Database!CE74&gt;1),100*(Database!CE76/(Database!CE74)),0.0001)</f>
        <v>1E-4</v>
      </c>
      <c r="AQ137" s="99">
        <f>IF(AND(Database!CG76&gt;1,Database!CG74&gt;1),100*(Database!CG76/(Database!CG74)),0.0001)</f>
        <v>1E-4</v>
      </c>
      <c r="AR137" s="99">
        <f>IF(AND(Database!CI76&gt;1,Database!CI74&gt;1),100*(Database!CI76/(Database!CI74)),0.0001)</f>
        <v>1E-4</v>
      </c>
      <c r="AS137" s="99">
        <f>IF(AND(Database!CK76&gt;1,Database!CK74&gt;1),100*(Database!CK76/(Database!CK74)),0.0001)</f>
        <v>1E-4</v>
      </c>
      <c r="AT137" s="99">
        <f>IF(AND(Database!CM76&gt;1,Database!CM74&gt;1),100*(Database!CM76/(Database!CM74)),0.0001)</f>
        <v>1E-4</v>
      </c>
      <c r="AU137" s="99">
        <f>IF(AND(Database!CO76&gt;1,Database!CO74&gt;1),100*(Database!CO76/(Database!CO74)),0.0001)</f>
        <v>1E-4</v>
      </c>
      <c r="AV137" s="99">
        <f>IF(AND(Database!CQ76&gt;1,Database!CQ74&gt;1),100*(Database!CQ76/(Database!CQ74)),0.0001)</f>
        <v>1E-4</v>
      </c>
      <c r="AW137" s="99">
        <f>IF(AND(Database!CS76&gt;1,Database!CS74&gt;1),100*(Database!CS76/(Database!CS74)),0.0001)</f>
        <v>1E-4</v>
      </c>
      <c r="AX137" s="99">
        <f>IF(AND(Database!CU76&gt;1,Database!CU74&gt;1),100*(Database!CU76/(Database!CU74)),0.0001)</f>
        <v>1E-4</v>
      </c>
      <c r="AY137" s="99">
        <f>IF(AND(Database!CW76&gt;1,Database!CW74&gt;1),100*(Database!CW76/(Database!CW74)),0.0001)</f>
        <v>1E-4</v>
      </c>
      <c r="AZ137" s="99">
        <f>IF(AND(Database!CY76&gt;1,Database!CY74&gt;1),100*(Database!CY76/(Database!CY74)),0.0001)</f>
        <v>1E-4</v>
      </c>
      <c r="BA137" s="99">
        <f>IF(AND(Database!DA76&gt;1,Database!DA74&gt;1),100*(Database!DA76/(Database!DA74)),0.0001)</f>
        <v>1E-4</v>
      </c>
      <c r="BB137" s="99">
        <f>IF(AND(Database!DC76&gt;1,Database!DC74&gt;1),100*(Database!DC76/(Database!DC74)),0.0001)</f>
        <v>1E-4</v>
      </c>
      <c r="BC137" s="99">
        <f>IF(AND(Database!DE76&gt;1,Database!DE74&gt;1),100*(Database!DE76/(Database!DE74)),0.0001)</f>
        <v>1E-4</v>
      </c>
      <c r="BD137" s="99">
        <f>IF(AND(Database!DG76&gt;1,Database!DG74&gt;1),100*(Database!DG76/(Database!DG74)),0.0001)</f>
        <v>1E-4</v>
      </c>
      <c r="BE137" s="99">
        <f>IF(AND(Database!DI76&gt;1,Database!DI74&gt;1),100*(Database!DI76/(Database!DI74)),0.0001)</f>
        <v>1E-4</v>
      </c>
      <c r="BF137" s="99">
        <f>IF(AND(Database!DK76&gt;1,Database!DK74&gt;1),100*(Database!DK76/(Database!DK74)),0.0001)</f>
        <v>1E-4</v>
      </c>
      <c r="BG137" s="99">
        <f>IF(AND(Database!DM76&gt;1,Database!DM74&gt;1),100*(Database!DM76/(Database!DM74)),0.0001)</f>
        <v>1E-4</v>
      </c>
      <c r="BH137" s="99">
        <f>IF(AND(Database!DO76&gt;1,Database!DO74&gt;1),100*(Database!DO76/(Database!DO74)),0.0001)</f>
        <v>1E-4</v>
      </c>
      <c r="BI137" s="99">
        <f>IF(AND(Database!DQ76&gt;1,Database!DQ74&gt;1),100*(Database!DQ76/(Database!DQ74)),0.0001)</f>
        <v>1E-4</v>
      </c>
      <c r="BJ137" s="99">
        <f>IF(AND(Database!DS76&gt;1,Database!DS74&gt;1),100*(Database!DS76/(Database!DS74)),0.0001)</f>
        <v>1E-4</v>
      </c>
      <c r="BK137" s="99">
        <f>IF(AND(Database!DU76&gt;1,Database!DU74&gt;1),100*(Database!DU76/(Database!DU74)),0.0001)</f>
        <v>1E-4</v>
      </c>
      <c r="BL137" s="99">
        <f>IF(AND(Database!DW76&gt;1,Database!DW74&gt;1),100*(Database!DW76/(Database!DW74)),0.0001)</f>
        <v>1E-4</v>
      </c>
      <c r="BM137" s="99">
        <f>IF(AND(Database!DY76&gt;1,Database!DY74&gt;1),100*(Database!DY76/(Database!DY74)),0.0001)</f>
        <v>1E-4</v>
      </c>
      <c r="BN137" s="99">
        <f>IF(AND(Database!EA76&gt;1,Database!EA74&gt;1),100*(Database!EA76/(Database!EA74)),0.0001)</f>
        <v>1E-4</v>
      </c>
      <c r="BO137" s="99">
        <f>IF(AND(Database!EC76&gt;1,Database!EC74&gt;1),100*(Database!EC76/(Database!EC74)),0.0001)</f>
        <v>1E-4</v>
      </c>
      <c r="BP137" s="99">
        <f>IF(AND(Database!EE76&gt;1,Database!EE74&gt;1),100*(Database!EE76/(Database!EE74)),0.0001)</f>
        <v>1E-4</v>
      </c>
      <c r="BQ137" s="99">
        <f>IF(AND(Database!EG76&gt;1,Database!EG74&gt;1),100*(Database!EG76/(Database!EG74)),0.0001)</f>
        <v>1E-4</v>
      </c>
      <c r="BR137" s="99">
        <f>IF(AND(Database!EI76&gt;1,Database!EI74&gt;1),100*(Database!EI76/(Database!EI74)),0.0001)</f>
        <v>1E-4</v>
      </c>
      <c r="BS137" s="99">
        <f>IF(AND(Database!EK76&gt;1,Database!EK74&gt;1),100*(Database!EK76/(Database!EK74)),0.0001)</f>
        <v>1E-4</v>
      </c>
      <c r="BT137" s="99">
        <f>IF(AND(Database!EM76&gt;1,Database!EM74&gt;1),100*(Database!EM76/(Database!EM74)),0.0001)</f>
        <v>1E-4</v>
      </c>
      <c r="BU137" s="99">
        <f>IF(AND(Database!EO76&gt;1,Database!EO74&gt;1),100*(Database!EO76/(Database!EO74)),0.0001)</f>
        <v>1E-4</v>
      </c>
      <c r="BV137" s="99">
        <f>IF(AND(Database!EQ76&gt;1,Database!EQ74&gt;1),100*(Database!EQ76/(Database!EQ74)),0.0001)</f>
        <v>1E-4</v>
      </c>
      <c r="BW137" s="99">
        <f>IF(AND(Database!ES76&gt;1,Database!ES74&gt;1),100*(Database!ES76/(Database!ES74)),0.0001)</f>
        <v>1E-4</v>
      </c>
      <c r="BX137" s="99">
        <f>IF(AND(Database!EU76&gt;1,Database!EU74&gt;1),100*(Database!EU76/(Database!EU74)),0.0001)</f>
        <v>1E-4</v>
      </c>
      <c r="BY137" s="99">
        <f>IF(AND(Database!EW76&gt;1,Database!EW74&gt;1),100*(Database!EW76/(Database!EW74)),0.0001)</f>
        <v>1E-4</v>
      </c>
      <c r="BZ137" s="99">
        <f>IF(AND(Database!EY76&gt;1,Database!EY74&gt;1),100*(Database!EY76/(Database!EY74)),0.0001)</f>
        <v>1E-4</v>
      </c>
      <c r="CA137" s="99">
        <f>IF(AND(Database!FA76&gt;1,Database!FA74&gt;1),100*(Database!FA76/(Database!FA74)),0.0001)</f>
        <v>1E-4</v>
      </c>
      <c r="CB137" s="99">
        <f>IF(AND(Database!FC76&gt;1,Database!FC74&gt;1),100*(Database!FC76/(Database!FC74)),0.0001)</f>
        <v>1E-4</v>
      </c>
      <c r="CC137" s="99">
        <f>IF(AND(Database!FE76&gt;1,Database!FE74&gt;1),100*(Database!FE76/(Database!FE74)),0.0001)</f>
        <v>1E-4</v>
      </c>
      <c r="CD137" s="99">
        <f>IF(AND(Database!FG76&gt;1,Database!FG74&gt;1),100*(Database!FG76/(Database!FG74)),0.0001)</f>
        <v>1E-4</v>
      </c>
      <c r="CE137" s="99">
        <f>IF(AND(Database!FI76&gt;1,Database!FI74&gt;1),100*(Database!FI76/(Database!FI74)),0.0001)</f>
        <v>1E-4</v>
      </c>
      <c r="CF137" s="99">
        <f>IF(AND(Database!FK76&gt;1,Database!FK74&gt;1),100*(Database!FK76/(Database!FK74)),0.0001)</f>
        <v>1E-4</v>
      </c>
      <c r="CG137" s="99">
        <f>IF(AND(Database!FM76&gt;1,Database!FM74&gt;1),100*(Database!FM76/(Database!FM74)),0.0001)</f>
        <v>1E-4</v>
      </c>
      <c r="CH137" s="99">
        <f>IF(AND(Database!FO76&gt;1,Database!FO74&gt;1),100*(Database!FO76/(Database!FO74)),0.0001)</f>
        <v>1E-4</v>
      </c>
      <c r="CI137" s="99">
        <f>IF(AND(Database!FQ76&gt;1,Database!FQ74&gt;1),100*(Database!FQ76/(Database!FQ74)),0.0001)</f>
        <v>1E-4</v>
      </c>
      <c r="CJ137" s="99">
        <f>IF(AND(Database!FS76&gt;1,Database!FS74&gt;1),100*(Database!FS76/(Database!FS74)),0.0001)</f>
        <v>1E-4</v>
      </c>
      <c r="CK137" s="99">
        <f>IF(AND(Database!FU76&gt;1,Database!FU74&gt;1),100*(Database!FU76/(Database!FU74)),0.0001)</f>
        <v>1E-4</v>
      </c>
      <c r="CL137" s="99">
        <f>IF(AND(Database!FW76&gt;1,Database!FW74&gt;1),100*(Database!FW76/(Database!FW74)),0.0001)</f>
        <v>1E-4</v>
      </c>
      <c r="CM137" s="99">
        <f>IF(AND(Database!FY76&gt;1,Database!FY74&gt;1),100*(Database!FY76/(Database!FY74)),0.0001)</f>
        <v>1E-4</v>
      </c>
      <c r="CN137" s="99">
        <f>IF(AND(Database!GA76&gt;1,Database!GA74&gt;1),100*(Database!GA76/(Database!GA74)),0.0001)</f>
        <v>1E-4</v>
      </c>
      <c r="CO137" s="99">
        <f>IF(AND(Database!GC76&gt;1,Database!GC74&gt;1),100*(Database!GC76/(Database!GC74)),0.0001)</f>
        <v>1E-4</v>
      </c>
      <c r="CP137" s="99">
        <f>IF(AND(Database!GE76&gt;1,Database!GE74&gt;1),100*(Database!GE76/(Database!GE74)),0.0001)</f>
        <v>1E-4</v>
      </c>
      <c r="CQ137" s="99">
        <f>IF(AND(Database!GG76&gt;1,Database!GG74&gt;1),100*(Database!GG76/(Database!GG74)),0.0001)</f>
        <v>1E-4</v>
      </c>
      <c r="CR137" s="99">
        <f>IF(AND(Database!GI76&gt;1,Database!GI74&gt;1),100*(Database!GI76/(Database!GI74)),0.0001)</f>
        <v>1E-4</v>
      </c>
      <c r="CS137" s="99">
        <f>IF(AND(Database!GK76&gt;1,Database!GK74&gt;1),100*(Database!GK76/(Database!GK74)),0.0001)</f>
        <v>1E-4</v>
      </c>
      <c r="CT137" s="99">
        <f>IF(AND(Database!GM76&gt;1,Database!GM74&gt;1),100*(Database!GM76/(Database!GM74)),0.0001)</f>
        <v>1E-4</v>
      </c>
      <c r="CU137" s="99">
        <f>IF(AND(Database!GO76&gt;1,Database!GO74&gt;1),100*(Database!GO76/(Database!GO74)),0.0001)</f>
        <v>1E-4</v>
      </c>
      <c r="CV137" s="99">
        <f>IF(AND(Database!GQ76&gt;1,Database!GQ74&gt;1),100*(Database!GQ76/(Database!GQ74)),0.0001)</f>
        <v>1E-4</v>
      </c>
      <c r="CW137" s="99">
        <f>IF(AND(Database!GS76&gt;1,Database!GS74&gt;1),100*(Database!GS76/(Database!GS74)),0.0001)</f>
        <v>1E-4</v>
      </c>
      <c r="CX137" s="99">
        <f>IF(AND(Database!GU76&gt;1,Database!GU74&gt;1),100*(Database!GU76/(Database!GU74)),0.0001)</f>
        <v>1E-4</v>
      </c>
      <c r="CY137" s="99">
        <f>IF(AND(Database!GW76&gt;1,Database!GW74&gt;1),100*(Database!GW76/(Database!GW74)),0.0001)</f>
        <v>1E-4</v>
      </c>
      <c r="CZ137" s="99">
        <f>IF(AND(Database!GY76&gt;1,Database!GY74&gt;1),100*(Database!GY76/(Database!GY74)),0.0001)</f>
        <v>1E-4</v>
      </c>
      <c r="DA137" s="99">
        <f>IF(AND(Database!HA76&gt;1,Database!HA74&gt;1),100*(Database!HA76/(Database!HA74)),0.0001)</f>
        <v>1E-4</v>
      </c>
      <c r="DB137" s="99">
        <f>IF(AND(Database!HC76&gt;1,Database!HC74&gt;1),100*(Database!HC76/(Database!HC74)),0.0001)</f>
        <v>1E-4</v>
      </c>
      <c r="DC137" s="99">
        <f>IF(AND(Database!HE76&gt;1,Database!HE74&gt;1),100*(Database!HE76/(Database!HE74)),0.0001)</f>
        <v>1E-4</v>
      </c>
      <c r="DD137" s="99">
        <f>IF(AND(Database!HG76&gt;1,Database!HG74&gt;1),100*(Database!HG76/(Database!HG74)),0.0001)</f>
        <v>1E-4</v>
      </c>
      <c r="DE137" s="99">
        <f>IF(AND(Database!HI76&gt;1,Database!HI74&gt;1),100*(Database!HI76/(Database!HI74)),0.0001)</f>
        <v>1E-4</v>
      </c>
      <c r="DF137" s="99">
        <f>IF(AND(Database!HK76&gt;1,Database!HK74&gt;1),100*(Database!HK76/(Database!HK74)),0.0001)</f>
        <v>1E-4</v>
      </c>
      <c r="DG137" s="99">
        <f>IF(AND(Database!HM76&gt;1,Database!HM74&gt;1),100*(Database!HM76/(Database!HM74)),0.0001)</f>
        <v>1E-4</v>
      </c>
      <c r="DH137" s="99">
        <f>IF(AND(Database!HO76&gt;1,Database!HO74&gt;1),100*(Database!HO76/(Database!HO74)),0.0001)</f>
        <v>1E-4</v>
      </c>
      <c r="DI137" s="99">
        <f>IF(AND(Database!HQ76&gt;1,Database!HQ74&gt;1),100*(Database!HQ76/(Database!HQ74)),0.0001)</f>
        <v>1E-4</v>
      </c>
      <c r="DJ137" s="99">
        <f>IF(AND(Database!HS76&gt;1,Database!HS74&gt;1),100*(Database!HS76/(Database!HS74)),0.0001)</f>
        <v>1E-4</v>
      </c>
      <c r="DK137" s="99">
        <f>IF(AND(Database!HU76&gt;1,Database!HU74&gt;1),100*(Database!HU76/(Database!HU74)),0.0001)</f>
        <v>1E-4</v>
      </c>
      <c r="DL137" s="99">
        <f>IF(AND(Database!HW76&gt;1,Database!HW74&gt;1),100*(Database!HW76/(Database!HW74)),0.0001)</f>
        <v>1E-4</v>
      </c>
      <c r="DM137" s="99">
        <f>IF(AND(Database!HY76&gt;1,Database!HY74&gt;1),100*(Database!HY76/(Database!HY74)),0.0001)</f>
        <v>1E-4</v>
      </c>
      <c r="DN137" s="99">
        <f>IF(AND(Database!IA76&gt;1,Database!IA74&gt;1),100*(Database!IA76/(Database!IA74)),0.0001)</f>
        <v>1E-4</v>
      </c>
      <c r="DO137" s="99">
        <f>IF(AND(Database!IC76&gt;1,Database!IC74&gt;1),100*(Database!IC76/(Database!IC74)),0.0001)</f>
        <v>1E-4</v>
      </c>
      <c r="DP137" s="99">
        <f>IF(AND(Database!IE76&gt;1,Database!IE74&gt;1),100*(Database!IE76/(Database!IE74)),0.0001)</f>
        <v>1E-4</v>
      </c>
      <c r="DQ137" s="99">
        <f>IF(AND(Database!IG76&gt;1,Database!IG74&gt;1),100*(Database!IG76/(Database!IG74)),0.0001)</f>
        <v>1E-4</v>
      </c>
      <c r="DR137" s="99">
        <f>IF(AND(Database!II76&gt;1,Database!II74&gt;1),100*(Database!II76/(Database!II74)),0.0001)</f>
        <v>1E-4</v>
      </c>
      <c r="DS137" s="99">
        <f>IF(AND(Database!IK76&gt;1,Database!IK74&gt;1),100*(Database!IK76/(Database!IK74)),0.0001)</f>
        <v>1E-4</v>
      </c>
      <c r="DT137" s="99">
        <f>IF(AND(Database!IM76&gt;1,Database!IM74&gt;1),100*(Database!IM76/(Database!IM74)),0.0001)</f>
        <v>1E-4</v>
      </c>
      <c r="DU137" s="99">
        <f>IF(AND(Database!IO76&gt;1,Database!IO74&gt;1),100*(Database!IO76/(Database!IO74)),0.0001)</f>
        <v>1E-4</v>
      </c>
      <c r="DV137" s="99">
        <f>IF(AND(Database!IQ76&gt;1,Database!IQ74&gt;1),100*(Database!IQ76/(Database!IQ74)),0.0001)</f>
        <v>1E-4</v>
      </c>
      <c r="DW137" s="99">
        <f>IF(AND(Database!IS76&gt;1,Database!IS74&gt;1),100*(Database!IS76/(Database!IS74)),0.0001)</f>
        <v>1E-4</v>
      </c>
      <c r="DX137" s="99">
        <f>IF(AND(Database!IU76&gt;1,Database!IU74&gt;1),100*(Database!IU76/(Database!IU74)),0.0001)</f>
        <v>1E-4</v>
      </c>
      <c r="DY137" s="99">
        <f>IF(AND(Database!IW76&gt;1,Database!IW74&gt;1),100*(Database!IW76/(Database!IW74)),0.0001)</f>
        <v>1E-4</v>
      </c>
      <c r="DZ137" s="99">
        <f>IF(AND(Database!IY76&gt;1,Database!IY74&gt;1),100*(Database!IY76/(Database!IY74)),0.0001)</f>
        <v>1E-4</v>
      </c>
      <c r="EA137" s="99">
        <f>IF(AND(Database!JA76&gt;1,Database!JA74&gt;1),100*(Database!JA76/(Database!JA74)),0.0001)</f>
        <v>1E-4</v>
      </c>
      <c r="EB137" s="99">
        <f>IF(AND(Database!JC76&gt;1,Database!JC74&gt;1),100*(Database!JC76/(Database!JC74)),0.0001)</f>
        <v>1E-4</v>
      </c>
      <c r="EC137" s="99">
        <f>IF(AND(Database!JE76&gt;1,Database!JE74&gt;1),100*(Database!JE76/(Database!JE74)),0.0001)</f>
        <v>1E-4</v>
      </c>
      <c r="ED137" s="99">
        <f>IF(AND(Database!JG76&gt;1,Database!JG74&gt;1),100*(Database!JG76/(Database!JG74)),0.0001)</f>
        <v>1E-4</v>
      </c>
      <c r="EE137" s="99">
        <f>IF(AND(Database!JI76&gt;1,Database!JI74&gt;1),100*(Database!JI76/(Database!JI74)),0.0001)</f>
        <v>1E-4</v>
      </c>
      <c r="EF137" s="99">
        <f>IF(AND(Database!JK76&gt;1,Database!JK74&gt;1),100*(Database!JK76/(Database!JK74)),0.0001)</f>
        <v>1E-4</v>
      </c>
      <c r="EG137" s="99">
        <f>IF(AND(Database!JM76&gt;1,Database!JM74&gt;1),100*(Database!JM76/(Database!JM74)),0.0001)</f>
        <v>1E-4</v>
      </c>
      <c r="EH137" s="99">
        <f>IF(AND(Database!JO76&gt;1,Database!JO74&gt;1),100*(Database!JO76/(Database!JO74)),0.0001)</f>
        <v>1E-4</v>
      </c>
      <c r="EI137" s="99">
        <f>IF(AND(Database!JQ76&gt;1,Database!JQ74&gt;1),100*(Database!JQ76/(Database!JQ74)),0.0001)</f>
        <v>1E-4</v>
      </c>
      <c r="EJ137" s="99">
        <f>IF(AND(Database!JS76&gt;1,Database!JS74&gt;1),100*(Database!JS76/(Database!JS74)),0.0001)</f>
        <v>1E-4</v>
      </c>
      <c r="EK137" s="99">
        <f>IF(AND(Database!JU76&gt;1,Database!JU74&gt;1),100*(Database!JU76/(Database!JU74)),0.0001)</f>
        <v>1E-4</v>
      </c>
      <c r="EL137" s="99">
        <f>IF(AND(Database!JW76&gt;1,Database!JW74&gt;1),100*(Database!JW76/(Database!JW74)),0.0001)</f>
        <v>1E-4</v>
      </c>
      <c r="EM137" s="99">
        <f>IF(AND(Database!JY76&gt;1,Database!JY74&gt;1),100*(Database!JY76/(Database!JY74)),0.0001)</f>
        <v>1E-4</v>
      </c>
      <c r="EN137" s="99">
        <f>IF(AND(Database!KA76&gt;1,Database!KA74&gt;1),100*(Database!KA76/(Database!KA74)),0.0001)</f>
        <v>1E-4</v>
      </c>
      <c r="EO137" s="99">
        <f>IF(AND(Database!KC76&gt;1,Database!KC74&gt;1),100*(Database!KC76/(Database!KC74)),0.0001)</f>
        <v>1E-4</v>
      </c>
      <c r="EP137" s="99">
        <f>IF(AND(Database!KE76&gt;1,Database!KE74&gt;1),100*(Database!KE76/(Database!KE74)),0.0001)</f>
        <v>1E-4</v>
      </c>
      <c r="EQ137" s="99">
        <f>IF(AND(Database!KG76&gt;1,Database!KG74&gt;1),100*(Database!KG76/(Database!KG74)),0.0001)</f>
        <v>1E-4</v>
      </c>
      <c r="ER137" s="99">
        <f>IF(AND(Database!KI76&gt;1,Database!KI74&gt;1),100*(Database!KI76/(Database!KI74)),0.0001)</f>
        <v>1E-4</v>
      </c>
      <c r="ES137" s="99">
        <f>IF(AND(Database!KK76&gt;1,Database!KK74&gt;1),100*(Database!KK76/(Database!KK74)),0.0001)</f>
        <v>1E-4</v>
      </c>
      <c r="ET137" s="99">
        <f>IF(AND(Database!KM76&gt;1,Database!KM74&gt;1),100*(Database!KM76/(Database!KM74)),0.0001)</f>
        <v>1E-4</v>
      </c>
      <c r="EU137" s="99">
        <f>IF(AND(Database!KO76&gt;1,Database!KO74&gt;1),100*(Database!KO76/(Database!KO74)),0.0001)</f>
        <v>1E-4</v>
      </c>
      <c r="EV137" s="99">
        <f>IF(AND(Database!KQ76&gt;1,Database!KQ74&gt;1),100*(Database!KQ76/(Database!KQ74)),0.0001)</f>
        <v>1E-4</v>
      </c>
      <c r="EW137" s="99">
        <f>IF(AND(Database!KS76&gt;1,Database!KS74&gt;1),100*(Database!KS76/(Database!KS74)),0.0001)</f>
        <v>1E-4</v>
      </c>
      <c r="EX137" s="99">
        <f>IF(AND(Database!KU76&gt;1,Database!KU74&gt;1),100*(Database!KU76/(Database!KU74)),0.0001)</f>
        <v>1E-4</v>
      </c>
      <c r="EY137" s="99">
        <f>IF(AND(Database!KW76&gt;1,Database!KW74&gt;1),100*(Database!KW76/(Database!KW74)),0.0001)</f>
        <v>1E-4</v>
      </c>
      <c r="EZ137" s="99">
        <f>IF(AND(Database!KY76&gt;1,Database!KY74&gt;1),100*(Database!KY76/(Database!KY74)),0.0001)</f>
        <v>1E-4</v>
      </c>
      <c r="FA137" s="99">
        <f>IF(AND(Database!LA76&gt;1,Database!LA74&gt;1),100*(Database!LA76/(Database!LA74)),0.0001)</f>
        <v>1E-4</v>
      </c>
      <c r="FB137" s="99">
        <f>IF(AND(Database!LC76&gt;1,Database!LC74&gt;1),100*(Database!LC76/(Database!LC74)),0.0001)</f>
        <v>1E-4</v>
      </c>
      <c r="FC137" s="99">
        <f>IF(AND(Database!LE76&gt;1,Database!LE74&gt;1),100*(Database!LE76/(Database!LE74)),0.0001)</f>
        <v>1E-4</v>
      </c>
      <c r="FD137" s="99">
        <f>IF(AND(Database!LG76&gt;1,Database!LG74&gt;1),100*(Database!LG76/(Database!LG74)),0.0001)</f>
        <v>1E-4</v>
      </c>
      <c r="FE137" s="99">
        <f>IF(AND(Database!LI76&gt;1,Database!LI74&gt;1),100*(Database!LI76/(Database!LI74)),0.0001)</f>
        <v>1E-4</v>
      </c>
      <c r="FF137" s="99">
        <f>IF(AND(Database!LK76&gt;1,Database!LK74&gt;1),100*(Database!LK76/(Database!LK74)),0.0001)</f>
        <v>1E-4</v>
      </c>
      <c r="FG137" s="99">
        <f>IF(AND(Database!LM76&gt;1,Database!LM74&gt;1),100*(Database!LM76/(Database!LM74)),0.0001)</f>
        <v>1E-4</v>
      </c>
      <c r="FH137" s="99">
        <f>IF(AND(Database!LO76&gt;1,Database!LO74&gt;1),100*(Database!LO76/(Database!LO74)),0.0001)</f>
        <v>1E-4</v>
      </c>
      <c r="FI137" s="99">
        <f>IF(AND(Database!LQ76&gt;1,Database!LQ74&gt;1),100*(Database!LQ76/(Database!LQ74)),0.0001)</f>
        <v>1E-4</v>
      </c>
      <c r="FJ137" s="99">
        <f>IF(AND(Database!LS76&gt;1,Database!LS74&gt;1),100*(Database!LS76/(Database!LS74)),0.0001)</f>
        <v>1E-4</v>
      </c>
      <c r="FK137" s="99">
        <f>IF(AND(Database!LU76&gt;1,Database!LU74&gt;1),100*(Database!LU76/(Database!LU74)),0.0001)</f>
        <v>1E-4</v>
      </c>
      <c r="FL137" s="99">
        <f>IF(AND(Database!LW76&gt;1,Database!LW74&gt;1),100*(Database!LW76/(Database!LW74)),0.0001)</f>
        <v>1E-4</v>
      </c>
      <c r="FM137" s="99">
        <f>IF(AND(Database!LY76&gt;1,Database!LY74&gt;1),100*(Database!LY76/(Database!LY74)),0.0001)</f>
        <v>1E-4</v>
      </c>
      <c r="FN137" s="99">
        <f>IF(AND(Database!MA76&gt;1,Database!MA74&gt;1),100*(Database!MA76/(Database!MA74)),0.0001)</f>
        <v>1E-4</v>
      </c>
      <c r="FO137" s="99">
        <f>IF(AND(Database!MC76&gt;1,Database!MC74&gt;1),100*(Database!MC76/(Database!MC74)),0.0001)</f>
        <v>1E-4</v>
      </c>
      <c r="FP137" s="99">
        <f>IF(AND(Database!ME76&gt;1,Database!ME74&gt;1),100*(Database!ME76/(Database!ME74)),0.0001)</f>
        <v>1E-4</v>
      </c>
      <c r="FQ137" s="99">
        <f>IF(AND(Database!MG76&gt;1,Database!MG74&gt;1),100*(Database!MG76/(Database!MG74)),0.0001)</f>
        <v>1E-4</v>
      </c>
      <c r="FR137" s="99">
        <f>IF(AND(Database!MI76&gt;1,Database!MI74&gt;1),100*(Database!MI76/(Database!MI74)),0.0001)</f>
        <v>1E-4</v>
      </c>
      <c r="FS137" s="99">
        <f>IF(AND(Database!MK76&gt;1,Database!MK74&gt;1),100*(Database!MK76/(Database!MK74)),0.0001)</f>
        <v>1E-4</v>
      </c>
      <c r="FT137" s="99">
        <f>IF(AND(Database!MM76&gt;1,Database!MM74&gt;1),100*(Database!MM76/(Database!MM74)),0.0001)</f>
        <v>1E-4</v>
      </c>
      <c r="FU137" s="99">
        <f>IF(AND(Database!MO76&gt;1,Database!MO74&gt;1),100*(Database!MO76/(Database!MO74)),0.0001)</f>
        <v>1E-4</v>
      </c>
      <c r="FV137" s="99">
        <f>IF(AND(Database!MQ76&gt;1,Database!MQ74&gt;1),100*(Database!MQ76/(Database!MQ74)),0.0001)</f>
        <v>1E-4</v>
      </c>
      <c r="FW137" s="99">
        <f>IF(AND(Database!MS76&gt;1,Database!MS74&gt;1),100*(Database!MS76/(Database!MS74)),0.0001)</f>
        <v>1E-4</v>
      </c>
      <c r="FX137" s="99">
        <f>IF(AND(Database!MU76&gt;1,Database!MU74&gt;1),100*(Database!MU76/(Database!MU74)),0.0001)</f>
        <v>1E-4</v>
      </c>
      <c r="FY137" s="99">
        <f>IF(AND(Database!MW76&gt;1,Database!MW74&gt;1),100*(Database!MW76/(Database!MW74)),0.0001)</f>
        <v>1E-4</v>
      </c>
      <c r="FZ137" s="99">
        <f>IF(AND(Database!MY76&gt;1,Database!MY74&gt;1),100*(Database!MY76/(Database!MY74)),0.0001)</f>
        <v>1E-4</v>
      </c>
      <c r="GA137" s="99">
        <f>IF(AND(Database!NA76&gt;1,Database!NA74&gt;1),100*(Database!NA76/(Database!NA74)),0.0001)</f>
        <v>1E-4</v>
      </c>
      <c r="GB137" s="99">
        <f>IF(AND(Database!NC76&gt;1,Database!NC74&gt;1),100*(Database!NC76/(Database!NC74)),0.0001)</f>
        <v>1E-4</v>
      </c>
      <c r="GC137" s="99">
        <f>IF(AND(Database!NE76&gt;1,Database!NE74&gt;1),100*(Database!NE76/(Database!NE74)),0.0001)</f>
        <v>1E-4</v>
      </c>
      <c r="GD137" s="99">
        <f>IF(AND(Database!NG76&gt;1,Database!NG74&gt;1),100*(Database!NG76/(Database!NG74)),0.0001)</f>
        <v>1E-4</v>
      </c>
      <c r="GE137" s="99">
        <f>IF(AND(Database!NI76&gt;1,Database!NI74&gt;1),100*(Database!NI76/(Database!NI74)),0.0001)</f>
        <v>1E-4</v>
      </c>
      <c r="GF137" s="99">
        <f>IF(AND(Database!NK76&gt;1,Database!NK74&gt;1),100*(Database!NK76/(Database!NK74)),0.0001)</f>
        <v>1E-4</v>
      </c>
      <c r="GG137" s="99">
        <f>IF(AND(Database!NM76&gt;1,Database!NM74&gt;1),100*(Database!NM76/(Database!NM74)),0.0001)</f>
        <v>1E-4</v>
      </c>
      <c r="GH137" s="99">
        <f>IF(AND(Database!NO76&gt;1,Database!NO74&gt;1),100*(Database!NO76/(Database!NO74)),0.0001)</f>
        <v>1E-4</v>
      </c>
      <c r="GI137" s="99">
        <f>IF(AND(Database!NQ76&gt;1,Database!NQ74&gt;1),100*(Database!NQ76/(Database!NQ74)),0.0001)</f>
        <v>1E-4</v>
      </c>
      <c r="GJ137" s="99">
        <f>IF(AND(Database!NS76&gt;1,Database!NS74&gt;1),100*(Database!NS76/(Database!NS74)),0.0001)</f>
        <v>1E-4</v>
      </c>
      <c r="GK137" s="99">
        <f>IF(AND(Database!NU76&gt;1,Database!NU74&gt;1),100*(Database!NU76/(Database!NU74)),0.0001)</f>
        <v>1E-4</v>
      </c>
      <c r="GL137" s="99">
        <f>IF(AND(Database!NW76&gt;1,Database!NW74&gt;1),100*(Database!NW76/(Database!NW74)),0.0001)</f>
        <v>1E-4</v>
      </c>
      <c r="GM137" s="99">
        <f>IF(AND(Database!NY76&gt;1,Database!NY74&gt;1),100*(Database!NY76/(Database!NY74)),0.0001)</f>
        <v>1E-4</v>
      </c>
      <c r="GN137" s="99">
        <f>IF(AND(Database!OA76&gt;1,Database!OA74&gt;1),100*(Database!OA76/(Database!OA74)),0.0001)</f>
        <v>1E-4</v>
      </c>
      <c r="GO137" s="99">
        <f>IF(AND(Database!OC76&gt;1,Database!OC74&gt;1),100*(Database!OC76/(Database!OC74)),0.0001)</f>
        <v>1E-4</v>
      </c>
      <c r="GP137" s="99">
        <f>IF(AND(Database!OE76&gt;1,Database!OE74&gt;1),100*(Database!OE76/(Database!OE74)),0.0001)</f>
        <v>1E-4</v>
      </c>
      <c r="GQ137" s="99">
        <f>IF(AND(Database!OG76&gt;1,Database!OG74&gt;1),100*(Database!OG76/(Database!OG74)),0.0001)</f>
        <v>1E-4</v>
      </c>
      <c r="GR137" s="99">
        <f>IF(AND(Database!OI76&gt;1,Database!OI74&gt;1),100*(Database!OI76/(Database!OI74)),0.0001)</f>
        <v>1E-4</v>
      </c>
      <c r="GS137" s="99">
        <f>IF(AND(Database!OK76&gt;1,Database!OK74&gt;1),100*(Database!OK76/(Database!OK74)),0.0001)</f>
        <v>1E-4</v>
      </c>
      <c r="GT137" s="99">
        <f>IF(AND(Database!OM76&gt;1,Database!OM74&gt;1),100*(Database!OM76/(Database!OM74)),0.0001)</f>
        <v>1E-4</v>
      </c>
    </row>
    <row r="138" spans="1:205" ht="18.75" customHeight="1" x14ac:dyDescent="0.4">
      <c r="A138" s="82" t="s">
        <v>148</v>
      </c>
      <c r="B138" s="419"/>
      <c r="C138" s="282">
        <f>IF(AND(Database!E77&gt;1,Database!E74&gt;1),100*(Database!E77/(Database!E74)),0.0001)</f>
        <v>22.911131421769721</v>
      </c>
      <c r="D138" s="429">
        <f>IF(AND(Database!G77&gt;1,Database!G74&gt;1),100*(Database!G77/(Database!G74)),0.0001)</f>
        <v>12.94534550906365</v>
      </c>
      <c r="E138" s="429">
        <f>IF(AND(Database!I77&gt;1,Database!I74&gt;1),100*(Database!I77/(Database!I74)),0.0001)</f>
        <v>15.479324889933608</v>
      </c>
      <c r="F138" s="429">
        <f>IF(AND(Database!K77&gt;1,Database!K74&gt;1),100*(Database!K77/(Database!K74)),0.0001)</f>
        <v>15.921866845597554</v>
      </c>
      <c r="G138" s="429">
        <f>IF(AND(Database!M77&gt;1,Database!M74&gt;1),100*(Database!M77/(Database!M74)),0.0001)</f>
        <v>1E-4</v>
      </c>
      <c r="H138" s="429">
        <f>IF(AND(Database!O77&gt;1,Database!O74&gt;1),100*(Database!O77/(Database!O74)),0.0001)</f>
        <v>1E-4</v>
      </c>
      <c r="I138" s="429">
        <f>IF(AND(Database!Q77&gt;1,Database!Q74&gt;1),100*(Database!Q77/(Database!Q74)),0.0001)</f>
        <v>1E-4</v>
      </c>
      <c r="J138" s="429">
        <f>IF(AND(Database!S77&gt;1,Database!S74&gt;1),100*(Database!S77/(Database!S74)),0.0001)</f>
        <v>1E-4</v>
      </c>
      <c r="K138" s="429">
        <f>IF(AND(Database!U77&gt;1,Database!U74&gt;1),100*(Database!U77/(Database!U74)),0.0001)</f>
        <v>1E-4</v>
      </c>
      <c r="L138" s="429">
        <f>IF(AND(Database!W77&gt;1,Database!W74&gt;1),100*(Database!W77/(Database!W74)),0.0001)</f>
        <v>1E-4</v>
      </c>
      <c r="M138" s="429">
        <f>IF(AND(Database!Y77&gt;1,Database!Y74&gt;1),100*(Database!Y77/(Database!Y74)),0.0001)</f>
        <v>1E-4</v>
      </c>
      <c r="N138" s="429">
        <f>IF(AND(Database!AA77&gt;1,Database!AA74&gt;1),100*(Database!AA77/(Database!AA74)),0.0001)</f>
        <v>1E-4</v>
      </c>
      <c r="O138" s="429">
        <f>IF(AND(Database!AC77&gt;1,Database!AC74&gt;1),100*(Database!AC77/(Database!AC74)),0.0001)</f>
        <v>1E-4</v>
      </c>
      <c r="P138" s="429">
        <f>IF(AND(Database!AE77&gt;1,Database!AE74&gt;1),100*(Database!AE77/(Database!AE74)),0.0001)</f>
        <v>1E-4</v>
      </c>
      <c r="Q138" s="429">
        <f>IF(AND(Database!AG77&gt;1,Database!AG74&gt;1),100*(Database!AG77/(Database!AG74)),0.0001)</f>
        <v>1E-4</v>
      </c>
      <c r="R138" s="429">
        <f>IF(AND(Database!AI77&gt;1,Database!AI74&gt;1),100*(Database!AI77/(Database!AI74)),0.0001)</f>
        <v>1E-4</v>
      </c>
      <c r="S138" s="429">
        <f>IF(AND(Database!AK77&gt;1,Database!AK74&gt;1),100*(Database!AK77/(Database!AK74)),0.0001)</f>
        <v>1E-4</v>
      </c>
      <c r="T138" s="429">
        <f>IF(AND(Database!AM77&gt;1,Database!AM74&gt;1),100*(Database!AM77/(Database!AM74)),0.0001)</f>
        <v>1E-4</v>
      </c>
      <c r="U138" s="429">
        <f>IF(AND(Database!AO77&gt;1,Database!AO74&gt;1),100*(Database!AO77/(Database!AO74)),0.0001)</f>
        <v>1E-4</v>
      </c>
      <c r="V138" s="429">
        <f>IF(AND(Database!AQ77&gt;1,Database!AQ74&gt;1),100*(Database!AQ77/(Database!AQ74)),0.0001)</f>
        <v>1E-4</v>
      </c>
      <c r="W138" s="429">
        <f>IF(AND(Database!AS77&gt;1,Database!AS74&gt;1),100*(Database!AS77/(Database!AS74)),0.0001)</f>
        <v>1E-4</v>
      </c>
      <c r="X138" s="429">
        <f>IF(AND(Database!AU77&gt;1,Database!AU74&gt;1),100*(Database!AU77/(Database!AU74)),0.0001)</f>
        <v>1E-4</v>
      </c>
      <c r="Y138" s="429">
        <f>IF(AND(Database!AW77&gt;1,Database!AW74&gt;1),100*(Database!AW77/(Database!AW74)),0.0001)</f>
        <v>1E-4</v>
      </c>
      <c r="Z138" s="429">
        <f>IF(AND(Database!AY77&gt;1,Database!AY74&gt;1),100*(Database!AY77/(Database!AY74)),0.0001)</f>
        <v>1E-4</v>
      </c>
      <c r="AA138" s="429">
        <f>IF(AND(Database!BA77&gt;1,Database!BA74&gt;1),100*(Database!BA77/(Database!BA74)),0.0001)</f>
        <v>1E-4</v>
      </c>
      <c r="AB138" s="429">
        <f>IF(AND(Database!BC77&gt;1,Database!BC74&gt;1),100*(Database!BC77/(Database!BC74)),0.0001)</f>
        <v>1E-4</v>
      </c>
      <c r="AC138" s="429">
        <f>IF(AND(Database!BE77&gt;1,Database!BE74&gt;1),100*(Database!BE77/(Database!BE74)),0.0001)</f>
        <v>1E-4</v>
      </c>
      <c r="AD138" s="429">
        <f>IF(AND(Database!BG77&gt;1,Database!BG74&gt;1),100*(Database!BG77/(Database!BG74)),0.0001)</f>
        <v>1E-4</v>
      </c>
      <c r="AE138" s="429">
        <f>IF(AND(Database!BI77&gt;1,Database!BI74&gt;1),100*(Database!BI77/(Database!BI74)),0.0001)</f>
        <v>1E-4</v>
      </c>
      <c r="AF138" s="429">
        <f>IF(AND(Database!BK77&gt;1,Database!BK74&gt;1),100*(Database!BK77/(Database!BK74)),0.0001)</f>
        <v>1E-4</v>
      </c>
      <c r="AG138" s="429">
        <f>IF(AND(Database!BM77&gt;1,Database!BM74&gt;1),100*(Database!BM77/(Database!BM74)),0.0001)</f>
        <v>1E-4</v>
      </c>
      <c r="AH138" s="429">
        <f>IF(AND(Database!BO77&gt;1,Database!BO74&gt;1),100*(Database!BO77/(Database!BO74)),0.0001)</f>
        <v>1E-4</v>
      </c>
      <c r="AI138" s="429">
        <f>IF(AND(Database!BQ77&gt;1,Database!BQ74&gt;1),100*(Database!BQ77/(Database!BQ74)),0.0001)</f>
        <v>1E-4</v>
      </c>
      <c r="AJ138" s="429">
        <f>IF(AND(Database!BS77&gt;1,Database!BS74&gt;1),100*(Database!BS77/(Database!BS74)),0.0001)</f>
        <v>1E-4</v>
      </c>
      <c r="AK138" s="429">
        <f>IF(AND(Database!BU77&gt;1,Database!BU74&gt;1),100*(Database!BU77/(Database!BU74)),0.0001)</f>
        <v>1E-4</v>
      </c>
      <c r="AL138" s="429">
        <f>IF(AND(Database!BW77&gt;1,Database!BW74&gt;1),100*(Database!BW77/(Database!BW74)),0.0001)</f>
        <v>1E-4</v>
      </c>
      <c r="AM138" s="429">
        <f>IF(AND(Database!BY77&gt;1,Database!BY74&gt;1),100*(Database!BY77/(Database!BY74)),0.0001)</f>
        <v>1E-4</v>
      </c>
      <c r="AN138" s="429">
        <f>IF(AND(Database!CA77&gt;1,Database!CA74&gt;1),100*(Database!CA77/(Database!CA74)),0.0001)</f>
        <v>1E-4</v>
      </c>
      <c r="AO138" s="429">
        <f>IF(AND(Database!CC77&gt;1,Database!CC74&gt;1),100*(Database!CC77/(Database!CC74)),0.0001)</f>
        <v>1E-4</v>
      </c>
      <c r="AP138" s="429">
        <f>IF(AND(Database!CE77&gt;1,Database!CE74&gt;1),100*(Database!CE77/(Database!CE74)),0.0001)</f>
        <v>1E-4</v>
      </c>
      <c r="AQ138" s="429">
        <f>IF(AND(Database!CG77&gt;1,Database!CG74&gt;1),100*(Database!CG77/(Database!CG74)),0.0001)</f>
        <v>1E-4</v>
      </c>
      <c r="AR138" s="429">
        <f>IF(AND(Database!CI77&gt;1,Database!CI74&gt;1),100*(Database!CI77/(Database!CI74)),0.0001)</f>
        <v>1E-4</v>
      </c>
      <c r="AS138" s="429">
        <f>IF(AND(Database!CK77&gt;1,Database!CK74&gt;1),100*(Database!CK77/(Database!CK74)),0.0001)</f>
        <v>1E-4</v>
      </c>
      <c r="AT138" s="429">
        <f>IF(AND(Database!CM77&gt;1,Database!CM74&gt;1),100*(Database!CM77/(Database!CM74)),0.0001)</f>
        <v>1E-4</v>
      </c>
      <c r="AU138" s="429">
        <f>IF(AND(Database!CO77&gt;1,Database!CO74&gt;1),100*(Database!CO77/(Database!CO74)),0.0001)</f>
        <v>1E-4</v>
      </c>
      <c r="AV138" s="429">
        <f>IF(AND(Database!CQ77&gt;1,Database!CQ74&gt;1),100*(Database!CQ77/(Database!CQ74)),0.0001)</f>
        <v>1E-4</v>
      </c>
      <c r="AW138" s="429">
        <f>IF(AND(Database!CS77&gt;1,Database!CS74&gt;1),100*(Database!CS77/(Database!CS74)),0.0001)</f>
        <v>1E-4</v>
      </c>
      <c r="AX138" s="429">
        <f>IF(AND(Database!CU77&gt;1,Database!CU74&gt;1),100*(Database!CU77/(Database!CU74)),0.0001)</f>
        <v>1E-4</v>
      </c>
      <c r="AY138" s="429">
        <f>IF(AND(Database!CW77&gt;1,Database!CW74&gt;1),100*(Database!CW77/(Database!CW74)),0.0001)</f>
        <v>1E-4</v>
      </c>
      <c r="AZ138" s="429">
        <f>IF(AND(Database!CY77&gt;1,Database!CY74&gt;1),100*(Database!CY77/(Database!CY74)),0.0001)</f>
        <v>1E-4</v>
      </c>
      <c r="BA138" s="429">
        <f>IF(AND(Database!DA77&gt;1,Database!DA74&gt;1),100*(Database!DA77/(Database!DA74)),0.0001)</f>
        <v>1E-4</v>
      </c>
      <c r="BB138" s="429">
        <f>IF(AND(Database!DC77&gt;1,Database!DC74&gt;1),100*(Database!DC77/(Database!DC74)),0.0001)</f>
        <v>1E-4</v>
      </c>
      <c r="BC138" s="429">
        <f>IF(AND(Database!DE77&gt;1,Database!DE74&gt;1),100*(Database!DE77/(Database!DE74)),0.0001)</f>
        <v>1E-4</v>
      </c>
      <c r="BD138" s="429">
        <f>IF(AND(Database!DG77&gt;1,Database!DG74&gt;1),100*(Database!DG77/(Database!DG74)),0.0001)</f>
        <v>1E-4</v>
      </c>
      <c r="BE138" s="429">
        <f>IF(AND(Database!DI77&gt;1,Database!DI74&gt;1),100*(Database!DI77/(Database!DI74)),0.0001)</f>
        <v>1E-4</v>
      </c>
      <c r="BF138" s="429">
        <f>IF(AND(Database!DK77&gt;1,Database!DK74&gt;1),100*(Database!DK77/(Database!DK74)),0.0001)</f>
        <v>1E-4</v>
      </c>
      <c r="BG138" s="429">
        <f>IF(AND(Database!DM77&gt;1,Database!DM74&gt;1),100*(Database!DM77/(Database!DM74)),0.0001)</f>
        <v>1E-4</v>
      </c>
      <c r="BH138" s="429">
        <f>IF(AND(Database!DO77&gt;1,Database!DO74&gt;1),100*(Database!DO77/(Database!DO74)),0.0001)</f>
        <v>1E-4</v>
      </c>
      <c r="BI138" s="429">
        <f>IF(AND(Database!DQ77&gt;1,Database!DQ74&gt;1),100*(Database!DQ77/(Database!DQ74)),0.0001)</f>
        <v>1E-4</v>
      </c>
      <c r="BJ138" s="429">
        <f>IF(AND(Database!DS77&gt;1,Database!DS74&gt;1),100*(Database!DS77/(Database!DS74)),0.0001)</f>
        <v>1E-4</v>
      </c>
      <c r="BK138" s="429">
        <f>IF(AND(Database!DU77&gt;1,Database!DU74&gt;1),100*(Database!DU77/(Database!DU74)),0.0001)</f>
        <v>1E-4</v>
      </c>
      <c r="BL138" s="429">
        <f>IF(AND(Database!DW77&gt;1,Database!DW74&gt;1),100*(Database!DW77/(Database!DW74)),0.0001)</f>
        <v>1E-4</v>
      </c>
      <c r="BM138" s="429">
        <f>IF(AND(Database!DY77&gt;1,Database!DY74&gt;1),100*(Database!DY77/(Database!DY74)),0.0001)</f>
        <v>1E-4</v>
      </c>
      <c r="BN138" s="429">
        <f>IF(AND(Database!EA77&gt;1,Database!EA74&gt;1),100*(Database!EA77/(Database!EA74)),0.0001)</f>
        <v>1E-4</v>
      </c>
      <c r="BO138" s="429">
        <f>IF(AND(Database!EC77&gt;1,Database!EC74&gt;1),100*(Database!EC77/(Database!EC74)),0.0001)</f>
        <v>1E-4</v>
      </c>
      <c r="BP138" s="429">
        <f>IF(AND(Database!EE77&gt;1,Database!EE74&gt;1),100*(Database!EE77/(Database!EE74)),0.0001)</f>
        <v>1E-4</v>
      </c>
      <c r="BQ138" s="429">
        <f>IF(AND(Database!EG77&gt;1,Database!EG74&gt;1),100*(Database!EG77/(Database!EG74)),0.0001)</f>
        <v>1E-4</v>
      </c>
      <c r="BR138" s="429">
        <f>IF(AND(Database!EI77&gt;1,Database!EI74&gt;1),100*(Database!EI77/(Database!EI74)),0.0001)</f>
        <v>1E-4</v>
      </c>
      <c r="BS138" s="429">
        <f>IF(AND(Database!EK77&gt;1,Database!EK74&gt;1),100*(Database!EK77/(Database!EK74)),0.0001)</f>
        <v>1E-4</v>
      </c>
      <c r="BT138" s="429">
        <f>IF(AND(Database!EM77&gt;1,Database!EM74&gt;1),100*(Database!EM77/(Database!EM74)),0.0001)</f>
        <v>1E-4</v>
      </c>
      <c r="BU138" s="429">
        <f>IF(AND(Database!EO77&gt;1,Database!EO74&gt;1),100*(Database!EO77/(Database!EO74)),0.0001)</f>
        <v>1E-4</v>
      </c>
      <c r="BV138" s="429">
        <f>IF(AND(Database!EQ77&gt;1,Database!EQ74&gt;1),100*(Database!EQ77/(Database!EQ74)),0.0001)</f>
        <v>1E-4</v>
      </c>
      <c r="BW138" s="429">
        <f>IF(AND(Database!ES77&gt;1,Database!ES74&gt;1),100*(Database!ES77/(Database!ES74)),0.0001)</f>
        <v>1E-4</v>
      </c>
      <c r="BX138" s="429">
        <f>IF(AND(Database!EU77&gt;1,Database!EU74&gt;1),100*(Database!EU77/(Database!EU74)),0.0001)</f>
        <v>1E-4</v>
      </c>
      <c r="BY138" s="429">
        <f>IF(AND(Database!EW77&gt;1,Database!EW74&gt;1),100*(Database!EW77/(Database!EW74)),0.0001)</f>
        <v>1E-4</v>
      </c>
      <c r="BZ138" s="429">
        <f>IF(AND(Database!EY77&gt;1,Database!EY74&gt;1),100*(Database!EY77/(Database!EY74)),0.0001)</f>
        <v>1E-4</v>
      </c>
      <c r="CA138" s="429">
        <f>IF(AND(Database!FA77&gt;1,Database!FA74&gt;1),100*(Database!FA77/(Database!FA74)),0.0001)</f>
        <v>1E-4</v>
      </c>
      <c r="CB138" s="429">
        <f>IF(AND(Database!FC77&gt;1,Database!FC74&gt;1),100*(Database!FC77/(Database!FC74)),0.0001)</f>
        <v>1E-4</v>
      </c>
      <c r="CC138" s="429">
        <f>IF(AND(Database!FE77&gt;1,Database!FE74&gt;1),100*(Database!FE77/(Database!FE74)),0.0001)</f>
        <v>1E-4</v>
      </c>
      <c r="CD138" s="429">
        <f>IF(AND(Database!FG77&gt;1,Database!FG74&gt;1),100*(Database!FG77/(Database!FG74)),0.0001)</f>
        <v>1E-4</v>
      </c>
      <c r="CE138" s="429">
        <f>IF(AND(Database!FI77&gt;1,Database!FI74&gt;1),100*(Database!FI77/(Database!FI74)),0.0001)</f>
        <v>1E-4</v>
      </c>
      <c r="CF138" s="429">
        <f>IF(AND(Database!FK77&gt;1,Database!FK74&gt;1),100*(Database!FK77/(Database!FK74)),0.0001)</f>
        <v>1E-4</v>
      </c>
      <c r="CG138" s="429">
        <f>IF(AND(Database!FM77&gt;1,Database!FM74&gt;1),100*(Database!FM77/(Database!FM74)),0.0001)</f>
        <v>1E-4</v>
      </c>
      <c r="CH138" s="429">
        <f>IF(AND(Database!FO77&gt;1,Database!FO74&gt;1),100*(Database!FO77/(Database!FO74)),0.0001)</f>
        <v>1E-4</v>
      </c>
      <c r="CI138" s="429">
        <f>IF(AND(Database!FQ77&gt;1,Database!FQ74&gt;1),100*(Database!FQ77/(Database!FQ74)),0.0001)</f>
        <v>1E-4</v>
      </c>
      <c r="CJ138" s="429">
        <f>IF(AND(Database!FS77&gt;1,Database!FS74&gt;1),100*(Database!FS77/(Database!FS74)),0.0001)</f>
        <v>1E-4</v>
      </c>
      <c r="CK138" s="429">
        <f>IF(AND(Database!FU77&gt;1,Database!FU74&gt;1),100*(Database!FU77/(Database!FU74)),0.0001)</f>
        <v>1E-4</v>
      </c>
      <c r="CL138" s="429">
        <f>IF(AND(Database!FW77&gt;1,Database!FW74&gt;1),100*(Database!FW77/(Database!FW74)),0.0001)</f>
        <v>1E-4</v>
      </c>
      <c r="CM138" s="429">
        <f>IF(AND(Database!FY77&gt;1,Database!FY74&gt;1),100*(Database!FY77/(Database!FY74)),0.0001)</f>
        <v>1E-4</v>
      </c>
      <c r="CN138" s="429">
        <f>IF(AND(Database!GA77&gt;1,Database!GA74&gt;1),100*(Database!GA77/(Database!GA74)),0.0001)</f>
        <v>1E-4</v>
      </c>
      <c r="CO138" s="429">
        <f>IF(AND(Database!GC77&gt;1,Database!GC74&gt;1),100*(Database!GC77/(Database!GC74)),0.0001)</f>
        <v>1E-4</v>
      </c>
      <c r="CP138" s="429">
        <f>IF(AND(Database!GE77&gt;1,Database!GE74&gt;1),100*(Database!GE77/(Database!GE74)),0.0001)</f>
        <v>1E-4</v>
      </c>
      <c r="CQ138" s="429">
        <f>IF(AND(Database!GG77&gt;1,Database!GG74&gt;1),100*(Database!GG77/(Database!GG74)),0.0001)</f>
        <v>1E-4</v>
      </c>
      <c r="CR138" s="429">
        <f>IF(AND(Database!GI77&gt;1,Database!GI74&gt;1),100*(Database!GI77/(Database!GI74)),0.0001)</f>
        <v>1E-4</v>
      </c>
      <c r="CS138" s="429">
        <f>IF(AND(Database!GK77&gt;1,Database!GK74&gt;1),100*(Database!GK77/(Database!GK74)),0.0001)</f>
        <v>1E-4</v>
      </c>
      <c r="CT138" s="429">
        <f>IF(AND(Database!GM77&gt;1,Database!GM74&gt;1),100*(Database!GM77/(Database!GM74)),0.0001)</f>
        <v>1E-4</v>
      </c>
      <c r="CU138" s="429">
        <f>IF(AND(Database!GO77&gt;1,Database!GO74&gt;1),100*(Database!GO77/(Database!GO74)),0.0001)</f>
        <v>1E-4</v>
      </c>
      <c r="CV138" s="429">
        <f>IF(AND(Database!GQ77&gt;1,Database!GQ74&gt;1),100*(Database!GQ77/(Database!GQ74)),0.0001)</f>
        <v>1E-4</v>
      </c>
      <c r="CW138" s="429">
        <f>IF(AND(Database!GS77&gt;1,Database!GS74&gt;1),100*(Database!GS77/(Database!GS74)),0.0001)</f>
        <v>1E-4</v>
      </c>
      <c r="CX138" s="429">
        <f>IF(AND(Database!GU77&gt;1,Database!GU74&gt;1),100*(Database!GU77/(Database!GU74)),0.0001)</f>
        <v>1E-4</v>
      </c>
      <c r="CY138" s="429">
        <f>IF(AND(Database!GW77&gt;1,Database!GW74&gt;1),100*(Database!GW77/(Database!GW74)),0.0001)</f>
        <v>1E-4</v>
      </c>
      <c r="CZ138" s="429">
        <f>IF(AND(Database!GY77&gt;1,Database!GY74&gt;1),100*(Database!GY77/(Database!GY74)),0.0001)</f>
        <v>1E-4</v>
      </c>
      <c r="DA138" s="429">
        <f>IF(AND(Database!HA77&gt;1,Database!HA74&gt;1),100*(Database!HA77/(Database!HA74)),0.0001)</f>
        <v>1E-4</v>
      </c>
      <c r="DB138" s="429">
        <f>IF(AND(Database!HC77&gt;1,Database!HC74&gt;1),100*(Database!HC77/(Database!HC74)),0.0001)</f>
        <v>1E-4</v>
      </c>
      <c r="DC138" s="429">
        <f>IF(AND(Database!HE77&gt;1,Database!HE74&gt;1),100*(Database!HE77/(Database!HE74)),0.0001)</f>
        <v>1E-4</v>
      </c>
      <c r="DD138" s="429">
        <f>IF(AND(Database!HG77&gt;1,Database!HG74&gt;1),100*(Database!HG77/(Database!HG74)),0.0001)</f>
        <v>1E-4</v>
      </c>
      <c r="DE138" s="429">
        <f>IF(AND(Database!HI77&gt;1,Database!HI74&gt;1),100*(Database!HI77/(Database!HI74)),0.0001)</f>
        <v>1E-4</v>
      </c>
      <c r="DF138" s="429">
        <f>IF(AND(Database!HK77&gt;1,Database!HK74&gt;1),100*(Database!HK77/(Database!HK74)),0.0001)</f>
        <v>1E-4</v>
      </c>
      <c r="DG138" s="429">
        <f>IF(AND(Database!HM77&gt;1,Database!HM74&gt;1),100*(Database!HM77/(Database!HM74)),0.0001)</f>
        <v>1E-4</v>
      </c>
      <c r="DH138" s="429">
        <f>IF(AND(Database!HO77&gt;1,Database!HO74&gt;1),100*(Database!HO77/(Database!HO74)),0.0001)</f>
        <v>1E-4</v>
      </c>
      <c r="DI138" s="429">
        <f>IF(AND(Database!HQ77&gt;1,Database!HQ74&gt;1),100*(Database!HQ77/(Database!HQ74)),0.0001)</f>
        <v>1E-4</v>
      </c>
      <c r="DJ138" s="429">
        <f>IF(AND(Database!HS77&gt;1,Database!HS74&gt;1),100*(Database!HS77/(Database!HS74)),0.0001)</f>
        <v>1E-4</v>
      </c>
      <c r="DK138" s="429">
        <f>IF(AND(Database!HU77&gt;1,Database!HU74&gt;1),100*(Database!HU77/(Database!HU74)),0.0001)</f>
        <v>1E-4</v>
      </c>
      <c r="DL138" s="429">
        <f>IF(AND(Database!HW77&gt;1,Database!HW74&gt;1),100*(Database!HW77/(Database!HW74)),0.0001)</f>
        <v>1E-4</v>
      </c>
      <c r="DM138" s="429">
        <f>IF(AND(Database!HY77&gt;1,Database!HY74&gt;1),100*(Database!HY77/(Database!HY74)),0.0001)</f>
        <v>1E-4</v>
      </c>
      <c r="DN138" s="429">
        <f>IF(AND(Database!IA77&gt;1,Database!IA74&gt;1),100*(Database!IA77/(Database!IA74)),0.0001)</f>
        <v>1E-4</v>
      </c>
      <c r="DO138" s="429">
        <f>IF(AND(Database!IC77&gt;1,Database!IC74&gt;1),100*(Database!IC77/(Database!IC74)),0.0001)</f>
        <v>1E-4</v>
      </c>
      <c r="DP138" s="429">
        <f>IF(AND(Database!IE77&gt;1,Database!IE74&gt;1),100*(Database!IE77/(Database!IE74)),0.0001)</f>
        <v>1E-4</v>
      </c>
      <c r="DQ138" s="429">
        <f>IF(AND(Database!IG77&gt;1,Database!IG74&gt;1),100*(Database!IG77/(Database!IG74)),0.0001)</f>
        <v>1E-4</v>
      </c>
      <c r="DR138" s="429">
        <f>IF(AND(Database!II77&gt;1,Database!II74&gt;1),100*(Database!II77/(Database!II74)),0.0001)</f>
        <v>1E-4</v>
      </c>
      <c r="DS138" s="429">
        <f>IF(AND(Database!IK77&gt;1,Database!IK74&gt;1),100*(Database!IK77/(Database!IK74)),0.0001)</f>
        <v>1E-4</v>
      </c>
      <c r="DT138" s="429">
        <f>IF(AND(Database!IM77&gt;1,Database!IM74&gt;1),100*(Database!IM77/(Database!IM74)),0.0001)</f>
        <v>1E-4</v>
      </c>
      <c r="DU138" s="429">
        <f>IF(AND(Database!IO77&gt;1,Database!IO74&gt;1),100*(Database!IO77/(Database!IO74)),0.0001)</f>
        <v>1E-4</v>
      </c>
      <c r="DV138" s="429">
        <f>IF(AND(Database!IQ77&gt;1,Database!IQ74&gt;1),100*(Database!IQ77/(Database!IQ74)),0.0001)</f>
        <v>1E-4</v>
      </c>
      <c r="DW138" s="429">
        <f>IF(AND(Database!IS77&gt;1,Database!IS74&gt;1),100*(Database!IS77/(Database!IS74)),0.0001)</f>
        <v>1E-4</v>
      </c>
      <c r="DX138" s="429">
        <f>IF(AND(Database!IU77&gt;1,Database!IU74&gt;1),100*(Database!IU77/(Database!IU74)),0.0001)</f>
        <v>1E-4</v>
      </c>
      <c r="DY138" s="429">
        <f>IF(AND(Database!IW77&gt;1,Database!IW74&gt;1),100*(Database!IW77/(Database!IW74)),0.0001)</f>
        <v>1E-4</v>
      </c>
      <c r="DZ138" s="429">
        <f>IF(AND(Database!IY77&gt;1,Database!IY74&gt;1),100*(Database!IY77/(Database!IY74)),0.0001)</f>
        <v>1E-4</v>
      </c>
      <c r="EA138" s="429">
        <f>IF(AND(Database!JA77&gt;1,Database!JA74&gt;1),100*(Database!JA77/(Database!JA74)),0.0001)</f>
        <v>1E-4</v>
      </c>
      <c r="EB138" s="429">
        <f>IF(AND(Database!JC77&gt;1,Database!JC74&gt;1),100*(Database!JC77/(Database!JC74)),0.0001)</f>
        <v>1E-4</v>
      </c>
      <c r="EC138" s="429">
        <f>IF(AND(Database!JE77&gt;1,Database!JE74&gt;1),100*(Database!JE77/(Database!JE74)),0.0001)</f>
        <v>1E-4</v>
      </c>
      <c r="ED138" s="429">
        <f>IF(AND(Database!JG77&gt;1,Database!JG74&gt;1),100*(Database!JG77/(Database!JG74)),0.0001)</f>
        <v>1E-4</v>
      </c>
      <c r="EE138" s="429">
        <f>IF(AND(Database!JI77&gt;1,Database!JI74&gt;1),100*(Database!JI77/(Database!JI74)),0.0001)</f>
        <v>1E-4</v>
      </c>
      <c r="EF138" s="429">
        <f>IF(AND(Database!JK77&gt;1,Database!JK74&gt;1),100*(Database!JK77/(Database!JK74)),0.0001)</f>
        <v>1E-4</v>
      </c>
      <c r="EG138" s="429">
        <f>IF(AND(Database!JM77&gt;1,Database!JM74&gt;1),100*(Database!JM77/(Database!JM74)),0.0001)</f>
        <v>1E-4</v>
      </c>
      <c r="EH138" s="429">
        <f>IF(AND(Database!JO77&gt;1,Database!JO74&gt;1),100*(Database!JO77/(Database!JO74)),0.0001)</f>
        <v>1E-4</v>
      </c>
      <c r="EI138" s="429">
        <f>IF(AND(Database!JQ77&gt;1,Database!JQ74&gt;1),100*(Database!JQ77/(Database!JQ74)),0.0001)</f>
        <v>1E-4</v>
      </c>
      <c r="EJ138" s="429">
        <f>IF(AND(Database!JS77&gt;1,Database!JS74&gt;1),100*(Database!JS77/(Database!JS74)),0.0001)</f>
        <v>1E-4</v>
      </c>
      <c r="EK138" s="429">
        <f>IF(AND(Database!JU77&gt;1,Database!JU74&gt;1),100*(Database!JU77/(Database!JU74)),0.0001)</f>
        <v>1E-4</v>
      </c>
      <c r="EL138" s="429">
        <f>IF(AND(Database!JW77&gt;1,Database!JW74&gt;1),100*(Database!JW77/(Database!JW74)),0.0001)</f>
        <v>1E-4</v>
      </c>
      <c r="EM138" s="429">
        <f>IF(AND(Database!JY77&gt;1,Database!JY74&gt;1),100*(Database!JY77/(Database!JY74)),0.0001)</f>
        <v>1E-4</v>
      </c>
      <c r="EN138" s="429">
        <f>IF(AND(Database!KA77&gt;1,Database!KA74&gt;1),100*(Database!KA77/(Database!KA74)),0.0001)</f>
        <v>1E-4</v>
      </c>
      <c r="EO138" s="429">
        <f>IF(AND(Database!KC77&gt;1,Database!KC74&gt;1),100*(Database!KC77/(Database!KC74)),0.0001)</f>
        <v>1E-4</v>
      </c>
      <c r="EP138" s="429">
        <f>IF(AND(Database!KE77&gt;1,Database!KE74&gt;1),100*(Database!KE77/(Database!KE74)),0.0001)</f>
        <v>1E-4</v>
      </c>
      <c r="EQ138" s="429">
        <f>IF(AND(Database!KG77&gt;1,Database!KG74&gt;1),100*(Database!KG77/(Database!KG74)),0.0001)</f>
        <v>1E-4</v>
      </c>
      <c r="ER138" s="429">
        <f>IF(AND(Database!KI77&gt;1,Database!KI74&gt;1),100*(Database!KI77/(Database!KI74)),0.0001)</f>
        <v>1E-4</v>
      </c>
      <c r="ES138" s="429">
        <f>IF(AND(Database!KK77&gt;1,Database!KK74&gt;1),100*(Database!KK77/(Database!KK74)),0.0001)</f>
        <v>1E-4</v>
      </c>
      <c r="ET138" s="429">
        <f>IF(AND(Database!KM77&gt;1,Database!KM74&gt;1),100*(Database!KM77/(Database!KM74)),0.0001)</f>
        <v>1E-4</v>
      </c>
      <c r="EU138" s="429">
        <f>IF(AND(Database!KO77&gt;1,Database!KO74&gt;1),100*(Database!KO77/(Database!KO74)),0.0001)</f>
        <v>1E-4</v>
      </c>
      <c r="EV138" s="429">
        <f>IF(AND(Database!KQ77&gt;1,Database!KQ74&gt;1),100*(Database!KQ77/(Database!KQ74)),0.0001)</f>
        <v>1E-4</v>
      </c>
      <c r="EW138" s="429">
        <f>IF(AND(Database!KS77&gt;1,Database!KS74&gt;1),100*(Database!KS77/(Database!KS74)),0.0001)</f>
        <v>1E-4</v>
      </c>
      <c r="EX138" s="429">
        <f>IF(AND(Database!KU77&gt;1,Database!KU74&gt;1),100*(Database!KU77/(Database!KU74)),0.0001)</f>
        <v>1E-4</v>
      </c>
      <c r="EY138" s="429">
        <f>IF(AND(Database!KW77&gt;1,Database!KW74&gt;1),100*(Database!KW77/(Database!KW74)),0.0001)</f>
        <v>1E-4</v>
      </c>
      <c r="EZ138" s="429">
        <f>IF(AND(Database!KY77&gt;1,Database!KY74&gt;1),100*(Database!KY77/(Database!KY74)),0.0001)</f>
        <v>1E-4</v>
      </c>
      <c r="FA138" s="429">
        <f>IF(AND(Database!LA77&gt;1,Database!LA74&gt;1),100*(Database!LA77/(Database!LA74)),0.0001)</f>
        <v>1E-4</v>
      </c>
      <c r="FB138" s="429">
        <f>IF(AND(Database!LC77&gt;1,Database!LC74&gt;1),100*(Database!LC77/(Database!LC74)),0.0001)</f>
        <v>1E-4</v>
      </c>
      <c r="FC138" s="429">
        <f>IF(AND(Database!LE77&gt;1,Database!LE74&gt;1),100*(Database!LE77/(Database!LE74)),0.0001)</f>
        <v>1E-4</v>
      </c>
      <c r="FD138" s="429">
        <f>IF(AND(Database!LG77&gt;1,Database!LG74&gt;1),100*(Database!LG77/(Database!LG74)),0.0001)</f>
        <v>1E-4</v>
      </c>
      <c r="FE138" s="429">
        <f>IF(AND(Database!LI77&gt;1,Database!LI74&gt;1),100*(Database!LI77/(Database!LI74)),0.0001)</f>
        <v>1E-4</v>
      </c>
      <c r="FF138" s="429">
        <f>IF(AND(Database!LK77&gt;1,Database!LK74&gt;1),100*(Database!LK77/(Database!LK74)),0.0001)</f>
        <v>1E-4</v>
      </c>
      <c r="FG138" s="429">
        <f>IF(AND(Database!LM77&gt;1,Database!LM74&gt;1),100*(Database!LM77/(Database!LM74)),0.0001)</f>
        <v>1E-4</v>
      </c>
      <c r="FH138" s="429">
        <f>IF(AND(Database!LO77&gt;1,Database!LO74&gt;1),100*(Database!LO77/(Database!LO74)),0.0001)</f>
        <v>1E-4</v>
      </c>
      <c r="FI138" s="429">
        <f>IF(AND(Database!LQ77&gt;1,Database!LQ74&gt;1),100*(Database!LQ77/(Database!LQ74)),0.0001)</f>
        <v>1E-4</v>
      </c>
      <c r="FJ138" s="429">
        <f>IF(AND(Database!LS77&gt;1,Database!LS74&gt;1),100*(Database!LS77/(Database!LS74)),0.0001)</f>
        <v>1E-4</v>
      </c>
      <c r="FK138" s="429">
        <f>IF(AND(Database!LU77&gt;1,Database!LU74&gt;1),100*(Database!LU77/(Database!LU74)),0.0001)</f>
        <v>1E-4</v>
      </c>
      <c r="FL138" s="429">
        <f>IF(AND(Database!LW77&gt;1,Database!LW74&gt;1),100*(Database!LW77/(Database!LW74)),0.0001)</f>
        <v>1E-4</v>
      </c>
      <c r="FM138" s="429">
        <f>IF(AND(Database!LY77&gt;1,Database!LY74&gt;1),100*(Database!LY77/(Database!LY74)),0.0001)</f>
        <v>1E-4</v>
      </c>
      <c r="FN138" s="429">
        <f>IF(AND(Database!MA77&gt;1,Database!MA74&gt;1),100*(Database!MA77/(Database!MA74)),0.0001)</f>
        <v>1E-4</v>
      </c>
      <c r="FO138" s="429">
        <f>IF(AND(Database!MC77&gt;1,Database!MC74&gt;1),100*(Database!MC77/(Database!MC74)),0.0001)</f>
        <v>1E-4</v>
      </c>
      <c r="FP138" s="429">
        <f>IF(AND(Database!ME77&gt;1,Database!ME74&gt;1),100*(Database!ME77/(Database!ME74)),0.0001)</f>
        <v>1E-4</v>
      </c>
      <c r="FQ138" s="429">
        <f>IF(AND(Database!MG77&gt;1,Database!MG74&gt;1),100*(Database!MG77/(Database!MG74)),0.0001)</f>
        <v>1E-4</v>
      </c>
      <c r="FR138" s="429">
        <f>IF(AND(Database!MI77&gt;1,Database!MI74&gt;1),100*(Database!MI77/(Database!MI74)),0.0001)</f>
        <v>1E-4</v>
      </c>
      <c r="FS138" s="429">
        <f>IF(AND(Database!MK77&gt;1,Database!MK74&gt;1),100*(Database!MK77/(Database!MK74)),0.0001)</f>
        <v>1E-4</v>
      </c>
      <c r="FT138" s="429">
        <f>IF(AND(Database!MM77&gt;1,Database!MM74&gt;1),100*(Database!MM77/(Database!MM74)),0.0001)</f>
        <v>1E-4</v>
      </c>
      <c r="FU138" s="429">
        <f>IF(AND(Database!MO77&gt;1,Database!MO74&gt;1),100*(Database!MO77/(Database!MO74)),0.0001)</f>
        <v>1E-4</v>
      </c>
      <c r="FV138" s="429">
        <f>IF(AND(Database!MQ77&gt;1,Database!MQ74&gt;1),100*(Database!MQ77/(Database!MQ74)),0.0001)</f>
        <v>1E-4</v>
      </c>
      <c r="FW138" s="429">
        <f>IF(AND(Database!MS77&gt;1,Database!MS74&gt;1),100*(Database!MS77/(Database!MS74)),0.0001)</f>
        <v>1E-4</v>
      </c>
      <c r="FX138" s="429">
        <f>IF(AND(Database!MU77&gt;1,Database!MU74&gt;1),100*(Database!MU77/(Database!MU74)),0.0001)</f>
        <v>1E-4</v>
      </c>
      <c r="FY138" s="429">
        <f>IF(AND(Database!MW77&gt;1,Database!MW74&gt;1),100*(Database!MW77/(Database!MW74)),0.0001)</f>
        <v>1E-4</v>
      </c>
      <c r="FZ138" s="429">
        <f>IF(AND(Database!MY77&gt;1,Database!MY74&gt;1),100*(Database!MY77/(Database!MY74)),0.0001)</f>
        <v>1E-4</v>
      </c>
      <c r="GA138" s="429">
        <f>IF(AND(Database!NA77&gt;1,Database!NA74&gt;1),100*(Database!NA77/(Database!NA74)),0.0001)</f>
        <v>1E-4</v>
      </c>
      <c r="GB138" s="429">
        <f>IF(AND(Database!NC77&gt;1,Database!NC74&gt;1),100*(Database!NC77/(Database!NC74)),0.0001)</f>
        <v>1E-4</v>
      </c>
      <c r="GC138" s="429">
        <f>IF(AND(Database!NE77&gt;1,Database!NE74&gt;1),100*(Database!NE77/(Database!NE74)),0.0001)</f>
        <v>1E-4</v>
      </c>
      <c r="GD138" s="429">
        <f>IF(AND(Database!NG77&gt;1,Database!NG74&gt;1),100*(Database!NG77/(Database!NG74)),0.0001)</f>
        <v>1E-4</v>
      </c>
      <c r="GE138" s="429">
        <f>IF(AND(Database!NI77&gt;1,Database!NI74&gt;1),100*(Database!NI77/(Database!NI74)),0.0001)</f>
        <v>1E-4</v>
      </c>
      <c r="GF138" s="429">
        <f>IF(AND(Database!NK77&gt;1,Database!NK74&gt;1),100*(Database!NK77/(Database!NK74)),0.0001)</f>
        <v>1E-4</v>
      </c>
      <c r="GG138" s="429">
        <f>IF(AND(Database!NM77&gt;1,Database!NM74&gt;1),100*(Database!NM77/(Database!NM74)),0.0001)</f>
        <v>1E-4</v>
      </c>
      <c r="GH138" s="429">
        <f>IF(AND(Database!NO77&gt;1,Database!NO74&gt;1),100*(Database!NO77/(Database!NO74)),0.0001)</f>
        <v>1E-4</v>
      </c>
      <c r="GI138" s="429">
        <f>IF(AND(Database!NQ77&gt;1,Database!NQ74&gt;1),100*(Database!NQ77/(Database!NQ74)),0.0001)</f>
        <v>1E-4</v>
      </c>
      <c r="GJ138" s="429">
        <f>IF(AND(Database!NS77&gt;1,Database!NS74&gt;1),100*(Database!NS77/(Database!NS74)),0.0001)</f>
        <v>1E-4</v>
      </c>
      <c r="GK138" s="429">
        <f>IF(AND(Database!NU77&gt;1,Database!NU74&gt;1),100*(Database!NU77/(Database!NU74)),0.0001)</f>
        <v>1E-4</v>
      </c>
      <c r="GL138" s="429">
        <f>IF(AND(Database!NW77&gt;1,Database!NW74&gt;1),100*(Database!NW77/(Database!NW74)),0.0001)</f>
        <v>1E-4</v>
      </c>
      <c r="GM138" s="429">
        <f>IF(AND(Database!NY77&gt;1,Database!NY74&gt;1),100*(Database!NY77/(Database!NY74)),0.0001)</f>
        <v>1E-4</v>
      </c>
      <c r="GN138" s="429">
        <f>IF(AND(Database!OA77&gt;1,Database!OA74&gt;1),100*(Database!OA77/(Database!OA74)),0.0001)</f>
        <v>1E-4</v>
      </c>
      <c r="GO138" s="429">
        <f>IF(AND(Database!OC77&gt;1,Database!OC74&gt;1),100*(Database!OC77/(Database!OC74)),0.0001)</f>
        <v>1E-4</v>
      </c>
      <c r="GP138" s="429">
        <f>IF(AND(Database!OE77&gt;1,Database!OE74&gt;1),100*(Database!OE77/(Database!OE74)),0.0001)</f>
        <v>1E-4</v>
      </c>
      <c r="GQ138" s="429">
        <f>IF(AND(Database!OG77&gt;1,Database!OG74&gt;1),100*(Database!OG77/(Database!OG74)),0.0001)</f>
        <v>1E-4</v>
      </c>
      <c r="GR138" s="429">
        <f>IF(AND(Database!OI77&gt;1,Database!OI74&gt;1),100*(Database!OI77/(Database!OI74)),0.0001)</f>
        <v>1E-4</v>
      </c>
      <c r="GS138" s="429">
        <f>IF(AND(Database!OK77&gt;1,Database!OK74&gt;1),100*(Database!OK77/(Database!OK74)),0.0001)</f>
        <v>1E-4</v>
      </c>
      <c r="GT138" s="83">
        <f>IF(AND(Database!OM77&gt;1,Database!OM74&gt;1),100*(Database!OM77/(Database!OM74)),0.0001)</f>
        <v>1E-4</v>
      </c>
      <c r="GU138" s="99"/>
      <c r="GV138" s="99"/>
      <c r="GW138" s="99"/>
    </row>
    <row r="139" spans="1:205" ht="18.75" customHeight="1" x14ac:dyDescent="0.4">
      <c r="A139" s="240" t="s">
        <v>149</v>
      </c>
      <c r="B139" s="96"/>
      <c r="C139" s="260">
        <f>IF(AND(Database!E68&gt;1,Database!E11&gt;1),100*(Database!E68/(Database!E11)),0.0001)</f>
        <v>172.93102142803059</v>
      </c>
      <c r="D139" s="99">
        <f>IF(AND(Database!G68&gt;1,Database!G11&gt;1),100*(Database!G68/(Database!G11)),0.0001)</f>
        <v>238.24900133155791</v>
      </c>
      <c r="E139" s="99">
        <f>IF(AND(Database!I68&gt;1,Database!I11&gt;1),100*(Database!I68/(Database!I11)),0.0001)</f>
        <v>144.69961041623949</v>
      </c>
      <c r="F139" s="99">
        <f>IF(AND(Database!K68&gt;1,Database!K11&gt;1),100*(Database!K68/(Database!K11)),0.0001)</f>
        <v>97.731767874426637</v>
      </c>
      <c r="G139" s="99">
        <f>IF(AND(Database!M68&gt;1,Database!M11&gt;1),100*(Database!M68/(Database!M11)),0.0001)</f>
        <v>1E-4</v>
      </c>
      <c r="H139" s="99">
        <f>IF(AND(Database!O68&gt;1,Database!O11&gt;1),100*(Database!O68/(Database!O11)),0.0001)</f>
        <v>1E-4</v>
      </c>
      <c r="I139" s="99">
        <f>IF(AND(Database!Q68&gt;1,Database!Q11&gt;1),100*(Database!Q68/(Database!Q11)),0.0001)</f>
        <v>1E-4</v>
      </c>
      <c r="J139" s="99">
        <f>IF(AND(Database!S68&gt;1,Database!S11&gt;1),100*(Database!S68/(Database!S11)),0.0001)</f>
        <v>1E-4</v>
      </c>
      <c r="K139" s="99">
        <f>IF(AND(Database!U68&gt;1,Database!U11&gt;1),100*(Database!U68/(Database!U11)),0.0001)</f>
        <v>1E-4</v>
      </c>
      <c r="L139" s="99">
        <f>IF(AND(Database!W68&gt;1,Database!W11&gt;1),100*(Database!W68/(Database!W11)),0.0001)</f>
        <v>1E-4</v>
      </c>
      <c r="M139" s="99">
        <f>IF(AND(Database!Y68&gt;1,Database!Y11&gt;1),100*(Database!Y68/(Database!Y11)),0.0001)</f>
        <v>1E-4</v>
      </c>
      <c r="N139" s="99">
        <f>IF(AND(Database!AA68&gt;1,Database!AA11&gt;1),100*(Database!AA68/(Database!AA11)),0.0001)</f>
        <v>1E-4</v>
      </c>
      <c r="O139" s="99">
        <f>IF(AND(Database!AC68&gt;1,Database!AC11&gt;1),100*(Database!AC68/(Database!AC11)),0.0001)</f>
        <v>1E-4</v>
      </c>
      <c r="P139" s="99">
        <f>IF(AND(Database!AE68&gt;1,Database!AE11&gt;1),100*(Database!AE68/(Database!AE11)),0.0001)</f>
        <v>1E-4</v>
      </c>
      <c r="Q139" s="99">
        <f>IF(AND(Database!AG68&gt;1,Database!AG11&gt;1),100*(Database!AG68/(Database!AG11)),0.0001)</f>
        <v>1E-4</v>
      </c>
      <c r="R139" s="99">
        <f>IF(AND(Database!AI68&gt;1,Database!AI11&gt;1),100*(Database!AI68/(Database!AI11)),0.0001)</f>
        <v>1E-4</v>
      </c>
      <c r="S139" s="99">
        <f>IF(AND(Database!AK68&gt;1,Database!AK11&gt;1),100*(Database!AK68/(Database!AK11)),0.0001)</f>
        <v>1E-4</v>
      </c>
      <c r="T139" s="99">
        <f>IF(AND(Database!AM68&gt;1,Database!AM11&gt;1),100*(Database!AM68/(Database!AM11)),0.0001)</f>
        <v>1E-4</v>
      </c>
      <c r="U139" s="99">
        <f>IF(AND(Database!AO68&gt;1,Database!AO11&gt;1),100*(Database!AO68/(Database!AO11)),0.0001)</f>
        <v>1E-4</v>
      </c>
      <c r="V139" s="99">
        <f>IF(AND(Database!AQ68&gt;1,Database!AQ11&gt;1),100*(Database!AQ68/(Database!AQ11)),0.0001)</f>
        <v>1E-4</v>
      </c>
      <c r="W139" s="99">
        <f>IF(AND(Database!AS68&gt;1,Database!AS11&gt;1),100*(Database!AS68/(Database!AS11)),0.0001)</f>
        <v>1E-4</v>
      </c>
      <c r="X139" s="99">
        <f>IF(AND(Database!AU68&gt;1,Database!AU11&gt;1),100*(Database!AU68/(Database!AU11)),0.0001)</f>
        <v>1E-4</v>
      </c>
      <c r="Y139" s="99">
        <f>IF(AND(Database!AW68&gt;1,Database!AW11&gt;1),100*(Database!AW68/(Database!AW11)),0.0001)</f>
        <v>1E-4</v>
      </c>
      <c r="Z139" s="99">
        <f>IF(AND(Database!AY68&gt;1,Database!AY11&gt;1),100*(Database!AY68/(Database!AY11)),0.0001)</f>
        <v>1E-4</v>
      </c>
      <c r="AA139" s="99">
        <f>IF(AND(Database!BA68&gt;1,Database!BA11&gt;1),100*(Database!BA68/(Database!BA11)),0.0001)</f>
        <v>1E-4</v>
      </c>
      <c r="AB139" s="99">
        <f>IF(AND(Database!BC68&gt;1,Database!BC11&gt;1),100*(Database!BC68/(Database!BC11)),0.0001)</f>
        <v>1E-4</v>
      </c>
      <c r="AC139" s="99">
        <f>IF(AND(Database!BE68&gt;1,Database!BE11&gt;1),100*(Database!BE68/(Database!BE11)),0.0001)</f>
        <v>1E-4</v>
      </c>
      <c r="AD139" s="99">
        <f>IF(AND(Database!BG68&gt;1,Database!BG11&gt;1),100*(Database!BG68/(Database!BG11)),0.0001)</f>
        <v>1E-4</v>
      </c>
      <c r="AE139" s="99">
        <f>IF(AND(Database!BI68&gt;1,Database!BI11&gt;1),100*(Database!BI68/(Database!BI11)),0.0001)</f>
        <v>1E-4</v>
      </c>
      <c r="AF139" s="99">
        <f>IF(AND(Database!BK68&gt;1,Database!BK11&gt;1),100*(Database!BK68/(Database!BK11)),0.0001)</f>
        <v>1E-4</v>
      </c>
      <c r="AG139" s="99">
        <f>IF(AND(Database!BM68&gt;1,Database!BM11&gt;1),100*(Database!BM68/(Database!BM11)),0.0001)</f>
        <v>1E-4</v>
      </c>
      <c r="AH139" s="99">
        <f>IF(AND(Database!BO68&gt;1,Database!BO11&gt;1),100*(Database!BO68/(Database!BO11)),0.0001)</f>
        <v>1E-4</v>
      </c>
      <c r="AI139" s="99">
        <f>IF(AND(Database!BQ68&gt;1,Database!BQ11&gt;1),100*(Database!BQ68/(Database!BQ11)),0.0001)</f>
        <v>1E-4</v>
      </c>
      <c r="AJ139" s="99">
        <f>IF(AND(Database!BS68&gt;1,Database!BS11&gt;1),100*(Database!BS68/(Database!BS11)),0.0001)</f>
        <v>1E-4</v>
      </c>
      <c r="AK139" s="99">
        <f>IF(AND(Database!BU68&gt;1,Database!BU11&gt;1),100*(Database!BU68/(Database!BU11)),0.0001)</f>
        <v>1E-4</v>
      </c>
      <c r="AL139" s="99">
        <f>IF(AND(Database!BW68&gt;1,Database!BW11&gt;1),100*(Database!BW68/(Database!BW11)),0.0001)</f>
        <v>1E-4</v>
      </c>
      <c r="AM139" s="99">
        <f>IF(AND(Database!BY68&gt;1,Database!BY11&gt;1),100*(Database!BY68/(Database!BY11)),0.0001)</f>
        <v>1E-4</v>
      </c>
      <c r="AN139" s="99">
        <f>IF(AND(Database!CA68&gt;1,Database!CA11&gt;1),100*(Database!CA68/(Database!CA11)),0.0001)</f>
        <v>1E-4</v>
      </c>
      <c r="AO139" s="99">
        <f>IF(AND(Database!CC68&gt;1,Database!CC11&gt;1),100*(Database!CC68/(Database!CC11)),0.0001)</f>
        <v>1E-4</v>
      </c>
      <c r="AP139" s="99">
        <f>IF(AND(Database!CE68&gt;1,Database!CE11&gt;1),100*(Database!CE68/(Database!CE11)),0.0001)</f>
        <v>1E-4</v>
      </c>
      <c r="AQ139" s="99">
        <f>IF(AND(Database!CG68&gt;1,Database!CG11&gt;1),100*(Database!CG68/(Database!CG11)),0.0001)</f>
        <v>1E-4</v>
      </c>
      <c r="AR139" s="99">
        <f>IF(AND(Database!CI68&gt;1,Database!CI11&gt;1),100*(Database!CI68/(Database!CI11)),0.0001)</f>
        <v>1E-4</v>
      </c>
      <c r="AS139" s="99">
        <f>IF(AND(Database!CK68&gt;1,Database!CK11&gt;1),100*(Database!CK68/(Database!CK11)),0.0001)</f>
        <v>1E-4</v>
      </c>
      <c r="AT139" s="99">
        <f>IF(AND(Database!CM68&gt;1,Database!CM11&gt;1),100*(Database!CM68/(Database!CM11)),0.0001)</f>
        <v>1E-4</v>
      </c>
      <c r="AU139" s="99">
        <f>IF(AND(Database!CO68&gt;1,Database!CO11&gt;1),100*(Database!CO68/(Database!CO11)),0.0001)</f>
        <v>1E-4</v>
      </c>
      <c r="AV139" s="99">
        <f>IF(AND(Database!CQ68&gt;1,Database!CQ11&gt;1),100*(Database!CQ68/(Database!CQ11)),0.0001)</f>
        <v>1E-4</v>
      </c>
      <c r="AW139" s="99">
        <f>IF(AND(Database!CS68&gt;1,Database!CS11&gt;1),100*(Database!CS68/(Database!CS11)),0.0001)</f>
        <v>1E-4</v>
      </c>
      <c r="AX139" s="99">
        <f>IF(AND(Database!CU68&gt;1,Database!CU11&gt;1),100*(Database!CU68/(Database!CU11)),0.0001)</f>
        <v>1E-4</v>
      </c>
      <c r="AY139" s="99">
        <f>IF(AND(Database!CW68&gt;1,Database!CW11&gt;1),100*(Database!CW68/(Database!CW11)),0.0001)</f>
        <v>1E-4</v>
      </c>
      <c r="AZ139" s="99">
        <f>IF(AND(Database!CY68&gt;1,Database!CY11&gt;1),100*(Database!CY68/(Database!CY11)),0.0001)</f>
        <v>1E-4</v>
      </c>
      <c r="BA139" s="99">
        <f>IF(AND(Database!DA68&gt;1,Database!DA11&gt;1),100*(Database!DA68/(Database!DA11)),0.0001)</f>
        <v>1E-4</v>
      </c>
      <c r="BB139" s="99">
        <f>IF(AND(Database!DC68&gt;1,Database!DC11&gt;1),100*(Database!DC68/(Database!DC11)),0.0001)</f>
        <v>1E-4</v>
      </c>
      <c r="BC139" s="99">
        <f>IF(AND(Database!DE68&gt;1,Database!DE11&gt;1),100*(Database!DE68/(Database!DE11)),0.0001)</f>
        <v>1E-4</v>
      </c>
      <c r="BD139" s="99">
        <f>IF(AND(Database!DG68&gt;1,Database!DG11&gt;1),100*(Database!DG68/(Database!DG11)),0.0001)</f>
        <v>1E-4</v>
      </c>
      <c r="BE139" s="99">
        <f>IF(AND(Database!DI68&gt;1,Database!DI11&gt;1),100*(Database!DI68/(Database!DI11)),0.0001)</f>
        <v>1E-4</v>
      </c>
      <c r="BF139" s="99">
        <f>IF(AND(Database!DK68&gt;1,Database!DK11&gt;1),100*(Database!DK68/(Database!DK11)),0.0001)</f>
        <v>1E-4</v>
      </c>
      <c r="BG139" s="99">
        <f>IF(AND(Database!DM68&gt;1,Database!DM11&gt;1),100*(Database!DM68/(Database!DM11)),0.0001)</f>
        <v>1E-4</v>
      </c>
      <c r="BH139" s="99">
        <f>IF(AND(Database!DO68&gt;1,Database!DO11&gt;1),100*(Database!DO68/(Database!DO11)),0.0001)</f>
        <v>1E-4</v>
      </c>
      <c r="BI139" s="99">
        <f>IF(AND(Database!DQ68&gt;1,Database!DQ11&gt;1),100*(Database!DQ68/(Database!DQ11)),0.0001)</f>
        <v>1E-4</v>
      </c>
      <c r="BJ139" s="99">
        <f>IF(AND(Database!DS68&gt;1,Database!DS11&gt;1),100*(Database!DS68/(Database!DS11)),0.0001)</f>
        <v>1E-4</v>
      </c>
      <c r="BK139" s="99">
        <f>IF(AND(Database!DU68&gt;1,Database!DU11&gt;1),100*(Database!DU68/(Database!DU11)),0.0001)</f>
        <v>1E-4</v>
      </c>
      <c r="BL139" s="99">
        <f>IF(AND(Database!DW68&gt;1,Database!DW11&gt;1),100*(Database!DW68/(Database!DW11)),0.0001)</f>
        <v>1E-4</v>
      </c>
      <c r="BM139" s="99">
        <f>IF(AND(Database!DY68&gt;1,Database!DY11&gt;1),100*(Database!DY68/(Database!DY11)),0.0001)</f>
        <v>1E-4</v>
      </c>
      <c r="BN139" s="99">
        <f>IF(AND(Database!EA68&gt;1,Database!EA11&gt;1),100*(Database!EA68/(Database!EA11)),0.0001)</f>
        <v>1E-4</v>
      </c>
      <c r="BO139" s="99">
        <f>IF(AND(Database!EC68&gt;1,Database!EC11&gt;1),100*(Database!EC68/(Database!EC11)),0.0001)</f>
        <v>1E-4</v>
      </c>
      <c r="BP139" s="99">
        <f>IF(AND(Database!EE68&gt;1,Database!EE11&gt;1),100*(Database!EE68/(Database!EE11)),0.0001)</f>
        <v>1E-4</v>
      </c>
      <c r="BQ139" s="99">
        <f>IF(AND(Database!EG68&gt;1,Database!EG11&gt;1),100*(Database!EG68/(Database!EG11)),0.0001)</f>
        <v>1E-4</v>
      </c>
      <c r="BR139" s="99">
        <f>IF(AND(Database!EI68&gt;1,Database!EI11&gt;1),100*(Database!EI68/(Database!EI11)),0.0001)</f>
        <v>1E-4</v>
      </c>
      <c r="BS139" s="99">
        <f>IF(AND(Database!EK68&gt;1,Database!EK11&gt;1),100*(Database!EK68/(Database!EK11)),0.0001)</f>
        <v>1E-4</v>
      </c>
      <c r="BT139" s="99">
        <f>IF(AND(Database!EM68&gt;1,Database!EM11&gt;1),100*(Database!EM68/(Database!EM11)),0.0001)</f>
        <v>1E-4</v>
      </c>
      <c r="BU139" s="99">
        <f>IF(AND(Database!EO68&gt;1,Database!EO11&gt;1),100*(Database!EO68/(Database!EO11)),0.0001)</f>
        <v>1E-4</v>
      </c>
      <c r="BV139" s="99">
        <f>IF(AND(Database!EQ68&gt;1,Database!EQ11&gt;1),100*(Database!EQ68/(Database!EQ11)),0.0001)</f>
        <v>1E-4</v>
      </c>
      <c r="BW139" s="99">
        <f>IF(AND(Database!ES68&gt;1,Database!ES11&gt;1),100*(Database!ES68/(Database!ES11)),0.0001)</f>
        <v>1E-4</v>
      </c>
      <c r="BX139" s="99">
        <f>IF(AND(Database!EU68&gt;1,Database!EU11&gt;1),100*(Database!EU68/(Database!EU11)),0.0001)</f>
        <v>1E-4</v>
      </c>
      <c r="BY139" s="99">
        <f>IF(AND(Database!EW68&gt;1,Database!EW11&gt;1),100*(Database!EW68/(Database!EW11)),0.0001)</f>
        <v>1E-4</v>
      </c>
      <c r="BZ139" s="99">
        <f>IF(AND(Database!EY68&gt;1,Database!EY11&gt;1),100*(Database!EY68/(Database!EY11)),0.0001)</f>
        <v>1E-4</v>
      </c>
      <c r="CA139" s="99">
        <f>IF(AND(Database!FA68&gt;1,Database!FA11&gt;1),100*(Database!FA68/(Database!FA11)),0.0001)</f>
        <v>1E-4</v>
      </c>
      <c r="CB139" s="99">
        <f>IF(AND(Database!FC68&gt;1,Database!FC11&gt;1),100*(Database!FC68/(Database!FC11)),0.0001)</f>
        <v>1E-4</v>
      </c>
      <c r="CC139" s="99">
        <f>IF(AND(Database!FE68&gt;1,Database!FE11&gt;1),100*(Database!FE68/(Database!FE11)),0.0001)</f>
        <v>1E-4</v>
      </c>
      <c r="CD139" s="99">
        <f>IF(AND(Database!FG68&gt;1,Database!FG11&gt;1),100*(Database!FG68/(Database!FG11)),0.0001)</f>
        <v>1E-4</v>
      </c>
      <c r="CE139" s="99">
        <f>IF(AND(Database!FI68&gt;1,Database!FI11&gt;1),100*(Database!FI68/(Database!FI11)),0.0001)</f>
        <v>1E-4</v>
      </c>
      <c r="CF139" s="99">
        <f>IF(AND(Database!FK68&gt;1,Database!FK11&gt;1),100*(Database!FK68/(Database!FK11)),0.0001)</f>
        <v>1E-4</v>
      </c>
      <c r="CG139" s="99">
        <f>IF(AND(Database!FM68&gt;1,Database!FM11&gt;1),100*(Database!FM68/(Database!FM11)),0.0001)</f>
        <v>1E-4</v>
      </c>
      <c r="CH139" s="99">
        <f>IF(AND(Database!FO68&gt;1,Database!FO11&gt;1),100*(Database!FO68/(Database!FO11)),0.0001)</f>
        <v>1E-4</v>
      </c>
      <c r="CI139" s="99">
        <f>IF(AND(Database!FQ68&gt;1,Database!FQ11&gt;1),100*(Database!FQ68/(Database!FQ11)),0.0001)</f>
        <v>1E-4</v>
      </c>
      <c r="CJ139" s="99">
        <f>IF(AND(Database!FS68&gt;1,Database!FS11&gt;1),100*(Database!FS68/(Database!FS11)),0.0001)</f>
        <v>1E-4</v>
      </c>
      <c r="CK139" s="99">
        <f>IF(AND(Database!FU68&gt;1,Database!FU11&gt;1),100*(Database!FU68/(Database!FU11)),0.0001)</f>
        <v>1E-4</v>
      </c>
      <c r="CL139" s="99">
        <f>IF(AND(Database!FW68&gt;1,Database!FW11&gt;1),100*(Database!FW68/(Database!FW11)),0.0001)</f>
        <v>1E-4</v>
      </c>
      <c r="CM139" s="99">
        <f>IF(AND(Database!FY68&gt;1,Database!FY11&gt;1),100*(Database!FY68/(Database!FY11)),0.0001)</f>
        <v>1E-4</v>
      </c>
      <c r="CN139" s="99">
        <f>IF(AND(Database!GA68&gt;1,Database!GA11&gt;1),100*(Database!GA68/(Database!GA11)),0.0001)</f>
        <v>1E-4</v>
      </c>
      <c r="CO139" s="99">
        <f>IF(AND(Database!GC68&gt;1,Database!GC11&gt;1),100*(Database!GC68/(Database!GC11)),0.0001)</f>
        <v>1E-4</v>
      </c>
      <c r="CP139" s="99">
        <f>IF(AND(Database!GE68&gt;1,Database!GE11&gt;1),100*(Database!GE68/(Database!GE11)),0.0001)</f>
        <v>1E-4</v>
      </c>
      <c r="CQ139" s="99">
        <f>IF(AND(Database!GG68&gt;1,Database!GG11&gt;1),100*(Database!GG68/(Database!GG11)),0.0001)</f>
        <v>1E-4</v>
      </c>
      <c r="CR139" s="99">
        <f>IF(AND(Database!GI68&gt;1,Database!GI11&gt;1),100*(Database!GI68/(Database!GI11)),0.0001)</f>
        <v>1E-4</v>
      </c>
      <c r="CS139" s="99">
        <f>IF(AND(Database!GK68&gt;1,Database!GK11&gt;1),100*(Database!GK68/(Database!GK11)),0.0001)</f>
        <v>1E-4</v>
      </c>
      <c r="CT139" s="99">
        <f>IF(AND(Database!GM68&gt;1,Database!GM11&gt;1),100*(Database!GM68/(Database!GM11)),0.0001)</f>
        <v>1E-4</v>
      </c>
      <c r="CU139" s="99">
        <f>IF(AND(Database!GO68&gt;1,Database!GO11&gt;1),100*(Database!GO68/(Database!GO11)),0.0001)</f>
        <v>1E-4</v>
      </c>
      <c r="CV139" s="99">
        <f>IF(AND(Database!GQ68&gt;1,Database!GQ11&gt;1),100*(Database!GQ68/(Database!GQ11)),0.0001)</f>
        <v>1E-4</v>
      </c>
      <c r="CW139" s="99">
        <f>IF(AND(Database!GS68&gt;1,Database!GS11&gt;1),100*(Database!GS68/(Database!GS11)),0.0001)</f>
        <v>1E-4</v>
      </c>
      <c r="CX139" s="99">
        <f>IF(AND(Database!GU68&gt;1,Database!GU11&gt;1),100*(Database!GU68/(Database!GU11)),0.0001)</f>
        <v>1E-4</v>
      </c>
      <c r="CY139" s="99">
        <f>IF(AND(Database!GW68&gt;1,Database!GW11&gt;1),100*(Database!GW68/(Database!GW11)),0.0001)</f>
        <v>1E-4</v>
      </c>
      <c r="CZ139" s="99">
        <f>IF(AND(Database!GY68&gt;1,Database!GY11&gt;1),100*(Database!GY68/(Database!GY11)),0.0001)</f>
        <v>1E-4</v>
      </c>
      <c r="DA139" s="99">
        <f>IF(AND(Database!HA68&gt;1,Database!HA11&gt;1),100*(Database!HA68/(Database!HA11)),0.0001)</f>
        <v>1E-4</v>
      </c>
      <c r="DB139" s="99">
        <f>IF(AND(Database!HC68&gt;1,Database!HC11&gt;1),100*(Database!HC68/(Database!HC11)),0.0001)</f>
        <v>1E-4</v>
      </c>
      <c r="DC139" s="99">
        <f>IF(AND(Database!HE68&gt;1,Database!HE11&gt;1),100*(Database!HE68/(Database!HE11)),0.0001)</f>
        <v>1E-4</v>
      </c>
      <c r="DD139" s="99">
        <f>IF(AND(Database!HG68&gt;1,Database!HG11&gt;1),100*(Database!HG68/(Database!HG11)),0.0001)</f>
        <v>1E-4</v>
      </c>
      <c r="DE139" s="99">
        <f>IF(AND(Database!HI68&gt;1,Database!HI11&gt;1),100*(Database!HI68/(Database!HI11)),0.0001)</f>
        <v>1E-4</v>
      </c>
      <c r="DF139" s="99">
        <f>IF(AND(Database!HK68&gt;1,Database!HK11&gt;1),100*(Database!HK68/(Database!HK11)),0.0001)</f>
        <v>1E-4</v>
      </c>
      <c r="DG139" s="99">
        <f>IF(AND(Database!HM68&gt;1,Database!HM11&gt;1),100*(Database!HM68/(Database!HM11)),0.0001)</f>
        <v>1E-4</v>
      </c>
      <c r="DH139" s="99">
        <f>IF(AND(Database!HO68&gt;1,Database!HO11&gt;1),100*(Database!HO68/(Database!HO11)),0.0001)</f>
        <v>1E-4</v>
      </c>
      <c r="DI139" s="99">
        <f>IF(AND(Database!HQ68&gt;1,Database!HQ11&gt;1),100*(Database!HQ68/(Database!HQ11)),0.0001)</f>
        <v>1E-4</v>
      </c>
      <c r="DJ139" s="99">
        <f>IF(AND(Database!HS68&gt;1,Database!HS11&gt;1),100*(Database!HS68/(Database!HS11)),0.0001)</f>
        <v>1E-4</v>
      </c>
      <c r="DK139" s="99">
        <f>IF(AND(Database!HU68&gt;1,Database!HU11&gt;1),100*(Database!HU68/(Database!HU11)),0.0001)</f>
        <v>1E-4</v>
      </c>
      <c r="DL139" s="99">
        <f>IF(AND(Database!HW68&gt;1,Database!HW11&gt;1),100*(Database!HW68/(Database!HW11)),0.0001)</f>
        <v>1E-4</v>
      </c>
      <c r="DM139" s="99">
        <f>IF(AND(Database!HY68&gt;1,Database!HY11&gt;1),100*(Database!HY68/(Database!HY11)),0.0001)</f>
        <v>1E-4</v>
      </c>
      <c r="DN139" s="99">
        <f>IF(AND(Database!IA68&gt;1,Database!IA11&gt;1),100*(Database!IA68/(Database!IA11)),0.0001)</f>
        <v>1E-4</v>
      </c>
      <c r="DO139" s="99">
        <f>IF(AND(Database!IC68&gt;1,Database!IC11&gt;1),100*(Database!IC68/(Database!IC11)),0.0001)</f>
        <v>1E-4</v>
      </c>
      <c r="DP139" s="99">
        <f>IF(AND(Database!IE68&gt;1,Database!IE11&gt;1),100*(Database!IE68/(Database!IE11)),0.0001)</f>
        <v>1E-4</v>
      </c>
      <c r="DQ139" s="99">
        <f>IF(AND(Database!IG68&gt;1,Database!IG11&gt;1),100*(Database!IG68/(Database!IG11)),0.0001)</f>
        <v>1E-4</v>
      </c>
      <c r="DR139" s="99">
        <f>IF(AND(Database!II68&gt;1,Database!II11&gt;1),100*(Database!II68/(Database!II11)),0.0001)</f>
        <v>1E-4</v>
      </c>
      <c r="DS139" s="99">
        <f>IF(AND(Database!IK68&gt;1,Database!IK11&gt;1),100*(Database!IK68/(Database!IK11)),0.0001)</f>
        <v>1E-4</v>
      </c>
      <c r="DT139" s="99">
        <f>IF(AND(Database!IM68&gt;1,Database!IM11&gt;1),100*(Database!IM68/(Database!IM11)),0.0001)</f>
        <v>1E-4</v>
      </c>
      <c r="DU139" s="99">
        <f>IF(AND(Database!IO68&gt;1,Database!IO11&gt;1),100*(Database!IO68/(Database!IO11)),0.0001)</f>
        <v>1E-4</v>
      </c>
      <c r="DV139" s="99">
        <f>IF(AND(Database!IQ68&gt;1,Database!IQ11&gt;1),100*(Database!IQ68/(Database!IQ11)),0.0001)</f>
        <v>1E-4</v>
      </c>
      <c r="DW139" s="99">
        <f>IF(AND(Database!IS68&gt;1,Database!IS11&gt;1),100*(Database!IS68/(Database!IS11)),0.0001)</f>
        <v>1E-4</v>
      </c>
      <c r="DX139" s="99">
        <f>IF(AND(Database!IU68&gt;1,Database!IU11&gt;1),100*(Database!IU68/(Database!IU11)),0.0001)</f>
        <v>1E-4</v>
      </c>
      <c r="DY139" s="99">
        <f>IF(AND(Database!IW68&gt;1,Database!IW11&gt;1),100*(Database!IW68/(Database!IW11)),0.0001)</f>
        <v>1E-4</v>
      </c>
      <c r="DZ139" s="99">
        <f>IF(AND(Database!IY68&gt;1,Database!IY11&gt;1),100*(Database!IY68/(Database!IY11)),0.0001)</f>
        <v>1E-4</v>
      </c>
      <c r="EA139" s="99">
        <f>IF(AND(Database!JA68&gt;1,Database!JA11&gt;1),100*(Database!JA68/(Database!JA11)),0.0001)</f>
        <v>1E-4</v>
      </c>
      <c r="EB139" s="99">
        <f>IF(AND(Database!JC68&gt;1,Database!JC11&gt;1),100*(Database!JC68/(Database!JC11)),0.0001)</f>
        <v>1E-4</v>
      </c>
      <c r="EC139" s="99">
        <f>IF(AND(Database!JE68&gt;1,Database!JE11&gt;1),100*(Database!JE68/(Database!JE11)),0.0001)</f>
        <v>1E-4</v>
      </c>
      <c r="ED139" s="99">
        <f>IF(AND(Database!JG68&gt;1,Database!JG11&gt;1),100*(Database!JG68/(Database!JG11)),0.0001)</f>
        <v>1E-4</v>
      </c>
      <c r="EE139" s="99">
        <f>IF(AND(Database!JI68&gt;1,Database!JI11&gt;1),100*(Database!JI68/(Database!JI11)),0.0001)</f>
        <v>1E-4</v>
      </c>
      <c r="EF139" s="99">
        <f>IF(AND(Database!JK68&gt;1,Database!JK11&gt;1),100*(Database!JK68/(Database!JK11)),0.0001)</f>
        <v>1E-4</v>
      </c>
      <c r="EG139" s="99">
        <f>IF(AND(Database!JM68&gt;1,Database!JM11&gt;1),100*(Database!JM68/(Database!JM11)),0.0001)</f>
        <v>1E-4</v>
      </c>
      <c r="EH139" s="99">
        <f>IF(AND(Database!JO68&gt;1,Database!JO11&gt;1),100*(Database!JO68/(Database!JO11)),0.0001)</f>
        <v>1E-4</v>
      </c>
      <c r="EI139" s="99">
        <f>IF(AND(Database!JQ68&gt;1,Database!JQ11&gt;1),100*(Database!JQ68/(Database!JQ11)),0.0001)</f>
        <v>1E-4</v>
      </c>
      <c r="EJ139" s="99">
        <f>IF(AND(Database!JS68&gt;1,Database!JS11&gt;1),100*(Database!JS68/(Database!JS11)),0.0001)</f>
        <v>1E-4</v>
      </c>
      <c r="EK139" s="99">
        <f>IF(AND(Database!JU68&gt;1,Database!JU11&gt;1),100*(Database!JU68/(Database!JU11)),0.0001)</f>
        <v>1E-4</v>
      </c>
      <c r="EL139" s="99">
        <f>IF(AND(Database!JW68&gt;1,Database!JW11&gt;1),100*(Database!JW68/(Database!JW11)),0.0001)</f>
        <v>1E-4</v>
      </c>
      <c r="EM139" s="99">
        <f>IF(AND(Database!JY68&gt;1,Database!JY11&gt;1),100*(Database!JY68/(Database!JY11)),0.0001)</f>
        <v>1E-4</v>
      </c>
      <c r="EN139" s="99">
        <f>IF(AND(Database!KA68&gt;1,Database!KA11&gt;1),100*(Database!KA68/(Database!KA11)),0.0001)</f>
        <v>1E-4</v>
      </c>
      <c r="EO139" s="99">
        <f>IF(AND(Database!KC68&gt;1,Database!KC11&gt;1),100*(Database!KC68/(Database!KC11)),0.0001)</f>
        <v>1E-4</v>
      </c>
      <c r="EP139" s="99">
        <f>IF(AND(Database!KE68&gt;1,Database!KE11&gt;1),100*(Database!KE68/(Database!KE11)),0.0001)</f>
        <v>1E-4</v>
      </c>
      <c r="EQ139" s="99">
        <f>IF(AND(Database!KG68&gt;1,Database!KG11&gt;1),100*(Database!KG68/(Database!KG11)),0.0001)</f>
        <v>1E-4</v>
      </c>
      <c r="ER139" s="99">
        <f>IF(AND(Database!KI68&gt;1,Database!KI11&gt;1),100*(Database!KI68/(Database!KI11)),0.0001)</f>
        <v>1E-4</v>
      </c>
      <c r="ES139" s="99">
        <f>IF(AND(Database!KK68&gt;1,Database!KK11&gt;1),100*(Database!KK68/(Database!KK11)),0.0001)</f>
        <v>1E-4</v>
      </c>
      <c r="ET139" s="99">
        <f>IF(AND(Database!KM68&gt;1,Database!KM11&gt;1),100*(Database!KM68/(Database!KM11)),0.0001)</f>
        <v>1E-4</v>
      </c>
      <c r="EU139" s="99">
        <f>IF(AND(Database!KO68&gt;1,Database!KO11&gt;1),100*(Database!KO68/(Database!KO11)),0.0001)</f>
        <v>1E-4</v>
      </c>
      <c r="EV139" s="99">
        <f>IF(AND(Database!KQ68&gt;1,Database!KQ11&gt;1),100*(Database!KQ68/(Database!KQ11)),0.0001)</f>
        <v>1E-4</v>
      </c>
      <c r="EW139" s="99">
        <f>IF(AND(Database!KS68&gt;1,Database!KS11&gt;1),100*(Database!KS68/(Database!KS11)),0.0001)</f>
        <v>1E-4</v>
      </c>
      <c r="EX139" s="99">
        <f>IF(AND(Database!KU68&gt;1,Database!KU11&gt;1),100*(Database!KU68/(Database!KU11)),0.0001)</f>
        <v>1E-4</v>
      </c>
      <c r="EY139" s="99">
        <f>IF(AND(Database!KW68&gt;1,Database!KW11&gt;1),100*(Database!KW68/(Database!KW11)),0.0001)</f>
        <v>1E-4</v>
      </c>
      <c r="EZ139" s="99">
        <f>IF(AND(Database!KY68&gt;1,Database!KY11&gt;1),100*(Database!KY68/(Database!KY11)),0.0001)</f>
        <v>1E-4</v>
      </c>
      <c r="FA139" s="99">
        <f>IF(AND(Database!LA68&gt;1,Database!LA11&gt;1),100*(Database!LA68/(Database!LA11)),0.0001)</f>
        <v>1E-4</v>
      </c>
      <c r="FB139" s="99">
        <f>IF(AND(Database!LC68&gt;1,Database!LC11&gt;1),100*(Database!LC68/(Database!LC11)),0.0001)</f>
        <v>1E-4</v>
      </c>
      <c r="FC139" s="99">
        <f>IF(AND(Database!LE68&gt;1,Database!LE11&gt;1),100*(Database!LE68/(Database!LE11)),0.0001)</f>
        <v>1E-4</v>
      </c>
      <c r="FD139" s="99">
        <f>IF(AND(Database!LG68&gt;1,Database!LG11&gt;1),100*(Database!LG68/(Database!LG11)),0.0001)</f>
        <v>1E-4</v>
      </c>
      <c r="FE139" s="99">
        <f>IF(AND(Database!LI68&gt;1,Database!LI11&gt;1),100*(Database!LI68/(Database!LI11)),0.0001)</f>
        <v>1E-4</v>
      </c>
      <c r="FF139" s="99">
        <f>IF(AND(Database!LK68&gt;1,Database!LK11&gt;1),100*(Database!LK68/(Database!LK11)),0.0001)</f>
        <v>1E-4</v>
      </c>
      <c r="FG139" s="99">
        <f>IF(AND(Database!LM68&gt;1,Database!LM11&gt;1),100*(Database!LM68/(Database!LM11)),0.0001)</f>
        <v>1E-4</v>
      </c>
      <c r="FH139" s="99">
        <f>IF(AND(Database!LO68&gt;1,Database!LO11&gt;1),100*(Database!LO68/(Database!LO11)),0.0001)</f>
        <v>1E-4</v>
      </c>
      <c r="FI139" s="99">
        <f>IF(AND(Database!LQ68&gt;1,Database!LQ11&gt;1),100*(Database!LQ68/(Database!LQ11)),0.0001)</f>
        <v>1E-4</v>
      </c>
      <c r="FJ139" s="99">
        <f>IF(AND(Database!LS68&gt;1,Database!LS11&gt;1),100*(Database!LS68/(Database!LS11)),0.0001)</f>
        <v>1E-4</v>
      </c>
      <c r="FK139" s="99">
        <f>IF(AND(Database!LU68&gt;1,Database!LU11&gt;1),100*(Database!LU68/(Database!LU11)),0.0001)</f>
        <v>1E-4</v>
      </c>
      <c r="FL139" s="99">
        <f>IF(AND(Database!LW68&gt;1,Database!LW11&gt;1),100*(Database!LW68/(Database!LW11)),0.0001)</f>
        <v>1E-4</v>
      </c>
      <c r="FM139" s="99">
        <f>IF(AND(Database!LY68&gt;1,Database!LY11&gt;1),100*(Database!LY68/(Database!LY11)),0.0001)</f>
        <v>1E-4</v>
      </c>
      <c r="FN139" s="99">
        <f>IF(AND(Database!MA68&gt;1,Database!MA11&gt;1),100*(Database!MA68/(Database!MA11)),0.0001)</f>
        <v>1E-4</v>
      </c>
      <c r="FO139" s="99">
        <f>IF(AND(Database!MC68&gt;1,Database!MC11&gt;1),100*(Database!MC68/(Database!MC11)),0.0001)</f>
        <v>1E-4</v>
      </c>
      <c r="FP139" s="99">
        <f>IF(AND(Database!ME68&gt;1,Database!ME11&gt;1),100*(Database!ME68/(Database!ME11)),0.0001)</f>
        <v>1E-4</v>
      </c>
      <c r="FQ139" s="99">
        <f>IF(AND(Database!MG68&gt;1,Database!MG11&gt;1),100*(Database!MG68/(Database!MG11)),0.0001)</f>
        <v>1E-4</v>
      </c>
      <c r="FR139" s="99">
        <f>IF(AND(Database!MI68&gt;1,Database!MI11&gt;1),100*(Database!MI68/(Database!MI11)),0.0001)</f>
        <v>1E-4</v>
      </c>
      <c r="FS139" s="99">
        <f>IF(AND(Database!MK68&gt;1,Database!MK11&gt;1),100*(Database!MK68/(Database!MK11)),0.0001)</f>
        <v>1E-4</v>
      </c>
      <c r="FT139" s="99">
        <f>IF(AND(Database!MM68&gt;1,Database!MM11&gt;1),100*(Database!MM68/(Database!MM11)),0.0001)</f>
        <v>1E-4</v>
      </c>
      <c r="FU139" s="99">
        <f>IF(AND(Database!MO68&gt;1,Database!MO11&gt;1),100*(Database!MO68/(Database!MO11)),0.0001)</f>
        <v>1E-4</v>
      </c>
      <c r="FV139" s="99">
        <f>IF(AND(Database!MQ68&gt;1,Database!MQ11&gt;1),100*(Database!MQ68/(Database!MQ11)),0.0001)</f>
        <v>1E-4</v>
      </c>
      <c r="FW139" s="99">
        <f>IF(AND(Database!MS68&gt;1,Database!MS11&gt;1),100*(Database!MS68/(Database!MS11)),0.0001)</f>
        <v>1E-4</v>
      </c>
      <c r="FX139" s="99">
        <f>IF(AND(Database!MU68&gt;1,Database!MU11&gt;1),100*(Database!MU68/(Database!MU11)),0.0001)</f>
        <v>1E-4</v>
      </c>
      <c r="FY139" s="99">
        <f>IF(AND(Database!MW68&gt;1,Database!MW11&gt;1),100*(Database!MW68/(Database!MW11)),0.0001)</f>
        <v>1E-4</v>
      </c>
      <c r="FZ139" s="99">
        <f>IF(AND(Database!MY68&gt;1,Database!MY11&gt;1),100*(Database!MY68/(Database!MY11)),0.0001)</f>
        <v>1E-4</v>
      </c>
      <c r="GA139" s="99">
        <f>IF(AND(Database!NA68&gt;1,Database!NA11&gt;1),100*(Database!NA68/(Database!NA11)),0.0001)</f>
        <v>1E-4</v>
      </c>
      <c r="GB139" s="99">
        <f>IF(AND(Database!NC68&gt;1,Database!NC11&gt;1),100*(Database!NC68/(Database!NC11)),0.0001)</f>
        <v>1E-4</v>
      </c>
      <c r="GC139" s="99">
        <f>IF(AND(Database!NE68&gt;1,Database!NE11&gt;1),100*(Database!NE68/(Database!NE11)),0.0001)</f>
        <v>1E-4</v>
      </c>
      <c r="GD139" s="99">
        <f>IF(AND(Database!NG68&gt;1,Database!NG11&gt;1),100*(Database!NG68/(Database!NG11)),0.0001)</f>
        <v>1E-4</v>
      </c>
      <c r="GE139" s="99">
        <f>IF(AND(Database!NI68&gt;1,Database!NI11&gt;1),100*(Database!NI68/(Database!NI11)),0.0001)</f>
        <v>1E-4</v>
      </c>
      <c r="GF139" s="99">
        <f>IF(AND(Database!NK68&gt;1,Database!NK11&gt;1),100*(Database!NK68/(Database!NK11)),0.0001)</f>
        <v>1E-4</v>
      </c>
      <c r="GG139" s="99">
        <f>IF(AND(Database!NM68&gt;1,Database!NM11&gt;1),100*(Database!NM68/(Database!NM11)),0.0001)</f>
        <v>1E-4</v>
      </c>
      <c r="GH139" s="99">
        <f>IF(AND(Database!NO68&gt;1,Database!NO11&gt;1),100*(Database!NO68/(Database!NO11)),0.0001)</f>
        <v>1E-4</v>
      </c>
      <c r="GI139" s="99">
        <f>IF(AND(Database!NQ68&gt;1,Database!NQ11&gt;1),100*(Database!NQ68/(Database!NQ11)),0.0001)</f>
        <v>1E-4</v>
      </c>
      <c r="GJ139" s="99">
        <f>IF(AND(Database!NS68&gt;1,Database!NS11&gt;1),100*(Database!NS68/(Database!NS11)),0.0001)</f>
        <v>1E-4</v>
      </c>
      <c r="GK139" s="99">
        <f>IF(AND(Database!NU68&gt;1,Database!NU11&gt;1),100*(Database!NU68/(Database!NU11)),0.0001)</f>
        <v>1E-4</v>
      </c>
      <c r="GL139" s="99">
        <f>IF(AND(Database!NW68&gt;1,Database!NW11&gt;1),100*(Database!NW68/(Database!NW11)),0.0001)</f>
        <v>1E-4</v>
      </c>
      <c r="GM139" s="99">
        <f>IF(AND(Database!NY68&gt;1,Database!NY11&gt;1),100*(Database!NY68/(Database!NY11)),0.0001)</f>
        <v>1E-4</v>
      </c>
      <c r="GN139" s="99">
        <f>IF(AND(Database!OA68&gt;1,Database!OA11&gt;1),100*(Database!OA68/(Database!OA11)),0.0001)</f>
        <v>1E-4</v>
      </c>
      <c r="GO139" s="99">
        <f>IF(AND(Database!OC68&gt;1,Database!OC11&gt;1),100*(Database!OC68/(Database!OC11)),0.0001)</f>
        <v>1E-4</v>
      </c>
      <c r="GP139" s="99">
        <f>IF(AND(Database!OE68&gt;1,Database!OE11&gt;1),100*(Database!OE68/(Database!OE11)),0.0001)</f>
        <v>1E-4</v>
      </c>
      <c r="GQ139" s="99">
        <f>IF(AND(Database!OG68&gt;1,Database!OG11&gt;1),100*(Database!OG68/(Database!OG11)),0.0001)</f>
        <v>1E-4</v>
      </c>
      <c r="GR139" s="99">
        <f>IF(AND(Database!OI68&gt;1,Database!OI11&gt;1),100*(Database!OI68/(Database!OI11)),0.0001)</f>
        <v>1E-4</v>
      </c>
      <c r="GS139" s="99">
        <f>IF(AND(Database!OK68&gt;1,Database!OK11&gt;1),100*(Database!OK68/(Database!OK11)),0.0001)</f>
        <v>1E-4</v>
      </c>
      <c r="GT139" s="30">
        <f>IF(AND(Database!OM68&gt;1,Database!OM11&gt;1),100*(Database!OM68/(Database!OM11)),0.0001)</f>
        <v>1E-4</v>
      </c>
      <c r="GU139" s="99"/>
      <c r="GV139" s="99"/>
      <c r="GW139" s="99"/>
    </row>
    <row r="140" spans="1:205" ht="18.75" customHeight="1" x14ac:dyDescent="0.4">
      <c r="A140" s="240" t="s">
        <v>150</v>
      </c>
      <c r="B140" s="96"/>
      <c r="C140" s="260">
        <f>IF(AND(Database!E11&gt;1,Database!E81&gt;1),100*(Database!E11/(Database!E81)),0.0001)</f>
        <v>145.94982871035472</v>
      </c>
      <c r="D140" s="99">
        <f>IF(AND(Database!G11&gt;1,Database!G81&gt;1),100*(Database!G11/(Database!G81)),0.0001)</f>
        <v>159.11016949152543</v>
      </c>
      <c r="E140" s="99">
        <f>IF(AND(Database!I11&gt;1,Database!I81&gt;1),100*(Database!I11/(Database!I81)),0.0001)</f>
        <v>192.18442138447392</v>
      </c>
      <c r="F140" s="99">
        <f>IF(AND(Database!K11&gt;1,Database!K81&gt;1),100*(Database!K11/(Database!K81)),0.0001)</f>
        <v>215.20557869951097</v>
      </c>
      <c r="G140" s="99">
        <f>IF(AND(Database!M11&gt;1,Database!M81&gt;1),100*(Database!M11/(Database!M81)),0.0001)</f>
        <v>1E-4</v>
      </c>
      <c r="H140" s="99">
        <f>IF(AND(Database!O11&gt;1,Database!O81&gt;1),100*(Database!O11/(Database!O81)),0.0001)</f>
        <v>1E-4</v>
      </c>
      <c r="I140" s="99">
        <f>IF(AND(Database!Q11&gt;1,Database!Q81&gt;1),100*(Database!Q11/(Database!Q81)),0.0001)</f>
        <v>1E-4</v>
      </c>
      <c r="J140" s="99">
        <f>IF(AND(Database!S11&gt;1,Database!S81&gt;1),100*(Database!S11/(Database!S81)),0.0001)</f>
        <v>1E-4</v>
      </c>
      <c r="K140" s="99">
        <f>IF(AND(Database!U11&gt;1,Database!U81&gt;1),100*(Database!U11/(Database!U81)),0.0001)</f>
        <v>1E-4</v>
      </c>
      <c r="L140" s="99">
        <f>IF(AND(Database!W11&gt;1,Database!W81&gt;1),100*(Database!W11/(Database!W81)),0.0001)</f>
        <v>1E-4</v>
      </c>
      <c r="M140" s="99">
        <f>IF(AND(Database!Y11&gt;1,Database!Y81&gt;1),100*(Database!Y11/(Database!Y81)),0.0001)</f>
        <v>1E-4</v>
      </c>
      <c r="N140" s="99">
        <f>IF(AND(Database!AA11&gt;1,Database!AA81&gt;1),100*(Database!AA11/(Database!AA81)),0.0001)</f>
        <v>1E-4</v>
      </c>
      <c r="O140" s="99">
        <f>IF(AND(Database!AC11&gt;1,Database!AC81&gt;1),100*(Database!AC11/(Database!AC81)),0.0001)</f>
        <v>1E-4</v>
      </c>
      <c r="P140" s="99">
        <f>IF(AND(Database!AE11&gt;1,Database!AE81&gt;1),100*(Database!AE11/(Database!AE81)),0.0001)</f>
        <v>1E-4</v>
      </c>
      <c r="Q140" s="99">
        <f>IF(AND(Database!AG11&gt;1,Database!AG81&gt;1),100*(Database!AG11/(Database!AG81)),0.0001)</f>
        <v>1E-4</v>
      </c>
      <c r="R140" s="99">
        <f>IF(AND(Database!AI11&gt;1,Database!AI81&gt;1),100*(Database!AI11/(Database!AI81)),0.0001)</f>
        <v>1E-4</v>
      </c>
      <c r="S140" s="99">
        <f>IF(AND(Database!AK11&gt;1,Database!AK81&gt;1),100*(Database!AK11/(Database!AK81)),0.0001)</f>
        <v>1E-4</v>
      </c>
      <c r="T140" s="99">
        <f>IF(AND(Database!AM11&gt;1,Database!AM81&gt;1),100*(Database!AM11/(Database!AM81)),0.0001)</f>
        <v>1E-4</v>
      </c>
      <c r="U140" s="99">
        <f>IF(AND(Database!AO11&gt;1,Database!AO81&gt;1),100*(Database!AO11/(Database!AO81)),0.0001)</f>
        <v>1E-4</v>
      </c>
      <c r="V140" s="99">
        <f>IF(AND(Database!AQ11&gt;1,Database!AQ81&gt;1),100*(Database!AQ11/(Database!AQ81)),0.0001)</f>
        <v>1E-4</v>
      </c>
      <c r="W140" s="99">
        <f>IF(AND(Database!AS11&gt;1,Database!AS81&gt;1),100*(Database!AS11/(Database!AS81)),0.0001)</f>
        <v>1E-4</v>
      </c>
      <c r="X140" s="99">
        <f>IF(AND(Database!AU11&gt;1,Database!AU81&gt;1),100*(Database!AU11/(Database!AU81)),0.0001)</f>
        <v>1E-4</v>
      </c>
      <c r="Y140" s="99">
        <f>IF(AND(Database!AW11&gt;1,Database!AW81&gt;1),100*(Database!AW11/(Database!AW81)),0.0001)</f>
        <v>1E-4</v>
      </c>
      <c r="Z140" s="99">
        <f>IF(AND(Database!AY11&gt;1,Database!AY81&gt;1),100*(Database!AY11/(Database!AY81)),0.0001)</f>
        <v>1E-4</v>
      </c>
      <c r="AA140" s="99">
        <f>IF(AND(Database!BA11&gt;1,Database!BA81&gt;1),100*(Database!BA11/(Database!BA81)),0.0001)</f>
        <v>1E-4</v>
      </c>
      <c r="AB140" s="99">
        <f>IF(AND(Database!BC11&gt;1,Database!BC81&gt;1),100*(Database!BC11/(Database!BC81)),0.0001)</f>
        <v>1E-4</v>
      </c>
      <c r="AC140" s="99">
        <f>IF(AND(Database!BE11&gt;1,Database!BE81&gt;1),100*(Database!BE11/(Database!BE81)),0.0001)</f>
        <v>1E-4</v>
      </c>
      <c r="AD140" s="99">
        <f>IF(AND(Database!BG11&gt;1,Database!BG81&gt;1),100*(Database!BG11/(Database!BG81)),0.0001)</f>
        <v>1E-4</v>
      </c>
      <c r="AE140" s="99">
        <f>IF(AND(Database!BI11&gt;1,Database!BI81&gt;1),100*(Database!BI11/(Database!BI81)),0.0001)</f>
        <v>1E-4</v>
      </c>
      <c r="AF140" s="99">
        <f>IF(AND(Database!BK11&gt;1,Database!BK81&gt;1),100*(Database!BK11/(Database!BK81)),0.0001)</f>
        <v>1E-4</v>
      </c>
      <c r="AG140" s="99">
        <f>IF(AND(Database!BM11&gt;1,Database!BM81&gt;1),100*(Database!BM11/(Database!BM81)),0.0001)</f>
        <v>1E-4</v>
      </c>
      <c r="AH140" s="99">
        <f>IF(AND(Database!BO11&gt;1,Database!BO81&gt;1),100*(Database!BO11/(Database!BO81)),0.0001)</f>
        <v>1E-4</v>
      </c>
      <c r="AI140" s="99">
        <f>IF(AND(Database!BQ11&gt;1,Database!BQ81&gt;1),100*(Database!BQ11/(Database!BQ81)),0.0001)</f>
        <v>1E-4</v>
      </c>
      <c r="AJ140" s="99">
        <f>IF(AND(Database!BS11&gt;1,Database!BS81&gt;1),100*(Database!BS11/(Database!BS81)),0.0001)</f>
        <v>1E-4</v>
      </c>
      <c r="AK140" s="99">
        <f>IF(AND(Database!BU11&gt;1,Database!BU81&gt;1),100*(Database!BU11/(Database!BU81)),0.0001)</f>
        <v>1E-4</v>
      </c>
      <c r="AL140" s="99">
        <f>IF(AND(Database!BW11&gt;1,Database!BW81&gt;1),100*(Database!BW11/(Database!BW81)),0.0001)</f>
        <v>1E-4</v>
      </c>
      <c r="AM140" s="99">
        <f>IF(AND(Database!BY11&gt;1,Database!BY81&gt;1),100*(Database!BY11/(Database!BY81)),0.0001)</f>
        <v>1E-4</v>
      </c>
      <c r="AN140" s="99">
        <f>IF(AND(Database!CA11&gt;1,Database!CA81&gt;1),100*(Database!CA11/(Database!CA81)),0.0001)</f>
        <v>1E-4</v>
      </c>
      <c r="AO140" s="99">
        <f>IF(AND(Database!CC11&gt;1,Database!CC81&gt;1),100*(Database!CC11/(Database!CC81)),0.0001)</f>
        <v>1E-4</v>
      </c>
      <c r="AP140" s="99">
        <f>IF(AND(Database!CE11&gt;1,Database!CE81&gt;1),100*(Database!CE11/(Database!CE81)),0.0001)</f>
        <v>1E-4</v>
      </c>
      <c r="AQ140" s="99">
        <f>IF(AND(Database!CG11&gt;1,Database!CG81&gt;1),100*(Database!CG11/(Database!CG81)),0.0001)</f>
        <v>1E-4</v>
      </c>
      <c r="AR140" s="99">
        <f>IF(AND(Database!CI11&gt;1,Database!CI81&gt;1),100*(Database!CI11/(Database!CI81)),0.0001)</f>
        <v>1E-4</v>
      </c>
      <c r="AS140" s="99">
        <f>IF(AND(Database!CK11&gt;1,Database!CK81&gt;1),100*(Database!CK11/(Database!CK81)),0.0001)</f>
        <v>1E-4</v>
      </c>
      <c r="AT140" s="99">
        <f>IF(AND(Database!CM11&gt;1,Database!CM81&gt;1),100*(Database!CM11/(Database!CM81)),0.0001)</f>
        <v>1E-4</v>
      </c>
      <c r="AU140" s="99">
        <f>IF(AND(Database!CO11&gt;1,Database!CO81&gt;1),100*(Database!CO11/(Database!CO81)),0.0001)</f>
        <v>1E-4</v>
      </c>
      <c r="AV140" s="99">
        <f>IF(AND(Database!CQ11&gt;1,Database!CQ81&gt;1),100*(Database!CQ11/(Database!CQ81)),0.0001)</f>
        <v>1E-4</v>
      </c>
      <c r="AW140" s="99">
        <f>IF(AND(Database!CS11&gt;1,Database!CS81&gt;1),100*(Database!CS11/(Database!CS81)),0.0001)</f>
        <v>1E-4</v>
      </c>
      <c r="AX140" s="99">
        <f>IF(AND(Database!CU11&gt;1,Database!CU81&gt;1),100*(Database!CU11/(Database!CU81)),0.0001)</f>
        <v>1E-4</v>
      </c>
      <c r="AY140" s="99">
        <f>IF(AND(Database!CW11&gt;1,Database!CW81&gt;1),100*(Database!CW11/(Database!CW81)),0.0001)</f>
        <v>1E-4</v>
      </c>
      <c r="AZ140" s="99">
        <f>IF(AND(Database!CY11&gt;1,Database!CY81&gt;1),100*(Database!CY11/(Database!CY81)),0.0001)</f>
        <v>1E-4</v>
      </c>
      <c r="BA140" s="99">
        <f>IF(AND(Database!DA11&gt;1,Database!DA81&gt;1),100*(Database!DA11/(Database!DA81)),0.0001)</f>
        <v>1E-4</v>
      </c>
      <c r="BB140" s="99">
        <f>IF(AND(Database!DC11&gt;1,Database!DC81&gt;1),100*(Database!DC11/(Database!DC81)),0.0001)</f>
        <v>1E-4</v>
      </c>
      <c r="BC140" s="99">
        <f>IF(AND(Database!DE11&gt;1,Database!DE81&gt;1),100*(Database!DE11/(Database!DE81)),0.0001)</f>
        <v>1E-4</v>
      </c>
      <c r="BD140" s="99">
        <f>IF(AND(Database!DG11&gt;1,Database!DG81&gt;1),100*(Database!DG11/(Database!DG81)),0.0001)</f>
        <v>1E-4</v>
      </c>
      <c r="BE140" s="99">
        <f>IF(AND(Database!DI11&gt;1,Database!DI81&gt;1),100*(Database!DI11/(Database!DI81)),0.0001)</f>
        <v>1E-4</v>
      </c>
      <c r="BF140" s="99">
        <f>IF(AND(Database!DK11&gt;1,Database!DK81&gt;1),100*(Database!DK11/(Database!DK81)),0.0001)</f>
        <v>1E-4</v>
      </c>
      <c r="BG140" s="99">
        <f>IF(AND(Database!DM11&gt;1,Database!DM81&gt;1),100*(Database!DM11/(Database!DM81)),0.0001)</f>
        <v>1E-4</v>
      </c>
      <c r="BH140" s="99">
        <f>IF(AND(Database!DO11&gt;1,Database!DO81&gt;1),100*(Database!DO11/(Database!DO81)),0.0001)</f>
        <v>1E-4</v>
      </c>
      <c r="BI140" s="99">
        <f>IF(AND(Database!DQ11&gt;1,Database!DQ81&gt;1),100*(Database!DQ11/(Database!DQ81)),0.0001)</f>
        <v>1E-4</v>
      </c>
      <c r="BJ140" s="99">
        <f>IF(AND(Database!DS11&gt;1,Database!DS81&gt;1),100*(Database!DS11/(Database!DS81)),0.0001)</f>
        <v>1E-4</v>
      </c>
      <c r="BK140" s="99">
        <f>IF(AND(Database!DU11&gt;1,Database!DU81&gt;1),100*(Database!DU11/(Database!DU81)),0.0001)</f>
        <v>1E-4</v>
      </c>
      <c r="BL140" s="99">
        <f>IF(AND(Database!DW11&gt;1,Database!DW81&gt;1),100*(Database!DW11/(Database!DW81)),0.0001)</f>
        <v>1E-4</v>
      </c>
      <c r="BM140" s="99">
        <f>IF(AND(Database!DY11&gt;1,Database!DY81&gt;1),100*(Database!DY11/(Database!DY81)),0.0001)</f>
        <v>1E-4</v>
      </c>
      <c r="BN140" s="99">
        <f>IF(AND(Database!EA11&gt;1,Database!EA81&gt;1),100*(Database!EA11/(Database!EA81)),0.0001)</f>
        <v>1E-4</v>
      </c>
      <c r="BO140" s="99">
        <f>IF(AND(Database!EC11&gt;1,Database!EC81&gt;1),100*(Database!EC11/(Database!EC81)),0.0001)</f>
        <v>1E-4</v>
      </c>
      <c r="BP140" s="99">
        <f>IF(AND(Database!EE11&gt;1,Database!EE81&gt;1),100*(Database!EE11/(Database!EE81)),0.0001)</f>
        <v>1E-4</v>
      </c>
      <c r="BQ140" s="99">
        <f>IF(AND(Database!EG11&gt;1,Database!EG81&gt;1),100*(Database!EG11/(Database!EG81)),0.0001)</f>
        <v>1E-4</v>
      </c>
      <c r="BR140" s="99">
        <f>IF(AND(Database!EI11&gt;1,Database!EI81&gt;1),100*(Database!EI11/(Database!EI81)),0.0001)</f>
        <v>1E-4</v>
      </c>
      <c r="BS140" s="99">
        <f>IF(AND(Database!EK11&gt;1,Database!EK81&gt;1),100*(Database!EK11/(Database!EK81)),0.0001)</f>
        <v>1E-4</v>
      </c>
      <c r="BT140" s="99">
        <f>IF(AND(Database!EM11&gt;1,Database!EM81&gt;1),100*(Database!EM11/(Database!EM81)),0.0001)</f>
        <v>1E-4</v>
      </c>
      <c r="BU140" s="99">
        <f>IF(AND(Database!EO11&gt;1,Database!EO81&gt;1),100*(Database!EO11/(Database!EO81)),0.0001)</f>
        <v>1E-4</v>
      </c>
      <c r="BV140" s="99">
        <f>IF(AND(Database!EQ11&gt;1,Database!EQ81&gt;1),100*(Database!EQ11/(Database!EQ81)),0.0001)</f>
        <v>1E-4</v>
      </c>
      <c r="BW140" s="99">
        <f>IF(AND(Database!ES11&gt;1,Database!ES81&gt;1),100*(Database!ES11/(Database!ES81)),0.0001)</f>
        <v>1E-4</v>
      </c>
      <c r="BX140" s="99">
        <f>IF(AND(Database!EU11&gt;1,Database!EU81&gt;1),100*(Database!EU11/(Database!EU81)),0.0001)</f>
        <v>1E-4</v>
      </c>
      <c r="BY140" s="99">
        <f>IF(AND(Database!EW11&gt;1,Database!EW81&gt;1),100*(Database!EW11/(Database!EW81)),0.0001)</f>
        <v>1E-4</v>
      </c>
      <c r="BZ140" s="99">
        <f>IF(AND(Database!EY11&gt;1,Database!EY81&gt;1),100*(Database!EY11/(Database!EY81)),0.0001)</f>
        <v>1E-4</v>
      </c>
      <c r="CA140" s="99">
        <f>IF(AND(Database!FA11&gt;1,Database!FA81&gt;1),100*(Database!FA11/(Database!FA81)),0.0001)</f>
        <v>1E-4</v>
      </c>
      <c r="CB140" s="99">
        <f>IF(AND(Database!FC11&gt;1,Database!FC81&gt;1),100*(Database!FC11/(Database!FC81)),0.0001)</f>
        <v>1E-4</v>
      </c>
      <c r="CC140" s="99">
        <f>IF(AND(Database!FE11&gt;1,Database!FE81&gt;1),100*(Database!FE11/(Database!FE81)),0.0001)</f>
        <v>1E-4</v>
      </c>
      <c r="CD140" s="99">
        <f>IF(AND(Database!FG11&gt;1,Database!FG81&gt;1),100*(Database!FG11/(Database!FG81)),0.0001)</f>
        <v>1E-4</v>
      </c>
      <c r="CE140" s="99">
        <f>IF(AND(Database!FI11&gt;1,Database!FI81&gt;1),100*(Database!FI11/(Database!FI81)),0.0001)</f>
        <v>1E-4</v>
      </c>
      <c r="CF140" s="99">
        <f>IF(AND(Database!FK11&gt;1,Database!FK81&gt;1),100*(Database!FK11/(Database!FK81)),0.0001)</f>
        <v>1E-4</v>
      </c>
      <c r="CG140" s="99">
        <f>IF(AND(Database!FM11&gt;1,Database!FM81&gt;1),100*(Database!FM11/(Database!FM81)),0.0001)</f>
        <v>1E-4</v>
      </c>
      <c r="CH140" s="99">
        <f>IF(AND(Database!FO11&gt;1,Database!FO81&gt;1),100*(Database!FO11/(Database!FO81)),0.0001)</f>
        <v>1E-4</v>
      </c>
      <c r="CI140" s="99">
        <f>IF(AND(Database!FQ11&gt;1,Database!FQ81&gt;1),100*(Database!FQ11/(Database!FQ81)),0.0001)</f>
        <v>1E-4</v>
      </c>
      <c r="CJ140" s="99">
        <f>IF(AND(Database!FS11&gt;1,Database!FS81&gt;1),100*(Database!FS11/(Database!FS81)),0.0001)</f>
        <v>1E-4</v>
      </c>
      <c r="CK140" s="99">
        <f>IF(AND(Database!FU11&gt;1,Database!FU81&gt;1),100*(Database!FU11/(Database!FU81)),0.0001)</f>
        <v>1E-4</v>
      </c>
      <c r="CL140" s="99">
        <f>IF(AND(Database!FW11&gt;1,Database!FW81&gt;1),100*(Database!FW11/(Database!FW81)),0.0001)</f>
        <v>1E-4</v>
      </c>
      <c r="CM140" s="99">
        <f>IF(AND(Database!FY11&gt;1,Database!FY81&gt;1),100*(Database!FY11/(Database!FY81)),0.0001)</f>
        <v>1E-4</v>
      </c>
      <c r="CN140" s="99">
        <f>IF(AND(Database!GA11&gt;1,Database!GA81&gt;1),100*(Database!GA11/(Database!GA81)),0.0001)</f>
        <v>1E-4</v>
      </c>
      <c r="CO140" s="99">
        <f>IF(AND(Database!GC11&gt;1,Database!GC81&gt;1),100*(Database!GC11/(Database!GC81)),0.0001)</f>
        <v>1E-4</v>
      </c>
      <c r="CP140" s="99">
        <f>IF(AND(Database!GE11&gt;1,Database!GE81&gt;1),100*(Database!GE11/(Database!GE81)),0.0001)</f>
        <v>1E-4</v>
      </c>
      <c r="CQ140" s="99">
        <f>IF(AND(Database!GG11&gt;1,Database!GG81&gt;1),100*(Database!GG11/(Database!GG81)),0.0001)</f>
        <v>1E-4</v>
      </c>
      <c r="CR140" s="99">
        <f>IF(AND(Database!GI11&gt;1,Database!GI81&gt;1),100*(Database!GI11/(Database!GI81)),0.0001)</f>
        <v>1E-4</v>
      </c>
      <c r="CS140" s="99">
        <f>IF(AND(Database!GK11&gt;1,Database!GK81&gt;1),100*(Database!GK11/(Database!GK81)),0.0001)</f>
        <v>1E-4</v>
      </c>
      <c r="CT140" s="99">
        <f>IF(AND(Database!GM11&gt;1,Database!GM81&gt;1),100*(Database!GM11/(Database!GM81)),0.0001)</f>
        <v>1E-4</v>
      </c>
      <c r="CU140" s="99">
        <f>IF(AND(Database!GO11&gt;1,Database!GO81&gt;1),100*(Database!GO11/(Database!GO81)),0.0001)</f>
        <v>1E-4</v>
      </c>
      <c r="CV140" s="99">
        <f>IF(AND(Database!GQ11&gt;1,Database!GQ81&gt;1),100*(Database!GQ11/(Database!GQ81)),0.0001)</f>
        <v>1E-4</v>
      </c>
      <c r="CW140" s="99">
        <f>IF(AND(Database!GS11&gt;1,Database!GS81&gt;1),100*(Database!GS11/(Database!GS81)),0.0001)</f>
        <v>1E-4</v>
      </c>
      <c r="CX140" s="99">
        <f>IF(AND(Database!GU11&gt;1,Database!GU81&gt;1),100*(Database!GU11/(Database!GU81)),0.0001)</f>
        <v>1E-4</v>
      </c>
      <c r="CY140" s="99">
        <f>IF(AND(Database!GW11&gt;1,Database!GW81&gt;1),100*(Database!GW11/(Database!GW81)),0.0001)</f>
        <v>1E-4</v>
      </c>
      <c r="CZ140" s="99">
        <f>IF(AND(Database!GY11&gt;1,Database!GY81&gt;1),100*(Database!GY11/(Database!GY81)),0.0001)</f>
        <v>1E-4</v>
      </c>
      <c r="DA140" s="99">
        <f>IF(AND(Database!HA11&gt;1,Database!HA81&gt;1),100*(Database!HA11/(Database!HA81)),0.0001)</f>
        <v>1E-4</v>
      </c>
      <c r="DB140" s="99">
        <f>IF(AND(Database!HC11&gt;1,Database!HC81&gt;1),100*(Database!HC11/(Database!HC81)),0.0001)</f>
        <v>1E-4</v>
      </c>
      <c r="DC140" s="99">
        <f>IF(AND(Database!HE11&gt;1,Database!HE81&gt;1),100*(Database!HE11/(Database!HE81)),0.0001)</f>
        <v>1E-4</v>
      </c>
      <c r="DD140" s="99">
        <f>IF(AND(Database!HG11&gt;1,Database!HG81&gt;1),100*(Database!HG11/(Database!HG81)),0.0001)</f>
        <v>1E-4</v>
      </c>
      <c r="DE140" s="99">
        <f>IF(AND(Database!HI11&gt;1,Database!HI81&gt;1),100*(Database!HI11/(Database!HI81)),0.0001)</f>
        <v>1E-4</v>
      </c>
      <c r="DF140" s="99">
        <f>IF(AND(Database!HK11&gt;1,Database!HK81&gt;1),100*(Database!HK11/(Database!HK81)),0.0001)</f>
        <v>1E-4</v>
      </c>
      <c r="DG140" s="99">
        <f>IF(AND(Database!HM11&gt;1,Database!HM81&gt;1),100*(Database!HM11/(Database!HM81)),0.0001)</f>
        <v>1E-4</v>
      </c>
      <c r="DH140" s="99">
        <f>IF(AND(Database!HO11&gt;1,Database!HO81&gt;1),100*(Database!HO11/(Database!HO81)),0.0001)</f>
        <v>1E-4</v>
      </c>
      <c r="DI140" s="99">
        <f>IF(AND(Database!HQ11&gt;1,Database!HQ81&gt;1),100*(Database!HQ11/(Database!HQ81)),0.0001)</f>
        <v>1E-4</v>
      </c>
      <c r="DJ140" s="99">
        <f>IF(AND(Database!HS11&gt;1,Database!HS81&gt;1),100*(Database!HS11/(Database!HS81)),0.0001)</f>
        <v>1E-4</v>
      </c>
      <c r="DK140" s="99">
        <f>IF(AND(Database!HU11&gt;1,Database!HU81&gt;1),100*(Database!HU11/(Database!HU81)),0.0001)</f>
        <v>1E-4</v>
      </c>
      <c r="DL140" s="99">
        <f>IF(AND(Database!HW11&gt;1,Database!HW81&gt;1),100*(Database!HW11/(Database!HW81)),0.0001)</f>
        <v>1E-4</v>
      </c>
      <c r="DM140" s="99">
        <f>IF(AND(Database!HY11&gt;1,Database!HY81&gt;1),100*(Database!HY11/(Database!HY81)),0.0001)</f>
        <v>1E-4</v>
      </c>
      <c r="DN140" s="99">
        <f>IF(AND(Database!IA11&gt;1,Database!IA81&gt;1),100*(Database!IA11/(Database!IA81)),0.0001)</f>
        <v>1E-4</v>
      </c>
      <c r="DO140" s="99">
        <f>IF(AND(Database!IC11&gt;1,Database!IC81&gt;1),100*(Database!IC11/(Database!IC81)),0.0001)</f>
        <v>1E-4</v>
      </c>
      <c r="DP140" s="99">
        <f>IF(AND(Database!IE11&gt;1,Database!IE81&gt;1),100*(Database!IE11/(Database!IE81)),0.0001)</f>
        <v>1E-4</v>
      </c>
      <c r="DQ140" s="99">
        <f>IF(AND(Database!IG11&gt;1,Database!IG81&gt;1),100*(Database!IG11/(Database!IG81)),0.0001)</f>
        <v>1E-4</v>
      </c>
      <c r="DR140" s="99">
        <f>IF(AND(Database!II11&gt;1,Database!II81&gt;1),100*(Database!II11/(Database!II81)),0.0001)</f>
        <v>1E-4</v>
      </c>
      <c r="DS140" s="99">
        <f>IF(AND(Database!IK11&gt;1,Database!IK81&gt;1),100*(Database!IK11/(Database!IK81)),0.0001)</f>
        <v>1E-4</v>
      </c>
      <c r="DT140" s="99">
        <f>IF(AND(Database!IM11&gt;1,Database!IM81&gt;1),100*(Database!IM11/(Database!IM81)),0.0001)</f>
        <v>1E-4</v>
      </c>
      <c r="DU140" s="99">
        <f>IF(AND(Database!IO11&gt;1,Database!IO81&gt;1),100*(Database!IO11/(Database!IO81)),0.0001)</f>
        <v>1E-4</v>
      </c>
      <c r="DV140" s="99">
        <f>IF(AND(Database!IQ11&gt;1,Database!IQ81&gt;1),100*(Database!IQ11/(Database!IQ81)),0.0001)</f>
        <v>1E-4</v>
      </c>
      <c r="DW140" s="99">
        <f>IF(AND(Database!IS11&gt;1,Database!IS81&gt;1),100*(Database!IS11/(Database!IS81)),0.0001)</f>
        <v>1E-4</v>
      </c>
      <c r="DX140" s="99">
        <f>IF(AND(Database!IU11&gt;1,Database!IU81&gt;1),100*(Database!IU11/(Database!IU81)),0.0001)</f>
        <v>1E-4</v>
      </c>
      <c r="DY140" s="99">
        <f>IF(AND(Database!IW11&gt;1,Database!IW81&gt;1),100*(Database!IW11/(Database!IW81)),0.0001)</f>
        <v>1E-4</v>
      </c>
      <c r="DZ140" s="99">
        <f>IF(AND(Database!IY11&gt;1,Database!IY81&gt;1),100*(Database!IY11/(Database!IY81)),0.0001)</f>
        <v>1E-4</v>
      </c>
      <c r="EA140" s="99">
        <f>IF(AND(Database!JA11&gt;1,Database!JA81&gt;1),100*(Database!JA11/(Database!JA81)),0.0001)</f>
        <v>1E-4</v>
      </c>
      <c r="EB140" s="99">
        <f>IF(AND(Database!JC11&gt;1,Database!JC81&gt;1),100*(Database!JC11/(Database!JC81)),0.0001)</f>
        <v>1E-4</v>
      </c>
      <c r="EC140" s="99">
        <f>IF(AND(Database!JE11&gt;1,Database!JE81&gt;1),100*(Database!JE11/(Database!JE81)),0.0001)</f>
        <v>1E-4</v>
      </c>
      <c r="ED140" s="99">
        <f>IF(AND(Database!JG11&gt;1,Database!JG81&gt;1),100*(Database!JG11/(Database!JG81)),0.0001)</f>
        <v>1E-4</v>
      </c>
      <c r="EE140" s="99">
        <f>IF(AND(Database!JI11&gt;1,Database!JI81&gt;1),100*(Database!JI11/(Database!JI81)),0.0001)</f>
        <v>1E-4</v>
      </c>
      <c r="EF140" s="99">
        <f>IF(AND(Database!JK11&gt;1,Database!JK81&gt;1),100*(Database!JK11/(Database!JK81)),0.0001)</f>
        <v>1E-4</v>
      </c>
      <c r="EG140" s="99">
        <f>IF(AND(Database!JM11&gt;1,Database!JM81&gt;1),100*(Database!JM11/(Database!JM81)),0.0001)</f>
        <v>1E-4</v>
      </c>
      <c r="EH140" s="99">
        <f>IF(AND(Database!JO11&gt;1,Database!JO81&gt;1),100*(Database!JO11/(Database!JO81)),0.0001)</f>
        <v>1E-4</v>
      </c>
      <c r="EI140" s="99">
        <f>IF(AND(Database!JQ11&gt;1,Database!JQ81&gt;1),100*(Database!JQ11/(Database!JQ81)),0.0001)</f>
        <v>1E-4</v>
      </c>
      <c r="EJ140" s="99">
        <f>IF(AND(Database!JS11&gt;1,Database!JS81&gt;1),100*(Database!JS11/(Database!JS81)),0.0001)</f>
        <v>1E-4</v>
      </c>
      <c r="EK140" s="99">
        <f>IF(AND(Database!JU11&gt;1,Database!JU81&gt;1),100*(Database!JU11/(Database!JU81)),0.0001)</f>
        <v>1E-4</v>
      </c>
      <c r="EL140" s="99">
        <f>IF(AND(Database!JW11&gt;1,Database!JW81&gt;1),100*(Database!JW11/(Database!JW81)),0.0001)</f>
        <v>1E-4</v>
      </c>
      <c r="EM140" s="99">
        <f>IF(AND(Database!JY11&gt;1,Database!JY81&gt;1),100*(Database!JY11/(Database!JY81)),0.0001)</f>
        <v>1E-4</v>
      </c>
      <c r="EN140" s="99">
        <f>IF(AND(Database!KA11&gt;1,Database!KA81&gt;1),100*(Database!KA11/(Database!KA81)),0.0001)</f>
        <v>1E-4</v>
      </c>
      <c r="EO140" s="99">
        <f>IF(AND(Database!KC11&gt;1,Database!KC81&gt;1),100*(Database!KC11/(Database!KC81)),0.0001)</f>
        <v>1E-4</v>
      </c>
      <c r="EP140" s="99">
        <f>IF(AND(Database!KE11&gt;1,Database!KE81&gt;1),100*(Database!KE11/(Database!KE81)),0.0001)</f>
        <v>1E-4</v>
      </c>
      <c r="EQ140" s="99">
        <f>IF(AND(Database!KG11&gt;1,Database!KG81&gt;1),100*(Database!KG11/(Database!KG81)),0.0001)</f>
        <v>1E-4</v>
      </c>
      <c r="ER140" s="99">
        <f>IF(AND(Database!KI11&gt;1,Database!KI81&gt;1),100*(Database!KI11/(Database!KI81)),0.0001)</f>
        <v>1E-4</v>
      </c>
      <c r="ES140" s="99">
        <f>IF(AND(Database!KK11&gt;1,Database!KK81&gt;1),100*(Database!KK11/(Database!KK81)),0.0001)</f>
        <v>1E-4</v>
      </c>
      <c r="ET140" s="99">
        <f>IF(AND(Database!KM11&gt;1,Database!KM81&gt;1),100*(Database!KM11/(Database!KM81)),0.0001)</f>
        <v>1E-4</v>
      </c>
      <c r="EU140" s="99">
        <f>IF(AND(Database!KO11&gt;1,Database!KO81&gt;1),100*(Database!KO11/(Database!KO81)),0.0001)</f>
        <v>1E-4</v>
      </c>
      <c r="EV140" s="99">
        <f>IF(AND(Database!KQ11&gt;1,Database!KQ81&gt;1),100*(Database!KQ11/(Database!KQ81)),0.0001)</f>
        <v>1E-4</v>
      </c>
      <c r="EW140" s="99">
        <f>IF(AND(Database!KS11&gt;1,Database!KS81&gt;1),100*(Database!KS11/(Database!KS81)),0.0001)</f>
        <v>1E-4</v>
      </c>
      <c r="EX140" s="99">
        <f>IF(AND(Database!KU11&gt;1,Database!KU81&gt;1),100*(Database!KU11/(Database!KU81)),0.0001)</f>
        <v>1E-4</v>
      </c>
      <c r="EY140" s="99">
        <f>IF(AND(Database!KW11&gt;1,Database!KW81&gt;1),100*(Database!KW11/(Database!KW81)),0.0001)</f>
        <v>1E-4</v>
      </c>
      <c r="EZ140" s="99">
        <f>IF(AND(Database!KY11&gt;1,Database!KY81&gt;1),100*(Database!KY11/(Database!KY81)),0.0001)</f>
        <v>1E-4</v>
      </c>
      <c r="FA140" s="99">
        <f>IF(AND(Database!LA11&gt;1,Database!LA81&gt;1),100*(Database!LA11/(Database!LA81)),0.0001)</f>
        <v>1E-4</v>
      </c>
      <c r="FB140" s="99">
        <f>IF(AND(Database!LC11&gt;1,Database!LC81&gt;1),100*(Database!LC11/(Database!LC81)),0.0001)</f>
        <v>1E-4</v>
      </c>
      <c r="FC140" s="99">
        <f>IF(AND(Database!LE11&gt;1,Database!LE81&gt;1),100*(Database!LE11/(Database!LE81)),0.0001)</f>
        <v>1E-4</v>
      </c>
      <c r="FD140" s="99">
        <f>IF(AND(Database!LG11&gt;1,Database!LG81&gt;1),100*(Database!LG11/(Database!LG81)),0.0001)</f>
        <v>1E-4</v>
      </c>
      <c r="FE140" s="99">
        <f>IF(AND(Database!LI11&gt;1,Database!LI81&gt;1),100*(Database!LI11/(Database!LI81)),0.0001)</f>
        <v>1E-4</v>
      </c>
      <c r="FF140" s="99">
        <f>IF(AND(Database!LK11&gt;1,Database!LK81&gt;1),100*(Database!LK11/(Database!LK81)),0.0001)</f>
        <v>1E-4</v>
      </c>
      <c r="FG140" s="99">
        <f>IF(AND(Database!LM11&gt;1,Database!LM81&gt;1),100*(Database!LM11/(Database!LM81)),0.0001)</f>
        <v>1E-4</v>
      </c>
      <c r="FH140" s="99">
        <f>IF(AND(Database!LO11&gt;1,Database!LO81&gt;1),100*(Database!LO11/(Database!LO81)),0.0001)</f>
        <v>1E-4</v>
      </c>
      <c r="FI140" s="99">
        <f>IF(AND(Database!LQ11&gt;1,Database!LQ81&gt;1),100*(Database!LQ11/(Database!LQ81)),0.0001)</f>
        <v>1E-4</v>
      </c>
      <c r="FJ140" s="99">
        <f>IF(AND(Database!LS11&gt;1,Database!LS81&gt;1),100*(Database!LS11/(Database!LS81)),0.0001)</f>
        <v>1E-4</v>
      </c>
      <c r="FK140" s="99">
        <f>IF(AND(Database!LU11&gt;1,Database!LU81&gt;1),100*(Database!LU11/(Database!LU81)),0.0001)</f>
        <v>1E-4</v>
      </c>
      <c r="FL140" s="99">
        <f>IF(AND(Database!LW11&gt;1,Database!LW81&gt;1),100*(Database!LW11/(Database!LW81)),0.0001)</f>
        <v>1E-4</v>
      </c>
      <c r="FM140" s="99">
        <f>IF(AND(Database!LY11&gt;1,Database!LY81&gt;1),100*(Database!LY11/(Database!LY81)),0.0001)</f>
        <v>1E-4</v>
      </c>
      <c r="FN140" s="99">
        <f>IF(AND(Database!MA11&gt;1,Database!MA81&gt;1),100*(Database!MA11/(Database!MA81)),0.0001)</f>
        <v>1E-4</v>
      </c>
      <c r="FO140" s="99">
        <f>IF(AND(Database!MC11&gt;1,Database!MC81&gt;1),100*(Database!MC11/(Database!MC81)),0.0001)</f>
        <v>1E-4</v>
      </c>
      <c r="FP140" s="99">
        <f>IF(AND(Database!ME11&gt;1,Database!ME81&gt;1),100*(Database!ME11/(Database!ME81)),0.0001)</f>
        <v>1E-4</v>
      </c>
      <c r="FQ140" s="99">
        <f>IF(AND(Database!MG11&gt;1,Database!MG81&gt;1),100*(Database!MG11/(Database!MG81)),0.0001)</f>
        <v>1E-4</v>
      </c>
      <c r="FR140" s="99">
        <f>IF(AND(Database!MI11&gt;1,Database!MI81&gt;1),100*(Database!MI11/(Database!MI81)),0.0001)</f>
        <v>1E-4</v>
      </c>
      <c r="FS140" s="99">
        <f>IF(AND(Database!MK11&gt;1,Database!MK81&gt;1),100*(Database!MK11/(Database!MK81)),0.0001)</f>
        <v>1E-4</v>
      </c>
      <c r="FT140" s="99">
        <f>IF(AND(Database!MM11&gt;1,Database!MM81&gt;1),100*(Database!MM11/(Database!MM81)),0.0001)</f>
        <v>1E-4</v>
      </c>
      <c r="FU140" s="99">
        <f>IF(AND(Database!MO11&gt;1,Database!MO81&gt;1),100*(Database!MO11/(Database!MO81)),0.0001)</f>
        <v>1E-4</v>
      </c>
      <c r="FV140" s="99">
        <f>IF(AND(Database!MQ11&gt;1,Database!MQ81&gt;1),100*(Database!MQ11/(Database!MQ81)),0.0001)</f>
        <v>1E-4</v>
      </c>
      <c r="FW140" s="99">
        <f>IF(AND(Database!MS11&gt;1,Database!MS81&gt;1),100*(Database!MS11/(Database!MS81)),0.0001)</f>
        <v>1E-4</v>
      </c>
      <c r="FX140" s="99">
        <f>IF(AND(Database!MU11&gt;1,Database!MU81&gt;1),100*(Database!MU11/(Database!MU81)),0.0001)</f>
        <v>1E-4</v>
      </c>
      <c r="FY140" s="99">
        <f>IF(AND(Database!MW11&gt;1,Database!MW81&gt;1),100*(Database!MW11/(Database!MW81)),0.0001)</f>
        <v>1E-4</v>
      </c>
      <c r="FZ140" s="99">
        <f>IF(AND(Database!MY11&gt;1,Database!MY81&gt;1),100*(Database!MY11/(Database!MY81)),0.0001)</f>
        <v>1E-4</v>
      </c>
      <c r="GA140" s="99">
        <f>IF(AND(Database!NA11&gt;1,Database!NA81&gt;1),100*(Database!NA11/(Database!NA81)),0.0001)</f>
        <v>1E-4</v>
      </c>
      <c r="GB140" s="99">
        <f>IF(AND(Database!NC11&gt;1,Database!NC81&gt;1),100*(Database!NC11/(Database!NC81)),0.0001)</f>
        <v>1E-4</v>
      </c>
      <c r="GC140" s="99">
        <f>IF(AND(Database!NE11&gt;1,Database!NE81&gt;1),100*(Database!NE11/(Database!NE81)),0.0001)</f>
        <v>1E-4</v>
      </c>
      <c r="GD140" s="99">
        <f>IF(AND(Database!NG11&gt;1,Database!NG81&gt;1),100*(Database!NG11/(Database!NG81)),0.0001)</f>
        <v>1E-4</v>
      </c>
      <c r="GE140" s="99">
        <f>IF(AND(Database!NI11&gt;1,Database!NI81&gt;1),100*(Database!NI11/(Database!NI81)),0.0001)</f>
        <v>1E-4</v>
      </c>
      <c r="GF140" s="99">
        <f>IF(AND(Database!NK11&gt;1,Database!NK81&gt;1),100*(Database!NK11/(Database!NK81)),0.0001)</f>
        <v>1E-4</v>
      </c>
      <c r="GG140" s="99">
        <f>IF(AND(Database!NM11&gt;1,Database!NM81&gt;1),100*(Database!NM11/(Database!NM81)),0.0001)</f>
        <v>1E-4</v>
      </c>
      <c r="GH140" s="99">
        <f>IF(AND(Database!NO11&gt;1,Database!NO81&gt;1),100*(Database!NO11/(Database!NO81)),0.0001)</f>
        <v>1E-4</v>
      </c>
      <c r="GI140" s="99">
        <f>IF(AND(Database!NQ11&gt;1,Database!NQ81&gt;1),100*(Database!NQ11/(Database!NQ81)),0.0001)</f>
        <v>1E-4</v>
      </c>
      <c r="GJ140" s="99">
        <f>IF(AND(Database!NS11&gt;1,Database!NS81&gt;1),100*(Database!NS11/(Database!NS81)),0.0001)</f>
        <v>1E-4</v>
      </c>
      <c r="GK140" s="99">
        <f>IF(AND(Database!NU11&gt;1,Database!NU81&gt;1),100*(Database!NU11/(Database!NU81)),0.0001)</f>
        <v>1E-4</v>
      </c>
      <c r="GL140" s="99">
        <f>IF(AND(Database!NW11&gt;1,Database!NW81&gt;1),100*(Database!NW11/(Database!NW81)),0.0001)</f>
        <v>1E-4</v>
      </c>
      <c r="GM140" s="99">
        <f>IF(AND(Database!NY11&gt;1,Database!NY81&gt;1),100*(Database!NY11/(Database!NY81)),0.0001)</f>
        <v>1E-4</v>
      </c>
      <c r="GN140" s="99">
        <f>IF(AND(Database!OA11&gt;1,Database!OA81&gt;1),100*(Database!OA11/(Database!OA81)),0.0001)</f>
        <v>1E-4</v>
      </c>
      <c r="GO140" s="99">
        <f>IF(AND(Database!OC11&gt;1,Database!OC81&gt;1),100*(Database!OC11/(Database!OC81)),0.0001)</f>
        <v>1E-4</v>
      </c>
      <c r="GP140" s="99">
        <f>IF(AND(Database!OE11&gt;1,Database!OE81&gt;1),100*(Database!OE11/(Database!OE81)),0.0001)</f>
        <v>1E-4</v>
      </c>
      <c r="GQ140" s="99">
        <f>IF(AND(Database!OG11&gt;1,Database!OG81&gt;1),100*(Database!OG11/(Database!OG81)),0.0001)</f>
        <v>1E-4</v>
      </c>
      <c r="GR140" s="99">
        <f>IF(AND(Database!OI11&gt;1,Database!OI81&gt;1),100*(Database!OI11/(Database!OI81)),0.0001)</f>
        <v>1E-4</v>
      </c>
      <c r="GS140" s="99">
        <f>IF(AND(Database!OK11&gt;1,Database!OK81&gt;1),100*(Database!OK11/(Database!OK81)),0.0001)</f>
        <v>1E-4</v>
      </c>
      <c r="GT140" s="30">
        <f>IF(AND(Database!OM11&gt;1,Database!OM81&gt;1),100*(Database!OM11/(Database!OM81)),0.0001)</f>
        <v>1E-4</v>
      </c>
      <c r="GU140" s="99"/>
      <c r="GV140" s="99"/>
      <c r="GW140" s="99"/>
    </row>
    <row r="141" spans="1:205" ht="18.75" customHeight="1" x14ac:dyDescent="0.4">
      <c r="A141" s="240" t="s">
        <v>151</v>
      </c>
      <c r="B141" s="96"/>
      <c r="C141" s="260">
        <f>IF(AND(Database!E79&gt;1,Database!E85&gt;1),100*(Database!E79/(Database!E85)),0.0001)</f>
        <v>40.985002292226078</v>
      </c>
      <c r="D141" s="99">
        <f>IF(AND(Database!G79&gt;1,Database!G85&gt;1),100*(Database!G79/(Database!G85)),0.0001)</f>
        <v>52.502194907813873</v>
      </c>
      <c r="E141" s="99">
        <f>IF(AND(Database!I79&gt;1,Database!I85&gt;1),100*(Database!I79/(Database!I85)),0.0001)</f>
        <v>57.001027045532346</v>
      </c>
      <c r="F141" s="99">
        <f>IF(AND(Database!K79&gt;1,Database!K85&gt;1),100*(Database!K79/(Database!K85)),0.0001)</f>
        <v>58.007320048800324</v>
      </c>
      <c r="G141" s="99">
        <f>IF(AND(Database!M79&gt;1,Database!M85&gt;1),100*(Database!M79/(Database!M85)),0.0001)</f>
        <v>1E-4</v>
      </c>
      <c r="H141" s="99">
        <f>IF(AND(Database!O79&gt;1,Database!O85&gt;1),100*(Database!O79/(Database!O85)),0.0001)</f>
        <v>1E-4</v>
      </c>
      <c r="I141" s="99">
        <f>IF(AND(Database!Q79&gt;1,Database!Q85&gt;1),100*(Database!Q79/(Database!Q85)),0.0001)</f>
        <v>1E-4</v>
      </c>
      <c r="J141" s="99">
        <f>IF(AND(Database!S79&gt;1,Database!S85&gt;1),100*(Database!S79/(Database!S85)),0.0001)</f>
        <v>1E-4</v>
      </c>
      <c r="K141" s="99">
        <f>IF(AND(Database!U79&gt;1,Database!U85&gt;1),100*(Database!U79/(Database!U85)),0.0001)</f>
        <v>1E-4</v>
      </c>
      <c r="L141" s="99">
        <f>IF(AND(Database!W79&gt;1,Database!W85&gt;1),100*(Database!W79/(Database!W85)),0.0001)</f>
        <v>1E-4</v>
      </c>
      <c r="M141" s="99">
        <f>IF(AND(Database!Y79&gt;1,Database!Y85&gt;1),100*(Database!Y79/(Database!Y85)),0.0001)</f>
        <v>1E-4</v>
      </c>
      <c r="N141" s="99">
        <f>IF(AND(Database!AA79&gt;1,Database!AA85&gt;1),100*(Database!AA79/(Database!AA85)),0.0001)</f>
        <v>1E-4</v>
      </c>
      <c r="O141" s="99">
        <f>IF(AND(Database!AC79&gt;1,Database!AC85&gt;1),100*(Database!AC79/(Database!AC85)),0.0001)</f>
        <v>1E-4</v>
      </c>
      <c r="P141" s="99">
        <f>IF(AND(Database!AE79&gt;1,Database!AE85&gt;1),100*(Database!AE79/(Database!AE85)),0.0001)</f>
        <v>1E-4</v>
      </c>
      <c r="Q141" s="99">
        <f>IF(AND(Database!AG79&gt;1,Database!AG85&gt;1),100*(Database!AG79/(Database!AG85)),0.0001)</f>
        <v>1E-4</v>
      </c>
      <c r="R141" s="99">
        <f>IF(AND(Database!AI79&gt;1,Database!AI85&gt;1),100*(Database!AI79/(Database!AI85)),0.0001)</f>
        <v>1E-4</v>
      </c>
      <c r="S141" s="99">
        <f>IF(AND(Database!AK79&gt;1,Database!AK85&gt;1),100*(Database!AK79/(Database!AK85)),0.0001)</f>
        <v>1E-4</v>
      </c>
      <c r="T141" s="99">
        <f>IF(AND(Database!AM79&gt;1,Database!AM85&gt;1),100*(Database!AM79/(Database!AM85)),0.0001)</f>
        <v>1E-4</v>
      </c>
      <c r="U141" s="99">
        <f>IF(AND(Database!AO79&gt;1,Database!AO85&gt;1),100*(Database!AO79/(Database!AO85)),0.0001)</f>
        <v>1E-4</v>
      </c>
      <c r="V141" s="99">
        <f>IF(AND(Database!AQ79&gt;1,Database!AQ85&gt;1),100*(Database!AQ79/(Database!AQ85)),0.0001)</f>
        <v>1E-4</v>
      </c>
      <c r="W141" s="99">
        <f>IF(AND(Database!AS79&gt;1,Database!AS85&gt;1),100*(Database!AS79/(Database!AS85)),0.0001)</f>
        <v>1E-4</v>
      </c>
      <c r="X141" s="99">
        <f>IF(AND(Database!AU79&gt;1,Database!AU85&gt;1),100*(Database!AU79/(Database!AU85)),0.0001)</f>
        <v>1E-4</v>
      </c>
      <c r="Y141" s="99">
        <f>IF(AND(Database!AW79&gt;1,Database!AW85&gt;1),100*(Database!AW79/(Database!AW85)),0.0001)</f>
        <v>1E-4</v>
      </c>
      <c r="Z141" s="99">
        <f>IF(AND(Database!AY79&gt;1,Database!AY85&gt;1),100*(Database!AY79/(Database!AY85)),0.0001)</f>
        <v>1E-4</v>
      </c>
      <c r="AA141" s="99">
        <f>IF(AND(Database!BA79&gt;1,Database!BA85&gt;1),100*(Database!BA79/(Database!BA85)),0.0001)</f>
        <v>1E-4</v>
      </c>
      <c r="AB141" s="99">
        <f>IF(AND(Database!BC79&gt;1,Database!BC85&gt;1),100*(Database!BC79/(Database!BC85)),0.0001)</f>
        <v>1E-4</v>
      </c>
      <c r="AC141" s="99">
        <f>IF(AND(Database!BE79&gt;1,Database!BE85&gt;1),100*(Database!BE79/(Database!BE85)),0.0001)</f>
        <v>1E-4</v>
      </c>
      <c r="AD141" s="99">
        <f>IF(AND(Database!BG79&gt;1,Database!BG85&gt;1),100*(Database!BG79/(Database!BG85)),0.0001)</f>
        <v>1E-4</v>
      </c>
      <c r="AE141" s="99">
        <f>IF(AND(Database!BI79&gt;1,Database!BI85&gt;1),100*(Database!BI79/(Database!BI85)),0.0001)</f>
        <v>1E-4</v>
      </c>
      <c r="AF141" s="99">
        <f>IF(AND(Database!BK79&gt;1,Database!BK85&gt;1),100*(Database!BK79/(Database!BK85)),0.0001)</f>
        <v>1E-4</v>
      </c>
      <c r="AG141" s="99">
        <f>IF(AND(Database!BM79&gt;1,Database!BM85&gt;1),100*(Database!BM79/(Database!BM85)),0.0001)</f>
        <v>1E-4</v>
      </c>
      <c r="AH141" s="99">
        <f>IF(AND(Database!BO79&gt;1,Database!BO85&gt;1),100*(Database!BO79/(Database!BO85)),0.0001)</f>
        <v>1E-4</v>
      </c>
      <c r="AI141" s="99">
        <f>IF(AND(Database!BQ79&gt;1,Database!BQ85&gt;1),100*(Database!BQ79/(Database!BQ85)),0.0001)</f>
        <v>1E-4</v>
      </c>
      <c r="AJ141" s="99">
        <f>IF(AND(Database!BS79&gt;1,Database!BS85&gt;1),100*(Database!BS79/(Database!BS85)),0.0001)</f>
        <v>1E-4</v>
      </c>
      <c r="AK141" s="99">
        <f>IF(AND(Database!BU79&gt;1,Database!BU85&gt;1),100*(Database!BU79/(Database!BU85)),0.0001)</f>
        <v>1E-4</v>
      </c>
      <c r="AL141" s="99">
        <f>IF(AND(Database!BW79&gt;1,Database!BW85&gt;1),100*(Database!BW79/(Database!BW85)),0.0001)</f>
        <v>1E-4</v>
      </c>
      <c r="AM141" s="99">
        <f>IF(AND(Database!BY79&gt;1,Database!BY85&gt;1),100*(Database!BY79/(Database!BY85)),0.0001)</f>
        <v>1E-4</v>
      </c>
      <c r="AN141" s="99">
        <f>IF(AND(Database!CA79&gt;1,Database!CA85&gt;1),100*(Database!CA79/(Database!CA85)),0.0001)</f>
        <v>1E-4</v>
      </c>
      <c r="AO141" s="99">
        <f>IF(AND(Database!CC79&gt;1,Database!CC85&gt;1),100*(Database!CC79/(Database!CC85)),0.0001)</f>
        <v>1E-4</v>
      </c>
      <c r="AP141" s="99">
        <f>IF(AND(Database!CE79&gt;1,Database!CE85&gt;1),100*(Database!CE79/(Database!CE85)),0.0001)</f>
        <v>1E-4</v>
      </c>
      <c r="AQ141" s="99">
        <f>IF(AND(Database!CG79&gt;1,Database!CG85&gt;1),100*(Database!CG79/(Database!CG85)),0.0001)</f>
        <v>1E-4</v>
      </c>
      <c r="AR141" s="99">
        <f>IF(AND(Database!CI79&gt;1,Database!CI85&gt;1),100*(Database!CI79/(Database!CI85)),0.0001)</f>
        <v>1E-4</v>
      </c>
      <c r="AS141" s="99">
        <f>IF(AND(Database!CK79&gt;1,Database!CK85&gt;1),100*(Database!CK79/(Database!CK85)),0.0001)</f>
        <v>1E-4</v>
      </c>
      <c r="AT141" s="99">
        <f>IF(AND(Database!CM79&gt;1,Database!CM85&gt;1),100*(Database!CM79/(Database!CM85)),0.0001)</f>
        <v>1E-4</v>
      </c>
      <c r="AU141" s="99">
        <f>IF(AND(Database!CO79&gt;1,Database!CO85&gt;1),100*(Database!CO79/(Database!CO85)),0.0001)</f>
        <v>1E-4</v>
      </c>
      <c r="AV141" s="99">
        <f>IF(AND(Database!CQ79&gt;1,Database!CQ85&gt;1),100*(Database!CQ79/(Database!CQ85)),0.0001)</f>
        <v>1E-4</v>
      </c>
      <c r="AW141" s="99">
        <f>IF(AND(Database!CS79&gt;1,Database!CS85&gt;1),100*(Database!CS79/(Database!CS85)),0.0001)</f>
        <v>1E-4</v>
      </c>
      <c r="AX141" s="99">
        <f>IF(AND(Database!CU79&gt;1,Database!CU85&gt;1),100*(Database!CU79/(Database!CU85)),0.0001)</f>
        <v>1E-4</v>
      </c>
      <c r="AY141" s="99">
        <f>IF(AND(Database!CW79&gt;1,Database!CW85&gt;1),100*(Database!CW79/(Database!CW85)),0.0001)</f>
        <v>1E-4</v>
      </c>
      <c r="AZ141" s="99">
        <f>IF(AND(Database!CY79&gt;1,Database!CY85&gt;1),100*(Database!CY79/(Database!CY85)),0.0001)</f>
        <v>1E-4</v>
      </c>
      <c r="BA141" s="99">
        <f>IF(AND(Database!DA79&gt;1,Database!DA85&gt;1),100*(Database!DA79/(Database!DA85)),0.0001)</f>
        <v>1E-4</v>
      </c>
      <c r="BB141" s="99">
        <f>IF(AND(Database!DC79&gt;1,Database!DC85&gt;1),100*(Database!DC79/(Database!DC85)),0.0001)</f>
        <v>1E-4</v>
      </c>
      <c r="BC141" s="99">
        <f>IF(AND(Database!DE79&gt;1,Database!DE85&gt;1),100*(Database!DE79/(Database!DE85)),0.0001)</f>
        <v>1E-4</v>
      </c>
      <c r="BD141" s="99">
        <f>IF(AND(Database!DG79&gt;1,Database!DG85&gt;1),100*(Database!DG79/(Database!DG85)),0.0001)</f>
        <v>1E-4</v>
      </c>
      <c r="BE141" s="99">
        <f>IF(AND(Database!DI79&gt;1,Database!DI85&gt;1),100*(Database!DI79/(Database!DI85)),0.0001)</f>
        <v>1E-4</v>
      </c>
      <c r="BF141" s="99">
        <f>IF(AND(Database!DK79&gt;1,Database!DK85&gt;1),100*(Database!DK79/(Database!DK85)),0.0001)</f>
        <v>1E-4</v>
      </c>
      <c r="BG141" s="99">
        <f>IF(AND(Database!DM79&gt;1,Database!DM85&gt;1),100*(Database!DM79/(Database!DM85)),0.0001)</f>
        <v>1E-4</v>
      </c>
      <c r="BH141" s="99">
        <f>IF(AND(Database!DO79&gt;1,Database!DO85&gt;1),100*(Database!DO79/(Database!DO85)),0.0001)</f>
        <v>1E-4</v>
      </c>
      <c r="BI141" s="99">
        <f>IF(AND(Database!DQ79&gt;1,Database!DQ85&gt;1),100*(Database!DQ79/(Database!DQ85)),0.0001)</f>
        <v>1E-4</v>
      </c>
      <c r="BJ141" s="99">
        <f>IF(AND(Database!DS79&gt;1,Database!DS85&gt;1),100*(Database!DS79/(Database!DS85)),0.0001)</f>
        <v>1E-4</v>
      </c>
      <c r="BK141" s="99">
        <f>IF(AND(Database!DU79&gt;1,Database!DU85&gt;1),100*(Database!DU79/(Database!DU85)),0.0001)</f>
        <v>1E-4</v>
      </c>
      <c r="BL141" s="99">
        <f>IF(AND(Database!DW79&gt;1,Database!DW85&gt;1),100*(Database!DW79/(Database!DW85)),0.0001)</f>
        <v>1E-4</v>
      </c>
      <c r="BM141" s="99">
        <f>IF(AND(Database!DY79&gt;1,Database!DY85&gt;1),100*(Database!DY79/(Database!DY85)),0.0001)</f>
        <v>1E-4</v>
      </c>
      <c r="BN141" s="99">
        <f>IF(AND(Database!EA79&gt;1,Database!EA85&gt;1),100*(Database!EA79/(Database!EA85)),0.0001)</f>
        <v>1E-4</v>
      </c>
      <c r="BO141" s="99">
        <f>IF(AND(Database!EC79&gt;1,Database!EC85&gt;1),100*(Database!EC79/(Database!EC85)),0.0001)</f>
        <v>1E-4</v>
      </c>
      <c r="BP141" s="99">
        <f>IF(AND(Database!EE79&gt;1,Database!EE85&gt;1),100*(Database!EE79/(Database!EE85)),0.0001)</f>
        <v>1E-4</v>
      </c>
      <c r="BQ141" s="99">
        <f>IF(AND(Database!EG79&gt;1,Database!EG85&gt;1),100*(Database!EG79/(Database!EG85)),0.0001)</f>
        <v>1E-4</v>
      </c>
      <c r="BR141" s="99">
        <f>IF(AND(Database!EI79&gt;1,Database!EI85&gt;1),100*(Database!EI79/(Database!EI85)),0.0001)</f>
        <v>1E-4</v>
      </c>
      <c r="BS141" s="99">
        <f>IF(AND(Database!EK79&gt;1,Database!EK85&gt;1),100*(Database!EK79/(Database!EK85)),0.0001)</f>
        <v>1E-4</v>
      </c>
      <c r="BT141" s="99">
        <f>IF(AND(Database!EM79&gt;1,Database!EM85&gt;1),100*(Database!EM79/(Database!EM85)),0.0001)</f>
        <v>1E-4</v>
      </c>
      <c r="BU141" s="99">
        <f>IF(AND(Database!EO79&gt;1,Database!EO85&gt;1),100*(Database!EO79/(Database!EO85)),0.0001)</f>
        <v>1E-4</v>
      </c>
      <c r="BV141" s="99">
        <f>IF(AND(Database!EQ79&gt;1,Database!EQ85&gt;1),100*(Database!EQ79/(Database!EQ85)),0.0001)</f>
        <v>1E-4</v>
      </c>
      <c r="BW141" s="99">
        <f>IF(AND(Database!ES79&gt;1,Database!ES85&gt;1),100*(Database!ES79/(Database!ES85)),0.0001)</f>
        <v>1E-4</v>
      </c>
      <c r="BX141" s="99">
        <f>IF(AND(Database!EU79&gt;1,Database!EU85&gt;1),100*(Database!EU79/(Database!EU85)),0.0001)</f>
        <v>1E-4</v>
      </c>
      <c r="BY141" s="99">
        <f>IF(AND(Database!EW79&gt;1,Database!EW85&gt;1),100*(Database!EW79/(Database!EW85)),0.0001)</f>
        <v>1E-4</v>
      </c>
      <c r="BZ141" s="99">
        <f>IF(AND(Database!EY79&gt;1,Database!EY85&gt;1),100*(Database!EY79/(Database!EY85)),0.0001)</f>
        <v>1E-4</v>
      </c>
      <c r="CA141" s="99">
        <f>IF(AND(Database!FA79&gt;1,Database!FA85&gt;1),100*(Database!FA79/(Database!FA85)),0.0001)</f>
        <v>1E-4</v>
      </c>
      <c r="CB141" s="99">
        <f>IF(AND(Database!FC79&gt;1,Database!FC85&gt;1),100*(Database!FC79/(Database!FC85)),0.0001)</f>
        <v>1E-4</v>
      </c>
      <c r="CC141" s="99">
        <f>IF(AND(Database!FE79&gt;1,Database!FE85&gt;1),100*(Database!FE79/(Database!FE85)),0.0001)</f>
        <v>1E-4</v>
      </c>
      <c r="CD141" s="99">
        <f>IF(AND(Database!FG79&gt;1,Database!FG85&gt;1),100*(Database!FG79/(Database!FG85)),0.0001)</f>
        <v>1E-4</v>
      </c>
      <c r="CE141" s="99">
        <f>IF(AND(Database!FI79&gt;1,Database!FI85&gt;1),100*(Database!FI79/(Database!FI85)),0.0001)</f>
        <v>1E-4</v>
      </c>
      <c r="CF141" s="99">
        <f>IF(AND(Database!FK79&gt;1,Database!FK85&gt;1),100*(Database!FK79/(Database!FK85)),0.0001)</f>
        <v>1E-4</v>
      </c>
      <c r="CG141" s="99">
        <f>IF(AND(Database!FM79&gt;1,Database!FM85&gt;1),100*(Database!FM79/(Database!FM85)),0.0001)</f>
        <v>1E-4</v>
      </c>
      <c r="CH141" s="99">
        <f>IF(AND(Database!FO79&gt;1,Database!FO85&gt;1),100*(Database!FO79/(Database!FO85)),0.0001)</f>
        <v>1E-4</v>
      </c>
      <c r="CI141" s="99">
        <f>IF(AND(Database!FQ79&gt;1,Database!FQ85&gt;1),100*(Database!FQ79/(Database!FQ85)),0.0001)</f>
        <v>1E-4</v>
      </c>
      <c r="CJ141" s="99">
        <f>IF(AND(Database!FS79&gt;1,Database!FS85&gt;1),100*(Database!FS79/(Database!FS85)),0.0001)</f>
        <v>1E-4</v>
      </c>
      <c r="CK141" s="99">
        <f>IF(AND(Database!FU79&gt;1,Database!FU85&gt;1),100*(Database!FU79/(Database!FU85)),0.0001)</f>
        <v>1E-4</v>
      </c>
      <c r="CL141" s="99">
        <f>IF(AND(Database!FW79&gt;1,Database!FW85&gt;1),100*(Database!FW79/(Database!FW85)),0.0001)</f>
        <v>1E-4</v>
      </c>
      <c r="CM141" s="99">
        <f>IF(AND(Database!FY79&gt;1,Database!FY85&gt;1),100*(Database!FY79/(Database!FY85)),0.0001)</f>
        <v>1E-4</v>
      </c>
      <c r="CN141" s="99">
        <f>IF(AND(Database!GA79&gt;1,Database!GA85&gt;1),100*(Database!GA79/(Database!GA85)),0.0001)</f>
        <v>1E-4</v>
      </c>
      <c r="CO141" s="99">
        <f>IF(AND(Database!GC79&gt;1,Database!GC85&gt;1),100*(Database!GC79/(Database!GC85)),0.0001)</f>
        <v>1E-4</v>
      </c>
      <c r="CP141" s="99">
        <f>IF(AND(Database!GE79&gt;1,Database!GE85&gt;1),100*(Database!GE79/(Database!GE85)),0.0001)</f>
        <v>1E-4</v>
      </c>
      <c r="CQ141" s="99">
        <f>IF(AND(Database!GG79&gt;1,Database!GG85&gt;1),100*(Database!GG79/(Database!GG85)),0.0001)</f>
        <v>1E-4</v>
      </c>
      <c r="CR141" s="99">
        <f>IF(AND(Database!GI79&gt;1,Database!GI85&gt;1),100*(Database!GI79/(Database!GI85)),0.0001)</f>
        <v>1E-4</v>
      </c>
      <c r="CS141" s="99">
        <f>IF(AND(Database!GK79&gt;1,Database!GK85&gt;1),100*(Database!GK79/(Database!GK85)),0.0001)</f>
        <v>1E-4</v>
      </c>
      <c r="CT141" s="99">
        <f>IF(AND(Database!GM79&gt;1,Database!GM85&gt;1),100*(Database!GM79/(Database!GM85)),0.0001)</f>
        <v>1E-4</v>
      </c>
      <c r="CU141" s="99">
        <f>IF(AND(Database!GO79&gt;1,Database!GO85&gt;1),100*(Database!GO79/(Database!GO85)),0.0001)</f>
        <v>1E-4</v>
      </c>
      <c r="CV141" s="99">
        <f>IF(AND(Database!GQ79&gt;1,Database!GQ85&gt;1),100*(Database!GQ79/(Database!GQ85)),0.0001)</f>
        <v>1E-4</v>
      </c>
      <c r="CW141" s="99">
        <f>IF(AND(Database!GS79&gt;1,Database!GS85&gt;1),100*(Database!GS79/(Database!GS85)),0.0001)</f>
        <v>1E-4</v>
      </c>
      <c r="CX141" s="99">
        <f>IF(AND(Database!GU79&gt;1,Database!GU85&gt;1),100*(Database!GU79/(Database!GU85)),0.0001)</f>
        <v>1E-4</v>
      </c>
      <c r="CY141" s="99">
        <f>IF(AND(Database!GW79&gt;1,Database!GW85&gt;1),100*(Database!GW79/(Database!GW85)),0.0001)</f>
        <v>1E-4</v>
      </c>
      <c r="CZ141" s="99">
        <f>IF(AND(Database!GY79&gt;1,Database!GY85&gt;1),100*(Database!GY79/(Database!GY85)),0.0001)</f>
        <v>1E-4</v>
      </c>
      <c r="DA141" s="99">
        <f>IF(AND(Database!HA79&gt;1,Database!HA85&gt;1),100*(Database!HA79/(Database!HA85)),0.0001)</f>
        <v>1E-4</v>
      </c>
      <c r="DB141" s="99">
        <f>IF(AND(Database!HC79&gt;1,Database!HC85&gt;1),100*(Database!HC79/(Database!HC85)),0.0001)</f>
        <v>1E-4</v>
      </c>
      <c r="DC141" s="99">
        <f>IF(AND(Database!HE79&gt;1,Database!HE85&gt;1),100*(Database!HE79/(Database!HE85)),0.0001)</f>
        <v>1E-4</v>
      </c>
      <c r="DD141" s="99">
        <f>IF(AND(Database!HG79&gt;1,Database!HG85&gt;1),100*(Database!HG79/(Database!HG85)),0.0001)</f>
        <v>1E-4</v>
      </c>
      <c r="DE141" s="99">
        <f>IF(AND(Database!HI79&gt;1,Database!HI85&gt;1),100*(Database!HI79/(Database!HI85)),0.0001)</f>
        <v>1E-4</v>
      </c>
      <c r="DF141" s="99">
        <f>IF(AND(Database!HK79&gt;1,Database!HK85&gt;1),100*(Database!HK79/(Database!HK85)),0.0001)</f>
        <v>1E-4</v>
      </c>
      <c r="DG141" s="99">
        <f>IF(AND(Database!HM79&gt;1,Database!HM85&gt;1),100*(Database!HM79/(Database!HM85)),0.0001)</f>
        <v>1E-4</v>
      </c>
      <c r="DH141" s="99">
        <f>IF(AND(Database!HO79&gt;1,Database!HO85&gt;1),100*(Database!HO79/(Database!HO85)),0.0001)</f>
        <v>1E-4</v>
      </c>
      <c r="DI141" s="99">
        <f>IF(AND(Database!HQ79&gt;1,Database!HQ85&gt;1),100*(Database!HQ79/(Database!HQ85)),0.0001)</f>
        <v>1E-4</v>
      </c>
      <c r="DJ141" s="99">
        <f>IF(AND(Database!HS79&gt;1,Database!HS85&gt;1),100*(Database!HS79/(Database!HS85)),0.0001)</f>
        <v>1E-4</v>
      </c>
      <c r="DK141" s="99">
        <f>IF(AND(Database!HU79&gt;1,Database!HU85&gt;1),100*(Database!HU79/(Database!HU85)),0.0001)</f>
        <v>1E-4</v>
      </c>
      <c r="DL141" s="99">
        <f>IF(AND(Database!HW79&gt;1,Database!HW85&gt;1),100*(Database!HW79/(Database!HW85)),0.0001)</f>
        <v>1E-4</v>
      </c>
      <c r="DM141" s="99">
        <f>IF(AND(Database!HY79&gt;1,Database!HY85&gt;1),100*(Database!HY79/(Database!HY85)),0.0001)</f>
        <v>1E-4</v>
      </c>
      <c r="DN141" s="99">
        <f>IF(AND(Database!IA79&gt;1,Database!IA85&gt;1),100*(Database!IA79/(Database!IA85)),0.0001)</f>
        <v>1E-4</v>
      </c>
      <c r="DO141" s="99">
        <f>IF(AND(Database!IC79&gt;1,Database!IC85&gt;1),100*(Database!IC79/(Database!IC85)),0.0001)</f>
        <v>1E-4</v>
      </c>
      <c r="DP141" s="99">
        <f>IF(AND(Database!IE79&gt;1,Database!IE85&gt;1),100*(Database!IE79/(Database!IE85)),0.0001)</f>
        <v>1E-4</v>
      </c>
      <c r="DQ141" s="99">
        <f>IF(AND(Database!IG79&gt;1,Database!IG85&gt;1),100*(Database!IG79/(Database!IG85)),0.0001)</f>
        <v>1E-4</v>
      </c>
      <c r="DR141" s="99">
        <f>IF(AND(Database!II79&gt;1,Database!II85&gt;1),100*(Database!II79/(Database!II85)),0.0001)</f>
        <v>1E-4</v>
      </c>
      <c r="DS141" s="99">
        <f>IF(AND(Database!IK79&gt;1,Database!IK85&gt;1),100*(Database!IK79/(Database!IK85)),0.0001)</f>
        <v>1E-4</v>
      </c>
      <c r="DT141" s="99">
        <f>IF(AND(Database!IM79&gt;1,Database!IM85&gt;1),100*(Database!IM79/(Database!IM85)),0.0001)</f>
        <v>1E-4</v>
      </c>
      <c r="DU141" s="99">
        <f>IF(AND(Database!IO79&gt;1,Database!IO85&gt;1),100*(Database!IO79/(Database!IO85)),0.0001)</f>
        <v>1E-4</v>
      </c>
      <c r="DV141" s="99">
        <f>IF(AND(Database!IQ79&gt;1,Database!IQ85&gt;1),100*(Database!IQ79/(Database!IQ85)),0.0001)</f>
        <v>1E-4</v>
      </c>
      <c r="DW141" s="99">
        <f>IF(AND(Database!IS79&gt;1,Database!IS85&gt;1),100*(Database!IS79/(Database!IS85)),0.0001)</f>
        <v>1E-4</v>
      </c>
      <c r="DX141" s="99">
        <f>IF(AND(Database!IU79&gt;1,Database!IU85&gt;1),100*(Database!IU79/(Database!IU85)),0.0001)</f>
        <v>1E-4</v>
      </c>
      <c r="DY141" s="99">
        <f>IF(AND(Database!IW79&gt;1,Database!IW85&gt;1),100*(Database!IW79/(Database!IW85)),0.0001)</f>
        <v>1E-4</v>
      </c>
      <c r="DZ141" s="99">
        <f>IF(AND(Database!IY79&gt;1,Database!IY85&gt;1),100*(Database!IY79/(Database!IY85)),0.0001)</f>
        <v>1E-4</v>
      </c>
      <c r="EA141" s="99">
        <f>IF(AND(Database!JA79&gt;1,Database!JA85&gt;1),100*(Database!JA79/(Database!JA85)),0.0001)</f>
        <v>1E-4</v>
      </c>
      <c r="EB141" s="99">
        <f>IF(AND(Database!JC79&gt;1,Database!JC85&gt;1),100*(Database!JC79/(Database!JC85)),0.0001)</f>
        <v>1E-4</v>
      </c>
      <c r="EC141" s="99">
        <f>IF(AND(Database!JE79&gt;1,Database!JE85&gt;1),100*(Database!JE79/(Database!JE85)),0.0001)</f>
        <v>1E-4</v>
      </c>
      <c r="ED141" s="99">
        <f>IF(AND(Database!JG79&gt;1,Database!JG85&gt;1),100*(Database!JG79/(Database!JG85)),0.0001)</f>
        <v>1E-4</v>
      </c>
      <c r="EE141" s="99">
        <f>IF(AND(Database!JI79&gt;1,Database!JI85&gt;1),100*(Database!JI79/(Database!JI85)),0.0001)</f>
        <v>1E-4</v>
      </c>
      <c r="EF141" s="99">
        <f>IF(AND(Database!JK79&gt;1,Database!JK85&gt;1),100*(Database!JK79/(Database!JK85)),0.0001)</f>
        <v>1E-4</v>
      </c>
      <c r="EG141" s="99">
        <f>IF(AND(Database!JM79&gt;1,Database!JM85&gt;1),100*(Database!JM79/(Database!JM85)),0.0001)</f>
        <v>1E-4</v>
      </c>
      <c r="EH141" s="99">
        <f>IF(AND(Database!JO79&gt;1,Database!JO85&gt;1),100*(Database!JO79/(Database!JO85)),0.0001)</f>
        <v>1E-4</v>
      </c>
      <c r="EI141" s="99">
        <f>IF(AND(Database!JQ79&gt;1,Database!JQ85&gt;1),100*(Database!JQ79/(Database!JQ85)),0.0001)</f>
        <v>1E-4</v>
      </c>
      <c r="EJ141" s="99">
        <f>IF(AND(Database!JS79&gt;1,Database!JS85&gt;1),100*(Database!JS79/(Database!JS85)),0.0001)</f>
        <v>1E-4</v>
      </c>
      <c r="EK141" s="99">
        <f>IF(AND(Database!JU79&gt;1,Database!JU85&gt;1),100*(Database!JU79/(Database!JU85)),0.0001)</f>
        <v>1E-4</v>
      </c>
      <c r="EL141" s="99">
        <f>IF(AND(Database!JW79&gt;1,Database!JW85&gt;1),100*(Database!JW79/(Database!JW85)),0.0001)</f>
        <v>1E-4</v>
      </c>
      <c r="EM141" s="99">
        <f>IF(AND(Database!JY79&gt;1,Database!JY85&gt;1),100*(Database!JY79/(Database!JY85)),0.0001)</f>
        <v>1E-4</v>
      </c>
      <c r="EN141" s="99">
        <f>IF(AND(Database!KA79&gt;1,Database!KA85&gt;1),100*(Database!KA79/(Database!KA85)),0.0001)</f>
        <v>1E-4</v>
      </c>
      <c r="EO141" s="99">
        <f>IF(AND(Database!KC79&gt;1,Database!KC85&gt;1),100*(Database!KC79/(Database!KC85)),0.0001)</f>
        <v>1E-4</v>
      </c>
      <c r="EP141" s="99">
        <f>IF(AND(Database!KE79&gt;1,Database!KE85&gt;1),100*(Database!KE79/(Database!KE85)),0.0001)</f>
        <v>1E-4</v>
      </c>
      <c r="EQ141" s="99">
        <f>IF(AND(Database!KG79&gt;1,Database!KG85&gt;1),100*(Database!KG79/(Database!KG85)),0.0001)</f>
        <v>1E-4</v>
      </c>
      <c r="ER141" s="99">
        <f>IF(AND(Database!KI79&gt;1,Database!KI85&gt;1),100*(Database!KI79/(Database!KI85)),0.0001)</f>
        <v>1E-4</v>
      </c>
      <c r="ES141" s="99">
        <f>IF(AND(Database!KK79&gt;1,Database!KK85&gt;1),100*(Database!KK79/(Database!KK85)),0.0001)</f>
        <v>1E-4</v>
      </c>
      <c r="ET141" s="99">
        <f>IF(AND(Database!KM79&gt;1,Database!KM85&gt;1),100*(Database!KM79/(Database!KM85)),0.0001)</f>
        <v>1E-4</v>
      </c>
      <c r="EU141" s="99">
        <f>IF(AND(Database!KO79&gt;1,Database!KO85&gt;1),100*(Database!KO79/(Database!KO85)),0.0001)</f>
        <v>1E-4</v>
      </c>
      <c r="EV141" s="99">
        <f>IF(AND(Database!KQ79&gt;1,Database!KQ85&gt;1),100*(Database!KQ79/(Database!KQ85)),0.0001)</f>
        <v>1E-4</v>
      </c>
      <c r="EW141" s="99">
        <f>IF(AND(Database!KS79&gt;1,Database!KS85&gt;1),100*(Database!KS79/(Database!KS85)),0.0001)</f>
        <v>1E-4</v>
      </c>
      <c r="EX141" s="99">
        <f>IF(AND(Database!KU79&gt;1,Database!KU85&gt;1),100*(Database!KU79/(Database!KU85)),0.0001)</f>
        <v>1E-4</v>
      </c>
      <c r="EY141" s="99">
        <f>IF(AND(Database!KW79&gt;1,Database!KW85&gt;1),100*(Database!KW79/(Database!KW85)),0.0001)</f>
        <v>1E-4</v>
      </c>
      <c r="EZ141" s="99">
        <f>IF(AND(Database!KY79&gt;1,Database!KY85&gt;1),100*(Database!KY79/(Database!KY85)),0.0001)</f>
        <v>1E-4</v>
      </c>
      <c r="FA141" s="99">
        <f>IF(AND(Database!LA79&gt;1,Database!LA85&gt;1),100*(Database!LA79/(Database!LA85)),0.0001)</f>
        <v>1E-4</v>
      </c>
      <c r="FB141" s="99">
        <f>IF(AND(Database!LC79&gt;1,Database!LC85&gt;1),100*(Database!LC79/(Database!LC85)),0.0001)</f>
        <v>1E-4</v>
      </c>
      <c r="FC141" s="99">
        <f>IF(AND(Database!LE79&gt;1,Database!LE85&gt;1),100*(Database!LE79/(Database!LE85)),0.0001)</f>
        <v>1E-4</v>
      </c>
      <c r="FD141" s="99">
        <f>IF(AND(Database!LG79&gt;1,Database!LG85&gt;1),100*(Database!LG79/(Database!LG85)),0.0001)</f>
        <v>1E-4</v>
      </c>
      <c r="FE141" s="99">
        <f>IF(AND(Database!LI79&gt;1,Database!LI85&gt;1),100*(Database!LI79/(Database!LI85)),0.0001)</f>
        <v>1E-4</v>
      </c>
      <c r="FF141" s="99">
        <f>IF(AND(Database!LK79&gt;1,Database!LK85&gt;1),100*(Database!LK79/(Database!LK85)),0.0001)</f>
        <v>1E-4</v>
      </c>
      <c r="FG141" s="99">
        <f>IF(AND(Database!LM79&gt;1,Database!LM85&gt;1),100*(Database!LM79/(Database!LM85)),0.0001)</f>
        <v>1E-4</v>
      </c>
      <c r="FH141" s="99">
        <f>IF(AND(Database!LO79&gt;1,Database!LO85&gt;1),100*(Database!LO79/(Database!LO85)),0.0001)</f>
        <v>1E-4</v>
      </c>
      <c r="FI141" s="99">
        <f>IF(AND(Database!LQ79&gt;1,Database!LQ85&gt;1),100*(Database!LQ79/(Database!LQ85)),0.0001)</f>
        <v>1E-4</v>
      </c>
      <c r="FJ141" s="99">
        <f>IF(AND(Database!LS79&gt;1,Database!LS85&gt;1),100*(Database!LS79/(Database!LS85)),0.0001)</f>
        <v>1E-4</v>
      </c>
      <c r="FK141" s="99">
        <f>IF(AND(Database!LU79&gt;1,Database!LU85&gt;1),100*(Database!LU79/(Database!LU85)),0.0001)</f>
        <v>1E-4</v>
      </c>
      <c r="FL141" s="99">
        <f>IF(AND(Database!LW79&gt;1,Database!LW85&gt;1),100*(Database!LW79/(Database!LW85)),0.0001)</f>
        <v>1E-4</v>
      </c>
      <c r="FM141" s="99">
        <f>IF(AND(Database!LY79&gt;1,Database!LY85&gt;1),100*(Database!LY79/(Database!LY85)),0.0001)</f>
        <v>1E-4</v>
      </c>
      <c r="FN141" s="99">
        <f>IF(AND(Database!MA79&gt;1,Database!MA85&gt;1),100*(Database!MA79/(Database!MA85)),0.0001)</f>
        <v>1E-4</v>
      </c>
      <c r="FO141" s="99">
        <f>IF(AND(Database!MC79&gt;1,Database!MC85&gt;1),100*(Database!MC79/(Database!MC85)),0.0001)</f>
        <v>1E-4</v>
      </c>
      <c r="FP141" s="99">
        <f>IF(AND(Database!ME79&gt;1,Database!ME85&gt;1),100*(Database!ME79/(Database!ME85)),0.0001)</f>
        <v>1E-4</v>
      </c>
      <c r="FQ141" s="99">
        <f>IF(AND(Database!MG79&gt;1,Database!MG85&gt;1),100*(Database!MG79/(Database!MG85)),0.0001)</f>
        <v>1E-4</v>
      </c>
      <c r="FR141" s="99">
        <f>IF(AND(Database!MI79&gt;1,Database!MI85&gt;1),100*(Database!MI79/(Database!MI85)),0.0001)</f>
        <v>1E-4</v>
      </c>
      <c r="FS141" s="99">
        <f>IF(AND(Database!MK79&gt;1,Database!MK85&gt;1),100*(Database!MK79/(Database!MK85)),0.0001)</f>
        <v>1E-4</v>
      </c>
      <c r="FT141" s="99">
        <f>IF(AND(Database!MM79&gt;1,Database!MM85&gt;1),100*(Database!MM79/(Database!MM85)),0.0001)</f>
        <v>1E-4</v>
      </c>
      <c r="FU141" s="99">
        <f>IF(AND(Database!MO79&gt;1,Database!MO85&gt;1),100*(Database!MO79/(Database!MO85)),0.0001)</f>
        <v>1E-4</v>
      </c>
      <c r="FV141" s="99">
        <f>IF(AND(Database!MQ79&gt;1,Database!MQ85&gt;1),100*(Database!MQ79/(Database!MQ85)),0.0001)</f>
        <v>1E-4</v>
      </c>
      <c r="FW141" s="99">
        <f>IF(AND(Database!MS79&gt;1,Database!MS85&gt;1),100*(Database!MS79/(Database!MS85)),0.0001)</f>
        <v>1E-4</v>
      </c>
      <c r="FX141" s="99">
        <f>IF(AND(Database!MU79&gt;1,Database!MU85&gt;1),100*(Database!MU79/(Database!MU85)),0.0001)</f>
        <v>1E-4</v>
      </c>
      <c r="FY141" s="99">
        <f>IF(AND(Database!MW79&gt;1,Database!MW85&gt;1),100*(Database!MW79/(Database!MW85)),0.0001)</f>
        <v>1E-4</v>
      </c>
      <c r="FZ141" s="99">
        <f>IF(AND(Database!MY79&gt;1,Database!MY85&gt;1),100*(Database!MY79/(Database!MY85)),0.0001)</f>
        <v>1E-4</v>
      </c>
      <c r="GA141" s="99">
        <f>IF(AND(Database!NA79&gt;1,Database!NA85&gt;1),100*(Database!NA79/(Database!NA85)),0.0001)</f>
        <v>1E-4</v>
      </c>
      <c r="GB141" s="99">
        <f>IF(AND(Database!NC79&gt;1,Database!NC85&gt;1),100*(Database!NC79/(Database!NC85)),0.0001)</f>
        <v>1E-4</v>
      </c>
      <c r="GC141" s="99">
        <f>IF(AND(Database!NE79&gt;1,Database!NE85&gt;1),100*(Database!NE79/(Database!NE85)),0.0001)</f>
        <v>1E-4</v>
      </c>
      <c r="GD141" s="99">
        <f>IF(AND(Database!NG79&gt;1,Database!NG85&gt;1),100*(Database!NG79/(Database!NG85)),0.0001)</f>
        <v>1E-4</v>
      </c>
      <c r="GE141" s="99">
        <f>IF(AND(Database!NI79&gt;1,Database!NI85&gt;1),100*(Database!NI79/(Database!NI85)),0.0001)</f>
        <v>1E-4</v>
      </c>
      <c r="GF141" s="99">
        <f>IF(AND(Database!NK79&gt;1,Database!NK85&gt;1),100*(Database!NK79/(Database!NK85)),0.0001)</f>
        <v>1E-4</v>
      </c>
      <c r="GG141" s="99">
        <f>IF(AND(Database!NM79&gt;1,Database!NM85&gt;1),100*(Database!NM79/(Database!NM85)),0.0001)</f>
        <v>1E-4</v>
      </c>
      <c r="GH141" s="99">
        <f>IF(AND(Database!NO79&gt;1,Database!NO85&gt;1),100*(Database!NO79/(Database!NO85)),0.0001)</f>
        <v>1E-4</v>
      </c>
      <c r="GI141" s="99">
        <f>IF(AND(Database!NQ79&gt;1,Database!NQ85&gt;1),100*(Database!NQ79/(Database!NQ85)),0.0001)</f>
        <v>1E-4</v>
      </c>
      <c r="GJ141" s="99">
        <f>IF(AND(Database!NS79&gt;1,Database!NS85&gt;1),100*(Database!NS79/(Database!NS85)),0.0001)</f>
        <v>1E-4</v>
      </c>
      <c r="GK141" s="99">
        <f>IF(AND(Database!NU79&gt;1,Database!NU85&gt;1),100*(Database!NU79/(Database!NU85)),0.0001)</f>
        <v>1E-4</v>
      </c>
      <c r="GL141" s="99">
        <f>IF(AND(Database!NW79&gt;1,Database!NW85&gt;1),100*(Database!NW79/(Database!NW85)),0.0001)</f>
        <v>1E-4</v>
      </c>
      <c r="GM141" s="99">
        <f>IF(AND(Database!NY79&gt;1,Database!NY85&gt;1),100*(Database!NY79/(Database!NY85)),0.0001)</f>
        <v>1E-4</v>
      </c>
      <c r="GN141" s="99">
        <f>IF(AND(Database!OA79&gt;1,Database!OA85&gt;1),100*(Database!OA79/(Database!OA85)),0.0001)</f>
        <v>1E-4</v>
      </c>
      <c r="GO141" s="99">
        <f>IF(AND(Database!OC79&gt;1,Database!OC85&gt;1),100*(Database!OC79/(Database!OC85)),0.0001)</f>
        <v>1E-4</v>
      </c>
      <c r="GP141" s="99">
        <f>IF(AND(Database!OE79&gt;1,Database!OE85&gt;1),100*(Database!OE79/(Database!OE85)),0.0001)</f>
        <v>1E-4</v>
      </c>
      <c r="GQ141" s="99">
        <f>IF(AND(Database!OG79&gt;1,Database!OG85&gt;1),100*(Database!OG79/(Database!OG85)),0.0001)</f>
        <v>1E-4</v>
      </c>
      <c r="GR141" s="99">
        <f>IF(AND(Database!OI79&gt;1,Database!OI85&gt;1),100*(Database!OI79/(Database!OI85)),0.0001)</f>
        <v>1E-4</v>
      </c>
      <c r="GS141" s="99">
        <f>IF(AND(Database!OK79&gt;1,Database!OK85&gt;1),100*(Database!OK79/(Database!OK85)),0.0001)</f>
        <v>1E-4</v>
      </c>
      <c r="GT141" s="30">
        <f>IF(AND(Database!OM79&gt;1,Database!OM85&gt;1),100*(Database!OM79/(Database!OM85)),0.0001)</f>
        <v>1E-4</v>
      </c>
      <c r="GU141" s="99"/>
      <c r="GV141" s="99"/>
      <c r="GW141" s="99"/>
    </row>
    <row r="142" spans="1:205" ht="18.75" customHeight="1" x14ac:dyDescent="0.4">
      <c r="A142" s="240" t="s">
        <v>152</v>
      </c>
      <c r="B142" s="96"/>
      <c r="C142" s="260">
        <f>IF(AND(Database!E79&gt;1,Database!E86&gt;1),100*(Database!E79/(Database!E86)),0.0001)</f>
        <v>51.408855664174816</v>
      </c>
      <c r="D142" s="99">
        <f>IF(AND(Database!G79&gt;1,Database!G86&gt;1),100*(Database!G79/(Database!G86)),0.0001)</f>
        <v>66.778336125069799</v>
      </c>
      <c r="E142" s="99">
        <f>IF(AND(Database!I79&gt;1,Database!I86&gt;1),100*(Database!I79/(Database!I86)),0.0001)</f>
        <v>74.341419854144959</v>
      </c>
      <c r="F142" s="99">
        <f>IF(AND(Database!K79&gt;1,Database!K86&gt;1),100*(Database!K79/(Database!K86)),0.0001)</f>
        <v>81.639194139194132</v>
      </c>
      <c r="G142" s="99">
        <f>IF(AND(Database!M79&gt;1,Database!M86&gt;1),100*(Database!M79/(Database!M86)),0.0001)</f>
        <v>1E-4</v>
      </c>
      <c r="H142" s="99">
        <f>IF(AND(Database!O79&gt;1,Database!O86&gt;1),100*(Database!O79/(Database!O86)),0.0001)</f>
        <v>1E-4</v>
      </c>
      <c r="I142" s="99">
        <f>IF(AND(Database!Q79&gt;1,Database!Q86&gt;1),100*(Database!Q79/(Database!Q86)),0.0001)</f>
        <v>1E-4</v>
      </c>
      <c r="J142" s="99">
        <f>IF(AND(Database!S79&gt;1,Database!S86&gt;1),100*(Database!S79/(Database!S86)),0.0001)</f>
        <v>1E-4</v>
      </c>
      <c r="K142" s="99">
        <f>IF(AND(Database!U79&gt;1,Database!U86&gt;1),100*(Database!U79/(Database!U86)),0.0001)</f>
        <v>1E-4</v>
      </c>
      <c r="L142" s="99">
        <f>IF(AND(Database!W79&gt;1,Database!W86&gt;1),100*(Database!W79/(Database!W86)),0.0001)</f>
        <v>1E-4</v>
      </c>
      <c r="M142" s="99">
        <f>IF(AND(Database!Y79&gt;1,Database!Y86&gt;1),100*(Database!Y79/(Database!Y86)),0.0001)</f>
        <v>1E-4</v>
      </c>
      <c r="N142" s="99">
        <f>IF(AND(Database!AA79&gt;1,Database!AA86&gt;1),100*(Database!AA79/(Database!AA86)),0.0001)</f>
        <v>1E-4</v>
      </c>
      <c r="O142" s="99">
        <f>IF(AND(Database!AC79&gt;1,Database!AC86&gt;1),100*(Database!AC79/(Database!AC86)),0.0001)</f>
        <v>1E-4</v>
      </c>
      <c r="P142" s="99">
        <f>IF(AND(Database!AE79&gt;1,Database!AE86&gt;1),100*(Database!AE79/(Database!AE86)),0.0001)</f>
        <v>1E-4</v>
      </c>
      <c r="Q142" s="99">
        <f>IF(AND(Database!AG79&gt;1,Database!AG86&gt;1),100*(Database!AG79/(Database!AG86)),0.0001)</f>
        <v>1E-4</v>
      </c>
      <c r="R142" s="99">
        <f>IF(AND(Database!AI79&gt;1,Database!AI86&gt;1),100*(Database!AI79/(Database!AI86)),0.0001)</f>
        <v>1E-4</v>
      </c>
      <c r="S142" s="99">
        <f>IF(AND(Database!AK79&gt;1,Database!AK86&gt;1),100*(Database!AK79/(Database!AK86)),0.0001)</f>
        <v>1E-4</v>
      </c>
      <c r="T142" s="99">
        <f>IF(AND(Database!AM79&gt;1,Database!AM86&gt;1),100*(Database!AM79/(Database!AM86)),0.0001)</f>
        <v>1E-4</v>
      </c>
      <c r="U142" s="99">
        <f>IF(AND(Database!AO79&gt;1,Database!AO86&gt;1),100*(Database!AO79/(Database!AO86)),0.0001)</f>
        <v>1E-4</v>
      </c>
      <c r="V142" s="99">
        <f>IF(AND(Database!AQ79&gt;1,Database!AQ86&gt;1),100*(Database!AQ79/(Database!AQ86)),0.0001)</f>
        <v>1E-4</v>
      </c>
      <c r="W142" s="99">
        <f>IF(AND(Database!AS79&gt;1,Database!AS86&gt;1),100*(Database!AS79/(Database!AS86)),0.0001)</f>
        <v>1E-4</v>
      </c>
      <c r="X142" s="99">
        <f>IF(AND(Database!AU79&gt;1,Database!AU86&gt;1),100*(Database!AU79/(Database!AU86)),0.0001)</f>
        <v>1E-4</v>
      </c>
      <c r="Y142" s="99">
        <f>IF(AND(Database!AW79&gt;1,Database!AW86&gt;1),100*(Database!AW79/(Database!AW86)),0.0001)</f>
        <v>1E-4</v>
      </c>
      <c r="Z142" s="99">
        <f>IF(AND(Database!AY79&gt;1,Database!AY86&gt;1),100*(Database!AY79/(Database!AY86)),0.0001)</f>
        <v>1E-4</v>
      </c>
      <c r="AA142" s="99">
        <f>IF(AND(Database!BA79&gt;1,Database!BA86&gt;1),100*(Database!BA79/(Database!BA86)),0.0001)</f>
        <v>1E-4</v>
      </c>
      <c r="AB142" s="99">
        <f>IF(AND(Database!BC79&gt;1,Database!BC86&gt;1),100*(Database!BC79/(Database!BC86)),0.0001)</f>
        <v>1E-4</v>
      </c>
      <c r="AC142" s="99">
        <f>IF(AND(Database!BE79&gt;1,Database!BE86&gt;1),100*(Database!BE79/(Database!BE86)),0.0001)</f>
        <v>1E-4</v>
      </c>
      <c r="AD142" s="99">
        <f>IF(AND(Database!BG79&gt;1,Database!BG86&gt;1),100*(Database!BG79/(Database!BG86)),0.0001)</f>
        <v>1E-4</v>
      </c>
      <c r="AE142" s="99">
        <f>IF(AND(Database!BI79&gt;1,Database!BI86&gt;1),100*(Database!BI79/(Database!BI86)),0.0001)</f>
        <v>1E-4</v>
      </c>
      <c r="AF142" s="99">
        <f>IF(AND(Database!BK79&gt;1,Database!BK86&gt;1),100*(Database!BK79/(Database!BK86)),0.0001)</f>
        <v>1E-4</v>
      </c>
      <c r="AG142" s="99">
        <f>IF(AND(Database!BM79&gt;1,Database!BM86&gt;1),100*(Database!BM79/(Database!BM86)),0.0001)</f>
        <v>1E-4</v>
      </c>
      <c r="AH142" s="99">
        <f>IF(AND(Database!BO79&gt;1,Database!BO86&gt;1),100*(Database!BO79/(Database!BO86)),0.0001)</f>
        <v>1E-4</v>
      </c>
      <c r="AI142" s="99">
        <f>IF(AND(Database!BQ79&gt;1,Database!BQ86&gt;1),100*(Database!BQ79/(Database!BQ86)),0.0001)</f>
        <v>1E-4</v>
      </c>
      <c r="AJ142" s="99">
        <f>IF(AND(Database!BS79&gt;1,Database!BS86&gt;1),100*(Database!BS79/(Database!BS86)),0.0001)</f>
        <v>1E-4</v>
      </c>
      <c r="AK142" s="99">
        <f>IF(AND(Database!BU79&gt;1,Database!BU86&gt;1),100*(Database!BU79/(Database!BU86)),0.0001)</f>
        <v>1E-4</v>
      </c>
      <c r="AL142" s="99">
        <f>IF(AND(Database!BW79&gt;1,Database!BW86&gt;1),100*(Database!BW79/(Database!BW86)),0.0001)</f>
        <v>1E-4</v>
      </c>
      <c r="AM142" s="99">
        <f>IF(AND(Database!BY79&gt;1,Database!BY86&gt;1),100*(Database!BY79/(Database!BY86)),0.0001)</f>
        <v>1E-4</v>
      </c>
      <c r="AN142" s="99">
        <f>IF(AND(Database!CA79&gt;1,Database!CA86&gt;1),100*(Database!CA79/(Database!CA86)),0.0001)</f>
        <v>1E-4</v>
      </c>
      <c r="AO142" s="99">
        <f>IF(AND(Database!CC79&gt;1,Database!CC86&gt;1),100*(Database!CC79/(Database!CC86)),0.0001)</f>
        <v>1E-4</v>
      </c>
      <c r="AP142" s="99">
        <f>IF(AND(Database!CE79&gt;1,Database!CE86&gt;1),100*(Database!CE79/(Database!CE86)),0.0001)</f>
        <v>1E-4</v>
      </c>
      <c r="AQ142" s="99">
        <f>IF(AND(Database!CG79&gt;1,Database!CG86&gt;1),100*(Database!CG79/(Database!CG86)),0.0001)</f>
        <v>1E-4</v>
      </c>
      <c r="AR142" s="99">
        <f>IF(AND(Database!CI79&gt;1,Database!CI86&gt;1),100*(Database!CI79/(Database!CI86)),0.0001)</f>
        <v>1E-4</v>
      </c>
      <c r="AS142" s="99">
        <f>IF(AND(Database!CK79&gt;1,Database!CK86&gt;1),100*(Database!CK79/(Database!CK86)),0.0001)</f>
        <v>1E-4</v>
      </c>
      <c r="AT142" s="99">
        <f>IF(AND(Database!CM79&gt;1,Database!CM86&gt;1),100*(Database!CM79/(Database!CM86)),0.0001)</f>
        <v>1E-4</v>
      </c>
      <c r="AU142" s="99">
        <f>IF(AND(Database!CO79&gt;1,Database!CO86&gt;1),100*(Database!CO79/(Database!CO86)),0.0001)</f>
        <v>1E-4</v>
      </c>
      <c r="AV142" s="99">
        <f>IF(AND(Database!CQ79&gt;1,Database!CQ86&gt;1),100*(Database!CQ79/(Database!CQ86)),0.0001)</f>
        <v>1E-4</v>
      </c>
      <c r="AW142" s="99">
        <f>IF(AND(Database!CS79&gt;1,Database!CS86&gt;1),100*(Database!CS79/(Database!CS86)),0.0001)</f>
        <v>1E-4</v>
      </c>
      <c r="AX142" s="99">
        <f>IF(AND(Database!CU79&gt;1,Database!CU86&gt;1),100*(Database!CU79/(Database!CU86)),0.0001)</f>
        <v>1E-4</v>
      </c>
      <c r="AY142" s="99">
        <f>IF(AND(Database!CW79&gt;1,Database!CW86&gt;1),100*(Database!CW79/(Database!CW86)),0.0001)</f>
        <v>1E-4</v>
      </c>
      <c r="AZ142" s="99">
        <f>IF(AND(Database!CY79&gt;1,Database!CY86&gt;1),100*(Database!CY79/(Database!CY86)),0.0001)</f>
        <v>1E-4</v>
      </c>
      <c r="BA142" s="99">
        <f>IF(AND(Database!DA79&gt;1,Database!DA86&gt;1),100*(Database!DA79/(Database!DA86)),0.0001)</f>
        <v>1E-4</v>
      </c>
      <c r="BB142" s="99">
        <f>IF(AND(Database!DC79&gt;1,Database!DC86&gt;1),100*(Database!DC79/(Database!DC86)),0.0001)</f>
        <v>1E-4</v>
      </c>
      <c r="BC142" s="99">
        <f>IF(AND(Database!DE79&gt;1,Database!DE86&gt;1),100*(Database!DE79/(Database!DE86)),0.0001)</f>
        <v>1E-4</v>
      </c>
      <c r="BD142" s="99">
        <f>IF(AND(Database!DG79&gt;1,Database!DG86&gt;1),100*(Database!DG79/(Database!DG86)),0.0001)</f>
        <v>1E-4</v>
      </c>
      <c r="BE142" s="99">
        <f>IF(AND(Database!DI79&gt;1,Database!DI86&gt;1),100*(Database!DI79/(Database!DI86)),0.0001)</f>
        <v>1E-4</v>
      </c>
      <c r="BF142" s="99">
        <f>IF(AND(Database!DK79&gt;1,Database!DK86&gt;1),100*(Database!DK79/(Database!DK86)),0.0001)</f>
        <v>1E-4</v>
      </c>
      <c r="BG142" s="99">
        <f>IF(AND(Database!DM79&gt;1,Database!DM86&gt;1),100*(Database!DM79/(Database!DM86)),0.0001)</f>
        <v>1E-4</v>
      </c>
      <c r="BH142" s="99">
        <f>IF(AND(Database!DO79&gt;1,Database!DO86&gt;1),100*(Database!DO79/(Database!DO86)),0.0001)</f>
        <v>1E-4</v>
      </c>
      <c r="BI142" s="99">
        <f>IF(AND(Database!DQ79&gt;1,Database!DQ86&gt;1),100*(Database!DQ79/(Database!DQ86)),0.0001)</f>
        <v>1E-4</v>
      </c>
      <c r="BJ142" s="99">
        <f>IF(AND(Database!DS79&gt;1,Database!DS86&gt;1),100*(Database!DS79/(Database!DS86)),0.0001)</f>
        <v>1E-4</v>
      </c>
      <c r="BK142" s="99">
        <f>IF(AND(Database!DU79&gt;1,Database!DU86&gt;1),100*(Database!DU79/(Database!DU86)),0.0001)</f>
        <v>1E-4</v>
      </c>
      <c r="BL142" s="99">
        <f>IF(AND(Database!DW79&gt;1,Database!DW86&gt;1),100*(Database!DW79/(Database!DW86)),0.0001)</f>
        <v>1E-4</v>
      </c>
      <c r="BM142" s="99">
        <f>IF(AND(Database!DY79&gt;1,Database!DY86&gt;1),100*(Database!DY79/(Database!DY86)),0.0001)</f>
        <v>1E-4</v>
      </c>
      <c r="BN142" s="99">
        <f>IF(AND(Database!EA79&gt;1,Database!EA86&gt;1),100*(Database!EA79/(Database!EA86)),0.0001)</f>
        <v>1E-4</v>
      </c>
      <c r="BO142" s="99">
        <f>IF(AND(Database!EC79&gt;1,Database!EC86&gt;1),100*(Database!EC79/(Database!EC86)),0.0001)</f>
        <v>1E-4</v>
      </c>
      <c r="BP142" s="99">
        <f>IF(AND(Database!EE79&gt;1,Database!EE86&gt;1),100*(Database!EE79/(Database!EE86)),0.0001)</f>
        <v>1E-4</v>
      </c>
      <c r="BQ142" s="99">
        <f>IF(AND(Database!EG79&gt;1,Database!EG86&gt;1),100*(Database!EG79/(Database!EG86)),0.0001)</f>
        <v>1E-4</v>
      </c>
      <c r="BR142" s="99">
        <f>IF(AND(Database!EI79&gt;1,Database!EI86&gt;1),100*(Database!EI79/(Database!EI86)),0.0001)</f>
        <v>1E-4</v>
      </c>
      <c r="BS142" s="99">
        <f>IF(AND(Database!EK79&gt;1,Database!EK86&gt;1),100*(Database!EK79/(Database!EK86)),0.0001)</f>
        <v>1E-4</v>
      </c>
      <c r="BT142" s="99">
        <f>IF(AND(Database!EM79&gt;1,Database!EM86&gt;1),100*(Database!EM79/(Database!EM86)),0.0001)</f>
        <v>1E-4</v>
      </c>
      <c r="BU142" s="99">
        <f>IF(AND(Database!EO79&gt;1,Database!EO86&gt;1),100*(Database!EO79/(Database!EO86)),0.0001)</f>
        <v>1E-4</v>
      </c>
      <c r="BV142" s="99">
        <f>IF(AND(Database!EQ79&gt;1,Database!EQ86&gt;1),100*(Database!EQ79/(Database!EQ86)),0.0001)</f>
        <v>1E-4</v>
      </c>
      <c r="BW142" s="99">
        <f>IF(AND(Database!ES79&gt;1,Database!ES86&gt;1),100*(Database!ES79/(Database!ES86)),0.0001)</f>
        <v>1E-4</v>
      </c>
      <c r="BX142" s="99">
        <f>IF(AND(Database!EU79&gt;1,Database!EU86&gt;1),100*(Database!EU79/(Database!EU86)),0.0001)</f>
        <v>1E-4</v>
      </c>
      <c r="BY142" s="99">
        <f>IF(AND(Database!EW79&gt;1,Database!EW86&gt;1),100*(Database!EW79/(Database!EW86)),0.0001)</f>
        <v>1E-4</v>
      </c>
      <c r="BZ142" s="99">
        <f>IF(AND(Database!EY79&gt;1,Database!EY86&gt;1),100*(Database!EY79/(Database!EY86)),0.0001)</f>
        <v>1E-4</v>
      </c>
      <c r="CA142" s="99">
        <f>IF(AND(Database!FA79&gt;1,Database!FA86&gt;1),100*(Database!FA79/(Database!FA86)),0.0001)</f>
        <v>1E-4</v>
      </c>
      <c r="CB142" s="99">
        <f>IF(AND(Database!FC79&gt;1,Database!FC86&gt;1),100*(Database!FC79/(Database!FC86)),0.0001)</f>
        <v>1E-4</v>
      </c>
      <c r="CC142" s="99">
        <f>IF(AND(Database!FE79&gt;1,Database!FE86&gt;1),100*(Database!FE79/(Database!FE86)),0.0001)</f>
        <v>1E-4</v>
      </c>
      <c r="CD142" s="99">
        <f>IF(AND(Database!FG79&gt;1,Database!FG86&gt;1),100*(Database!FG79/(Database!FG86)),0.0001)</f>
        <v>1E-4</v>
      </c>
      <c r="CE142" s="99">
        <f>IF(AND(Database!FI79&gt;1,Database!FI86&gt;1),100*(Database!FI79/(Database!FI86)),0.0001)</f>
        <v>1E-4</v>
      </c>
      <c r="CF142" s="99">
        <f>IF(AND(Database!FK79&gt;1,Database!FK86&gt;1),100*(Database!FK79/(Database!FK86)),0.0001)</f>
        <v>1E-4</v>
      </c>
      <c r="CG142" s="99">
        <f>IF(AND(Database!FM79&gt;1,Database!FM86&gt;1),100*(Database!FM79/(Database!FM86)),0.0001)</f>
        <v>1E-4</v>
      </c>
      <c r="CH142" s="99">
        <f>IF(AND(Database!FO79&gt;1,Database!FO86&gt;1),100*(Database!FO79/(Database!FO86)),0.0001)</f>
        <v>1E-4</v>
      </c>
      <c r="CI142" s="99">
        <f>IF(AND(Database!FQ79&gt;1,Database!FQ86&gt;1),100*(Database!FQ79/(Database!FQ86)),0.0001)</f>
        <v>1E-4</v>
      </c>
      <c r="CJ142" s="99">
        <f>IF(AND(Database!FS79&gt;1,Database!FS86&gt;1),100*(Database!FS79/(Database!FS86)),0.0001)</f>
        <v>1E-4</v>
      </c>
      <c r="CK142" s="99">
        <f>IF(AND(Database!FU79&gt;1,Database!FU86&gt;1),100*(Database!FU79/(Database!FU86)),0.0001)</f>
        <v>1E-4</v>
      </c>
      <c r="CL142" s="99">
        <f>IF(AND(Database!FW79&gt;1,Database!FW86&gt;1),100*(Database!FW79/(Database!FW86)),0.0001)</f>
        <v>1E-4</v>
      </c>
      <c r="CM142" s="99">
        <f>IF(AND(Database!FY79&gt;1,Database!FY86&gt;1),100*(Database!FY79/(Database!FY86)),0.0001)</f>
        <v>1E-4</v>
      </c>
      <c r="CN142" s="99">
        <f>IF(AND(Database!GA79&gt;1,Database!GA86&gt;1),100*(Database!GA79/(Database!GA86)),0.0001)</f>
        <v>1E-4</v>
      </c>
      <c r="CO142" s="99">
        <f>IF(AND(Database!GC79&gt;1,Database!GC86&gt;1),100*(Database!GC79/(Database!GC86)),0.0001)</f>
        <v>1E-4</v>
      </c>
      <c r="CP142" s="99">
        <f>IF(AND(Database!GE79&gt;1,Database!GE86&gt;1),100*(Database!GE79/(Database!GE86)),0.0001)</f>
        <v>1E-4</v>
      </c>
      <c r="CQ142" s="99">
        <f>IF(AND(Database!GG79&gt;1,Database!GG86&gt;1),100*(Database!GG79/(Database!GG86)),0.0001)</f>
        <v>1E-4</v>
      </c>
      <c r="CR142" s="99">
        <f>IF(AND(Database!GI79&gt;1,Database!GI86&gt;1),100*(Database!GI79/(Database!GI86)),0.0001)</f>
        <v>1E-4</v>
      </c>
      <c r="CS142" s="99">
        <f>IF(AND(Database!GK79&gt;1,Database!GK86&gt;1),100*(Database!GK79/(Database!GK86)),0.0001)</f>
        <v>1E-4</v>
      </c>
      <c r="CT142" s="99">
        <f>IF(AND(Database!GM79&gt;1,Database!GM86&gt;1),100*(Database!GM79/(Database!GM86)),0.0001)</f>
        <v>1E-4</v>
      </c>
      <c r="CU142" s="99">
        <f>IF(AND(Database!GO79&gt;1,Database!GO86&gt;1),100*(Database!GO79/(Database!GO86)),0.0001)</f>
        <v>1E-4</v>
      </c>
      <c r="CV142" s="99">
        <f>IF(AND(Database!GQ79&gt;1,Database!GQ86&gt;1),100*(Database!GQ79/(Database!GQ86)),0.0001)</f>
        <v>1E-4</v>
      </c>
      <c r="CW142" s="99">
        <f>IF(AND(Database!GS79&gt;1,Database!GS86&gt;1),100*(Database!GS79/(Database!GS86)),0.0001)</f>
        <v>1E-4</v>
      </c>
      <c r="CX142" s="99">
        <f>IF(AND(Database!GU79&gt;1,Database!GU86&gt;1),100*(Database!GU79/(Database!GU86)),0.0001)</f>
        <v>1E-4</v>
      </c>
      <c r="CY142" s="99">
        <f>IF(AND(Database!GW79&gt;1,Database!GW86&gt;1),100*(Database!GW79/(Database!GW86)),0.0001)</f>
        <v>1E-4</v>
      </c>
      <c r="CZ142" s="99">
        <f>IF(AND(Database!GY79&gt;1,Database!GY86&gt;1),100*(Database!GY79/(Database!GY86)),0.0001)</f>
        <v>1E-4</v>
      </c>
      <c r="DA142" s="99">
        <f>IF(AND(Database!HA79&gt;1,Database!HA86&gt;1),100*(Database!HA79/(Database!HA86)),0.0001)</f>
        <v>1E-4</v>
      </c>
      <c r="DB142" s="99">
        <f>IF(AND(Database!HC79&gt;1,Database!HC86&gt;1),100*(Database!HC79/(Database!HC86)),0.0001)</f>
        <v>1E-4</v>
      </c>
      <c r="DC142" s="99">
        <f>IF(AND(Database!HE79&gt;1,Database!HE86&gt;1),100*(Database!HE79/(Database!HE86)),0.0001)</f>
        <v>1E-4</v>
      </c>
      <c r="DD142" s="99">
        <f>IF(AND(Database!HG79&gt;1,Database!HG86&gt;1),100*(Database!HG79/(Database!HG86)),0.0001)</f>
        <v>1E-4</v>
      </c>
      <c r="DE142" s="99">
        <f>IF(AND(Database!HI79&gt;1,Database!HI86&gt;1),100*(Database!HI79/(Database!HI86)),0.0001)</f>
        <v>1E-4</v>
      </c>
      <c r="DF142" s="99">
        <f>IF(AND(Database!HK79&gt;1,Database!HK86&gt;1),100*(Database!HK79/(Database!HK86)),0.0001)</f>
        <v>1E-4</v>
      </c>
      <c r="DG142" s="99">
        <f>IF(AND(Database!HM79&gt;1,Database!HM86&gt;1),100*(Database!HM79/(Database!HM86)),0.0001)</f>
        <v>1E-4</v>
      </c>
      <c r="DH142" s="99">
        <f>IF(AND(Database!HO79&gt;1,Database!HO86&gt;1),100*(Database!HO79/(Database!HO86)),0.0001)</f>
        <v>1E-4</v>
      </c>
      <c r="DI142" s="99">
        <f>IF(AND(Database!HQ79&gt;1,Database!HQ86&gt;1),100*(Database!HQ79/(Database!HQ86)),0.0001)</f>
        <v>1E-4</v>
      </c>
      <c r="DJ142" s="99">
        <f>IF(AND(Database!HS79&gt;1,Database!HS86&gt;1),100*(Database!HS79/(Database!HS86)),0.0001)</f>
        <v>1E-4</v>
      </c>
      <c r="DK142" s="99">
        <f>IF(AND(Database!HU79&gt;1,Database!HU86&gt;1),100*(Database!HU79/(Database!HU86)),0.0001)</f>
        <v>1E-4</v>
      </c>
      <c r="DL142" s="99">
        <f>IF(AND(Database!HW79&gt;1,Database!HW86&gt;1),100*(Database!HW79/(Database!HW86)),0.0001)</f>
        <v>1E-4</v>
      </c>
      <c r="DM142" s="99">
        <f>IF(AND(Database!HY79&gt;1,Database!HY86&gt;1),100*(Database!HY79/(Database!HY86)),0.0001)</f>
        <v>1E-4</v>
      </c>
      <c r="DN142" s="99">
        <f>IF(AND(Database!IA79&gt;1,Database!IA86&gt;1),100*(Database!IA79/(Database!IA86)),0.0001)</f>
        <v>1E-4</v>
      </c>
      <c r="DO142" s="99">
        <f>IF(AND(Database!IC79&gt;1,Database!IC86&gt;1),100*(Database!IC79/(Database!IC86)),0.0001)</f>
        <v>1E-4</v>
      </c>
      <c r="DP142" s="99">
        <f>IF(AND(Database!IE79&gt;1,Database!IE86&gt;1),100*(Database!IE79/(Database!IE86)),0.0001)</f>
        <v>1E-4</v>
      </c>
      <c r="DQ142" s="99">
        <f>IF(AND(Database!IG79&gt;1,Database!IG86&gt;1),100*(Database!IG79/(Database!IG86)),0.0001)</f>
        <v>1E-4</v>
      </c>
      <c r="DR142" s="99">
        <f>IF(AND(Database!II79&gt;1,Database!II86&gt;1),100*(Database!II79/(Database!II86)),0.0001)</f>
        <v>1E-4</v>
      </c>
      <c r="DS142" s="99">
        <f>IF(AND(Database!IK79&gt;1,Database!IK86&gt;1),100*(Database!IK79/(Database!IK86)),0.0001)</f>
        <v>1E-4</v>
      </c>
      <c r="DT142" s="99">
        <f>IF(AND(Database!IM79&gt;1,Database!IM86&gt;1),100*(Database!IM79/(Database!IM86)),0.0001)</f>
        <v>1E-4</v>
      </c>
      <c r="DU142" s="99">
        <f>IF(AND(Database!IO79&gt;1,Database!IO86&gt;1),100*(Database!IO79/(Database!IO86)),0.0001)</f>
        <v>1E-4</v>
      </c>
      <c r="DV142" s="99">
        <f>IF(AND(Database!IQ79&gt;1,Database!IQ86&gt;1),100*(Database!IQ79/(Database!IQ86)),0.0001)</f>
        <v>1E-4</v>
      </c>
      <c r="DW142" s="99">
        <f>IF(AND(Database!IS79&gt;1,Database!IS86&gt;1),100*(Database!IS79/(Database!IS86)),0.0001)</f>
        <v>1E-4</v>
      </c>
      <c r="DX142" s="99">
        <f>IF(AND(Database!IU79&gt;1,Database!IU86&gt;1),100*(Database!IU79/(Database!IU86)),0.0001)</f>
        <v>1E-4</v>
      </c>
      <c r="DY142" s="99">
        <f>IF(AND(Database!IW79&gt;1,Database!IW86&gt;1),100*(Database!IW79/(Database!IW86)),0.0001)</f>
        <v>1E-4</v>
      </c>
      <c r="DZ142" s="99">
        <f>IF(AND(Database!IY79&gt;1,Database!IY86&gt;1),100*(Database!IY79/(Database!IY86)),0.0001)</f>
        <v>1E-4</v>
      </c>
      <c r="EA142" s="99">
        <f>IF(AND(Database!JA79&gt;1,Database!JA86&gt;1),100*(Database!JA79/(Database!JA86)),0.0001)</f>
        <v>1E-4</v>
      </c>
      <c r="EB142" s="99">
        <f>IF(AND(Database!JC79&gt;1,Database!JC86&gt;1),100*(Database!JC79/(Database!JC86)),0.0001)</f>
        <v>1E-4</v>
      </c>
      <c r="EC142" s="99">
        <f>IF(AND(Database!JE79&gt;1,Database!JE86&gt;1),100*(Database!JE79/(Database!JE86)),0.0001)</f>
        <v>1E-4</v>
      </c>
      <c r="ED142" s="99">
        <f>IF(AND(Database!JG79&gt;1,Database!JG86&gt;1),100*(Database!JG79/(Database!JG86)),0.0001)</f>
        <v>1E-4</v>
      </c>
      <c r="EE142" s="99">
        <f>IF(AND(Database!JI79&gt;1,Database!JI86&gt;1),100*(Database!JI79/(Database!JI86)),0.0001)</f>
        <v>1E-4</v>
      </c>
      <c r="EF142" s="99">
        <f>IF(AND(Database!JK79&gt;1,Database!JK86&gt;1),100*(Database!JK79/(Database!JK86)),0.0001)</f>
        <v>1E-4</v>
      </c>
      <c r="EG142" s="99">
        <f>IF(AND(Database!JM79&gt;1,Database!JM86&gt;1),100*(Database!JM79/(Database!JM86)),0.0001)</f>
        <v>1E-4</v>
      </c>
      <c r="EH142" s="99">
        <f>IF(AND(Database!JO79&gt;1,Database!JO86&gt;1),100*(Database!JO79/(Database!JO86)),0.0001)</f>
        <v>1E-4</v>
      </c>
      <c r="EI142" s="99">
        <f>IF(AND(Database!JQ79&gt;1,Database!JQ86&gt;1),100*(Database!JQ79/(Database!JQ86)),0.0001)</f>
        <v>1E-4</v>
      </c>
      <c r="EJ142" s="99">
        <f>IF(AND(Database!JS79&gt;1,Database!JS86&gt;1),100*(Database!JS79/(Database!JS86)),0.0001)</f>
        <v>1E-4</v>
      </c>
      <c r="EK142" s="99">
        <f>IF(AND(Database!JU79&gt;1,Database!JU86&gt;1),100*(Database!JU79/(Database!JU86)),0.0001)</f>
        <v>1E-4</v>
      </c>
      <c r="EL142" s="99">
        <f>IF(AND(Database!JW79&gt;1,Database!JW86&gt;1),100*(Database!JW79/(Database!JW86)),0.0001)</f>
        <v>1E-4</v>
      </c>
      <c r="EM142" s="99">
        <f>IF(AND(Database!JY79&gt;1,Database!JY86&gt;1),100*(Database!JY79/(Database!JY86)),0.0001)</f>
        <v>1E-4</v>
      </c>
      <c r="EN142" s="99">
        <f>IF(AND(Database!KA79&gt;1,Database!KA86&gt;1),100*(Database!KA79/(Database!KA86)),0.0001)</f>
        <v>1E-4</v>
      </c>
      <c r="EO142" s="99">
        <f>IF(AND(Database!KC79&gt;1,Database!KC86&gt;1),100*(Database!KC79/(Database!KC86)),0.0001)</f>
        <v>1E-4</v>
      </c>
      <c r="EP142" s="99">
        <f>IF(AND(Database!KE79&gt;1,Database!KE86&gt;1),100*(Database!KE79/(Database!KE86)),0.0001)</f>
        <v>1E-4</v>
      </c>
      <c r="EQ142" s="99">
        <f>IF(AND(Database!KG79&gt;1,Database!KG86&gt;1),100*(Database!KG79/(Database!KG86)),0.0001)</f>
        <v>1E-4</v>
      </c>
      <c r="ER142" s="99">
        <f>IF(AND(Database!KI79&gt;1,Database!KI86&gt;1),100*(Database!KI79/(Database!KI86)),0.0001)</f>
        <v>1E-4</v>
      </c>
      <c r="ES142" s="99">
        <f>IF(AND(Database!KK79&gt;1,Database!KK86&gt;1),100*(Database!KK79/(Database!KK86)),0.0001)</f>
        <v>1E-4</v>
      </c>
      <c r="ET142" s="99">
        <f>IF(AND(Database!KM79&gt;1,Database!KM86&gt;1),100*(Database!KM79/(Database!KM86)),0.0001)</f>
        <v>1E-4</v>
      </c>
      <c r="EU142" s="99">
        <f>IF(AND(Database!KO79&gt;1,Database!KO86&gt;1),100*(Database!KO79/(Database!KO86)),0.0001)</f>
        <v>1E-4</v>
      </c>
      <c r="EV142" s="99">
        <f>IF(AND(Database!KQ79&gt;1,Database!KQ86&gt;1),100*(Database!KQ79/(Database!KQ86)),0.0001)</f>
        <v>1E-4</v>
      </c>
      <c r="EW142" s="99">
        <f>IF(AND(Database!KS79&gt;1,Database!KS86&gt;1),100*(Database!KS79/(Database!KS86)),0.0001)</f>
        <v>1E-4</v>
      </c>
      <c r="EX142" s="99">
        <f>IF(AND(Database!KU79&gt;1,Database!KU86&gt;1),100*(Database!KU79/(Database!KU86)),0.0001)</f>
        <v>1E-4</v>
      </c>
      <c r="EY142" s="99">
        <f>IF(AND(Database!KW79&gt;1,Database!KW86&gt;1),100*(Database!KW79/(Database!KW86)),0.0001)</f>
        <v>1E-4</v>
      </c>
      <c r="EZ142" s="99">
        <f>IF(AND(Database!KY79&gt;1,Database!KY86&gt;1),100*(Database!KY79/(Database!KY86)),0.0001)</f>
        <v>1E-4</v>
      </c>
      <c r="FA142" s="99">
        <f>IF(AND(Database!LA79&gt;1,Database!LA86&gt;1),100*(Database!LA79/(Database!LA86)),0.0001)</f>
        <v>1E-4</v>
      </c>
      <c r="FB142" s="99">
        <f>IF(AND(Database!LC79&gt;1,Database!LC86&gt;1),100*(Database!LC79/(Database!LC86)),0.0001)</f>
        <v>1E-4</v>
      </c>
      <c r="FC142" s="99">
        <f>IF(AND(Database!LE79&gt;1,Database!LE86&gt;1),100*(Database!LE79/(Database!LE86)),0.0001)</f>
        <v>1E-4</v>
      </c>
      <c r="FD142" s="99">
        <f>IF(AND(Database!LG79&gt;1,Database!LG86&gt;1),100*(Database!LG79/(Database!LG86)),0.0001)</f>
        <v>1E-4</v>
      </c>
      <c r="FE142" s="99">
        <f>IF(AND(Database!LI79&gt;1,Database!LI86&gt;1),100*(Database!LI79/(Database!LI86)),0.0001)</f>
        <v>1E-4</v>
      </c>
      <c r="FF142" s="99">
        <f>IF(AND(Database!LK79&gt;1,Database!LK86&gt;1),100*(Database!LK79/(Database!LK86)),0.0001)</f>
        <v>1E-4</v>
      </c>
      <c r="FG142" s="99">
        <f>IF(AND(Database!LM79&gt;1,Database!LM86&gt;1),100*(Database!LM79/(Database!LM86)),0.0001)</f>
        <v>1E-4</v>
      </c>
      <c r="FH142" s="99">
        <f>IF(AND(Database!LO79&gt;1,Database!LO86&gt;1),100*(Database!LO79/(Database!LO86)),0.0001)</f>
        <v>1E-4</v>
      </c>
      <c r="FI142" s="99">
        <f>IF(AND(Database!LQ79&gt;1,Database!LQ86&gt;1),100*(Database!LQ79/(Database!LQ86)),0.0001)</f>
        <v>1E-4</v>
      </c>
      <c r="FJ142" s="99">
        <f>IF(AND(Database!LS79&gt;1,Database!LS86&gt;1),100*(Database!LS79/(Database!LS86)),0.0001)</f>
        <v>1E-4</v>
      </c>
      <c r="FK142" s="99">
        <f>IF(AND(Database!LU79&gt;1,Database!LU86&gt;1),100*(Database!LU79/(Database!LU86)),0.0001)</f>
        <v>1E-4</v>
      </c>
      <c r="FL142" s="99">
        <f>IF(AND(Database!LW79&gt;1,Database!LW86&gt;1),100*(Database!LW79/(Database!LW86)),0.0001)</f>
        <v>1E-4</v>
      </c>
      <c r="FM142" s="99">
        <f>IF(AND(Database!LY79&gt;1,Database!LY86&gt;1),100*(Database!LY79/(Database!LY86)),0.0001)</f>
        <v>1E-4</v>
      </c>
      <c r="FN142" s="99">
        <f>IF(AND(Database!MA79&gt;1,Database!MA86&gt;1),100*(Database!MA79/(Database!MA86)),0.0001)</f>
        <v>1E-4</v>
      </c>
      <c r="FO142" s="99">
        <f>IF(AND(Database!MC79&gt;1,Database!MC86&gt;1),100*(Database!MC79/(Database!MC86)),0.0001)</f>
        <v>1E-4</v>
      </c>
      <c r="FP142" s="99">
        <f>IF(AND(Database!ME79&gt;1,Database!ME86&gt;1),100*(Database!ME79/(Database!ME86)),0.0001)</f>
        <v>1E-4</v>
      </c>
      <c r="FQ142" s="99">
        <f>IF(AND(Database!MG79&gt;1,Database!MG86&gt;1),100*(Database!MG79/(Database!MG86)),0.0001)</f>
        <v>1E-4</v>
      </c>
      <c r="FR142" s="99">
        <f>IF(AND(Database!MI79&gt;1,Database!MI86&gt;1),100*(Database!MI79/(Database!MI86)),0.0001)</f>
        <v>1E-4</v>
      </c>
      <c r="FS142" s="99">
        <f>IF(AND(Database!MK79&gt;1,Database!MK86&gt;1),100*(Database!MK79/(Database!MK86)),0.0001)</f>
        <v>1E-4</v>
      </c>
      <c r="FT142" s="99">
        <f>IF(AND(Database!MM79&gt;1,Database!MM86&gt;1),100*(Database!MM79/(Database!MM86)),0.0001)</f>
        <v>1E-4</v>
      </c>
      <c r="FU142" s="99">
        <f>IF(AND(Database!MO79&gt;1,Database!MO86&gt;1),100*(Database!MO79/(Database!MO86)),0.0001)</f>
        <v>1E-4</v>
      </c>
      <c r="FV142" s="99">
        <f>IF(AND(Database!MQ79&gt;1,Database!MQ86&gt;1),100*(Database!MQ79/(Database!MQ86)),0.0001)</f>
        <v>1E-4</v>
      </c>
      <c r="FW142" s="99">
        <f>IF(AND(Database!MS79&gt;1,Database!MS86&gt;1),100*(Database!MS79/(Database!MS86)),0.0001)</f>
        <v>1E-4</v>
      </c>
      <c r="FX142" s="99">
        <f>IF(AND(Database!MU79&gt;1,Database!MU86&gt;1),100*(Database!MU79/(Database!MU86)),0.0001)</f>
        <v>1E-4</v>
      </c>
      <c r="FY142" s="99">
        <f>IF(AND(Database!MW79&gt;1,Database!MW86&gt;1),100*(Database!MW79/(Database!MW86)),0.0001)</f>
        <v>1E-4</v>
      </c>
      <c r="FZ142" s="99">
        <f>IF(AND(Database!MY79&gt;1,Database!MY86&gt;1),100*(Database!MY79/(Database!MY86)),0.0001)</f>
        <v>1E-4</v>
      </c>
      <c r="GA142" s="99">
        <f>IF(AND(Database!NA79&gt;1,Database!NA86&gt;1),100*(Database!NA79/(Database!NA86)),0.0001)</f>
        <v>1E-4</v>
      </c>
      <c r="GB142" s="99">
        <f>IF(AND(Database!NC79&gt;1,Database!NC86&gt;1),100*(Database!NC79/(Database!NC86)),0.0001)</f>
        <v>1E-4</v>
      </c>
      <c r="GC142" s="99">
        <f>IF(AND(Database!NE79&gt;1,Database!NE86&gt;1),100*(Database!NE79/(Database!NE86)),0.0001)</f>
        <v>1E-4</v>
      </c>
      <c r="GD142" s="99">
        <f>IF(AND(Database!NG79&gt;1,Database!NG86&gt;1),100*(Database!NG79/(Database!NG86)),0.0001)</f>
        <v>1E-4</v>
      </c>
      <c r="GE142" s="99">
        <f>IF(AND(Database!NI79&gt;1,Database!NI86&gt;1),100*(Database!NI79/(Database!NI86)),0.0001)</f>
        <v>1E-4</v>
      </c>
      <c r="GF142" s="99">
        <f>IF(AND(Database!NK79&gt;1,Database!NK86&gt;1),100*(Database!NK79/(Database!NK86)),0.0001)</f>
        <v>1E-4</v>
      </c>
      <c r="GG142" s="99">
        <f>IF(AND(Database!NM79&gt;1,Database!NM86&gt;1),100*(Database!NM79/(Database!NM86)),0.0001)</f>
        <v>1E-4</v>
      </c>
      <c r="GH142" s="99">
        <f>IF(AND(Database!NO79&gt;1,Database!NO86&gt;1),100*(Database!NO79/(Database!NO86)),0.0001)</f>
        <v>1E-4</v>
      </c>
      <c r="GI142" s="99">
        <f>IF(AND(Database!NQ79&gt;1,Database!NQ86&gt;1),100*(Database!NQ79/(Database!NQ86)),0.0001)</f>
        <v>1E-4</v>
      </c>
      <c r="GJ142" s="99">
        <f>IF(AND(Database!NS79&gt;1,Database!NS86&gt;1),100*(Database!NS79/(Database!NS86)),0.0001)</f>
        <v>1E-4</v>
      </c>
      <c r="GK142" s="99">
        <f>IF(AND(Database!NU79&gt;1,Database!NU86&gt;1),100*(Database!NU79/(Database!NU86)),0.0001)</f>
        <v>1E-4</v>
      </c>
      <c r="GL142" s="99">
        <f>IF(AND(Database!NW79&gt;1,Database!NW86&gt;1),100*(Database!NW79/(Database!NW86)),0.0001)</f>
        <v>1E-4</v>
      </c>
      <c r="GM142" s="99">
        <f>IF(AND(Database!NY79&gt;1,Database!NY86&gt;1),100*(Database!NY79/(Database!NY86)),0.0001)</f>
        <v>1E-4</v>
      </c>
      <c r="GN142" s="99">
        <f>IF(AND(Database!OA79&gt;1,Database!OA86&gt;1),100*(Database!OA79/(Database!OA86)),0.0001)</f>
        <v>1E-4</v>
      </c>
      <c r="GO142" s="99">
        <f>IF(AND(Database!OC79&gt;1,Database!OC86&gt;1),100*(Database!OC79/(Database!OC86)),0.0001)</f>
        <v>1E-4</v>
      </c>
      <c r="GP142" s="99">
        <f>IF(AND(Database!OE79&gt;1,Database!OE86&gt;1),100*(Database!OE79/(Database!OE86)),0.0001)</f>
        <v>1E-4</v>
      </c>
      <c r="GQ142" s="99">
        <f>IF(AND(Database!OG79&gt;1,Database!OG86&gt;1),100*(Database!OG79/(Database!OG86)),0.0001)</f>
        <v>1E-4</v>
      </c>
      <c r="GR142" s="99">
        <f>IF(AND(Database!OI79&gt;1,Database!OI86&gt;1),100*(Database!OI79/(Database!OI86)),0.0001)</f>
        <v>1E-4</v>
      </c>
      <c r="GS142" s="99">
        <f>IF(AND(Database!OK79&gt;1,Database!OK86&gt;1),100*(Database!OK79/(Database!OK86)),0.0001)</f>
        <v>1E-4</v>
      </c>
      <c r="GT142" s="30">
        <f>IF(AND(Database!OM79&gt;1,Database!OM86&gt;1),100*(Database!OM79/(Database!OM86)),0.0001)</f>
        <v>1E-4</v>
      </c>
      <c r="GU142" s="99"/>
      <c r="GV142" s="99"/>
      <c r="GW142" s="99"/>
    </row>
    <row r="143" spans="1:205" ht="18.75" customHeight="1" x14ac:dyDescent="0.4">
      <c r="A143" s="240" t="s">
        <v>153</v>
      </c>
      <c r="B143" s="96"/>
      <c r="C143" s="260">
        <f>IF(AND(Database!E80&gt;1,Database!E87&gt;1),100*(Database!E80/(Database!E87)),0.0001)</f>
        <v>102.20103545459791</v>
      </c>
      <c r="D143" s="99">
        <f>IF(AND(Database!G80&gt;1,Database!G87&gt;1),100*(Database!G80/(Database!G87)),0.0001)</f>
        <v>60.915406905701218</v>
      </c>
      <c r="E143" s="99">
        <f>IF(AND(Database!I80&gt;1,Database!I87&gt;1),100*(Database!I80/(Database!I87)),0.0001)</f>
        <v>72.643026584481305</v>
      </c>
      <c r="F143" s="99">
        <f>IF(AND(Database!K80&gt;1,Database!K87&gt;1),100*(Database!K80/(Database!K87)),0.0001)</f>
        <v>79.477800719237564</v>
      </c>
      <c r="G143" s="99">
        <f>IF(AND(Database!M80&gt;1,Database!M87&gt;1),100*(Database!M80/(Database!M87)),0.0001)</f>
        <v>1E-4</v>
      </c>
      <c r="H143" s="99">
        <f>IF(AND(Database!O80&gt;1,Database!O87&gt;1),100*(Database!O80/(Database!O87)),0.0001)</f>
        <v>1E-4</v>
      </c>
      <c r="I143" s="99">
        <f>IF(AND(Database!Q80&gt;1,Database!Q87&gt;1),100*(Database!Q80/(Database!Q87)),0.0001)</f>
        <v>1E-4</v>
      </c>
      <c r="J143" s="99">
        <f>IF(AND(Database!S80&gt;1,Database!S87&gt;1),100*(Database!S80/(Database!S87)),0.0001)</f>
        <v>1E-4</v>
      </c>
      <c r="K143" s="99">
        <f>IF(AND(Database!U80&gt;1,Database!U87&gt;1),100*(Database!U80/(Database!U87)),0.0001)</f>
        <v>1E-4</v>
      </c>
      <c r="L143" s="99">
        <f>IF(AND(Database!W80&gt;1,Database!W87&gt;1),100*(Database!W80/(Database!W87)),0.0001)</f>
        <v>1E-4</v>
      </c>
      <c r="M143" s="99">
        <f>IF(AND(Database!Y80&gt;1,Database!Y87&gt;1),100*(Database!Y80/(Database!Y87)),0.0001)</f>
        <v>1E-4</v>
      </c>
      <c r="N143" s="99">
        <f>IF(AND(Database!AA80&gt;1,Database!AA87&gt;1),100*(Database!AA80/(Database!AA87)),0.0001)</f>
        <v>1E-4</v>
      </c>
      <c r="O143" s="99">
        <f>IF(AND(Database!AC80&gt;1,Database!AC87&gt;1),100*(Database!AC80/(Database!AC87)),0.0001)</f>
        <v>1E-4</v>
      </c>
      <c r="P143" s="99">
        <f>IF(AND(Database!AE80&gt;1,Database!AE87&gt;1),100*(Database!AE80/(Database!AE87)),0.0001)</f>
        <v>1E-4</v>
      </c>
      <c r="Q143" s="99">
        <f>IF(AND(Database!AG80&gt;1,Database!AG87&gt;1),100*(Database!AG80/(Database!AG87)),0.0001)</f>
        <v>1E-4</v>
      </c>
      <c r="R143" s="99">
        <f>IF(AND(Database!AI80&gt;1,Database!AI87&gt;1),100*(Database!AI80/(Database!AI87)),0.0001)</f>
        <v>1E-4</v>
      </c>
      <c r="S143" s="99">
        <f>IF(AND(Database!AK80&gt;1,Database!AK87&gt;1),100*(Database!AK80/(Database!AK87)),0.0001)</f>
        <v>1E-4</v>
      </c>
      <c r="T143" s="99">
        <f>IF(AND(Database!AM80&gt;1,Database!AM87&gt;1),100*(Database!AM80/(Database!AM87)),0.0001)</f>
        <v>1E-4</v>
      </c>
      <c r="U143" s="99">
        <f>IF(AND(Database!AO80&gt;1,Database!AO87&gt;1),100*(Database!AO80/(Database!AO87)),0.0001)</f>
        <v>1E-4</v>
      </c>
      <c r="V143" s="99">
        <f>IF(AND(Database!AQ80&gt;1,Database!AQ87&gt;1),100*(Database!AQ80/(Database!AQ87)),0.0001)</f>
        <v>1E-4</v>
      </c>
      <c r="W143" s="99">
        <f>IF(AND(Database!AS80&gt;1,Database!AS87&gt;1),100*(Database!AS80/(Database!AS87)),0.0001)</f>
        <v>1E-4</v>
      </c>
      <c r="X143" s="99">
        <f>IF(AND(Database!AU80&gt;1,Database!AU87&gt;1),100*(Database!AU80/(Database!AU87)),0.0001)</f>
        <v>1E-4</v>
      </c>
      <c r="Y143" s="99">
        <f>IF(AND(Database!AW80&gt;1,Database!AW87&gt;1),100*(Database!AW80/(Database!AW87)),0.0001)</f>
        <v>1E-4</v>
      </c>
      <c r="Z143" s="99">
        <f>IF(AND(Database!AY80&gt;1,Database!AY87&gt;1),100*(Database!AY80/(Database!AY87)),0.0001)</f>
        <v>1E-4</v>
      </c>
      <c r="AA143" s="99">
        <f>IF(AND(Database!BA80&gt;1,Database!BA87&gt;1),100*(Database!BA80/(Database!BA87)),0.0001)</f>
        <v>1E-4</v>
      </c>
      <c r="AB143" s="99">
        <f>IF(AND(Database!BC80&gt;1,Database!BC87&gt;1),100*(Database!BC80/(Database!BC87)),0.0001)</f>
        <v>1E-4</v>
      </c>
      <c r="AC143" s="99">
        <f>IF(AND(Database!BE80&gt;1,Database!BE87&gt;1),100*(Database!BE80/(Database!BE87)),0.0001)</f>
        <v>1E-4</v>
      </c>
      <c r="AD143" s="99">
        <f>IF(AND(Database!BG80&gt;1,Database!BG87&gt;1),100*(Database!BG80/(Database!BG87)),0.0001)</f>
        <v>1E-4</v>
      </c>
      <c r="AE143" s="99">
        <f>IF(AND(Database!BI80&gt;1,Database!BI87&gt;1),100*(Database!BI80/(Database!BI87)),0.0001)</f>
        <v>1E-4</v>
      </c>
      <c r="AF143" s="99">
        <f>IF(AND(Database!BK80&gt;1,Database!BK87&gt;1),100*(Database!BK80/(Database!BK87)),0.0001)</f>
        <v>1E-4</v>
      </c>
      <c r="AG143" s="99">
        <f>IF(AND(Database!BM80&gt;1,Database!BM87&gt;1),100*(Database!BM80/(Database!BM87)),0.0001)</f>
        <v>1E-4</v>
      </c>
      <c r="AH143" s="99">
        <f>IF(AND(Database!BO80&gt;1,Database!BO87&gt;1),100*(Database!BO80/(Database!BO87)),0.0001)</f>
        <v>1E-4</v>
      </c>
      <c r="AI143" s="99">
        <f>IF(AND(Database!BQ80&gt;1,Database!BQ87&gt;1),100*(Database!BQ80/(Database!BQ87)),0.0001)</f>
        <v>1E-4</v>
      </c>
      <c r="AJ143" s="99">
        <f>IF(AND(Database!BS80&gt;1,Database!BS87&gt;1),100*(Database!BS80/(Database!BS87)),0.0001)</f>
        <v>1E-4</v>
      </c>
      <c r="AK143" s="99">
        <f>IF(AND(Database!BU80&gt;1,Database!BU87&gt;1),100*(Database!BU80/(Database!BU87)),0.0001)</f>
        <v>1E-4</v>
      </c>
      <c r="AL143" s="99">
        <f>IF(AND(Database!BW80&gt;1,Database!BW87&gt;1),100*(Database!BW80/(Database!BW87)),0.0001)</f>
        <v>1E-4</v>
      </c>
      <c r="AM143" s="99">
        <f>IF(AND(Database!BY80&gt;1,Database!BY87&gt;1),100*(Database!BY80/(Database!BY87)),0.0001)</f>
        <v>1E-4</v>
      </c>
      <c r="AN143" s="99">
        <f>IF(AND(Database!CA80&gt;1,Database!CA87&gt;1),100*(Database!CA80/(Database!CA87)),0.0001)</f>
        <v>1E-4</v>
      </c>
      <c r="AO143" s="99">
        <f>IF(AND(Database!CC80&gt;1,Database!CC87&gt;1),100*(Database!CC80/(Database!CC87)),0.0001)</f>
        <v>1E-4</v>
      </c>
      <c r="AP143" s="99">
        <f>IF(AND(Database!CE80&gt;1,Database!CE87&gt;1),100*(Database!CE80/(Database!CE87)),0.0001)</f>
        <v>1E-4</v>
      </c>
      <c r="AQ143" s="99">
        <f>IF(AND(Database!CG80&gt;1,Database!CG87&gt;1),100*(Database!CG80/(Database!CG87)),0.0001)</f>
        <v>1E-4</v>
      </c>
      <c r="AR143" s="99">
        <f>IF(AND(Database!CI80&gt;1,Database!CI87&gt;1),100*(Database!CI80/(Database!CI87)),0.0001)</f>
        <v>1E-4</v>
      </c>
      <c r="AS143" s="99">
        <f>IF(AND(Database!CK80&gt;1,Database!CK87&gt;1),100*(Database!CK80/(Database!CK87)),0.0001)</f>
        <v>1E-4</v>
      </c>
      <c r="AT143" s="99">
        <f>IF(AND(Database!CM80&gt;1,Database!CM87&gt;1),100*(Database!CM80/(Database!CM87)),0.0001)</f>
        <v>1E-4</v>
      </c>
      <c r="AU143" s="99">
        <f>IF(AND(Database!CO80&gt;1,Database!CO87&gt;1),100*(Database!CO80/(Database!CO87)),0.0001)</f>
        <v>1E-4</v>
      </c>
      <c r="AV143" s="99">
        <f>IF(AND(Database!CQ80&gt;1,Database!CQ87&gt;1),100*(Database!CQ80/(Database!CQ87)),0.0001)</f>
        <v>1E-4</v>
      </c>
      <c r="AW143" s="99">
        <f>IF(AND(Database!CS80&gt;1,Database!CS87&gt;1),100*(Database!CS80/(Database!CS87)),0.0001)</f>
        <v>1E-4</v>
      </c>
      <c r="AX143" s="99">
        <f>IF(AND(Database!CU80&gt;1,Database!CU87&gt;1),100*(Database!CU80/(Database!CU87)),0.0001)</f>
        <v>1E-4</v>
      </c>
      <c r="AY143" s="99">
        <f>IF(AND(Database!CW80&gt;1,Database!CW87&gt;1),100*(Database!CW80/(Database!CW87)),0.0001)</f>
        <v>1E-4</v>
      </c>
      <c r="AZ143" s="99">
        <f>IF(AND(Database!CY80&gt;1,Database!CY87&gt;1),100*(Database!CY80/(Database!CY87)),0.0001)</f>
        <v>1E-4</v>
      </c>
      <c r="BA143" s="99">
        <f>IF(AND(Database!DA80&gt;1,Database!DA87&gt;1),100*(Database!DA80/(Database!DA87)),0.0001)</f>
        <v>1E-4</v>
      </c>
      <c r="BB143" s="99">
        <f>IF(AND(Database!DC80&gt;1,Database!DC87&gt;1),100*(Database!DC80/(Database!DC87)),0.0001)</f>
        <v>1E-4</v>
      </c>
      <c r="BC143" s="99">
        <f>IF(AND(Database!DE80&gt;1,Database!DE87&gt;1),100*(Database!DE80/(Database!DE87)),0.0001)</f>
        <v>1E-4</v>
      </c>
      <c r="BD143" s="99">
        <f>IF(AND(Database!DG80&gt;1,Database!DG87&gt;1),100*(Database!DG80/(Database!DG87)),0.0001)</f>
        <v>1E-4</v>
      </c>
      <c r="BE143" s="99">
        <f>IF(AND(Database!DI80&gt;1,Database!DI87&gt;1),100*(Database!DI80/(Database!DI87)),0.0001)</f>
        <v>1E-4</v>
      </c>
      <c r="BF143" s="99">
        <f>IF(AND(Database!DK80&gt;1,Database!DK87&gt;1),100*(Database!DK80/(Database!DK87)),0.0001)</f>
        <v>1E-4</v>
      </c>
      <c r="BG143" s="99">
        <f>IF(AND(Database!DM80&gt;1,Database!DM87&gt;1),100*(Database!DM80/(Database!DM87)),0.0001)</f>
        <v>1E-4</v>
      </c>
      <c r="BH143" s="99">
        <f>IF(AND(Database!DO80&gt;1,Database!DO87&gt;1),100*(Database!DO80/(Database!DO87)),0.0001)</f>
        <v>1E-4</v>
      </c>
      <c r="BI143" s="99">
        <f>IF(AND(Database!DQ80&gt;1,Database!DQ87&gt;1),100*(Database!DQ80/(Database!DQ87)),0.0001)</f>
        <v>1E-4</v>
      </c>
      <c r="BJ143" s="99">
        <f>IF(AND(Database!DS80&gt;1,Database!DS87&gt;1),100*(Database!DS80/(Database!DS87)),0.0001)</f>
        <v>1E-4</v>
      </c>
      <c r="BK143" s="99">
        <f>IF(AND(Database!DU80&gt;1,Database!DU87&gt;1),100*(Database!DU80/(Database!DU87)),0.0001)</f>
        <v>1E-4</v>
      </c>
      <c r="BL143" s="99">
        <f>IF(AND(Database!DW80&gt;1,Database!DW87&gt;1),100*(Database!DW80/(Database!DW87)),0.0001)</f>
        <v>1E-4</v>
      </c>
      <c r="BM143" s="99">
        <f>IF(AND(Database!DY80&gt;1,Database!DY87&gt;1),100*(Database!DY80/(Database!DY87)),0.0001)</f>
        <v>1E-4</v>
      </c>
      <c r="BN143" s="99">
        <f>IF(AND(Database!EA80&gt;1,Database!EA87&gt;1),100*(Database!EA80/(Database!EA87)),0.0001)</f>
        <v>1E-4</v>
      </c>
      <c r="BO143" s="99">
        <f>IF(AND(Database!EC80&gt;1,Database!EC87&gt;1),100*(Database!EC80/(Database!EC87)),0.0001)</f>
        <v>1E-4</v>
      </c>
      <c r="BP143" s="99">
        <f>IF(AND(Database!EE80&gt;1,Database!EE87&gt;1),100*(Database!EE80/(Database!EE87)),0.0001)</f>
        <v>1E-4</v>
      </c>
      <c r="BQ143" s="99">
        <f>IF(AND(Database!EG80&gt;1,Database!EG87&gt;1),100*(Database!EG80/(Database!EG87)),0.0001)</f>
        <v>1E-4</v>
      </c>
      <c r="BR143" s="99">
        <f>IF(AND(Database!EI80&gt;1,Database!EI87&gt;1),100*(Database!EI80/(Database!EI87)),0.0001)</f>
        <v>1E-4</v>
      </c>
      <c r="BS143" s="99">
        <f>IF(AND(Database!EK80&gt;1,Database!EK87&gt;1),100*(Database!EK80/(Database!EK87)),0.0001)</f>
        <v>1E-4</v>
      </c>
      <c r="BT143" s="99">
        <f>IF(AND(Database!EM80&gt;1,Database!EM87&gt;1),100*(Database!EM80/(Database!EM87)),0.0001)</f>
        <v>1E-4</v>
      </c>
      <c r="BU143" s="99">
        <f>IF(AND(Database!EO80&gt;1,Database!EO87&gt;1),100*(Database!EO80/(Database!EO87)),0.0001)</f>
        <v>1E-4</v>
      </c>
      <c r="BV143" s="99">
        <f>IF(AND(Database!EQ80&gt;1,Database!EQ87&gt;1),100*(Database!EQ80/(Database!EQ87)),0.0001)</f>
        <v>1E-4</v>
      </c>
      <c r="BW143" s="99">
        <f>IF(AND(Database!ES80&gt;1,Database!ES87&gt;1),100*(Database!ES80/(Database!ES87)),0.0001)</f>
        <v>1E-4</v>
      </c>
      <c r="BX143" s="99">
        <f>IF(AND(Database!EU80&gt;1,Database!EU87&gt;1),100*(Database!EU80/(Database!EU87)),0.0001)</f>
        <v>1E-4</v>
      </c>
      <c r="BY143" s="99">
        <f>IF(AND(Database!EW80&gt;1,Database!EW87&gt;1),100*(Database!EW80/(Database!EW87)),0.0001)</f>
        <v>1E-4</v>
      </c>
      <c r="BZ143" s="99">
        <f>IF(AND(Database!EY80&gt;1,Database!EY87&gt;1),100*(Database!EY80/(Database!EY87)),0.0001)</f>
        <v>1E-4</v>
      </c>
      <c r="CA143" s="99">
        <f>IF(AND(Database!FA80&gt;1,Database!FA87&gt;1),100*(Database!FA80/(Database!FA87)),0.0001)</f>
        <v>1E-4</v>
      </c>
      <c r="CB143" s="99">
        <f>IF(AND(Database!FC80&gt;1,Database!FC87&gt;1),100*(Database!FC80/(Database!FC87)),0.0001)</f>
        <v>1E-4</v>
      </c>
      <c r="CC143" s="99">
        <f>IF(AND(Database!FE80&gt;1,Database!FE87&gt;1),100*(Database!FE80/(Database!FE87)),0.0001)</f>
        <v>1E-4</v>
      </c>
      <c r="CD143" s="99">
        <f>IF(AND(Database!FG80&gt;1,Database!FG87&gt;1),100*(Database!FG80/(Database!FG87)),0.0001)</f>
        <v>1E-4</v>
      </c>
      <c r="CE143" s="99">
        <f>IF(AND(Database!FI80&gt;1,Database!FI87&gt;1),100*(Database!FI80/(Database!FI87)),0.0001)</f>
        <v>1E-4</v>
      </c>
      <c r="CF143" s="99">
        <f>IF(AND(Database!FK80&gt;1,Database!FK87&gt;1),100*(Database!FK80/(Database!FK87)),0.0001)</f>
        <v>1E-4</v>
      </c>
      <c r="CG143" s="99">
        <f>IF(AND(Database!FM80&gt;1,Database!FM87&gt;1),100*(Database!FM80/(Database!FM87)),0.0001)</f>
        <v>1E-4</v>
      </c>
      <c r="CH143" s="99">
        <f>IF(AND(Database!FO80&gt;1,Database!FO87&gt;1),100*(Database!FO80/(Database!FO87)),0.0001)</f>
        <v>1E-4</v>
      </c>
      <c r="CI143" s="99">
        <f>IF(AND(Database!FQ80&gt;1,Database!FQ87&gt;1),100*(Database!FQ80/(Database!FQ87)),0.0001)</f>
        <v>1E-4</v>
      </c>
      <c r="CJ143" s="99">
        <f>IF(AND(Database!FS80&gt;1,Database!FS87&gt;1),100*(Database!FS80/(Database!FS87)),0.0001)</f>
        <v>1E-4</v>
      </c>
      <c r="CK143" s="99">
        <f>IF(AND(Database!FU80&gt;1,Database!FU87&gt;1),100*(Database!FU80/(Database!FU87)),0.0001)</f>
        <v>1E-4</v>
      </c>
      <c r="CL143" s="99">
        <f>IF(AND(Database!FW80&gt;1,Database!FW87&gt;1),100*(Database!FW80/(Database!FW87)),0.0001)</f>
        <v>1E-4</v>
      </c>
      <c r="CM143" s="99">
        <f>IF(AND(Database!FY80&gt;1,Database!FY87&gt;1),100*(Database!FY80/(Database!FY87)),0.0001)</f>
        <v>1E-4</v>
      </c>
      <c r="CN143" s="99">
        <f>IF(AND(Database!GA80&gt;1,Database!GA87&gt;1),100*(Database!GA80/(Database!GA87)),0.0001)</f>
        <v>1E-4</v>
      </c>
      <c r="CO143" s="99">
        <f>IF(AND(Database!GC80&gt;1,Database!GC87&gt;1),100*(Database!GC80/(Database!GC87)),0.0001)</f>
        <v>1E-4</v>
      </c>
      <c r="CP143" s="99">
        <f>IF(AND(Database!GE80&gt;1,Database!GE87&gt;1),100*(Database!GE80/(Database!GE87)),0.0001)</f>
        <v>1E-4</v>
      </c>
      <c r="CQ143" s="99">
        <f>IF(AND(Database!GG80&gt;1,Database!GG87&gt;1),100*(Database!GG80/(Database!GG87)),0.0001)</f>
        <v>1E-4</v>
      </c>
      <c r="CR143" s="99">
        <f>IF(AND(Database!GI80&gt;1,Database!GI87&gt;1),100*(Database!GI80/(Database!GI87)),0.0001)</f>
        <v>1E-4</v>
      </c>
      <c r="CS143" s="99">
        <f>IF(AND(Database!GK80&gt;1,Database!GK87&gt;1),100*(Database!GK80/(Database!GK87)),0.0001)</f>
        <v>1E-4</v>
      </c>
      <c r="CT143" s="99">
        <f>IF(AND(Database!GM80&gt;1,Database!GM87&gt;1),100*(Database!GM80/(Database!GM87)),0.0001)</f>
        <v>1E-4</v>
      </c>
      <c r="CU143" s="99">
        <f>IF(AND(Database!GO80&gt;1,Database!GO87&gt;1),100*(Database!GO80/(Database!GO87)),0.0001)</f>
        <v>1E-4</v>
      </c>
      <c r="CV143" s="99">
        <f>IF(AND(Database!GQ80&gt;1,Database!GQ87&gt;1),100*(Database!GQ80/(Database!GQ87)),0.0001)</f>
        <v>1E-4</v>
      </c>
      <c r="CW143" s="99">
        <f>IF(AND(Database!GS80&gt;1,Database!GS87&gt;1),100*(Database!GS80/(Database!GS87)),0.0001)</f>
        <v>1E-4</v>
      </c>
      <c r="CX143" s="99">
        <f>IF(AND(Database!GU80&gt;1,Database!GU87&gt;1),100*(Database!GU80/(Database!GU87)),0.0001)</f>
        <v>1E-4</v>
      </c>
      <c r="CY143" s="99">
        <f>IF(AND(Database!GW80&gt;1,Database!GW87&gt;1),100*(Database!GW80/(Database!GW87)),0.0001)</f>
        <v>1E-4</v>
      </c>
      <c r="CZ143" s="99">
        <f>IF(AND(Database!GY80&gt;1,Database!GY87&gt;1),100*(Database!GY80/(Database!GY87)),0.0001)</f>
        <v>1E-4</v>
      </c>
      <c r="DA143" s="99">
        <f>IF(AND(Database!HA80&gt;1,Database!HA87&gt;1),100*(Database!HA80/(Database!HA87)),0.0001)</f>
        <v>1E-4</v>
      </c>
      <c r="DB143" s="99">
        <f>IF(AND(Database!HC80&gt;1,Database!HC87&gt;1),100*(Database!HC80/(Database!HC87)),0.0001)</f>
        <v>1E-4</v>
      </c>
      <c r="DC143" s="99">
        <f>IF(AND(Database!HE80&gt;1,Database!HE87&gt;1),100*(Database!HE80/(Database!HE87)),0.0001)</f>
        <v>1E-4</v>
      </c>
      <c r="DD143" s="99">
        <f>IF(AND(Database!HG80&gt;1,Database!HG87&gt;1),100*(Database!HG80/(Database!HG87)),0.0001)</f>
        <v>1E-4</v>
      </c>
      <c r="DE143" s="99">
        <f>IF(AND(Database!HI80&gt;1,Database!HI87&gt;1),100*(Database!HI80/(Database!HI87)),0.0001)</f>
        <v>1E-4</v>
      </c>
      <c r="DF143" s="99">
        <f>IF(AND(Database!HK80&gt;1,Database!HK87&gt;1),100*(Database!HK80/(Database!HK87)),0.0001)</f>
        <v>1E-4</v>
      </c>
      <c r="DG143" s="99">
        <f>IF(AND(Database!HM80&gt;1,Database!HM87&gt;1),100*(Database!HM80/(Database!HM87)),0.0001)</f>
        <v>1E-4</v>
      </c>
      <c r="DH143" s="99">
        <f>IF(AND(Database!HO80&gt;1,Database!HO87&gt;1),100*(Database!HO80/(Database!HO87)),0.0001)</f>
        <v>1E-4</v>
      </c>
      <c r="DI143" s="99">
        <f>IF(AND(Database!HQ80&gt;1,Database!HQ87&gt;1),100*(Database!HQ80/(Database!HQ87)),0.0001)</f>
        <v>1E-4</v>
      </c>
      <c r="DJ143" s="99">
        <f>IF(AND(Database!HS80&gt;1,Database!HS87&gt;1),100*(Database!HS80/(Database!HS87)),0.0001)</f>
        <v>1E-4</v>
      </c>
      <c r="DK143" s="99">
        <f>IF(AND(Database!HU80&gt;1,Database!HU87&gt;1),100*(Database!HU80/(Database!HU87)),0.0001)</f>
        <v>1E-4</v>
      </c>
      <c r="DL143" s="99">
        <f>IF(AND(Database!HW80&gt;1,Database!HW87&gt;1),100*(Database!HW80/(Database!HW87)),0.0001)</f>
        <v>1E-4</v>
      </c>
      <c r="DM143" s="99">
        <f>IF(AND(Database!HY80&gt;1,Database!HY87&gt;1),100*(Database!HY80/(Database!HY87)),0.0001)</f>
        <v>1E-4</v>
      </c>
      <c r="DN143" s="99">
        <f>IF(AND(Database!IA80&gt;1,Database!IA87&gt;1),100*(Database!IA80/(Database!IA87)),0.0001)</f>
        <v>1E-4</v>
      </c>
      <c r="DO143" s="99">
        <f>IF(AND(Database!IC80&gt;1,Database!IC87&gt;1),100*(Database!IC80/(Database!IC87)),0.0001)</f>
        <v>1E-4</v>
      </c>
      <c r="DP143" s="99">
        <f>IF(AND(Database!IE80&gt;1,Database!IE87&gt;1),100*(Database!IE80/(Database!IE87)),0.0001)</f>
        <v>1E-4</v>
      </c>
      <c r="DQ143" s="99">
        <f>IF(AND(Database!IG80&gt;1,Database!IG87&gt;1),100*(Database!IG80/(Database!IG87)),0.0001)</f>
        <v>1E-4</v>
      </c>
      <c r="DR143" s="99">
        <f>IF(AND(Database!II80&gt;1,Database!II87&gt;1),100*(Database!II80/(Database!II87)),0.0001)</f>
        <v>1E-4</v>
      </c>
      <c r="DS143" s="99">
        <f>IF(AND(Database!IK80&gt;1,Database!IK87&gt;1),100*(Database!IK80/(Database!IK87)),0.0001)</f>
        <v>1E-4</v>
      </c>
      <c r="DT143" s="99">
        <f>IF(AND(Database!IM80&gt;1,Database!IM87&gt;1),100*(Database!IM80/(Database!IM87)),0.0001)</f>
        <v>1E-4</v>
      </c>
      <c r="DU143" s="99">
        <f>IF(AND(Database!IO80&gt;1,Database!IO87&gt;1),100*(Database!IO80/(Database!IO87)),0.0001)</f>
        <v>1E-4</v>
      </c>
      <c r="DV143" s="99">
        <f>IF(AND(Database!IQ80&gt;1,Database!IQ87&gt;1),100*(Database!IQ80/(Database!IQ87)),0.0001)</f>
        <v>1E-4</v>
      </c>
      <c r="DW143" s="99">
        <f>IF(AND(Database!IS80&gt;1,Database!IS87&gt;1),100*(Database!IS80/(Database!IS87)),0.0001)</f>
        <v>1E-4</v>
      </c>
      <c r="DX143" s="99">
        <f>IF(AND(Database!IU80&gt;1,Database!IU87&gt;1),100*(Database!IU80/(Database!IU87)),0.0001)</f>
        <v>1E-4</v>
      </c>
      <c r="DY143" s="99">
        <f>IF(AND(Database!IW80&gt;1,Database!IW87&gt;1),100*(Database!IW80/(Database!IW87)),0.0001)</f>
        <v>1E-4</v>
      </c>
      <c r="DZ143" s="99">
        <f>IF(AND(Database!IY80&gt;1,Database!IY87&gt;1),100*(Database!IY80/(Database!IY87)),0.0001)</f>
        <v>1E-4</v>
      </c>
      <c r="EA143" s="99">
        <f>IF(AND(Database!JA80&gt;1,Database!JA87&gt;1),100*(Database!JA80/(Database!JA87)),0.0001)</f>
        <v>1E-4</v>
      </c>
      <c r="EB143" s="99">
        <f>IF(AND(Database!JC80&gt;1,Database!JC87&gt;1),100*(Database!JC80/(Database!JC87)),0.0001)</f>
        <v>1E-4</v>
      </c>
      <c r="EC143" s="99">
        <f>IF(AND(Database!JE80&gt;1,Database!JE87&gt;1),100*(Database!JE80/(Database!JE87)),0.0001)</f>
        <v>1E-4</v>
      </c>
      <c r="ED143" s="99">
        <f>IF(AND(Database!JG80&gt;1,Database!JG87&gt;1),100*(Database!JG80/(Database!JG87)),0.0001)</f>
        <v>1E-4</v>
      </c>
      <c r="EE143" s="99">
        <f>IF(AND(Database!JI80&gt;1,Database!JI87&gt;1),100*(Database!JI80/(Database!JI87)),0.0001)</f>
        <v>1E-4</v>
      </c>
      <c r="EF143" s="99">
        <f>IF(AND(Database!JK80&gt;1,Database!JK87&gt;1),100*(Database!JK80/(Database!JK87)),0.0001)</f>
        <v>1E-4</v>
      </c>
      <c r="EG143" s="99">
        <f>IF(AND(Database!JM80&gt;1,Database!JM87&gt;1),100*(Database!JM80/(Database!JM87)),0.0001)</f>
        <v>1E-4</v>
      </c>
      <c r="EH143" s="99">
        <f>IF(AND(Database!JO80&gt;1,Database!JO87&gt;1),100*(Database!JO80/(Database!JO87)),0.0001)</f>
        <v>1E-4</v>
      </c>
      <c r="EI143" s="99">
        <f>IF(AND(Database!JQ80&gt;1,Database!JQ87&gt;1),100*(Database!JQ80/(Database!JQ87)),0.0001)</f>
        <v>1E-4</v>
      </c>
      <c r="EJ143" s="99">
        <f>IF(AND(Database!JS80&gt;1,Database!JS87&gt;1),100*(Database!JS80/(Database!JS87)),0.0001)</f>
        <v>1E-4</v>
      </c>
      <c r="EK143" s="99">
        <f>IF(AND(Database!JU80&gt;1,Database!JU87&gt;1),100*(Database!JU80/(Database!JU87)),0.0001)</f>
        <v>1E-4</v>
      </c>
      <c r="EL143" s="99">
        <f>IF(AND(Database!JW80&gt;1,Database!JW87&gt;1),100*(Database!JW80/(Database!JW87)),0.0001)</f>
        <v>1E-4</v>
      </c>
      <c r="EM143" s="99">
        <f>IF(AND(Database!JY80&gt;1,Database!JY87&gt;1),100*(Database!JY80/(Database!JY87)),0.0001)</f>
        <v>1E-4</v>
      </c>
      <c r="EN143" s="99">
        <f>IF(AND(Database!KA80&gt;1,Database!KA87&gt;1),100*(Database!KA80/(Database!KA87)),0.0001)</f>
        <v>1E-4</v>
      </c>
      <c r="EO143" s="99">
        <f>IF(AND(Database!KC80&gt;1,Database!KC87&gt;1),100*(Database!KC80/(Database!KC87)),0.0001)</f>
        <v>1E-4</v>
      </c>
      <c r="EP143" s="99">
        <f>IF(AND(Database!KE80&gt;1,Database!KE87&gt;1),100*(Database!KE80/(Database!KE87)),0.0001)</f>
        <v>1E-4</v>
      </c>
      <c r="EQ143" s="99">
        <f>IF(AND(Database!KG80&gt;1,Database!KG87&gt;1),100*(Database!KG80/(Database!KG87)),0.0001)</f>
        <v>1E-4</v>
      </c>
      <c r="ER143" s="99">
        <f>IF(AND(Database!KI80&gt;1,Database!KI87&gt;1),100*(Database!KI80/(Database!KI87)),0.0001)</f>
        <v>1E-4</v>
      </c>
      <c r="ES143" s="99">
        <f>IF(AND(Database!KK80&gt;1,Database!KK87&gt;1),100*(Database!KK80/(Database!KK87)),0.0001)</f>
        <v>1E-4</v>
      </c>
      <c r="ET143" s="99">
        <f>IF(AND(Database!KM80&gt;1,Database!KM87&gt;1),100*(Database!KM80/(Database!KM87)),0.0001)</f>
        <v>1E-4</v>
      </c>
      <c r="EU143" s="99">
        <f>IF(AND(Database!KO80&gt;1,Database!KO87&gt;1),100*(Database!KO80/(Database!KO87)),0.0001)</f>
        <v>1E-4</v>
      </c>
      <c r="EV143" s="99">
        <f>IF(AND(Database!KQ80&gt;1,Database!KQ87&gt;1),100*(Database!KQ80/(Database!KQ87)),0.0001)</f>
        <v>1E-4</v>
      </c>
      <c r="EW143" s="99">
        <f>IF(AND(Database!KS80&gt;1,Database!KS87&gt;1),100*(Database!KS80/(Database!KS87)),0.0001)</f>
        <v>1E-4</v>
      </c>
      <c r="EX143" s="99">
        <f>IF(AND(Database!KU80&gt;1,Database!KU87&gt;1),100*(Database!KU80/(Database!KU87)),0.0001)</f>
        <v>1E-4</v>
      </c>
      <c r="EY143" s="99">
        <f>IF(AND(Database!KW80&gt;1,Database!KW87&gt;1),100*(Database!KW80/(Database!KW87)),0.0001)</f>
        <v>1E-4</v>
      </c>
      <c r="EZ143" s="99">
        <f>IF(AND(Database!KY80&gt;1,Database!KY87&gt;1),100*(Database!KY80/(Database!KY87)),0.0001)</f>
        <v>1E-4</v>
      </c>
      <c r="FA143" s="99">
        <f>IF(AND(Database!LA80&gt;1,Database!LA87&gt;1),100*(Database!LA80/(Database!LA87)),0.0001)</f>
        <v>1E-4</v>
      </c>
      <c r="FB143" s="99">
        <f>IF(AND(Database!LC80&gt;1,Database!LC87&gt;1),100*(Database!LC80/(Database!LC87)),0.0001)</f>
        <v>1E-4</v>
      </c>
      <c r="FC143" s="99">
        <f>IF(AND(Database!LE80&gt;1,Database!LE87&gt;1),100*(Database!LE80/(Database!LE87)),0.0001)</f>
        <v>1E-4</v>
      </c>
      <c r="FD143" s="99">
        <f>IF(AND(Database!LG80&gt;1,Database!LG87&gt;1),100*(Database!LG80/(Database!LG87)),0.0001)</f>
        <v>1E-4</v>
      </c>
      <c r="FE143" s="99">
        <f>IF(AND(Database!LI80&gt;1,Database!LI87&gt;1),100*(Database!LI80/(Database!LI87)),0.0001)</f>
        <v>1E-4</v>
      </c>
      <c r="FF143" s="99">
        <f>IF(AND(Database!LK80&gt;1,Database!LK87&gt;1),100*(Database!LK80/(Database!LK87)),0.0001)</f>
        <v>1E-4</v>
      </c>
      <c r="FG143" s="99">
        <f>IF(AND(Database!LM80&gt;1,Database!LM87&gt;1),100*(Database!LM80/(Database!LM87)),0.0001)</f>
        <v>1E-4</v>
      </c>
      <c r="FH143" s="99">
        <f>IF(AND(Database!LO80&gt;1,Database!LO87&gt;1),100*(Database!LO80/(Database!LO87)),0.0001)</f>
        <v>1E-4</v>
      </c>
      <c r="FI143" s="99">
        <f>IF(AND(Database!LQ80&gt;1,Database!LQ87&gt;1),100*(Database!LQ80/(Database!LQ87)),0.0001)</f>
        <v>1E-4</v>
      </c>
      <c r="FJ143" s="99">
        <f>IF(AND(Database!LS80&gt;1,Database!LS87&gt;1),100*(Database!LS80/(Database!LS87)),0.0001)</f>
        <v>1E-4</v>
      </c>
      <c r="FK143" s="99">
        <f>IF(AND(Database!LU80&gt;1,Database!LU87&gt;1),100*(Database!LU80/(Database!LU87)),0.0001)</f>
        <v>1E-4</v>
      </c>
      <c r="FL143" s="99">
        <f>IF(AND(Database!LW80&gt;1,Database!LW87&gt;1),100*(Database!LW80/(Database!LW87)),0.0001)</f>
        <v>1E-4</v>
      </c>
      <c r="FM143" s="99">
        <f>IF(AND(Database!LY80&gt;1,Database!LY87&gt;1),100*(Database!LY80/(Database!LY87)),0.0001)</f>
        <v>1E-4</v>
      </c>
      <c r="FN143" s="99">
        <f>IF(AND(Database!MA80&gt;1,Database!MA87&gt;1),100*(Database!MA80/(Database!MA87)),0.0001)</f>
        <v>1E-4</v>
      </c>
      <c r="FO143" s="99">
        <f>IF(AND(Database!MC80&gt;1,Database!MC87&gt;1),100*(Database!MC80/(Database!MC87)),0.0001)</f>
        <v>1E-4</v>
      </c>
      <c r="FP143" s="99">
        <f>IF(AND(Database!ME80&gt;1,Database!ME87&gt;1),100*(Database!ME80/(Database!ME87)),0.0001)</f>
        <v>1E-4</v>
      </c>
      <c r="FQ143" s="99">
        <f>IF(AND(Database!MG80&gt;1,Database!MG87&gt;1),100*(Database!MG80/(Database!MG87)),0.0001)</f>
        <v>1E-4</v>
      </c>
      <c r="FR143" s="99">
        <f>IF(AND(Database!MI80&gt;1,Database!MI87&gt;1),100*(Database!MI80/(Database!MI87)),0.0001)</f>
        <v>1E-4</v>
      </c>
      <c r="FS143" s="99">
        <f>IF(AND(Database!MK80&gt;1,Database!MK87&gt;1),100*(Database!MK80/(Database!MK87)),0.0001)</f>
        <v>1E-4</v>
      </c>
      <c r="FT143" s="99">
        <f>IF(AND(Database!MM80&gt;1,Database!MM87&gt;1),100*(Database!MM80/(Database!MM87)),0.0001)</f>
        <v>1E-4</v>
      </c>
      <c r="FU143" s="99">
        <f>IF(AND(Database!MO80&gt;1,Database!MO87&gt;1),100*(Database!MO80/(Database!MO87)),0.0001)</f>
        <v>1E-4</v>
      </c>
      <c r="FV143" s="99">
        <f>IF(AND(Database!MQ80&gt;1,Database!MQ87&gt;1),100*(Database!MQ80/(Database!MQ87)),0.0001)</f>
        <v>1E-4</v>
      </c>
      <c r="FW143" s="99">
        <f>IF(AND(Database!MS80&gt;1,Database!MS87&gt;1),100*(Database!MS80/(Database!MS87)),0.0001)</f>
        <v>1E-4</v>
      </c>
      <c r="FX143" s="99">
        <f>IF(AND(Database!MU80&gt;1,Database!MU87&gt;1),100*(Database!MU80/(Database!MU87)),0.0001)</f>
        <v>1E-4</v>
      </c>
      <c r="FY143" s="99">
        <f>IF(AND(Database!MW80&gt;1,Database!MW87&gt;1),100*(Database!MW80/(Database!MW87)),0.0001)</f>
        <v>1E-4</v>
      </c>
      <c r="FZ143" s="99">
        <f>IF(AND(Database!MY80&gt;1,Database!MY87&gt;1),100*(Database!MY80/(Database!MY87)),0.0001)</f>
        <v>1E-4</v>
      </c>
      <c r="GA143" s="99">
        <f>IF(AND(Database!NA80&gt;1,Database!NA87&gt;1),100*(Database!NA80/(Database!NA87)),0.0001)</f>
        <v>1E-4</v>
      </c>
      <c r="GB143" s="99">
        <f>IF(AND(Database!NC80&gt;1,Database!NC87&gt;1),100*(Database!NC80/(Database!NC87)),0.0001)</f>
        <v>1E-4</v>
      </c>
      <c r="GC143" s="99">
        <f>IF(AND(Database!NE80&gt;1,Database!NE87&gt;1),100*(Database!NE80/(Database!NE87)),0.0001)</f>
        <v>1E-4</v>
      </c>
      <c r="GD143" s="99">
        <f>IF(AND(Database!NG80&gt;1,Database!NG87&gt;1),100*(Database!NG80/(Database!NG87)),0.0001)</f>
        <v>1E-4</v>
      </c>
      <c r="GE143" s="99">
        <f>IF(AND(Database!NI80&gt;1,Database!NI87&gt;1),100*(Database!NI80/(Database!NI87)),0.0001)</f>
        <v>1E-4</v>
      </c>
      <c r="GF143" s="99">
        <f>IF(AND(Database!NK80&gt;1,Database!NK87&gt;1),100*(Database!NK80/(Database!NK87)),0.0001)</f>
        <v>1E-4</v>
      </c>
      <c r="GG143" s="99">
        <f>IF(AND(Database!NM80&gt;1,Database!NM87&gt;1),100*(Database!NM80/(Database!NM87)),0.0001)</f>
        <v>1E-4</v>
      </c>
      <c r="GH143" s="99">
        <f>IF(AND(Database!NO80&gt;1,Database!NO87&gt;1),100*(Database!NO80/(Database!NO87)),0.0001)</f>
        <v>1E-4</v>
      </c>
      <c r="GI143" s="99">
        <f>IF(AND(Database!NQ80&gt;1,Database!NQ87&gt;1),100*(Database!NQ80/(Database!NQ87)),0.0001)</f>
        <v>1E-4</v>
      </c>
      <c r="GJ143" s="99">
        <f>IF(AND(Database!NS80&gt;1,Database!NS87&gt;1),100*(Database!NS80/(Database!NS87)),0.0001)</f>
        <v>1E-4</v>
      </c>
      <c r="GK143" s="99">
        <f>IF(AND(Database!NU80&gt;1,Database!NU87&gt;1),100*(Database!NU80/(Database!NU87)),0.0001)</f>
        <v>1E-4</v>
      </c>
      <c r="GL143" s="99">
        <f>IF(AND(Database!NW80&gt;1,Database!NW87&gt;1),100*(Database!NW80/(Database!NW87)),0.0001)</f>
        <v>1E-4</v>
      </c>
      <c r="GM143" s="99">
        <f>IF(AND(Database!NY80&gt;1,Database!NY87&gt;1),100*(Database!NY80/(Database!NY87)),0.0001)</f>
        <v>1E-4</v>
      </c>
      <c r="GN143" s="99">
        <f>IF(AND(Database!OA80&gt;1,Database!OA87&gt;1),100*(Database!OA80/(Database!OA87)),0.0001)</f>
        <v>1E-4</v>
      </c>
      <c r="GO143" s="99">
        <f>IF(AND(Database!OC80&gt;1,Database!OC87&gt;1),100*(Database!OC80/(Database!OC87)),0.0001)</f>
        <v>1E-4</v>
      </c>
      <c r="GP143" s="99">
        <f>IF(AND(Database!OE80&gt;1,Database!OE87&gt;1),100*(Database!OE80/(Database!OE87)),0.0001)</f>
        <v>1E-4</v>
      </c>
      <c r="GQ143" s="99">
        <f>IF(AND(Database!OG80&gt;1,Database!OG87&gt;1),100*(Database!OG80/(Database!OG87)),0.0001)</f>
        <v>1E-4</v>
      </c>
      <c r="GR143" s="99">
        <f>IF(AND(Database!OI80&gt;1,Database!OI87&gt;1),100*(Database!OI80/(Database!OI87)),0.0001)</f>
        <v>1E-4</v>
      </c>
      <c r="GS143" s="99">
        <f>IF(AND(Database!OK80&gt;1,Database!OK87&gt;1),100*(Database!OK80/(Database!OK87)),0.0001)</f>
        <v>1E-4</v>
      </c>
      <c r="GT143" s="30">
        <f>IF(AND(Database!OM80&gt;1,Database!OM87&gt;1),100*(Database!OM80/(Database!OM87)),0.0001)</f>
        <v>1E-4</v>
      </c>
      <c r="GU143" s="99"/>
      <c r="GV143" s="99"/>
      <c r="GW143" s="99"/>
    </row>
    <row r="144" spans="1:205" ht="18.75" customHeight="1" x14ac:dyDescent="0.4">
      <c r="A144" s="240" t="s">
        <v>154</v>
      </c>
      <c r="B144" s="96"/>
      <c r="C144" s="260">
        <f>IF(AND(Database!E82&gt;1,Database!E14&gt;1),100*(Database!E82/(Database!E14)),0.0001)</f>
        <v>202.35290582366727</v>
      </c>
      <c r="D144" s="99">
        <f>IF(AND(Database!G82&gt;1,Database!G14&gt;1),100*(Database!G82/(Database!G14)),0.0001)</f>
        <v>67.004902519667084</v>
      </c>
      <c r="E144" s="99">
        <f>IF(AND(Database!I82&gt;1,Database!I14&gt;1),100*(Database!I82/(Database!I14)),0.0001)</f>
        <v>99.534000178089101</v>
      </c>
      <c r="F144" s="99">
        <f>IF(AND(Database!K82&gt;1,Database!K14&gt;1),100*(Database!K82/(Database!K14)),0.0001)</f>
        <v>113.94473271388922</v>
      </c>
      <c r="G144" s="99">
        <f>IF(AND(Database!M82&gt;1,Database!M14&gt;1),100*(Database!M82/(Database!M14)),0.0001)</f>
        <v>1E-4</v>
      </c>
      <c r="H144" s="99">
        <f>IF(AND(Database!O82&gt;1,Database!O14&gt;1),100*(Database!O82/(Database!O14)),0.0001)</f>
        <v>1E-4</v>
      </c>
      <c r="I144" s="99">
        <f>IF(AND(Database!Q82&gt;1,Database!Q14&gt;1),100*(Database!Q82/(Database!Q14)),0.0001)</f>
        <v>1E-4</v>
      </c>
      <c r="J144" s="99">
        <f>IF(AND(Database!S82&gt;1,Database!S14&gt;1),100*(Database!S82/(Database!S14)),0.0001)</f>
        <v>1E-4</v>
      </c>
      <c r="K144" s="99">
        <f>IF(AND(Database!U82&gt;1,Database!U14&gt;1),100*(Database!U82/(Database!U14)),0.0001)</f>
        <v>1E-4</v>
      </c>
      <c r="L144" s="99">
        <f>IF(AND(Database!W82&gt;1,Database!W14&gt;1),100*(Database!W82/(Database!W14)),0.0001)</f>
        <v>1E-4</v>
      </c>
      <c r="M144" s="99">
        <f>IF(AND(Database!Y82&gt;1,Database!Y14&gt;1),100*(Database!Y82/(Database!Y14)),0.0001)</f>
        <v>1E-4</v>
      </c>
      <c r="N144" s="99">
        <f>IF(AND(Database!AA82&gt;1,Database!AA14&gt;1),100*(Database!AA82/(Database!AA14)),0.0001)</f>
        <v>1E-4</v>
      </c>
      <c r="O144" s="99">
        <f>IF(AND(Database!AC82&gt;1,Database!AC14&gt;1),100*(Database!AC82/(Database!AC14)),0.0001)</f>
        <v>1E-4</v>
      </c>
      <c r="P144" s="99">
        <f>IF(AND(Database!AE82&gt;1,Database!AE14&gt;1),100*(Database!AE82/(Database!AE14)),0.0001)</f>
        <v>1E-4</v>
      </c>
      <c r="Q144" s="99">
        <f>IF(AND(Database!AG82&gt;1,Database!AG14&gt;1),100*(Database!AG82/(Database!AG14)),0.0001)</f>
        <v>1E-4</v>
      </c>
      <c r="R144" s="99">
        <f>IF(AND(Database!AI82&gt;1,Database!AI14&gt;1),100*(Database!AI82/(Database!AI14)),0.0001)</f>
        <v>1E-4</v>
      </c>
      <c r="S144" s="99">
        <f>IF(AND(Database!AK82&gt;1,Database!AK14&gt;1),100*(Database!AK82/(Database!AK14)),0.0001)</f>
        <v>1E-4</v>
      </c>
      <c r="T144" s="99">
        <f>IF(AND(Database!AM82&gt;1,Database!AM14&gt;1),100*(Database!AM82/(Database!AM14)),0.0001)</f>
        <v>1E-4</v>
      </c>
      <c r="U144" s="99">
        <f>IF(AND(Database!AO82&gt;1,Database!AO14&gt;1),100*(Database!AO82/(Database!AO14)),0.0001)</f>
        <v>1E-4</v>
      </c>
      <c r="V144" s="99">
        <f>IF(AND(Database!AQ82&gt;1,Database!AQ14&gt;1),100*(Database!AQ82/(Database!AQ14)),0.0001)</f>
        <v>1E-4</v>
      </c>
      <c r="W144" s="99">
        <f>IF(AND(Database!AS82&gt;1,Database!AS14&gt;1),100*(Database!AS82/(Database!AS14)),0.0001)</f>
        <v>1E-4</v>
      </c>
      <c r="X144" s="99">
        <f>IF(AND(Database!AU82&gt;1,Database!AU14&gt;1),100*(Database!AU82/(Database!AU14)),0.0001)</f>
        <v>1E-4</v>
      </c>
      <c r="Y144" s="99">
        <f>IF(AND(Database!AW82&gt;1,Database!AW14&gt;1),100*(Database!AW82/(Database!AW14)),0.0001)</f>
        <v>1E-4</v>
      </c>
      <c r="Z144" s="99">
        <f>IF(AND(Database!AY82&gt;1,Database!AY14&gt;1),100*(Database!AY82/(Database!AY14)),0.0001)</f>
        <v>1E-4</v>
      </c>
      <c r="AA144" s="99">
        <f>IF(AND(Database!BA82&gt;1,Database!BA14&gt;1),100*(Database!BA82/(Database!BA14)),0.0001)</f>
        <v>1E-4</v>
      </c>
      <c r="AB144" s="99">
        <f>IF(AND(Database!BC82&gt;1,Database!BC14&gt;1),100*(Database!BC82/(Database!BC14)),0.0001)</f>
        <v>1E-4</v>
      </c>
      <c r="AC144" s="99">
        <f>IF(AND(Database!BE82&gt;1,Database!BE14&gt;1),100*(Database!BE82/(Database!BE14)),0.0001)</f>
        <v>1E-4</v>
      </c>
      <c r="AD144" s="99">
        <f>IF(AND(Database!BG82&gt;1,Database!BG14&gt;1),100*(Database!BG82/(Database!BG14)),0.0001)</f>
        <v>1E-4</v>
      </c>
      <c r="AE144" s="99">
        <f>IF(AND(Database!BI82&gt;1,Database!BI14&gt;1),100*(Database!BI82/(Database!BI14)),0.0001)</f>
        <v>1E-4</v>
      </c>
      <c r="AF144" s="99">
        <f>IF(AND(Database!BK82&gt;1,Database!BK14&gt;1),100*(Database!BK82/(Database!BK14)),0.0001)</f>
        <v>1E-4</v>
      </c>
      <c r="AG144" s="99">
        <f>IF(AND(Database!BM82&gt;1,Database!BM14&gt;1),100*(Database!BM82/(Database!BM14)),0.0001)</f>
        <v>1E-4</v>
      </c>
      <c r="AH144" s="99">
        <f>IF(AND(Database!BO82&gt;1,Database!BO14&gt;1),100*(Database!BO82/(Database!BO14)),0.0001)</f>
        <v>1E-4</v>
      </c>
      <c r="AI144" s="99">
        <f>IF(AND(Database!BQ82&gt;1,Database!BQ14&gt;1),100*(Database!BQ82/(Database!BQ14)),0.0001)</f>
        <v>1E-4</v>
      </c>
      <c r="AJ144" s="99">
        <f>IF(AND(Database!BS82&gt;1,Database!BS14&gt;1),100*(Database!BS82/(Database!BS14)),0.0001)</f>
        <v>1E-4</v>
      </c>
      <c r="AK144" s="99">
        <f>IF(AND(Database!BU82&gt;1,Database!BU14&gt;1),100*(Database!BU82/(Database!BU14)),0.0001)</f>
        <v>1E-4</v>
      </c>
      <c r="AL144" s="99">
        <f>IF(AND(Database!BW82&gt;1,Database!BW14&gt;1),100*(Database!BW82/(Database!BW14)),0.0001)</f>
        <v>1E-4</v>
      </c>
      <c r="AM144" s="99">
        <f>IF(AND(Database!BY82&gt;1,Database!BY14&gt;1),100*(Database!BY82/(Database!BY14)),0.0001)</f>
        <v>1E-4</v>
      </c>
      <c r="AN144" s="99">
        <f>IF(AND(Database!CA82&gt;1,Database!CA14&gt;1),100*(Database!CA82/(Database!CA14)),0.0001)</f>
        <v>1E-4</v>
      </c>
      <c r="AO144" s="99">
        <f>IF(AND(Database!CC82&gt;1,Database!CC14&gt;1),100*(Database!CC82/(Database!CC14)),0.0001)</f>
        <v>1E-4</v>
      </c>
      <c r="AP144" s="99">
        <f>IF(AND(Database!CE82&gt;1,Database!CE14&gt;1),100*(Database!CE82/(Database!CE14)),0.0001)</f>
        <v>1E-4</v>
      </c>
      <c r="AQ144" s="99">
        <f>IF(AND(Database!CG82&gt;1,Database!CG14&gt;1),100*(Database!CG82/(Database!CG14)),0.0001)</f>
        <v>1E-4</v>
      </c>
      <c r="AR144" s="99">
        <f>IF(AND(Database!CI82&gt;1,Database!CI14&gt;1),100*(Database!CI82/(Database!CI14)),0.0001)</f>
        <v>1E-4</v>
      </c>
      <c r="AS144" s="99">
        <f>IF(AND(Database!CK82&gt;1,Database!CK14&gt;1),100*(Database!CK82/(Database!CK14)),0.0001)</f>
        <v>1E-4</v>
      </c>
      <c r="AT144" s="99">
        <f>IF(AND(Database!CM82&gt;1,Database!CM14&gt;1),100*(Database!CM82/(Database!CM14)),0.0001)</f>
        <v>1E-4</v>
      </c>
      <c r="AU144" s="99">
        <f>IF(AND(Database!CO82&gt;1,Database!CO14&gt;1),100*(Database!CO82/(Database!CO14)),0.0001)</f>
        <v>1E-4</v>
      </c>
      <c r="AV144" s="99">
        <f>IF(AND(Database!CQ82&gt;1,Database!CQ14&gt;1),100*(Database!CQ82/(Database!CQ14)),0.0001)</f>
        <v>1E-4</v>
      </c>
      <c r="AW144" s="99">
        <f>IF(AND(Database!CS82&gt;1,Database!CS14&gt;1),100*(Database!CS82/(Database!CS14)),0.0001)</f>
        <v>1E-4</v>
      </c>
      <c r="AX144" s="99">
        <f>IF(AND(Database!CU82&gt;1,Database!CU14&gt;1),100*(Database!CU82/(Database!CU14)),0.0001)</f>
        <v>1E-4</v>
      </c>
      <c r="AY144" s="99">
        <f>IF(AND(Database!CW82&gt;1,Database!CW14&gt;1),100*(Database!CW82/(Database!CW14)),0.0001)</f>
        <v>1E-4</v>
      </c>
      <c r="AZ144" s="99">
        <f>IF(AND(Database!CY82&gt;1,Database!CY14&gt;1),100*(Database!CY82/(Database!CY14)),0.0001)</f>
        <v>1E-4</v>
      </c>
      <c r="BA144" s="99">
        <f>IF(AND(Database!DA82&gt;1,Database!DA14&gt;1),100*(Database!DA82/(Database!DA14)),0.0001)</f>
        <v>1E-4</v>
      </c>
      <c r="BB144" s="99">
        <f>IF(AND(Database!DC82&gt;1,Database!DC14&gt;1),100*(Database!DC82/(Database!DC14)),0.0001)</f>
        <v>1E-4</v>
      </c>
      <c r="BC144" s="99">
        <f>IF(AND(Database!DE82&gt;1,Database!DE14&gt;1),100*(Database!DE82/(Database!DE14)),0.0001)</f>
        <v>1E-4</v>
      </c>
      <c r="BD144" s="99">
        <f>IF(AND(Database!DG82&gt;1,Database!DG14&gt;1),100*(Database!DG82/(Database!DG14)),0.0001)</f>
        <v>1E-4</v>
      </c>
      <c r="BE144" s="99">
        <f>IF(AND(Database!DI82&gt;1,Database!DI14&gt;1),100*(Database!DI82/(Database!DI14)),0.0001)</f>
        <v>1E-4</v>
      </c>
      <c r="BF144" s="99">
        <f>IF(AND(Database!DK82&gt;1,Database!DK14&gt;1),100*(Database!DK82/(Database!DK14)),0.0001)</f>
        <v>1E-4</v>
      </c>
      <c r="BG144" s="99">
        <f>IF(AND(Database!DM82&gt;1,Database!DM14&gt;1),100*(Database!DM82/(Database!DM14)),0.0001)</f>
        <v>1E-4</v>
      </c>
      <c r="BH144" s="99">
        <f>IF(AND(Database!DO82&gt;1,Database!DO14&gt;1),100*(Database!DO82/(Database!DO14)),0.0001)</f>
        <v>1E-4</v>
      </c>
      <c r="BI144" s="99">
        <f>IF(AND(Database!DQ82&gt;1,Database!DQ14&gt;1),100*(Database!DQ82/(Database!DQ14)),0.0001)</f>
        <v>1E-4</v>
      </c>
      <c r="BJ144" s="99">
        <f>IF(AND(Database!DS82&gt;1,Database!DS14&gt;1),100*(Database!DS82/(Database!DS14)),0.0001)</f>
        <v>1E-4</v>
      </c>
      <c r="BK144" s="99">
        <f>IF(AND(Database!DU82&gt;1,Database!DU14&gt;1),100*(Database!DU82/(Database!DU14)),0.0001)</f>
        <v>1E-4</v>
      </c>
      <c r="BL144" s="99">
        <f>IF(AND(Database!DW82&gt;1,Database!DW14&gt;1),100*(Database!DW82/(Database!DW14)),0.0001)</f>
        <v>1E-4</v>
      </c>
      <c r="BM144" s="99">
        <f>IF(AND(Database!DY82&gt;1,Database!DY14&gt;1),100*(Database!DY82/(Database!DY14)),0.0001)</f>
        <v>1E-4</v>
      </c>
      <c r="BN144" s="99">
        <f>IF(AND(Database!EA82&gt;1,Database!EA14&gt;1),100*(Database!EA82/(Database!EA14)),0.0001)</f>
        <v>1E-4</v>
      </c>
      <c r="BO144" s="99">
        <f>IF(AND(Database!EC82&gt;1,Database!EC14&gt;1),100*(Database!EC82/(Database!EC14)),0.0001)</f>
        <v>1E-4</v>
      </c>
      <c r="BP144" s="99">
        <f>IF(AND(Database!EE82&gt;1,Database!EE14&gt;1),100*(Database!EE82/(Database!EE14)),0.0001)</f>
        <v>1E-4</v>
      </c>
      <c r="BQ144" s="99">
        <f>IF(AND(Database!EG82&gt;1,Database!EG14&gt;1),100*(Database!EG82/(Database!EG14)),0.0001)</f>
        <v>1E-4</v>
      </c>
      <c r="BR144" s="99">
        <f>IF(AND(Database!EI82&gt;1,Database!EI14&gt;1),100*(Database!EI82/(Database!EI14)),0.0001)</f>
        <v>1E-4</v>
      </c>
      <c r="BS144" s="99">
        <f>IF(AND(Database!EK82&gt;1,Database!EK14&gt;1),100*(Database!EK82/(Database!EK14)),0.0001)</f>
        <v>1E-4</v>
      </c>
      <c r="BT144" s="99">
        <f>IF(AND(Database!EM82&gt;1,Database!EM14&gt;1),100*(Database!EM82/(Database!EM14)),0.0001)</f>
        <v>1E-4</v>
      </c>
      <c r="BU144" s="99">
        <f>IF(AND(Database!EO82&gt;1,Database!EO14&gt;1),100*(Database!EO82/(Database!EO14)),0.0001)</f>
        <v>1E-4</v>
      </c>
      <c r="BV144" s="99">
        <f>IF(AND(Database!EQ82&gt;1,Database!EQ14&gt;1),100*(Database!EQ82/(Database!EQ14)),0.0001)</f>
        <v>1E-4</v>
      </c>
      <c r="BW144" s="99">
        <f>IF(AND(Database!ES82&gt;1,Database!ES14&gt;1),100*(Database!ES82/(Database!ES14)),0.0001)</f>
        <v>1E-4</v>
      </c>
      <c r="BX144" s="99">
        <f>IF(AND(Database!EU82&gt;1,Database!EU14&gt;1),100*(Database!EU82/(Database!EU14)),0.0001)</f>
        <v>1E-4</v>
      </c>
      <c r="BY144" s="99">
        <f>IF(AND(Database!EW82&gt;1,Database!EW14&gt;1),100*(Database!EW82/(Database!EW14)),0.0001)</f>
        <v>1E-4</v>
      </c>
      <c r="BZ144" s="99">
        <f>IF(AND(Database!EY82&gt;1,Database!EY14&gt;1),100*(Database!EY82/(Database!EY14)),0.0001)</f>
        <v>1E-4</v>
      </c>
      <c r="CA144" s="99">
        <f>IF(AND(Database!FA82&gt;1,Database!FA14&gt;1),100*(Database!FA82/(Database!FA14)),0.0001)</f>
        <v>1E-4</v>
      </c>
      <c r="CB144" s="99">
        <f>IF(AND(Database!FC82&gt;1,Database!FC14&gt;1),100*(Database!FC82/(Database!FC14)),0.0001)</f>
        <v>1E-4</v>
      </c>
      <c r="CC144" s="99">
        <f>IF(AND(Database!FE82&gt;1,Database!FE14&gt;1),100*(Database!FE82/(Database!FE14)),0.0001)</f>
        <v>1E-4</v>
      </c>
      <c r="CD144" s="99">
        <f>IF(AND(Database!FG82&gt;1,Database!FG14&gt;1),100*(Database!FG82/(Database!FG14)),0.0001)</f>
        <v>1E-4</v>
      </c>
      <c r="CE144" s="99">
        <f>IF(AND(Database!FI82&gt;1,Database!FI14&gt;1),100*(Database!FI82/(Database!FI14)),0.0001)</f>
        <v>1E-4</v>
      </c>
      <c r="CF144" s="99">
        <f>IF(AND(Database!FK82&gt;1,Database!FK14&gt;1),100*(Database!FK82/(Database!FK14)),0.0001)</f>
        <v>1E-4</v>
      </c>
      <c r="CG144" s="99">
        <f>IF(AND(Database!FM82&gt;1,Database!FM14&gt;1),100*(Database!FM82/(Database!FM14)),0.0001)</f>
        <v>1E-4</v>
      </c>
      <c r="CH144" s="99">
        <f>IF(AND(Database!FO82&gt;1,Database!FO14&gt;1),100*(Database!FO82/(Database!FO14)),0.0001)</f>
        <v>1E-4</v>
      </c>
      <c r="CI144" s="99">
        <f>IF(AND(Database!FQ82&gt;1,Database!FQ14&gt;1),100*(Database!FQ82/(Database!FQ14)),0.0001)</f>
        <v>1E-4</v>
      </c>
      <c r="CJ144" s="99">
        <f>IF(AND(Database!FS82&gt;1,Database!FS14&gt;1),100*(Database!FS82/(Database!FS14)),0.0001)</f>
        <v>1E-4</v>
      </c>
      <c r="CK144" s="99">
        <f>IF(AND(Database!FU82&gt;1,Database!FU14&gt;1),100*(Database!FU82/(Database!FU14)),0.0001)</f>
        <v>1E-4</v>
      </c>
      <c r="CL144" s="99">
        <f>IF(AND(Database!FW82&gt;1,Database!FW14&gt;1),100*(Database!FW82/(Database!FW14)),0.0001)</f>
        <v>1E-4</v>
      </c>
      <c r="CM144" s="99">
        <f>IF(AND(Database!FY82&gt;1,Database!FY14&gt;1),100*(Database!FY82/(Database!FY14)),0.0001)</f>
        <v>1E-4</v>
      </c>
      <c r="CN144" s="99">
        <f>IF(AND(Database!GA82&gt;1,Database!GA14&gt;1),100*(Database!GA82/(Database!GA14)),0.0001)</f>
        <v>1E-4</v>
      </c>
      <c r="CO144" s="99">
        <f>IF(AND(Database!GC82&gt;1,Database!GC14&gt;1),100*(Database!GC82/(Database!GC14)),0.0001)</f>
        <v>1E-4</v>
      </c>
      <c r="CP144" s="99">
        <f>IF(AND(Database!GE82&gt;1,Database!GE14&gt;1),100*(Database!GE82/(Database!GE14)),0.0001)</f>
        <v>1E-4</v>
      </c>
      <c r="CQ144" s="99">
        <f>IF(AND(Database!GG82&gt;1,Database!GG14&gt;1),100*(Database!GG82/(Database!GG14)),0.0001)</f>
        <v>1E-4</v>
      </c>
      <c r="CR144" s="99">
        <f>IF(AND(Database!GI82&gt;1,Database!GI14&gt;1),100*(Database!GI82/(Database!GI14)),0.0001)</f>
        <v>1E-4</v>
      </c>
      <c r="CS144" s="99">
        <f>IF(AND(Database!GK82&gt;1,Database!GK14&gt;1),100*(Database!GK82/(Database!GK14)),0.0001)</f>
        <v>1E-4</v>
      </c>
      <c r="CT144" s="99">
        <f>IF(AND(Database!GM82&gt;1,Database!GM14&gt;1),100*(Database!GM82/(Database!GM14)),0.0001)</f>
        <v>1E-4</v>
      </c>
      <c r="CU144" s="99">
        <f>IF(AND(Database!GO82&gt;1,Database!GO14&gt;1),100*(Database!GO82/(Database!GO14)),0.0001)</f>
        <v>1E-4</v>
      </c>
      <c r="CV144" s="99">
        <f>IF(AND(Database!GQ82&gt;1,Database!GQ14&gt;1),100*(Database!GQ82/(Database!GQ14)),0.0001)</f>
        <v>1E-4</v>
      </c>
      <c r="CW144" s="99">
        <f>IF(AND(Database!GS82&gt;1,Database!GS14&gt;1),100*(Database!GS82/(Database!GS14)),0.0001)</f>
        <v>1E-4</v>
      </c>
      <c r="CX144" s="99">
        <f>IF(AND(Database!GU82&gt;1,Database!GU14&gt;1),100*(Database!GU82/(Database!GU14)),0.0001)</f>
        <v>1E-4</v>
      </c>
      <c r="CY144" s="99">
        <f>IF(AND(Database!GW82&gt;1,Database!GW14&gt;1),100*(Database!GW82/(Database!GW14)),0.0001)</f>
        <v>1E-4</v>
      </c>
      <c r="CZ144" s="99">
        <f>IF(AND(Database!GY82&gt;1,Database!GY14&gt;1),100*(Database!GY82/(Database!GY14)),0.0001)</f>
        <v>1E-4</v>
      </c>
      <c r="DA144" s="99">
        <f>IF(AND(Database!HA82&gt;1,Database!HA14&gt;1),100*(Database!HA82/(Database!HA14)),0.0001)</f>
        <v>1E-4</v>
      </c>
      <c r="DB144" s="99">
        <f>IF(AND(Database!HC82&gt;1,Database!HC14&gt;1),100*(Database!HC82/(Database!HC14)),0.0001)</f>
        <v>1E-4</v>
      </c>
      <c r="DC144" s="99">
        <f>IF(AND(Database!HE82&gt;1,Database!HE14&gt;1),100*(Database!HE82/(Database!HE14)),0.0001)</f>
        <v>1E-4</v>
      </c>
      <c r="DD144" s="99">
        <f>IF(AND(Database!HG82&gt;1,Database!HG14&gt;1),100*(Database!HG82/(Database!HG14)),0.0001)</f>
        <v>1E-4</v>
      </c>
      <c r="DE144" s="99">
        <f>IF(AND(Database!HI82&gt;1,Database!HI14&gt;1),100*(Database!HI82/(Database!HI14)),0.0001)</f>
        <v>1E-4</v>
      </c>
      <c r="DF144" s="99">
        <f>IF(AND(Database!HK82&gt;1,Database!HK14&gt;1),100*(Database!HK82/(Database!HK14)),0.0001)</f>
        <v>1E-4</v>
      </c>
      <c r="DG144" s="99">
        <f>IF(AND(Database!HM82&gt;1,Database!HM14&gt;1),100*(Database!HM82/(Database!HM14)),0.0001)</f>
        <v>1E-4</v>
      </c>
      <c r="DH144" s="99">
        <f>IF(AND(Database!HO82&gt;1,Database!HO14&gt;1),100*(Database!HO82/(Database!HO14)),0.0001)</f>
        <v>1E-4</v>
      </c>
      <c r="DI144" s="99">
        <f>IF(AND(Database!HQ82&gt;1,Database!HQ14&gt;1),100*(Database!HQ82/(Database!HQ14)),0.0001)</f>
        <v>1E-4</v>
      </c>
      <c r="DJ144" s="99">
        <f>IF(AND(Database!HS82&gt;1,Database!HS14&gt;1),100*(Database!HS82/(Database!HS14)),0.0001)</f>
        <v>1E-4</v>
      </c>
      <c r="DK144" s="99">
        <f>IF(AND(Database!HU82&gt;1,Database!HU14&gt;1),100*(Database!HU82/(Database!HU14)),0.0001)</f>
        <v>1E-4</v>
      </c>
      <c r="DL144" s="99">
        <f>IF(AND(Database!HW82&gt;1,Database!HW14&gt;1),100*(Database!HW82/(Database!HW14)),0.0001)</f>
        <v>1E-4</v>
      </c>
      <c r="DM144" s="99">
        <f>IF(AND(Database!HY82&gt;1,Database!HY14&gt;1),100*(Database!HY82/(Database!HY14)),0.0001)</f>
        <v>1E-4</v>
      </c>
      <c r="DN144" s="99">
        <f>IF(AND(Database!IA82&gt;1,Database!IA14&gt;1),100*(Database!IA82/(Database!IA14)),0.0001)</f>
        <v>1E-4</v>
      </c>
      <c r="DO144" s="99">
        <f>IF(AND(Database!IC82&gt;1,Database!IC14&gt;1),100*(Database!IC82/(Database!IC14)),0.0001)</f>
        <v>1E-4</v>
      </c>
      <c r="DP144" s="99">
        <f>IF(AND(Database!IE82&gt;1,Database!IE14&gt;1),100*(Database!IE82/(Database!IE14)),0.0001)</f>
        <v>1E-4</v>
      </c>
      <c r="DQ144" s="99">
        <f>IF(AND(Database!IG82&gt;1,Database!IG14&gt;1),100*(Database!IG82/(Database!IG14)),0.0001)</f>
        <v>1E-4</v>
      </c>
      <c r="DR144" s="99">
        <f>IF(AND(Database!II82&gt;1,Database!II14&gt;1),100*(Database!II82/(Database!II14)),0.0001)</f>
        <v>1E-4</v>
      </c>
      <c r="DS144" s="99">
        <f>IF(AND(Database!IK82&gt;1,Database!IK14&gt;1),100*(Database!IK82/(Database!IK14)),0.0001)</f>
        <v>1E-4</v>
      </c>
      <c r="DT144" s="99">
        <f>IF(AND(Database!IM82&gt;1,Database!IM14&gt;1),100*(Database!IM82/(Database!IM14)),0.0001)</f>
        <v>1E-4</v>
      </c>
      <c r="DU144" s="99">
        <f>IF(AND(Database!IO82&gt;1,Database!IO14&gt;1),100*(Database!IO82/(Database!IO14)),0.0001)</f>
        <v>1E-4</v>
      </c>
      <c r="DV144" s="99">
        <f>IF(AND(Database!IQ82&gt;1,Database!IQ14&gt;1),100*(Database!IQ82/(Database!IQ14)),0.0001)</f>
        <v>1E-4</v>
      </c>
      <c r="DW144" s="99">
        <f>IF(AND(Database!IS82&gt;1,Database!IS14&gt;1),100*(Database!IS82/(Database!IS14)),0.0001)</f>
        <v>1E-4</v>
      </c>
      <c r="DX144" s="99">
        <f>IF(AND(Database!IU82&gt;1,Database!IU14&gt;1),100*(Database!IU82/(Database!IU14)),0.0001)</f>
        <v>1E-4</v>
      </c>
      <c r="DY144" s="99">
        <f>IF(AND(Database!IW82&gt;1,Database!IW14&gt;1),100*(Database!IW82/(Database!IW14)),0.0001)</f>
        <v>1E-4</v>
      </c>
      <c r="DZ144" s="99">
        <f>IF(AND(Database!IY82&gt;1,Database!IY14&gt;1),100*(Database!IY82/(Database!IY14)),0.0001)</f>
        <v>1E-4</v>
      </c>
      <c r="EA144" s="99">
        <f>IF(AND(Database!JA82&gt;1,Database!JA14&gt;1),100*(Database!JA82/(Database!JA14)),0.0001)</f>
        <v>1E-4</v>
      </c>
      <c r="EB144" s="99">
        <f>IF(AND(Database!JC82&gt;1,Database!JC14&gt;1),100*(Database!JC82/(Database!JC14)),0.0001)</f>
        <v>1E-4</v>
      </c>
      <c r="EC144" s="99">
        <f>IF(AND(Database!JE82&gt;1,Database!JE14&gt;1),100*(Database!JE82/(Database!JE14)),0.0001)</f>
        <v>1E-4</v>
      </c>
      <c r="ED144" s="99">
        <f>IF(AND(Database!JG82&gt;1,Database!JG14&gt;1),100*(Database!JG82/(Database!JG14)),0.0001)</f>
        <v>1E-4</v>
      </c>
      <c r="EE144" s="99">
        <f>IF(AND(Database!JI82&gt;1,Database!JI14&gt;1),100*(Database!JI82/(Database!JI14)),0.0001)</f>
        <v>1E-4</v>
      </c>
      <c r="EF144" s="99">
        <f>IF(AND(Database!JK82&gt;1,Database!JK14&gt;1),100*(Database!JK82/(Database!JK14)),0.0001)</f>
        <v>1E-4</v>
      </c>
      <c r="EG144" s="99">
        <f>IF(AND(Database!JM82&gt;1,Database!JM14&gt;1),100*(Database!JM82/(Database!JM14)),0.0001)</f>
        <v>1E-4</v>
      </c>
      <c r="EH144" s="99">
        <f>IF(AND(Database!JO82&gt;1,Database!JO14&gt;1),100*(Database!JO82/(Database!JO14)),0.0001)</f>
        <v>1E-4</v>
      </c>
      <c r="EI144" s="99">
        <f>IF(AND(Database!JQ82&gt;1,Database!JQ14&gt;1),100*(Database!JQ82/(Database!JQ14)),0.0001)</f>
        <v>1E-4</v>
      </c>
      <c r="EJ144" s="99">
        <f>IF(AND(Database!JS82&gt;1,Database!JS14&gt;1),100*(Database!JS82/(Database!JS14)),0.0001)</f>
        <v>1E-4</v>
      </c>
      <c r="EK144" s="99">
        <f>IF(AND(Database!JU82&gt;1,Database!JU14&gt;1),100*(Database!JU82/(Database!JU14)),0.0001)</f>
        <v>1E-4</v>
      </c>
      <c r="EL144" s="99">
        <f>IF(AND(Database!JW82&gt;1,Database!JW14&gt;1),100*(Database!JW82/(Database!JW14)),0.0001)</f>
        <v>1E-4</v>
      </c>
      <c r="EM144" s="99">
        <f>IF(AND(Database!JY82&gt;1,Database!JY14&gt;1),100*(Database!JY82/(Database!JY14)),0.0001)</f>
        <v>1E-4</v>
      </c>
      <c r="EN144" s="99">
        <f>IF(AND(Database!KA82&gt;1,Database!KA14&gt;1),100*(Database!KA82/(Database!KA14)),0.0001)</f>
        <v>1E-4</v>
      </c>
      <c r="EO144" s="99">
        <f>IF(AND(Database!KC82&gt;1,Database!KC14&gt;1),100*(Database!KC82/(Database!KC14)),0.0001)</f>
        <v>1E-4</v>
      </c>
      <c r="EP144" s="99">
        <f>IF(AND(Database!KE82&gt;1,Database!KE14&gt;1),100*(Database!KE82/(Database!KE14)),0.0001)</f>
        <v>1E-4</v>
      </c>
      <c r="EQ144" s="99">
        <f>IF(AND(Database!KG82&gt;1,Database!KG14&gt;1),100*(Database!KG82/(Database!KG14)),0.0001)</f>
        <v>1E-4</v>
      </c>
      <c r="ER144" s="99">
        <f>IF(AND(Database!KI82&gt;1,Database!KI14&gt;1),100*(Database!KI82/(Database!KI14)),0.0001)</f>
        <v>1E-4</v>
      </c>
      <c r="ES144" s="99">
        <f>IF(AND(Database!KK82&gt;1,Database!KK14&gt;1),100*(Database!KK82/(Database!KK14)),0.0001)</f>
        <v>1E-4</v>
      </c>
      <c r="ET144" s="99">
        <f>IF(AND(Database!KM82&gt;1,Database!KM14&gt;1),100*(Database!KM82/(Database!KM14)),0.0001)</f>
        <v>1E-4</v>
      </c>
      <c r="EU144" s="99">
        <f>IF(AND(Database!KO82&gt;1,Database!KO14&gt;1),100*(Database!KO82/(Database!KO14)),0.0001)</f>
        <v>1E-4</v>
      </c>
      <c r="EV144" s="99">
        <f>IF(AND(Database!KQ82&gt;1,Database!KQ14&gt;1),100*(Database!KQ82/(Database!KQ14)),0.0001)</f>
        <v>1E-4</v>
      </c>
      <c r="EW144" s="99">
        <f>IF(AND(Database!KS82&gt;1,Database!KS14&gt;1),100*(Database!KS82/(Database!KS14)),0.0001)</f>
        <v>1E-4</v>
      </c>
      <c r="EX144" s="99">
        <f>IF(AND(Database!KU82&gt;1,Database!KU14&gt;1),100*(Database!KU82/(Database!KU14)),0.0001)</f>
        <v>1E-4</v>
      </c>
      <c r="EY144" s="99">
        <f>IF(AND(Database!KW82&gt;1,Database!KW14&gt;1),100*(Database!KW82/(Database!KW14)),0.0001)</f>
        <v>1E-4</v>
      </c>
      <c r="EZ144" s="99">
        <f>IF(AND(Database!KY82&gt;1,Database!KY14&gt;1),100*(Database!KY82/(Database!KY14)),0.0001)</f>
        <v>1E-4</v>
      </c>
      <c r="FA144" s="99">
        <f>IF(AND(Database!LA82&gt;1,Database!LA14&gt;1),100*(Database!LA82/(Database!LA14)),0.0001)</f>
        <v>1E-4</v>
      </c>
      <c r="FB144" s="99">
        <f>IF(AND(Database!LC82&gt;1,Database!LC14&gt;1),100*(Database!LC82/(Database!LC14)),0.0001)</f>
        <v>1E-4</v>
      </c>
      <c r="FC144" s="99">
        <f>IF(AND(Database!LE82&gt;1,Database!LE14&gt;1),100*(Database!LE82/(Database!LE14)),0.0001)</f>
        <v>1E-4</v>
      </c>
      <c r="FD144" s="99">
        <f>IF(AND(Database!LG82&gt;1,Database!LG14&gt;1),100*(Database!LG82/(Database!LG14)),0.0001)</f>
        <v>1E-4</v>
      </c>
      <c r="FE144" s="99">
        <f>IF(AND(Database!LI82&gt;1,Database!LI14&gt;1),100*(Database!LI82/(Database!LI14)),0.0001)</f>
        <v>1E-4</v>
      </c>
      <c r="FF144" s="99">
        <f>IF(AND(Database!LK82&gt;1,Database!LK14&gt;1),100*(Database!LK82/(Database!LK14)),0.0001)</f>
        <v>1E-4</v>
      </c>
      <c r="FG144" s="99">
        <f>IF(AND(Database!LM82&gt;1,Database!LM14&gt;1),100*(Database!LM82/(Database!LM14)),0.0001)</f>
        <v>1E-4</v>
      </c>
      <c r="FH144" s="99">
        <f>IF(AND(Database!LO82&gt;1,Database!LO14&gt;1),100*(Database!LO82/(Database!LO14)),0.0001)</f>
        <v>1E-4</v>
      </c>
      <c r="FI144" s="99">
        <f>IF(AND(Database!LQ82&gt;1,Database!LQ14&gt;1),100*(Database!LQ82/(Database!LQ14)),0.0001)</f>
        <v>1E-4</v>
      </c>
      <c r="FJ144" s="99">
        <f>IF(AND(Database!LS82&gt;1,Database!LS14&gt;1),100*(Database!LS82/(Database!LS14)),0.0001)</f>
        <v>1E-4</v>
      </c>
      <c r="FK144" s="99">
        <f>IF(AND(Database!LU82&gt;1,Database!LU14&gt;1),100*(Database!LU82/(Database!LU14)),0.0001)</f>
        <v>1E-4</v>
      </c>
      <c r="FL144" s="99">
        <f>IF(AND(Database!LW82&gt;1,Database!LW14&gt;1),100*(Database!LW82/(Database!LW14)),0.0001)</f>
        <v>1E-4</v>
      </c>
      <c r="FM144" s="99">
        <f>IF(AND(Database!LY82&gt;1,Database!LY14&gt;1),100*(Database!LY82/(Database!LY14)),0.0001)</f>
        <v>1E-4</v>
      </c>
      <c r="FN144" s="99">
        <f>IF(AND(Database!MA82&gt;1,Database!MA14&gt;1),100*(Database!MA82/(Database!MA14)),0.0001)</f>
        <v>1E-4</v>
      </c>
      <c r="FO144" s="99">
        <f>IF(AND(Database!MC82&gt;1,Database!MC14&gt;1),100*(Database!MC82/(Database!MC14)),0.0001)</f>
        <v>1E-4</v>
      </c>
      <c r="FP144" s="99">
        <f>IF(AND(Database!ME82&gt;1,Database!ME14&gt;1),100*(Database!ME82/(Database!ME14)),0.0001)</f>
        <v>1E-4</v>
      </c>
      <c r="FQ144" s="99">
        <f>IF(AND(Database!MG82&gt;1,Database!MG14&gt;1),100*(Database!MG82/(Database!MG14)),0.0001)</f>
        <v>1E-4</v>
      </c>
      <c r="FR144" s="99">
        <f>IF(AND(Database!MI82&gt;1,Database!MI14&gt;1),100*(Database!MI82/(Database!MI14)),0.0001)</f>
        <v>1E-4</v>
      </c>
      <c r="FS144" s="99">
        <f>IF(AND(Database!MK82&gt;1,Database!MK14&gt;1),100*(Database!MK82/(Database!MK14)),0.0001)</f>
        <v>1E-4</v>
      </c>
      <c r="FT144" s="99">
        <f>IF(AND(Database!MM82&gt;1,Database!MM14&gt;1),100*(Database!MM82/(Database!MM14)),0.0001)</f>
        <v>1E-4</v>
      </c>
      <c r="FU144" s="99">
        <f>IF(AND(Database!MO82&gt;1,Database!MO14&gt;1),100*(Database!MO82/(Database!MO14)),0.0001)</f>
        <v>1E-4</v>
      </c>
      <c r="FV144" s="99">
        <f>IF(AND(Database!MQ82&gt;1,Database!MQ14&gt;1),100*(Database!MQ82/(Database!MQ14)),0.0001)</f>
        <v>1E-4</v>
      </c>
      <c r="FW144" s="99">
        <f>IF(AND(Database!MS82&gt;1,Database!MS14&gt;1),100*(Database!MS82/(Database!MS14)),0.0001)</f>
        <v>1E-4</v>
      </c>
      <c r="FX144" s="99">
        <f>IF(AND(Database!MU82&gt;1,Database!MU14&gt;1),100*(Database!MU82/(Database!MU14)),0.0001)</f>
        <v>1E-4</v>
      </c>
      <c r="FY144" s="99">
        <f>IF(AND(Database!MW82&gt;1,Database!MW14&gt;1),100*(Database!MW82/(Database!MW14)),0.0001)</f>
        <v>1E-4</v>
      </c>
      <c r="FZ144" s="99">
        <f>IF(AND(Database!MY82&gt;1,Database!MY14&gt;1),100*(Database!MY82/(Database!MY14)),0.0001)</f>
        <v>1E-4</v>
      </c>
      <c r="GA144" s="99">
        <f>IF(AND(Database!NA82&gt;1,Database!NA14&gt;1),100*(Database!NA82/(Database!NA14)),0.0001)</f>
        <v>1E-4</v>
      </c>
      <c r="GB144" s="99">
        <f>IF(AND(Database!NC82&gt;1,Database!NC14&gt;1),100*(Database!NC82/(Database!NC14)),0.0001)</f>
        <v>1E-4</v>
      </c>
      <c r="GC144" s="99">
        <f>IF(AND(Database!NE82&gt;1,Database!NE14&gt;1),100*(Database!NE82/(Database!NE14)),0.0001)</f>
        <v>1E-4</v>
      </c>
      <c r="GD144" s="99">
        <f>IF(AND(Database!NG82&gt;1,Database!NG14&gt;1),100*(Database!NG82/(Database!NG14)),0.0001)</f>
        <v>1E-4</v>
      </c>
      <c r="GE144" s="99">
        <f>IF(AND(Database!NI82&gt;1,Database!NI14&gt;1),100*(Database!NI82/(Database!NI14)),0.0001)</f>
        <v>1E-4</v>
      </c>
      <c r="GF144" s="99">
        <f>IF(AND(Database!NK82&gt;1,Database!NK14&gt;1),100*(Database!NK82/(Database!NK14)),0.0001)</f>
        <v>1E-4</v>
      </c>
      <c r="GG144" s="99">
        <f>IF(AND(Database!NM82&gt;1,Database!NM14&gt;1),100*(Database!NM82/(Database!NM14)),0.0001)</f>
        <v>1E-4</v>
      </c>
      <c r="GH144" s="99">
        <f>IF(AND(Database!NO82&gt;1,Database!NO14&gt;1),100*(Database!NO82/(Database!NO14)),0.0001)</f>
        <v>1E-4</v>
      </c>
      <c r="GI144" s="99">
        <f>IF(AND(Database!NQ82&gt;1,Database!NQ14&gt;1),100*(Database!NQ82/(Database!NQ14)),0.0001)</f>
        <v>1E-4</v>
      </c>
      <c r="GJ144" s="99">
        <f>IF(AND(Database!NS82&gt;1,Database!NS14&gt;1),100*(Database!NS82/(Database!NS14)),0.0001)</f>
        <v>1E-4</v>
      </c>
      <c r="GK144" s="99">
        <f>IF(AND(Database!NU82&gt;1,Database!NU14&gt;1),100*(Database!NU82/(Database!NU14)),0.0001)</f>
        <v>1E-4</v>
      </c>
      <c r="GL144" s="99">
        <f>IF(AND(Database!NW82&gt;1,Database!NW14&gt;1),100*(Database!NW82/(Database!NW14)),0.0001)</f>
        <v>1E-4</v>
      </c>
      <c r="GM144" s="99">
        <f>IF(AND(Database!NY82&gt;1,Database!NY14&gt;1),100*(Database!NY82/(Database!NY14)),0.0001)</f>
        <v>1E-4</v>
      </c>
      <c r="GN144" s="99">
        <f>IF(AND(Database!OA82&gt;1,Database!OA14&gt;1),100*(Database!OA82/(Database!OA14)),0.0001)</f>
        <v>1E-4</v>
      </c>
      <c r="GO144" s="99">
        <f>IF(AND(Database!OC82&gt;1,Database!OC14&gt;1),100*(Database!OC82/(Database!OC14)),0.0001)</f>
        <v>1E-4</v>
      </c>
      <c r="GP144" s="99">
        <f>IF(AND(Database!OE82&gt;1,Database!OE14&gt;1),100*(Database!OE82/(Database!OE14)),0.0001)</f>
        <v>1E-4</v>
      </c>
      <c r="GQ144" s="99">
        <f>IF(AND(Database!OG82&gt;1,Database!OG14&gt;1),100*(Database!OG82/(Database!OG14)),0.0001)</f>
        <v>1E-4</v>
      </c>
      <c r="GR144" s="99">
        <f>IF(AND(Database!OI82&gt;1,Database!OI14&gt;1),100*(Database!OI82/(Database!OI14)),0.0001)</f>
        <v>1E-4</v>
      </c>
      <c r="GS144" s="99">
        <f>IF(AND(Database!OK82&gt;1,Database!OK14&gt;1),100*(Database!OK82/(Database!OK14)),0.0001)</f>
        <v>1E-4</v>
      </c>
      <c r="GT144" s="30">
        <f>IF(AND(Database!OM82&gt;1,Database!OM14&gt;1),100*(Database!OM82/(Database!OM14)),0.0001)</f>
        <v>1E-4</v>
      </c>
      <c r="GU144" s="99"/>
      <c r="GV144" s="99"/>
      <c r="GW144" s="99"/>
    </row>
    <row r="145" spans="1:205" ht="18.75" customHeight="1" x14ac:dyDescent="0.4">
      <c r="A145" s="240" t="s">
        <v>155</v>
      </c>
      <c r="B145" s="96"/>
      <c r="C145" s="260">
        <f>IF(AND(Database!E89&gt;1,Database!E18&gt;1),100*(Database!E89/(Database!E18)),0.0001)</f>
        <v>32.058017872378642</v>
      </c>
      <c r="D145" s="99">
        <f>IF(AND(Database!G89&gt;1,Database!G18&gt;1),100*(Database!G89/(Database!G18)),0.0001)</f>
        <v>49.289267945984363</v>
      </c>
      <c r="E145" s="99">
        <f>IF(AND(Database!I89&gt;1,Database!I18&gt;1),100*(Database!I89/(Database!I18)),0.0001)</f>
        <v>53.386898783617895</v>
      </c>
      <c r="F145" s="99">
        <f>IF(AND(Database!K89&gt;1,Database!K18&gt;1),100*(Database!K89/(Database!K18)),0.0001)</f>
        <v>53.054054054054056</v>
      </c>
      <c r="G145" s="99">
        <f>IF(AND(Database!M89&gt;1,Database!M18&gt;1),100*(Database!M89/(Database!M18)),0.0001)</f>
        <v>1E-4</v>
      </c>
      <c r="H145" s="99">
        <f>IF(AND(Database!O89&gt;1,Database!O18&gt;1),100*(Database!O89/(Database!O18)),0.0001)</f>
        <v>1E-4</v>
      </c>
      <c r="I145" s="99">
        <f>IF(AND(Database!Q89&gt;1,Database!Q18&gt;1),100*(Database!Q89/(Database!Q18)),0.0001)</f>
        <v>1E-4</v>
      </c>
      <c r="J145" s="99">
        <f>IF(AND(Database!S89&gt;1,Database!S18&gt;1),100*(Database!S89/(Database!S18)),0.0001)</f>
        <v>1E-4</v>
      </c>
      <c r="K145" s="99">
        <f>IF(AND(Database!U89&gt;1,Database!U18&gt;1),100*(Database!U89/(Database!U18)),0.0001)</f>
        <v>1E-4</v>
      </c>
      <c r="L145" s="99">
        <f>IF(AND(Database!W89&gt;1,Database!W18&gt;1),100*(Database!W89/(Database!W18)),0.0001)</f>
        <v>1E-4</v>
      </c>
      <c r="M145" s="99">
        <f>IF(AND(Database!Y89&gt;1,Database!Y18&gt;1),100*(Database!Y89/(Database!Y18)),0.0001)</f>
        <v>1E-4</v>
      </c>
      <c r="N145" s="99">
        <f>IF(AND(Database!AA89&gt;1,Database!AA18&gt;1),100*(Database!AA89/(Database!AA18)),0.0001)</f>
        <v>1E-4</v>
      </c>
      <c r="O145" s="99">
        <f>IF(AND(Database!AC89&gt;1,Database!AC18&gt;1),100*(Database!AC89/(Database!AC18)),0.0001)</f>
        <v>1E-4</v>
      </c>
      <c r="P145" s="99">
        <f>IF(AND(Database!AE89&gt;1,Database!AE18&gt;1),100*(Database!AE89/(Database!AE18)),0.0001)</f>
        <v>1E-4</v>
      </c>
      <c r="Q145" s="99">
        <f>IF(AND(Database!AG89&gt;1,Database!AG18&gt;1),100*(Database!AG89/(Database!AG18)),0.0001)</f>
        <v>1E-4</v>
      </c>
      <c r="R145" s="99">
        <f>IF(AND(Database!AI89&gt;1,Database!AI18&gt;1),100*(Database!AI89/(Database!AI18)),0.0001)</f>
        <v>1E-4</v>
      </c>
      <c r="S145" s="99">
        <f>IF(AND(Database!AK89&gt;1,Database!AK18&gt;1),100*(Database!AK89/(Database!AK18)),0.0001)</f>
        <v>1E-4</v>
      </c>
      <c r="T145" s="99">
        <f>IF(AND(Database!AM89&gt;1,Database!AM18&gt;1),100*(Database!AM89/(Database!AM18)),0.0001)</f>
        <v>1E-4</v>
      </c>
      <c r="U145" s="99">
        <f>IF(AND(Database!AO89&gt;1,Database!AO18&gt;1),100*(Database!AO89/(Database!AO18)),0.0001)</f>
        <v>1E-4</v>
      </c>
      <c r="V145" s="99">
        <f>IF(AND(Database!AQ89&gt;1,Database!AQ18&gt;1),100*(Database!AQ89/(Database!AQ18)),0.0001)</f>
        <v>1E-4</v>
      </c>
      <c r="W145" s="99">
        <f>IF(AND(Database!AS89&gt;1,Database!AS18&gt;1),100*(Database!AS89/(Database!AS18)),0.0001)</f>
        <v>1E-4</v>
      </c>
      <c r="X145" s="99">
        <f>IF(AND(Database!AU89&gt;1,Database!AU18&gt;1),100*(Database!AU89/(Database!AU18)),0.0001)</f>
        <v>1E-4</v>
      </c>
      <c r="Y145" s="99">
        <f>IF(AND(Database!AW89&gt;1,Database!AW18&gt;1),100*(Database!AW89/(Database!AW18)),0.0001)</f>
        <v>1E-4</v>
      </c>
      <c r="Z145" s="99">
        <f>IF(AND(Database!AY89&gt;1,Database!AY18&gt;1),100*(Database!AY89/(Database!AY18)),0.0001)</f>
        <v>1E-4</v>
      </c>
      <c r="AA145" s="99">
        <f>IF(AND(Database!BA89&gt;1,Database!BA18&gt;1),100*(Database!BA89/(Database!BA18)),0.0001)</f>
        <v>1E-4</v>
      </c>
      <c r="AB145" s="99">
        <f>IF(AND(Database!BC89&gt;1,Database!BC18&gt;1),100*(Database!BC89/(Database!BC18)),0.0001)</f>
        <v>1E-4</v>
      </c>
      <c r="AC145" s="99">
        <f>IF(AND(Database!BE89&gt;1,Database!BE18&gt;1),100*(Database!BE89/(Database!BE18)),0.0001)</f>
        <v>1E-4</v>
      </c>
      <c r="AD145" s="99">
        <f>IF(AND(Database!BG89&gt;1,Database!BG18&gt;1),100*(Database!BG89/(Database!BG18)),0.0001)</f>
        <v>1E-4</v>
      </c>
      <c r="AE145" s="99">
        <f>IF(AND(Database!BI89&gt;1,Database!BI18&gt;1),100*(Database!BI89/(Database!BI18)),0.0001)</f>
        <v>1E-4</v>
      </c>
      <c r="AF145" s="99">
        <f>IF(AND(Database!BK89&gt;1,Database!BK18&gt;1),100*(Database!BK89/(Database!BK18)),0.0001)</f>
        <v>1E-4</v>
      </c>
      <c r="AG145" s="99">
        <f>IF(AND(Database!BM89&gt;1,Database!BM18&gt;1),100*(Database!BM89/(Database!BM18)),0.0001)</f>
        <v>1E-4</v>
      </c>
      <c r="AH145" s="99">
        <f>IF(AND(Database!BO89&gt;1,Database!BO18&gt;1),100*(Database!BO89/(Database!BO18)),0.0001)</f>
        <v>1E-4</v>
      </c>
      <c r="AI145" s="99">
        <f>IF(AND(Database!BQ89&gt;1,Database!BQ18&gt;1),100*(Database!BQ89/(Database!BQ18)),0.0001)</f>
        <v>1E-4</v>
      </c>
      <c r="AJ145" s="99">
        <f>IF(AND(Database!BS89&gt;1,Database!BS18&gt;1),100*(Database!BS89/(Database!BS18)),0.0001)</f>
        <v>1E-4</v>
      </c>
      <c r="AK145" s="99">
        <f>IF(AND(Database!BU89&gt;1,Database!BU18&gt;1),100*(Database!BU89/(Database!BU18)),0.0001)</f>
        <v>1E-4</v>
      </c>
      <c r="AL145" s="99">
        <f>IF(AND(Database!BW89&gt;1,Database!BW18&gt;1),100*(Database!BW89/(Database!BW18)),0.0001)</f>
        <v>1E-4</v>
      </c>
      <c r="AM145" s="99">
        <f>IF(AND(Database!BY89&gt;1,Database!BY18&gt;1),100*(Database!BY89/(Database!BY18)),0.0001)</f>
        <v>1E-4</v>
      </c>
      <c r="AN145" s="99">
        <f>IF(AND(Database!CA89&gt;1,Database!CA18&gt;1),100*(Database!CA89/(Database!CA18)),0.0001)</f>
        <v>1E-4</v>
      </c>
      <c r="AO145" s="99">
        <f>IF(AND(Database!CC89&gt;1,Database!CC18&gt;1),100*(Database!CC89/(Database!CC18)),0.0001)</f>
        <v>1E-4</v>
      </c>
      <c r="AP145" s="99">
        <f>IF(AND(Database!CE89&gt;1,Database!CE18&gt;1),100*(Database!CE89/(Database!CE18)),0.0001)</f>
        <v>1E-4</v>
      </c>
      <c r="AQ145" s="99">
        <f>IF(AND(Database!CG89&gt;1,Database!CG18&gt;1),100*(Database!CG89/(Database!CG18)),0.0001)</f>
        <v>1E-4</v>
      </c>
      <c r="AR145" s="99">
        <f>IF(AND(Database!CI89&gt;1,Database!CI18&gt;1),100*(Database!CI89/(Database!CI18)),0.0001)</f>
        <v>1E-4</v>
      </c>
      <c r="AS145" s="99">
        <f>IF(AND(Database!CK89&gt;1,Database!CK18&gt;1),100*(Database!CK89/(Database!CK18)),0.0001)</f>
        <v>1E-4</v>
      </c>
      <c r="AT145" s="99">
        <f>IF(AND(Database!CM89&gt;1,Database!CM18&gt;1),100*(Database!CM89/(Database!CM18)),0.0001)</f>
        <v>1E-4</v>
      </c>
      <c r="AU145" s="99">
        <f>IF(AND(Database!CO89&gt;1,Database!CO18&gt;1),100*(Database!CO89/(Database!CO18)),0.0001)</f>
        <v>1E-4</v>
      </c>
      <c r="AV145" s="99">
        <f>IF(AND(Database!CQ89&gt;1,Database!CQ18&gt;1),100*(Database!CQ89/(Database!CQ18)),0.0001)</f>
        <v>1E-4</v>
      </c>
      <c r="AW145" s="99">
        <f>IF(AND(Database!CS89&gt;1,Database!CS18&gt;1),100*(Database!CS89/(Database!CS18)),0.0001)</f>
        <v>1E-4</v>
      </c>
      <c r="AX145" s="99">
        <f>IF(AND(Database!CU89&gt;1,Database!CU18&gt;1),100*(Database!CU89/(Database!CU18)),0.0001)</f>
        <v>1E-4</v>
      </c>
      <c r="AY145" s="99">
        <f>IF(AND(Database!CW89&gt;1,Database!CW18&gt;1),100*(Database!CW89/(Database!CW18)),0.0001)</f>
        <v>1E-4</v>
      </c>
      <c r="AZ145" s="99">
        <f>IF(AND(Database!CY89&gt;1,Database!CY18&gt;1),100*(Database!CY89/(Database!CY18)),0.0001)</f>
        <v>1E-4</v>
      </c>
      <c r="BA145" s="99">
        <f>IF(AND(Database!DA89&gt;1,Database!DA18&gt;1),100*(Database!DA89/(Database!DA18)),0.0001)</f>
        <v>1E-4</v>
      </c>
      <c r="BB145" s="99">
        <f>IF(AND(Database!DC89&gt;1,Database!DC18&gt;1),100*(Database!DC89/(Database!DC18)),0.0001)</f>
        <v>1E-4</v>
      </c>
      <c r="BC145" s="99">
        <f>IF(AND(Database!DE89&gt;1,Database!DE18&gt;1),100*(Database!DE89/(Database!DE18)),0.0001)</f>
        <v>1E-4</v>
      </c>
      <c r="BD145" s="99">
        <f>IF(AND(Database!DG89&gt;1,Database!DG18&gt;1),100*(Database!DG89/(Database!DG18)),0.0001)</f>
        <v>1E-4</v>
      </c>
      <c r="BE145" s="99">
        <f>IF(AND(Database!DI89&gt;1,Database!DI18&gt;1),100*(Database!DI89/(Database!DI18)),0.0001)</f>
        <v>1E-4</v>
      </c>
      <c r="BF145" s="99">
        <f>IF(AND(Database!DK89&gt;1,Database!DK18&gt;1),100*(Database!DK89/(Database!DK18)),0.0001)</f>
        <v>1E-4</v>
      </c>
      <c r="BG145" s="99">
        <f>IF(AND(Database!DM89&gt;1,Database!DM18&gt;1),100*(Database!DM89/(Database!DM18)),0.0001)</f>
        <v>1E-4</v>
      </c>
      <c r="BH145" s="99">
        <f>IF(AND(Database!DO89&gt;1,Database!DO18&gt;1),100*(Database!DO89/(Database!DO18)),0.0001)</f>
        <v>1E-4</v>
      </c>
      <c r="BI145" s="99">
        <f>IF(AND(Database!DQ89&gt;1,Database!DQ18&gt;1),100*(Database!DQ89/(Database!DQ18)),0.0001)</f>
        <v>1E-4</v>
      </c>
      <c r="BJ145" s="99">
        <f>IF(AND(Database!DS89&gt;1,Database!DS18&gt;1),100*(Database!DS89/(Database!DS18)),0.0001)</f>
        <v>1E-4</v>
      </c>
      <c r="BK145" s="99">
        <f>IF(AND(Database!DU89&gt;1,Database!DU18&gt;1),100*(Database!DU89/(Database!DU18)),0.0001)</f>
        <v>1E-4</v>
      </c>
      <c r="BL145" s="99">
        <f>IF(AND(Database!DW89&gt;1,Database!DW18&gt;1),100*(Database!DW89/(Database!DW18)),0.0001)</f>
        <v>1E-4</v>
      </c>
      <c r="BM145" s="99">
        <f>IF(AND(Database!DY89&gt;1,Database!DY18&gt;1),100*(Database!DY89/(Database!DY18)),0.0001)</f>
        <v>1E-4</v>
      </c>
      <c r="BN145" s="99">
        <f>IF(AND(Database!EA89&gt;1,Database!EA18&gt;1),100*(Database!EA89/(Database!EA18)),0.0001)</f>
        <v>1E-4</v>
      </c>
      <c r="BO145" s="99">
        <f>IF(AND(Database!EC89&gt;1,Database!EC18&gt;1),100*(Database!EC89/(Database!EC18)),0.0001)</f>
        <v>1E-4</v>
      </c>
      <c r="BP145" s="99">
        <f>IF(AND(Database!EE89&gt;1,Database!EE18&gt;1),100*(Database!EE89/(Database!EE18)),0.0001)</f>
        <v>1E-4</v>
      </c>
      <c r="BQ145" s="99">
        <f>IF(AND(Database!EG89&gt;1,Database!EG18&gt;1),100*(Database!EG89/(Database!EG18)),0.0001)</f>
        <v>1E-4</v>
      </c>
      <c r="BR145" s="99">
        <f>IF(AND(Database!EI89&gt;1,Database!EI18&gt;1),100*(Database!EI89/(Database!EI18)),0.0001)</f>
        <v>1E-4</v>
      </c>
      <c r="BS145" s="99">
        <f>IF(AND(Database!EK89&gt;1,Database!EK18&gt;1),100*(Database!EK89/(Database!EK18)),0.0001)</f>
        <v>1E-4</v>
      </c>
      <c r="BT145" s="99">
        <f>IF(AND(Database!EM89&gt;1,Database!EM18&gt;1),100*(Database!EM89/(Database!EM18)),0.0001)</f>
        <v>1E-4</v>
      </c>
      <c r="BU145" s="99">
        <f>IF(AND(Database!EO89&gt;1,Database!EO18&gt;1),100*(Database!EO89/(Database!EO18)),0.0001)</f>
        <v>1E-4</v>
      </c>
      <c r="BV145" s="99">
        <f>IF(AND(Database!EQ89&gt;1,Database!EQ18&gt;1),100*(Database!EQ89/(Database!EQ18)),0.0001)</f>
        <v>1E-4</v>
      </c>
      <c r="BW145" s="99">
        <f>IF(AND(Database!ES89&gt;1,Database!ES18&gt;1),100*(Database!ES89/(Database!ES18)),0.0001)</f>
        <v>1E-4</v>
      </c>
      <c r="BX145" s="99">
        <f>IF(AND(Database!EU89&gt;1,Database!EU18&gt;1),100*(Database!EU89/(Database!EU18)),0.0001)</f>
        <v>1E-4</v>
      </c>
      <c r="BY145" s="99">
        <f>IF(AND(Database!EW89&gt;1,Database!EW18&gt;1),100*(Database!EW89/(Database!EW18)),0.0001)</f>
        <v>1E-4</v>
      </c>
      <c r="BZ145" s="99">
        <f>IF(AND(Database!EY89&gt;1,Database!EY18&gt;1),100*(Database!EY89/(Database!EY18)),0.0001)</f>
        <v>1E-4</v>
      </c>
      <c r="CA145" s="99">
        <f>IF(AND(Database!FA89&gt;1,Database!FA18&gt;1),100*(Database!FA89/(Database!FA18)),0.0001)</f>
        <v>1E-4</v>
      </c>
      <c r="CB145" s="99">
        <f>IF(AND(Database!FC89&gt;1,Database!FC18&gt;1),100*(Database!FC89/(Database!FC18)),0.0001)</f>
        <v>1E-4</v>
      </c>
      <c r="CC145" s="99">
        <f>IF(AND(Database!FE89&gt;1,Database!FE18&gt;1),100*(Database!FE89/(Database!FE18)),0.0001)</f>
        <v>1E-4</v>
      </c>
      <c r="CD145" s="99">
        <f>IF(AND(Database!FG89&gt;1,Database!FG18&gt;1),100*(Database!FG89/(Database!FG18)),0.0001)</f>
        <v>1E-4</v>
      </c>
      <c r="CE145" s="99">
        <f>IF(AND(Database!FI89&gt;1,Database!FI18&gt;1),100*(Database!FI89/(Database!FI18)),0.0001)</f>
        <v>1E-4</v>
      </c>
      <c r="CF145" s="99">
        <f>IF(AND(Database!FK89&gt;1,Database!FK18&gt;1),100*(Database!FK89/(Database!FK18)),0.0001)</f>
        <v>1E-4</v>
      </c>
      <c r="CG145" s="99">
        <f>IF(AND(Database!FM89&gt;1,Database!FM18&gt;1),100*(Database!FM89/(Database!FM18)),0.0001)</f>
        <v>1E-4</v>
      </c>
      <c r="CH145" s="99">
        <f>IF(AND(Database!FO89&gt;1,Database!FO18&gt;1),100*(Database!FO89/(Database!FO18)),0.0001)</f>
        <v>1E-4</v>
      </c>
      <c r="CI145" s="99">
        <f>IF(AND(Database!FQ89&gt;1,Database!FQ18&gt;1),100*(Database!FQ89/(Database!FQ18)),0.0001)</f>
        <v>1E-4</v>
      </c>
      <c r="CJ145" s="99">
        <f>IF(AND(Database!FS89&gt;1,Database!FS18&gt;1),100*(Database!FS89/(Database!FS18)),0.0001)</f>
        <v>1E-4</v>
      </c>
      <c r="CK145" s="99">
        <f>IF(AND(Database!FU89&gt;1,Database!FU18&gt;1),100*(Database!FU89/(Database!FU18)),0.0001)</f>
        <v>1E-4</v>
      </c>
      <c r="CL145" s="99">
        <f>IF(AND(Database!FW89&gt;1,Database!FW18&gt;1),100*(Database!FW89/(Database!FW18)),0.0001)</f>
        <v>1E-4</v>
      </c>
      <c r="CM145" s="99">
        <f>IF(AND(Database!FY89&gt;1,Database!FY18&gt;1),100*(Database!FY89/(Database!FY18)),0.0001)</f>
        <v>1E-4</v>
      </c>
      <c r="CN145" s="99">
        <f>IF(AND(Database!GA89&gt;1,Database!GA18&gt;1),100*(Database!GA89/(Database!GA18)),0.0001)</f>
        <v>1E-4</v>
      </c>
      <c r="CO145" s="99">
        <f>IF(AND(Database!GC89&gt;1,Database!GC18&gt;1),100*(Database!GC89/(Database!GC18)),0.0001)</f>
        <v>1E-4</v>
      </c>
      <c r="CP145" s="99">
        <f>IF(AND(Database!GE89&gt;1,Database!GE18&gt;1),100*(Database!GE89/(Database!GE18)),0.0001)</f>
        <v>1E-4</v>
      </c>
      <c r="CQ145" s="99">
        <f>IF(AND(Database!GG89&gt;1,Database!GG18&gt;1),100*(Database!GG89/(Database!GG18)),0.0001)</f>
        <v>1E-4</v>
      </c>
      <c r="CR145" s="99">
        <f>IF(AND(Database!GI89&gt;1,Database!GI18&gt;1),100*(Database!GI89/(Database!GI18)),0.0001)</f>
        <v>1E-4</v>
      </c>
      <c r="CS145" s="99">
        <f>IF(AND(Database!GK89&gt;1,Database!GK18&gt;1),100*(Database!GK89/(Database!GK18)),0.0001)</f>
        <v>1E-4</v>
      </c>
      <c r="CT145" s="99">
        <f>IF(AND(Database!GM89&gt;1,Database!GM18&gt;1),100*(Database!GM89/(Database!GM18)),0.0001)</f>
        <v>1E-4</v>
      </c>
      <c r="CU145" s="99">
        <f>IF(AND(Database!GO89&gt;1,Database!GO18&gt;1),100*(Database!GO89/(Database!GO18)),0.0001)</f>
        <v>1E-4</v>
      </c>
      <c r="CV145" s="99">
        <f>IF(AND(Database!GQ89&gt;1,Database!GQ18&gt;1),100*(Database!GQ89/(Database!GQ18)),0.0001)</f>
        <v>1E-4</v>
      </c>
      <c r="CW145" s="99">
        <f>IF(AND(Database!GS89&gt;1,Database!GS18&gt;1),100*(Database!GS89/(Database!GS18)),0.0001)</f>
        <v>1E-4</v>
      </c>
      <c r="CX145" s="99">
        <f>IF(AND(Database!GU89&gt;1,Database!GU18&gt;1),100*(Database!GU89/(Database!GU18)),0.0001)</f>
        <v>1E-4</v>
      </c>
      <c r="CY145" s="99">
        <f>IF(AND(Database!GW89&gt;1,Database!GW18&gt;1),100*(Database!GW89/(Database!GW18)),0.0001)</f>
        <v>1E-4</v>
      </c>
      <c r="CZ145" s="99">
        <f>IF(AND(Database!GY89&gt;1,Database!GY18&gt;1),100*(Database!GY89/(Database!GY18)),0.0001)</f>
        <v>1E-4</v>
      </c>
      <c r="DA145" s="99">
        <f>IF(AND(Database!HA89&gt;1,Database!HA18&gt;1),100*(Database!HA89/(Database!HA18)),0.0001)</f>
        <v>1E-4</v>
      </c>
      <c r="DB145" s="99">
        <f>IF(AND(Database!HC89&gt;1,Database!HC18&gt;1),100*(Database!HC89/(Database!HC18)),0.0001)</f>
        <v>1E-4</v>
      </c>
      <c r="DC145" s="99">
        <f>IF(AND(Database!HE89&gt;1,Database!HE18&gt;1),100*(Database!HE89/(Database!HE18)),0.0001)</f>
        <v>1E-4</v>
      </c>
      <c r="DD145" s="99">
        <f>IF(AND(Database!HG89&gt;1,Database!HG18&gt;1),100*(Database!HG89/(Database!HG18)),0.0001)</f>
        <v>1E-4</v>
      </c>
      <c r="DE145" s="99">
        <f>IF(AND(Database!HI89&gt;1,Database!HI18&gt;1),100*(Database!HI89/(Database!HI18)),0.0001)</f>
        <v>1E-4</v>
      </c>
      <c r="DF145" s="99">
        <f>IF(AND(Database!HK89&gt;1,Database!HK18&gt;1),100*(Database!HK89/(Database!HK18)),0.0001)</f>
        <v>1E-4</v>
      </c>
      <c r="DG145" s="99">
        <f>IF(AND(Database!HM89&gt;1,Database!HM18&gt;1),100*(Database!HM89/(Database!HM18)),0.0001)</f>
        <v>1E-4</v>
      </c>
      <c r="DH145" s="99">
        <f>IF(AND(Database!HO89&gt;1,Database!HO18&gt;1),100*(Database!HO89/(Database!HO18)),0.0001)</f>
        <v>1E-4</v>
      </c>
      <c r="DI145" s="99">
        <f>IF(AND(Database!HQ89&gt;1,Database!HQ18&gt;1),100*(Database!HQ89/(Database!HQ18)),0.0001)</f>
        <v>1E-4</v>
      </c>
      <c r="DJ145" s="99">
        <f>IF(AND(Database!HS89&gt;1,Database!HS18&gt;1),100*(Database!HS89/(Database!HS18)),0.0001)</f>
        <v>1E-4</v>
      </c>
      <c r="DK145" s="99">
        <f>IF(AND(Database!HU89&gt;1,Database!HU18&gt;1),100*(Database!HU89/(Database!HU18)),0.0001)</f>
        <v>1E-4</v>
      </c>
      <c r="DL145" s="99">
        <f>IF(AND(Database!HW89&gt;1,Database!HW18&gt;1),100*(Database!HW89/(Database!HW18)),0.0001)</f>
        <v>1E-4</v>
      </c>
      <c r="DM145" s="99">
        <f>IF(AND(Database!HY89&gt;1,Database!HY18&gt;1),100*(Database!HY89/(Database!HY18)),0.0001)</f>
        <v>1E-4</v>
      </c>
      <c r="DN145" s="99">
        <f>IF(AND(Database!IA89&gt;1,Database!IA18&gt;1),100*(Database!IA89/(Database!IA18)),0.0001)</f>
        <v>1E-4</v>
      </c>
      <c r="DO145" s="99">
        <f>IF(AND(Database!IC89&gt;1,Database!IC18&gt;1),100*(Database!IC89/(Database!IC18)),0.0001)</f>
        <v>1E-4</v>
      </c>
      <c r="DP145" s="99">
        <f>IF(AND(Database!IE89&gt;1,Database!IE18&gt;1),100*(Database!IE89/(Database!IE18)),0.0001)</f>
        <v>1E-4</v>
      </c>
      <c r="DQ145" s="99">
        <f>IF(AND(Database!IG89&gt;1,Database!IG18&gt;1),100*(Database!IG89/(Database!IG18)),0.0001)</f>
        <v>1E-4</v>
      </c>
      <c r="DR145" s="99">
        <f>IF(AND(Database!II89&gt;1,Database!II18&gt;1),100*(Database!II89/(Database!II18)),0.0001)</f>
        <v>1E-4</v>
      </c>
      <c r="DS145" s="99">
        <f>IF(AND(Database!IK89&gt;1,Database!IK18&gt;1),100*(Database!IK89/(Database!IK18)),0.0001)</f>
        <v>1E-4</v>
      </c>
      <c r="DT145" s="99">
        <f>IF(AND(Database!IM89&gt;1,Database!IM18&gt;1),100*(Database!IM89/(Database!IM18)),0.0001)</f>
        <v>1E-4</v>
      </c>
      <c r="DU145" s="99">
        <f>IF(AND(Database!IO89&gt;1,Database!IO18&gt;1),100*(Database!IO89/(Database!IO18)),0.0001)</f>
        <v>1E-4</v>
      </c>
      <c r="DV145" s="99">
        <f>IF(AND(Database!IQ89&gt;1,Database!IQ18&gt;1),100*(Database!IQ89/(Database!IQ18)),0.0001)</f>
        <v>1E-4</v>
      </c>
      <c r="DW145" s="99">
        <f>IF(AND(Database!IS89&gt;1,Database!IS18&gt;1),100*(Database!IS89/(Database!IS18)),0.0001)</f>
        <v>1E-4</v>
      </c>
      <c r="DX145" s="99">
        <f>IF(AND(Database!IU89&gt;1,Database!IU18&gt;1),100*(Database!IU89/(Database!IU18)),0.0001)</f>
        <v>1E-4</v>
      </c>
      <c r="DY145" s="99">
        <f>IF(AND(Database!IW89&gt;1,Database!IW18&gt;1),100*(Database!IW89/(Database!IW18)),0.0001)</f>
        <v>1E-4</v>
      </c>
      <c r="DZ145" s="99">
        <f>IF(AND(Database!IY89&gt;1,Database!IY18&gt;1),100*(Database!IY89/(Database!IY18)),0.0001)</f>
        <v>1E-4</v>
      </c>
      <c r="EA145" s="99">
        <f>IF(AND(Database!JA89&gt;1,Database!JA18&gt;1),100*(Database!JA89/(Database!JA18)),0.0001)</f>
        <v>1E-4</v>
      </c>
      <c r="EB145" s="99">
        <f>IF(AND(Database!JC89&gt;1,Database!JC18&gt;1),100*(Database!JC89/(Database!JC18)),0.0001)</f>
        <v>1E-4</v>
      </c>
      <c r="EC145" s="99">
        <f>IF(AND(Database!JE89&gt;1,Database!JE18&gt;1),100*(Database!JE89/(Database!JE18)),0.0001)</f>
        <v>1E-4</v>
      </c>
      <c r="ED145" s="99">
        <f>IF(AND(Database!JG89&gt;1,Database!JG18&gt;1),100*(Database!JG89/(Database!JG18)),0.0001)</f>
        <v>1E-4</v>
      </c>
      <c r="EE145" s="99">
        <f>IF(AND(Database!JI89&gt;1,Database!JI18&gt;1),100*(Database!JI89/(Database!JI18)),0.0001)</f>
        <v>1E-4</v>
      </c>
      <c r="EF145" s="99">
        <f>IF(AND(Database!JK89&gt;1,Database!JK18&gt;1),100*(Database!JK89/(Database!JK18)),0.0001)</f>
        <v>1E-4</v>
      </c>
      <c r="EG145" s="99">
        <f>IF(AND(Database!JM89&gt;1,Database!JM18&gt;1),100*(Database!JM89/(Database!JM18)),0.0001)</f>
        <v>1E-4</v>
      </c>
      <c r="EH145" s="99">
        <f>IF(AND(Database!JO89&gt;1,Database!JO18&gt;1),100*(Database!JO89/(Database!JO18)),0.0001)</f>
        <v>1E-4</v>
      </c>
      <c r="EI145" s="99">
        <f>IF(AND(Database!JQ89&gt;1,Database!JQ18&gt;1),100*(Database!JQ89/(Database!JQ18)),0.0001)</f>
        <v>1E-4</v>
      </c>
      <c r="EJ145" s="99">
        <f>IF(AND(Database!JS89&gt;1,Database!JS18&gt;1),100*(Database!JS89/(Database!JS18)),0.0001)</f>
        <v>1E-4</v>
      </c>
      <c r="EK145" s="99">
        <f>IF(AND(Database!JU89&gt;1,Database!JU18&gt;1),100*(Database!JU89/(Database!JU18)),0.0001)</f>
        <v>1E-4</v>
      </c>
      <c r="EL145" s="99">
        <f>IF(AND(Database!JW89&gt;1,Database!JW18&gt;1),100*(Database!JW89/(Database!JW18)),0.0001)</f>
        <v>1E-4</v>
      </c>
      <c r="EM145" s="99">
        <f>IF(AND(Database!JY89&gt;1,Database!JY18&gt;1),100*(Database!JY89/(Database!JY18)),0.0001)</f>
        <v>1E-4</v>
      </c>
      <c r="EN145" s="99">
        <f>IF(AND(Database!KA89&gt;1,Database!KA18&gt;1),100*(Database!KA89/(Database!KA18)),0.0001)</f>
        <v>1E-4</v>
      </c>
      <c r="EO145" s="99">
        <f>IF(AND(Database!KC89&gt;1,Database!KC18&gt;1),100*(Database!KC89/(Database!KC18)),0.0001)</f>
        <v>1E-4</v>
      </c>
      <c r="EP145" s="99">
        <f>IF(AND(Database!KE89&gt;1,Database!KE18&gt;1),100*(Database!KE89/(Database!KE18)),0.0001)</f>
        <v>1E-4</v>
      </c>
      <c r="EQ145" s="99">
        <f>IF(AND(Database!KG89&gt;1,Database!KG18&gt;1),100*(Database!KG89/(Database!KG18)),0.0001)</f>
        <v>1E-4</v>
      </c>
      <c r="ER145" s="99">
        <f>IF(AND(Database!KI89&gt;1,Database!KI18&gt;1),100*(Database!KI89/(Database!KI18)),0.0001)</f>
        <v>1E-4</v>
      </c>
      <c r="ES145" s="99">
        <f>IF(AND(Database!KK89&gt;1,Database!KK18&gt;1),100*(Database!KK89/(Database!KK18)),0.0001)</f>
        <v>1E-4</v>
      </c>
      <c r="ET145" s="99">
        <f>IF(AND(Database!KM89&gt;1,Database!KM18&gt;1),100*(Database!KM89/(Database!KM18)),0.0001)</f>
        <v>1E-4</v>
      </c>
      <c r="EU145" s="99">
        <f>IF(AND(Database!KO89&gt;1,Database!KO18&gt;1),100*(Database!KO89/(Database!KO18)),0.0001)</f>
        <v>1E-4</v>
      </c>
      <c r="EV145" s="99">
        <f>IF(AND(Database!KQ89&gt;1,Database!KQ18&gt;1),100*(Database!KQ89/(Database!KQ18)),0.0001)</f>
        <v>1E-4</v>
      </c>
      <c r="EW145" s="99">
        <f>IF(AND(Database!KS89&gt;1,Database!KS18&gt;1),100*(Database!KS89/(Database!KS18)),0.0001)</f>
        <v>1E-4</v>
      </c>
      <c r="EX145" s="99">
        <f>IF(AND(Database!KU89&gt;1,Database!KU18&gt;1),100*(Database!KU89/(Database!KU18)),0.0001)</f>
        <v>1E-4</v>
      </c>
      <c r="EY145" s="99">
        <f>IF(AND(Database!KW89&gt;1,Database!KW18&gt;1),100*(Database!KW89/(Database!KW18)),0.0001)</f>
        <v>1E-4</v>
      </c>
      <c r="EZ145" s="99">
        <f>IF(AND(Database!KY89&gt;1,Database!KY18&gt;1),100*(Database!KY89/(Database!KY18)),0.0001)</f>
        <v>1E-4</v>
      </c>
      <c r="FA145" s="99">
        <f>IF(AND(Database!LA89&gt;1,Database!LA18&gt;1),100*(Database!LA89/(Database!LA18)),0.0001)</f>
        <v>1E-4</v>
      </c>
      <c r="FB145" s="99">
        <f>IF(AND(Database!LC89&gt;1,Database!LC18&gt;1),100*(Database!LC89/(Database!LC18)),0.0001)</f>
        <v>1E-4</v>
      </c>
      <c r="FC145" s="99">
        <f>IF(AND(Database!LE89&gt;1,Database!LE18&gt;1),100*(Database!LE89/(Database!LE18)),0.0001)</f>
        <v>1E-4</v>
      </c>
      <c r="FD145" s="99">
        <f>IF(AND(Database!LG89&gt;1,Database!LG18&gt;1),100*(Database!LG89/(Database!LG18)),0.0001)</f>
        <v>1E-4</v>
      </c>
      <c r="FE145" s="99">
        <f>IF(AND(Database!LI89&gt;1,Database!LI18&gt;1),100*(Database!LI89/(Database!LI18)),0.0001)</f>
        <v>1E-4</v>
      </c>
      <c r="FF145" s="99">
        <f>IF(AND(Database!LK89&gt;1,Database!LK18&gt;1),100*(Database!LK89/(Database!LK18)),0.0001)</f>
        <v>1E-4</v>
      </c>
      <c r="FG145" s="99">
        <f>IF(AND(Database!LM89&gt;1,Database!LM18&gt;1),100*(Database!LM89/(Database!LM18)),0.0001)</f>
        <v>1E-4</v>
      </c>
      <c r="FH145" s="99">
        <f>IF(AND(Database!LO89&gt;1,Database!LO18&gt;1),100*(Database!LO89/(Database!LO18)),0.0001)</f>
        <v>1E-4</v>
      </c>
      <c r="FI145" s="99">
        <f>IF(AND(Database!LQ89&gt;1,Database!LQ18&gt;1),100*(Database!LQ89/(Database!LQ18)),0.0001)</f>
        <v>1E-4</v>
      </c>
      <c r="FJ145" s="99">
        <f>IF(AND(Database!LS89&gt;1,Database!LS18&gt;1),100*(Database!LS89/(Database!LS18)),0.0001)</f>
        <v>1E-4</v>
      </c>
      <c r="FK145" s="99">
        <f>IF(AND(Database!LU89&gt;1,Database!LU18&gt;1),100*(Database!LU89/(Database!LU18)),0.0001)</f>
        <v>1E-4</v>
      </c>
      <c r="FL145" s="99">
        <f>IF(AND(Database!LW89&gt;1,Database!LW18&gt;1),100*(Database!LW89/(Database!LW18)),0.0001)</f>
        <v>1E-4</v>
      </c>
      <c r="FM145" s="99">
        <f>IF(AND(Database!LY89&gt;1,Database!LY18&gt;1),100*(Database!LY89/(Database!LY18)),0.0001)</f>
        <v>1E-4</v>
      </c>
      <c r="FN145" s="99">
        <f>IF(AND(Database!MA89&gt;1,Database!MA18&gt;1),100*(Database!MA89/(Database!MA18)),0.0001)</f>
        <v>1E-4</v>
      </c>
      <c r="FO145" s="99">
        <f>IF(AND(Database!MC89&gt;1,Database!MC18&gt;1),100*(Database!MC89/(Database!MC18)),0.0001)</f>
        <v>1E-4</v>
      </c>
      <c r="FP145" s="99">
        <f>IF(AND(Database!ME89&gt;1,Database!ME18&gt;1),100*(Database!ME89/(Database!ME18)),0.0001)</f>
        <v>1E-4</v>
      </c>
      <c r="FQ145" s="99">
        <f>IF(AND(Database!MG89&gt;1,Database!MG18&gt;1),100*(Database!MG89/(Database!MG18)),0.0001)</f>
        <v>1E-4</v>
      </c>
      <c r="FR145" s="99">
        <f>IF(AND(Database!MI89&gt;1,Database!MI18&gt;1),100*(Database!MI89/(Database!MI18)),0.0001)</f>
        <v>1E-4</v>
      </c>
      <c r="FS145" s="99">
        <f>IF(AND(Database!MK89&gt;1,Database!MK18&gt;1),100*(Database!MK89/(Database!MK18)),0.0001)</f>
        <v>1E-4</v>
      </c>
      <c r="FT145" s="99">
        <f>IF(AND(Database!MM89&gt;1,Database!MM18&gt;1),100*(Database!MM89/(Database!MM18)),0.0001)</f>
        <v>1E-4</v>
      </c>
      <c r="FU145" s="99">
        <f>IF(AND(Database!MO89&gt;1,Database!MO18&gt;1),100*(Database!MO89/(Database!MO18)),0.0001)</f>
        <v>1E-4</v>
      </c>
      <c r="FV145" s="99">
        <f>IF(AND(Database!MQ89&gt;1,Database!MQ18&gt;1),100*(Database!MQ89/(Database!MQ18)),0.0001)</f>
        <v>1E-4</v>
      </c>
      <c r="FW145" s="99">
        <f>IF(AND(Database!MS89&gt;1,Database!MS18&gt;1),100*(Database!MS89/(Database!MS18)),0.0001)</f>
        <v>1E-4</v>
      </c>
      <c r="FX145" s="99">
        <f>IF(AND(Database!MU89&gt;1,Database!MU18&gt;1),100*(Database!MU89/(Database!MU18)),0.0001)</f>
        <v>1E-4</v>
      </c>
      <c r="FY145" s="99">
        <f>IF(AND(Database!MW89&gt;1,Database!MW18&gt;1),100*(Database!MW89/(Database!MW18)),0.0001)</f>
        <v>1E-4</v>
      </c>
      <c r="FZ145" s="99">
        <f>IF(AND(Database!MY89&gt;1,Database!MY18&gt;1),100*(Database!MY89/(Database!MY18)),0.0001)</f>
        <v>1E-4</v>
      </c>
      <c r="GA145" s="99">
        <f>IF(AND(Database!NA89&gt;1,Database!NA18&gt;1),100*(Database!NA89/(Database!NA18)),0.0001)</f>
        <v>1E-4</v>
      </c>
      <c r="GB145" s="99">
        <f>IF(AND(Database!NC89&gt;1,Database!NC18&gt;1),100*(Database!NC89/(Database!NC18)),0.0001)</f>
        <v>1E-4</v>
      </c>
      <c r="GC145" s="99">
        <f>IF(AND(Database!NE89&gt;1,Database!NE18&gt;1),100*(Database!NE89/(Database!NE18)),0.0001)</f>
        <v>1E-4</v>
      </c>
      <c r="GD145" s="99">
        <f>IF(AND(Database!NG89&gt;1,Database!NG18&gt;1),100*(Database!NG89/(Database!NG18)),0.0001)</f>
        <v>1E-4</v>
      </c>
      <c r="GE145" s="99">
        <f>IF(AND(Database!NI89&gt;1,Database!NI18&gt;1),100*(Database!NI89/(Database!NI18)),0.0001)</f>
        <v>1E-4</v>
      </c>
      <c r="GF145" s="99">
        <f>IF(AND(Database!NK89&gt;1,Database!NK18&gt;1),100*(Database!NK89/(Database!NK18)),0.0001)</f>
        <v>1E-4</v>
      </c>
      <c r="GG145" s="99">
        <f>IF(AND(Database!NM89&gt;1,Database!NM18&gt;1),100*(Database!NM89/(Database!NM18)),0.0001)</f>
        <v>1E-4</v>
      </c>
      <c r="GH145" s="99">
        <f>IF(AND(Database!NO89&gt;1,Database!NO18&gt;1),100*(Database!NO89/(Database!NO18)),0.0001)</f>
        <v>1E-4</v>
      </c>
      <c r="GI145" s="99">
        <f>IF(AND(Database!NQ89&gt;1,Database!NQ18&gt;1),100*(Database!NQ89/(Database!NQ18)),0.0001)</f>
        <v>1E-4</v>
      </c>
      <c r="GJ145" s="99">
        <f>IF(AND(Database!NS89&gt;1,Database!NS18&gt;1),100*(Database!NS89/(Database!NS18)),0.0001)</f>
        <v>1E-4</v>
      </c>
      <c r="GK145" s="99">
        <f>IF(AND(Database!NU89&gt;1,Database!NU18&gt;1),100*(Database!NU89/(Database!NU18)),0.0001)</f>
        <v>1E-4</v>
      </c>
      <c r="GL145" s="99">
        <f>IF(AND(Database!NW89&gt;1,Database!NW18&gt;1),100*(Database!NW89/(Database!NW18)),0.0001)</f>
        <v>1E-4</v>
      </c>
      <c r="GM145" s="99">
        <f>IF(AND(Database!NY89&gt;1,Database!NY18&gt;1),100*(Database!NY89/(Database!NY18)),0.0001)</f>
        <v>1E-4</v>
      </c>
      <c r="GN145" s="99">
        <f>IF(AND(Database!OA89&gt;1,Database!OA18&gt;1),100*(Database!OA89/(Database!OA18)),0.0001)</f>
        <v>1E-4</v>
      </c>
      <c r="GO145" s="99">
        <f>IF(AND(Database!OC89&gt;1,Database!OC18&gt;1),100*(Database!OC89/(Database!OC18)),0.0001)</f>
        <v>1E-4</v>
      </c>
      <c r="GP145" s="99">
        <f>IF(AND(Database!OE89&gt;1,Database!OE18&gt;1),100*(Database!OE89/(Database!OE18)),0.0001)</f>
        <v>1E-4</v>
      </c>
      <c r="GQ145" s="99">
        <f>IF(AND(Database!OG89&gt;1,Database!OG18&gt;1),100*(Database!OG89/(Database!OG18)),0.0001)</f>
        <v>1E-4</v>
      </c>
      <c r="GR145" s="99">
        <f>IF(AND(Database!OI89&gt;1,Database!OI18&gt;1),100*(Database!OI89/(Database!OI18)),0.0001)</f>
        <v>1E-4</v>
      </c>
      <c r="GS145" s="99">
        <f>IF(AND(Database!OK89&gt;1,Database!OK18&gt;1),100*(Database!OK89/(Database!OK18)),0.0001)</f>
        <v>1E-4</v>
      </c>
      <c r="GT145" s="30">
        <f>IF(AND(Database!OM89&gt;1,Database!OM18&gt;1),100*(Database!OM89/(Database!OM18)),0.0001)</f>
        <v>1E-4</v>
      </c>
      <c r="GU145" s="99"/>
      <c r="GV145" s="99"/>
      <c r="GW145" s="99"/>
    </row>
    <row r="146" spans="1:205" ht="18.75" customHeight="1" x14ac:dyDescent="0.4">
      <c r="A146" s="240" t="s">
        <v>156</v>
      </c>
      <c r="B146" s="96"/>
      <c r="C146" s="260">
        <f>IF(AND(Database!E89&gt;1,Database!E34&gt;1),100*(Database!E89/(Database!E34)),0.0001)</f>
        <v>10.794913280812906</v>
      </c>
      <c r="D146" s="99">
        <f>IF(AND(Database!G89&gt;1,Database!G34&gt;1),100*(Database!G89/(Database!G34)),0.0001)</f>
        <v>8.0926541805239527</v>
      </c>
      <c r="E146" s="99">
        <f>IF(AND(Database!I89&gt;1,Database!I34&gt;1),100*(Database!I89/(Database!I34)),0.0001)</f>
        <v>10.357444413171969</v>
      </c>
      <c r="F146" s="99">
        <f>IF(AND(Database!K89&gt;1,Database!K34&gt;1),100*(Database!K89/(Database!K34)),0.0001)</f>
        <v>11.63098435771844</v>
      </c>
      <c r="G146" s="99">
        <f>IF(AND(Database!M89&gt;1,Database!M34&gt;1),100*(Database!M89/(Database!M34)),0.0001)</f>
        <v>1E-4</v>
      </c>
      <c r="H146" s="99">
        <f>IF(AND(Database!O89&gt;1,Database!O34&gt;1),100*(Database!O89/(Database!O34)),0.0001)</f>
        <v>1E-4</v>
      </c>
      <c r="I146" s="99">
        <f>IF(AND(Database!Q89&gt;1,Database!Q34&gt;1),100*(Database!Q89/(Database!Q34)),0.0001)</f>
        <v>1E-4</v>
      </c>
      <c r="J146" s="99">
        <f>IF(AND(Database!S89&gt;1,Database!S34&gt;1),100*(Database!S89/(Database!S34)),0.0001)</f>
        <v>1E-4</v>
      </c>
      <c r="K146" s="99">
        <f>IF(AND(Database!U89&gt;1,Database!U34&gt;1),100*(Database!U89/(Database!U34)),0.0001)</f>
        <v>1E-4</v>
      </c>
      <c r="L146" s="99">
        <f>IF(AND(Database!W89&gt;1,Database!W34&gt;1),100*(Database!W89/(Database!W34)),0.0001)</f>
        <v>1E-4</v>
      </c>
      <c r="M146" s="99">
        <f>IF(AND(Database!Y89&gt;1,Database!Y34&gt;1),100*(Database!Y89/(Database!Y34)),0.0001)</f>
        <v>1E-4</v>
      </c>
      <c r="N146" s="99">
        <f>IF(AND(Database!AA89&gt;1,Database!AA34&gt;1),100*(Database!AA89/(Database!AA34)),0.0001)</f>
        <v>1E-4</v>
      </c>
      <c r="O146" s="99">
        <f>IF(AND(Database!AC89&gt;1,Database!AC34&gt;1),100*(Database!AC89/(Database!AC34)),0.0001)</f>
        <v>1E-4</v>
      </c>
      <c r="P146" s="99">
        <f>IF(AND(Database!AE89&gt;1,Database!AE34&gt;1),100*(Database!AE89/(Database!AE34)),0.0001)</f>
        <v>1E-4</v>
      </c>
      <c r="Q146" s="99">
        <f>IF(AND(Database!AG89&gt;1,Database!AG34&gt;1),100*(Database!AG89/(Database!AG34)),0.0001)</f>
        <v>1E-4</v>
      </c>
      <c r="R146" s="99">
        <f>IF(AND(Database!AI89&gt;1,Database!AI34&gt;1),100*(Database!AI89/(Database!AI34)),0.0001)</f>
        <v>1E-4</v>
      </c>
      <c r="S146" s="99">
        <f>IF(AND(Database!AK89&gt;1,Database!AK34&gt;1),100*(Database!AK89/(Database!AK34)),0.0001)</f>
        <v>1E-4</v>
      </c>
      <c r="T146" s="99">
        <f>IF(AND(Database!AM89&gt;1,Database!AM34&gt;1),100*(Database!AM89/(Database!AM34)),0.0001)</f>
        <v>1E-4</v>
      </c>
      <c r="U146" s="99">
        <f>IF(AND(Database!AO89&gt;1,Database!AO34&gt;1),100*(Database!AO89/(Database!AO34)),0.0001)</f>
        <v>1E-4</v>
      </c>
      <c r="V146" s="99">
        <f>IF(AND(Database!AQ89&gt;1,Database!AQ34&gt;1),100*(Database!AQ89/(Database!AQ34)),0.0001)</f>
        <v>1E-4</v>
      </c>
      <c r="W146" s="99">
        <f>IF(AND(Database!AS89&gt;1,Database!AS34&gt;1),100*(Database!AS89/(Database!AS34)),0.0001)</f>
        <v>1E-4</v>
      </c>
      <c r="X146" s="99">
        <f>IF(AND(Database!AU89&gt;1,Database!AU34&gt;1),100*(Database!AU89/(Database!AU34)),0.0001)</f>
        <v>1E-4</v>
      </c>
      <c r="Y146" s="99">
        <f>IF(AND(Database!AW89&gt;1,Database!AW34&gt;1),100*(Database!AW89/(Database!AW34)),0.0001)</f>
        <v>1E-4</v>
      </c>
      <c r="Z146" s="99">
        <f>IF(AND(Database!AY89&gt;1,Database!AY34&gt;1),100*(Database!AY89/(Database!AY34)),0.0001)</f>
        <v>1E-4</v>
      </c>
      <c r="AA146" s="99">
        <f>IF(AND(Database!BA89&gt;1,Database!BA34&gt;1),100*(Database!BA89/(Database!BA34)),0.0001)</f>
        <v>1E-4</v>
      </c>
      <c r="AB146" s="99">
        <f>IF(AND(Database!BC89&gt;1,Database!BC34&gt;1),100*(Database!BC89/(Database!BC34)),0.0001)</f>
        <v>1E-4</v>
      </c>
      <c r="AC146" s="99">
        <f>IF(AND(Database!BE89&gt;1,Database!BE34&gt;1),100*(Database!BE89/(Database!BE34)),0.0001)</f>
        <v>1E-4</v>
      </c>
      <c r="AD146" s="99">
        <f>IF(AND(Database!BG89&gt;1,Database!BG34&gt;1),100*(Database!BG89/(Database!BG34)),0.0001)</f>
        <v>1E-4</v>
      </c>
      <c r="AE146" s="99">
        <f>IF(AND(Database!BI89&gt;1,Database!BI34&gt;1),100*(Database!BI89/(Database!BI34)),0.0001)</f>
        <v>1E-4</v>
      </c>
      <c r="AF146" s="99">
        <f>IF(AND(Database!BK89&gt;1,Database!BK34&gt;1),100*(Database!BK89/(Database!BK34)),0.0001)</f>
        <v>1E-4</v>
      </c>
      <c r="AG146" s="99">
        <f>IF(AND(Database!BM89&gt;1,Database!BM34&gt;1),100*(Database!BM89/(Database!BM34)),0.0001)</f>
        <v>1E-4</v>
      </c>
      <c r="AH146" s="99">
        <f>IF(AND(Database!BO89&gt;1,Database!BO34&gt;1),100*(Database!BO89/(Database!BO34)),0.0001)</f>
        <v>1E-4</v>
      </c>
      <c r="AI146" s="99">
        <f>IF(AND(Database!BQ89&gt;1,Database!BQ34&gt;1),100*(Database!BQ89/(Database!BQ34)),0.0001)</f>
        <v>1E-4</v>
      </c>
      <c r="AJ146" s="99">
        <f>IF(AND(Database!BS89&gt;1,Database!BS34&gt;1),100*(Database!BS89/(Database!BS34)),0.0001)</f>
        <v>1E-4</v>
      </c>
      <c r="AK146" s="99">
        <f>IF(AND(Database!BU89&gt;1,Database!BU34&gt;1),100*(Database!BU89/(Database!BU34)),0.0001)</f>
        <v>1E-4</v>
      </c>
      <c r="AL146" s="99">
        <f>IF(AND(Database!BW89&gt;1,Database!BW34&gt;1),100*(Database!BW89/(Database!BW34)),0.0001)</f>
        <v>1E-4</v>
      </c>
      <c r="AM146" s="99">
        <f>IF(AND(Database!BY89&gt;1,Database!BY34&gt;1),100*(Database!BY89/(Database!BY34)),0.0001)</f>
        <v>1E-4</v>
      </c>
      <c r="AN146" s="99">
        <f>IF(AND(Database!CA89&gt;1,Database!CA34&gt;1),100*(Database!CA89/(Database!CA34)),0.0001)</f>
        <v>1E-4</v>
      </c>
      <c r="AO146" s="99">
        <f>IF(AND(Database!CC89&gt;1,Database!CC34&gt;1),100*(Database!CC89/(Database!CC34)),0.0001)</f>
        <v>1E-4</v>
      </c>
      <c r="AP146" s="99">
        <f>IF(AND(Database!CE89&gt;1,Database!CE34&gt;1),100*(Database!CE89/(Database!CE34)),0.0001)</f>
        <v>1E-4</v>
      </c>
      <c r="AQ146" s="99">
        <f>IF(AND(Database!CG89&gt;1,Database!CG34&gt;1),100*(Database!CG89/(Database!CG34)),0.0001)</f>
        <v>1E-4</v>
      </c>
      <c r="AR146" s="99">
        <f>IF(AND(Database!CI89&gt;1,Database!CI34&gt;1),100*(Database!CI89/(Database!CI34)),0.0001)</f>
        <v>1E-4</v>
      </c>
      <c r="AS146" s="99">
        <f>IF(AND(Database!CK89&gt;1,Database!CK34&gt;1),100*(Database!CK89/(Database!CK34)),0.0001)</f>
        <v>1E-4</v>
      </c>
      <c r="AT146" s="99">
        <f>IF(AND(Database!CM89&gt;1,Database!CM34&gt;1),100*(Database!CM89/(Database!CM34)),0.0001)</f>
        <v>1E-4</v>
      </c>
      <c r="AU146" s="99">
        <f>IF(AND(Database!CO89&gt;1,Database!CO34&gt;1),100*(Database!CO89/(Database!CO34)),0.0001)</f>
        <v>1E-4</v>
      </c>
      <c r="AV146" s="99">
        <f>IF(AND(Database!CQ89&gt;1,Database!CQ34&gt;1),100*(Database!CQ89/(Database!CQ34)),0.0001)</f>
        <v>1E-4</v>
      </c>
      <c r="AW146" s="99">
        <f>IF(AND(Database!CS89&gt;1,Database!CS34&gt;1),100*(Database!CS89/(Database!CS34)),0.0001)</f>
        <v>1E-4</v>
      </c>
      <c r="AX146" s="99">
        <f>IF(AND(Database!CU89&gt;1,Database!CU34&gt;1),100*(Database!CU89/(Database!CU34)),0.0001)</f>
        <v>1E-4</v>
      </c>
      <c r="AY146" s="99">
        <f>IF(AND(Database!CW89&gt;1,Database!CW34&gt;1),100*(Database!CW89/(Database!CW34)),0.0001)</f>
        <v>1E-4</v>
      </c>
      <c r="AZ146" s="99">
        <f>IF(AND(Database!CY89&gt;1,Database!CY34&gt;1),100*(Database!CY89/(Database!CY34)),0.0001)</f>
        <v>1E-4</v>
      </c>
      <c r="BA146" s="99">
        <f>IF(AND(Database!DA89&gt;1,Database!DA34&gt;1),100*(Database!DA89/(Database!DA34)),0.0001)</f>
        <v>1E-4</v>
      </c>
      <c r="BB146" s="99">
        <f>IF(AND(Database!DC89&gt;1,Database!DC34&gt;1),100*(Database!DC89/(Database!DC34)),0.0001)</f>
        <v>1E-4</v>
      </c>
      <c r="BC146" s="99">
        <f>IF(AND(Database!DE89&gt;1,Database!DE34&gt;1),100*(Database!DE89/(Database!DE34)),0.0001)</f>
        <v>1E-4</v>
      </c>
      <c r="BD146" s="99">
        <f>IF(AND(Database!DG89&gt;1,Database!DG34&gt;1),100*(Database!DG89/(Database!DG34)),0.0001)</f>
        <v>1E-4</v>
      </c>
      <c r="BE146" s="99">
        <f>IF(AND(Database!DI89&gt;1,Database!DI34&gt;1),100*(Database!DI89/(Database!DI34)),0.0001)</f>
        <v>1E-4</v>
      </c>
      <c r="BF146" s="99">
        <f>IF(AND(Database!DK89&gt;1,Database!DK34&gt;1),100*(Database!DK89/(Database!DK34)),0.0001)</f>
        <v>1E-4</v>
      </c>
      <c r="BG146" s="99">
        <f>IF(AND(Database!DM89&gt;1,Database!DM34&gt;1),100*(Database!DM89/(Database!DM34)),0.0001)</f>
        <v>1E-4</v>
      </c>
      <c r="BH146" s="99">
        <f>IF(AND(Database!DO89&gt;1,Database!DO34&gt;1),100*(Database!DO89/(Database!DO34)),0.0001)</f>
        <v>1E-4</v>
      </c>
      <c r="BI146" s="99">
        <f>IF(AND(Database!DQ89&gt;1,Database!DQ34&gt;1),100*(Database!DQ89/(Database!DQ34)),0.0001)</f>
        <v>1E-4</v>
      </c>
      <c r="BJ146" s="99">
        <f>IF(AND(Database!DS89&gt;1,Database!DS34&gt;1),100*(Database!DS89/(Database!DS34)),0.0001)</f>
        <v>1E-4</v>
      </c>
      <c r="BK146" s="99">
        <f>IF(AND(Database!DU89&gt;1,Database!DU34&gt;1),100*(Database!DU89/(Database!DU34)),0.0001)</f>
        <v>1E-4</v>
      </c>
      <c r="BL146" s="99">
        <f>IF(AND(Database!DW89&gt;1,Database!DW34&gt;1),100*(Database!DW89/(Database!DW34)),0.0001)</f>
        <v>1E-4</v>
      </c>
      <c r="BM146" s="99">
        <f>IF(AND(Database!DY89&gt;1,Database!DY34&gt;1),100*(Database!DY89/(Database!DY34)),0.0001)</f>
        <v>1E-4</v>
      </c>
      <c r="BN146" s="99">
        <f>IF(AND(Database!EA89&gt;1,Database!EA34&gt;1),100*(Database!EA89/(Database!EA34)),0.0001)</f>
        <v>1E-4</v>
      </c>
      <c r="BO146" s="99">
        <f>IF(AND(Database!EC89&gt;1,Database!EC34&gt;1),100*(Database!EC89/(Database!EC34)),0.0001)</f>
        <v>1E-4</v>
      </c>
      <c r="BP146" s="99">
        <f>IF(AND(Database!EE89&gt;1,Database!EE34&gt;1),100*(Database!EE89/(Database!EE34)),0.0001)</f>
        <v>1E-4</v>
      </c>
      <c r="BQ146" s="99">
        <f>IF(AND(Database!EG89&gt;1,Database!EG34&gt;1),100*(Database!EG89/(Database!EG34)),0.0001)</f>
        <v>1E-4</v>
      </c>
      <c r="BR146" s="99">
        <f>IF(AND(Database!EI89&gt;1,Database!EI34&gt;1),100*(Database!EI89/(Database!EI34)),0.0001)</f>
        <v>1E-4</v>
      </c>
      <c r="BS146" s="99">
        <f>IF(AND(Database!EK89&gt;1,Database!EK34&gt;1),100*(Database!EK89/(Database!EK34)),0.0001)</f>
        <v>1E-4</v>
      </c>
      <c r="BT146" s="99">
        <f>IF(AND(Database!EM89&gt;1,Database!EM34&gt;1),100*(Database!EM89/(Database!EM34)),0.0001)</f>
        <v>1E-4</v>
      </c>
      <c r="BU146" s="99">
        <f>IF(AND(Database!EO89&gt;1,Database!EO34&gt;1),100*(Database!EO89/(Database!EO34)),0.0001)</f>
        <v>1E-4</v>
      </c>
      <c r="BV146" s="99">
        <f>IF(AND(Database!EQ89&gt;1,Database!EQ34&gt;1),100*(Database!EQ89/(Database!EQ34)),0.0001)</f>
        <v>1E-4</v>
      </c>
      <c r="BW146" s="99">
        <f>IF(AND(Database!ES89&gt;1,Database!ES34&gt;1),100*(Database!ES89/(Database!ES34)),0.0001)</f>
        <v>1E-4</v>
      </c>
      <c r="BX146" s="99">
        <f>IF(AND(Database!EU89&gt;1,Database!EU34&gt;1),100*(Database!EU89/(Database!EU34)),0.0001)</f>
        <v>1E-4</v>
      </c>
      <c r="BY146" s="99">
        <f>IF(AND(Database!EW89&gt;1,Database!EW34&gt;1),100*(Database!EW89/(Database!EW34)),0.0001)</f>
        <v>1E-4</v>
      </c>
      <c r="BZ146" s="99">
        <f>IF(AND(Database!EY89&gt;1,Database!EY34&gt;1),100*(Database!EY89/(Database!EY34)),0.0001)</f>
        <v>1E-4</v>
      </c>
      <c r="CA146" s="99">
        <f>IF(AND(Database!FA89&gt;1,Database!FA34&gt;1),100*(Database!FA89/(Database!FA34)),0.0001)</f>
        <v>1E-4</v>
      </c>
      <c r="CB146" s="99">
        <f>IF(AND(Database!FC89&gt;1,Database!FC34&gt;1),100*(Database!FC89/(Database!FC34)),0.0001)</f>
        <v>1E-4</v>
      </c>
      <c r="CC146" s="99">
        <f>IF(AND(Database!FE89&gt;1,Database!FE34&gt;1),100*(Database!FE89/(Database!FE34)),0.0001)</f>
        <v>1E-4</v>
      </c>
      <c r="CD146" s="99">
        <f>IF(AND(Database!FG89&gt;1,Database!FG34&gt;1),100*(Database!FG89/(Database!FG34)),0.0001)</f>
        <v>1E-4</v>
      </c>
      <c r="CE146" s="99">
        <f>IF(AND(Database!FI89&gt;1,Database!FI34&gt;1),100*(Database!FI89/(Database!FI34)),0.0001)</f>
        <v>1E-4</v>
      </c>
      <c r="CF146" s="99">
        <f>IF(AND(Database!FK89&gt;1,Database!FK34&gt;1),100*(Database!FK89/(Database!FK34)),0.0001)</f>
        <v>1E-4</v>
      </c>
      <c r="CG146" s="99">
        <f>IF(AND(Database!FM89&gt;1,Database!FM34&gt;1),100*(Database!FM89/(Database!FM34)),0.0001)</f>
        <v>1E-4</v>
      </c>
      <c r="CH146" s="99">
        <f>IF(AND(Database!FO89&gt;1,Database!FO34&gt;1),100*(Database!FO89/(Database!FO34)),0.0001)</f>
        <v>1E-4</v>
      </c>
      <c r="CI146" s="99">
        <f>IF(AND(Database!FQ89&gt;1,Database!FQ34&gt;1),100*(Database!FQ89/(Database!FQ34)),0.0001)</f>
        <v>1E-4</v>
      </c>
      <c r="CJ146" s="99">
        <f>IF(AND(Database!FS89&gt;1,Database!FS34&gt;1),100*(Database!FS89/(Database!FS34)),0.0001)</f>
        <v>1E-4</v>
      </c>
      <c r="CK146" s="99">
        <f>IF(AND(Database!FU89&gt;1,Database!FU34&gt;1),100*(Database!FU89/(Database!FU34)),0.0001)</f>
        <v>1E-4</v>
      </c>
      <c r="CL146" s="99">
        <f>IF(AND(Database!FW89&gt;1,Database!FW34&gt;1),100*(Database!FW89/(Database!FW34)),0.0001)</f>
        <v>1E-4</v>
      </c>
      <c r="CM146" s="99">
        <f>IF(AND(Database!FY89&gt;1,Database!FY34&gt;1),100*(Database!FY89/(Database!FY34)),0.0001)</f>
        <v>1E-4</v>
      </c>
      <c r="CN146" s="99">
        <f>IF(AND(Database!GA89&gt;1,Database!GA34&gt;1),100*(Database!GA89/(Database!GA34)),0.0001)</f>
        <v>1E-4</v>
      </c>
      <c r="CO146" s="99">
        <f>IF(AND(Database!GC89&gt;1,Database!GC34&gt;1),100*(Database!GC89/(Database!GC34)),0.0001)</f>
        <v>1E-4</v>
      </c>
      <c r="CP146" s="99">
        <f>IF(AND(Database!GE89&gt;1,Database!GE34&gt;1),100*(Database!GE89/(Database!GE34)),0.0001)</f>
        <v>1E-4</v>
      </c>
      <c r="CQ146" s="99">
        <f>IF(AND(Database!GG89&gt;1,Database!GG34&gt;1),100*(Database!GG89/(Database!GG34)),0.0001)</f>
        <v>1E-4</v>
      </c>
      <c r="CR146" s="99">
        <f>IF(AND(Database!GI89&gt;1,Database!GI34&gt;1),100*(Database!GI89/(Database!GI34)),0.0001)</f>
        <v>1E-4</v>
      </c>
      <c r="CS146" s="99">
        <f>IF(AND(Database!GK89&gt;1,Database!GK34&gt;1),100*(Database!GK89/(Database!GK34)),0.0001)</f>
        <v>1E-4</v>
      </c>
      <c r="CT146" s="99">
        <f>IF(AND(Database!GM89&gt;1,Database!GM34&gt;1),100*(Database!GM89/(Database!GM34)),0.0001)</f>
        <v>1E-4</v>
      </c>
      <c r="CU146" s="99">
        <f>IF(AND(Database!GO89&gt;1,Database!GO34&gt;1),100*(Database!GO89/(Database!GO34)),0.0001)</f>
        <v>1E-4</v>
      </c>
      <c r="CV146" s="99">
        <f>IF(AND(Database!GQ89&gt;1,Database!GQ34&gt;1),100*(Database!GQ89/(Database!GQ34)),0.0001)</f>
        <v>1E-4</v>
      </c>
      <c r="CW146" s="99">
        <f>IF(AND(Database!GS89&gt;1,Database!GS34&gt;1),100*(Database!GS89/(Database!GS34)),0.0001)</f>
        <v>1E-4</v>
      </c>
      <c r="CX146" s="99">
        <f>IF(AND(Database!GU89&gt;1,Database!GU34&gt;1),100*(Database!GU89/(Database!GU34)),0.0001)</f>
        <v>1E-4</v>
      </c>
      <c r="CY146" s="99">
        <f>IF(AND(Database!GW89&gt;1,Database!GW34&gt;1),100*(Database!GW89/(Database!GW34)),0.0001)</f>
        <v>1E-4</v>
      </c>
      <c r="CZ146" s="99">
        <f>IF(AND(Database!GY89&gt;1,Database!GY34&gt;1),100*(Database!GY89/(Database!GY34)),0.0001)</f>
        <v>1E-4</v>
      </c>
      <c r="DA146" s="99">
        <f>IF(AND(Database!HA89&gt;1,Database!HA34&gt;1),100*(Database!HA89/(Database!HA34)),0.0001)</f>
        <v>1E-4</v>
      </c>
      <c r="DB146" s="99">
        <f>IF(AND(Database!HC89&gt;1,Database!HC34&gt;1),100*(Database!HC89/(Database!HC34)),0.0001)</f>
        <v>1E-4</v>
      </c>
      <c r="DC146" s="99">
        <f>IF(AND(Database!HE89&gt;1,Database!HE34&gt;1),100*(Database!HE89/(Database!HE34)),0.0001)</f>
        <v>1E-4</v>
      </c>
      <c r="DD146" s="99">
        <f>IF(AND(Database!HG89&gt;1,Database!HG34&gt;1),100*(Database!HG89/(Database!HG34)),0.0001)</f>
        <v>1E-4</v>
      </c>
      <c r="DE146" s="99">
        <f>IF(AND(Database!HI89&gt;1,Database!HI34&gt;1),100*(Database!HI89/(Database!HI34)),0.0001)</f>
        <v>1E-4</v>
      </c>
      <c r="DF146" s="99">
        <f>IF(AND(Database!HK89&gt;1,Database!HK34&gt;1),100*(Database!HK89/(Database!HK34)),0.0001)</f>
        <v>1E-4</v>
      </c>
      <c r="DG146" s="99">
        <f>IF(AND(Database!HM89&gt;1,Database!HM34&gt;1),100*(Database!HM89/(Database!HM34)),0.0001)</f>
        <v>1E-4</v>
      </c>
      <c r="DH146" s="99">
        <f>IF(AND(Database!HO89&gt;1,Database!HO34&gt;1),100*(Database!HO89/(Database!HO34)),0.0001)</f>
        <v>1E-4</v>
      </c>
      <c r="DI146" s="99">
        <f>IF(AND(Database!HQ89&gt;1,Database!HQ34&gt;1),100*(Database!HQ89/(Database!HQ34)),0.0001)</f>
        <v>1E-4</v>
      </c>
      <c r="DJ146" s="99">
        <f>IF(AND(Database!HS89&gt;1,Database!HS34&gt;1),100*(Database!HS89/(Database!HS34)),0.0001)</f>
        <v>1E-4</v>
      </c>
      <c r="DK146" s="99">
        <f>IF(AND(Database!HU89&gt;1,Database!HU34&gt;1),100*(Database!HU89/(Database!HU34)),0.0001)</f>
        <v>1E-4</v>
      </c>
      <c r="DL146" s="99">
        <f>IF(AND(Database!HW89&gt;1,Database!HW34&gt;1),100*(Database!HW89/(Database!HW34)),0.0001)</f>
        <v>1E-4</v>
      </c>
      <c r="DM146" s="99">
        <f>IF(AND(Database!HY89&gt;1,Database!HY34&gt;1),100*(Database!HY89/(Database!HY34)),0.0001)</f>
        <v>1E-4</v>
      </c>
      <c r="DN146" s="99">
        <f>IF(AND(Database!IA89&gt;1,Database!IA34&gt;1),100*(Database!IA89/(Database!IA34)),0.0001)</f>
        <v>1E-4</v>
      </c>
      <c r="DO146" s="99">
        <f>IF(AND(Database!IC89&gt;1,Database!IC34&gt;1),100*(Database!IC89/(Database!IC34)),0.0001)</f>
        <v>1E-4</v>
      </c>
      <c r="DP146" s="99">
        <f>IF(AND(Database!IE89&gt;1,Database!IE34&gt;1),100*(Database!IE89/(Database!IE34)),0.0001)</f>
        <v>1E-4</v>
      </c>
      <c r="DQ146" s="99">
        <f>IF(AND(Database!IG89&gt;1,Database!IG34&gt;1),100*(Database!IG89/(Database!IG34)),0.0001)</f>
        <v>1E-4</v>
      </c>
      <c r="DR146" s="99">
        <f>IF(AND(Database!II89&gt;1,Database!II34&gt;1),100*(Database!II89/(Database!II34)),0.0001)</f>
        <v>1E-4</v>
      </c>
      <c r="DS146" s="99">
        <f>IF(AND(Database!IK89&gt;1,Database!IK34&gt;1),100*(Database!IK89/(Database!IK34)),0.0001)</f>
        <v>1E-4</v>
      </c>
      <c r="DT146" s="99">
        <f>IF(AND(Database!IM89&gt;1,Database!IM34&gt;1),100*(Database!IM89/(Database!IM34)),0.0001)</f>
        <v>1E-4</v>
      </c>
      <c r="DU146" s="99">
        <f>IF(AND(Database!IO89&gt;1,Database!IO34&gt;1),100*(Database!IO89/(Database!IO34)),0.0001)</f>
        <v>1E-4</v>
      </c>
      <c r="DV146" s="99">
        <f>IF(AND(Database!IQ89&gt;1,Database!IQ34&gt;1),100*(Database!IQ89/(Database!IQ34)),0.0001)</f>
        <v>1E-4</v>
      </c>
      <c r="DW146" s="99">
        <f>IF(AND(Database!IS89&gt;1,Database!IS34&gt;1),100*(Database!IS89/(Database!IS34)),0.0001)</f>
        <v>1E-4</v>
      </c>
      <c r="DX146" s="99">
        <f>IF(AND(Database!IU89&gt;1,Database!IU34&gt;1),100*(Database!IU89/(Database!IU34)),0.0001)</f>
        <v>1E-4</v>
      </c>
      <c r="DY146" s="99">
        <f>IF(AND(Database!IW89&gt;1,Database!IW34&gt;1),100*(Database!IW89/(Database!IW34)),0.0001)</f>
        <v>1E-4</v>
      </c>
      <c r="DZ146" s="99">
        <f>IF(AND(Database!IY89&gt;1,Database!IY34&gt;1),100*(Database!IY89/(Database!IY34)),0.0001)</f>
        <v>1E-4</v>
      </c>
      <c r="EA146" s="99">
        <f>IF(AND(Database!JA89&gt;1,Database!JA34&gt;1),100*(Database!JA89/(Database!JA34)),0.0001)</f>
        <v>1E-4</v>
      </c>
      <c r="EB146" s="99">
        <f>IF(AND(Database!JC89&gt;1,Database!JC34&gt;1),100*(Database!JC89/(Database!JC34)),0.0001)</f>
        <v>1E-4</v>
      </c>
      <c r="EC146" s="99">
        <f>IF(AND(Database!JE89&gt;1,Database!JE34&gt;1),100*(Database!JE89/(Database!JE34)),0.0001)</f>
        <v>1E-4</v>
      </c>
      <c r="ED146" s="99">
        <f>IF(AND(Database!JG89&gt;1,Database!JG34&gt;1),100*(Database!JG89/(Database!JG34)),0.0001)</f>
        <v>1E-4</v>
      </c>
      <c r="EE146" s="99">
        <f>IF(AND(Database!JI89&gt;1,Database!JI34&gt;1),100*(Database!JI89/(Database!JI34)),0.0001)</f>
        <v>1E-4</v>
      </c>
      <c r="EF146" s="99">
        <f>IF(AND(Database!JK89&gt;1,Database!JK34&gt;1),100*(Database!JK89/(Database!JK34)),0.0001)</f>
        <v>1E-4</v>
      </c>
      <c r="EG146" s="99">
        <f>IF(AND(Database!JM89&gt;1,Database!JM34&gt;1),100*(Database!JM89/(Database!JM34)),0.0001)</f>
        <v>1E-4</v>
      </c>
      <c r="EH146" s="99">
        <f>IF(AND(Database!JO89&gt;1,Database!JO34&gt;1),100*(Database!JO89/(Database!JO34)),0.0001)</f>
        <v>1E-4</v>
      </c>
      <c r="EI146" s="99">
        <f>IF(AND(Database!JQ89&gt;1,Database!JQ34&gt;1),100*(Database!JQ89/(Database!JQ34)),0.0001)</f>
        <v>1E-4</v>
      </c>
      <c r="EJ146" s="99">
        <f>IF(AND(Database!JS89&gt;1,Database!JS34&gt;1),100*(Database!JS89/(Database!JS34)),0.0001)</f>
        <v>1E-4</v>
      </c>
      <c r="EK146" s="99">
        <f>IF(AND(Database!JU89&gt;1,Database!JU34&gt;1),100*(Database!JU89/(Database!JU34)),0.0001)</f>
        <v>1E-4</v>
      </c>
      <c r="EL146" s="99">
        <f>IF(AND(Database!JW89&gt;1,Database!JW34&gt;1),100*(Database!JW89/(Database!JW34)),0.0001)</f>
        <v>1E-4</v>
      </c>
      <c r="EM146" s="99">
        <f>IF(AND(Database!JY89&gt;1,Database!JY34&gt;1),100*(Database!JY89/(Database!JY34)),0.0001)</f>
        <v>1E-4</v>
      </c>
      <c r="EN146" s="99">
        <f>IF(AND(Database!KA89&gt;1,Database!KA34&gt;1),100*(Database!KA89/(Database!KA34)),0.0001)</f>
        <v>1E-4</v>
      </c>
      <c r="EO146" s="99">
        <f>IF(AND(Database!KC89&gt;1,Database!KC34&gt;1),100*(Database!KC89/(Database!KC34)),0.0001)</f>
        <v>1E-4</v>
      </c>
      <c r="EP146" s="99">
        <f>IF(AND(Database!KE89&gt;1,Database!KE34&gt;1),100*(Database!KE89/(Database!KE34)),0.0001)</f>
        <v>1E-4</v>
      </c>
      <c r="EQ146" s="99">
        <f>IF(AND(Database!KG89&gt;1,Database!KG34&gt;1),100*(Database!KG89/(Database!KG34)),0.0001)</f>
        <v>1E-4</v>
      </c>
      <c r="ER146" s="99">
        <f>IF(AND(Database!KI89&gt;1,Database!KI34&gt;1),100*(Database!KI89/(Database!KI34)),0.0001)</f>
        <v>1E-4</v>
      </c>
      <c r="ES146" s="99">
        <f>IF(AND(Database!KK89&gt;1,Database!KK34&gt;1),100*(Database!KK89/(Database!KK34)),0.0001)</f>
        <v>1E-4</v>
      </c>
      <c r="ET146" s="99">
        <f>IF(AND(Database!KM89&gt;1,Database!KM34&gt;1),100*(Database!KM89/(Database!KM34)),0.0001)</f>
        <v>1E-4</v>
      </c>
      <c r="EU146" s="99">
        <f>IF(AND(Database!KO89&gt;1,Database!KO34&gt;1),100*(Database!KO89/(Database!KO34)),0.0001)</f>
        <v>1E-4</v>
      </c>
      <c r="EV146" s="99">
        <f>IF(AND(Database!KQ89&gt;1,Database!KQ34&gt;1),100*(Database!KQ89/(Database!KQ34)),0.0001)</f>
        <v>1E-4</v>
      </c>
      <c r="EW146" s="99">
        <f>IF(AND(Database!KS89&gt;1,Database!KS34&gt;1),100*(Database!KS89/(Database!KS34)),0.0001)</f>
        <v>1E-4</v>
      </c>
      <c r="EX146" s="99">
        <f>IF(AND(Database!KU89&gt;1,Database!KU34&gt;1),100*(Database!KU89/(Database!KU34)),0.0001)</f>
        <v>1E-4</v>
      </c>
      <c r="EY146" s="99">
        <f>IF(AND(Database!KW89&gt;1,Database!KW34&gt;1),100*(Database!KW89/(Database!KW34)),0.0001)</f>
        <v>1E-4</v>
      </c>
      <c r="EZ146" s="99">
        <f>IF(AND(Database!KY89&gt;1,Database!KY34&gt;1),100*(Database!KY89/(Database!KY34)),0.0001)</f>
        <v>1E-4</v>
      </c>
      <c r="FA146" s="99">
        <f>IF(AND(Database!LA89&gt;1,Database!LA34&gt;1),100*(Database!LA89/(Database!LA34)),0.0001)</f>
        <v>1E-4</v>
      </c>
      <c r="FB146" s="99">
        <f>IF(AND(Database!LC89&gt;1,Database!LC34&gt;1),100*(Database!LC89/(Database!LC34)),0.0001)</f>
        <v>1E-4</v>
      </c>
      <c r="FC146" s="99">
        <f>IF(AND(Database!LE89&gt;1,Database!LE34&gt;1),100*(Database!LE89/(Database!LE34)),0.0001)</f>
        <v>1E-4</v>
      </c>
      <c r="FD146" s="99">
        <f>IF(AND(Database!LG89&gt;1,Database!LG34&gt;1),100*(Database!LG89/(Database!LG34)),0.0001)</f>
        <v>1E-4</v>
      </c>
      <c r="FE146" s="99">
        <f>IF(AND(Database!LI89&gt;1,Database!LI34&gt;1),100*(Database!LI89/(Database!LI34)),0.0001)</f>
        <v>1E-4</v>
      </c>
      <c r="FF146" s="99">
        <f>IF(AND(Database!LK89&gt;1,Database!LK34&gt;1),100*(Database!LK89/(Database!LK34)),0.0001)</f>
        <v>1E-4</v>
      </c>
      <c r="FG146" s="99">
        <f>IF(AND(Database!LM89&gt;1,Database!LM34&gt;1),100*(Database!LM89/(Database!LM34)),0.0001)</f>
        <v>1E-4</v>
      </c>
      <c r="FH146" s="99">
        <f>IF(AND(Database!LO89&gt;1,Database!LO34&gt;1),100*(Database!LO89/(Database!LO34)),0.0001)</f>
        <v>1E-4</v>
      </c>
      <c r="FI146" s="99">
        <f>IF(AND(Database!LQ89&gt;1,Database!LQ34&gt;1),100*(Database!LQ89/(Database!LQ34)),0.0001)</f>
        <v>1E-4</v>
      </c>
      <c r="FJ146" s="99">
        <f>IF(AND(Database!LS89&gt;1,Database!LS34&gt;1),100*(Database!LS89/(Database!LS34)),0.0001)</f>
        <v>1E-4</v>
      </c>
      <c r="FK146" s="99">
        <f>IF(AND(Database!LU89&gt;1,Database!LU34&gt;1),100*(Database!LU89/(Database!LU34)),0.0001)</f>
        <v>1E-4</v>
      </c>
      <c r="FL146" s="99">
        <f>IF(AND(Database!LW89&gt;1,Database!LW34&gt;1),100*(Database!LW89/(Database!LW34)),0.0001)</f>
        <v>1E-4</v>
      </c>
      <c r="FM146" s="99">
        <f>IF(AND(Database!LY89&gt;1,Database!LY34&gt;1),100*(Database!LY89/(Database!LY34)),0.0001)</f>
        <v>1E-4</v>
      </c>
      <c r="FN146" s="99">
        <f>IF(AND(Database!MA89&gt;1,Database!MA34&gt;1),100*(Database!MA89/(Database!MA34)),0.0001)</f>
        <v>1E-4</v>
      </c>
      <c r="FO146" s="99">
        <f>IF(AND(Database!MC89&gt;1,Database!MC34&gt;1),100*(Database!MC89/(Database!MC34)),0.0001)</f>
        <v>1E-4</v>
      </c>
      <c r="FP146" s="99">
        <f>IF(AND(Database!ME89&gt;1,Database!ME34&gt;1),100*(Database!ME89/(Database!ME34)),0.0001)</f>
        <v>1E-4</v>
      </c>
      <c r="FQ146" s="99">
        <f>IF(AND(Database!MG89&gt;1,Database!MG34&gt;1),100*(Database!MG89/(Database!MG34)),0.0001)</f>
        <v>1E-4</v>
      </c>
      <c r="FR146" s="99">
        <f>IF(AND(Database!MI89&gt;1,Database!MI34&gt;1),100*(Database!MI89/(Database!MI34)),0.0001)</f>
        <v>1E-4</v>
      </c>
      <c r="FS146" s="99">
        <f>IF(AND(Database!MK89&gt;1,Database!MK34&gt;1),100*(Database!MK89/(Database!MK34)),0.0001)</f>
        <v>1E-4</v>
      </c>
      <c r="FT146" s="99">
        <f>IF(AND(Database!MM89&gt;1,Database!MM34&gt;1),100*(Database!MM89/(Database!MM34)),0.0001)</f>
        <v>1E-4</v>
      </c>
      <c r="FU146" s="99">
        <f>IF(AND(Database!MO89&gt;1,Database!MO34&gt;1),100*(Database!MO89/(Database!MO34)),0.0001)</f>
        <v>1E-4</v>
      </c>
      <c r="FV146" s="99">
        <f>IF(AND(Database!MQ89&gt;1,Database!MQ34&gt;1),100*(Database!MQ89/(Database!MQ34)),0.0001)</f>
        <v>1E-4</v>
      </c>
      <c r="FW146" s="99">
        <f>IF(AND(Database!MS89&gt;1,Database!MS34&gt;1),100*(Database!MS89/(Database!MS34)),0.0001)</f>
        <v>1E-4</v>
      </c>
      <c r="FX146" s="99">
        <f>IF(AND(Database!MU89&gt;1,Database!MU34&gt;1),100*(Database!MU89/(Database!MU34)),0.0001)</f>
        <v>1E-4</v>
      </c>
      <c r="FY146" s="99">
        <f>IF(AND(Database!MW89&gt;1,Database!MW34&gt;1),100*(Database!MW89/(Database!MW34)),0.0001)</f>
        <v>1E-4</v>
      </c>
      <c r="FZ146" s="99">
        <f>IF(AND(Database!MY89&gt;1,Database!MY34&gt;1),100*(Database!MY89/(Database!MY34)),0.0001)</f>
        <v>1E-4</v>
      </c>
      <c r="GA146" s="99">
        <f>IF(AND(Database!NA89&gt;1,Database!NA34&gt;1),100*(Database!NA89/(Database!NA34)),0.0001)</f>
        <v>1E-4</v>
      </c>
      <c r="GB146" s="99">
        <f>IF(AND(Database!NC89&gt;1,Database!NC34&gt;1),100*(Database!NC89/(Database!NC34)),0.0001)</f>
        <v>1E-4</v>
      </c>
      <c r="GC146" s="99">
        <f>IF(AND(Database!NE89&gt;1,Database!NE34&gt;1),100*(Database!NE89/(Database!NE34)),0.0001)</f>
        <v>1E-4</v>
      </c>
      <c r="GD146" s="99">
        <f>IF(AND(Database!NG89&gt;1,Database!NG34&gt;1),100*(Database!NG89/(Database!NG34)),0.0001)</f>
        <v>1E-4</v>
      </c>
      <c r="GE146" s="99">
        <f>IF(AND(Database!NI89&gt;1,Database!NI34&gt;1),100*(Database!NI89/(Database!NI34)),0.0001)</f>
        <v>1E-4</v>
      </c>
      <c r="GF146" s="99">
        <f>IF(AND(Database!NK89&gt;1,Database!NK34&gt;1),100*(Database!NK89/(Database!NK34)),0.0001)</f>
        <v>1E-4</v>
      </c>
      <c r="GG146" s="99">
        <f>IF(AND(Database!NM89&gt;1,Database!NM34&gt;1),100*(Database!NM89/(Database!NM34)),0.0001)</f>
        <v>1E-4</v>
      </c>
      <c r="GH146" s="99">
        <f>IF(AND(Database!NO89&gt;1,Database!NO34&gt;1),100*(Database!NO89/(Database!NO34)),0.0001)</f>
        <v>1E-4</v>
      </c>
      <c r="GI146" s="99">
        <f>IF(AND(Database!NQ89&gt;1,Database!NQ34&gt;1),100*(Database!NQ89/(Database!NQ34)),0.0001)</f>
        <v>1E-4</v>
      </c>
      <c r="GJ146" s="99">
        <f>IF(AND(Database!NS89&gt;1,Database!NS34&gt;1),100*(Database!NS89/(Database!NS34)),0.0001)</f>
        <v>1E-4</v>
      </c>
      <c r="GK146" s="99">
        <f>IF(AND(Database!NU89&gt;1,Database!NU34&gt;1),100*(Database!NU89/(Database!NU34)),0.0001)</f>
        <v>1E-4</v>
      </c>
      <c r="GL146" s="99">
        <f>IF(AND(Database!NW89&gt;1,Database!NW34&gt;1),100*(Database!NW89/(Database!NW34)),0.0001)</f>
        <v>1E-4</v>
      </c>
      <c r="GM146" s="99">
        <f>IF(AND(Database!NY89&gt;1,Database!NY34&gt;1),100*(Database!NY89/(Database!NY34)),0.0001)</f>
        <v>1E-4</v>
      </c>
      <c r="GN146" s="99">
        <f>IF(AND(Database!OA89&gt;1,Database!OA34&gt;1),100*(Database!OA89/(Database!OA34)),0.0001)</f>
        <v>1E-4</v>
      </c>
      <c r="GO146" s="99">
        <f>IF(AND(Database!OC89&gt;1,Database!OC34&gt;1),100*(Database!OC89/(Database!OC34)),0.0001)</f>
        <v>1E-4</v>
      </c>
      <c r="GP146" s="99">
        <f>IF(AND(Database!OE89&gt;1,Database!OE34&gt;1),100*(Database!OE89/(Database!OE34)),0.0001)</f>
        <v>1E-4</v>
      </c>
      <c r="GQ146" s="99">
        <f>IF(AND(Database!OG89&gt;1,Database!OG34&gt;1),100*(Database!OG89/(Database!OG34)),0.0001)</f>
        <v>1E-4</v>
      </c>
      <c r="GR146" s="99">
        <f>IF(AND(Database!OI89&gt;1,Database!OI34&gt;1),100*(Database!OI89/(Database!OI34)),0.0001)</f>
        <v>1E-4</v>
      </c>
      <c r="GS146" s="99">
        <f>IF(AND(Database!OK89&gt;1,Database!OK34&gt;1),100*(Database!OK89/(Database!OK34)),0.0001)</f>
        <v>1E-4</v>
      </c>
      <c r="GT146" s="30">
        <f>IF(AND(Database!OM89&gt;1,Database!OM34&gt;1),100*(Database!OM89/(Database!OM34)),0.0001)</f>
        <v>1E-4</v>
      </c>
      <c r="GU146" s="99"/>
      <c r="GV146" s="99"/>
      <c r="GW146" s="99"/>
    </row>
    <row r="147" spans="1:205" ht="18.75" customHeight="1" x14ac:dyDescent="0.4">
      <c r="A147" s="240" t="s">
        <v>157</v>
      </c>
      <c r="B147" s="96"/>
      <c r="C147" s="260">
        <f>IF(AND(Database!E91&gt;1,Database!E34&gt;1),100*(Database!E91/(Database!E34)),0.0001)</f>
        <v>38.764308287844187</v>
      </c>
      <c r="D147" s="99">
        <f>IF(AND(Database!G91&gt;1,Database!G34&gt;1),100*(Database!G91/(Database!G34)),0.0001)</f>
        <v>27.790419511056651</v>
      </c>
      <c r="E147" s="99">
        <f>IF(AND(Database!I91&gt;1,Database!I34&gt;1),100*(Database!I91/(Database!I34)),0.0001)</f>
        <v>35.694645911364177</v>
      </c>
      <c r="F147" s="99">
        <f>IF(AND(Database!K91&gt;1,Database!K34&gt;1),100*(Database!K91/(Database!K34)),0.0001)</f>
        <v>37.020066361194502</v>
      </c>
      <c r="G147" s="99">
        <f>IF(AND(Database!M91&gt;1,Database!M34&gt;1),100*(Database!M91/(Database!M34)),0.0001)</f>
        <v>1E-4</v>
      </c>
      <c r="H147" s="99">
        <f>IF(AND(Database!O91&gt;1,Database!O34&gt;1),100*(Database!O91/(Database!O34)),0.0001)</f>
        <v>1E-4</v>
      </c>
      <c r="I147" s="99">
        <f>IF(AND(Database!Q91&gt;1,Database!Q34&gt;1),100*(Database!Q91/(Database!Q34)),0.0001)</f>
        <v>1E-4</v>
      </c>
      <c r="J147" s="99">
        <f>IF(AND(Database!S91&gt;1,Database!S34&gt;1),100*(Database!S91/(Database!S34)),0.0001)</f>
        <v>1E-4</v>
      </c>
      <c r="K147" s="99">
        <f>IF(AND(Database!U91&gt;1,Database!U34&gt;1),100*(Database!U91/(Database!U34)),0.0001)</f>
        <v>1E-4</v>
      </c>
      <c r="L147" s="99">
        <f>IF(AND(Database!W91&gt;1,Database!W34&gt;1),100*(Database!W91/(Database!W34)),0.0001)</f>
        <v>1E-4</v>
      </c>
      <c r="M147" s="99">
        <f>IF(AND(Database!Y91&gt;1,Database!Y34&gt;1),100*(Database!Y91/(Database!Y34)),0.0001)</f>
        <v>1E-4</v>
      </c>
      <c r="N147" s="99">
        <f>IF(AND(Database!AA91&gt;1,Database!AA34&gt;1),100*(Database!AA91/(Database!AA34)),0.0001)</f>
        <v>1E-4</v>
      </c>
      <c r="O147" s="99">
        <f>IF(AND(Database!AC91&gt;1,Database!AC34&gt;1),100*(Database!AC91/(Database!AC34)),0.0001)</f>
        <v>1E-4</v>
      </c>
      <c r="P147" s="99">
        <f>IF(AND(Database!AE91&gt;1,Database!AE34&gt;1),100*(Database!AE91/(Database!AE34)),0.0001)</f>
        <v>1E-4</v>
      </c>
      <c r="Q147" s="99">
        <f>IF(AND(Database!AG91&gt;1,Database!AG34&gt;1),100*(Database!AG91/(Database!AG34)),0.0001)</f>
        <v>1E-4</v>
      </c>
      <c r="R147" s="99">
        <f>IF(AND(Database!AI91&gt;1,Database!AI34&gt;1),100*(Database!AI91/(Database!AI34)),0.0001)</f>
        <v>1E-4</v>
      </c>
      <c r="S147" s="99">
        <f>IF(AND(Database!AK91&gt;1,Database!AK34&gt;1),100*(Database!AK91/(Database!AK34)),0.0001)</f>
        <v>1E-4</v>
      </c>
      <c r="T147" s="99">
        <f>IF(AND(Database!AM91&gt;1,Database!AM34&gt;1),100*(Database!AM91/(Database!AM34)),0.0001)</f>
        <v>1E-4</v>
      </c>
      <c r="U147" s="99">
        <f>IF(AND(Database!AO91&gt;1,Database!AO34&gt;1),100*(Database!AO91/(Database!AO34)),0.0001)</f>
        <v>1E-4</v>
      </c>
      <c r="V147" s="99">
        <f>IF(AND(Database!AQ91&gt;1,Database!AQ34&gt;1),100*(Database!AQ91/(Database!AQ34)),0.0001)</f>
        <v>1E-4</v>
      </c>
      <c r="W147" s="99">
        <f>IF(AND(Database!AS91&gt;1,Database!AS34&gt;1),100*(Database!AS91/(Database!AS34)),0.0001)</f>
        <v>1E-4</v>
      </c>
      <c r="X147" s="99">
        <f>IF(AND(Database!AU91&gt;1,Database!AU34&gt;1),100*(Database!AU91/(Database!AU34)),0.0001)</f>
        <v>1E-4</v>
      </c>
      <c r="Y147" s="99">
        <f>IF(AND(Database!AW91&gt;1,Database!AW34&gt;1),100*(Database!AW91/(Database!AW34)),0.0001)</f>
        <v>1E-4</v>
      </c>
      <c r="Z147" s="99">
        <f>IF(AND(Database!AY91&gt;1,Database!AY34&gt;1),100*(Database!AY91/(Database!AY34)),0.0001)</f>
        <v>1E-4</v>
      </c>
      <c r="AA147" s="99">
        <f>IF(AND(Database!BA91&gt;1,Database!BA34&gt;1),100*(Database!BA91/(Database!BA34)),0.0001)</f>
        <v>1E-4</v>
      </c>
      <c r="AB147" s="99">
        <f>IF(AND(Database!BC91&gt;1,Database!BC34&gt;1),100*(Database!BC91/(Database!BC34)),0.0001)</f>
        <v>1E-4</v>
      </c>
      <c r="AC147" s="99">
        <f>IF(AND(Database!BE91&gt;1,Database!BE34&gt;1),100*(Database!BE91/(Database!BE34)),0.0001)</f>
        <v>1E-4</v>
      </c>
      <c r="AD147" s="99">
        <f>IF(AND(Database!BG91&gt;1,Database!BG34&gt;1),100*(Database!BG91/(Database!BG34)),0.0001)</f>
        <v>1E-4</v>
      </c>
      <c r="AE147" s="99">
        <f>IF(AND(Database!BI91&gt;1,Database!BI34&gt;1),100*(Database!BI91/(Database!BI34)),0.0001)</f>
        <v>1E-4</v>
      </c>
      <c r="AF147" s="99">
        <f>IF(AND(Database!BK91&gt;1,Database!BK34&gt;1),100*(Database!BK91/(Database!BK34)),0.0001)</f>
        <v>1E-4</v>
      </c>
      <c r="AG147" s="99">
        <f>IF(AND(Database!BM91&gt;1,Database!BM34&gt;1),100*(Database!BM91/(Database!BM34)),0.0001)</f>
        <v>1E-4</v>
      </c>
      <c r="AH147" s="99">
        <f>IF(AND(Database!BO91&gt;1,Database!BO34&gt;1),100*(Database!BO91/(Database!BO34)),0.0001)</f>
        <v>1E-4</v>
      </c>
      <c r="AI147" s="99">
        <f>IF(AND(Database!BQ91&gt;1,Database!BQ34&gt;1),100*(Database!BQ91/(Database!BQ34)),0.0001)</f>
        <v>1E-4</v>
      </c>
      <c r="AJ147" s="99">
        <f>IF(AND(Database!BS91&gt;1,Database!BS34&gt;1),100*(Database!BS91/(Database!BS34)),0.0001)</f>
        <v>1E-4</v>
      </c>
      <c r="AK147" s="99">
        <f>IF(AND(Database!BU91&gt;1,Database!BU34&gt;1),100*(Database!BU91/(Database!BU34)),0.0001)</f>
        <v>1E-4</v>
      </c>
      <c r="AL147" s="99">
        <f>IF(AND(Database!BW91&gt;1,Database!BW34&gt;1),100*(Database!BW91/(Database!BW34)),0.0001)</f>
        <v>1E-4</v>
      </c>
      <c r="AM147" s="99">
        <f>IF(AND(Database!BY91&gt;1,Database!BY34&gt;1),100*(Database!BY91/(Database!BY34)),0.0001)</f>
        <v>1E-4</v>
      </c>
      <c r="AN147" s="99">
        <f>IF(AND(Database!CA91&gt;1,Database!CA34&gt;1),100*(Database!CA91/(Database!CA34)),0.0001)</f>
        <v>1E-4</v>
      </c>
      <c r="AO147" s="99">
        <f>IF(AND(Database!CC91&gt;1,Database!CC34&gt;1),100*(Database!CC91/(Database!CC34)),0.0001)</f>
        <v>1E-4</v>
      </c>
      <c r="AP147" s="99">
        <f>IF(AND(Database!CE91&gt;1,Database!CE34&gt;1),100*(Database!CE91/(Database!CE34)),0.0001)</f>
        <v>1E-4</v>
      </c>
      <c r="AQ147" s="99">
        <f>IF(AND(Database!CG91&gt;1,Database!CG34&gt;1),100*(Database!CG91/(Database!CG34)),0.0001)</f>
        <v>1E-4</v>
      </c>
      <c r="AR147" s="99">
        <f>IF(AND(Database!CI91&gt;1,Database!CI34&gt;1),100*(Database!CI91/(Database!CI34)),0.0001)</f>
        <v>1E-4</v>
      </c>
      <c r="AS147" s="99">
        <f>IF(AND(Database!CK91&gt;1,Database!CK34&gt;1),100*(Database!CK91/(Database!CK34)),0.0001)</f>
        <v>1E-4</v>
      </c>
      <c r="AT147" s="99">
        <f>IF(AND(Database!CM91&gt;1,Database!CM34&gt;1),100*(Database!CM91/(Database!CM34)),0.0001)</f>
        <v>1E-4</v>
      </c>
      <c r="AU147" s="99">
        <f>IF(AND(Database!CO91&gt;1,Database!CO34&gt;1),100*(Database!CO91/(Database!CO34)),0.0001)</f>
        <v>1E-4</v>
      </c>
      <c r="AV147" s="99">
        <f>IF(AND(Database!CQ91&gt;1,Database!CQ34&gt;1),100*(Database!CQ91/(Database!CQ34)),0.0001)</f>
        <v>1E-4</v>
      </c>
      <c r="AW147" s="99">
        <f>IF(AND(Database!CS91&gt;1,Database!CS34&gt;1),100*(Database!CS91/(Database!CS34)),0.0001)</f>
        <v>1E-4</v>
      </c>
      <c r="AX147" s="99">
        <f>IF(AND(Database!CU91&gt;1,Database!CU34&gt;1),100*(Database!CU91/(Database!CU34)),0.0001)</f>
        <v>1E-4</v>
      </c>
      <c r="AY147" s="99">
        <f>IF(AND(Database!CW91&gt;1,Database!CW34&gt;1),100*(Database!CW91/(Database!CW34)),0.0001)</f>
        <v>1E-4</v>
      </c>
      <c r="AZ147" s="99">
        <f>IF(AND(Database!CY91&gt;1,Database!CY34&gt;1),100*(Database!CY91/(Database!CY34)),0.0001)</f>
        <v>1E-4</v>
      </c>
      <c r="BA147" s="99">
        <f>IF(AND(Database!DA91&gt;1,Database!DA34&gt;1),100*(Database!DA91/(Database!DA34)),0.0001)</f>
        <v>1E-4</v>
      </c>
      <c r="BB147" s="99">
        <f>IF(AND(Database!DC91&gt;1,Database!DC34&gt;1),100*(Database!DC91/(Database!DC34)),0.0001)</f>
        <v>1E-4</v>
      </c>
      <c r="BC147" s="99">
        <f>IF(AND(Database!DE91&gt;1,Database!DE34&gt;1),100*(Database!DE91/(Database!DE34)),0.0001)</f>
        <v>1E-4</v>
      </c>
      <c r="BD147" s="99">
        <f>IF(AND(Database!DG91&gt;1,Database!DG34&gt;1),100*(Database!DG91/(Database!DG34)),0.0001)</f>
        <v>1E-4</v>
      </c>
      <c r="BE147" s="99">
        <f>IF(AND(Database!DI91&gt;1,Database!DI34&gt;1),100*(Database!DI91/(Database!DI34)),0.0001)</f>
        <v>1E-4</v>
      </c>
      <c r="BF147" s="99">
        <f>IF(AND(Database!DK91&gt;1,Database!DK34&gt;1),100*(Database!DK91/(Database!DK34)),0.0001)</f>
        <v>1E-4</v>
      </c>
      <c r="BG147" s="99">
        <f>IF(AND(Database!DM91&gt;1,Database!DM34&gt;1),100*(Database!DM91/(Database!DM34)),0.0001)</f>
        <v>1E-4</v>
      </c>
      <c r="BH147" s="99">
        <f>IF(AND(Database!DO91&gt;1,Database!DO34&gt;1),100*(Database!DO91/(Database!DO34)),0.0001)</f>
        <v>1E-4</v>
      </c>
      <c r="BI147" s="99">
        <f>IF(AND(Database!DQ91&gt;1,Database!DQ34&gt;1),100*(Database!DQ91/(Database!DQ34)),0.0001)</f>
        <v>1E-4</v>
      </c>
      <c r="BJ147" s="99">
        <f>IF(AND(Database!DS91&gt;1,Database!DS34&gt;1),100*(Database!DS91/(Database!DS34)),0.0001)</f>
        <v>1E-4</v>
      </c>
      <c r="BK147" s="99">
        <f>IF(AND(Database!DU91&gt;1,Database!DU34&gt;1),100*(Database!DU91/(Database!DU34)),0.0001)</f>
        <v>1E-4</v>
      </c>
      <c r="BL147" s="99">
        <f>IF(AND(Database!DW91&gt;1,Database!DW34&gt;1),100*(Database!DW91/(Database!DW34)),0.0001)</f>
        <v>1E-4</v>
      </c>
      <c r="BM147" s="99">
        <f>IF(AND(Database!DY91&gt;1,Database!DY34&gt;1),100*(Database!DY91/(Database!DY34)),0.0001)</f>
        <v>1E-4</v>
      </c>
      <c r="BN147" s="99">
        <f>IF(AND(Database!EA91&gt;1,Database!EA34&gt;1),100*(Database!EA91/(Database!EA34)),0.0001)</f>
        <v>1E-4</v>
      </c>
      <c r="BO147" s="99">
        <f>IF(AND(Database!EC91&gt;1,Database!EC34&gt;1),100*(Database!EC91/(Database!EC34)),0.0001)</f>
        <v>1E-4</v>
      </c>
      <c r="BP147" s="99">
        <f>IF(AND(Database!EE91&gt;1,Database!EE34&gt;1),100*(Database!EE91/(Database!EE34)),0.0001)</f>
        <v>1E-4</v>
      </c>
      <c r="BQ147" s="99">
        <f>IF(AND(Database!EG91&gt;1,Database!EG34&gt;1),100*(Database!EG91/(Database!EG34)),0.0001)</f>
        <v>1E-4</v>
      </c>
      <c r="BR147" s="99">
        <f>IF(AND(Database!EI91&gt;1,Database!EI34&gt;1),100*(Database!EI91/(Database!EI34)),0.0001)</f>
        <v>1E-4</v>
      </c>
      <c r="BS147" s="99">
        <f>IF(AND(Database!EK91&gt;1,Database!EK34&gt;1),100*(Database!EK91/(Database!EK34)),0.0001)</f>
        <v>1E-4</v>
      </c>
      <c r="BT147" s="99">
        <f>IF(AND(Database!EM91&gt;1,Database!EM34&gt;1),100*(Database!EM91/(Database!EM34)),0.0001)</f>
        <v>1E-4</v>
      </c>
      <c r="BU147" s="99">
        <f>IF(AND(Database!EO91&gt;1,Database!EO34&gt;1),100*(Database!EO91/(Database!EO34)),0.0001)</f>
        <v>1E-4</v>
      </c>
      <c r="BV147" s="99">
        <f>IF(AND(Database!EQ91&gt;1,Database!EQ34&gt;1),100*(Database!EQ91/(Database!EQ34)),0.0001)</f>
        <v>1E-4</v>
      </c>
      <c r="BW147" s="99">
        <f>IF(AND(Database!ES91&gt;1,Database!ES34&gt;1),100*(Database!ES91/(Database!ES34)),0.0001)</f>
        <v>1E-4</v>
      </c>
      <c r="BX147" s="99">
        <f>IF(AND(Database!EU91&gt;1,Database!EU34&gt;1),100*(Database!EU91/(Database!EU34)),0.0001)</f>
        <v>1E-4</v>
      </c>
      <c r="BY147" s="99">
        <f>IF(AND(Database!EW91&gt;1,Database!EW34&gt;1),100*(Database!EW91/(Database!EW34)),0.0001)</f>
        <v>1E-4</v>
      </c>
      <c r="BZ147" s="99">
        <f>IF(AND(Database!EY91&gt;1,Database!EY34&gt;1),100*(Database!EY91/(Database!EY34)),0.0001)</f>
        <v>1E-4</v>
      </c>
      <c r="CA147" s="99">
        <f>IF(AND(Database!FA91&gt;1,Database!FA34&gt;1),100*(Database!FA91/(Database!FA34)),0.0001)</f>
        <v>1E-4</v>
      </c>
      <c r="CB147" s="99">
        <f>IF(AND(Database!FC91&gt;1,Database!FC34&gt;1),100*(Database!FC91/(Database!FC34)),0.0001)</f>
        <v>1E-4</v>
      </c>
      <c r="CC147" s="99">
        <f>IF(AND(Database!FE91&gt;1,Database!FE34&gt;1),100*(Database!FE91/(Database!FE34)),0.0001)</f>
        <v>1E-4</v>
      </c>
      <c r="CD147" s="99">
        <f>IF(AND(Database!FG91&gt;1,Database!FG34&gt;1),100*(Database!FG91/(Database!FG34)),0.0001)</f>
        <v>1E-4</v>
      </c>
      <c r="CE147" s="99">
        <f>IF(AND(Database!FI91&gt;1,Database!FI34&gt;1),100*(Database!FI91/(Database!FI34)),0.0001)</f>
        <v>1E-4</v>
      </c>
      <c r="CF147" s="99">
        <f>IF(AND(Database!FK91&gt;1,Database!FK34&gt;1),100*(Database!FK91/(Database!FK34)),0.0001)</f>
        <v>1E-4</v>
      </c>
      <c r="CG147" s="99">
        <f>IF(AND(Database!FM91&gt;1,Database!FM34&gt;1),100*(Database!FM91/(Database!FM34)),0.0001)</f>
        <v>1E-4</v>
      </c>
      <c r="CH147" s="99">
        <f>IF(AND(Database!FO91&gt;1,Database!FO34&gt;1),100*(Database!FO91/(Database!FO34)),0.0001)</f>
        <v>1E-4</v>
      </c>
      <c r="CI147" s="99">
        <f>IF(AND(Database!FQ91&gt;1,Database!FQ34&gt;1),100*(Database!FQ91/(Database!FQ34)),0.0001)</f>
        <v>1E-4</v>
      </c>
      <c r="CJ147" s="99">
        <f>IF(AND(Database!FS91&gt;1,Database!FS34&gt;1),100*(Database!FS91/(Database!FS34)),0.0001)</f>
        <v>1E-4</v>
      </c>
      <c r="CK147" s="99">
        <f>IF(AND(Database!FU91&gt;1,Database!FU34&gt;1),100*(Database!FU91/(Database!FU34)),0.0001)</f>
        <v>1E-4</v>
      </c>
      <c r="CL147" s="99">
        <f>IF(AND(Database!FW91&gt;1,Database!FW34&gt;1),100*(Database!FW91/(Database!FW34)),0.0001)</f>
        <v>1E-4</v>
      </c>
      <c r="CM147" s="99">
        <f>IF(AND(Database!FY91&gt;1,Database!FY34&gt;1),100*(Database!FY91/(Database!FY34)),0.0001)</f>
        <v>1E-4</v>
      </c>
      <c r="CN147" s="99">
        <f>IF(AND(Database!GA91&gt;1,Database!GA34&gt;1),100*(Database!GA91/(Database!GA34)),0.0001)</f>
        <v>1E-4</v>
      </c>
      <c r="CO147" s="99">
        <f>IF(AND(Database!GC91&gt;1,Database!GC34&gt;1),100*(Database!GC91/(Database!GC34)),0.0001)</f>
        <v>1E-4</v>
      </c>
      <c r="CP147" s="99">
        <f>IF(AND(Database!GE91&gt;1,Database!GE34&gt;1),100*(Database!GE91/(Database!GE34)),0.0001)</f>
        <v>1E-4</v>
      </c>
      <c r="CQ147" s="99">
        <f>IF(AND(Database!GG91&gt;1,Database!GG34&gt;1),100*(Database!GG91/(Database!GG34)),0.0001)</f>
        <v>1E-4</v>
      </c>
      <c r="CR147" s="99">
        <f>IF(AND(Database!GI91&gt;1,Database!GI34&gt;1),100*(Database!GI91/(Database!GI34)),0.0001)</f>
        <v>1E-4</v>
      </c>
      <c r="CS147" s="99">
        <f>IF(AND(Database!GK91&gt;1,Database!GK34&gt;1),100*(Database!GK91/(Database!GK34)),0.0001)</f>
        <v>1E-4</v>
      </c>
      <c r="CT147" s="99">
        <f>IF(AND(Database!GM91&gt;1,Database!GM34&gt;1),100*(Database!GM91/(Database!GM34)),0.0001)</f>
        <v>1E-4</v>
      </c>
      <c r="CU147" s="99">
        <f>IF(AND(Database!GO91&gt;1,Database!GO34&gt;1),100*(Database!GO91/(Database!GO34)),0.0001)</f>
        <v>1E-4</v>
      </c>
      <c r="CV147" s="99">
        <f>IF(AND(Database!GQ91&gt;1,Database!GQ34&gt;1),100*(Database!GQ91/(Database!GQ34)),0.0001)</f>
        <v>1E-4</v>
      </c>
      <c r="CW147" s="99">
        <f>IF(AND(Database!GS91&gt;1,Database!GS34&gt;1),100*(Database!GS91/(Database!GS34)),0.0001)</f>
        <v>1E-4</v>
      </c>
      <c r="CX147" s="99">
        <f>IF(AND(Database!GU91&gt;1,Database!GU34&gt;1),100*(Database!GU91/(Database!GU34)),0.0001)</f>
        <v>1E-4</v>
      </c>
      <c r="CY147" s="99">
        <f>IF(AND(Database!GW91&gt;1,Database!GW34&gt;1),100*(Database!GW91/(Database!GW34)),0.0001)</f>
        <v>1E-4</v>
      </c>
      <c r="CZ147" s="99">
        <f>IF(AND(Database!GY91&gt;1,Database!GY34&gt;1),100*(Database!GY91/(Database!GY34)),0.0001)</f>
        <v>1E-4</v>
      </c>
      <c r="DA147" s="99">
        <f>IF(AND(Database!HA91&gt;1,Database!HA34&gt;1),100*(Database!HA91/(Database!HA34)),0.0001)</f>
        <v>1E-4</v>
      </c>
      <c r="DB147" s="99">
        <f>IF(AND(Database!HC91&gt;1,Database!HC34&gt;1),100*(Database!HC91/(Database!HC34)),0.0001)</f>
        <v>1E-4</v>
      </c>
      <c r="DC147" s="99">
        <f>IF(AND(Database!HE91&gt;1,Database!HE34&gt;1),100*(Database!HE91/(Database!HE34)),0.0001)</f>
        <v>1E-4</v>
      </c>
      <c r="DD147" s="99">
        <f>IF(AND(Database!HG91&gt;1,Database!HG34&gt;1),100*(Database!HG91/(Database!HG34)),0.0001)</f>
        <v>1E-4</v>
      </c>
      <c r="DE147" s="99">
        <f>IF(AND(Database!HI91&gt;1,Database!HI34&gt;1),100*(Database!HI91/(Database!HI34)),0.0001)</f>
        <v>1E-4</v>
      </c>
      <c r="DF147" s="99">
        <f>IF(AND(Database!HK91&gt;1,Database!HK34&gt;1),100*(Database!HK91/(Database!HK34)),0.0001)</f>
        <v>1E-4</v>
      </c>
      <c r="DG147" s="99">
        <f>IF(AND(Database!HM91&gt;1,Database!HM34&gt;1),100*(Database!HM91/(Database!HM34)),0.0001)</f>
        <v>1E-4</v>
      </c>
      <c r="DH147" s="99">
        <f>IF(AND(Database!HO91&gt;1,Database!HO34&gt;1),100*(Database!HO91/(Database!HO34)),0.0001)</f>
        <v>1E-4</v>
      </c>
      <c r="DI147" s="99">
        <f>IF(AND(Database!HQ91&gt;1,Database!HQ34&gt;1),100*(Database!HQ91/(Database!HQ34)),0.0001)</f>
        <v>1E-4</v>
      </c>
      <c r="DJ147" s="99">
        <f>IF(AND(Database!HS91&gt;1,Database!HS34&gt;1),100*(Database!HS91/(Database!HS34)),0.0001)</f>
        <v>1E-4</v>
      </c>
      <c r="DK147" s="99">
        <f>IF(AND(Database!HU91&gt;1,Database!HU34&gt;1),100*(Database!HU91/(Database!HU34)),0.0001)</f>
        <v>1E-4</v>
      </c>
      <c r="DL147" s="99">
        <f>IF(AND(Database!HW91&gt;1,Database!HW34&gt;1),100*(Database!HW91/(Database!HW34)),0.0001)</f>
        <v>1E-4</v>
      </c>
      <c r="DM147" s="99">
        <f>IF(AND(Database!HY91&gt;1,Database!HY34&gt;1),100*(Database!HY91/(Database!HY34)),0.0001)</f>
        <v>1E-4</v>
      </c>
      <c r="DN147" s="99">
        <f>IF(AND(Database!IA91&gt;1,Database!IA34&gt;1),100*(Database!IA91/(Database!IA34)),0.0001)</f>
        <v>1E-4</v>
      </c>
      <c r="DO147" s="99">
        <f>IF(AND(Database!IC91&gt;1,Database!IC34&gt;1),100*(Database!IC91/(Database!IC34)),0.0001)</f>
        <v>1E-4</v>
      </c>
      <c r="DP147" s="99">
        <f>IF(AND(Database!IE91&gt;1,Database!IE34&gt;1),100*(Database!IE91/(Database!IE34)),0.0001)</f>
        <v>1E-4</v>
      </c>
      <c r="DQ147" s="99">
        <f>IF(AND(Database!IG91&gt;1,Database!IG34&gt;1),100*(Database!IG91/(Database!IG34)),0.0001)</f>
        <v>1E-4</v>
      </c>
      <c r="DR147" s="99">
        <f>IF(AND(Database!II91&gt;1,Database!II34&gt;1),100*(Database!II91/(Database!II34)),0.0001)</f>
        <v>1E-4</v>
      </c>
      <c r="DS147" s="99">
        <f>IF(AND(Database!IK91&gt;1,Database!IK34&gt;1),100*(Database!IK91/(Database!IK34)),0.0001)</f>
        <v>1E-4</v>
      </c>
      <c r="DT147" s="99">
        <f>IF(AND(Database!IM91&gt;1,Database!IM34&gt;1),100*(Database!IM91/(Database!IM34)),0.0001)</f>
        <v>1E-4</v>
      </c>
      <c r="DU147" s="99">
        <f>IF(AND(Database!IO91&gt;1,Database!IO34&gt;1),100*(Database!IO91/(Database!IO34)),0.0001)</f>
        <v>1E-4</v>
      </c>
      <c r="DV147" s="99">
        <f>IF(AND(Database!IQ91&gt;1,Database!IQ34&gt;1),100*(Database!IQ91/(Database!IQ34)),0.0001)</f>
        <v>1E-4</v>
      </c>
      <c r="DW147" s="99">
        <f>IF(AND(Database!IS91&gt;1,Database!IS34&gt;1),100*(Database!IS91/(Database!IS34)),0.0001)</f>
        <v>1E-4</v>
      </c>
      <c r="DX147" s="99">
        <f>IF(AND(Database!IU91&gt;1,Database!IU34&gt;1),100*(Database!IU91/(Database!IU34)),0.0001)</f>
        <v>1E-4</v>
      </c>
      <c r="DY147" s="99">
        <f>IF(AND(Database!IW91&gt;1,Database!IW34&gt;1),100*(Database!IW91/(Database!IW34)),0.0001)</f>
        <v>1E-4</v>
      </c>
      <c r="DZ147" s="99">
        <f>IF(AND(Database!IY91&gt;1,Database!IY34&gt;1),100*(Database!IY91/(Database!IY34)),0.0001)</f>
        <v>1E-4</v>
      </c>
      <c r="EA147" s="99">
        <f>IF(AND(Database!JA91&gt;1,Database!JA34&gt;1),100*(Database!JA91/(Database!JA34)),0.0001)</f>
        <v>1E-4</v>
      </c>
      <c r="EB147" s="99">
        <f>IF(AND(Database!JC91&gt;1,Database!JC34&gt;1),100*(Database!JC91/(Database!JC34)),0.0001)</f>
        <v>1E-4</v>
      </c>
      <c r="EC147" s="99">
        <f>IF(AND(Database!JE91&gt;1,Database!JE34&gt;1),100*(Database!JE91/(Database!JE34)),0.0001)</f>
        <v>1E-4</v>
      </c>
      <c r="ED147" s="99">
        <f>IF(AND(Database!JG91&gt;1,Database!JG34&gt;1),100*(Database!JG91/(Database!JG34)),0.0001)</f>
        <v>1E-4</v>
      </c>
      <c r="EE147" s="99">
        <f>IF(AND(Database!JI91&gt;1,Database!JI34&gt;1),100*(Database!JI91/(Database!JI34)),0.0001)</f>
        <v>1E-4</v>
      </c>
      <c r="EF147" s="99">
        <f>IF(AND(Database!JK91&gt;1,Database!JK34&gt;1),100*(Database!JK91/(Database!JK34)),0.0001)</f>
        <v>1E-4</v>
      </c>
      <c r="EG147" s="99">
        <f>IF(AND(Database!JM91&gt;1,Database!JM34&gt;1),100*(Database!JM91/(Database!JM34)),0.0001)</f>
        <v>1E-4</v>
      </c>
      <c r="EH147" s="99">
        <f>IF(AND(Database!JO91&gt;1,Database!JO34&gt;1),100*(Database!JO91/(Database!JO34)),0.0001)</f>
        <v>1E-4</v>
      </c>
      <c r="EI147" s="99">
        <f>IF(AND(Database!JQ91&gt;1,Database!JQ34&gt;1),100*(Database!JQ91/(Database!JQ34)),0.0001)</f>
        <v>1E-4</v>
      </c>
      <c r="EJ147" s="99">
        <f>IF(AND(Database!JS91&gt;1,Database!JS34&gt;1),100*(Database!JS91/(Database!JS34)),0.0001)</f>
        <v>1E-4</v>
      </c>
      <c r="EK147" s="99">
        <f>IF(AND(Database!JU91&gt;1,Database!JU34&gt;1),100*(Database!JU91/(Database!JU34)),0.0001)</f>
        <v>1E-4</v>
      </c>
      <c r="EL147" s="99">
        <f>IF(AND(Database!JW91&gt;1,Database!JW34&gt;1),100*(Database!JW91/(Database!JW34)),0.0001)</f>
        <v>1E-4</v>
      </c>
      <c r="EM147" s="99">
        <f>IF(AND(Database!JY91&gt;1,Database!JY34&gt;1),100*(Database!JY91/(Database!JY34)),0.0001)</f>
        <v>1E-4</v>
      </c>
      <c r="EN147" s="99">
        <f>IF(AND(Database!KA91&gt;1,Database!KA34&gt;1),100*(Database!KA91/(Database!KA34)),0.0001)</f>
        <v>1E-4</v>
      </c>
      <c r="EO147" s="99">
        <f>IF(AND(Database!KC91&gt;1,Database!KC34&gt;1),100*(Database!KC91/(Database!KC34)),0.0001)</f>
        <v>1E-4</v>
      </c>
      <c r="EP147" s="99">
        <f>IF(AND(Database!KE91&gt;1,Database!KE34&gt;1),100*(Database!KE91/(Database!KE34)),0.0001)</f>
        <v>1E-4</v>
      </c>
      <c r="EQ147" s="99">
        <f>IF(AND(Database!KG91&gt;1,Database!KG34&gt;1),100*(Database!KG91/(Database!KG34)),0.0001)</f>
        <v>1E-4</v>
      </c>
      <c r="ER147" s="99">
        <f>IF(AND(Database!KI91&gt;1,Database!KI34&gt;1),100*(Database!KI91/(Database!KI34)),0.0001)</f>
        <v>1E-4</v>
      </c>
      <c r="ES147" s="99">
        <f>IF(AND(Database!KK91&gt;1,Database!KK34&gt;1),100*(Database!KK91/(Database!KK34)),0.0001)</f>
        <v>1E-4</v>
      </c>
      <c r="ET147" s="99">
        <f>IF(AND(Database!KM91&gt;1,Database!KM34&gt;1),100*(Database!KM91/(Database!KM34)),0.0001)</f>
        <v>1E-4</v>
      </c>
      <c r="EU147" s="99">
        <f>IF(AND(Database!KO91&gt;1,Database!KO34&gt;1),100*(Database!KO91/(Database!KO34)),0.0001)</f>
        <v>1E-4</v>
      </c>
      <c r="EV147" s="99">
        <f>IF(AND(Database!KQ91&gt;1,Database!KQ34&gt;1),100*(Database!KQ91/(Database!KQ34)),0.0001)</f>
        <v>1E-4</v>
      </c>
      <c r="EW147" s="99">
        <f>IF(AND(Database!KS91&gt;1,Database!KS34&gt;1),100*(Database!KS91/(Database!KS34)),0.0001)</f>
        <v>1E-4</v>
      </c>
      <c r="EX147" s="99">
        <f>IF(AND(Database!KU91&gt;1,Database!KU34&gt;1),100*(Database!KU91/(Database!KU34)),0.0001)</f>
        <v>1E-4</v>
      </c>
      <c r="EY147" s="99">
        <f>IF(AND(Database!KW91&gt;1,Database!KW34&gt;1),100*(Database!KW91/(Database!KW34)),0.0001)</f>
        <v>1E-4</v>
      </c>
      <c r="EZ147" s="99">
        <f>IF(AND(Database!KY91&gt;1,Database!KY34&gt;1),100*(Database!KY91/(Database!KY34)),0.0001)</f>
        <v>1E-4</v>
      </c>
      <c r="FA147" s="99">
        <f>IF(AND(Database!LA91&gt;1,Database!LA34&gt;1),100*(Database!LA91/(Database!LA34)),0.0001)</f>
        <v>1E-4</v>
      </c>
      <c r="FB147" s="99">
        <f>IF(AND(Database!LC91&gt;1,Database!LC34&gt;1),100*(Database!LC91/(Database!LC34)),0.0001)</f>
        <v>1E-4</v>
      </c>
      <c r="FC147" s="99">
        <f>IF(AND(Database!LE91&gt;1,Database!LE34&gt;1),100*(Database!LE91/(Database!LE34)),0.0001)</f>
        <v>1E-4</v>
      </c>
      <c r="FD147" s="99">
        <f>IF(AND(Database!LG91&gt;1,Database!LG34&gt;1),100*(Database!LG91/(Database!LG34)),0.0001)</f>
        <v>1E-4</v>
      </c>
      <c r="FE147" s="99">
        <f>IF(AND(Database!LI91&gt;1,Database!LI34&gt;1),100*(Database!LI91/(Database!LI34)),0.0001)</f>
        <v>1E-4</v>
      </c>
      <c r="FF147" s="99">
        <f>IF(AND(Database!LK91&gt;1,Database!LK34&gt;1),100*(Database!LK91/(Database!LK34)),0.0001)</f>
        <v>1E-4</v>
      </c>
      <c r="FG147" s="99">
        <f>IF(AND(Database!LM91&gt;1,Database!LM34&gt;1),100*(Database!LM91/(Database!LM34)),0.0001)</f>
        <v>1E-4</v>
      </c>
      <c r="FH147" s="99">
        <f>IF(AND(Database!LO91&gt;1,Database!LO34&gt;1),100*(Database!LO91/(Database!LO34)),0.0001)</f>
        <v>1E-4</v>
      </c>
      <c r="FI147" s="99">
        <f>IF(AND(Database!LQ91&gt;1,Database!LQ34&gt;1),100*(Database!LQ91/(Database!LQ34)),0.0001)</f>
        <v>1E-4</v>
      </c>
      <c r="FJ147" s="99">
        <f>IF(AND(Database!LS91&gt;1,Database!LS34&gt;1),100*(Database!LS91/(Database!LS34)),0.0001)</f>
        <v>1E-4</v>
      </c>
      <c r="FK147" s="99">
        <f>IF(AND(Database!LU91&gt;1,Database!LU34&gt;1),100*(Database!LU91/(Database!LU34)),0.0001)</f>
        <v>1E-4</v>
      </c>
      <c r="FL147" s="99">
        <f>IF(AND(Database!LW91&gt;1,Database!LW34&gt;1),100*(Database!LW91/(Database!LW34)),0.0001)</f>
        <v>1E-4</v>
      </c>
      <c r="FM147" s="99">
        <f>IF(AND(Database!LY91&gt;1,Database!LY34&gt;1),100*(Database!LY91/(Database!LY34)),0.0001)</f>
        <v>1E-4</v>
      </c>
      <c r="FN147" s="99">
        <f>IF(AND(Database!MA91&gt;1,Database!MA34&gt;1),100*(Database!MA91/(Database!MA34)),0.0001)</f>
        <v>1E-4</v>
      </c>
      <c r="FO147" s="99">
        <f>IF(AND(Database!MC91&gt;1,Database!MC34&gt;1),100*(Database!MC91/(Database!MC34)),0.0001)</f>
        <v>1E-4</v>
      </c>
      <c r="FP147" s="99">
        <f>IF(AND(Database!ME91&gt;1,Database!ME34&gt;1),100*(Database!ME91/(Database!ME34)),0.0001)</f>
        <v>1E-4</v>
      </c>
      <c r="FQ147" s="99">
        <f>IF(AND(Database!MG91&gt;1,Database!MG34&gt;1),100*(Database!MG91/(Database!MG34)),0.0001)</f>
        <v>1E-4</v>
      </c>
      <c r="FR147" s="99">
        <f>IF(AND(Database!MI91&gt;1,Database!MI34&gt;1),100*(Database!MI91/(Database!MI34)),0.0001)</f>
        <v>1E-4</v>
      </c>
      <c r="FS147" s="99">
        <f>IF(AND(Database!MK91&gt;1,Database!MK34&gt;1),100*(Database!MK91/(Database!MK34)),0.0001)</f>
        <v>1E-4</v>
      </c>
      <c r="FT147" s="99">
        <f>IF(AND(Database!MM91&gt;1,Database!MM34&gt;1),100*(Database!MM91/(Database!MM34)),0.0001)</f>
        <v>1E-4</v>
      </c>
      <c r="FU147" s="99">
        <f>IF(AND(Database!MO91&gt;1,Database!MO34&gt;1),100*(Database!MO91/(Database!MO34)),0.0001)</f>
        <v>1E-4</v>
      </c>
      <c r="FV147" s="99">
        <f>IF(AND(Database!MQ91&gt;1,Database!MQ34&gt;1),100*(Database!MQ91/(Database!MQ34)),0.0001)</f>
        <v>1E-4</v>
      </c>
      <c r="FW147" s="99">
        <f>IF(AND(Database!MS91&gt;1,Database!MS34&gt;1),100*(Database!MS91/(Database!MS34)),0.0001)</f>
        <v>1E-4</v>
      </c>
      <c r="FX147" s="99">
        <f>IF(AND(Database!MU91&gt;1,Database!MU34&gt;1),100*(Database!MU91/(Database!MU34)),0.0001)</f>
        <v>1E-4</v>
      </c>
      <c r="FY147" s="99">
        <f>IF(AND(Database!MW91&gt;1,Database!MW34&gt;1),100*(Database!MW91/(Database!MW34)),0.0001)</f>
        <v>1E-4</v>
      </c>
      <c r="FZ147" s="99">
        <f>IF(AND(Database!MY91&gt;1,Database!MY34&gt;1),100*(Database!MY91/(Database!MY34)),0.0001)</f>
        <v>1E-4</v>
      </c>
      <c r="GA147" s="99">
        <f>IF(AND(Database!NA91&gt;1,Database!NA34&gt;1),100*(Database!NA91/(Database!NA34)),0.0001)</f>
        <v>1E-4</v>
      </c>
      <c r="GB147" s="99">
        <f>IF(AND(Database!NC91&gt;1,Database!NC34&gt;1),100*(Database!NC91/(Database!NC34)),0.0001)</f>
        <v>1E-4</v>
      </c>
      <c r="GC147" s="99">
        <f>IF(AND(Database!NE91&gt;1,Database!NE34&gt;1),100*(Database!NE91/(Database!NE34)),0.0001)</f>
        <v>1E-4</v>
      </c>
      <c r="GD147" s="99">
        <f>IF(AND(Database!NG91&gt;1,Database!NG34&gt;1),100*(Database!NG91/(Database!NG34)),0.0001)</f>
        <v>1E-4</v>
      </c>
      <c r="GE147" s="99">
        <f>IF(AND(Database!NI91&gt;1,Database!NI34&gt;1),100*(Database!NI91/(Database!NI34)),0.0001)</f>
        <v>1E-4</v>
      </c>
      <c r="GF147" s="99">
        <f>IF(AND(Database!NK91&gt;1,Database!NK34&gt;1),100*(Database!NK91/(Database!NK34)),0.0001)</f>
        <v>1E-4</v>
      </c>
      <c r="GG147" s="99">
        <f>IF(AND(Database!NM91&gt;1,Database!NM34&gt;1),100*(Database!NM91/(Database!NM34)),0.0001)</f>
        <v>1E-4</v>
      </c>
      <c r="GH147" s="99">
        <f>IF(AND(Database!NO91&gt;1,Database!NO34&gt;1),100*(Database!NO91/(Database!NO34)),0.0001)</f>
        <v>1E-4</v>
      </c>
      <c r="GI147" s="99">
        <f>IF(AND(Database!NQ91&gt;1,Database!NQ34&gt;1),100*(Database!NQ91/(Database!NQ34)),0.0001)</f>
        <v>1E-4</v>
      </c>
      <c r="GJ147" s="99">
        <f>IF(AND(Database!NS91&gt;1,Database!NS34&gt;1),100*(Database!NS91/(Database!NS34)),0.0001)</f>
        <v>1E-4</v>
      </c>
      <c r="GK147" s="99">
        <f>IF(AND(Database!NU91&gt;1,Database!NU34&gt;1),100*(Database!NU91/(Database!NU34)),0.0001)</f>
        <v>1E-4</v>
      </c>
      <c r="GL147" s="99">
        <f>IF(AND(Database!NW91&gt;1,Database!NW34&gt;1),100*(Database!NW91/(Database!NW34)),0.0001)</f>
        <v>1E-4</v>
      </c>
      <c r="GM147" s="99">
        <f>IF(AND(Database!NY91&gt;1,Database!NY34&gt;1),100*(Database!NY91/(Database!NY34)),0.0001)</f>
        <v>1E-4</v>
      </c>
      <c r="GN147" s="99">
        <f>IF(AND(Database!OA91&gt;1,Database!OA34&gt;1),100*(Database!OA91/(Database!OA34)),0.0001)</f>
        <v>1E-4</v>
      </c>
      <c r="GO147" s="99">
        <f>IF(AND(Database!OC91&gt;1,Database!OC34&gt;1),100*(Database!OC91/(Database!OC34)),0.0001)</f>
        <v>1E-4</v>
      </c>
      <c r="GP147" s="99">
        <f>IF(AND(Database!OE91&gt;1,Database!OE34&gt;1),100*(Database!OE91/(Database!OE34)),0.0001)</f>
        <v>1E-4</v>
      </c>
      <c r="GQ147" s="99">
        <f>IF(AND(Database!OG91&gt;1,Database!OG34&gt;1),100*(Database!OG91/(Database!OG34)),0.0001)</f>
        <v>1E-4</v>
      </c>
      <c r="GR147" s="99">
        <f>IF(AND(Database!OI91&gt;1,Database!OI34&gt;1),100*(Database!OI91/(Database!OI34)),0.0001)</f>
        <v>1E-4</v>
      </c>
      <c r="GS147" s="99">
        <f>IF(AND(Database!OK91&gt;1,Database!OK34&gt;1),100*(Database!OK91/(Database!OK34)),0.0001)</f>
        <v>1E-4</v>
      </c>
      <c r="GT147" s="30">
        <f>IF(AND(Database!OM91&gt;1,Database!OM34&gt;1),100*(Database!OM91/(Database!OM34)),0.0001)</f>
        <v>1E-4</v>
      </c>
      <c r="GU147" s="99"/>
      <c r="GV147" s="99"/>
      <c r="GW147" s="99"/>
    </row>
    <row r="148" spans="1:205" ht="18.75" customHeight="1" x14ac:dyDescent="0.4">
      <c r="A148" s="240" t="s">
        <v>158</v>
      </c>
      <c r="B148" s="96"/>
      <c r="C148" s="260">
        <f>IF(AND(Database!E91&gt;1,Database!E93&gt;1),100*(Database!E91/(Database!E93)),0.0001)</f>
        <v>172.98245614035088</v>
      </c>
      <c r="D148" s="99">
        <f>IF(AND(Database!G91&gt;1,Database!G93&gt;1),100*(Database!G91/(Database!G93)),0.0001)</f>
        <v>276.1159420289855</v>
      </c>
      <c r="E148" s="99">
        <f>IF(AND(Database!I91&gt;1,Database!I93&gt;1),100*(Database!I91/(Database!I93)),0.0001)</f>
        <v>331.26381354229454</v>
      </c>
      <c r="F148" s="99">
        <f>IF(AND(Database!K91&gt;1,Database!K93&gt;1),100*(Database!K91/(Database!K93)),0.0001)</f>
        <v>319.91807475678445</v>
      </c>
      <c r="G148" s="99">
        <f>IF(AND(Database!M91&gt;1,Database!M93&gt;1),100*(Database!M91/(Database!M93)),0.0001)</f>
        <v>1E-4</v>
      </c>
      <c r="H148" s="99">
        <f>IF(AND(Database!O91&gt;1,Database!O93&gt;1),100*(Database!O91/(Database!O93)),0.0001)</f>
        <v>1E-4</v>
      </c>
      <c r="I148" s="99">
        <f>IF(AND(Database!Q91&gt;1,Database!Q93&gt;1),100*(Database!Q91/(Database!Q93)),0.0001)</f>
        <v>1E-4</v>
      </c>
      <c r="J148" s="99">
        <f>IF(AND(Database!S91&gt;1,Database!S93&gt;1),100*(Database!S91/(Database!S93)),0.0001)</f>
        <v>1E-4</v>
      </c>
      <c r="K148" s="99">
        <f>IF(AND(Database!U91&gt;1,Database!U93&gt;1),100*(Database!U91/(Database!U93)),0.0001)</f>
        <v>1E-4</v>
      </c>
      <c r="L148" s="99">
        <f>IF(AND(Database!W91&gt;1,Database!W93&gt;1),100*(Database!W91/(Database!W93)),0.0001)</f>
        <v>1E-4</v>
      </c>
      <c r="M148" s="99">
        <f>IF(AND(Database!Y91&gt;1,Database!Y93&gt;1),100*(Database!Y91/(Database!Y93)),0.0001)</f>
        <v>1E-4</v>
      </c>
      <c r="N148" s="99">
        <f>IF(AND(Database!AA91&gt;1,Database!AA93&gt;1),100*(Database!AA91/(Database!AA93)),0.0001)</f>
        <v>1E-4</v>
      </c>
      <c r="O148" s="99">
        <f>IF(AND(Database!AC91&gt;1,Database!AC93&gt;1),100*(Database!AC91/(Database!AC93)),0.0001)</f>
        <v>1E-4</v>
      </c>
      <c r="P148" s="99">
        <f>IF(AND(Database!AE91&gt;1,Database!AE93&gt;1),100*(Database!AE91/(Database!AE93)),0.0001)</f>
        <v>1E-4</v>
      </c>
      <c r="Q148" s="99">
        <f>IF(AND(Database!AG91&gt;1,Database!AG93&gt;1),100*(Database!AG91/(Database!AG93)),0.0001)</f>
        <v>1E-4</v>
      </c>
      <c r="R148" s="99">
        <f>IF(AND(Database!AI91&gt;1,Database!AI93&gt;1),100*(Database!AI91/(Database!AI93)),0.0001)</f>
        <v>1E-4</v>
      </c>
      <c r="S148" s="99">
        <f>IF(AND(Database!AK91&gt;1,Database!AK93&gt;1),100*(Database!AK91/(Database!AK93)),0.0001)</f>
        <v>1E-4</v>
      </c>
      <c r="T148" s="99">
        <f>IF(AND(Database!AM91&gt;1,Database!AM93&gt;1),100*(Database!AM91/(Database!AM93)),0.0001)</f>
        <v>1E-4</v>
      </c>
      <c r="U148" s="99">
        <f>IF(AND(Database!AO91&gt;1,Database!AO93&gt;1),100*(Database!AO91/(Database!AO93)),0.0001)</f>
        <v>1E-4</v>
      </c>
      <c r="V148" s="99">
        <f>IF(AND(Database!AQ91&gt;1,Database!AQ93&gt;1),100*(Database!AQ91/(Database!AQ93)),0.0001)</f>
        <v>1E-4</v>
      </c>
      <c r="W148" s="99">
        <f>IF(AND(Database!AS91&gt;1,Database!AS93&gt;1),100*(Database!AS91/(Database!AS93)),0.0001)</f>
        <v>1E-4</v>
      </c>
      <c r="X148" s="99">
        <f>IF(AND(Database!AU91&gt;1,Database!AU93&gt;1),100*(Database!AU91/(Database!AU93)),0.0001)</f>
        <v>1E-4</v>
      </c>
      <c r="Y148" s="99">
        <f>IF(AND(Database!AW91&gt;1,Database!AW93&gt;1),100*(Database!AW91/(Database!AW93)),0.0001)</f>
        <v>1E-4</v>
      </c>
      <c r="Z148" s="99">
        <f>IF(AND(Database!AY91&gt;1,Database!AY93&gt;1),100*(Database!AY91/(Database!AY93)),0.0001)</f>
        <v>1E-4</v>
      </c>
      <c r="AA148" s="99">
        <f>IF(AND(Database!BA91&gt;1,Database!BA93&gt;1),100*(Database!BA91/(Database!BA93)),0.0001)</f>
        <v>1E-4</v>
      </c>
      <c r="AB148" s="99">
        <f>IF(AND(Database!BC91&gt;1,Database!BC93&gt;1),100*(Database!BC91/(Database!BC93)),0.0001)</f>
        <v>1E-4</v>
      </c>
      <c r="AC148" s="99">
        <f>IF(AND(Database!BE91&gt;1,Database!BE93&gt;1),100*(Database!BE91/(Database!BE93)),0.0001)</f>
        <v>1E-4</v>
      </c>
      <c r="AD148" s="99">
        <f>IF(AND(Database!BG91&gt;1,Database!BG93&gt;1),100*(Database!BG91/(Database!BG93)),0.0001)</f>
        <v>1E-4</v>
      </c>
      <c r="AE148" s="99">
        <f>IF(AND(Database!BI91&gt;1,Database!BI93&gt;1),100*(Database!BI91/(Database!BI93)),0.0001)</f>
        <v>1E-4</v>
      </c>
      <c r="AF148" s="99">
        <f>IF(AND(Database!BK91&gt;1,Database!BK93&gt;1),100*(Database!BK91/(Database!BK93)),0.0001)</f>
        <v>1E-4</v>
      </c>
      <c r="AG148" s="99">
        <f>IF(AND(Database!BM91&gt;1,Database!BM93&gt;1),100*(Database!BM91/(Database!BM93)),0.0001)</f>
        <v>1E-4</v>
      </c>
      <c r="AH148" s="99">
        <f>IF(AND(Database!BO91&gt;1,Database!BO93&gt;1),100*(Database!BO91/(Database!BO93)),0.0001)</f>
        <v>1E-4</v>
      </c>
      <c r="AI148" s="99">
        <f>IF(AND(Database!BQ91&gt;1,Database!BQ93&gt;1),100*(Database!BQ91/(Database!BQ93)),0.0001)</f>
        <v>1E-4</v>
      </c>
      <c r="AJ148" s="99">
        <f>IF(AND(Database!BS91&gt;1,Database!BS93&gt;1),100*(Database!BS91/(Database!BS93)),0.0001)</f>
        <v>1E-4</v>
      </c>
      <c r="AK148" s="99">
        <f>IF(AND(Database!BU91&gt;1,Database!BU93&gt;1),100*(Database!BU91/(Database!BU93)),0.0001)</f>
        <v>1E-4</v>
      </c>
      <c r="AL148" s="99">
        <f>IF(AND(Database!BW91&gt;1,Database!BW93&gt;1),100*(Database!BW91/(Database!BW93)),0.0001)</f>
        <v>1E-4</v>
      </c>
      <c r="AM148" s="99">
        <f>IF(AND(Database!BY91&gt;1,Database!BY93&gt;1),100*(Database!BY91/(Database!BY93)),0.0001)</f>
        <v>1E-4</v>
      </c>
      <c r="AN148" s="99">
        <f>IF(AND(Database!CA91&gt;1,Database!CA93&gt;1),100*(Database!CA91/(Database!CA93)),0.0001)</f>
        <v>1E-4</v>
      </c>
      <c r="AO148" s="99">
        <f>IF(AND(Database!CC91&gt;1,Database!CC93&gt;1),100*(Database!CC91/(Database!CC93)),0.0001)</f>
        <v>1E-4</v>
      </c>
      <c r="AP148" s="99">
        <f>IF(AND(Database!CE91&gt;1,Database!CE93&gt;1),100*(Database!CE91/(Database!CE93)),0.0001)</f>
        <v>1E-4</v>
      </c>
      <c r="AQ148" s="99">
        <f>IF(AND(Database!CG91&gt;1,Database!CG93&gt;1),100*(Database!CG91/(Database!CG93)),0.0001)</f>
        <v>1E-4</v>
      </c>
      <c r="AR148" s="99">
        <f>IF(AND(Database!CI91&gt;1,Database!CI93&gt;1),100*(Database!CI91/(Database!CI93)),0.0001)</f>
        <v>1E-4</v>
      </c>
      <c r="AS148" s="99">
        <f>IF(AND(Database!CK91&gt;1,Database!CK93&gt;1),100*(Database!CK91/(Database!CK93)),0.0001)</f>
        <v>1E-4</v>
      </c>
      <c r="AT148" s="99">
        <f>IF(AND(Database!CM91&gt;1,Database!CM93&gt;1),100*(Database!CM91/(Database!CM93)),0.0001)</f>
        <v>1E-4</v>
      </c>
      <c r="AU148" s="99">
        <f>IF(AND(Database!CO91&gt;1,Database!CO93&gt;1),100*(Database!CO91/(Database!CO93)),0.0001)</f>
        <v>1E-4</v>
      </c>
      <c r="AV148" s="99">
        <f>IF(AND(Database!CQ91&gt;1,Database!CQ93&gt;1),100*(Database!CQ91/(Database!CQ93)),0.0001)</f>
        <v>1E-4</v>
      </c>
      <c r="AW148" s="99">
        <f>IF(AND(Database!CS91&gt;1,Database!CS93&gt;1),100*(Database!CS91/(Database!CS93)),0.0001)</f>
        <v>1E-4</v>
      </c>
      <c r="AX148" s="99">
        <f>IF(AND(Database!CU91&gt;1,Database!CU93&gt;1),100*(Database!CU91/(Database!CU93)),0.0001)</f>
        <v>1E-4</v>
      </c>
      <c r="AY148" s="99">
        <f>IF(AND(Database!CW91&gt;1,Database!CW93&gt;1),100*(Database!CW91/(Database!CW93)),0.0001)</f>
        <v>1E-4</v>
      </c>
      <c r="AZ148" s="99">
        <f>IF(AND(Database!CY91&gt;1,Database!CY93&gt;1),100*(Database!CY91/(Database!CY93)),0.0001)</f>
        <v>1E-4</v>
      </c>
      <c r="BA148" s="99">
        <f>IF(AND(Database!DA91&gt;1,Database!DA93&gt;1),100*(Database!DA91/(Database!DA93)),0.0001)</f>
        <v>1E-4</v>
      </c>
      <c r="BB148" s="99">
        <f>IF(AND(Database!DC91&gt;1,Database!DC93&gt;1),100*(Database!DC91/(Database!DC93)),0.0001)</f>
        <v>1E-4</v>
      </c>
      <c r="BC148" s="99">
        <f>IF(AND(Database!DE91&gt;1,Database!DE93&gt;1),100*(Database!DE91/(Database!DE93)),0.0001)</f>
        <v>1E-4</v>
      </c>
      <c r="BD148" s="99">
        <f>IF(AND(Database!DG91&gt;1,Database!DG93&gt;1),100*(Database!DG91/(Database!DG93)),0.0001)</f>
        <v>1E-4</v>
      </c>
      <c r="BE148" s="99">
        <f>IF(AND(Database!DI91&gt;1,Database!DI93&gt;1),100*(Database!DI91/(Database!DI93)),0.0001)</f>
        <v>1E-4</v>
      </c>
      <c r="BF148" s="99">
        <f>IF(AND(Database!DK91&gt;1,Database!DK93&gt;1),100*(Database!DK91/(Database!DK93)),0.0001)</f>
        <v>1E-4</v>
      </c>
      <c r="BG148" s="99">
        <f>IF(AND(Database!DM91&gt;1,Database!DM93&gt;1),100*(Database!DM91/(Database!DM93)),0.0001)</f>
        <v>1E-4</v>
      </c>
      <c r="BH148" s="99">
        <f>IF(AND(Database!DO91&gt;1,Database!DO93&gt;1),100*(Database!DO91/(Database!DO93)),0.0001)</f>
        <v>1E-4</v>
      </c>
      <c r="BI148" s="99">
        <f>IF(AND(Database!DQ91&gt;1,Database!DQ93&gt;1),100*(Database!DQ91/(Database!DQ93)),0.0001)</f>
        <v>1E-4</v>
      </c>
      <c r="BJ148" s="99">
        <f>IF(AND(Database!DS91&gt;1,Database!DS93&gt;1),100*(Database!DS91/(Database!DS93)),0.0001)</f>
        <v>1E-4</v>
      </c>
      <c r="BK148" s="99">
        <f>IF(AND(Database!DU91&gt;1,Database!DU93&gt;1),100*(Database!DU91/(Database!DU93)),0.0001)</f>
        <v>1E-4</v>
      </c>
      <c r="BL148" s="99">
        <f>IF(AND(Database!DW91&gt;1,Database!DW93&gt;1),100*(Database!DW91/(Database!DW93)),0.0001)</f>
        <v>1E-4</v>
      </c>
      <c r="BM148" s="99">
        <f>IF(AND(Database!DY91&gt;1,Database!DY93&gt;1),100*(Database!DY91/(Database!DY93)),0.0001)</f>
        <v>1E-4</v>
      </c>
      <c r="BN148" s="99">
        <f>IF(AND(Database!EA91&gt;1,Database!EA93&gt;1),100*(Database!EA91/(Database!EA93)),0.0001)</f>
        <v>1E-4</v>
      </c>
      <c r="BO148" s="99">
        <f>IF(AND(Database!EC91&gt;1,Database!EC93&gt;1),100*(Database!EC91/(Database!EC93)),0.0001)</f>
        <v>1E-4</v>
      </c>
      <c r="BP148" s="99">
        <f>IF(AND(Database!EE91&gt;1,Database!EE93&gt;1),100*(Database!EE91/(Database!EE93)),0.0001)</f>
        <v>1E-4</v>
      </c>
      <c r="BQ148" s="99">
        <f>IF(AND(Database!EG91&gt;1,Database!EG93&gt;1),100*(Database!EG91/(Database!EG93)),0.0001)</f>
        <v>1E-4</v>
      </c>
      <c r="BR148" s="99">
        <f>IF(AND(Database!EI91&gt;1,Database!EI93&gt;1),100*(Database!EI91/(Database!EI93)),0.0001)</f>
        <v>1E-4</v>
      </c>
      <c r="BS148" s="99">
        <f>IF(AND(Database!EK91&gt;1,Database!EK93&gt;1),100*(Database!EK91/(Database!EK93)),0.0001)</f>
        <v>1E-4</v>
      </c>
      <c r="BT148" s="99">
        <f>IF(AND(Database!EM91&gt;1,Database!EM93&gt;1),100*(Database!EM91/(Database!EM93)),0.0001)</f>
        <v>1E-4</v>
      </c>
      <c r="BU148" s="99">
        <f>IF(AND(Database!EO91&gt;1,Database!EO93&gt;1),100*(Database!EO91/(Database!EO93)),0.0001)</f>
        <v>1E-4</v>
      </c>
      <c r="BV148" s="99">
        <f>IF(AND(Database!EQ91&gt;1,Database!EQ93&gt;1),100*(Database!EQ91/(Database!EQ93)),0.0001)</f>
        <v>1E-4</v>
      </c>
      <c r="BW148" s="99">
        <f>IF(AND(Database!ES91&gt;1,Database!ES93&gt;1),100*(Database!ES91/(Database!ES93)),0.0001)</f>
        <v>1E-4</v>
      </c>
      <c r="BX148" s="99">
        <f>IF(AND(Database!EU91&gt;1,Database!EU93&gt;1),100*(Database!EU91/(Database!EU93)),0.0001)</f>
        <v>1E-4</v>
      </c>
      <c r="BY148" s="99">
        <f>IF(AND(Database!EW91&gt;1,Database!EW93&gt;1),100*(Database!EW91/(Database!EW93)),0.0001)</f>
        <v>1E-4</v>
      </c>
      <c r="BZ148" s="99">
        <f>IF(AND(Database!EY91&gt;1,Database!EY93&gt;1),100*(Database!EY91/(Database!EY93)),0.0001)</f>
        <v>1E-4</v>
      </c>
      <c r="CA148" s="99">
        <f>IF(AND(Database!FA91&gt;1,Database!FA93&gt;1),100*(Database!FA91/(Database!FA93)),0.0001)</f>
        <v>1E-4</v>
      </c>
      <c r="CB148" s="99">
        <f>IF(AND(Database!FC91&gt;1,Database!FC93&gt;1),100*(Database!FC91/(Database!FC93)),0.0001)</f>
        <v>1E-4</v>
      </c>
      <c r="CC148" s="99">
        <f>IF(AND(Database!FE91&gt;1,Database!FE93&gt;1),100*(Database!FE91/(Database!FE93)),0.0001)</f>
        <v>1E-4</v>
      </c>
      <c r="CD148" s="99">
        <f>IF(AND(Database!FG91&gt;1,Database!FG93&gt;1),100*(Database!FG91/(Database!FG93)),0.0001)</f>
        <v>1E-4</v>
      </c>
      <c r="CE148" s="99">
        <f>IF(AND(Database!FI91&gt;1,Database!FI93&gt;1),100*(Database!FI91/(Database!FI93)),0.0001)</f>
        <v>1E-4</v>
      </c>
      <c r="CF148" s="99">
        <f>IF(AND(Database!FK91&gt;1,Database!FK93&gt;1),100*(Database!FK91/(Database!FK93)),0.0001)</f>
        <v>1E-4</v>
      </c>
      <c r="CG148" s="99">
        <f>IF(AND(Database!FM91&gt;1,Database!FM93&gt;1),100*(Database!FM91/(Database!FM93)),0.0001)</f>
        <v>1E-4</v>
      </c>
      <c r="CH148" s="99">
        <f>IF(AND(Database!FO91&gt;1,Database!FO93&gt;1),100*(Database!FO91/(Database!FO93)),0.0001)</f>
        <v>1E-4</v>
      </c>
      <c r="CI148" s="99">
        <f>IF(AND(Database!FQ91&gt;1,Database!FQ93&gt;1),100*(Database!FQ91/(Database!FQ93)),0.0001)</f>
        <v>1E-4</v>
      </c>
      <c r="CJ148" s="99">
        <f>IF(AND(Database!FS91&gt;1,Database!FS93&gt;1),100*(Database!FS91/(Database!FS93)),0.0001)</f>
        <v>1E-4</v>
      </c>
      <c r="CK148" s="99">
        <f>IF(AND(Database!FU91&gt;1,Database!FU93&gt;1),100*(Database!FU91/(Database!FU93)),0.0001)</f>
        <v>1E-4</v>
      </c>
      <c r="CL148" s="99">
        <f>IF(AND(Database!FW91&gt;1,Database!FW93&gt;1),100*(Database!FW91/(Database!FW93)),0.0001)</f>
        <v>1E-4</v>
      </c>
      <c r="CM148" s="99">
        <f>IF(AND(Database!FY91&gt;1,Database!FY93&gt;1),100*(Database!FY91/(Database!FY93)),0.0001)</f>
        <v>1E-4</v>
      </c>
      <c r="CN148" s="99">
        <f>IF(AND(Database!GA91&gt;1,Database!GA93&gt;1),100*(Database!GA91/(Database!GA93)),0.0001)</f>
        <v>1E-4</v>
      </c>
      <c r="CO148" s="99">
        <f>IF(AND(Database!GC91&gt;1,Database!GC93&gt;1),100*(Database!GC91/(Database!GC93)),0.0001)</f>
        <v>1E-4</v>
      </c>
      <c r="CP148" s="99">
        <f>IF(AND(Database!GE91&gt;1,Database!GE93&gt;1),100*(Database!GE91/(Database!GE93)),0.0001)</f>
        <v>1E-4</v>
      </c>
      <c r="CQ148" s="99">
        <f>IF(AND(Database!GG91&gt;1,Database!GG93&gt;1),100*(Database!GG91/(Database!GG93)),0.0001)</f>
        <v>1E-4</v>
      </c>
      <c r="CR148" s="99">
        <f>IF(AND(Database!GI91&gt;1,Database!GI93&gt;1),100*(Database!GI91/(Database!GI93)),0.0001)</f>
        <v>1E-4</v>
      </c>
      <c r="CS148" s="99">
        <f>IF(AND(Database!GK91&gt;1,Database!GK93&gt;1),100*(Database!GK91/(Database!GK93)),0.0001)</f>
        <v>1E-4</v>
      </c>
      <c r="CT148" s="99">
        <f>IF(AND(Database!GM91&gt;1,Database!GM93&gt;1),100*(Database!GM91/(Database!GM93)),0.0001)</f>
        <v>1E-4</v>
      </c>
      <c r="CU148" s="99">
        <f>IF(AND(Database!GO91&gt;1,Database!GO93&gt;1),100*(Database!GO91/(Database!GO93)),0.0001)</f>
        <v>1E-4</v>
      </c>
      <c r="CV148" s="99">
        <f>IF(AND(Database!GQ91&gt;1,Database!GQ93&gt;1),100*(Database!GQ91/(Database!GQ93)),0.0001)</f>
        <v>1E-4</v>
      </c>
      <c r="CW148" s="99">
        <f>IF(AND(Database!GS91&gt;1,Database!GS93&gt;1),100*(Database!GS91/(Database!GS93)),0.0001)</f>
        <v>1E-4</v>
      </c>
      <c r="CX148" s="99">
        <f>IF(AND(Database!GU91&gt;1,Database!GU93&gt;1),100*(Database!GU91/(Database!GU93)),0.0001)</f>
        <v>1E-4</v>
      </c>
      <c r="CY148" s="99">
        <f>IF(AND(Database!GW91&gt;1,Database!GW93&gt;1),100*(Database!GW91/(Database!GW93)),0.0001)</f>
        <v>1E-4</v>
      </c>
      <c r="CZ148" s="99">
        <f>IF(AND(Database!GY91&gt;1,Database!GY93&gt;1),100*(Database!GY91/(Database!GY93)),0.0001)</f>
        <v>1E-4</v>
      </c>
      <c r="DA148" s="99">
        <f>IF(AND(Database!HA91&gt;1,Database!HA93&gt;1),100*(Database!HA91/(Database!HA93)),0.0001)</f>
        <v>1E-4</v>
      </c>
      <c r="DB148" s="99">
        <f>IF(AND(Database!HC91&gt;1,Database!HC93&gt;1),100*(Database!HC91/(Database!HC93)),0.0001)</f>
        <v>1E-4</v>
      </c>
      <c r="DC148" s="99">
        <f>IF(AND(Database!HE91&gt;1,Database!HE93&gt;1),100*(Database!HE91/(Database!HE93)),0.0001)</f>
        <v>1E-4</v>
      </c>
      <c r="DD148" s="99">
        <f>IF(AND(Database!HG91&gt;1,Database!HG93&gt;1),100*(Database!HG91/(Database!HG93)),0.0001)</f>
        <v>1E-4</v>
      </c>
      <c r="DE148" s="99">
        <f>IF(AND(Database!HI91&gt;1,Database!HI93&gt;1),100*(Database!HI91/(Database!HI93)),0.0001)</f>
        <v>1E-4</v>
      </c>
      <c r="DF148" s="99">
        <f>IF(AND(Database!HK91&gt;1,Database!HK93&gt;1),100*(Database!HK91/(Database!HK93)),0.0001)</f>
        <v>1E-4</v>
      </c>
      <c r="DG148" s="99">
        <f>IF(AND(Database!HM91&gt;1,Database!HM93&gt;1),100*(Database!HM91/(Database!HM93)),0.0001)</f>
        <v>1E-4</v>
      </c>
      <c r="DH148" s="99">
        <f>IF(AND(Database!HO91&gt;1,Database!HO93&gt;1),100*(Database!HO91/(Database!HO93)),0.0001)</f>
        <v>1E-4</v>
      </c>
      <c r="DI148" s="99">
        <f>IF(AND(Database!HQ91&gt;1,Database!HQ93&gt;1),100*(Database!HQ91/(Database!HQ93)),0.0001)</f>
        <v>1E-4</v>
      </c>
      <c r="DJ148" s="99">
        <f>IF(AND(Database!HS91&gt;1,Database!HS93&gt;1),100*(Database!HS91/(Database!HS93)),0.0001)</f>
        <v>1E-4</v>
      </c>
      <c r="DK148" s="99">
        <f>IF(AND(Database!HU91&gt;1,Database!HU93&gt;1),100*(Database!HU91/(Database!HU93)),0.0001)</f>
        <v>1E-4</v>
      </c>
      <c r="DL148" s="99">
        <f>IF(AND(Database!HW91&gt;1,Database!HW93&gt;1),100*(Database!HW91/(Database!HW93)),0.0001)</f>
        <v>1E-4</v>
      </c>
      <c r="DM148" s="99">
        <f>IF(AND(Database!HY91&gt;1,Database!HY93&gt;1),100*(Database!HY91/(Database!HY93)),0.0001)</f>
        <v>1E-4</v>
      </c>
      <c r="DN148" s="99">
        <f>IF(AND(Database!IA91&gt;1,Database!IA93&gt;1),100*(Database!IA91/(Database!IA93)),0.0001)</f>
        <v>1E-4</v>
      </c>
      <c r="DO148" s="99">
        <f>IF(AND(Database!IC91&gt;1,Database!IC93&gt;1),100*(Database!IC91/(Database!IC93)),0.0001)</f>
        <v>1E-4</v>
      </c>
      <c r="DP148" s="99">
        <f>IF(AND(Database!IE91&gt;1,Database!IE93&gt;1),100*(Database!IE91/(Database!IE93)),0.0001)</f>
        <v>1E-4</v>
      </c>
      <c r="DQ148" s="99">
        <f>IF(AND(Database!IG91&gt;1,Database!IG93&gt;1),100*(Database!IG91/(Database!IG93)),0.0001)</f>
        <v>1E-4</v>
      </c>
      <c r="DR148" s="99">
        <f>IF(AND(Database!II91&gt;1,Database!II93&gt;1),100*(Database!II91/(Database!II93)),0.0001)</f>
        <v>1E-4</v>
      </c>
      <c r="DS148" s="99">
        <f>IF(AND(Database!IK91&gt;1,Database!IK93&gt;1),100*(Database!IK91/(Database!IK93)),0.0001)</f>
        <v>1E-4</v>
      </c>
      <c r="DT148" s="99">
        <f>IF(AND(Database!IM91&gt;1,Database!IM93&gt;1),100*(Database!IM91/(Database!IM93)),0.0001)</f>
        <v>1E-4</v>
      </c>
      <c r="DU148" s="99">
        <f>IF(AND(Database!IO91&gt;1,Database!IO93&gt;1),100*(Database!IO91/(Database!IO93)),0.0001)</f>
        <v>1E-4</v>
      </c>
      <c r="DV148" s="99">
        <f>IF(AND(Database!IQ91&gt;1,Database!IQ93&gt;1),100*(Database!IQ91/(Database!IQ93)),0.0001)</f>
        <v>1E-4</v>
      </c>
      <c r="DW148" s="99">
        <f>IF(AND(Database!IS91&gt;1,Database!IS93&gt;1),100*(Database!IS91/(Database!IS93)),0.0001)</f>
        <v>1E-4</v>
      </c>
      <c r="DX148" s="99">
        <f>IF(AND(Database!IU91&gt;1,Database!IU93&gt;1),100*(Database!IU91/(Database!IU93)),0.0001)</f>
        <v>1E-4</v>
      </c>
      <c r="DY148" s="99">
        <f>IF(AND(Database!IW91&gt;1,Database!IW93&gt;1),100*(Database!IW91/(Database!IW93)),0.0001)</f>
        <v>1E-4</v>
      </c>
      <c r="DZ148" s="99">
        <f>IF(AND(Database!IY91&gt;1,Database!IY93&gt;1),100*(Database!IY91/(Database!IY93)),0.0001)</f>
        <v>1E-4</v>
      </c>
      <c r="EA148" s="99">
        <f>IF(AND(Database!JA91&gt;1,Database!JA93&gt;1),100*(Database!JA91/(Database!JA93)),0.0001)</f>
        <v>1E-4</v>
      </c>
      <c r="EB148" s="99">
        <f>IF(AND(Database!JC91&gt;1,Database!JC93&gt;1),100*(Database!JC91/(Database!JC93)),0.0001)</f>
        <v>1E-4</v>
      </c>
      <c r="EC148" s="99">
        <f>IF(AND(Database!JE91&gt;1,Database!JE93&gt;1),100*(Database!JE91/(Database!JE93)),0.0001)</f>
        <v>1E-4</v>
      </c>
      <c r="ED148" s="99">
        <f>IF(AND(Database!JG91&gt;1,Database!JG93&gt;1),100*(Database!JG91/(Database!JG93)),0.0001)</f>
        <v>1E-4</v>
      </c>
      <c r="EE148" s="99">
        <f>IF(AND(Database!JI91&gt;1,Database!JI93&gt;1),100*(Database!JI91/(Database!JI93)),0.0001)</f>
        <v>1E-4</v>
      </c>
      <c r="EF148" s="99">
        <f>IF(AND(Database!JK91&gt;1,Database!JK93&gt;1),100*(Database!JK91/(Database!JK93)),0.0001)</f>
        <v>1E-4</v>
      </c>
      <c r="EG148" s="99">
        <f>IF(AND(Database!JM91&gt;1,Database!JM93&gt;1),100*(Database!JM91/(Database!JM93)),0.0001)</f>
        <v>1E-4</v>
      </c>
      <c r="EH148" s="99">
        <f>IF(AND(Database!JO91&gt;1,Database!JO93&gt;1),100*(Database!JO91/(Database!JO93)),0.0001)</f>
        <v>1E-4</v>
      </c>
      <c r="EI148" s="99">
        <f>IF(AND(Database!JQ91&gt;1,Database!JQ93&gt;1),100*(Database!JQ91/(Database!JQ93)),0.0001)</f>
        <v>1E-4</v>
      </c>
      <c r="EJ148" s="99">
        <f>IF(AND(Database!JS91&gt;1,Database!JS93&gt;1),100*(Database!JS91/(Database!JS93)),0.0001)</f>
        <v>1E-4</v>
      </c>
      <c r="EK148" s="99">
        <f>IF(AND(Database!JU91&gt;1,Database!JU93&gt;1),100*(Database!JU91/(Database!JU93)),0.0001)</f>
        <v>1E-4</v>
      </c>
      <c r="EL148" s="99">
        <f>IF(AND(Database!JW91&gt;1,Database!JW93&gt;1),100*(Database!JW91/(Database!JW93)),0.0001)</f>
        <v>1E-4</v>
      </c>
      <c r="EM148" s="99">
        <f>IF(AND(Database!JY91&gt;1,Database!JY93&gt;1),100*(Database!JY91/(Database!JY93)),0.0001)</f>
        <v>1E-4</v>
      </c>
      <c r="EN148" s="99">
        <f>IF(AND(Database!KA91&gt;1,Database!KA93&gt;1),100*(Database!KA91/(Database!KA93)),0.0001)</f>
        <v>1E-4</v>
      </c>
      <c r="EO148" s="99">
        <f>IF(AND(Database!KC91&gt;1,Database!KC93&gt;1),100*(Database!KC91/(Database!KC93)),0.0001)</f>
        <v>1E-4</v>
      </c>
      <c r="EP148" s="99">
        <f>IF(AND(Database!KE91&gt;1,Database!KE93&gt;1),100*(Database!KE91/(Database!KE93)),0.0001)</f>
        <v>1E-4</v>
      </c>
      <c r="EQ148" s="99">
        <f>IF(AND(Database!KG91&gt;1,Database!KG93&gt;1),100*(Database!KG91/(Database!KG93)),0.0001)</f>
        <v>1E-4</v>
      </c>
      <c r="ER148" s="99">
        <f>IF(AND(Database!KI91&gt;1,Database!KI93&gt;1),100*(Database!KI91/(Database!KI93)),0.0001)</f>
        <v>1E-4</v>
      </c>
      <c r="ES148" s="99">
        <f>IF(AND(Database!KK91&gt;1,Database!KK93&gt;1),100*(Database!KK91/(Database!KK93)),0.0001)</f>
        <v>1E-4</v>
      </c>
      <c r="ET148" s="99">
        <f>IF(AND(Database!KM91&gt;1,Database!KM93&gt;1),100*(Database!KM91/(Database!KM93)),0.0001)</f>
        <v>1E-4</v>
      </c>
      <c r="EU148" s="99">
        <f>IF(AND(Database!KO91&gt;1,Database!KO93&gt;1),100*(Database!KO91/(Database!KO93)),0.0001)</f>
        <v>1E-4</v>
      </c>
      <c r="EV148" s="99">
        <f>IF(AND(Database!KQ91&gt;1,Database!KQ93&gt;1),100*(Database!KQ91/(Database!KQ93)),0.0001)</f>
        <v>1E-4</v>
      </c>
      <c r="EW148" s="99">
        <f>IF(AND(Database!KS91&gt;1,Database!KS93&gt;1),100*(Database!KS91/(Database!KS93)),0.0001)</f>
        <v>1E-4</v>
      </c>
      <c r="EX148" s="99">
        <f>IF(AND(Database!KU91&gt;1,Database!KU93&gt;1),100*(Database!KU91/(Database!KU93)),0.0001)</f>
        <v>1E-4</v>
      </c>
      <c r="EY148" s="99">
        <f>IF(AND(Database!KW91&gt;1,Database!KW93&gt;1),100*(Database!KW91/(Database!KW93)),0.0001)</f>
        <v>1E-4</v>
      </c>
      <c r="EZ148" s="99">
        <f>IF(AND(Database!KY91&gt;1,Database!KY93&gt;1),100*(Database!KY91/(Database!KY93)),0.0001)</f>
        <v>1E-4</v>
      </c>
      <c r="FA148" s="99">
        <f>IF(AND(Database!LA91&gt;1,Database!LA93&gt;1),100*(Database!LA91/(Database!LA93)),0.0001)</f>
        <v>1E-4</v>
      </c>
      <c r="FB148" s="99">
        <f>IF(AND(Database!LC91&gt;1,Database!LC93&gt;1),100*(Database!LC91/(Database!LC93)),0.0001)</f>
        <v>1E-4</v>
      </c>
      <c r="FC148" s="99">
        <f>IF(AND(Database!LE91&gt;1,Database!LE93&gt;1),100*(Database!LE91/(Database!LE93)),0.0001)</f>
        <v>1E-4</v>
      </c>
      <c r="FD148" s="99">
        <f>IF(AND(Database!LG91&gt;1,Database!LG93&gt;1),100*(Database!LG91/(Database!LG93)),0.0001)</f>
        <v>1E-4</v>
      </c>
      <c r="FE148" s="99">
        <f>IF(AND(Database!LI91&gt;1,Database!LI93&gt;1),100*(Database!LI91/(Database!LI93)),0.0001)</f>
        <v>1E-4</v>
      </c>
      <c r="FF148" s="99">
        <f>IF(AND(Database!LK91&gt;1,Database!LK93&gt;1),100*(Database!LK91/(Database!LK93)),0.0001)</f>
        <v>1E-4</v>
      </c>
      <c r="FG148" s="99">
        <f>IF(AND(Database!LM91&gt;1,Database!LM93&gt;1),100*(Database!LM91/(Database!LM93)),0.0001)</f>
        <v>1E-4</v>
      </c>
      <c r="FH148" s="99">
        <f>IF(AND(Database!LO91&gt;1,Database!LO93&gt;1),100*(Database!LO91/(Database!LO93)),0.0001)</f>
        <v>1E-4</v>
      </c>
      <c r="FI148" s="99">
        <f>IF(AND(Database!LQ91&gt;1,Database!LQ93&gt;1),100*(Database!LQ91/(Database!LQ93)),0.0001)</f>
        <v>1E-4</v>
      </c>
      <c r="FJ148" s="99">
        <f>IF(AND(Database!LS91&gt;1,Database!LS93&gt;1),100*(Database!LS91/(Database!LS93)),0.0001)</f>
        <v>1E-4</v>
      </c>
      <c r="FK148" s="99">
        <f>IF(AND(Database!LU91&gt;1,Database!LU93&gt;1),100*(Database!LU91/(Database!LU93)),0.0001)</f>
        <v>1E-4</v>
      </c>
      <c r="FL148" s="99">
        <f>IF(AND(Database!LW91&gt;1,Database!LW93&gt;1),100*(Database!LW91/(Database!LW93)),0.0001)</f>
        <v>1E-4</v>
      </c>
      <c r="FM148" s="99">
        <f>IF(AND(Database!LY91&gt;1,Database!LY93&gt;1),100*(Database!LY91/(Database!LY93)),0.0001)</f>
        <v>1E-4</v>
      </c>
      <c r="FN148" s="99">
        <f>IF(AND(Database!MA91&gt;1,Database!MA93&gt;1),100*(Database!MA91/(Database!MA93)),0.0001)</f>
        <v>1E-4</v>
      </c>
      <c r="FO148" s="99">
        <f>IF(AND(Database!MC91&gt;1,Database!MC93&gt;1),100*(Database!MC91/(Database!MC93)),0.0001)</f>
        <v>1E-4</v>
      </c>
      <c r="FP148" s="99">
        <f>IF(AND(Database!ME91&gt;1,Database!ME93&gt;1),100*(Database!ME91/(Database!ME93)),0.0001)</f>
        <v>1E-4</v>
      </c>
      <c r="FQ148" s="99">
        <f>IF(AND(Database!MG91&gt;1,Database!MG93&gt;1),100*(Database!MG91/(Database!MG93)),0.0001)</f>
        <v>1E-4</v>
      </c>
      <c r="FR148" s="99">
        <f>IF(AND(Database!MI91&gt;1,Database!MI93&gt;1),100*(Database!MI91/(Database!MI93)),0.0001)</f>
        <v>1E-4</v>
      </c>
      <c r="FS148" s="99">
        <f>IF(AND(Database!MK91&gt;1,Database!MK93&gt;1),100*(Database!MK91/(Database!MK93)),0.0001)</f>
        <v>1E-4</v>
      </c>
      <c r="FT148" s="99">
        <f>IF(AND(Database!MM91&gt;1,Database!MM93&gt;1),100*(Database!MM91/(Database!MM93)),0.0001)</f>
        <v>1E-4</v>
      </c>
      <c r="FU148" s="99">
        <f>IF(AND(Database!MO91&gt;1,Database!MO93&gt;1),100*(Database!MO91/(Database!MO93)),0.0001)</f>
        <v>1E-4</v>
      </c>
      <c r="FV148" s="99">
        <f>IF(AND(Database!MQ91&gt;1,Database!MQ93&gt;1),100*(Database!MQ91/(Database!MQ93)),0.0001)</f>
        <v>1E-4</v>
      </c>
      <c r="FW148" s="99">
        <f>IF(AND(Database!MS91&gt;1,Database!MS93&gt;1),100*(Database!MS91/(Database!MS93)),0.0001)</f>
        <v>1E-4</v>
      </c>
      <c r="FX148" s="99">
        <f>IF(AND(Database!MU91&gt;1,Database!MU93&gt;1),100*(Database!MU91/(Database!MU93)),0.0001)</f>
        <v>1E-4</v>
      </c>
      <c r="FY148" s="99">
        <f>IF(AND(Database!MW91&gt;1,Database!MW93&gt;1),100*(Database!MW91/(Database!MW93)),0.0001)</f>
        <v>1E-4</v>
      </c>
      <c r="FZ148" s="99">
        <f>IF(AND(Database!MY91&gt;1,Database!MY93&gt;1),100*(Database!MY91/(Database!MY93)),0.0001)</f>
        <v>1E-4</v>
      </c>
      <c r="GA148" s="99">
        <f>IF(AND(Database!NA91&gt;1,Database!NA93&gt;1),100*(Database!NA91/(Database!NA93)),0.0001)</f>
        <v>1E-4</v>
      </c>
      <c r="GB148" s="99">
        <f>IF(AND(Database!NC91&gt;1,Database!NC93&gt;1),100*(Database!NC91/(Database!NC93)),0.0001)</f>
        <v>1E-4</v>
      </c>
      <c r="GC148" s="99">
        <f>IF(AND(Database!NE91&gt;1,Database!NE93&gt;1),100*(Database!NE91/(Database!NE93)),0.0001)</f>
        <v>1E-4</v>
      </c>
      <c r="GD148" s="99">
        <f>IF(AND(Database!NG91&gt;1,Database!NG93&gt;1),100*(Database!NG91/(Database!NG93)),0.0001)</f>
        <v>1E-4</v>
      </c>
      <c r="GE148" s="99">
        <f>IF(AND(Database!NI91&gt;1,Database!NI93&gt;1),100*(Database!NI91/(Database!NI93)),0.0001)</f>
        <v>1E-4</v>
      </c>
      <c r="GF148" s="99">
        <f>IF(AND(Database!NK91&gt;1,Database!NK93&gt;1),100*(Database!NK91/(Database!NK93)),0.0001)</f>
        <v>1E-4</v>
      </c>
      <c r="GG148" s="99">
        <f>IF(AND(Database!NM91&gt;1,Database!NM93&gt;1),100*(Database!NM91/(Database!NM93)),0.0001)</f>
        <v>1E-4</v>
      </c>
      <c r="GH148" s="99">
        <f>IF(AND(Database!NO91&gt;1,Database!NO93&gt;1),100*(Database!NO91/(Database!NO93)),0.0001)</f>
        <v>1E-4</v>
      </c>
      <c r="GI148" s="99">
        <f>IF(AND(Database!NQ91&gt;1,Database!NQ93&gt;1),100*(Database!NQ91/(Database!NQ93)),0.0001)</f>
        <v>1E-4</v>
      </c>
      <c r="GJ148" s="99">
        <f>IF(AND(Database!NS91&gt;1,Database!NS93&gt;1),100*(Database!NS91/(Database!NS93)),0.0001)</f>
        <v>1E-4</v>
      </c>
      <c r="GK148" s="99">
        <f>IF(AND(Database!NU91&gt;1,Database!NU93&gt;1),100*(Database!NU91/(Database!NU93)),0.0001)</f>
        <v>1E-4</v>
      </c>
      <c r="GL148" s="99">
        <f>IF(AND(Database!NW91&gt;1,Database!NW93&gt;1),100*(Database!NW91/(Database!NW93)),0.0001)</f>
        <v>1E-4</v>
      </c>
      <c r="GM148" s="99">
        <f>IF(AND(Database!NY91&gt;1,Database!NY93&gt;1),100*(Database!NY91/(Database!NY93)),0.0001)</f>
        <v>1E-4</v>
      </c>
      <c r="GN148" s="99">
        <f>IF(AND(Database!OA91&gt;1,Database!OA93&gt;1),100*(Database!OA91/(Database!OA93)),0.0001)</f>
        <v>1E-4</v>
      </c>
      <c r="GO148" s="99">
        <f>IF(AND(Database!OC91&gt;1,Database!OC93&gt;1),100*(Database!OC91/(Database!OC93)),0.0001)</f>
        <v>1E-4</v>
      </c>
      <c r="GP148" s="99">
        <f>IF(AND(Database!OE91&gt;1,Database!OE93&gt;1),100*(Database!OE91/(Database!OE93)),0.0001)</f>
        <v>1E-4</v>
      </c>
      <c r="GQ148" s="99">
        <f>IF(AND(Database!OG91&gt;1,Database!OG93&gt;1),100*(Database!OG91/(Database!OG93)),0.0001)</f>
        <v>1E-4</v>
      </c>
      <c r="GR148" s="99">
        <f>IF(AND(Database!OI91&gt;1,Database!OI93&gt;1),100*(Database!OI91/(Database!OI93)),0.0001)</f>
        <v>1E-4</v>
      </c>
      <c r="GS148" s="99">
        <f>IF(AND(Database!OK91&gt;1,Database!OK93&gt;1),100*(Database!OK91/(Database!OK93)),0.0001)</f>
        <v>1E-4</v>
      </c>
      <c r="GT148" s="30">
        <f>IF(AND(Database!OM91&gt;1,Database!OM93&gt;1),100*(Database!OM91/(Database!OM93)),0.0001)</f>
        <v>1E-4</v>
      </c>
      <c r="GU148" s="99"/>
      <c r="GV148" s="99"/>
      <c r="GW148" s="99"/>
    </row>
    <row r="149" spans="1:205" ht="18.75" customHeight="1" x14ac:dyDescent="0.4">
      <c r="A149" s="240" t="s">
        <v>159</v>
      </c>
      <c r="B149" s="96"/>
      <c r="C149" s="260">
        <f>IF(AND(Database!E22&gt;1,Database!E38&gt;1),100*(Database!E22/Database!E38),0.0001)</f>
        <v>104.90744134897361</v>
      </c>
      <c r="D149" s="99">
        <f>IF(AND(Database!G22&gt;1,Database!G38&gt;1),100*(Database!G22/Database!G38),0.0001)</f>
        <v>109.21768707482993</v>
      </c>
      <c r="E149" s="99">
        <f>IF(AND(Database!I22&gt;1,Database!I38&gt;1),100*(Database!I22/Database!I38),0.0001)</f>
        <v>146.90900098911968</v>
      </c>
      <c r="F149" s="99">
        <f>IF(AND(Database!K22&gt;1,Database!K38&gt;1),100*(Database!K22/Database!K38),0.0001)</f>
        <v>150.49176704608246</v>
      </c>
      <c r="G149" s="99">
        <f>IF(AND(Database!M22&gt;1,Database!M38&gt;1),100*(Database!M22/Database!M38),0.0001)</f>
        <v>1E-4</v>
      </c>
      <c r="H149" s="99">
        <f>IF(AND(Database!O22&gt;1,Database!O38&gt;1),100*(Database!O22/Database!O38),0.0001)</f>
        <v>1E-4</v>
      </c>
      <c r="I149" s="99">
        <f>IF(AND(Database!Q22&gt;1,Database!Q38&gt;1),100*(Database!Q22/Database!Q38),0.0001)</f>
        <v>1E-4</v>
      </c>
      <c r="J149" s="99">
        <f>IF(AND(Database!S22&gt;1,Database!S38&gt;1),100*(Database!S22/Database!S38),0.0001)</f>
        <v>1E-4</v>
      </c>
      <c r="K149" s="99">
        <f>IF(AND(Database!U22&gt;1,Database!U38&gt;1),100*(Database!U22/Database!U38),0.0001)</f>
        <v>1E-4</v>
      </c>
      <c r="L149" s="99">
        <f>IF(AND(Database!W22&gt;1,Database!W38&gt;1),100*(Database!W22/Database!W38),0.0001)</f>
        <v>1E-4</v>
      </c>
      <c r="M149" s="99">
        <f>IF(AND(Database!Y22&gt;1,Database!Y38&gt;1),100*(Database!Y22/Database!Y38),0.0001)</f>
        <v>1E-4</v>
      </c>
      <c r="N149" s="99">
        <f>IF(AND(Database!AA22&gt;1,Database!AA38&gt;1),100*(Database!AA22/Database!AA38),0.0001)</f>
        <v>1E-4</v>
      </c>
      <c r="O149" s="99">
        <f>IF(AND(Database!AC22&gt;1,Database!AC38&gt;1),100*(Database!AC22/Database!AC38),0.0001)</f>
        <v>1E-4</v>
      </c>
      <c r="P149" s="99">
        <f>IF(AND(Database!AE22&gt;1,Database!AE38&gt;1),100*(Database!AE22/Database!AE38),0.0001)</f>
        <v>1E-4</v>
      </c>
      <c r="Q149" s="99">
        <f>IF(AND(Database!AG22&gt;1,Database!AG38&gt;1),100*(Database!AG22/Database!AG38),0.0001)</f>
        <v>1E-4</v>
      </c>
      <c r="R149" s="99">
        <f>IF(AND(Database!AI22&gt;1,Database!AI38&gt;1),100*(Database!AI22/Database!AI38),0.0001)</f>
        <v>1E-4</v>
      </c>
      <c r="S149" s="99">
        <f>IF(AND(Database!AK22&gt;1,Database!AK38&gt;1),100*(Database!AK22/Database!AK38),0.0001)</f>
        <v>1E-4</v>
      </c>
      <c r="T149" s="99">
        <f>IF(AND(Database!AM22&gt;1,Database!AM38&gt;1),100*(Database!AM22/Database!AM38),0.0001)</f>
        <v>1E-4</v>
      </c>
      <c r="U149" s="99">
        <f>IF(AND(Database!AO22&gt;1,Database!AO38&gt;1),100*(Database!AO22/Database!AO38),0.0001)</f>
        <v>1E-4</v>
      </c>
      <c r="V149" s="99">
        <f>IF(AND(Database!AQ22&gt;1,Database!AQ38&gt;1),100*(Database!AQ22/Database!AQ38),0.0001)</f>
        <v>1E-4</v>
      </c>
      <c r="W149" s="99">
        <f>IF(AND(Database!AS22&gt;1,Database!AS38&gt;1),100*(Database!AS22/Database!AS38),0.0001)</f>
        <v>1E-4</v>
      </c>
      <c r="X149" s="99">
        <f>IF(AND(Database!AU22&gt;1,Database!AU38&gt;1),100*(Database!AU22/Database!AU38),0.0001)</f>
        <v>1E-4</v>
      </c>
      <c r="Y149" s="99">
        <f>IF(AND(Database!AW22&gt;1,Database!AW38&gt;1),100*(Database!AW22/Database!AW38),0.0001)</f>
        <v>1E-4</v>
      </c>
      <c r="Z149" s="99">
        <f>IF(AND(Database!AY22&gt;1,Database!AY38&gt;1),100*(Database!AY22/Database!AY38),0.0001)</f>
        <v>1E-4</v>
      </c>
      <c r="AA149" s="99">
        <f>IF(AND(Database!BA22&gt;1,Database!BA38&gt;1),100*(Database!BA22/Database!BA38),0.0001)</f>
        <v>1E-4</v>
      </c>
      <c r="AB149" s="99">
        <f>IF(AND(Database!BC22&gt;1,Database!BC38&gt;1),100*(Database!BC22/Database!BC38),0.0001)</f>
        <v>1E-4</v>
      </c>
      <c r="AC149" s="99">
        <f>IF(AND(Database!BE22&gt;1,Database!BE38&gt;1),100*(Database!BE22/Database!BE38),0.0001)</f>
        <v>1E-4</v>
      </c>
      <c r="AD149" s="99">
        <f>IF(AND(Database!BG22&gt;1,Database!BG38&gt;1),100*(Database!BG22/Database!BG38),0.0001)</f>
        <v>1E-4</v>
      </c>
      <c r="AE149" s="99">
        <f>IF(AND(Database!BI22&gt;1,Database!BI38&gt;1),100*(Database!BI22/Database!BI38),0.0001)</f>
        <v>1E-4</v>
      </c>
      <c r="AF149" s="99">
        <f>IF(AND(Database!BK22&gt;1,Database!BK38&gt;1),100*(Database!BK22/Database!BK38),0.0001)</f>
        <v>1E-4</v>
      </c>
      <c r="AG149" s="99">
        <f>IF(AND(Database!BM22&gt;1,Database!BM38&gt;1),100*(Database!BM22/Database!BM38),0.0001)</f>
        <v>1E-4</v>
      </c>
      <c r="AH149" s="99">
        <f>IF(AND(Database!BO22&gt;1,Database!BO38&gt;1),100*(Database!BO22/Database!BO38),0.0001)</f>
        <v>1E-4</v>
      </c>
      <c r="AI149" s="99">
        <f>IF(AND(Database!BQ22&gt;1,Database!BQ38&gt;1),100*(Database!BQ22/Database!BQ38),0.0001)</f>
        <v>1E-4</v>
      </c>
      <c r="AJ149" s="99">
        <f>IF(AND(Database!BS22&gt;1,Database!BS38&gt;1),100*(Database!BS22/Database!BS38),0.0001)</f>
        <v>1E-4</v>
      </c>
      <c r="AK149" s="99">
        <f>IF(AND(Database!BU22&gt;1,Database!BU38&gt;1),100*(Database!BU22/Database!BU38),0.0001)</f>
        <v>1E-4</v>
      </c>
      <c r="AL149" s="99">
        <f>IF(AND(Database!BW22&gt;1,Database!BW38&gt;1),100*(Database!BW22/Database!BW38),0.0001)</f>
        <v>1E-4</v>
      </c>
      <c r="AM149" s="99">
        <f>IF(AND(Database!BY22&gt;1,Database!BY38&gt;1),100*(Database!BY22/Database!BY38),0.0001)</f>
        <v>1E-4</v>
      </c>
      <c r="AN149" s="99">
        <f>IF(AND(Database!CA22&gt;1,Database!CA38&gt;1),100*(Database!CA22/Database!CA38),0.0001)</f>
        <v>1E-4</v>
      </c>
      <c r="AO149" s="99">
        <f>IF(AND(Database!CC22&gt;1,Database!CC38&gt;1),100*(Database!CC22/Database!CC38),0.0001)</f>
        <v>1E-4</v>
      </c>
      <c r="AP149" s="99">
        <f>IF(AND(Database!CE22&gt;1,Database!CE38&gt;1),100*(Database!CE22/Database!CE38),0.0001)</f>
        <v>1E-4</v>
      </c>
      <c r="AQ149" s="99">
        <f>IF(AND(Database!CG22&gt;1,Database!CG38&gt;1),100*(Database!CG22/Database!CG38),0.0001)</f>
        <v>1E-4</v>
      </c>
      <c r="AR149" s="99">
        <f>IF(AND(Database!CI22&gt;1,Database!CI38&gt;1),100*(Database!CI22/Database!CI38),0.0001)</f>
        <v>1E-4</v>
      </c>
      <c r="AS149" s="99">
        <f>IF(AND(Database!CK22&gt;1,Database!CK38&gt;1),100*(Database!CK22/Database!CK38),0.0001)</f>
        <v>1E-4</v>
      </c>
      <c r="AT149" s="99">
        <f>IF(AND(Database!CM22&gt;1,Database!CM38&gt;1),100*(Database!CM22/Database!CM38),0.0001)</f>
        <v>1E-4</v>
      </c>
      <c r="AU149" s="99">
        <f>IF(AND(Database!CO22&gt;1,Database!CO38&gt;1),100*(Database!CO22/Database!CO38),0.0001)</f>
        <v>1E-4</v>
      </c>
      <c r="AV149" s="99">
        <f>IF(AND(Database!CQ22&gt;1,Database!CQ38&gt;1),100*(Database!CQ22/Database!CQ38),0.0001)</f>
        <v>1E-4</v>
      </c>
      <c r="AW149" s="99">
        <f>IF(AND(Database!CS22&gt;1,Database!CS38&gt;1),100*(Database!CS22/Database!CS38),0.0001)</f>
        <v>1E-4</v>
      </c>
      <c r="AX149" s="99">
        <f>IF(AND(Database!CU22&gt;1,Database!CU38&gt;1),100*(Database!CU22/Database!CU38),0.0001)</f>
        <v>1E-4</v>
      </c>
      <c r="AY149" s="99">
        <f>IF(AND(Database!CW22&gt;1,Database!CW38&gt;1),100*(Database!CW22/Database!CW38),0.0001)</f>
        <v>1E-4</v>
      </c>
      <c r="AZ149" s="99">
        <f>IF(AND(Database!CY22&gt;1,Database!CY38&gt;1),100*(Database!CY22/Database!CY38),0.0001)</f>
        <v>1E-4</v>
      </c>
      <c r="BA149" s="99">
        <f>IF(AND(Database!DA22&gt;1,Database!DA38&gt;1),100*(Database!DA22/Database!DA38),0.0001)</f>
        <v>1E-4</v>
      </c>
      <c r="BB149" s="99">
        <f>IF(AND(Database!DC22&gt;1,Database!DC38&gt;1),100*(Database!DC22/Database!DC38),0.0001)</f>
        <v>1E-4</v>
      </c>
      <c r="BC149" s="99">
        <f>IF(AND(Database!DE22&gt;1,Database!DE38&gt;1),100*(Database!DE22/Database!DE38),0.0001)</f>
        <v>1E-4</v>
      </c>
      <c r="BD149" s="99">
        <f>IF(AND(Database!DG22&gt;1,Database!DG38&gt;1),100*(Database!DG22/Database!DG38),0.0001)</f>
        <v>1E-4</v>
      </c>
      <c r="BE149" s="99">
        <f>IF(AND(Database!DI22&gt;1,Database!DI38&gt;1),100*(Database!DI22/Database!DI38),0.0001)</f>
        <v>1E-4</v>
      </c>
      <c r="BF149" s="99">
        <f>IF(AND(Database!DK22&gt;1,Database!DK38&gt;1),100*(Database!DK22/Database!DK38),0.0001)</f>
        <v>1E-4</v>
      </c>
      <c r="BG149" s="99">
        <f>IF(AND(Database!DM22&gt;1,Database!DM38&gt;1),100*(Database!DM22/Database!DM38),0.0001)</f>
        <v>1E-4</v>
      </c>
      <c r="BH149" s="99">
        <f>IF(AND(Database!DO22&gt;1,Database!DO38&gt;1),100*(Database!DO22/Database!DO38),0.0001)</f>
        <v>1E-4</v>
      </c>
      <c r="BI149" s="99">
        <f>IF(AND(Database!DQ22&gt;1,Database!DQ38&gt;1),100*(Database!DQ22/Database!DQ38),0.0001)</f>
        <v>1E-4</v>
      </c>
      <c r="BJ149" s="99">
        <f>IF(AND(Database!DS22&gt;1,Database!DS38&gt;1),100*(Database!DS22/Database!DS38),0.0001)</f>
        <v>1E-4</v>
      </c>
      <c r="BK149" s="99">
        <f>IF(AND(Database!DU22&gt;1,Database!DU38&gt;1),100*(Database!DU22/Database!DU38),0.0001)</f>
        <v>1E-4</v>
      </c>
      <c r="BL149" s="99">
        <f>IF(AND(Database!DW22&gt;1,Database!DW38&gt;1),100*(Database!DW22/Database!DW38),0.0001)</f>
        <v>1E-4</v>
      </c>
      <c r="BM149" s="99">
        <f>IF(AND(Database!DY22&gt;1,Database!DY38&gt;1),100*(Database!DY22/Database!DY38),0.0001)</f>
        <v>1E-4</v>
      </c>
      <c r="BN149" s="99">
        <f>IF(AND(Database!EA22&gt;1,Database!EA38&gt;1),100*(Database!EA22/Database!EA38),0.0001)</f>
        <v>1E-4</v>
      </c>
      <c r="BO149" s="99">
        <f>IF(AND(Database!EC22&gt;1,Database!EC38&gt;1),100*(Database!EC22/Database!EC38),0.0001)</f>
        <v>1E-4</v>
      </c>
      <c r="BP149" s="99">
        <f>IF(AND(Database!EE22&gt;1,Database!EE38&gt;1),100*(Database!EE22/Database!EE38),0.0001)</f>
        <v>1E-4</v>
      </c>
      <c r="BQ149" s="99">
        <f>IF(AND(Database!EG22&gt;1,Database!EG38&gt;1),100*(Database!EG22/Database!EG38),0.0001)</f>
        <v>1E-4</v>
      </c>
      <c r="BR149" s="99">
        <f>IF(AND(Database!EI22&gt;1,Database!EI38&gt;1),100*(Database!EI22/Database!EI38),0.0001)</f>
        <v>1E-4</v>
      </c>
      <c r="BS149" s="99">
        <f>IF(AND(Database!EK22&gt;1,Database!EK38&gt;1),100*(Database!EK22/Database!EK38),0.0001)</f>
        <v>1E-4</v>
      </c>
      <c r="BT149" s="99">
        <f>IF(AND(Database!EM22&gt;1,Database!EM38&gt;1),100*(Database!EM22/Database!EM38),0.0001)</f>
        <v>1E-4</v>
      </c>
      <c r="BU149" s="99">
        <f>IF(AND(Database!EO22&gt;1,Database!EO38&gt;1),100*(Database!EO22/Database!EO38),0.0001)</f>
        <v>1E-4</v>
      </c>
      <c r="BV149" s="99">
        <f>IF(AND(Database!EQ22&gt;1,Database!EQ38&gt;1),100*(Database!EQ22/Database!EQ38),0.0001)</f>
        <v>1E-4</v>
      </c>
      <c r="BW149" s="99">
        <f>IF(AND(Database!ES22&gt;1,Database!ES38&gt;1),100*(Database!ES22/Database!ES38),0.0001)</f>
        <v>1E-4</v>
      </c>
      <c r="BX149" s="99">
        <f>IF(AND(Database!EU22&gt;1,Database!EU38&gt;1),100*(Database!EU22/Database!EU38),0.0001)</f>
        <v>1E-4</v>
      </c>
      <c r="BY149" s="99">
        <f>IF(AND(Database!EW22&gt;1,Database!EW38&gt;1),100*(Database!EW22/Database!EW38),0.0001)</f>
        <v>1E-4</v>
      </c>
      <c r="BZ149" s="99">
        <f>IF(AND(Database!EY22&gt;1,Database!EY38&gt;1),100*(Database!EY22/Database!EY38),0.0001)</f>
        <v>1E-4</v>
      </c>
      <c r="CA149" s="99">
        <f>IF(AND(Database!FA22&gt;1,Database!FA38&gt;1),100*(Database!FA22/Database!FA38),0.0001)</f>
        <v>1E-4</v>
      </c>
      <c r="CB149" s="99">
        <f>IF(AND(Database!FC22&gt;1,Database!FC38&gt;1),100*(Database!FC22/Database!FC38),0.0001)</f>
        <v>1E-4</v>
      </c>
      <c r="CC149" s="99">
        <f>IF(AND(Database!FE22&gt;1,Database!FE38&gt;1),100*(Database!FE22/Database!FE38),0.0001)</f>
        <v>1E-4</v>
      </c>
      <c r="CD149" s="99">
        <f>IF(AND(Database!FG22&gt;1,Database!FG38&gt;1),100*(Database!FG22/Database!FG38),0.0001)</f>
        <v>1E-4</v>
      </c>
      <c r="CE149" s="99">
        <f>IF(AND(Database!FI22&gt;1,Database!FI38&gt;1),100*(Database!FI22/Database!FI38),0.0001)</f>
        <v>1E-4</v>
      </c>
      <c r="CF149" s="99">
        <f>IF(AND(Database!FK22&gt;1,Database!FK38&gt;1),100*(Database!FK22/Database!FK38),0.0001)</f>
        <v>1E-4</v>
      </c>
      <c r="CG149" s="99">
        <f>IF(AND(Database!FM22&gt;1,Database!FM38&gt;1),100*(Database!FM22/Database!FM38),0.0001)</f>
        <v>1E-4</v>
      </c>
      <c r="CH149" s="99">
        <f>IF(AND(Database!FO22&gt;1,Database!FO38&gt;1),100*(Database!FO22/Database!FO38),0.0001)</f>
        <v>1E-4</v>
      </c>
      <c r="CI149" s="99">
        <f>IF(AND(Database!FQ22&gt;1,Database!FQ38&gt;1),100*(Database!FQ22/Database!FQ38),0.0001)</f>
        <v>1E-4</v>
      </c>
      <c r="CJ149" s="99">
        <f>IF(AND(Database!FS22&gt;1,Database!FS38&gt;1),100*(Database!FS22/Database!FS38),0.0001)</f>
        <v>1E-4</v>
      </c>
      <c r="CK149" s="99">
        <f>IF(AND(Database!FU22&gt;1,Database!FU38&gt;1),100*(Database!FU22/Database!FU38),0.0001)</f>
        <v>1E-4</v>
      </c>
      <c r="CL149" s="99">
        <f>IF(AND(Database!FW22&gt;1,Database!FW38&gt;1),100*(Database!FW22/Database!FW38),0.0001)</f>
        <v>1E-4</v>
      </c>
      <c r="CM149" s="99">
        <f>IF(AND(Database!FY22&gt;1,Database!FY38&gt;1),100*(Database!FY22/Database!FY38),0.0001)</f>
        <v>1E-4</v>
      </c>
      <c r="CN149" s="99">
        <f>IF(AND(Database!GA22&gt;1,Database!GA38&gt;1),100*(Database!GA22/Database!GA38),0.0001)</f>
        <v>1E-4</v>
      </c>
      <c r="CO149" s="99">
        <f>IF(AND(Database!GC22&gt;1,Database!GC38&gt;1),100*(Database!GC22/Database!GC38),0.0001)</f>
        <v>1E-4</v>
      </c>
      <c r="CP149" s="99">
        <f>IF(AND(Database!GE22&gt;1,Database!GE38&gt;1),100*(Database!GE22/Database!GE38),0.0001)</f>
        <v>1E-4</v>
      </c>
      <c r="CQ149" s="99">
        <f>IF(AND(Database!GG22&gt;1,Database!GG38&gt;1),100*(Database!GG22/Database!GG38),0.0001)</f>
        <v>1E-4</v>
      </c>
      <c r="CR149" s="99">
        <f>IF(AND(Database!GI22&gt;1,Database!GI38&gt;1),100*(Database!GI22/Database!GI38),0.0001)</f>
        <v>1E-4</v>
      </c>
      <c r="CS149" s="99">
        <f>IF(AND(Database!GK22&gt;1,Database!GK38&gt;1),100*(Database!GK22/Database!GK38),0.0001)</f>
        <v>1E-4</v>
      </c>
      <c r="CT149" s="99">
        <f>IF(AND(Database!GM22&gt;1,Database!GM38&gt;1),100*(Database!GM22/Database!GM38),0.0001)</f>
        <v>1E-4</v>
      </c>
      <c r="CU149" s="99">
        <f>IF(AND(Database!GO22&gt;1,Database!GO38&gt;1),100*(Database!GO22/Database!GO38),0.0001)</f>
        <v>1E-4</v>
      </c>
      <c r="CV149" s="99">
        <f>IF(AND(Database!GQ22&gt;1,Database!GQ38&gt;1),100*(Database!GQ22/Database!GQ38),0.0001)</f>
        <v>1E-4</v>
      </c>
      <c r="CW149" s="99">
        <f>IF(AND(Database!GS22&gt;1,Database!GS38&gt;1),100*(Database!GS22/Database!GS38),0.0001)</f>
        <v>1E-4</v>
      </c>
      <c r="CX149" s="99">
        <f>IF(AND(Database!GU22&gt;1,Database!GU38&gt;1),100*(Database!GU22/Database!GU38),0.0001)</f>
        <v>1E-4</v>
      </c>
      <c r="CY149" s="99">
        <f>IF(AND(Database!GW22&gt;1,Database!GW38&gt;1),100*(Database!GW22/Database!GW38),0.0001)</f>
        <v>1E-4</v>
      </c>
      <c r="CZ149" s="99">
        <f>IF(AND(Database!GY22&gt;1,Database!GY38&gt;1),100*(Database!GY22/Database!GY38),0.0001)</f>
        <v>1E-4</v>
      </c>
      <c r="DA149" s="99">
        <f>IF(AND(Database!HA22&gt;1,Database!HA38&gt;1),100*(Database!HA22/Database!HA38),0.0001)</f>
        <v>1E-4</v>
      </c>
      <c r="DB149" s="99">
        <f>IF(AND(Database!HC22&gt;1,Database!HC38&gt;1),100*(Database!HC22/Database!HC38),0.0001)</f>
        <v>1E-4</v>
      </c>
      <c r="DC149" s="99">
        <f>IF(AND(Database!HE22&gt;1,Database!HE38&gt;1),100*(Database!HE22/Database!HE38),0.0001)</f>
        <v>1E-4</v>
      </c>
      <c r="DD149" s="99">
        <f>IF(AND(Database!HG22&gt;1,Database!HG38&gt;1),100*(Database!HG22/Database!HG38),0.0001)</f>
        <v>1E-4</v>
      </c>
      <c r="DE149" s="99">
        <f>IF(AND(Database!HI22&gt;1,Database!HI38&gt;1),100*(Database!HI22/Database!HI38),0.0001)</f>
        <v>1E-4</v>
      </c>
      <c r="DF149" s="99">
        <f>IF(AND(Database!HK22&gt;1,Database!HK38&gt;1),100*(Database!HK22/Database!HK38),0.0001)</f>
        <v>1E-4</v>
      </c>
      <c r="DG149" s="99">
        <f>IF(AND(Database!HM22&gt;1,Database!HM38&gt;1),100*(Database!HM22/Database!HM38),0.0001)</f>
        <v>1E-4</v>
      </c>
      <c r="DH149" s="99">
        <f>IF(AND(Database!HO22&gt;1,Database!HO38&gt;1),100*(Database!HO22/Database!HO38),0.0001)</f>
        <v>1E-4</v>
      </c>
      <c r="DI149" s="99">
        <f>IF(AND(Database!HQ22&gt;1,Database!HQ38&gt;1),100*(Database!HQ22/Database!HQ38),0.0001)</f>
        <v>1E-4</v>
      </c>
      <c r="DJ149" s="99">
        <f>IF(AND(Database!HS22&gt;1,Database!HS38&gt;1),100*(Database!HS22/Database!HS38),0.0001)</f>
        <v>1E-4</v>
      </c>
      <c r="DK149" s="99">
        <f>IF(AND(Database!HU22&gt;1,Database!HU38&gt;1),100*(Database!HU22/Database!HU38),0.0001)</f>
        <v>1E-4</v>
      </c>
      <c r="DL149" s="99">
        <f>IF(AND(Database!HW22&gt;1,Database!HW38&gt;1),100*(Database!HW22/Database!HW38),0.0001)</f>
        <v>1E-4</v>
      </c>
      <c r="DM149" s="99">
        <f>IF(AND(Database!HY22&gt;1,Database!HY38&gt;1),100*(Database!HY22/Database!HY38),0.0001)</f>
        <v>1E-4</v>
      </c>
      <c r="DN149" s="99">
        <f>IF(AND(Database!IA22&gt;1,Database!IA38&gt;1),100*(Database!IA22/Database!IA38),0.0001)</f>
        <v>1E-4</v>
      </c>
      <c r="DO149" s="99">
        <f>IF(AND(Database!IC22&gt;1,Database!IC38&gt;1),100*(Database!IC22/Database!IC38),0.0001)</f>
        <v>1E-4</v>
      </c>
      <c r="DP149" s="99">
        <f>IF(AND(Database!IE22&gt;1,Database!IE38&gt;1),100*(Database!IE22/Database!IE38),0.0001)</f>
        <v>1E-4</v>
      </c>
      <c r="DQ149" s="99">
        <f>IF(AND(Database!IG22&gt;1,Database!IG38&gt;1),100*(Database!IG22/Database!IG38),0.0001)</f>
        <v>1E-4</v>
      </c>
      <c r="DR149" s="99">
        <f>IF(AND(Database!II22&gt;1,Database!II38&gt;1),100*(Database!II22/Database!II38),0.0001)</f>
        <v>1E-4</v>
      </c>
      <c r="DS149" s="99">
        <f>IF(AND(Database!IK22&gt;1,Database!IK38&gt;1),100*(Database!IK22/Database!IK38),0.0001)</f>
        <v>1E-4</v>
      </c>
      <c r="DT149" s="99">
        <f>IF(AND(Database!IM22&gt;1,Database!IM38&gt;1),100*(Database!IM22/Database!IM38),0.0001)</f>
        <v>1E-4</v>
      </c>
      <c r="DU149" s="99">
        <f>IF(AND(Database!IO22&gt;1,Database!IO38&gt;1),100*(Database!IO22/Database!IO38),0.0001)</f>
        <v>1E-4</v>
      </c>
      <c r="DV149" s="99">
        <f>IF(AND(Database!IQ22&gt;1,Database!IQ38&gt;1),100*(Database!IQ22/Database!IQ38),0.0001)</f>
        <v>1E-4</v>
      </c>
      <c r="DW149" s="99">
        <f>IF(AND(Database!IS22&gt;1,Database!IS38&gt;1),100*(Database!IS22/Database!IS38),0.0001)</f>
        <v>1E-4</v>
      </c>
      <c r="DX149" s="99">
        <f>IF(AND(Database!IU22&gt;1,Database!IU38&gt;1),100*(Database!IU22/Database!IU38),0.0001)</f>
        <v>1E-4</v>
      </c>
      <c r="DY149" s="99">
        <f>IF(AND(Database!IW22&gt;1,Database!IW38&gt;1),100*(Database!IW22/Database!IW38),0.0001)</f>
        <v>1E-4</v>
      </c>
      <c r="DZ149" s="99">
        <f>IF(AND(Database!IY22&gt;1,Database!IY38&gt;1),100*(Database!IY22/Database!IY38),0.0001)</f>
        <v>1E-4</v>
      </c>
      <c r="EA149" s="99">
        <f>IF(AND(Database!JA22&gt;1,Database!JA38&gt;1),100*(Database!JA22/Database!JA38),0.0001)</f>
        <v>1E-4</v>
      </c>
      <c r="EB149" s="99">
        <f>IF(AND(Database!JC22&gt;1,Database!JC38&gt;1),100*(Database!JC22/Database!JC38),0.0001)</f>
        <v>1E-4</v>
      </c>
      <c r="EC149" s="99">
        <f>IF(AND(Database!JE22&gt;1,Database!JE38&gt;1),100*(Database!JE22/Database!JE38),0.0001)</f>
        <v>1E-4</v>
      </c>
      <c r="ED149" s="99">
        <f>IF(AND(Database!JG22&gt;1,Database!JG38&gt;1),100*(Database!JG22/Database!JG38),0.0001)</f>
        <v>1E-4</v>
      </c>
      <c r="EE149" s="99">
        <f>IF(AND(Database!JI22&gt;1,Database!JI38&gt;1),100*(Database!JI22/Database!JI38),0.0001)</f>
        <v>1E-4</v>
      </c>
      <c r="EF149" s="99">
        <f>IF(AND(Database!JK22&gt;1,Database!JK38&gt;1),100*(Database!JK22/Database!JK38),0.0001)</f>
        <v>1E-4</v>
      </c>
      <c r="EG149" s="99">
        <f>IF(AND(Database!JM22&gt;1,Database!JM38&gt;1),100*(Database!JM22/Database!JM38),0.0001)</f>
        <v>1E-4</v>
      </c>
      <c r="EH149" s="99">
        <f>IF(AND(Database!JO22&gt;1,Database!JO38&gt;1),100*(Database!JO22/Database!JO38),0.0001)</f>
        <v>1E-4</v>
      </c>
      <c r="EI149" s="99">
        <f>IF(AND(Database!JQ22&gt;1,Database!JQ38&gt;1),100*(Database!JQ22/Database!JQ38),0.0001)</f>
        <v>1E-4</v>
      </c>
      <c r="EJ149" s="99">
        <f>IF(AND(Database!JS22&gt;1,Database!JS38&gt;1),100*(Database!JS22/Database!JS38),0.0001)</f>
        <v>1E-4</v>
      </c>
      <c r="EK149" s="99">
        <f>IF(AND(Database!JU22&gt;1,Database!JU38&gt;1),100*(Database!JU22/Database!JU38),0.0001)</f>
        <v>1E-4</v>
      </c>
      <c r="EL149" s="99">
        <f>IF(AND(Database!JW22&gt;1,Database!JW38&gt;1),100*(Database!JW22/Database!JW38),0.0001)</f>
        <v>1E-4</v>
      </c>
      <c r="EM149" s="99">
        <f>IF(AND(Database!JY22&gt;1,Database!JY38&gt;1),100*(Database!JY22/Database!JY38),0.0001)</f>
        <v>1E-4</v>
      </c>
      <c r="EN149" s="99">
        <f>IF(AND(Database!KA22&gt;1,Database!KA38&gt;1),100*(Database!KA22/Database!KA38),0.0001)</f>
        <v>1E-4</v>
      </c>
      <c r="EO149" s="99">
        <f>IF(AND(Database!KC22&gt;1,Database!KC38&gt;1),100*(Database!KC22/Database!KC38),0.0001)</f>
        <v>1E-4</v>
      </c>
      <c r="EP149" s="99">
        <f>IF(AND(Database!KE22&gt;1,Database!KE38&gt;1),100*(Database!KE22/Database!KE38),0.0001)</f>
        <v>1E-4</v>
      </c>
      <c r="EQ149" s="99">
        <f>IF(AND(Database!KG22&gt;1,Database!KG38&gt;1),100*(Database!KG22/Database!KG38),0.0001)</f>
        <v>1E-4</v>
      </c>
      <c r="ER149" s="99">
        <f>IF(AND(Database!KI22&gt;1,Database!KI38&gt;1),100*(Database!KI22/Database!KI38),0.0001)</f>
        <v>1E-4</v>
      </c>
      <c r="ES149" s="99">
        <f>IF(AND(Database!KK22&gt;1,Database!KK38&gt;1),100*(Database!KK22/Database!KK38),0.0001)</f>
        <v>1E-4</v>
      </c>
      <c r="ET149" s="99">
        <f>IF(AND(Database!KM22&gt;1,Database!KM38&gt;1),100*(Database!KM22/Database!KM38),0.0001)</f>
        <v>1E-4</v>
      </c>
      <c r="EU149" s="99">
        <f>IF(AND(Database!KO22&gt;1,Database!KO38&gt;1),100*(Database!KO22/Database!KO38),0.0001)</f>
        <v>1E-4</v>
      </c>
      <c r="EV149" s="99">
        <f>IF(AND(Database!KQ22&gt;1,Database!KQ38&gt;1),100*(Database!KQ22/Database!KQ38),0.0001)</f>
        <v>1E-4</v>
      </c>
      <c r="EW149" s="99">
        <f>IF(AND(Database!KS22&gt;1,Database!KS38&gt;1),100*(Database!KS22/Database!KS38),0.0001)</f>
        <v>1E-4</v>
      </c>
      <c r="EX149" s="99">
        <f>IF(AND(Database!KU22&gt;1,Database!KU38&gt;1),100*(Database!KU22/Database!KU38),0.0001)</f>
        <v>1E-4</v>
      </c>
      <c r="EY149" s="99">
        <f>IF(AND(Database!KW22&gt;1,Database!KW38&gt;1),100*(Database!KW22/Database!KW38),0.0001)</f>
        <v>1E-4</v>
      </c>
      <c r="EZ149" s="99">
        <f>IF(AND(Database!KY22&gt;1,Database!KY38&gt;1),100*(Database!KY22/Database!KY38),0.0001)</f>
        <v>1E-4</v>
      </c>
      <c r="FA149" s="99">
        <f>IF(AND(Database!LA22&gt;1,Database!LA38&gt;1),100*(Database!LA22/Database!LA38),0.0001)</f>
        <v>1E-4</v>
      </c>
      <c r="FB149" s="99">
        <f>IF(AND(Database!LC22&gt;1,Database!LC38&gt;1),100*(Database!LC22/Database!LC38),0.0001)</f>
        <v>1E-4</v>
      </c>
      <c r="FC149" s="99">
        <f>IF(AND(Database!LE22&gt;1,Database!LE38&gt;1),100*(Database!LE22/Database!LE38),0.0001)</f>
        <v>1E-4</v>
      </c>
      <c r="FD149" s="99">
        <f>IF(AND(Database!LG22&gt;1,Database!LG38&gt;1),100*(Database!LG22/Database!LG38),0.0001)</f>
        <v>1E-4</v>
      </c>
      <c r="FE149" s="99">
        <f>IF(AND(Database!LI22&gt;1,Database!LI38&gt;1),100*(Database!LI22/Database!LI38),0.0001)</f>
        <v>1E-4</v>
      </c>
      <c r="FF149" s="99">
        <f>IF(AND(Database!LK22&gt;1,Database!LK38&gt;1),100*(Database!LK22/Database!LK38),0.0001)</f>
        <v>1E-4</v>
      </c>
      <c r="FG149" s="99">
        <f>IF(AND(Database!LM22&gt;1,Database!LM38&gt;1),100*(Database!LM22/Database!LM38),0.0001)</f>
        <v>1E-4</v>
      </c>
      <c r="FH149" s="99">
        <f>IF(AND(Database!LO22&gt;1,Database!LO38&gt;1),100*(Database!LO22/Database!LO38),0.0001)</f>
        <v>1E-4</v>
      </c>
      <c r="FI149" s="99">
        <f>IF(AND(Database!LQ22&gt;1,Database!LQ38&gt;1),100*(Database!LQ22/Database!LQ38),0.0001)</f>
        <v>1E-4</v>
      </c>
      <c r="FJ149" s="99">
        <f>IF(AND(Database!LS22&gt;1,Database!LS38&gt;1),100*(Database!LS22/Database!LS38),0.0001)</f>
        <v>1E-4</v>
      </c>
      <c r="FK149" s="99">
        <f>IF(AND(Database!LU22&gt;1,Database!LU38&gt;1),100*(Database!LU22/Database!LU38),0.0001)</f>
        <v>1E-4</v>
      </c>
      <c r="FL149" s="99">
        <f>IF(AND(Database!LW22&gt;1,Database!LW38&gt;1),100*(Database!LW22/Database!LW38),0.0001)</f>
        <v>1E-4</v>
      </c>
      <c r="FM149" s="99">
        <f>IF(AND(Database!LY22&gt;1,Database!LY38&gt;1),100*(Database!LY22/Database!LY38),0.0001)</f>
        <v>1E-4</v>
      </c>
      <c r="FN149" s="99">
        <f>IF(AND(Database!MA22&gt;1,Database!MA38&gt;1),100*(Database!MA22/Database!MA38),0.0001)</f>
        <v>1E-4</v>
      </c>
      <c r="FO149" s="99">
        <f>IF(AND(Database!MC22&gt;1,Database!MC38&gt;1),100*(Database!MC22/Database!MC38),0.0001)</f>
        <v>1E-4</v>
      </c>
      <c r="FP149" s="99">
        <f>IF(AND(Database!ME22&gt;1,Database!ME38&gt;1),100*(Database!ME22/Database!ME38),0.0001)</f>
        <v>1E-4</v>
      </c>
      <c r="FQ149" s="99">
        <f>IF(AND(Database!MG22&gt;1,Database!MG38&gt;1),100*(Database!MG22/Database!MG38),0.0001)</f>
        <v>1E-4</v>
      </c>
      <c r="FR149" s="99">
        <f>IF(AND(Database!MI22&gt;1,Database!MI38&gt;1),100*(Database!MI22/Database!MI38),0.0001)</f>
        <v>1E-4</v>
      </c>
      <c r="FS149" s="99">
        <f>IF(AND(Database!MK22&gt;1,Database!MK38&gt;1),100*(Database!MK22/Database!MK38),0.0001)</f>
        <v>1E-4</v>
      </c>
      <c r="FT149" s="99">
        <f>IF(AND(Database!MM22&gt;1,Database!MM38&gt;1),100*(Database!MM22/Database!MM38),0.0001)</f>
        <v>1E-4</v>
      </c>
      <c r="FU149" s="99">
        <f>IF(AND(Database!MO22&gt;1,Database!MO38&gt;1),100*(Database!MO22/Database!MO38),0.0001)</f>
        <v>1E-4</v>
      </c>
      <c r="FV149" s="99">
        <f>IF(AND(Database!MQ22&gt;1,Database!MQ38&gt;1),100*(Database!MQ22/Database!MQ38),0.0001)</f>
        <v>1E-4</v>
      </c>
      <c r="FW149" s="99">
        <f>IF(AND(Database!MS22&gt;1,Database!MS38&gt;1),100*(Database!MS22/Database!MS38),0.0001)</f>
        <v>1E-4</v>
      </c>
      <c r="FX149" s="99">
        <f>IF(AND(Database!MU22&gt;1,Database!MU38&gt;1),100*(Database!MU22/Database!MU38),0.0001)</f>
        <v>1E-4</v>
      </c>
      <c r="FY149" s="99">
        <f>IF(AND(Database!MW22&gt;1,Database!MW38&gt;1),100*(Database!MW22/Database!MW38),0.0001)</f>
        <v>1E-4</v>
      </c>
      <c r="FZ149" s="99">
        <f>IF(AND(Database!MY22&gt;1,Database!MY38&gt;1),100*(Database!MY22/Database!MY38),0.0001)</f>
        <v>1E-4</v>
      </c>
      <c r="GA149" s="99">
        <f>IF(AND(Database!NA22&gt;1,Database!NA38&gt;1),100*(Database!NA22/Database!NA38),0.0001)</f>
        <v>1E-4</v>
      </c>
      <c r="GB149" s="99">
        <f>IF(AND(Database!NC22&gt;1,Database!NC38&gt;1),100*(Database!NC22/Database!NC38),0.0001)</f>
        <v>1E-4</v>
      </c>
      <c r="GC149" s="99">
        <f>IF(AND(Database!NE22&gt;1,Database!NE38&gt;1),100*(Database!NE22/Database!NE38),0.0001)</f>
        <v>1E-4</v>
      </c>
      <c r="GD149" s="99">
        <f>IF(AND(Database!NG22&gt;1,Database!NG38&gt;1),100*(Database!NG22/Database!NG38),0.0001)</f>
        <v>1E-4</v>
      </c>
      <c r="GE149" s="99">
        <f>IF(AND(Database!NI22&gt;1,Database!NI38&gt;1),100*(Database!NI22/Database!NI38),0.0001)</f>
        <v>1E-4</v>
      </c>
      <c r="GF149" s="99">
        <f>IF(AND(Database!NK22&gt;1,Database!NK38&gt;1),100*(Database!NK22/Database!NK38),0.0001)</f>
        <v>1E-4</v>
      </c>
      <c r="GG149" s="99">
        <f>IF(AND(Database!NM22&gt;1,Database!NM38&gt;1),100*(Database!NM22/Database!NM38),0.0001)</f>
        <v>1E-4</v>
      </c>
      <c r="GH149" s="99">
        <f>IF(AND(Database!NO22&gt;1,Database!NO38&gt;1),100*(Database!NO22/Database!NO38),0.0001)</f>
        <v>1E-4</v>
      </c>
      <c r="GI149" s="99">
        <f>IF(AND(Database!NQ22&gt;1,Database!NQ38&gt;1),100*(Database!NQ22/Database!NQ38),0.0001)</f>
        <v>1E-4</v>
      </c>
      <c r="GJ149" s="99">
        <f>IF(AND(Database!NS22&gt;1,Database!NS38&gt;1),100*(Database!NS22/Database!NS38),0.0001)</f>
        <v>1E-4</v>
      </c>
      <c r="GK149" s="99">
        <f>IF(AND(Database!NU22&gt;1,Database!NU38&gt;1),100*(Database!NU22/Database!NU38),0.0001)</f>
        <v>1E-4</v>
      </c>
      <c r="GL149" s="99">
        <f>IF(AND(Database!NW22&gt;1,Database!NW38&gt;1),100*(Database!NW22/Database!NW38),0.0001)</f>
        <v>1E-4</v>
      </c>
      <c r="GM149" s="99">
        <f>IF(AND(Database!NY22&gt;1,Database!NY38&gt;1),100*(Database!NY22/Database!NY38),0.0001)</f>
        <v>1E-4</v>
      </c>
      <c r="GN149" s="99">
        <f>IF(AND(Database!OA22&gt;1,Database!OA38&gt;1),100*(Database!OA22/Database!OA38),0.0001)</f>
        <v>1E-4</v>
      </c>
      <c r="GO149" s="99">
        <f>IF(AND(Database!OC22&gt;1,Database!OC38&gt;1),100*(Database!OC22/Database!OC38),0.0001)</f>
        <v>1E-4</v>
      </c>
      <c r="GP149" s="99">
        <f>IF(AND(Database!OE22&gt;1,Database!OE38&gt;1),100*(Database!OE22/Database!OE38),0.0001)</f>
        <v>1E-4</v>
      </c>
      <c r="GQ149" s="99">
        <f>IF(AND(Database!OG22&gt;1,Database!OG38&gt;1),100*(Database!OG22/Database!OG38),0.0001)</f>
        <v>1E-4</v>
      </c>
      <c r="GR149" s="99">
        <f>IF(AND(Database!OI22&gt;1,Database!OI38&gt;1),100*(Database!OI22/Database!OI38),0.0001)</f>
        <v>1E-4</v>
      </c>
      <c r="GS149" s="99">
        <f>IF(AND(Database!OK22&gt;1,Database!OK38&gt;1),100*(Database!OK22/Database!OK38),0.0001)</f>
        <v>1E-4</v>
      </c>
      <c r="GT149" s="30">
        <f>IF(AND(Database!OM22&gt;1,Database!OM38&gt;1),100*(Database!OM22/Database!OM38),0.0001)</f>
        <v>1E-4</v>
      </c>
      <c r="GU149" s="99"/>
      <c r="GV149" s="99"/>
      <c r="GW149" s="99"/>
    </row>
    <row r="150" spans="1:205" ht="18.75" customHeight="1" x14ac:dyDescent="0.4">
      <c r="A150" s="240" t="s">
        <v>160</v>
      </c>
      <c r="B150" s="96"/>
      <c r="C150" s="260">
        <f>IF(AND(Database!E97&gt;1,Database!E28&gt;1),100*(Database!E97/(Database!E28)),0.0001)</f>
        <v>72.182403070150684</v>
      </c>
      <c r="D150" s="99">
        <f>IF(AND(Database!G97&gt;1,Database!G28&gt;1),100*(Database!G97/(Database!G28)),0.0001)</f>
        <v>67.367645391678948</v>
      </c>
      <c r="E150" s="99">
        <f>IF(AND(Database!I97&gt;1,Database!I28&gt;1),100*(Database!I97/(Database!I28)),0.0001)</f>
        <v>62.612399432087088</v>
      </c>
      <c r="F150" s="99">
        <f>IF(AND(Database!K97&gt;1,Database!K28&gt;1),100*(Database!K97/(Database!K28)),0.0001)</f>
        <v>68.229600609810149</v>
      </c>
      <c r="G150" s="99">
        <f>IF(AND(Database!M97&gt;1,Database!M28&gt;1),100*(Database!M97/(Database!M28)),0.0001)</f>
        <v>1E-4</v>
      </c>
      <c r="H150" s="99">
        <f>IF(AND(Database!O97&gt;1,Database!O28&gt;1),100*(Database!O97/(Database!O28)),0.0001)</f>
        <v>1E-4</v>
      </c>
      <c r="I150" s="99">
        <f>IF(AND(Database!Q97&gt;1,Database!Q28&gt;1),100*(Database!Q97/(Database!Q28)),0.0001)</f>
        <v>1E-4</v>
      </c>
      <c r="J150" s="99">
        <f>IF(AND(Database!S97&gt;1,Database!S28&gt;1),100*(Database!S97/(Database!S28)),0.0001)</f>
        <v>1E-4</v>
      </c>
      <c r="K150" s="99">
        <f>IF(AND(Database!U97&gt;1,Database!U28&gt;1),100*(Database!U97/(Database!U28)),0.0001)</f>
        <v>1E-4</v>
      </c>
      <c r="L150" s="99">
        <f>IF(AND(Database!W97&gt;1,Database!W28&gt;1),100*(Database!W97/(Database!W28)),0.0001)</f>
        <v>1E-4</v>
      </c>
      <c r="M150" s="99">
        <f>IF(AND(Database!Y97&gt;1,Database!Y28&gt;1),100*(Database!Y97/(Database!Y28)),0.0001)</f>
        <v>1E-4</v>
      </c>
      <c r="N150" s="99">
        <f>IF(AND(Database!AA97&gt;1,Database!AA28&gt;1),100*(Database!AA97/(Database!AA28)),0.0001)</f>
        <v>1E-4</v>
      </c>
      <c r="O150" s="99">
        <f>IF(AND(Database!AC97&gt;1,Database!AC28&gt;1),100*(Database!AC97/(Database!AC28)),0.0001)</f>
        <v>1E-4</v>
      </c>
      <c r="P150" s="99">
        <f>IF(AND(Database!AE97&gt;1,Database!AE28&gt;1),100*(Database!AE97/(Database!AE28)),0.0001)</f>
        <v>1E-4</v>
      </c>
      <c r="Q150" s="99">
        <f>IF(AND(Database!AG97&gt;1,Database!AG28&gt;1),100*(Database!AG97/(Database!AG28)),0.0001)</f>
        <v>1E-4</v>
      </c>
      <c r="R150" s="99">
        <f>IF(AND(Database!AI97&gt;1,Database!AI28&gt;1),100*(Database!AI97/(Database!AI28)),0.0001)</f>
        <v>1E-4</v>
      </c>
      <c r="S150" s="99">
        <f>IF(AND(Database!AK97&gt;1,Database!AK28&gt;1),100*(Database!AK97/(Database!AK28)),0.0001)</f>
        <v>1E-4</v>
      </c>
      <c r="T150" s="99">
        <f>IF(AND(Database!AM97&gt;1,Database!AM28&gt;1),100*(Database!AM97/(Database!AM28)),0.0001)</f>
        <v>1E-4</v>
      </c>
      <c r="U150" s="99">
        <f>IF(AND(Database!AO97&gt;1,Database!AO28&gt;1),100*(Database!AO97/(Database!AO28)),0.0001)</f>
        <v>1E-4</v>
      </c>
      <c r="V150" s="99">
        <f>IF(AND(Database!AQ97&gt;1,Database!AQ28&gt;1),100*(Database!AQ97/(Database!AQ28)),0.0001)</f>
        <v>1E-4</v>
      </c>
      <c r="W150" s="99">
        <f>IF(AND(Database!AS97&gt;1,Database!AS28&gt;1),100*(Database!AS97/(Database!AS28)),0.0001)</f>
        <v>1E-4</v>
      </c>
      <c r="X150" s="99">
        <f>IF(AND(Database!AU97&gt;1,Database!AU28&gt;1),100*(Database!AU97/(Database!AU28)),0.0001)</f>
        <v>1E-4</v>
      </c>
      <c r="Y150" s="99">
        <f>IF(AND(Database!AW97&gt;1,Database!AW28&gt;1),100*(Database!AW97/(Database!AW28)),0.0001)</f>
        <v>1E-4</v>
      </c>
      <c r="Z150" s="99">
        <f>IF(AND(Database!AY97&gt;1,Database!AY28&gt;1),100*(Database!AY97/(Database!AY28)),0.0001)</f>
        <v>1E-4</v>
      </c>
      <c r="AA150" s="99">
        <f>IF(AND(Database!BA97&gt;1,Database!BA28&gt;1),100*(Database!BA97/(Database!BA28)),0.0001)</f>
        <v>1E-4</v>
      </c>
      <c r="AB150" s="99">
        <f>IF(AND(Database!BC97&gt;1,Database!BC28&gt;1),100*(Database!BC97/(Database!BC28)),0.0001)</f>
        <v>1E-4</v>
      </c>
      <c r="AC150" s="99">
        <f>IF(AND(Database!BE97&gt;1,Database!BE28&gt;1),100*(Database!BE97/(Database!BE28)),0.0001)</f>
        <v>1E-4</v>
      </c>
      <c r="AD150" s="99">
        <f>IF(AND(Database!BG97&gt;1,Database!BG28&gt;1),100*(Database!BG97/(Database!BG28)),0.0001)</f>
        <v>1E-4</v>
      </c>
      <c r="AE150" s="99">
        <f>IF(AND(Database!BI97&gt;1,Database!BI28&gt;1),100*(Database!BI97/(Database!BI28)),0.0001)</f>
        <v>1E-4</v>
      </c>
      <c r="AF150" s="99">
        <f>IF(AND(Database!BK97&gt;1,Database!BK28&gt;1),100*(Database!BK97/(Database!BK28)),0.0001)</f>
        <v>1E-4</v>
      </c>
      <c r="AG150" s="99">
        <f>IF(AND(Database!BM97&gt;1,Database!BM28&gt;1),100*(Database!BM97/(Database!BM28)),0.0001)</f>
        <v>1E-4</v>
      </c>
      <c r="AH150" s="99">
        <f>IF(AND(Database!BO97&gt;1,Database!BO28&gt;1),100*(Database!BO97/(Database!BO28)),0.0001)</f>
        <v>1E-4</v>
      </c>
      <c r="AI150" s="99">
        <f>IF(AND(Database!BQ97&gt;1,Database!BQ28&gt;1),100*(Database!BQ97/(Database!BQ28)),0.0001)</f>
        <v>1E-4</v>
      </c>
      <c r="AJ150" s="99">
        <f>IF(AND(Database!BS97&gt;1,Database!BS28&gt;1),100*(Database!BS97/(Database!BS28)),0.0001)</f>
        <v>1E-4</v>
      </c>
      <c r="AK150" s="99">
        <f>IF(AND(Database!BU97&gt;1,Database!BU28&gt;1),100*(Database!BU97/(Database!BU28)),0.0001)</f>
        <v>1E-4</v>
      </c>
      <c r="AL150" s="99">
        <f>IF(AND(Database!BW97&gt;1,Database!BW28&gt;1),100*(Database!BW97/(Database!BW28)),0.0001)</f>
        <v>1E-4</v>
      </c>
      <c r="AM150" s="99">
        <f>IF(AND(Database!BY97&gt;1,Database!BY28&gt;1),100*(Database!BY97/(Database!BY28)),0.0001)</f>
        <v>1E-4</v>
      </c>
      <c r="AN150" s="99">
        <f>IF(AND(Database!CA97&gt;1,Database!CA28&gt;1),100*(Database!CA97/(Database!CA28)),0.0001)</f>
        <v>1E-4</v>
      </c>
      <c r="AO150" s="99">
        <f>IF(AND(Database!CC97&gt;1,Database!CC28&gt;1),100*(Database!CC97/(Database!CC28)),0.0001)</f>
        <v>1E-4</v>
      </c>
      <c r="AP150" s="99">
        <f>IF(AND(Database!CE97&gt;1,Database!CE28&gt;1),100*(Database!CE97/(Database!CE28)),0.0001)</f>
        <v>1E-4</v>
      </c>
      <c r="AQ150" s="99">
        <f>IF(AND(Database!CG97&gt;1,Database!CG28&gt;1),100*(Database!CG97/(Database!CG28)),0.0001)</f>
        <v>1E-4</v>
      </c>
      <c r="AR150" s="99">
        <f>IF(AND(Database!CI97&gt;1,Database!CI28&gt;1),100*(Database!CI97/(Database!CI28)),0.0001)</f>
        <v>1E-4</v>
      </c>
      <c r="AS150" s="99">
        <f>IF(AND(Database!CK97&gt;1,Database!CK28&gt;1),100*(Database!CK97/(Database!CK28)),0.0001)</f>
        <v>1E-4</v>
      </c>
      <c r="AT150" s="99">
        <f>IF(AND(Database!CM97&gt;1,Database!CM28&gt;1),100*(Database!CM97/(Database!CM28)),0.0001)</f>
        <v>1E-4</v>
      </c>
      <c r="AU150" s="99">
        <f>IF(AND(Database!CO97&gt;1,Database!CO28&gt;1),100*(Database!CO97/(Database!CO28)),0.0001)</f>
        <v>1E-4</v>
      </c>
      <c r="AV150" s="99">
        <f>IF(AND(Database!CQ97&gt;1,Database!CQ28&gt;1),100*(Database!CQ97/(Database!CQ28)),0.0001)</f>
        <v>1E-4</v>
      </c>
      <c r="AW150" s="99">
        <f>IF(AND(Database!CS97&gt;1,Database!CS28&gt;1),100*(Database!CS97/(Database!CS28)),0.0001)</f>
        <v>1E-4</v>
      </c>
      <c r="AX150" s="99">
        <f>IF(AND(Database!CU97&gt;1,Database!CU28&gt;1),100*(Database!CU97/(Database!CU28)),0.0001)</f>
        <v>1E-4</v>
      </c>
      <c r="AY150" s="99">
        <f>IF(AND(Database!CW97&gt;1,Database!CW28&gt;1),100*(Database!CW97/(Database!CW28)),0.0001)</f>
        <v>1E-4</v>
      </c>
      <c r="AZ150" s="99">
        <f>IF(AND(Database!CY97&gt;1,Database!CY28&gt;1),100*(Database!CY97/(Database!CY28)),0.0001)</f>
        <v>1E-4</v>
      </c>
      <c r="BA150" s="99">
        <f>IF(AND(Database!DA97&gt;1,Database!DA28&gt;1),100*(Database!DA97/(Database!DA28)),0.0001)</f>
        <v>1E-4</v>
      </c>
      <c r="BB150" s="99">
        <f>IF(AND(Database!DC97&gt;1,Database!DC28&gt;1),100*(Database!DC97/(Database!DC28)),0.0001)</f>
        <v>1E-4</v>
      </c>
      <c r="BC150" s="99">
        <f>IF(AND(Database!DE97&gt;1,Database!DE28&gt;1),100*(Database!DE97/(Database!DE28)),0.0001)</f>
        <v>1E-4</v>
      </c>
      <c r="BD150" s="99">
        <f>IF(AND(Database!DG97&gt;1,Database!DG28&gt;1),100*(Database!DG97/(Database!DG28)),0.0001)</f>
        <v>1E-4</v>
      </c>
      <c r="BE150" s="99">
        <f>IF(AND(Database!DI97&gt;1,Database!DI28&gt;1),100*(Database!DI97/(Database!DI28)),0.0001)</f>
        <v>1E-4</v>
      </c>
      <c r="BF150" s="99">
        <f>IF(AND(Database!DK97&gt;1,Database!DK28&gt;1),100*(Database!DK97/(Database!DK28)),0.0001)</f>
        <v>1E-4</v>
      </c>
      <c r="BG150" s="99">
        <f>IF(AND(Database!DM97&gt;1,Database!DM28&gt;1),100*(Database!DM97/(Database!DM28)),0.0001)</f>
        <v>1E-4</v>
      </c>
      <c r="BH150" s="99">
        <f>IF(AND(Database!DO97&gt;1,Database!DO28&gt;1),100*(Database!DO97/(Database!DO28)),0.0001)</f>
        <v>1E-4</v>
      </c>
      <c r="BI150" s="99">
        <f>IF(AND(Database!DQ97&gt;1,Database!DQ28&gt;1),100*(Database!DQ97/(Database!DQ28)),0.0001)</f>
        <v>1E-4</v>
      </c>
      <c r="BJ150" s="99">
        <f>IF(AND(Database!DS97&gt;1,Database!DS28&gt;1),100*(Database!DS97/(Database!DS28)),0.0001)</f>
        <v>1E-4</v>
      </c>
      <c r="BK150" s="99">
        <f>IF(AND(Database!DU97&gt;1,Database!DU28&gt;1),100*(Database!DU97/(Database!DU28)),0.0001)</f>
        <v>1E-4</v>
      </c>
      <c r="BL150" s="99">
        <f>IF(AND(Database!DW97&gt;1,Database!DW28&gt;1),100*(Database!DW97/(Database!DW28)),0.0001)</f>
        <v>1E-4</v>
      </c>
      <c r="BM150" s="99">
        <f>IF(AND(Database!DY97&gt;1,Database!DY28&gt;1),100*(Database!DY97/(Database!DY28)),0.0001)</f>
        <v>1E-4</v>
      </c>
      <c r="BN150" s="99">
        <f>IF(AND(Database!EA97&gt;1,Database!EA28&gt;1),100*(Database!EA97/(Database!EA28)),0.0001)</f>
        <v>1E-4</v>
      </c>
      <c r="BO150" s="99">
        <f>IF(AND(Database!EC97&gt;1,Database!EC28&gt;1),100*(Database!EC97/(Database!EC28)),0.0001)</f>
        <v>1E-4</v>
      </c>
      <c r="BP150" s="99">
        <f>IF(AND(Database!EE97&gt;1,Database!EE28&gt;1),100*(Database!EE97/(Database!EE28)),0.0001)</f>
        <v>1E-4</v>
      </c>
      <c r="BQ150" s="99">
        <f>IF(AND(Database!EG97&gt;1,Database!EG28&gt;1),100*(Database!EG97/(Database!EG28)),0.0001)</f>
        <v>1E-4</v>
      </c>
      <c r="BR150" s="99">
        <f>IF(AND(Database!EI97&gt;1,Database!EI28&gt;1),100*(Database!EI97/(Database!EI28)),0.0001)</f>
        <v>1E-4</v>
      </c>
      <c r="BS150" s="99">
        <f>IF(AND(Database!EK97&gt;1,Database!EK28&gt;1),100*(Database!EK97/(Database!EK28)),0.0001)</f>
        <v>1E-4</v>
      </c>
      <c r="BT150" s="99">
        <f>IF(AND(Database!EM97&gt;1,Database!EM28&gt;1),100*(Database!EM97/(Database!EM28)),0.0001)</f>
        <v>1E-4</v>
      </c>
      <c r="BU150" s="99">
        <f>IF(AND(Database!EO97&gt;1,Database!EO28&gt;1),100*(Database!EO97/(Database!EO28)),0.0001)</f>
        <v>1E-4</v>
      </c>
      <c r="BV150" s="99">
        <f>IF(AND(Database!EQ97&gt;1,Database!EQ28&gt;1),100*(Database!EQ97/(Database!EQ28)),0.0001)</f>
        <v>1E-4</v>
      </c>
      <c r="BW150" s="99">
        <f>IF(AND(Database!ES97&gt;1,Database!ES28&gt;1),100*(Database!ES97/(Database!ES28)),0.0001)</f>
        <v>1E-4</v>
      </c>
      <c r="BX150" s="99">
        <f>IF(AND(Database!EU97&gt;1,Database!EU28&gt;1),100*(Database!EU97/(Database!EU28)),0.0001)</f>
        <v>1E-4</v>
      </c>
      <c r="BY150" s="99">
        <f>IF(AND(Database!EW97&gt;1,Database!EW28&gt;1),100*(Database!EW97/(Database!EW28)),0.0001)</f>
        <v>1E-4</v>
      </c>
      <c r="BZ150" s="99">
        <f>IF(AND(Database!EY97&gt;1,Database!EY28&gt;1),100*(Database!EY97/(Database!EY28)),0.0001)</f>
        <v>1E-4</v>
      </c>
      <c r="CA150" s="99">
        <f>IF(AND(Database!FA97&gt;1,Database!FA28&gt;1),100*(Database!FA97/(Database!FA28)),0.0001)</f>
        <v>1E-4</v>
      </c>
      <c r="CB150" s="99">
        <f>IF(AND(Database!FC97&gt;1,Database!FC28&gt;1),100*(Database!FC97/(Database!FC28)),0.0001)</f>
        <v>1E-4</v>
      </c>
      <c r="CC150" s="99">
        <f>IF(AND(Database!FE97&gt;1,Database!FE28&gt;1),100*(Database!FE97/(Database!FE28)),0.0001)</f>
        <v>1E-4</v>
      </c>
      <c r="CD150" s="99">
        <f>IF(AND(Database!FG97&gt;1,Database!FG28&gt;1),100*(Database!FG97/(Database!FG28)),0.0001)</f>
        <v>1E-4</v>
      </c>
      <c r="CE150" s="99">
        <f>IF(AND(Database!FI97&gt;1,Database!FI28&gt;1),100*(Database!FI97/(Database!FI28)),0.0001)</f>
        <v>1E-4</v>
      </c>
      <c r="CF150" s="99">
        <f>IF(AND(Database!FK97&gt;1,Database!FK28&gt;1),100*(Database!FK97/(Database!FK28)),0.0001)</f>
        <v>1E-4</v>
      </c>
      <c r="CG150" s="99">
        <f>IF(AND(Database!FM97&gt;1,Database!FM28&gt;1),100*(Database!FM97/(Database!FM28)),0.0001)</f>
        <v>1E-4</v>
      </c>
      <c r="CH150" s="99">
        <f>IF(AND(Database!FO97&gt;1,Database!FO28&gt;1),100*(Database!FO97/(Database!FO28)),0.0001)</f>
        <v>1E-4</v>
      </c>
      <c r="CI150" s="99">
        <f>IF(AND(Database!FQ97&gt;1,Database!FQ28&gt;1),100*(Database!FQ97/(Database!FQ28)),0.0001)</f>
        <v>1E-4</v>
      </c>
      <c r="CJ150" s="99">
        <f>IF(AND(Database!FS97&gt;1,Database!FS28&gt;1),100*(Database!FS97/(Database!FS28)),0.0001)</f>
        <v>1E-4</v>
      </c>
      <c r="CK150" s="99">
        <f>IF(AND(Database!FU97&gt;1,Database!FU28&gt;1),100*(Database!FU97/(Database!FU28)),0.0001)</f>
        <v>1E-4</v>
      </c>
      <c r="CL150" s="99">
        <f>IF(AND(Database!FW97&gt;1,Database!FW28&gt;1),100*(Database!FW97/(Database!FW28)),0.0001)</f>
        <v>1E-4</v>
      </c>
      <c r="CM150" s="99">
        <f>IF(AND(Database!FY97&gt;1,Database!FY28&gt;1),100*(Database!FY97/(Database!FY28)),0.0001)</f>
        <v>1E-4</v>
      </c>
      <c r="CN150" s="99">
        <f>IF(AND(Database!GA97&gt;1,Database!GA28&gt;1),100*(Database!GA97/(Database!GA28)),0.0001)</f>
        <v>1E-4</v>
      </c>
      <c r="CO150" s="99">
        <f>IF(AND(Database!GC97&gt;1,Database!GC28&gt;1),100*(Database!GC97/(Database!GC28)),0.0001)</f>
        <v>1E-4</v>
      </c>
      <c r="CP150" s="99">
        <f>IF(AND(Database!GE97&gt;1,Database!GE28&gt;1),100*(Database!GE97/(Database!GE28)),0.0001)</f>
        <v>1E-4</v>
      </c>
      <c r="CQ150" s="99">
        <f>IF(AND(Database!GG97&gt;1,Database!GG28&gt;1),100*(Database!GG97/(Database!GG28)),0.0001)</f>
        <v>1E-4</v>
      </c>
      <c r="CR150" s="99">
        <f>IF(AND(Database!GI97&gt;1,Database!GI28&gt;1),100*(Database!GI97/(Database!GI28)),0.0001)</f>
        <v>1E-4</v>
      </c>
      <c r="CS150" s="99">
        <f>IF(AND(Database!GK97&gt;1,Database!GK28&gt;1),100*(Database!GK97/(Database!GK28)),0.0001)</f>
        <v>1E-4</v>
      </c>
      <c r="CT150" s="99">
        <f>IF(AND(Database!GM97&gt;1,Database!GM28&gt;1),100*(Database!GM97/(Database!GM28)),0.0001)</f>
        <v>1E-4</v>
      </c>
      <c r="CU150" s="99">
        <f>IF(AND(Database!GO97&gt;1,Database!GO28&gt;1),100*(Database!GO97/(Database!GO28)),0.0001)</f>
        <v>1E-4</v>
      </c>
      <c r="CV150" s="99">
        <f>IF(AND(Database!GQ97&gt;1,Database!GQ28&gt;1),100*(Database!GQ97/(Database!GQ28)),0.0001)</f>
        <v>1E-4</v>
      </c>
      <c r="CW150" s="99">
        <f>IF(AND(Database!GS97&gt;1,Database!GS28&gt;1),100*(Database!GS97/(Database!GS28)),0.0001)</f>
        <v>1E-4</v>
      </c>
      <c r="CX150" s="99">
        <f>IF(AND(Database!GU97&gt;1,Database!GU28&gt;1),100*(Database!GU97/(Database!GU28)),0.0001)</f>
        <v>1E-4</v>
      </c>
      <c r="CY150" s="99">
        <f>IF(AND(Database!GW97&gt;1,Database!GW28&gt;1),100*(Database!GW97/(Database!GW28)),0.0001)</f>
        <v>1E-4</v>
      </c>
      <c r="CZ150" s="99">
        <f>IF(AND(Database!GY97&gt;1,Database!GY28&gt;1),100*(Database!GY97/(Database!GY28)),0.0001)</f>
        <v>1E-4</v>
      </c>
      <c r="DA150" s="99">
        <f>IF(AND(Database!HA97&gt;1,Database!HA28&gt;1),100*(Database!HA97/(Database!HA28)),0.0001)</f>
        <v>1E-4</v>
      </c>
      <c r="DB150" s="99">
        <f>IF(AND(Database!HC97&gt;1,Database!HC28&gt;1),100*(Database!HC97/(Database!HC28)),0.0001)</f>
        <v>1E-4</v>
      </c>
      <c r="DC150" s="99">
        <f>IF(AND(Database!HE97&gt;1,Database!HE28&gt;1),100*(Database!HE97/(Database!HE28)),0.0001)</f>
        <v>1E-4</v>
      </c>
      <c r="DD150" s="99">
        <f>IF(AND(Database!HG97&gt;1,Database!HG28&gt;1),100*(Database!HG97/(Database!HG28)),0.0001)</f>
        <v>1E-4</v>
      </c>
      <c r="DE150" s="99">
        <f>IF(AND(Database!HI97&gt;1,Database!HI28&gt;1),100*(Database!HI97/(Database!HI28)),0.0001)</f>
        <v>1E-4</v>
      </c>
      <c r="DF150" s="99">
        <f>IF(AND(Database!HK97&gt;1,Database!HK28&gt;1),100*(Database!HK97/(Database!HK28)),0.0001)</f>
        <v>1E-4</v>
      </c>
      <c r="DG150" s="99">
        <f>IF(AND(Database!HM97&gt;1,Database!HM28&gt;1),100*(Database!HM97/(Database!HM28)),0.0001)</f>
        <v>1E-4</v>
      </c>
      <c r="DH150" s="99">
        <f>IF(AND(Database!HO97&gt;1,Database!HO28&gt;1),100*(Database!HO97/(Database!HO28)),0.0001)</f>
        <v>1E-4</v>
      </c>
      <c r="DI150" s="99">
        <f>IF(AND(Database!HQ97&gt;1,Database!HQ28&gt;1),100*(Database!HQ97/(Database!HQ28)),0.0001)</f>
        <v>1E-4</v>
      </c>
      <c r="DJ150" s="99">
        <f>IF(AND(Database!HS97&gt;1,Database!HS28&gt;1),100*(Database!HS97/(Database!HS28)),0.0001)</f>
        <v>1E-4</v>
      </c>
      <c r="DK150" s="99">
        <f>IF(AND(Database!HU97&gt;1,Database!HU28&gt;1),100*(Database!HU97/(Database!HU28)),0.0001)</f>
        <v>1E-4</v>
      </c>
      <c r="DL150" s="99">
        <f>IF(AND(Database!HW97&gt;1,Database!HW28&gt;1),100*(Database!HW97/(Database!HW28)),0.0001)</f>
        <v>1E-4</v>
      </c>
      <c r="DM150" s="99">
        <f>IF(AND(Database!HY97&gt;1,Database!HY28&gt;1),100*(Database!HY97/(Database!HY28)),0.0001)</f>
        <v>1E-4</v>
      </c>
      <c r="DN150" s="99">
        <f>IF(AND(Database!IA97&gt;1,Database!IA28&gt;1),100*(Database!IA97/(Database!IA28)),0.0001)</f>
        <v>1E-4</v>
      </c>
      <c r="DO150" s="99">
        <f>IF(AND(Database!IC97&gt;1,Database!IC28&gt;1),100*(Database!IC97/(Database!IC28)),0.0001)</f>
        <v>1E-4</v>
      </c>
      <c r="DP150" s="99">
        <f>IF(AND(Database!IE97&gt;1,Database!IE28&gt;1),100*(Database!IE97/(Database!IE28)),0.0001)</f>
        <v>1E-4</v>
      </c>
      <c r="DQ150" s="99">
        <f>IF(AND(Database!IG97&gt;1,Database!IG28&gt;1),100*(Database!IG97/(Database!IG28)),0.0001)</f>
        <v>1E-4</v>
      </c>
      <c r="DR150" s="99">
        <f>IF(AND(Database!II97&gt;1,Database!II28&gt;1),100*(Database!II97/(Database!II28)),0.0001)</f>
        <v>1E-4</v>
      </c>
      <c r="DS150" s="99">
        <f>IF(AND(Database!IK97&gt;1,Database!IK28&gt;1),100*(Database!IK97/(Database!IK28)),0.0001)</f>
        <v>1E-4</v>
      </c>
      <c r="DT150" s="99">
        <f>IF(AND(Database!IM97&gt;1,Database!IM28&gt;1),100*(Database!IM97/(Database!IM28)),0.0001)</f>
        <v>1E-4</v>
      </c>
      <c r="DU150" s="99">
        <f>IF(AND(Database!IO97&gt;1,Database!IO28&gt;1),100*(Database!IO97/(Database!IO28)),0.0001)</f>
        <v>1E-4</v>
      </c>
      <c r="DV150" s="99">
        <f>IF(AND(Database!IQ97&gt;1,Database!IQ28&gt;1),100*(Database!IQ97/(Database!IQ28)),0.0001)</f>
        <v>1E-4</v>
      </c>
      <c r="DW150" s="99">
        <f>IF(AND(Database!IS97&gt;1,Database!IS28&gt;1),100*(Database!IS97/(Database!IS28)),0.0001)</f>
        <v>1E-4</v>
      </c>
      <c r="DX150" s="99">
        <f>IF(AND(Database!IU97&gt;1,Database!IU28&gt;1),100*(Database!IU97/(Database!IU28)),0.0001)</f>
        <v>1E-4</v>
      </c>
      <c r="DY150" s="99">
        <f>IF(AND(Database!IW97&gt;1,Database!IW28&gt;1),100*(Database!IW97/(Database!IW28)),0.0001)</f>
        <v>1E-4</v>
      </c>
      <c r="DZ150" s="99">
        <f>IF(AND(Database!IY97&gt;1,Database!IY28&gt;1),100*(Database!IY97/(Database!IY28)),0.0001)</f>
        <v>1E-4</v>
      </c>
      <c r="EA150" s="99">
        <f>IF(AND(Database!JA97&gt;1,Database!JA28&gt;1),100*(Database!JA97/(Database!JA28)),0.0001)</f>
        <v>1E-4</v>
      </c>
      <c r="EB150" s="99">
        <f>IF(AND(Database!JC97&gt;1,Database!JC28&gt;1),100*(Database!JC97/(Database!JC28)),0.0001)</f>
        <v>1E-4</v>
      </c>
      <c r="EC150" s="99">
        <f>IF(AND(Database!JE97&gt;1,Database!JE28&gt;1),100*(Database!JE97/(Database!JE28)),0.0001)</f>
        <v>1E-4</v>
      </c>
      <c r="ED150" s="99">
        <f>IF(AND(Database!JG97&gt;1,Database!JG28&gt;1),100*(Database!JG97/(Database!JG28)),0.0001)</f>
        <v>1E-4</v>
      </c>
      <c r="EE150" s="99">
        <f>IF(AND(Database!JI97&gt;1,Database!JI28&gt;1),100*(Database!JI97/(Database!JI28)),0.0001)</f>
        <v>1E-4</v>
      </c>
      <c r="EF150" s="99">
        <f>IF(AND(Database!JK97&gt;1,Database!JK28&gt;1),100*(Database!JK97/(Database!JK28)),0.0001)</f>
        <v>1E-4</v>
      </c>
      <c r="EG150" s="99">
        <f>IF(AND(Database!JM97&gt;1,Database!JM28&gt;1),100*(Database!JM97/(Database!JM28)),0.0001)</f>
        <v>1E-4</v>
      </c>
      <c r="EH150" s="99">
        <f>IF(AND(Database!JO97&gt;1,Database!JO28&gt;1),100*(Database!JO97/(Database!JO28)),0.0001)</f>
        <v>1E-4</v>
      </c>
      <c r="EI150" s="99">
        <f>IF(AND(Database!JQ97&gt;1,Database!JQ28&gt;1),100*(Database!JQ97/(Database!JQ28)),0.0001)</f>
        <v>1E-4</v>
      </c>
      <c r="EJ150" s="99">
        <f>IF(AND(Database!JS97&gt;1,Database!JS28&gt;1),100*(Database!JS97/(Database!JS28)),0.0001)</f>
        <v>1E-4</v>
      </c>
      <c r="EK150" s="99">
        <f>IF(AND(Database!JU97&gt;1,Database!JU28&gt;1),100*(Database!JU97/(Database!JU28)),0.0001)</f>
        <v>1E-4</v>
      </c>
      <c r="EL150" s="99">
        <f>IF(AND(Database!JW97&gt;1,Database!JW28&gt;1),100*(Database!JW97/(Database!JW28)),0.0001)</f>
        <v>1E-4</v>
      </c>
      <c r="EM150" s="99">
        <f>IF(AND(Database!JY97&gt;1,Database!JY28&gt;1),100*(Database!JY97/(Database!JY28)),0.0001)</f>
        <v>1E-4</v>
      </c>
      <c r="EN150" s="99">
        <f>IF(AND(Database!KA97&gt;1,Database!KA28&gt;1),100*(Database!KA97/(Database!KA28)),0.0001)</f>
        <v>1E-4</v>
      </c>
      <c r="EO150" s="99">
        <f>IF(AND(Database!KC97&gt;1,Database!KC28&gt;1),100*(Database!KC97/(Database!KC28)),0.0001)</f>
        <v>1E-4</v>
      </c>
      <c r="EP150" s="99">
        <f>IF(AND(Database!KE97&gt;1,Database!KE28&gt;1),100*(Database!KE97/(Database!KE28)),0.0001)</f>
        <v>1E-4</v>
      </c>
      <c r="EQ150" s="99">
        <f>IF(AND(Database!KG97&gt;1,Database!KG28&gt;1),100*(Database!KG97/(Database!KG28)),0.0001)</f>
        <v>1E-4</v>
      </c>
      <c r="ER150" s="99">
        <f>IF(AND(Database!KI97&gt;1,Database!KI28&gt;1),100*(Database!KI97/(Database!KI28)),0.0001)</f>
        <v>1E-4</v>
      </c>
      <c r="ES150" s="99">
        <f>IF(AND(Database!KK97&gt;1,Database!KK28&gt;1),100*(Database!KK97/(Database!KK28)),0.0001)</f>
        <v>1E-4</v>
      </c>
      <c r="ET150" s="99">
        <f>IF(AND(Database!KM97&gt;1,Database!KM28&gt;1),100*(Database!KM97/(Database!KM28)),0.0001)</f>
        <v>1E-4</v>
      </c>
      <c r="EU150" s="99">
        <f>IF(AND(Database!KO97&gt;1,Database!KO28&gt;1),100*(Database!KO97/(Database!KO28)),0.0001)</f>
        <v>1E-4</v>
      </c>
      <c r="EV150" s="99">
        <f>IF(AND(Database!KQ97&gt;1,Database!KQ28&gt;1),100*(Database!KQ97/(Database!KQ28)),0.0001)</f>
        <v>1E-4</v>
      </c>
      <c r="EW150" s="99">
        <f>IF(AND(Database!KS97&gt;1,Database!KS28&gt;1),100*(Database!KS97/(Database!KS28)),0.0001)</f>
        <v>1E-4</v>
      </c>
      <c r="EX150" s="99">
        <f>IF(AND(Database!KU97&gt;1,Database!KU28&gt;1),100*(Database!KU97/(Database!KU28)),0.0001)</f>
        <v>1E-4</v>
      </c>
      <c r="EY150" s="99">
        <f>IF(AND(Database!KW97&gt;1,Database!KW28&gt;1),100*(Database!KW97/(Database!KW28)),0.0001)</f>
        <v>1E-4</v>
      </c>
      <c r="EZ150" s="99">
        <f>IF(AND(Database!KY97&gt;1,Database!KY28&gt;1),100*(Database!KY97/(Database!KY28)),0.0001)</f>
        <v>1E-4</v>
      </c>
      <c r="FA150" s="99">
        <f>IF(AND(Database!LA97&gt;1,Database!LA28&gt;1),100*(Database!LA97/(Database!LA28)),0.0001)</f>
        <v>1E-4</v>
      </c>
      <c r="FB150" s="99">
        <f>IF(AND(Database!LC97&gt;1,Database!LC28&gt;1),100*(Database!LC97/(Database!LC28)),0.0001)</f>
        <v>1E-4</v>
      </c>
      <c r="FC150" s="99">
        <f>IF(AND(Database!LE97&gt;1,Database!LE28&gt;1),100*(Database!LE97/(Database!LE28)),0.0001)</f>
        <v>1E-4</v>
      </c>
      <c r="FD150" s="99">
        <f>IF(AND(Database!LG97&gt;1,Database!LG28&gt;1),100*(Database!LG97/(Database!LG28)),0.0001)</f>
        <v>1E-4</v>
      </c>
      <c r="FE150" s="99">
        <f>IF(AND(Database!LI97&gt;1,Database!LI28&gt;1),100*(Database!LI97/(Database!LI28)),0.0001)</f>
        <v>1E-4</v>
      </c>
      <c r="FF150" s="99">
        <f>IF(AND(Database!LK97&gt;1,Database!LK28&gt;1),100*(Database!LK97/(Database!LK28)),0.0001)</f>
        <v>1E-4</v>
      </c>
      <c r="FG150" s="99">
        <f>IF(AND(Database!LM97&gt;1,Database!LM28&gt;1),100*(Database!LM97/(Database!LM28)),0.0001)</f>
        <v>1E-4</v>
      </c>
      <c r="FH150" s="99">
        <f>IF(AND(Database!LO97&gt;1,Database!LO28&gt;1),100*(Database!LO97/(Database!LO28)),0.0001)</f>
        <v>1E-4</v>
      </c>
      <c r="FI150" s="99">
        <f>IF(AND(Database!LQ97&gt;1,Database!LQ28&gt;1),100*(Database!LQ97/(Database!LQ28)),0.0001)</f>
        <v>1E-4</v>
      </c>
      <c r="FJ150" s="99">
        <f>IF(AND(Database!LS97&gt;1,Database!LS28&gt;1),100*(Database!LS97/(Database!LS28)),0.0001)</f>
        <v>1E-4</v>
      </c>
      <c r="FK150" s="99">
        <f>IF(AND(Database!LU97&gt;1,Database!LU28&gt;1),100*(Database!LU97/(Database!LU28)),0.0001)</f>
        <v>1E-4</v>
      </c>
      <c r="FL150" s="99">
        <f>IF(AND(Database!LW97&gt;1,Database!LW28&gt;1),100*(Database!LW97/(Database!LW28)),0.0001)</f>
        <v>1E-4</v>
      </c>
      <c r="FM150" s="99">
        <f>IF(AND(Database!LY97&gt;1,Database!LY28&gt;1),100*(Database!LY97/(Database!LY28)),0.0001)</f>
        <v>1E-4</v>
      </c>
      <c r="FN150" s="99">
        <f>IF(AND(Database!MA97&gt;1,Database!MA28&gt;1),100*(Database!MA97/(Database!MA28)),0.0001)</f>
        <v>1E-4</v>
      </c>
      <c r="FO150" s="99">
        <f>IF(AND(Database!MC97&gt;1,Database!MC28&gt;1),100*(Database!MC97/(Database!MC28)),0.0001)</f>
        <v>1E-4</v>
      </c>
      <c r="FP150" s="99">
        <f>IF(AND(Database!ME97&gt;1,Database!ME28&gt;1),100*(Database!ME97/(Database!ME28)),0.0001)</f>
        <v>1E-4</v>
      </c>
      <c r="FQ150" s="99">
        <f>IF(AND(Database!MG97&gt;1,Database!MG28&gt;1),100*(Database!MG97/(Database!MG28)),0.0001)</f>
        <v>1E-4</v>
      </c>
      <c r="FR150" s="99">
        <f>IF(AND(Database!MI97&gt;1,Database!MI28&gt;1),100*(Database!MI97/(Database!MI28)),0.0001)</f>
        <v>1E-4</v>
      </c>
      <c r="FS150" s="99">
        <f>IF(AND(Database!MK97&gt;1,Database!MK28&gt;1),100*(Database!MK97/(Database!MK28)),0.0001)</f>
        <v>1E-4</v>
      </c>
      <c r="FT150" s="99">
        <f>IF(AND(Database!MM97&gt;1,Database!MM28&gt;1),100*(Database!MM97/(Database!MM28)),0.0001)</f>
        <v>1E-4</v>
      </c>
      <c r="FU150" s="99">
        <f>IF(AND(Database!MO97&gt;1,Database!MO28&gt;1),100*(Database!MO97/(Database!MO28)),0.0001)</f>
        <v>1E-4</v>
      </c>
      <c r="FV150" s="99">
        <f>IF(AND(Database!MQ97&gt;1,Database!MQ28&gt;1),100*(Database!MQ97/(Database!MQ28)),0.0001)</f>
        <v>1E-4</v>
      </c>
      <c r="FW150" s="99">
        <f>IF(AND(Database!MS97&gt;1,Database!MS28&gt;1),100*(Database!MS97/(Database!MS28)),0.0001)</f>
        <v>1E-4</v>
      </c>
      <c r="FX150" s="99">
        <f>IF(AND(Database!MU97&gt;1,Database!MU28&gt;1),100*(Database!MU97/(Database!MU28)),0.0001)</f>
        <v>1E-4</v>
      </c>
      <c r="FY150" s="99">
        <f>IF(AND(Database!MW97&gt;1,Database!MW28&gt;1),100*(Database!MW97/(Database!MW28)),0.0001)</f>
        <v>1E-4</v>
      </c>
      <c r="FZ150" s="99">
        <f>IF(AND(Database!MY97&gt;1,Database!MY28&gt;1),100*(Database!MY97/(Database!MY28)),0.0001)</f>
        <v>1E-4</v>
      </c>
      <c r="GA150" s="99">
        <f>IF(AND(Database!NA97&gt;1,Database!NA28&gt;1),100*(Database!NA97/(Database!NA28)),0.0001)</f>
        <v>1E-4</v>
      </c>
      <c r="GB150" s="99">
        <f>IF(AND(Database!NC97&gt;1,Database!NC28&gt;1),100*(Database!NC97/(Database!NC28)),0.0001)</f>
        <v>1E-4</v>
      </c>
      <c r="GC150" s="99">
        <f>IF(AND(Database!NE97&gt;1,Database!NE28&gt;1),100*(Database!NE97/(Database!NE28)),0.0001)</f>
        <v>1E-4</v>
      </c>
      <c r="GD150" s="99">
        <f>IF(AND(Database!NG97&gt;1,Database!NG28&gt;1),100*(Database!NG97/(Database!NG28)),0.0001)</f>
        <v>1E-4</v>
      </c>
      <c r="GE150" s="99">
        <f>IF(AND(Database!NI97&gt;1,Database!NI28&gt;1),100*(Database!NI97/(Database!NI28)),0.0001)</f>
        <v>1E-4</v>
      </c>
      <c r="GF150" s="99">
        <f>IF(AND(Database!NK97&gt;1,Database!NK28&gt;1),100*(Database!NK97/(Database!NK28)),0.0001)</f>
        <v>1E-4</v>
      </c>
      <c r="GG150" s="99">
        <f>IF(AND(Database!NM97&gt;1,Database!NM28&gt;1),100*(Database!NM97/(Database!NM28)),0.0001)</f>
        <v>1E-4</v>
      </c>
      <c r="GH150" s="99">
        <f>IF(AND(Database!NO97&gt;1,Database!NO28&gt;1),100*(Database!NO97/(Database!NO28)),0.0001)</f>
        <v>1E-4</v>
      </c>
      <c r="GI150" s="99">
        <f>IF(AND(Database!NQ97&gt;1,Database!NQ28&gt;1),100*(Database!NQ97/(Database!NQ28)),0.0001)</f>
        <v>1E-4</v>
      </c>
      <c r="GJ150" s="99">
        <f>IF(AND(Database!NS97&gt;1,Database!NS28&gt;1),100*(Database!NS97/(Database!NS28)),0.0001)</f>
        <v>1E-4</v>
      </c>
      <c r="GK150" s="99">
        <f>IF(AND(Database!NU97&gt;1,Database!NU28&gt;1),100*(Database!NU97/(Database!NU28)),0.0001)</f>
        <v>1E-4</v>
      </c>
      <c r="GL150" s="99">
        <f>IF(AND(Database!NW97&gt;1,Database!NW28&gt;1),100*(Database!NW97/(Database!NW28)),0.0001)</f>
        <v>1E-4</v>
      </c>
      <c r="GM150" s="99">
        <f>IF(AND(Database!NY97&gt;1,Database!NY28&gt;1),100*(Database!NY97/(Database!NY28)),0.0001)</f>
        <v>1E-4</v>
      </c>
      <c r="GN150" s="99">
        <f>IF(AND(Database!OA97&gt;1,Database!OA28&gt;1),100*(Database!OA97/(Database!OA28)),0.0001)</f>
        <v>1E-4</v>
      </c>
      <c r="GO150" s="99">
        <f>IF(AND(Database!OC97&gt;1,Database!OC28&gt;1),100*(Database!OC97/(Database!OC28)),0.0001)</f>
        <v>1E-4</v>
      </c>
      <c r="GP150" s="99">
        <f>IF(AND(Database!OE97&gt;1,Database!OE28&gt;1),100*(Database!OE97/(Database!OE28)),0.0001)</f>
        <v>1E-4</v>
      </c>
      <c r="GQ150" s="99">
        <f>IF(AND(Database!OG97&gt;1,Database!OG28&gt;1),100*(Database!OG97/(Database!OG28)),0.0001)</f>
        <v>1E-4</v>
      </c>
      <c r="GR150" s="99">
        <f>IF(AND(Database!OI97&gt;1,Database!OI28&gt;1),100*(Database!OI97/(Database!OI28)),0.0001)</f>
        <v>1E-4</v>
      </c>
      <c r="GS150" s="99">
        <f>IF(AND(Database!OK97&gt;1,Database!OK28&gt;1),100*(Database!OK97/(Database!OK28)),0.0001)</f>
        <v>1E-4</v>
      </c>
      <c r="GT150" s="30">
        <f>IF(AND(Database!OM97&gt;1,Database!OM28&gt;1),100*(Database!OM97/(Database!OM28)),0.0001)</f>
        <v>1E-4</v>
      </c>
      <c r="GU150" s="99"/>
      <c r="GV150" s="99"/>
      <c r="GW150" s="99"/>
    </row>
    <row r="151" spans="1:205" ht="18.75" customHeight="1" x14ac:dyDescent="0.4">
      <c r="A151" s="240" t="s">
        <v>161</v>
      </c>
      <c r="B151" s="96"/>
      <c r="C151" s="260">
        <f>IF(AND(Database!E96&gt;1,Database!E95&gt;1),100*(Database!E96/(Database!E95)),0.0001)</f>
        <v>59.340455481559751</v>
      </c>
      <c r="D151" s="99">
        <f>IF(AND(Database!G96&gt;1,Database!G95&gt;1),100*(Database!G96/(Database!G95)),0.0001)</f>
        <v>83.448006809476524</v>
      </c>
      <c r="E151" s="99">
        <f>IF(AND(Database!I96&gt;1,Database!I95&gt;1),100*(Database!I96/(Database!I95)),0.0001)</f>
        <v>86.0217493543676</v>
      </c>
      <c r="F151" s="99">
        <f>IF(AND(Database!K96&gt;1,Database!K95&gt;1),100*(Database!K96/(Database!K95)),0.0001)</f>
        <v>84.181102757251494</v>
      </c>
      <c r="G151" s="99">
        <f>IF(AND(Database!M96&gt;1,Database!M95&gt;1),100*(Database!M96/(Database!M95)),0.0001)</f>
        <v>1E-4</v>
      </c>
      <c r="H151" s="99">
        <f>IF(AND(Database!O96&gt;1,Database!O95&gt;1),100*(Database!O96/(Database!O95)),0.0001)</f>
        <v>1E-4</v>
      </c>
      <c r="I151" s="99">
        <f>IF(AND(Database!Q96&gt;1,Database!Q95&gt;1),100*(Database!Q96/(Database!Q95)),0.0001)</f>
        <v>1E-4</v>
      </c>
      <c r="J151" s="99">
        <f>IF(AND(Database!S96&gt;1,Database!S95&gt;1),100*(Database!S96/(Database!S95)),0.0001)</f>
        <v>1E-4</v>
      </c>
      <c r="K151" s="99">
        <f>IF(AND(Database!U96&gt;1,Database!U95&gt;1),100*(Database!U96/(Database!U95)),0.0001)</f>
        <v>1E-4</v>
      </c>
      <c r="L151" s="99">
        <f>IF(AND(Database!W96&gt;1,Database!W95&gt;1),100*(Database!W96/(Database!W95)),0.0001)</f>
        <v>1E-4</v>
      </c>
      <c r="M151" s="99">
        <f>IF(AND(Database!Y96&gt;1,Database!Y95&gt;1),100*(Database!Y96/(Database!Y95)),0.0001)</f>
        <v>1E-4</v>
      </c>
      <c r="N151" s="99">
        <f>IF(AND(Database!AA96&gt;1,Database!AA95&gt;1),100*(Database!AA96/(Database!AA95)),0.0001)</f>
        <v>1E-4</v>
      </c>
      <c r="O151" s="99">
        <f>IF(AND(Database!AC96&gt;1,Database!AC95&gt;1),100*(Database!AC96/(Database!AC95)),0.0001)</f>
        <v>1E-4</v>
      </c>
      <c r="P151" s="99">
        <f>IF(AND(Database!AE96&gt;1,Database!AE95&gt;1),100*(Database!AE96/(Database!AE95)),0.0001)</f>
        <v>1E-4</v>
      </c>
      <c r="Q151" s="99">
        <f>IF(AND(Database!AG96&gt;1,Database!AG95&gt;1),100*(Database!AG96/(Database!AG95)),0.0001)</f>
        <v>1E-4</v>
      </c>
      <c r="R151" s="99">
        <f>IF(AND(Database!AI96&gt;1,Database!AI95&gt;1),100*(Database!AI96/(Database!AI95)),0.0001)</f>
        <v>1E-4</v>
      </c>
      <c r="S151" s="99">
        <f>IF(AND(Database!AK96&gt;1,Database!AK95&gt;1),100*(Database!AK96/(Database!AK95)),0.0001)</f>
        <v>1E-4</v>
      </c>
      <c r="T151" s="99">
        <f>IF(AND(Database!AM96&gt;1,Database!AM95&gt;1),100*(Database!AM96/(Database!AM95)),0.0001)</f>
        <v>1E-4</v>
      </c>
      <c r="U151" s="99">
        <f>IF(AND(Database!AO96&gt;1,Database!AO95&gt;1),100*(Database!AO96/(Database!AO95)),0.0001)</f>
        <v>1E-4</v>
      </c>
      <c r="V151" s="99">
        <f>IF(AND(Database!AQ96&gt;1,Database!AQ95&gt;1),100*(Database!AQ96/(Database!AQ95)),0.0001)</f>
        <v>1E-4</v>
      </c>
      <c r="W151" s="99">
        <f>IF(AND(Database!AS96&gt;1,Database!AS95&gt;1),100*(Database!AS96/(Database!AS95)),0.0001)</f>
        <v>1E-4</v>
      </c>
      <c r="X151" s="99">
        <f>IF(AND(Database!AU96&gt;1,Database!AU95&gt;1),100*(Database!AU96/(Database!AU95)),0.0001)</f>
        <v>1E-4</v>
      </c>
      <c r="Y151" s="99">
        <f>IF(AND(Database!AW96&gt;1,Database!AW95&gt;1),100*(Database!AW96/(Database!AW95)),0.0001)</f>
        <v>1E-4</v>
      </c>
      <c r="Z151" s="99">
        <f>IF(AND(Database!AY96&gt;1,Database!AY95&gt;1),100*(Database!AY96/(Database!AY95)),0.0001)</f>
        <v>1E-4</v>
      </c>
      <c r="AA151" s="99">
        <f>IF(AND(Database!BA96&gt;1,Database!BA95&gt;1),100*(Database!BA96/(Database!BA95)),0.0001)</f>
        <v>1E-4</v>
      </c>
      <c r="AB151" s="99">
        <f>IF(AND(Database!BC96&gt;1,Database!BC95&gt;1),100*(Database!BC96/(Database!BC95)),0.0001)</f>
        <v>1E-4</v>
      </c>
      <c r="AC151" s="99">
        <f>IF(AND(Database!BE96&gt;1,Database!BE95&gt;1),100*(Database!BE96/(Database!BE95)),0.0001)</f>
        <v>1E-4</v>
      </c>
      <c r="AD151" s="99">
        <f>IF(AND(Database!BG96&gt;1,Database!BG95&gt;1),100*(Database!BG96/(Database!BG95)),0.0001)</f>
        <v>1E-4</v>
      </c>
      <c r="AE151" s="99">
        <f>IF(AND(Database!BI96&gt;1,Database!BI95&gt;1),100*(Database!BI96/(Database!BI95)),0.0001)</f>
        <v>1E-4</v>
      </c>
      <c r="AF151" s="99">
        <f>IF(AND(Database!BK96&gt;1,Database!BK95&gt;1),100*(Database!BK96/(Database!BK95)),0.0001)</f>
        <v>1E-4</v>
      </c>
      <c r="AG151" s="99">
        <f>IF(AND(Database!BM96&gt;1,Database!BM95&gt;1),100*(Database!BM96/(Database!BM95)),0.0001)</f>
        <v>1E-4</v>
      </c>
      <c r="AH151" s="99">
        <f>IF(AND(Database!BO96&gt;1,Database!BO95&gt;1),100*(Database!BO96/(Database!BO95)),0.0001)</f>
        <v>1E-4</v>
      </c>
      <c r="AI151" s="99">
        <f>IF(AND(Database!BQ96&gt;1,Database!BQ95&gt;1),100*(Database!BQ96/(Database!BQ95)),0.0001)</f>
        <v>1E-4</v>
      </c>
      <c r="AJ151" s="99">
        <f>IF(AND(Database!BS96&gt;1,Database!BS95&gt;1),100*(Database!BS96/(Database!BS95)),0.0001)</f>
        <v>1E-4</v>
      </c>
      <c r="AK151" s="99">
        <f>IF(AND(Database!BU96&gt;1,Database!BU95&gt;1),100*(Database!BU96/(Database!BU95)),0.0001)</f>
        <v>1E-4</v>
      </c>
      <c r="AL151" s="99">
        <f>IF(AND(Database!BW96&gt;1,Database!BW95&gt;1),100*(Database!BW96/(Database!BW95)),0.0001)</f>
        <v>1E-4</v>
      </c>
      <c r="AM151" s="99">
        <f>IF(AND(Database!BY96&gt;1,Database!BY95&gt;1),100*(Database!BY96/(Database!BY95)),0.0001)</f>
        <v>1E-4</v>
      </c>
      <c r="AN151" s="99">
        <f>IF(AND(Database!CA96&gt;1,Database!CA95&gt;1),100*(Database!CA96/(Database!CA95)),0.0001)</f>
        <v>1E-4</v>
      </c>
      <c r="AO151" s="99">
        <f>IF(AND(Database!CC96&gt;1,Database!CC95&gt;1),100*(Database!CC96/(Database!CC95)),0.0001)</f>
        <v>1E-4</v>
      </c>
      <c r="AP151" s="99">
        <f>IF(AND(Database!CE96&gt;1,Database!CE95&gt;1),100*(Database!CE96/(Database!CE95)),0.0001)</f>
        <v>1E-4</v>
      </c>
      <c r="AQ151" s="99">
        <f>IF(AND(Database!CG96&gt;1,Database!CG95&gt;1),100*(Database!CG96/(Database!CG95)),0.0001)</f>
        <v>1E-4</v>
      </c>
      <c r="AR151" s="99">
        <f>IF(AND(Database!CI96&gt;1,Database!CI95&gt;1),100*(Database!CI96/(Database!CI95)),0.0001)</f>
        <v>1E-4</v>
      </c>
      <c r="AS151" s="99">
        <f>IF(AND(Database!CK96&gt;1,Database!CK95&gt;1),100*(Database!CK96/(Database!CK95)),0.0001)</f>
        <v>1E-4</v>
      </c>
      <c r="AT151" s="99">
        <f>IF(AND(Database!CM96&gt;1,Database!CM95&gt;1),100*(Database!CM96/(Database!CM95)),0.0001)</f>
        <v>1E-4</v>
      </c>
      <c r="AU151" s="99">
        <f>IF(AND(Database!CO96&gt;1,Database!CO95&gt;1),100*(Database!CO96/(Database!CO95)),0.0001)</f>
        <v>1E-4</v>
      </c>
      <c r="AV151" s="99">
        <f>IF(AND(Database!CQ96&gt;1,Database!CQ95&gt;1),100*(Database!CQ96/(Database!CQ95)),0.0001)</f>
        <v>1E-4</v>
      </c>
      <c r="AW151" s="99">
        <f>IF(AND(Database!CS96&gt;1,Database!CS95&gt;1),100*(Database!CS96/(Database!CS95)),0.0001)</f>
        <v>1E-4</v>
      </c>
      <c r="AX151" s="99">
        <f>IF(AND(Database!CU96&gt;1,Database!CU95&gt;1),100*(Database!CU96/(Database!CU95)),0.0001)</f>
        <v>1E-4</v>
      </c>
      <c r="AY151" s="99">
        <f>IF(AND(Database!CW96&gt;1,Database!CW95&gt;1),100*(Database!CW96/(Database!CW95)),0.0001)</f>
        <v>1E-4</v>
      </c>
      <c r="AZ151" s="99">
        <f>IF(AND(Database!CY96&gt;1,Database!CY95&gt;1),100*(Database!CY96/(Database!CY95)),0.0001)</f>
        <v>1E-4</v>
      </c>
      <c r="BA151" s="99">
        <f>IF(AND(Database!DA96&gt;1,Database!DA95&gt;1),100*(Database!DA96/(Database!DA95)),0.0001)</f>
        <v>1E-4</v>
      </c>
      <c r="BB151" s="99">
        <f>IF(AND(Database!DC96&gt;1,Database!DC95&gt;1),100*(Database!DC96/(Database!DC95)),0.0001)</f>
        <v>1E-4</v>
      </c>
      <c r="BC151" s="99">
        <f>IF(AND(Database!DE96&gt;1,Database!DE95&gt;1),100*(Database!DE96/(Database!DE95)),0.0001)</f>
        <v>1E-4</v>
      </c>
      <c r="BD151" s="99">
        <f>IF(AND(Database!DG96&gt;1,Database!DG95&gt;1),100*(Database!DG96/(Database!DG95)),0.0001)</f>
        <v>1E-4</v>
      </c>
      <c r="BE151" s="99">
        <f>IF(AND(Database!DI96&gt;1,Database!DI95&gt;1),100*(Database!DI96/(Database!DI95)),0.0001)</f>
        <v>1E-4</v>
      </c>
      <c r="BF151" s="99">
        <f>IF(AND(Database!DK96&gt;1,Database!DK95&gt;1),100*(Database!DK96/(Database!DK95)),0.0001)</f>
        <v>1E-4</v>
      </c>
      <c r="BG151" s="99">
        <f>IF(AND(Database!DM96&gt;1,Database!DM95&gt;1),100*(Database!DM96/(Database!DM95)),0.0001)</f>
        <v>1E-4</v>
      </c>
      <c r="BH151" s="99">
        <f>IF(AND(Database!DO96&gt;1,Database!DO95&gt;1),100*(Database!DO96/(Database!DO95)),0.0001)</f>
        <v>1E-4</v>
      </c>
      <c r="BI151" s="99">
        <f>IF(AND(Database!DQ96&gt;1,Database!DQ95&gt;1),100*(Database!DQ96/(Database!DQ95)),0.0001)</f>
        <v>1E-4</v>
      </c>
      <c r="BJ151" s="99">
        <f>IF(AND(Database!DS96&gt;1,Database!DS95&gt;1),100*(Database!DS96/(Database!DS95)),0.0001)</f>
        <v>1E-4</v>
      </c>
      <c r="BK151" s="99">
        <f>IF(AND(Database!DU96&gt;1,Database!DU95&gt;1),100*(Database!DU96/(Database!DU95)),0.0001)</f>
        <v>1E-4</v>
      </c>
      <c r="BL151" s="99">
        <f>IF(AND(Database!DW96&gt;1,Database!DW95&gt;1),100*(Database!DW96/(Database!DW95)),0.0001)</f>
        <v>1E-4</v>
      </c>
      <c r="BM151" s="99">
        <f>IF(AND(Database!DY96&gt;1,Database!DY95&gt;1),100*(Database!DY96/(Database!DY95)),0.0001)</f>
        <v>1E-4</v>
      </c>
      <c r="BN151" s="99">
        <f>IF(AND(Database!EA96&gt;1,Database!EA95&gt;1),100*(Database!EA96/(Database!EA95)),0.0001)</f>
        <v>1E-4</v>
      </c>
      <c r="BO151" s="99">
        <f>IF(AND(Database!EC96&gt;1,Database!EC95&gt;1),100*(Database!EC96/(Database!EC95)),0.0001)</f>
        <v>1E-4</v>
      </c>
      <c r="BP151" s="99">
        <f>IF(AND(Database!EE96&gt;1,Database!EE95&gt;1),100*(Database!EE96/(Database!EE95)),0.0001)</f>
        <v>1E-4</v>
      </c>
      <c r="BQ151" s="99">
        <f>IF(AND(Database!EG96&gt;1,Database!EG95&gt;1),100*(Database!EG96/(Database!EG95)),0.0001)</f>
        <v>1E-4</v>
      </c>
      <c r="BR151" s="99">
        <f>IF(AND(Database!EI96&gt;1,Database!EI95&gt;1),100*(Database!EI96/(Database!EI95)),0.0001)</f>
        <v>1E-4</v>
      </c>
      <c r="BS151" s="99">
        <f>IF(AND(Database!EK96&gt;1,Database!EK95&gt;1),100*(Database!EK96/(Database!EK95)),0.0001)</f>
        <v>1E-4</v>
      </c>
      <c r="BT151" s="99">
        <f>IF(AND(Database!EM96&gt;1,Database!EM95&gt;1),100*(Database!EM96/(Database!EM95)),0.0001)</f>
        <v>1E-4</v>
      </c>
      <c r="BU151" s="99">
        <f>IF(AND(Database!EO96&gt;1,Database!EO95&gt;1),100*(Database!EO96/(Database!EO95)),0.0001)</f>
        <v>1E-4</v>
      </c>
      <c r="BV151" s="99">
        <f>IF(AND(Database!EQ96&gt;1,Database!EQ95&gt;1),100*(Database!EQ96/(Database!EQ95)),0.0001)</f>
        <v>1E-4</v>
      </c>
      <c r="BW151" s="99">
        <f>IF(AND(Database!ES96&gt;1,Database!ES95&gt;1),100*(Database!ES96/(Database!ES95)),0.0001)</f>
        <v>1E-4</v>
      </c>
      <c r="BX151" s="99">
        <f>IF(AND(Database!EU96&gt;1,Database!EU95&gt;1),100*(Database!EU96/(Database!EU95)),0.0001)</f>
        <v>1E-4</v>
      </c>
      <c r="BY151" s="99">
        <f>IF(AND(Database!EW96&gt;1,Database!EW95&gt;1),100*(Database!EW96/(Database!EW95)),0.0001)</f>
        <v>1E-4</v>
      </c>
      <c r="BZ151" s="99">
        <f>IF(AND(Database!EY96&gt;1,Database!EY95&gt;1),100*(Database!EY96/(Database!EY95)),0.0001)</f>
        <v>1E-4</v>
      </c>
      <c r="CA151" s="99">
        <f>IF(AND(Database!FA96&gt;1,Database!FA95&gt;1),100*(Database!FA96/(Database!FA95)),0.0001)</f>
        <v>1E-4</v>
      </c>
      <c r="CB151" s="99">
        <f>IF(AND(Database!FC96&gt;1,Database!FC95&gt;1),100*(Database!FC96/(Database!FC95)),0.0001)</f>
        <v>1E-4</v>
      </c>
      <c r="CC151" s="99">
        <f>IF(AND(Database!FE96&gt;1,Database!FE95&gt;1),100*(Database!FE96/(Database!FE95)),0.0001)</f>
        <v>1E-4</v>
      </c>
      <c r="CD151" s="99">
        <f>IF(AND(Database!FG96&gt;1,Database!FG95&gt;1),100*(Database!FG96/(Database!FG95)),0.0001)</f>
        <v>1E-4</v>
      </c>
      <c r="CE151" s="99">
        <f>IF(AND(Database!FI96&gt;1,Database!FI95&gt;1),100*(Database!FI96/(Database!FI95)),0.0001)</f>
        <v>1E-4</v>
      </c>
      <c r="CF151" s="99">
        <f>IF(AND(Database!FK96&gt;1,Database!FK95&gt;1),100*(Database!FK96/(Database!FK95)),0.0001)</f>
        <v>1E-4</v>
      </c>
      <c r="CG151" s="99">
        <f>IF(AND(Database!FM96&gt;1,Database!FM95&gt;1),100*(Database!FM96/(Database!FM95)),0.0001)</f>
        <v>1E-4</v>
      </c>
      <c r="CH151" s="99">
        <f>IF(AND(Database!FO96&gt;1,Database!FO95&gt;1),100*(Database!FO96/(Database!FO95)),0.0001)</f>
        <v>1E-4</v>
      </c>
      <c r="CI151" s="99">
        <f>IF(AND(Database!FQ96&gt;1,Database!FQ95&gt;1),100*(Database!FQ96/(Database!FQ95)),0.0001)</f>
        <v>1E-4</v>
      </c>
      <c r="CJ151" s="99">
        <f>IF(AND(Database!FS96&gt;1,Database!FS95&gt;1),100*(Database!FS96/(Database!FS95)),0.0001)</f>
        <v>1E-4</v>
      </c>
      <c r="CK151" s="99">
        <f>IF(AND(Database!FU96&gt;1,Database!FU95&gt;1),100*(Database!FU96/(Database!FU95)),0.0001)</f>
        <v>1E-4</v>
      </c>
      <c r="CL151" s="99">
        <f>IF(AND(Database!FW96&gt;1,Database!FW95&gt;1),100*(Database!FW96/(Database!FW95)),0.0001)</f>
        <v>1E-4</v>
      </c>
      <c r="CM151" s="99">
        <f>IF(AND(Database!FY96&gt;1,Database!FY95&gt;1),100*(Database!FY96/(Database!FY95)),0.0001)</f>
        <v>1E-4</v>
      </c>
      <c r="CN151" s="99">
        <f>IF(AND(Database!GA96&gt;1,Database!GA95&gt;1),100*(Database!GA96/(Database!GA95)),0.0001)</f>
        <v>1E-4</v>
      </c>
      <c r="CO151" s="99">
        <f>IF(AND(Database!GC96&gt;1,Database!GC95&gt;1),100*(Database!GC96/(Database!GC95)),0.0001)</f>
        <v>1E-4</v>
      </c>
      <c r="CP151" s="99">
        <f>IF(AND(Database!GE96&gt;1,Database!GE95&gt;1),100*(Database!GE96/(Database!GE95)),0.0001)</f>
        <v>1E-4</v>
      </c>
      <c r="CQ151" s="99">
        <f>IF(AND(Database!GG96&gt;1,Database!GG95&gt;1),100*(Database!GG96/(Database!GG95)),0.0001)</f>
        <v>1E-4</v>
      </c>
      <c r="CR151" s="99">
        <f>IF(AND(Database!GI96&gt;1,Database!GI95&gt;1),100*(Database!GI96/(Database!GI95)),0.0001)</f>
        <v>1E-4</v>
      </c>
      <c r="CS151" s="99">
        <f>IF(AND(Database!GK96&gt;1,Database!GK95&gt;1),100*(Database!GK96/(Database!GK95)),0.0001)</f>
        <v>1E-4</v>
      </c>
      <c r="CT151" s="99">
        <f>IF(AND(Database!GM96&gt;1,Database!GM95&gt;1),100*(Database!GM96/(Database!GM95)),0.0001)</f>
        <v>1E-4</v>
      </c>
      <c r="CU151" s="99">
        <f>IF(AND(Database!GO96&gt;1,Database!GO95&gt;1),100*(Database!GO96/(Database!GO95)),0.0001)</f>
        <v>1E-4</v>
      </c>
      <c r="CV151" s="99">
        <f>IF(AND(Database!GQ96&gt;1,Database!GQ95&gt;1),100*(Database!GQ96/(Database!GQ95)),0.0001)</f>
        <v>1E-4</v>
      </c>
      <c r="CW151" s="99">
        <f>IF(AND(Database!GS96&gt;1,Database!GS95&gt;1),100*(Database!GS96/(Database!GS95)),0.0001)</f>
        <v>1E-4</v>
      </c>
      <c r="CX151" s="99">
        <f>IF(AND(Database!GU96&gt;1,Database!GU95&gt;1),100*(Database!GU96/(Database!GU95)),0.0001)</f>
        <v>1E-4</v>
      </c>
      <c r="CY151" s="99">
        <f>IF(AND(Database!GW96&gt;1,Database!GW95&gt;1),100*(Database!GW96/(Database!GW95)),0.0001)</f>
        <v>1E-4</v>
      </c>
      <c r="CZ151" s="99">
        <f>IF(AND(Database!GY96&gt;1,Database!GY95&gt;1),100*(Database!GY96/(Database!GY95)),0.0001)</f>
        <v>1E-4</v>
      </c>
      <c r="DA151" s="99">
        <f>IF(AND(Database!HA96&gt;1,Database!HA95&gt;1),100*(Database!HA96/(Database!HA95)),0.0001)</f>
        <v>1E-4</v>
      </c>
      <c r="DB151" s="99">
        <f>IF(AND(Database!HC96&gt;1,Database!HC95&gt;1),100*(Database!HC96/(Database!HC95)),0.0001)</f>
        <v>1E-4</v>
      </c>
      <c r="DC151" s="99">
        <f>IF(AND(Database!HE96&gt;1,Database!HE95&gt;1),100*(Database!HE96/(Database!HE95)),0.0001)</f>
        <v>1E-4</v>
      </c>
      <c r="DD151" s="99">
        <f>IF(AND(Database!HG96&gt;1,Database!HG95&gt;1),100*(Database!HG96/(Database!HG95)),0.0001)</f>
        <v>1E-4</v>
      </c>
      <c r="DE151" s="99">
        <f>IF(AND(Database!HI96&gt;1,Database!HI95&gt;1),100*(Database!HI96/(Database!HI95)),0.0001)</f>
        <v>1E-4</v>
      </c>
      <c r="DF151" s="99">
        <f>IF(AND(Database!HK96&gt;1,Database!HK95&gt;1),100*(Database!HK96/(Database!HK95)),0.0001)</f>
        <v>1E-4</v>
      </c>
      <c r="DG151" s="99">
        <f>IF(AND(Database!HM96&gt;1,Database!HM95&gt;1),100*(Database!HM96/(Database!HM95)),0.0001)</f>
        <v>1E-4</v>
      </c>
      <c r="DH151" s="99">
        <f>IF(AND(Database!HO96&gt;1,Database!HO95&gt;1),100*(Database!HO96/(Database!HO95)),0.0001)</f>
        <v>1E-4</v>
      </c>
      <c r="DI151" s="99">
        <f>IF(AND(Database!HQ96&gt;1,Database!HQ95&gt;1),100*(Database!HQ96/(Database!HQ95)),0.0001)</f>
        <v>1E-4</v>
      </c>
      <c r="DJ151" s="99">
        <f>IF(AND(Database!HS96&gt;1,Database!HS95&gt;1),100*(Database!HS96/(Database!HS95)),0.0001)</f>
        <v>1E-4</v>
      </c>
      <c r="DK151" s="99">
        <f>IF(AND(Database!HU96&gt;1,Database!HU95&gt;1),100*(Database!HU96/(Database!HU95)),0.0001)</f>
        <v>1E-4</v>
      </c>
      <c r="DL151" s="99">
        <f>IF(AND(Database!HW96&gt;1,Database!HW95&gt;1),100*(Database!HW96/(Database!HW95)),0.0001)</f>
        <v>1E-4</v>
      </c>
      <c r="DM151" s="99">
        <f>IF(AND(Database!HY96&gt;1,Database!HY95&gt;1),100*(Database!HY96/(Database!HY95)),0.0001)</f>
        <v>1E-4</v>
      </c>
      <c r="DN151" s="99">
        <f>IF(AND(Database!IA96&gt;1,Database!IA95&gt;1),100*(Database!IA96/(Database!IA95)),0.0001)</f>
        <v>1E-4</v>
      </c>
      <c r="DO151" s="99">
        <f>IF(AND(Database!IC96&gt;1,Database!IC95&gt;1),100*(Database!IC96/(Database!IC95)),0.0001)</f>
        <v>1E-4</v>
      </c>
      <c r="DP151" s="99">
        <f>IF(AND(Database!IE96&gt;1,Database!IE95&gt;1),100*(Database!IE96/(Database!IE95)),0.0001)</f>
        <v>1E-4</v>
      </c>
      <c r="DQ151" s="99">
        <f>IF(AND(Database!IG96&gt;1,Database!IG95&gt;1),100*(Database!IG96/(Database!IG95)),0.0001)</f>
        <v>1E-4</v>
      </c>
      <c r="DR151" s="99">
        <f>IF(AND(Database!II96&gt;1,Database!II95&gt;1),100*(Database!II96/(Database!II95)),0.0001)</f>
        <v>1E-4</v>
      </c>
      <c r="DS151" s="99">
        <f>IF(AND(Database!IK96&gt;1,Database!IK95&gt;1),100*(Database!IK96/(Database!IK95)),0.0001)</f>
        <v>1E-4</v>
      </c>
      <c r="DT151" s="99">
        <f>IF(AND(Database!IM96&gt;1,Database!IM95&gt;1),100*(Database!IM96/(Database!IM95)),0.0001)</f>
        <v>1E-4</v>
      </c>
      <c r="DU151" s="99">
        <f>IF(AND(Database!IO96&gt;1,Database!IO95&gt;1),100*(Database!IO96/(Database!IO95)),0.0001)</f>
        <v>1E-4</v>
      </c>
      <c r="DV151" s="99">
        <f>IF(AND(Database!IQ96&gt;1,Database!IQ95&gt;1),100*(Database!IQ96/(Database!IQ95)),0.0001)</f>
        <v>1E-4</v>
      </c>
      <c r="DW151" s="99">
        <f>IF(AND(Database!IS96&gt;1,Database!IS95&gt;1),100*(Database!IS96/(Database!IS95)),0.0001)</f>
        <v>1E-4</v>
      </c>
      <c r="DX151" s="99">
        <f>IF(AND(Database!IU96&gt;1,Database!IU95&gt;1),100*(Database!IU96/(Database!IU95)),0.0001)</f>
        <v>1E-4</v>
      </c>
      <c r="DY151" s="99">
        <f>IF(AND(Database!IW96&gt;1,Database!IW95&gt;1),100*(Database!IW96/(Database!IW95)),0.0001)</f>
        <v>1E-4</v>
      </c>
      <c r="DZ151" s="99">
        <f>IF(AND(Database!IY96&gt;1,Database!IY95&gt;1),100*(Database!IY96/(Database!IY95)),0.0001)</f>
        <v>1E-4</v>
      </c>
      <c r="EA151" s="99">
        <f>IF(AND(Database!JA96&gt;1,Database!JA95&gt;1),100*(Database!JA96/(Database!JA95)),0.0001)</f>
        <v>1E-4</v>
      </c>
      <c r="EB151" s="99">
        <f>IF(AND(Database!JC96&gt;1,Database!JC95&gt;1),100*(Database!JC96/(Database!JC95)),0.0001)</f>
        <v>1E-4</v>
      </c>
      <c r="EC151" s="99">
        <f>IF(AND(Database!JE96&gt;1,Database!JE95&gt;1),100*(Database!JE96/(Database!JE95)),0.0001)</f>
        <v>1E-4</v>
      </c>
      <c r="ED151" s="99">
        <f>IF(AND(Database!JG96&gt;1,Database!JG95&gt;1),100*(Database!JG96/(Database!JG95)),0.0001)</f>
        <v>1E-4</v>
      </c>
      <c r="EE151" s="99">
        <f>IF(AND(Database!JI96&gt;1,Database!JI95&gt;1),100*(Database!JI96/(Database!JI95)),0.0001)</f>
        <v>1E-4</v>
      </c>
      <c r="EF151" s="99">
        <f>IF(AND(Database!JK96&gt;1,Database!JK95&gt;1),100*(Database!JK96/(Database!JK95)),0.0001)</f>
        <v>1E-4</v>
      </c>
      <c r="EG151" s="99">
        <f>IF(AND(Database!JM96&gt;1,Database!JM95&gt;1),100*(Database!JM96/(Database!JM95)),0.0001)</f>
        <v>1E-4</v>
      </c>
      <c r="EH151" s="99">
        <f>IF(AND(Database!JO96&gt;1,Database!JO95&gt;1),100*(Database!JO96/(Database!JO95)),0.0001)</f>
        <v>1E-4</v>
      </c>
      <c r="EI151" s="99">
        <f>IF(AND(Database!JQ96&gt;1,Database!JQ95&gt;1),100*(Database!JQ96/(Database!JQ95)),0.0001)</f>
        <v>1E-4</v>
      </c>
      <c r="EJ151" s="99">
        <f>IF(AND(Database!JS96&gt;1,Database!JS95&gt;1),100*(Database!JS96/(Database!JS95)),0.0001)</f>
        <v>1E-4</v>
      </c>
      <c r="EK151" s="99">
        <f>IF(AND(Database!JU96&gt;1,Database!JU95&gt;1),100*(Database!JU96/(Database!JU95)),0.0001)</f>
        <v>1E-4</v>
      </c>
      <c r="EL151" s="99">
        <f>IF(AND(Database!JW96&gt;1,Database!JW95&gt;1),100*(Database!JW96/(Database!JW95)),0.0001)</f>
        <v>1E-4</v>
      </c>
      <c r="EM151" s="99">
        <f>IF(AND(Database!JY96&gt;1,Database!JY95&gt;1),100*(Database!JY96/(Database!JY95)),0.0001)</f>
        <v>1E-4</v>
      </c>
      <c r="EN151" s="99">
        <f>IF(AND(Database!KA96&gt;1,Database!KA95&gt;1),100*(Database!KA96/(Database!KA95)),0.0001)</f>
        <v>1E-4</v>
      </c>
      <c r="EO151" s="99">
        <f>IF(AND(Database!KC96&gt;1,Database!KC95&gt;1),100*(Database!KC96/(Database!KC95)),0.0001)</f>
        <v>1E-4</v>
      </c>
      <c r="EP151" s="99">
        <f>IF(AND(Database!KE96&gt;1,Database!KE95&gt;1),100*(Database!KE96/(Database!KE95)),0.0001)</f>
        <v>1E-4</v>
      </c>
      <c r="EQ151" s="99">
        <f>IF(AND(Database!KG96&gt;1,Database!KG95&gt;1),100*(Database!KG96/(Database!KG95)),0.0001)</f>
        <v>1E-4</v>
      </c>
      <c r="ER151" s="99">
        <f>IF(AND(Database!KI96&gt;1,Database!KI95&gt;1),100*(Database!KI96/(Database!KI95)),0.0001)</f>
        <v>1E-4</v>
      </c>
      <c r="ES151" s="99">
        <f>IF(AND(Database!KK96&gt;1,Database!KK95&gt;1),100*(Database!KK96/(Database!KK95)),0.0001)</f>
        <v>1E-4</v>
      </c>
      <c r="ET151" s="99">
        <f>IF(AND(Database!KM96&gt;1,Database!KM95&gt;1),100*(Database!KM96/(Database!KM95)),0.0001)</f>
        <v>1E-4</v>
      </c>
      <c r="EU151" s="99">
        <f>IF(AND(Database!KO96&gt;1,Database!KO95&gt;1),100*(Database!KO96/(Database!KO95)),0.0001)</f>
        <v>1E-4</v>
      </c>
      <c r="EV151" s="99">
        <f>IF(AND(Database!KQ96&gt;1,Database!KQ95&gt;1),100*(Database!KQ96/(Database!KQ95)),0.0001)</f>
        <v>1E-4</v>
      </c>
      <c r="EW151" s="99">
        <f>IF(AND(Database!KS96&gt;1,Database!KS95&gt;1),100*(Database!KS96/(Database!KS95)),0.0001)</f>
        <v>1E-4</v>
      </c>
      <c r="EX151" s="99">
        <f>IF(AND(Database!KU96&gt;1,Database!KU95&gt;1),100*(Database!KU96/(Database!KU95)),0.0001)</f>
        <v>1E-4</v>
      </c>
      <c r="EY151" s="99">
        <f>IF(AND(Database!KW96&gt;1,Database!KW95&gt;1),100*(Database!KW96/(Database!KW95)),0.0001)</f>
        <v>1E-4</v>
      </c>
      <c r="EZ151" s="99">
        <f>IF(AND(Database!KY96&gt;1,Database!KY95&gt;1),100*(Database!KY96/(Database!KY95)),0.0001)</f>
        <v>1E-4</v>
      </c>
      <c r="FA151" s="99">
        <f>IF(AND(Database!LA96&gt;1,Database!LA95&gt;1),100*(Database!LA96/(Database!LA95)),0.0001)</f>
        <v>1E-4</v>
      </c>
      <c r="FB151" s="99">
        <f>IF(AND(Database!LC96&gt;1,Database!LC95&gt;1),100*(Database!LC96/(Database!LC95)),0.0001)</f>
        <v>1E-4</v>
      </c>
      <c r="FC151" s="99">
        <f>IF(AND(Database!LE96&gt;1,Database!LE95&gt;1),100*(Database!LE96/(Database!LE95)),0.0001)</f>
        <v>1E-4</v>
      </c>
      <c r="FD151" s="99">
        <f>IF(AND(Database!LG96&gt;1,Database!LG95&gt;1),100*(Database!LG96/(Database!LG95)),0.0001)</f>
        <v>1E-4</v>
      </c>
      <c r="FE151" s="99">
        <f>IF(AND(Database!LI96&gt;1,Database!LI95&gt;1),100*(Database!LI96/(Database!LI95)),0.0001)</f>
        <v>1E-4</v>
      </c>
      <c r="FF151" s="99">
        <f>IF(AND(Database!LK96&gt;1,Database!LK95&gt;1),100*(Database!LK96/(Database!LK95)),0.0001)</f>
        <v>1E-4</v>
      </c>
      <c r="FG151" s="99">
        <f>IF(AND(Database!LM96&gt;1,Database!LM95&gt;1),100*(Database!LM96/(Database!LM95)),0.0001)</f>
        <v>1E-4</v>
      </c>
      <c r="FH151" s="99">
        <f>IF(AND(Database!LO96&gt;1,Database!LO95&gt;1),100*(Database!LO96/(Database!LO95)),0.0001)</f>
        <v>1E-4</v>
      </c>
      <c r="FI151" s="99">
        <f>IF(AND(Database!LQ96&gt;1,Database!LQ95&gt;1),100*(Database!LQ96/(Database!LQ95)),0.0001)</f>
        <v>1E-4</v>
      </c>
      <c r="FJ151" s="99">
        <f>IF(AND(Database!LS96&gt;1,Database!LS95&gt;1),100*(Database!LS96/(Database!LS95)),0.0001)</f>
        <v>1E-4</v>
      </c>
      <c r="FK151" s="99">
        <f>IF(AND(Database!LU96&gt;1,Database!LU95&gt;1),100*(Database!LU96/(Database!LU95)),0.0001)</f>
        <v>1E-4</v>
      </c>
      <c r="FL151" s="99">
        <f>IF(AND(Database!LW96&gt;1,Database!LW95&gt;1),100*(Database!LW96/(Database!LW95)),0.0001)</f>
        <v>1E-4</v>
      </c>
      <c r="FM151" s="99">
        <f>IF(AND(Database!LY96&gt;1,Database!LY95&gt;1),100*(Database!LY96/(Database!LY95)),0.0001)</f>
        <v>1E-4</v>
      </c>
      <c r="FN151" s="99">
        <f>IF(AND(Database!MA96&gt;1,Database!MA95&gt;1),100*(Database!MA96/(Database!MA95)),0.0001)</f>
        <v>1E-4</v>
      </c>
      <c r="FO151" s="99">
        <f>IF(AND(Database!MC96&gt;1,Database!MC95&gt;1),100*(Database!MC96/(Database!MC95)),0.0001)</f>
        <v>1E-4</v>
      </c>
      <c r="FP151" s="99">
        <f>IF(AND(Database!ME96&gt;1,Database!ME95&gt;1),100*(Database!ME96/(Database!ME95)),0.0001)</f>
        <v>1E-4</v>
      </c>
      <c r="FQ151" s="99">
        <f>IF(AND(Database!MG96&gt;1,Database!MG95&gt;1),100*(Database!MG96/(Database!MG95)),0.0001)</f>
        <v>1E-4</v>
      </c>
      <c r="FR151" s="99">
        <f>IF(AND(Database!MI96&gt;1,Database!MI95&gt;1),100*(Database!MI96/(Database!MI95)),0.0001)</f>
        <v>1E-4</v>
      </c>
      <c r="FS151" s="99">
        <f>IF(AND(Database!MK96&gt;1,Database!MK95&gt;1),100*(Database!MK96/(Database!MK95)),0.0001)</f>
        <v>1E-4</v>
      </c>
      <c r="FT151" s="99">
        <f>IF(AND(Database!MM96&gt;1,Database!MM95&gt;1),100*(Database!MM96/(Database!MM95)),0.0001)</f>
        <v>1E-4</v>
      </c>
      <c r="FU151" s="99">
        <f>IF(AND(Database!MO96&gt;1,Database!MO95&gt;1),100*(Database!MO96/(Database!MO95)),0.0001)</f>
        <v>1E-4</v>
      </c>
      <c r="FV151" s="99">
        <f>IF(AND(Database!MQ96&gt;1,Database!MQ95&gt;1),100*(Database!MQ96/(Database!MQ95)),0.0001)</f>
        <v>1E-4</v>
      </c>
      <c r="FW151" s="99">
        <f>IF(AND(Database!MS96&gt;1,Database!MS95&gt;1),100*(Database!MS96/(Database!MS95)),0.0001)</f>
        <v>1E-4</v>
      </c>
      <c r="FX151" s="99">
        <f>IF(AND(Database!MU96&gt;1,Database!MU95&gt;1),100*(Database!MU96/(Database!MU95)),0.0001)</f>
        <v>1E-4</v>
      </c>
      <c r="FY151" s="99">
        <f>IF(AND(Database!MW96&gt;1,Database!MW95&gt;1),100*(Database!MW96/(Database!MW95)),0.0001)</f>
        <v>1E-4</v>
      </c>
      <c r="FZ151" s="99">
        <f>IF(AND(Database!MY96&gt;1,Database!MY95&gt;1),100*(Database!MY96/(Database!MY95)),0.0001)</f>
        <v>1E-4</v>
      </c>
      <c r="GA151" s="99">
        <f>IF(AND(Database!NA96&gt;1,Database!NA95&gt;1),100*(Database!NA96/(Database!NA95)),0.0001)</f>
        <v>1E-4</v>
      </c>
      <c r="GB151" s="99">
        <f>IF(AND(Database!NC96&gt;1,Database!NC95&gt;1),100*(Database!NC96/(Database!NC95)),0.0001)</f>
        <v>1E-4</v>
      </c>
      <c r="GC151" s="99">
        <f>IF(AND(Database!NE96&gt;1,Database!NE95&gt;1),100*(Database!NE96/(Database!NE95)),0.0001)</f>
        <v>1E-4</v>
      </c>
      <c r="GD151" s="99">
        <f>IF(AND(Database!NG96&gt;1,Database!NG95&gt;1),100*(Database!NG96/(Database!NG95)),0.0001)</f>
        <v>1E-4</v>
      </c>
      <c r="GE151" s="99">
        <f>IF(AND(Database!NI96&gt;1,Database!NI95&gt;1),100*(Database!NI96/(Database!NI95)),0.0001)</f>
        <v>1E-4</v>
      </c>
      <c r="GF151" s="99">
        <f>IF(AND(Database!NK96&gt;1,Database!NK95&gt;1),100*(Database!NK96/(Database!NK95)),0.0001)</f>
        <v>1E-4</v>
      </c>
      <c r="GG151" s="99">
        <f>IF(AND(Database!NM96&gt;1,Database!NM95&gt;1),100*(Database!NM96/(Database!NM95)),0.0001)</f>
        <v>1E-4</v>
      </c>
      <c r="GH151" s="99">
        <f>IF(AND(Database!NO96&gt;1,Database!NO95&gt;1),100*(Database!NO96/(Database!NO95)),0.0001)</f>
        <v>1E-4</v>
      </c>
      <c r="GI151" s="99">
        <f>IF(AND(Database!NQ96&gt;1,Database!NQ95&gt;1),100*(Database!NQ96/(Database!NQ95)),0.0001)</f>
        <v>1E-4</v>
      </c>
      <c r="GJ151" s="99">
        <f>IF(AND(Database!NS96&gt;1,Database!NS95&gt;1),100*(Database!NS96/(Database!NS95)),0.0001)</f>
        <v>1E-4</v>
      </c>
      <c r="GK151" s="99">
        <f>IF(AND(Database!NU96&gt;1,Database!NU95&gt;1),100*(Database!NU96/(Database!NU95)),0.0001)</f>
        <v>1E-4</v>
      </c>
      <c r="GL151" s="99">
        <f>IF(AND(Database!NW96&gt;1,Database!NW95&gt;1),100*(Database!NW96/(Database!NW95)),0.0001)</f>
        <v>1E-4</v>
      </c>
      <c r="GM151" s="99">
        <f>IF(AND(Database!NY96&gt;1,Database!NY95&gt;1),100*(Database!NY96/(Database!NY95)),0.0001)</f>
        <v>1E-4</v>
      </c>
      <c r="GN151" s="99">
        <f>IF(AND(Database!OA96&gt;1,Database!OA95&gt;1),100*(Database!OA96/(Database!OA95)),0.0001)</f>
        <v>1E-4</v>
      </c>
      <c r="GO151" s="99">
        <f>IF(AND(Database!OC96&gt;1,Database!OC95&gt;1),100*(Database!OC96/(Database!OC95)),0.0001)</f>
        <v>1E-4</v>
      </c>
      <c r="GP151" s="99">
        <f>IF(AND(Database!OE96&gt;1,Database!OE95&gt;1),100*(Database!OE96/(Database!OE95)),0.0001)</f>
        <v>1E-4</v>
      </c>
      <c r="GQ151" s="99">
        <f>IF(AND(Database!OG96&gt;1,Database!OG95&gt;1),100*(Database!OG96/(Database!OG95)),0.0001)</f>
        <v>1E-4</v>
      </c>
      <c r="GR151" s="99">
        <f>IF(AND(Database!OI96&gt;1,Database!OI95&gt;1),100*(Database!OI96/(Database!OI95)),0.0001)</f>
        <v>1E-4</v>
      </c>
      <c r="GS151" s="99">
        <f>IF(AND(Database!OK96&gt;1,Database!OK95&gt;1),100*(Database!OK96/(Database!OK95)),0.0001)</f>
        <v>1E-4</v>
      </c>
      <c r="GT151" s="30">
        <f>IF(AND(Database!OM96&gt;1,Database!OM95&gt;1),100*(Database!OM96/(Database!OM95)),0.0001)</f>
        <v>1E-4</v>
      </c>
      <c r="GU151" s="99"/>
      <c r="GV151" s="99"/>
      <c r="GW151" s="99"/>
    </row>
    <row r="152" spans="1:205" ht="18.75" customHeight="1" x14ac:dyDescent="0.4">
      <c r="A152" s="240" t="s">
        <v>162</v>
      </c>
      <c r="B152" s="96"/>
      <c r="C152" s="260">
        <f>IF(AND(Database!E99&gt;1,Database!E102&gt;1),100*(Database!E99/(Database!E102)),0.0001)</f>
        <v>1E-4</v>
      </c>
      <c r="D152" s="99">
        <f>IF(AND(Database!G99&gt;1,Database!G102&gt;1),100*(Database!G99/(Database!G102)),0.0001)</f>
        <v>1E-4</v>
      </c>
      <c r="E152" s="99">
        <f>IF(AND(Database!I99&gt;1,Database!I102&gt;1),100*(Database!I99/(Database!I102)),0.0001)</f>
        <v>1E-4</v>
      </c>
      <c r="F152" s="99">
        <f>IF(AND(Database!K99&gt;1,Database!K102&gt;1),100*(Database!K99/(Database!K102)),0.0001)</f>
        <v>1E-4</v>
      </c>
      <c r="G152" s="99">
        <f>IF(AND(Database!M99&gt;1,Database!M102&gt;1),100*(Database!M99/(Database!M102)),0.0001)</f>
        <v>1E-4</v>
      </c>
      <c r="H152" s="99">
        <f>IF(AND(Database!O99&gt;1,Database!O102&gt;1),100*(Database!O99/(Database!O102)),0.0001)</f>
        <v>1E-4</v>
      </c>
      <c r="I152" s="99">
        <f>IF(AND(Database!Q99&gt;1,Database!Q102&gt;1),100*(Database!Q99/(Database!Q102)),0.0001)</f>
        <v>1E-4</v>
      </c>
      <c r="J152" s="99">
        <f>IF(AND(Database!S99&gt;1,Database!S102&gt;1),100*(Database!S99/(Database!S102)),0.0001)</f>
        <v>1E-4</v>
      </c>
      <c r="K152" s="99">
        <f>IF(AND(Database!U99&gt;1,Database!U102&gt;1),100*(Database!U99/(Database!U102)),0.0001)</f>
        <v>1E-4</v>
      </c>
      <c r="L152" s="99">
        <f>IF(AND(Database!W99&gt;1,Database!W102&gt;1),100*(Database!W99/(Database!W102)),0.0001)</f>
        <v>1E-4</v>
      </c>
      <c r="M152" s="99">
        <f>IF(AND(Database!Y99&gt;1,Database!Y102&gt;1),100*(Database!Y99/(Database!Y102)),0.0001)</f>
        <v>1E-4</v>
      </c>
      <c r="N152" s="99">
        <f>IF(AND(Database!AA99&gt;1,Database!AA102&gt;1),100*(Database!AA99/(Database!AA102)),0.0001)</f>
        <v>1E-4</v>
      </c>
      <c r="O152" s="99">
        <f>IF(AND(Database!AC99&gt;1,Database!AC102&gt;1),100*(Database!AC99/(Database!AC102)),0.0001)</f>
        <v>1E-4</v>
      </c>
      <c r="P152" s="99">
        <f>IF(AND(Database!AE99&gt;1,Database!AE102&gt;1),100*(Database!AE99/(Database!AE102)),0.0001)</f>
        <v>1E-4</v>
      </c>
      <c r="Q152" s="99">
        <f>IF(AND(Database!AG99&gt;1,Database!AG102&gt;1),100*(Database!AG99/(Database!AG102)),0.0001)</f>
        <v>1E-4</v>
      </c>
      <c r="R152" s="99">
        <f>IF(AND(Database!AI99&gt;1,Database!AI102&gt;1),100*(Database!AI99/(Database!AI102)),0.0001)</f>
        <v>1E-4</v>
      </c>
      <c r="S152" s="99">
        <f>IF(AND(Database!AK99&gt;1,Database!AK102&gt;1),100*(Database!AK99/(Database!AK102)),0.0001)</f>
        <v>1E-4</v>
      </c>
      <c r="T152" s="99">
        <f>IF(AND(Database!AM99&gt;1,Database!AM102&gt;1),100*(Database!AM99/(Database!AM102)),0.0001)</f>
        <v>1E-4</v>
      </c>
      <c r="U152" s="99">
        <f>IF(AND(Database!AO99&gt;1,Database!AO102&gt;1),100*(Database!AO99/(Database!AO102)),0.0001)</f>
        <v>1E-4</v>
      </c>
      <c r="V152" s="99">
        <f>IF(AND(Database!AQ99&gt;1,Database!AQ102&gt;1),100*(Database!AQ99/(Database!AQ102)),0.0001)</f>
        <v>1E-4</v>
      </c>
      <c r="W152" s="99">
        <f>IF(AND(Database!AS99&gt;1,Database!AS102&gt;1),100*(Database!AS99/(Database!AS102)),0.0001)</f>
        <v>1E-4</v>
      </c>
      <c r="X152" s="99">
        <f>IF(AND(Database!AU99&gt;1,Database!AU102&gt;1),100*(Database!AU99/(Database!AU102)),0.0001)</f>
        <v>1E-4</v>
      </c>
      <c r="Y152" s="99">
        <f>IF(AND(Database!AW99&gt;1,Database!AW102&gt;1),100*(Database!AW99/(Database!AW102)),0.0001)</f>
        <v>1E-4</v>
      </c>
      <c r="Z152" s="99">
        <f>IF(AND(Database!AY99&gt;1,Database!AY102&gt;1),100*(Database!AY99/(Database!AY102)),0.0001)</f>
        <v>1E-4</v>
      </c>
      <c r="AA152" s="99">
        <f>IF(AND(Database!BA99&gt;1,Database!BA102&gt;1),100*(Database!BA99/(Database!BA102)),0.0001)</f>
        <v>1E-4</v>
      </c>
      <c r="AB152" s="99">
        <f>IF(AND(Database!BC99&gt;1,Database!BC102&gt;1),100*(Database!BC99/(Database!BC102)),0.0001)</f>
        <v>1E-4</v>
      </c>
      <c r="AC152" s="99">
        <f>IF(AND(Database!BE99&gt;1,Database!BE102&gt;1),100*(Database!BE99/(Database!BE102)),0.0001)</f>
        <v>1E-4</v>
      </c>
      <c r="AD152" s="99">
        <f>IF(AND(Database!BG99&gt;1,Database!BG102&gt;1),100*(Database!BG99/(Database!BG102)),0.0001)</f>
        <v>1E-4</v>
      </c>
      <c r="AE152" s="99">
        <f>IF(AND(Database!BI99&gt;1,Database!BI102&gt;1),100*(Database!BI99/(Database!BI102)),0.0001)</f>
        <v>1E-4</v>
      </c>
      <c r="AF152" s="99">
        <f>IF(AND(Database!BK99&gt;1,Database!BK102&gt;1),100*(Database!BK99/(Database!BK102)),0.0001)</f>
        <v>1E-4</v>
      </c>
      <c r="AG152" s="99">
        <f>IF(AND(Database!BM99&gt;1,Database!BM102&gt;1),100*(Database!BM99/(Database!BM102)),0.0001)</f>
        <v>1E-4</v>
      </c>
      <c r="AH152" s="99">
        <f>IF(AND(Database!BO99&gt;1,Database!BO102&gt;1),100*(Database!BO99/(Database!BO102)),0.0001)</f>
        <v>1E-4</v>
      </c>
      <c r="AI152" s="99">
        <f>IF(AND(Database!BQ99&gt;1,Database!BQ102&gt;1),100*(Database!BQ99/(Database!BQ102)),0.0001)</f>
        <v>1E-4</v>
      </c>
      <c r="AJ152" s="99">
        <f>IF(AND(Database!BS99&gt;1,Database!BS102&gt;1),100*(Database!BS99/(Database!BS102)),0.0001)</f>
        <v>1E-4</v>
      </c>
      <c r="AK152" s="99">
        <f>IF(AND(Database!BU99&gt;1,Database!BU102&gt;1),100*(Database!BU99/(Database!BU102)),0.0001)</f>
        <v>1E-4</v>
      </c>
      <c r="AL152" s="99">
        <f>IF(AND(Database!BW99&gt;1,Database!BW102&gt;1),100*(Database!BW99/(Database!BW102)),0.0001)</f>
        <v>1E-4</v>
      </c>
      <c r="AM152" s="99">
        <f>IF(AND(Database!BY99&gt;1,Database!BY102&gt;1),100*(Database!BY99/(Database!BY102)),0.0001)</f>
        <v>1E-4</v>
      </c>
      <c r="AN152" s="99">
        <f>IF(AND(Database!CA99&gt;1,Database!CA102&gt;1),100*(Database!CA99/(Database!CA102)),0.0001)</f>
        <v>1E-4</v>
      </c>
      <c r="AO152" s="99">
        <f>IF(AND(Database!CC99&gt;1,Database!CC102&gt;1),100*(Database!CC99/(Database!CC102)),0.0001)</f>
        <v>1E-4</v>
      </c>
      <c r="AP152" s="99">
        <f>IF(AND(Database!CE99&gt;1,Database!CE102&gt;1),100*(Database!CE99/(Database!CE102)),0.0001)</f>
        <v>1E-4</v>
      </c>
      <c r="AQ152" s="99">
        <f>IF(AND(Database!CG99&gt;1,Database!CG102&gt;1),100*(Database!CG99/(Database!CG102)),0.0001)</f>
        <v>1E-4</v>
      </c>
      <c r="AR152" s="99">
        <f>IF(AND(Database!CI99&gt;1,Database!CI102&gt;1),100*(Database!CI99/(Database!CI102)),0.0001)</f>
        <v>1E-4</v>
      </c>
      <c r="AS152" s="99">
        <f>IF(AND(Database!CK99&gt;1,Database!CK102&gt;1),100*(Database!CK99/(Database!CK102)),0.0001)</f>
        <v>1E-4</v>
      </c>
      <c r="AT152" s="99">
        <f>IF(AND(Database!CM99&gt;1,Database!CM102&gt;1),100*(Database!CM99/(Database!CM102)),0.0001)</f>
        <v>1E-4</v>
      </c>
      <c r="AU152" s="99">
        <f>IF(AND(Database!CO99&gt;1,Database!CO102&gt;1),100*(Database!CO99/(Database!CO102)),0.0001)</f>
        <v>1E-4</v>
      </c>
      <c r="AV152" s="99">
        <f>IF(AND(Database!CQ99&gt;1,Database!CQ102&gt;1),100*(Database!CQ99/(Database!CQ102)),0.0001)</f>
        <v>1E-4</v>
      </c>
      <c r="AW152" s="99">
        <f>IF(AND(Database!CS99&gt;1,Database!CS102&gt;1),100*(Database!CS99/(Database!CS102)),0.0001)</f>
        <v>1E-4</v>
      </c>
      <c r="AX152" s="99">
        <f>IF(AND(Database!CU99&gt;1,Database!CU102&gt;1),100*(Database!CU99/(Database!CU102)),0.0001)</f>
        <v>1E-4</v>
      </c>
      <c r="AY152" s="99">
        <f>IF(AND(Database!CW99&gt;1,Database!CW102&gt;1),100*(Database!CW99/(Database!CW102)),0.0001)</f>
        <v>1E-4</v>
      </c>
      <c r="AZ152" s="99">
        <f>IF(AND(Database!CY99&gt;1,Database!CY102&gt;1),100*(Database!CY99/(Database!CY102)),0.0001)</f>
        <v>1E-4</v>
      </c>
      <c r="BA152" s="99">
        <f>IF(AND(Database!DA99&gt;1,Database!DA102&gt;1),100*(Database!DA99/(Database!DA102)),0.0001)</f>
        <v>1E-4</v>
      </c>
      <c r="BB152" s="99">
        <f>IF(AND(Database!DC99&gt;1,Database!DC102&gt;1),100*(Database!DC99/(Database!DC102)),0.0001)</f>
        <v>1E-4</v>
      </c>
      <c r="BC152" s="99">
        <f>IF(AND(Database!DE99&gt;1,Database!DE102&gt;1),100*(Database!DE99/(Database!DE102)),0.0001)</f>
        <v>1E-4</v>
      </c>
      <c r="BD152" s="99">
        <f>IF(AND(Database!DG99&gt;1,Database!DG102&gt;1),100*(Database!DG99/(Database!DG102)),0.0001)</f>
        <v>1E-4</v>
      </c>
      <c r="BE152" s="99">
        <f>IF(AND(Database!DI99&gt;1,Database!DI102&gt;1),100*(Database!DI99/(Database!DI102)),0.0001)</f>
        <v>1E-4</v>
      </c>
      <c r="BF152" s="99">
        <f>IF(AND(Database!DK99&gt;1,Database!DK102&gt;1),100*(Database!DK99/(Database!DK102)),0.0001)</f>
        <v>1E-4</v>
      </c>
      <c r="BG152" s="99">
        <f>IF(AND(Database!DM99&gt;1,Database!DM102&gt;1),100*(Database!DM99/(Database!DM102)),0.0001)</f>
        <v>1E-4</v>
      </c>
      <c r="BH152" s="99">
        <f>IF(AND(Database!DO99&gt;1,Database!DO102&gt;1),100*(Database!DO99/(Database!DO102)),0.0001)</f>
        <v>1E-4</v>
      </c>
      <c r="BI152" s="99">
        <f>IF(AND(Database!DQ99&gt;1,Database!DQ102&gt;1),100*(Database!DQ99/(Database!DQ102)),0.0001)</f>
        <v>1E-4</v>
      </c>
      <c r="BJ152" s="99">
        <f>IF(AND(Database!DS99&gt;1,Database!DS102&gt;1),100*(Database!DS99/(Database!DS102)),0.0001)</f>
        <v>1E-4</v>
      </c>
      <c r="BK152" s="99">
        <f>IF(AND(Database!DU99&gt;1,Database!DU102&gt;1),100*(Database!DU99/(Database!DU102)),0.0001)</f>
        <v>1E-4</v>
      </c>
      <c r="BL152" s="99">
        <f>IF(AND(Database!DW99&gt;1,Database!DW102&gt;1),100*(Database!DW99/(Database!DW102)),0.0001)</f>
        <v>1E-4</v>
      </c>
      <c r="BM152" s="99">
        <f>IF(AND(Database!DY99&gt;1,Database!DY102&gt;1),100*(Database!DY99/(Database!DY102)),0.0001)</f>
        <v>1E-4</v>
      </c>
      <c r="BN152" s="99">
        <f>IF(AND(Database!EA99&gt;1,Database!EA102&gt;1),100*(Database!EA99/(Database!EA102)),0.0001)</f>
        <v>1E-4</v>
      </c>
      <c r="BO152" s="99">
        <f>IF(AND(Database!EC99&gt;1,Database!EC102&gt;1),100*(Database!EC99/(Database!EC102)),0.0001)</f>
        <v>1E-4</v>
      </c>
      <c r="BP152" s="99">
        <f>IF(AND(Database!EE99&gt;1,Database!EE102&gt;1),100*(Database!EE99/(Database!EE102)),0.0001)</f>
        <v>1E-4</v>
      </c>
      <c r="BQ152" s="99">
        <f>IF(AND(Database!EG99&gt;1,Database!EG102&gt;1),100*(Database!EG99/(Database!EG102)),0.0001)</f>
        <v>1E-4</v>
      </c>
      <c r="BR152" s="99">
        <f>IF(AND(Database!EI99&gt;1,Database!EI102&gt;1),100*(Database!EI99/(Database!EI102)),0.0001)</f>
        <v>1E-4</v>
      </c>
      <c r="BS152" s="99">
        <f>IF(AND(Database!EK99&gt;1,Database!EK102&gt;1),100*(Database!EK99/(Database!EK102)),0.0001)</f>
        <v>1E-4</v>
      </c>
      <c r="BT152" s="99">
        <f>IF(AND(Database!EM99&gt;1,Database!EM102&gt;1),100*(Database!EM99/(Database!EM102)),0.0001)</f>
        <v>1E-4</v>
      </c>
      <c r="BU152" s="99">
        <f>IF(AND(Database!EO99&gt;1,Database!EO102&gt;1),100*(Database!EO99/(Database!EO102)),0.0001)</f>
        <v>1E-4</v>
      </c>
      <c r="BV152" s="99">
        <f>IF(AND(Database!EQ99&gt;1,Database!EQ102&gt;1),100*(Database!EQ99/(Database!EQ102)),0.0001)</f>
        <v>1E-4</v>
      </c>
      <c r="BW152" s="99">
        <f>IF(AND(Database!ES99&gt;1,Database!ES102&gt;1),100*(Database!ES99/(Database!ES102)),0.0001)</f>
        <v>1E-4</v>
      </c>
      <c r="BX152" s="99">
        <f>IF(AND(Database!EU99&gt;1,Database!EU102&gt;1),100*(Database!EU99/(Database!EU102)),0.0001)</f>
        <v>1E-4</v>
      </c>
      <c r="BY152" s="99">
        <f>IF(AND(Database!EW99&gt;1,Database!EW102&gt;1),100*(Database!EW99/(Database!EW102)),0.0001)</f>
        <v>1E-4</v>
      </c>
      <c r="BZ152" s="99">
        <f>IF(AND(Database!EY99&gt;1,Database!EY102&gt;1),100*(Database!EY99/(Database!EY102)),0.0001)</f>
        <v>1E-4</v>
      </c>
      <c r="CA152" s="99">
        <f>IF(AND(Database!FA99&gt;1,Database!FA102&gt;1),100*(Database!FA99/(Database!FA102)),0.0001)</f>
        <v>1E-4</v>
      </c>
      <c r="CB152" s="99">
        <f>IF(AND(Database!FC99&gt;1,Database!FC102&gt;1),100*(Database!FC99/(Database!FC102)),0.0001)</f>
        <v>1E-4</v>
      </c>
      <c r="CC152" s="99">
        <f>IF(AND(Database!FE99&gt;1,Database!FE102&gt;1),100*(Database!FE99/(Database!FE102)),0.0001)</f>
        <v>1E-4</v>
      </c>
      <c r="CD152" s="99">
        <f>IF(AND(Database!FG99&gt;1,Database!FG102&gt;1),100*(Database!FG99/(Database!FG102)),0.0001)</f>
        <v>1E-4</v>
      </c>
      <c r="CE152" s="99">
        <f>IF(AND(Database!FI99&gt;1,Database!FI102&gt;1),100*(Database!FI99/(Database!FI102)),0.0001)</f>
        <v>1E-4</v>
      </c>
      <c r="CF152" s="99">
        <f>IF(AND(Database!FK99&gt;1,Database!FK102&gt;1),100*(Database!FK99/(Database!FK102)),0.0001)</f>
        <v>1E-4</v>
      </c>
      <c r="CG152" s="99">
        <f>IF(AND(Database!FM99&gt;1,Database!FM102&gt;1),100*(Database!FM99/(Database!FM102)),0.0001)</f>
        <v>1E-4</v>
      </c>
      <c r="CH152" s="99">
        <f>IF(AND(Database!FO99&gt;1,Database!FO102&gt;1),100*(Database!FO99/(Database!FO102)),0.0001)</f>
        <v>1E-4</v>
      </c>
      <c r="CI152" s="99">
        <f>IF(AND(Database!FQ99&gt;1,Database!FQ102&gt;1),100*(Database!FQ99/(Database!FQ102)),0.0001)</f>
        <v>1E-4</v>
      </c>
      <c r="CJ152" s="99">
        <f>IF(AND(Database!FS99&gt;1,Database!FS102&gt;1),100*(Database!FS99/(Database!FS102)),0.0001)</f>
        <v>1E-4</v>
      </c>
      <c r="CK152" s="99">
        <f>IF(AND(Database!FU99&gt;1,Database!FU102&gt;1),100*(Database!FU99/(Database!FU102)),0.0001)</f>
        <v>1E-4</v>
      </c>
      <c r="CL152" s="99">
        <f>IF(AND(Database!FW99&gt;1,Database!FW102&gt;1),100*(Database!FW99/(Database!FW102)),0.0001)</f>
        <v>1E-4</v>
      </c>
      <c r="CM152" s="99">
        <f>IF(AND(Database!FY99&gt;1,Database!FY102&gt;1),100*(Database!FY99/(Database!FY102)),0.0001)</f>
        <v>1E-4</v>
      </c>
      <c r="CN152" s="99">
        <f>IF(AND(Database!GA99&gt;1,Database!GA102&gt;1),100*(Database!GA99/(Database!GA102)),0.0001)</f>
        <v>1E-4</v>
      </c>
      <c r="CO152" s="99">
        <f>IF(AND(Database!GC99&gt;1,Database!GC102&gt;1),100*(Database!GC99/(Database!GC102)),0.0001)</f>
        <v>1E-4</v>
      </c>
      <c r="CP152" s="99">
        <f>IF(AND(Database!GE99&gt;1,Database!GE102&gt;1),100*(Database!GE99/(Database!GE102)),0.0001)</f>
        <v>1E-4</v>
      </c>
      <c r="CQ152" s="99">
        <f>IF(AND(Database!GG99&gt;1,Database!GG102&gt;1),100*(Database!GG99/(Database!GG102)),0.0001)</f>
        <v>1E-4</v>
      </c>
      <c r="CR152" s="99">
        <f>IF(AND(Database!GI99&gt;1,Database!GI102&gt;1),100*(Database!GI99/(Database!GI102)),0.0001)</f>
        <v>1E-4</v>
      </c>
      <c r="CS152" s="99">
        <f>IF(AND(Database!GK99&gt;1,Database!GK102&gt;1),100*(Database!GK99/(Database!GK102)),0.0001)</f>
        <v>1E-4</v>
      </c>
      <c r="CT152" s="99">
        <f>IF(AND(Database!GM99&gt;1,Database!GM102&gt;1),100*(Database!GM99/(Database!GM102)),0.0001)</f>
        <v>1E-4</v>
      </c>
      <c r="CU152" s="99">
        <f>IF(AND(Database!GO99&gt;1,Database!GO102&gt;1),100*(Database!GO99/(Database!GO102)),0.0001)</f>
        <v>1E-4</v>
      </c>
      <c r="CV152" s="99">
        <f>IF(AND(Database!GQ99&gt;1,Database!GQ102&gt;1),100*(Database!GQ99/(Database!GQ102)),0.0001)</f>
        <v>1E-4</v>
      </c>
      <c r="CW152" s="99">
        <f>IF(AND(Database!GS99&gt;1,Database!GS102&gt;1),100*(Database!GS99/(Database!GS102)),0.0001)</f>
        <v>1E-4</v>
      </c>
      <c r="CX152" s="99">
        <f>IF(AND(Database!GU99&gt;1,Database!GU102&gt;1),100*(Database!GU99/(Database!GU102)),0.0001)</f>
        <v>1E-4</v>
      </c>
      <c r="CY152" s="99">
        <f>IF(AND(Database!GW99&gt;1,Database!GW102&gt;1),100*(Database!GW99/(Database!GW102)),0.0001)</f>
        <v>1E-4</v>
      </c>
      <c r="CZ152" s="99">
        <f>IF(AND(Database!GY99&gt;1,Database!GY102&gt;1),100*(Database!GY99/(Database!GY102)),0.0001)</f>
        <v>1E-4</v>
      </c>
      <c r="DA152" s="99">
        <f>IF(AND(Database!HA99&gt;1,Database!HA102&gt;1),100*(Database!HA99/(Database!HA102)),0.0001)</f>
        <v>1E-4</v>
      </c>
      <c r="DB152" s="99">
        <f>IF(AND(Database!HC99&gt;1,Database!HC102&gt;1),100*(Database!HC99/(Database!HC102)),0.0001)</f>
        <v>1E-4</v>
      </c>
      <c r="DC152" s="99">
        <f>IF(AND(Database!HE99&gt;1,Database!HE102&gt;1),100*(Database!HE99/(Database!HE102)),0.0001)</f>
        <v>1E-4</v>
      </c>
      <c r="DD152" s="99">
        <f>IF(AND(Database!HG99&gt;1,Database!HG102&gt;1),100*(Database!HG99/(Database!HG102)),0.0001)</f>
        <v>1E-4</v>
      </c>
      <c r="DE152" s="99">
        <f>IF(AND(Database!HI99&gt;1,Database!HI102&gt;1),100*(Database!HI99/(Database!HI102)),0.0001)</f>
        <v>1E-4</v>
      </c>
      <c r="DF152" s="99">
        <f>IF(AND(Database!HK99&gt;1,Database!HK102&gt;1),100*(Database!HK99/(Database!HK102)),0.0001)</f>
        <v>1E-4</v>
      </c>
      <c r="DG152" s="99">
        <f>IF(AND(Database!HM99&gt;1,Database!HM102&gt;1),100*(Database!HM99/(Database!HM102)),0.0001)</f>
        <v>1E-4</v>
      </c>
      <c r="DH152" s="99">
        <f>IF(AND(Database!HO99&gt;1,Database!HO102&gt;1),100*(Database!HO99/(Database!HO102)),0.0001)</f>
        <v>1E-4</v>
      </c>
      <c r="DI152" s="99">
        <f>IF(AND(Database!HQ99&gt;1,Database!HQ102&gt;1),100*(Database!HQ99/(Database!HQ102)),0.0001)</f>
        <v>1E-4</v>
      </c>
      <c r="DJ152" s="99">
        <f>IF(AND(Database!HS99&gt;1,Database!HS102&gt;1),100*(Database!HS99/(Database!HS102)),0.0001)</f>
        <v>1E-4</v>
      </c>
      <c r="DK152" s="99">
        <f>IF(AND(Database!HU99&gt;1,Database!HU102&gt;1),100*(Database!HU99/(Database!HU102)),0.0001)</f>
        <v>1E-4</v>
      </c>
      <c r="DL152" s="99">
        <f>IF(AND(Database!HW99&gt;1,Database!HW102&gt;1),100*(Database!HW99/(Database!HW102)),0.0001)</f>
        <v>1E-4</v>
      </c>
      <c r="DM152" s="99">
        <f>IF(AND(Database!HY99&gt;1,Database!HY102&gt;1),100*(Database!HY99/(Database!HY102)),0.0001)</f>
        <v>1E-4</v>
      </c>
      <c r="DN152" s="99">
        <f>IF(AND(Database!IA99&gt;1,Database!IA102&gt;1),100*(Database!IA99/(Database!IA102)),0.0001)</f>
        <v>1E-4</v>
      </c>
      <c r="DO152" s="99">
        <f>IF(AND(Database!IC99&gt;1,Database!IC102&gt;1),100*(Database!IC99/(Database!IC102)),0.0001)</f>
        <v>1E-4</v>
      </c>
      <c r="DP152" s="99">
        <f>IF(AND(Database!IE99&gt;1,Database!IE102&gt;1),100*(Database!IE99/(Database!IE102)),0.0001)</f>
        <v>1E-4</v>
      </c>
      <c r="DQ152" s="99">
        <f>IF(AND(Database!IG99&gt;1,Database!IG102&gt;1),100*(Database!IG99/(Database!IG102)),0.0001)</f>
        <v>1E-4</v>
      </c>
      <c r="DR152" s="99">
        <f>IF(AND(Database!II99&gt;1,Database!II102&gt;1),100*(Database!II99/(Database!II102)),0.0001)</f>
        <v>1E-4</v>
      </c>
      <c r="DS152" s="99">
        <f>IF(AND(Database!IK99&gt;1,Database!IK102&gt;1),100*(Database!IK99/(Database!IK102)),0.0001)</f>
        <v>1E-4</v>
      </c>
      <c r="DT152" s="99">
        <f>IF(AND(Database!IM99&gt;1,Database!IM102&gt;1),100*(Database!IM99/(Database!IM102)),0.0001)</f>
        <v>1E-4</v>
      </c>
      <c r="DU152" s="99">
        <f>IF(AND(Database!IO99&gt;1,Database!IO102&gt;1),100*(Database!IO99/(Database!IO102)),0.0001)</f>
        <v>1E-4</v>
      </c>
      <c r="DV152" s="99">
        <f>IF(AND(Database!IQ99&gt;1,Database!IQ102&gt;1),100*(Database!IQ99/(Database!IQ102)),0.0001)</f>
        <v>1E-4</v>
      </c>
      <c r="DW152" s="99">
        <f>IF(AND(Database!IS99&gt;1,Database!IS102&gt;1),100*(Database!IS99/(Database!IS102)),0.0001)</f>
        <v>1E-4</v>
      </c>
      <c r="DX152" s="99">
        <f>IF(AND(Database!IU99&gt;1,Database!IU102&gt;1),100*(Database!IU99/(Database!IU102)),0.0001)</f>
        <v>1E-4</v>
      </c>
      <c r="DY152" s="99">
        <f>IF(AND(Database!IW99&gt;1,Database!IW102&gt;1),100*(Database!IW99/(Database!IW102)),0.0001)</f>
        <v>1E-4</v>
      </c>
      <c r="DZ152" s="99">
        <f>IF(AND(Database!IY99&gt;1,Database!IY102&gt;1),100*(Database!IY99/(Database!IY102)),0.0001)</f>
        <v>1E-4</v>
      </c>
      <c r="EA152" s="99">
        <f>IF(AND(Database!JA99&gt;1,Database!JA102&gt;1),100*(Database!JA99/(Database!JA102)),0.0001)</f>
        <v>1E-4</v>
      </c>
      <c r="EB152" s="99">
        <f>IF(AND(Database!JC99&gt;1,Database!JC102&gt;1),100*(Database!JC99/(Database!JC102)),0.0001)</f>
        <v>1E-4</v>
      </c>
      <c r="EC152" s="99">
        <f>IF(AND(Database!JE99&gt;1,Database!JE102&gt;1),100*(Database!JE99/(Database!JE102)),0.0001)</f>
        <v>1E-4</v>
      </c>
      <c r="ED152" s="99">
        <f>IF(AND(Database!JG99&gt;1,Database!JG102&gt;1),100*(Database!JG99/(Database!JG102)),0.0001)</f>
        <v>1E-4</v>
      </c>
      <c r="EE152" s="99">
        <f>IF(AND(Database!JI99&gt;1,Database!JI102&gt;1),100*(Database!JI99/(Database!JI102)),0.0001)</f>
        <v>1E-4</v>
      </c>
      <c r="EF152" s="99">
        <f>IF(AND(Database!JK99&gt;1,Database!JK102&gt;1),100*(Database!JK99/(Database!JK102)),0.0001)</f>
        <v>1E-4</v>
      </c>
      <c r="EG152" s="99">
        <f>IF(AND(Database!JM99&gt;1,Database!JM102&gt;1),100*(Database!JM99/(Database!JM102)),0.0001)</f>
        <v>1E-4</v>
      </c>
      <c r="EH152" s="99">
        <f>IF(AND(Database!JO99&gt;1,Database!JO102&gt;1),100*(Database!JO99/(Database!JO102)),0.0001)</f>
        <v>1E-4</v>
      </c>
      <c r="EI152" s="99">
        <f>IF(AND(Database!JQ99&gt;1,Database!JQ102&gt;1),100*(Database!JQ99/(Database!JQ102)),0.0001)</f>
        <v>1E-4</v>
      </c>
      <c r="EJ152" s="99">
        <f>IF(AND(Database!JS99&gt;1,Database!JS102&gt;1),100*(Database!JS99/(Database!JS102)),0.0001)</f>
        <v>1E-4</v>
      </c>
      <c r="EK152" s="99">
        <f>IF(AND(Database!JU99&gt;1,Database!JU102&gt;1),100*(Database!JU99/(Database!JU102)),0.0001)</f>
        <v>1E-4</v>
      </c>
      <c r="EL152" s="99">
        <f>IF(AND(Database!JW99&gt;1,Database!JW102&gt;1),100*(Database!JW99/(Database!JW102)),0.0001)</f>
        <v>1E-4</v>
      </c>
      <c r="EM152" s="99">
        <f>IF(AND(Database!JY99&gt;1,Database!JY102&gt;1),100*(Database!JY99/(Database!JY102)),0.0001)</f>
        <v>1E-4</v>
      </c>
      <c r="EN152" s="99">
        <f>IF(AND(Database!KA99&gt;1,Database!KA102&gt;1),100*(Database!KA99/(Database!KA102)),0.0001)</f>
        <v>1E-4</v>
      </c>
      <c r="EO152" s="99">
        <f>IF(AND(Database!KC99&gt;1,Database!KC102&gt;1),100*(Database!KC99/(Database!KC102)),0.0001)</f>
        <v>1E-4</v>
      </c>
      <c r="EP152" s="99">
        <f>IF(AND(Database!KE99&gt;1,Database!KE102&gt;1),100*(Database!KE99/(Database!KE102)),0.0001)</f>
        <v>1E-4</v>
      </c>
      <c r="EQ152" s="99">
        <f>IF(AND(Database!KG99&gt;1,Database!KG102&gt;1),100*(Database!KG99/(Database!KG102)),0.0001)</f>
        <v>1E-4</v>
      </c>
      <c r="ER152" s="99">
        <f>IF(AND(Database!KI99&gt;1,Database!KI102&gt;1),100*(Database!KI99/(Database!KI102)),0.0001)</f>
        <v>1E-4</v>
      </c>
      <c r="ES152" s="99">
        <f>IF(AND(Database!KK99&gt;1,Database!KK102&gt;1),100*(Database!KK99/(Database!KK102)),0.0001)</f>
        <v>1E-4</v>
      </c>
      <c r="ET152" s="99">
        <f>IF(AND(Database!KM99&gt;1,Database!KM102&gt;1),100*(Database!KM99/(Database!KM102)),0.0001)</f>
        <v>1E-4</v>
      </c>
      <c r="EU152" s="99">
        <f>IF(AND(Database!KO99&gt;1,Database!KO102&gt;1),100*(Database!KO99/(Database!KO102)),0.0001)</f>
        <v>1E-4</v>
      </c>
      <c r="EV152" s="99">
        <f>IF(AND(Database!KQ99&gt;1,Database!KQ102&gt;1),100*(Database!KQ99/(Database!KQ102)),0.0001)</f>
        <v>1E-4</v>
      </c>
      <c r="EW152" s="99">
        <f>IF(AND(Database!KS99&gt;1,Database!KS102&gt;1),100*(Database!KS99/(Database!KS102)),0.0001)</f>
        <v>1E-4</v>
      </c>
      <c r="EX152" s="99">
        <f>IF(AND(Database!KU99&gt;1,Database!KU102&gt;1),100*(Database!KU99/(Database!KU102)),0.0001)</f>
        <v>1E-4</v>
      </c>
      <c r="EY152" s="99">
        <f>IF(AND(Database!KW99&gt;1,Database!KW102&gt;1),100*(Database!KW99/(Database!KW102)),0.0001)</f>
        <v>1E-4</v>
      </c>
      <c r="EZ152" s="99">
        <f>IF(AND(Database!KY99&gt;1,Database!KY102&gt;1),100*(Database!KY99/(Database!KY102)),0.0001)</f>
        <v>1E-4</v>
      </c>
      <c r="FA152" s="99">
        <f>IF(AND(Database!LA99&gt;1,Database!LA102&gt;1),100*(Database!LA99/(Database!LA102)),0.0001)</f>
        <v>1E-4</v>
      </c>
      <c r="FB152" s="99">
        <f>IF(AND(Database!LC99&gt;1,Database!LC102&gt;1),100*(Database!LC99/(Database!LC102)),0.0001)</f>
        <v>1E-4</v>
      </c>
      <c r="FC152" s="99">
        <f>IF(AND(Database!LE99&gt;1,Database!LE102&gt;1),100*(Database!LE99/(Database!LE102)),0.0001)</f>
        <v>1E-4</v>
      </c>
      <c r="FD152" s="99">
        <f>IF(AND(Database!LG99&gt;1,Database!LG102&gt;1),100*(Database!LG99/(Database!LG102)),0.0001)</f>
        <v>1E-4</v>
      </c>
      <c r="FE152" s="99">
        <f>IF(AND(Database!LI99&gt;1,Database!LI102&gt;1),100*(Database!LI99/(Database!LI102)),0.0001)</f>
        <v>1E-4</v>
      </c>
      <c r="FF152" s="99">
        <f>IF(AND(Database!LK99&gt;1,Database!LK102&gt;1),100*(Database!LK99/(Database!LK102)),0.0001)</f>
        <v>1E-4</v>
      </c>
      <c r="FG152" s="99">
        <f>IF(AND(Database!LM99&gt;1,Database!LM102&gt;1),100*(Database!LM99/(Database!LM102)),0.0001)</f>
        <v>1E-4</v>
      </c>
      <c r="FH152" s="99">
        <f>IF(AND(Database!LO99&gt;1,Database!LO102&gt;1),100*(Database!LO99/(Database!LO102)),0.0001)</f>
        <v>1E-4</v>
      </c>
      <c r="FI152" s="99">
        <f>IF(AND(Database!LQ99&gt;1,Database!LQ102&gt;1),100*(Database!LQ99/(Database!LQ102)),0.0001)</f>
        <v>1E-4</v>
      </c>
      <c r="FJ152" s="99">
        <f>IF(AND(Database!LS99&gt;1,Database!LS102&gt;1),100*(Database!LS99/(Database!LS102)),0.0001)</f>
        <v>1E-4</v>
      </c>
      <c r="FK152" s="99">
        <f>IF(AND(Database!LU99&gt;1,Database!LU102&gt;1),100*(Database!LU99/(Database!LU102)),0.0001)</f>
        <v>1E-4</v>
      </c>
      <c r="FL152" s="99">
        <f>IF(AND(Database!LW99&gt;1,Database!LW102&gt;1),100*(Database!LW99/(Database!LW102)),0.0001)</f>
        <v>1E-4</v>
      </c>
      <c r="FM152" s="99">
        <f>IF(AND(Database!LY99&gt;1,Database!LY102&gt;1),100*(Database!LY99/(Database!LY102)),0.0001)</f>
        <v>1E-4</v>
      </c>
      <c r="FN152" s="99">
        <f>IF(AND(Database!MA99&gt;1,Database!MA102&gt;1),100*(Database!MA99/(Database!MA102)),0.0001)</f>
        <v>1E-4</v>
      </c>
      <c r="FO152" s="99">
        <f>IF(AND(Database!MC99&gt;1,Database!MC102&gt;1),100*(Database!MC99/(Database!MC102)),0.0001)</f>
        <v>1E-4</v>
      </c>
      <c r="FP152" s="99">
        <f>IF(AND(Database!ME99&gt;1,Database!ME102&gt;1),100*(Database!ME99/(Database!ME102)),0.0001)</f>
        <v>1E-4</v>
      </c>
      <c r="FQ152" s="99">
        <f>IF(AND(Database!MG99&gt;1,Database!MG102&gt;1),100*(Database!MG99/(Database!MG102)),0.0001)</f>
        <v>1E-4</v>
      </c>
      <c r="FR152" s="99">
        <f>IF(AND(Database!MI99&gt;1,Database!MI102&gt;1),100*(Database!MI99/(Database!MI102)),0.0001)</f>
        <v>1E-4</v>
      </c>
      <c r="FS152" s="99">
        <f>IF(AND(Database!MK99&gt;1,Database!MK102&gt;1),100*(Database!MK99/(Database!MK102)),0.0001)</f>
        <v>1E-4</v>
      </c>
      <c r="FT152" s="99">
        <f>IF(AND(Database!MM99&gt;1,Database!MM102&gt;1),100*(Database!MM99/(Database!MM102)),0.0001)</f>
        <v>1E-4</v>
      </c>
      <c r="FU152" s="99">
        <f>IF(AND(Database!MO99&gt;1,Database!MO102&gt;1),100*(Database!MO99/(Database!MO102)),0.0001)</f>
        <v>1E-4</v>
      </c>
      <c r="FV152" s="99">
        <f>IF(AND(Database!MQ99&gt;1,Database!MQ102&gt;1),100*(Database!MQ99/(Database!MQ102)),0.0001)</f>
        <v>1E-4</v>
      </c>
      <c r="FW152" s="99">
        <f>IF(AND(Database!MS99&gt;1,Database!MS102&gt;1),100*(Database!MS99/(Database!MS102)),0.0001)</f>
        <v>1E-4</v>
      </c>
      <c r="FX152" s="99">
        <f>IF(AND(Database!MU99&gt;1,Database!MU102&gt;1),100*(Database!MU99/(Database!MU102)),0.0001)</f>
        <v>1E-4</v>
      </c>
      <c r="FY152" s="99">
        <f>IF(AND(Database!MW99&gt;1,Database!MW102&gt;1),100*(Database!MW99/(Database!MW102)),0.0001)</f>
        <v>1E-4</v>
      </c>
      <c r="FZ152" s="99">
        <f>IF(AND(Database!MY99&gt;1,Database!MY102&gt;1),100*(Database!MY99/(Database!MY102)),0.0001)</f>
        <v>1E-4</v>
      </c>
      <c r="GA152" s="99">
        <f>IF(AND(Database!NA99&gt;1,Database!NA102&gt;1),100*(Database!NA99/(Database!NA102)),0.0001)</f>
        <v>1E-4</v>
      </c>
      <c r="GB152" s="99">
        <f>IF(AND(Database!NC99&gt;1,Database!NC102&gt;1),100*(Database!NC99/(Database!NC102)),0.0001)</f>
        <v>1E-4</v>
      </c>
      <c r="GC152" s="99">
        <f>IF(AND(Database!NE99&gt;1,Database!NE102&gt;1),100*(Database!NE99/(Database!NE102)),0.0001)</f>
        <v>1E-4</v>
      </c>
      <c r="GD152" s="99">
        <f>IF(AND(Database!NG99&gt;1,Database!NG102&gt;1),100*(Database!NG99/(Database!NG102)),0.0001)</f>
        <v>1E-4</v>
      </c>
      <c r="GE152" s="99">
        <f>IF(AND(Database!NI99&gt;1,Database!NI102&gt;1),100*(Database!NI99/(Database!NI102)),0.0001)</f>
        <v>1E-4</v>
      </c>
      <c r="GF152" s="99">
        <f>IF(AND(Database!NK99&gt;1,Database!NK102&gt;1),100*(Database!NK99/(Database!NK102)),0.0001)</f>
        <v>1E-4</v>
      </c>
      <c r="GG152" s="99">
        <f>IF(AND(Database!NM99&gt;1,Database!NM102&gt;1),100*(Database!NM99/(Database!NM102)),0.0001)</f>
        <v>1E-4</v>
      </c>
      <c r="GH152" s="99">
        <f>IF(AND(Database!NO99&gt;1,Database!NO102&gt;1),100*(Database!NO99/(Database!NO102)),0.0001)</f>
        <v>1E-4</v>
      </c>
      <c r="GI152" s="99">
        <f>IF(AND(Database!NQ99&gt;1,Database!NQ102&gt;1),100*(Database!NQ99/(Database!NQ102)),0.0001)</f>
        <v>1E-4</v>
      </c>
      <c r="GJ152" s="99">
        <f>IF(AND(Database!NS99&gt;1,Database!NS102&gt;1),100*(Database!NS99/(Database!NS102)),0.0001)</f>
        <v>1E-4</v>
      </c>
      <c r="GK152" s="99">
        <f>IF(AND(Database!NU99&gt;1,Database!NU102&gt;1),100*(Database!NU99/(Database!NU102)),0.0001)</f>
        <v>1E-4</v>
      </c>
      <c r="GL152" s="99">
        <f>IF(AND(Database!NW99&gt;1,Database!NW102&gt;1),100*(Database!NW99/(Database!NW102)),0.0001)</f>
        <v>1E-4</v>
      </c>
      <c r="GM152" s="99">
        <f>IF(AND(Database!NY99&gt;1,Database!NY102&gt;1),100*(Database!NY99/(Database!NY102)),0.0001)</f>
        <v>1E-4</v>
      </c>
      <c r="GN152" s="99">
        <f>IF(AND(Database!OA99&gt;1,Database!OA102&gt;1),100*(Database!OA99/(Database!OA102)),0.0001)</f>
        <v>1E-4</v>
      </c>
      <c r="GO152" s="99">
        <f>IF(AND(Database!OC99&gt;1,Database!OC102&gt;1),100*(Database!OC99/(Database!OC102)),0.0001)</f>
        <v>1E-4</v>
      </c>
      <c r="GP152" s="99">
        <f>IF(AND(Database!OE99&gt;1,Database!OE102&gt;1),100*(Database!OE99/(Database!OE102)),0.0001)</f>
        <v>1E-4</v>
      </c>
      <c r="GQ152" s="99">
        <f>IF(AND(Database!OG99&gt;1,Database!OG102&gt;1),100*(Database!OG99/(Database!OG102)),0.0001)</f>
        <v>1E-4</v>
      </c>
      <c r="GR152" s="99">
        <f>IF(AND(Database!OI99&gt;1,Database!OI102&gt;1),100*(Database!OI99/(Database!OI102)),0.0001)</f>
        <v>1E-4</v>
      </c>
      <c r="GS152" s="99">
        <f>IF(AND(Database!OK99&gt;1,Database!OK102&gt;1),100*(Database!OK99/(Database!OK102)),0.0001)</f>
        <v>1E-4</v>
      </c>
      <c r="GT152" s="30">
        <f>IF(AND(Database!OM99&gt;1,Database!OM102&gt;1),100*(Database!OM99/(Database!OM102)),0.0001)</f>
        <v>1E-4</v>
      </c>
      <c r="GU152" s="99"/>
      <c r="GV152" s="99"/>
      <c r="GW152" s="99"/>
    </row>
    <row r="153" spans="1:205" ht="18.75" customHeight="1" x14ac:dyDescent="0.4">
      <c r="A153" s="240" t="s">
        <v>163</v>
      </c>
      <c r="B153" s="96"/>
      <c r="C153" s="260">
        <f>IF(AND(Database!E105&gt;1,Database!E107&gt;1),100*(Database!E105/(Database!E107)),0.0001)</f>
        <v>1E-4</v>
      </c>
      <c r="D153" s="99">
        <f>IF(AND(Database!G105&gt;1,Database!G107&gt;1),100*(Database!G105/(Database!G107)),0.0001)</f>
        <v>1E-4</v>
      </c>
      <c r="E153" s="99">
        <f>IF(AND(Database!I105&gt;1,Database!I107&gt;1),100*(Database!I105/(Database!I107)),0.0001)</f>
        <v>1E-4</v>
      </c>
      <c r="F153" s="99">
        <f>IF(AND(Database!K105&gt;1,Database!K107&gt;1),100*(Database!K105/(Database!K107)),0.0001)</f>
        <v>1E-4</v>
      </c>
      <c r="G153" s="99">
        <f>IF(AND(Database!M105&gt;1,Database!M107&gt;1),100*(Database!M105/(Database!M107)),0.0001)</f>
        <v>1E-4</v>
      </c>
      <c r="H153" s="99">
        <f>IF(AND(Database!O105&gt;1,Database!O107&gt;1),100*(Database!O105/(Database!O107)),0.0001)</f>
        <v>1E-4</v>
      </c>
      <c r="I153" s="99">
        <f>IF(AND(Database!Q105&gt;1,Database!Q107&gt;1),100*(Database!Q105/(Database!Q107)),0.0001)</f>
        <v>1E-4</v>
      </c>
      <c r="J153" s="99">
        <f>IF(AND(Database!S105&gt;1,Database!S107&gt;1),100*(Database!S105/(Database!S107)),0.0001)</f>
        <v>1E-4</v>
      </c>
      <c r="K153" s="99">
        <f>IF(AND(Database!U105&gt;1,Database!U107&gt;1),100*(Database!U105/(Database!U107)),0.0001)</f>
        <v>1E-4</v>
      </c>
      <c r="L153" s="99">
        <f>IF(AND(Database!W105&gt;1,Database!W107&gt;1),100*(Database!W105/(Database!W107)),0.0001)</f>
        <v>1E-4</v>
      </c>
      <c r="M153" s="99">
        <f>IF(AND(Database!Y105&gt;1,Database!Y107&gt;1),100*(Database!Y105/(Database!Y107)),0.0001)</f>
        <v>1E-4</v>
      </c>
      <c r="N153" s="99">
        <f>IF(AND(Database!AA105&gt;1,Database!AA107&gt;1),100*(Database!AA105/(Database!AA107)),0.0001)</f>
        <v>1E-4</v>
      </c>
      <c r="O153" s="99">
        <f>IF(AND(Database!AC105&gt;1,Database!AC107&gt;1),100*(Database!AC105/(Database!AC107)),0.0001)</f>
        <v>1E-4</v>
      </c>
      <c r="P153" s="99">
        <f>IF(AND(Database!AE105&gt;1,Database!AE107&gt;1),100*(Database!AE105/(Database!AE107)),0.0001)</f>
        <v>1E-4</v>
      </c>
      <c r="Q153" s="99">
        <f>IF(AND(Database!AG105&gt;1,Database!AG107&gt;1),100*(Database!AG105/(Database!AG107)),0.0001)</f>
        <v>1E-4</v>
      </c>
      <c r="R153" s="99">
        <f>IF(AND(Database!AI105&gt;1,Database!AI107&gt;1),100*(Database!AI105/(Database!AI107)),0.0001)</f>
        <v>1E-4</v>
      </c>
      <c r="S153" s="99">
        <f>IF(AND(Database!AK105&gt;1,Database!AK107&gt;1),100*(Database!AK105/(Database!AK107)),0.0001)</f>
        <v>1E-4</v>
      </c>
      <c r="T153" s="99">
        <f>IF(AND(Database!AM105&gt;1,Database!AM107&gt;1),100*(Database!AM105/(Database!AM107)),0.0001)</f>
        <v>1E-4</v>
      </c>
      <c r="U153" s="99">
        <f>IF(AND(Database!AO105&gt;1,Database!AO107&gt;1),100*(Database!AO105/(Database!AO107)),0.0001)</f>
        <v>1E-4</v>
      </c>
      <c r="V153" s="99">
        <f>IF(AND(Database!AQ105&gt;1,Database!AQ107&gt;1),100*(Database!AQ105/(Database!AQ107)),0.0001)</f>
        <v>1E-4</v>
      </c>
      <c r="W153" s="99">
        <f>IF(AND(Database!AS105&gt;1,Database!AS107&gt;1),100*(Database!AS105/(Database!AS107)),0.0001)</f>
        <v>1E-4</v>
      </c>
      <c r="X153" s="99">
        <f>IF(AND(Database!AU105&gt;1,Database!AU107&gt;1),100*(Database!AU105/(Database!AU107)),0.0001)</f>
        <v>1E-4</v>
      </c>
      <c r="Y153" s="99">
        <f>IF(AND(Database!AW105&gt;1,Database!AW107&gt;1),100*(Database!AW105/(Database!AW107)),0.0001)</f>
        <v>1E-4</v>
      </c>
      <c r="Z153" s="99">
        <f>IF(AND(Database!AY105&gt;1,Database!AY107&gt;1),100*(Database!AY105/(Database!AY107)),0.0001)</f>
        <v>1E-4</v>
      </c>
      <c r="AA153" s="99">
        <f>IF(AND(Database!BA105&gt;1,Database!BA107&gt;1),100*(Database!BA105/(Database!BA107)),0.0001)</f>
        <v>1E-4</v>
      </c>
      <c r="AB153" s="99">
        <f>IF(AND(Database!BC105&gt;1,Database!BC107&gt;1),100*(Database!BC105/(Database!BC107)),0.0001)</f>
        <v>1E-4</v>
      </c>
      <c r="AC153" s="99">
        <f>IF(AND(Database!BE105&gt;1,Database!BE107&gt;1),100*(Database!BE105/(Database!BE107)),0.0001)</f>
        <v>1E-4</v>
      </c>
      <c r="AD153" s="99">
        <f>IF(AND(Database!BG105&gt;1,Database!BG107&gt;1),100*(Database!BG105/(Database!BG107)),0.0001)</f>
        <v>1E-4</v>
      </c>
      <c r="AE153" s="99">
        <f>IF(AND(Database!BI105&gt;1,Database!BI107&gt;1),100*(Database!BI105/(Database!BI107)),0.0001)</f>
        <v>1E-4</v>
      </c>
      <c r="AF153" s="99">
        <f>IF(AND(Database!BK105&gt;1,Database!BK107&gt;1),100*(Database!BK105/(Database!BK107)),0.0001)</f>
        <v>1E-4</v>
      </c>
      <c r="AG153" s="99">
        <f>IF(AND(Database!BM105&gt;1,Database!BM107&gt;1),100*(Database!BM105/(Database!BM107)),0.0001)</f>
        <v>1E-4</v>
      </c>
      <c r="AH153" s="99">
        <f>IF(AND(Database!BO105&gt;1,Database!BO107&gt;1),100*(Database!BO105/(Database!BO107)),0.0001)</f>
        <v>1E-4</v>
      </c>
      <c r="AI153" s="99">
        <f>IF(AND(Database!BQ105&gt;1,Database!BQ107&gt;1),100*(Database!BQ105/(Database!BQ107)),0.0001)</f>
        <v>1E-4</v>
      </c>
      <c r="AJ153" s="99">
        <f>IF(AND(Database!BS105&gt;1,Database!BS107&gt;1),100*(Database!BS105/(Database!BS107)),0.0001)</f>
        <v>1E-4</v>
      </c>
      <c r="AK153" s="99">
        <f>IF(AND(Database!BU105&gt;1,Database!BU107&gt;1),100*(Database!BU105/(Database!BU107)),0.0001)</f>
        <v>1E-4</v>
      </c>
      <c r="AL153" s="99">
        <f>IF(AND(Database!BW105&gt;1,Database!BW107&gt;1),100*(Database!BW105/(Database!BW107)),0.0001)</f>
        <v>1E-4</v>
      </c>
      <c r="AM153" s="99">
        <f>IF(AND(Database!BY105&gt;1,Database!BY107&gt;1),100*(Database!BY105/(Database!BY107)),0.0001)</f>
        <v>1E-4</v>
      </c>
      <c r="AN153" s="99">
        <f>IF(AND(Database!CA105&gt;1,Database!CA107&gt;1),100*(Database!CA105/(Database!CA107)),0.0001)</f>
        <v>1E-4</v>
      </c>
      <c r="AO153" s="99">
        <f>IF(AND(Database!CC105&gt;1,Database!CC107&gt;1),100*(Database!CC105/(Database!CC107)),0.0001)</f>
        <v>1E-4</v>
      </c>
      <c r="AP153" s="99">
        <f>IF(AND(Database!CE105&gt;1,Database!CE107&gt;1),100*(Database!CE105/(Database!CE107)),0.0001)</f>
        <v>1E-4</v>
      </c>
      <c r="AQ153" s="99">
        <f>IF(AND(Database!CG105&gt;1,Database!CG107&gt;1),100*(Database!CG105/(Database!CG107)),0.0001)</f>
        <v>1E-4</v>
      </c>
      <c r="AR153" s="99">
        <f>IF(AND(Database!CI105&gt;1,Database!CI107&gt;1),100*(Database!CI105/(Database!CI107)),0.0001)</f>
        <v>1E-4</v>
      </c>
      <c r="AS153" s="99">
        <f>IF(AND(Database!CK105&gt;1,Database!CK107&gt;1),100*(Database!CK105/(Database!CK107)),0.0001)</f>
        <v>1E-4</v>
      </c>
      <c r="AT153" s="99">
        <f>IF(AND(Database!CM105&gt;1,Database!CM107&gt;1),100*(Database!CM105/(Database!CM107)),0.0001)</f>
        <v>1E-4</v>
      </c>
      <c r="AU153" s="99">
        <f>IF(AND(Database!CO105&gt;1,Database!CO107&gt;1),100*(Database!CO105/(Database!CO107)),0.0001)</f>
        <v>1E-4</v>
      </c>
      <c r="AV153" s="99">
        <f>IF(AND(Database!CQ105&gt;1,Database!CQ107&gt;1),100*(Database!CQ105/(Database!CQ107)),0.0001)</f>
        <v>1E-4</v>
      </c>
      <c r="AW153" s="99">
        <f>IF(AND(Database!CS105&gt;1,Database!CS107&gt;1),100*(Database!CS105/(Database!CS107)),0.0001)</f>
        <v>1E-4</v>
      </c>
      <c r="AX153" s="99">
        <f>IF(AND(Database!CU105&gt;1,Database!CU107&gt;1),100*(Database!CU105/(Database!CU107)),0.0001)</f>
        <v>1E-4</v>
      </c>
      <c r="AY153" s="99">
        <f>IF(AND(Database!CW105&gt;1,Database!CW107&gt;1),100*(Database!CW105/(Database!CW107)),0.0001)</f>
        <v>1E-4</v>
      </c>
      <c r="AZ153" s="99">
        <f>IF(AND(Database!CY105&gt;1,Database!CY107&gt;1),100*(Database!CY105/(Database!CY107)),0.0001)</f>
        <v>1E-4</v>
      </c>
      <c r="BA153" s="99">
        <f>IF(AND(Database!DA105&gt;1,Database!DA107&gt;1),100*(Database!DA105/(Database!DA107)),0.0001)</f>
        <v>1E-4</v>
      </c>
      <c r="BB153" s="99">
        <f>IF(AND(Database!DC105&gt;1,Database!DC107&gt;1),100*(Database!DC105/(Database!DC107)),0.0001)</f>
        <v>1E-4</v>
      </c>
      <c r="BC153" s="99">
        <f>IF(AND(Database!DE105&gt;1,Database!DE107&gt;1),100*(Database!DE105/(Database!DE107)),0.0001)</f>
        <v>1E-4</v>
      </c>
      <c r="BD153" s="99">
        <f>IF(AND(Database!DG105&gt;1,Database!DG107&gt;1),100*(Database!DG105/(Database!DG107)),0.0001)</f>
        <v>1E-4</v>
      </c>
      <c r="BE153" s="99">
        <f>IF(AND(Database!DI105&gt;1,Database!DI107&gt;1),100*(Database!DI105/(Database!DI107)),0.0001)</f>
        <v>1E-4</v>
      </c>
      <c r="BF153" s="99">
        <f>IF(AND(Database!DK105&gt;1,Database!DK107&gt;1),100*(Database!DK105/(Database!DK107)),0.0001)</f>
        <v>1E-4</v>
      </c>
      <c r="BG153" s="99">
        <f>IF(AND(Database!DM105&gt;1,Database!DM107&gt;1),100*(Database!DM105/(Database!DM107)),0.0001)</f>
        <v>1E-4</v>
      </c>
      <c r="BH153" s="99">
        <f>IF(AND(Database!DO105&gt;1,Database!DO107&gt;1),100*(Database!DO105/(Database!DO107)),0.0001)</f>
        <v>1E-4</v>
      </c>
      <c r="BI153" s="99">
        <f>IF(AND(Database!DQ105&gt;1,Database!DQ107&gt;1),100*(Database!DQ105/(Database!DQ107)),0.0001)</f>
        <v>1E-4</v>
      </c>
      <c r="BJ153" s="99">
        <f>IF(AND(Database!DS105&gt;1,Database!DS107&gt;1),100*(Database!DS105/(Database!DS107)),0.0001)</f>
        <v>1E-4</v>
      </c>
      <c r="BK153" s="99">
        <f>IF(AND(Database!DU105&gt;1,Database!DU107&gt;1),100*(Database!DU105/(Database!DU107)),0.0001)</f>
        <v>1E-4</v>
      </c>
      <c r="BL153" s="99">
        <f>IF(AND(Database!DW105&gt;1,Database!DW107&gt;1),100*(Database!DW105/(Database!DW107)),0.0001)</f>
        <v>1E-4</v>
      </c>
      <c r="BM153" s="99">
        <f>IF(AND(Database!DY105&gt;1,Database!DY107&gt;1),100*(Database!DY105/(Database!DY107)),0.0001)</f>
        <v>1E-4</v>
      </c>
      <c r="BN153" s="99">
        <f>IF(AND(Database!EA105&gt;1,Database!EA107&gt;1),100*(Database!EA105/(Database!EA107)),0.0001)</f>
        <v>1E-4</v>
      </c>
      <c r="BO153" s="99">
        <f>IF(AND(Database!EC105&gt;1,Database!EC107&gt;1),100*(Database!EC105/(Database!EC107)),0.0001)</f>
        <v>1E-4</v>
      </c>
      <c r="BP153" s="99">
        <f>IF(AND(Database!EE105&gt;1,Database!EE107&gt;1),100*(Database!EE105/(Database!EE107)),0.0001)</f>
        <v>1E-4</v>
      </c>
      <c r="BQ153" s="99">
        <f>IF(AND(Database!EG105&gt;1,Database!EG107&gt;1),100*(Database!EG105/(Database!EG107)),0.0001)</f>
        <v>1E-4</v>
      </c>
      <c r="BR153" s="99">
        <f>IF(AND(Database!EI105&gt;1,Database!EI107&gt;1),100*(Database!EI105/(Database!EI107)),0.0001)</f>
        <v>1E-4</v>
      </c>
      <c r="BS153" s="99">
        <f>IF(AND(Database!EK105&gt;1,Database!EK107&gt;1),100*(Database!EK105/(Database!EK107)),0.0001)</f>
        <v>1E-4</v>
      </c>
      <c r="BT153" s="99">
        <f>IF(AND(Database!EM105&gt;1,Database!EM107&gt;1),100*(Database!EM105/(Database!EM107)),0.0001)</f>
        <v>1E-4</v>
      </c>
      <c r="BU153" s="99">
        <f>IF(AND(Database!EO105&gt;1,Database!EO107&gt;1),100*(Database!EO105/(Database!EO107)),0.0001)</f>
        <v>1E-4</v>
      </c>
      <c r="BV153" s="99">
        <f>IF(AND(Database!EQ105&gt;1,Database!EQ107&gt;1),100*(Database!EQ105/(Database!EQ107)),0.0001)</f>
        <v>1E-4</v>
      </c>
      <c r="BW153" s="99">
        <f>IF(AND(Database!ES105&gt;1,Database!ES107&gt;1),100*(Database!ES105/(Database!ES107)),0.0001)</f>
        <v>1E-4</v>
      </c>
      <c r="BX153" s="99">
        <f>IF(AND(Database!EU105&gt;1,Database!EU107&gt;1),100*(Database!EU105/(Database!EU107)),0.0001)</f>
        <v>1E-4</v>
      </c>
      <c r="BY153" s="99">
        <f>IF(AND(Database!EW105&gt;1,Database!EW107&gt;1),100*(Database!EW105/(Database!EW107)),0.0001)</f>
        <v>1E-4</v>
      </c>
      <c r="BZ153" s="99">
        <f>IF(AND(Database!EY105&gt;1,Database!EY107&gt;1),100*(Database!EY105/(Database!EY107)),0.0001)</f>
        <v>1E-4</v>
      </c>
      <c r="CA153" s="99">
        <f>IF(AND(Database!FA105&gt;1,Database!FA107&gt;1),100*(Database!FA105/(Database!FA107)),0.0001)</f>
        <v>1E-4</v>
      </c>
      <c r="CB153" s="99">
        <f>IF(AND(Database!FC105&gt;1,Database!FC107&gt;1),100*(Database!FC105/(Database!FC107)),0.0001)</f>
        <v>1E-4</v>
      </c>
      <c r="CC153" s="99">
        <f>IF(AND(Database!FE105&gt;1,Database!FE107&gt;1),100*(Database!FE105/(Database!FE107)),0.0001)</f>
        <v>1E-4</v>
      </c>
      <c r="CD153" s="99">
        <f>IF(AND(Database!FG105&gt;1,Database!FG107&gt;1),100*(Database!FG105/(Database!FG107)),0.0001)</f>
        <v>1E-4</v>
      </c>
      <c r="CE153" s="99">
        <f>IF(AND(Database!FI105&gt;1,Database!FI107&gt;1),100*(Database!FI105/(Database!FI107)),0.0001)</f>
        <v>1E-4</v>
      </c>
      <c r="CF153" s="99">
        <f>IF(AND(Database!FK105&gt;1,Database!FK107&gt;1),100*(Database!FK105/(Database!FK107)),0.0001)</f>
        <v>1E-4</v>
      </c>
      <c r="CG153" s="99">
        <f>IF(AND(Database!FM105&gt;1,Database!FM107&gt;1),100*(Database!FM105/(Database!FM107)),0.0001)</f>
        <v>1E-4</v>
      </c>
      <c r="CH153" s="99">
        <f>IF(AND(Database!FO105&gt;1,Database!FO107&gt;1),100*(Database!FO105/(Database!FO107)),0.0001)</f>
        <v>1E-4</v>
      </c>
      <c r="CI153" s="99">
        <f>IF(AND(Database!FQ105&gt;1,Database!FQ107&gt;1),100*(Database!FQ105/(Database!FQ107)),0.0001)</f>
        <v>1E-4</v>
      </c>
      <c r="CJ153" s="99">
        <f>IF(AND(Database!FS105&gt;1,Database!FS107&gt;1),100*(Database!FS105/(Database!FS107)),0.0001)</f>
        <v>1E-4</v>
      </c>
      <c r="CK153" s="99">
        <f>IF(AND(Database!FU105&gt;1,Database!FU107&gt;1),100*(Database!FU105/(Database!FU107)),0.0001)</f>
        <v>1E-4</v>
      </c>
      <c r="CL153" s="99">
        <f>IF(AND(Database!FW105&gt;1,Database!FW107&gt;1),100*(Database!FW105/(Database!FW107)),0.0001)</f>
        <v>1E-4</v>
      </c>
      <c r="CM153" s="99">
        <f>IF(AND(Database!FY105&gt;1,Database!FY107&gt;1),100*(Database!FY105/(Database!FY107)),0.0001)</f>
        <v>1E-4</v>
      </c>
      <c r="CN153" s="99">
        <f>IF(AND(Database!GA105&gt;1,Database!GA107&gt;1),100*(Database!GA105/(Database!GA107)),0.0001)</f>
        <v>1E-4</v>
      </c>
      <c r="CO153" s="99">
        <f>IF(AND(Database!GC105&gt;1,Database!GC107&gt;1),100*(Database!GC105/(Database!GC107)),0.0001)</f>
        <v>1E-4</v>
      </c>
      <c r="CP153" s="99">
        <f>IF(AND(Database!GE105&gt;1,Database!GE107&gt;1),100*(Database!GE105/(Database!GE107)),0.0001)</f>
        <v>1E-4</v>
      </c>
      <c r="CQ153" s="99">
        <f>IF(AND(Database!GG105&gt;1,Database!GG107&gt;1),100*(Database!GG105/(Database!GG107)),0.0001)</f>
        <v>1E-4</v>
      </c>
      <c r="CR153" s="99">
        <f>IF(AND(Database!GI105&gt;1,Database!GI107&gt;1),100*(Database!GI105/(Database!GI107)),0.0001)</f>
        <v>1E-4</v>
      </c>
      <c r="CS153" s="99">
        <f>IF(AND(Database!GK105&gt;1,Database!GK107&gt;1),100*(Database!GK105/(Database!GK107)),0.0001)</f>
        <v>1E-4</v>
      </c>
      <c r="CT153" s="99">
        <f>IF(AND(Database!GM105&gt;1,Database!GM107&gt;1),100*(Database!GM105/(Database!GM107)),0.0001)</f>
        <v>1E-4</v>
      </c>
      <c r="CU153" s="99">
        <f>IF(AND(Database!GO105&gt;1,Database!GO107&gt;1),100*(Database!GO105/(Database!GO107)),0.0001)</f>
        <v>1E-4</v>
      </c>
      <c r="CV153" s="99">
        <f>IF(AND(Database!GQ105&gt;1,Database!GQ107&gt;1),100*(Database!GQ105/(Database!GQ107)),0.0001)</f>
        <v>1E-4</v>
      </c>
      <c r="CW153" s="99">
        <f>IF(AND(Database!GS105&gt;1,Database!GS107&gt;1),100*(Database!GS105/(Database!GS107)),0.0001)</f>
        <v>1E-4</v>
      </c>
      <c r="CX153" s="99">
        <f>IF(AND(Database!GU105&gt;1,Database!GU107&gt;1),100*(Database!GU105/(Database!GU107)),0.0001)</f>
        <v>1E-4</v>
      </c>
      <c r="CY153" s="99">
        <f>IF(AND(Database!GW105&gt;1,Database!GW107&gt;1),100*(Database!GW105/(Database!GW107)),0.0001)</f>
        <v>1E-4</v>
      </c>
      <c r="CZ153" s="99">
        <f>IF(AND(Database!GY105&gt;1,Database!GY107&gt;1),100*(Database!GY105/(Database!GY107)),0.0001)</f>
        <v>1E-4</v>
      </c>
      <c r="DA153" s="99">
        <f>IF(AND(Database!HA105&gt;1,Database!HA107&gt;1),100*(Database!HA105/(Database!HA107)),0.0001)</f>
        <v>1E-4</v>
      </c>
      <c r="DB153" s="99">
        <f>IF(AND(Database!HC105&gt;1,Database!HC107&gt;1),100*(Database!HC105/(Database!HC107)),0.0001)</f>
        <v>1E-4</v>
      </c>
      <c r="DC153" s="99">
        <f>IF(AND(Database!HE105&gt;1,Database!HE107&gt;1),100*(Database!HE105/(Database!HE107)),0.0001)</f>
        <v>1E-4</v>
      </c>
      <c r="DD153" s="99">
        <f>IF(AND(Database!HG105&gt;1,Database!HG107&gt;1),100*(Database!HG105/(Database!HG107)),0.0001)</f>
        <v>1E-4</v>
      </c>
      <c r="DE153" s="99">
        <f>IF(AND(Database!HI105&gt;1,Database!HI107&gt;1),100*(Database!HI105/(Database!HI107)),0.0001)</f>
        <v>1E-4</v>
      </c>
      <c r="DF153" s="99">
        <f>IF(AND(Database!HK105&gt;1,Database!HK107&gt;1),100*(Database!HK105/(Database!HK107)),0.0001)</f>
        <v>1E-4</v>
      </c>
      <c r="DG153" s="99">
        <f>IF(AND(Database!HM105&gt;1,Database!HM107&gt;1),100*(Database!HM105/(Database!HM107)),0.0001)</f>
        <v>1E-4</v>
      </c>
      <c r="DH153" s="99">
        <f>IF(AND(Database!HO105&gt;1,Database!HO107&gt;1),100*(Database!HO105/(Database!HO107)),0.0001)</f>
        <v>1E-4</v>
      </c>
      <c r="DI153" s="99">
        <f>IF(AND(Database!HQ105&gt;1,Database!HQ107&gt;1),100*(Database!HQ105/(Database!HQ107)),0.0001)</f>
        <v>1E-4</v>
      </c>
      <c r="DJ153" s="99">
        <f>IF(AND(Database!HS105&gt;1,Database!HS107&gt;1),100*(Database!HS105/(Database!HS107)),0.0001)</f>
        <v>1E-4</v>
      </c>
      <c r="DK153" s="99">
        <f>IF(AND(Database!HU105&gt;1,Database!HU107&gt;1),100*(Database!HU105/(Database!HU107)),0.0001)</f>
        <v>1E-4</v>
      </c>
      <c r="DL153" s="99">
        <f>IF(AND(Database!HW105&gt;1,Database!HW107&gt;1),100*(Database!HW105/(Database!HW107)),0.0001)</f>
        <v>1E-4</v>
      </c>
      <c r="DM153" s="99">
        <f>IF(AND(Database!HY105&gt;1,Database!HY107&gt;1),100*(Database!HY105/(Database!HY107)),0.0001)</f>
        <v>1E-4</v>
      </c>
      <c r="DN153" s="99">
        <f>IF(AND(Database!IA105&gt;1,Database!IA107&gt;1),100*(Database!IA105/(Database!IA107)),0.0001)</f>
        <v>1E-4</v>
      </c>
      <c r="DO153" s="99">
        <f>IF(AND(Database!IC105&gt;1,Database!IC107&gt;1),100*(Database!IC105/(Database!IC107)),0.0001)</f>
        <v>1E-4</v>
      </c>
      <c r="DP153" s="99">
        <f>IF(AND(Database!IE105&gt;1,Database!IE107&gt;1),100*(Database!IE105/(Database!IE107)),0.0001)</f>
        <v>1E-4</v>
      </c>
      <c r="DQ153" s="99">
        <f>IF(AND(Database!IG105&gt;1,Database!IG107&gt;1),100*(Database!IG105/(Database!IG107)),0.0001)</f>
        <v>1E-4</v>
      </c>
      <c r="DR153" s="99">
        <f>IF(AND(Database!II105&gt;1,Database!II107&gt;1),100*(Database!II105/(Database!II107)),0.0001)</f>
        <v>1E-4</v>
      </c>
      <c r="DS153" s="99">
        <f>IF(AND(Database!IK105&gt;1,Database!IK107&gt;1),100*(Database!IK105/(Database!IK107)),0.0001)</f>
        <v>1E-4</v>
      </c>
      <c r="DT153" s="99">
        <f>IF(AND(Database!IM105&gt;1,Database!IM107&gt;1),100*(Database!IM105/(Database!IM107)),0.0001)</f>
        <v>1E-4</v>
      </c>
      <c r="DU153" s="99">
        <f>IF(AND(Database!IO105&gt;1,Database!IO107&gt;1),100*(Database!IO105/(Database!IO107)),0.0001)</f>
        <v>1E-4</v>
      </c>
      <c r="DV153" s="99">
        <f>IF(AND(Database!IQ105&gt;1,Database!IQ107&gt;1),100*(Database!IQ105/(Database!IQ107)),0.0001)</f>
        <v>1E-4</v>
      </c>
      <c r="DW153" s="99">
        <f>IF(AND(Database!IS105&gt;1,Database!IS107&gt;1),100*(Database!IS105/(Database!IS107)),0.0001)</f>
        <v>1E-4</v>
      </c>
      <c r="DX153" s="99">
        <f>IF(AND(Database!IU105&gt;1,Database!IU107&gt;1),100*(Database!IU105/(Database!IU107)),0.0001)</f>
        <v>1E-4</v>
      </c>
      <c r="DY153" s="99">
        <f>IF(AND(Database!IW105&gt;1,Database!IW107&gt;1),100*(Database!IW105/(Database!IW107)),0.0001)</f>
        <v>1E-4</v>
      </c>
      <c r="DZ153" s="99">
        <f>IF(AND(Database!IY105&gt;1,Database!IY107&gt;1),100*(Database!IY105/(Database!IY107)),0.0001)</f>
        <v>1E-4</v>
      </c>
      <c r="EA153" s="99">
        <f>IF(AND(Database!JA105&gt;1,Database!JA107&gt;1),100*(Database!JA105/(Database!JA107)),0.0001)</f>
        <v>1E-4</v>
      </c>
      <c r="EB153" s="99">
        <f>IF(AND(Database!JC105&gt;1,Database!JC107&gt;1),100*(Database!JC105/(Database!JC107)),0.0001)</f>
        <v>1E-4</v>
      </c>
      <c r="EC153" s="99">
        <f>IF(AND(Database!JE105&gt;1,Database!JE107&gt;1),100*(Database!JE105/(Database!JE107)),0.0001)</f>
        <v>1E-4</v>
      </c>
      <c r="ED153" s="99">
        <f>IF(AND(Database!JG105&gt;1,Database!JG107&gt;1),100*(Database!JG105/(Database!JG107)),0.0001)</f>
        <v>1E-4</v>
      </c>
      <c r="EE153" s="99">
        <f>IF(AND(Database!JI105&gt;1,Database!JI107&gt;1),100*(Database!JI105/(Database!JI107)),0.0001)</f>
        <v>1E-4</v>
      </c>
      <c r="EF153" s="99">
        <f>IF(AND(Database!JK105&gt;1,Database!JK107&gt;1),100*(Database!JK105/(Database!JK107)),0.0001)</f>
        <v>1E-4</v>
      </c>
      <c r="EG153" s="99">
        <f>IF(AND(Database!JM105&gt;1,Database!JM107&gt;1),100*(Database!JM105/(Database!JM107)),0.0001)</f>
        <v>1E-4</v>
      </c>
      <c r="EH153" s="99">
        <f>IF(AND(Database!JO105&gt;1,Database!JO107&gt;1),100*(Database!JO105/(Database!JO107)),0.0001)</f>
        <v>1E-4</v>
      </c>
      <c r="EI153" s="99">
        <f>IF(AND(Database!JQ105&gt;1,Database!JQ107&gt;1),100*(Database!JQ105/(Database!JQ107)),0.0001)</f>
        <v>1E-4</v>
      </c>
      <c r="EJ153" s="99">
        <f>IF(AND(Database!JS105&gt;1,Database!JS107&gt;1),100*(Database!JS105/(Database!JS107)),0.0001)</f>
        <v>1E-4</v>
      </c>
      <c r="EK153" s="99">
        <f>IF(AND(Database!JU105&gt;1,Database!JU107&gt;1),100*(Database!JU105/(Database!JU107)),0.0001)</f>
        <v>1E-4</v>
      </c>
      <c r="EL153" s="99">
        <f>IF(AND(Database!JW105&gt;1,Database!JW107&gt;1),100*(Database!JW105/(Database!JW107)),0.0001)</f>
        <v>1E-4</v>
      </c>
      <c r="EM153" s="99">
        <f>IF(AND(Database!JY105&gt;1,Database!JY107&gt;1),100*(Database!JY105/(Database!JY107)),0.0001)</f>
        <v>1E-4</v>
      </c>
      <c r="EN153" s="99">
        <f>IF(AND(Database!KA105&gt;1,Database!KA107&gt;1),100*(Database!KA105/(Database!KA107)),0.0001)</f>
        <v>1E-4</v>
      </c>
      <c r="EO153" s="99">
        <f>IF(AND(Database!KC105&gt;1,Database!KC107&gt;1),100*(Database!KC105/(Database!KC107)),0.0001)</f>
        <v>1E-4</v>
      </c>
      <c r="EP153" s="99">
        <f>IF(AND(Database!KE105&gt;1,Database!KE107&gt;1),100*(Database!KE105/(Database!KE107)),0.0001)</f>
        <v>1E-4</v>
      </c>
      <c r="EQ153" s="99">
        <f>IF(AND(Database!KG105&gt;1,Database!KG107&gt;1),100*(Database!KG105/(Database!KG107)),0.0001)</f>
        <v>1E-4</v>
      </c>
      <c r="ER153" s="99">
        <f>IF(AND(Database!KI105&gt;1,Database!KI107&gt;1),100*(Database!KI105/(Database!KI107)),0.0001)</f>
        <v>1E-4</v>
      </c>
      <c r="ES153" s="99">
        <f>IF(AND(Database!KK105&gt;1,Database!KK107&gt;1),100*(Database!KK105/(Database!KK107)),0.0001)</f>
        <v>1E-4</v>
      </c>
      <c r="ET153" s="99">
        <f>IF(AND(Database!KM105&gt;1,Database!KM107&gt;1),100*(Database!KM105/(Database!KM107)),0.0001)</f>
        <v>1E-4</v>
      </c>
      <c r="EU153" s="99">
        <f>IF(AND(Database!KO105&gt;1,Database!KO107&gt;1),100*(Database!KO105/(Database!KO107)),0.0001)</f>
        <v>1E-4</v>
      </c>
      <c r="EV153" s="99">
        <f>IF(AND(Database!KQ105&gt;1,Database!KQ107&gt;1),100*(Database!KQ105/(Database!KQ107)),0.0001)</f>
        <v>1E-4</v>
      </c>
      <c r="EW153" s="99">
        <f>IF(AND(Database!KS105&gt;1,Database!KS107&gt;1),100*(Database!KS105/(Database!KS107)),0.0001)</f>
        <v>1E-4</v>
      </c>
      <c r="EX153" s="99">
        <f>IF(AND(Database!KU105&gt;1,Database!KU107&gt;1),100*(Database!KU105/(Database!KU107)),0.0001)</f>
        <v>1E-4</v>
      </c>
      <c r="EY153" s="99">
        <f>IF(AND(Database!KW105&gt;1,Database!KW107&gt;1),100*(Database!KW105/(Database!KW107)),0.0001)</f>
        <v>1E-4</v>
      </c>
      <c r="EZ153" s="99">
        <f>IF(AND(Database!KY105&gt;1,Database!KY107&gt;1),100*(Database!KY105/(Database!KY107)),0.0001)</f>
        <v>1E-4</v>
      </c>
      <c r="FA153" s="99">
        <f>IF(AND(Database!LA105&gt;1,Database!LA107&gt;1),100*(Database!LA105/(Database!LA107)),0.0001)</f>
        <v>1E-4</v>
      </c>
      <c r="FB153" s="99">
        <f>IF(AND(Database!LC105&gt;1,Database!LC107&gt;1),100*(Database!LC105/(Database!LC107)),0.0001)</f>
        <v>1E-4</v>
      </c>
      <c r="FC153" s="99">
        <f>IF(AND(Database!LE105&gt;1,Database!LE107&gt;1),100*(Database!LE105/(Database!LE107)),0.0001)</f>
        <v>1E-4</v>
      </c>
      <c r="FD153" s="99">
        <f>IF(AND(Database!LG105&gt;1,Database!LG107&gt;1),100*(Database!LG105/(Database!LG107)),0.0001)</f>
        <v>1E-4</v>
      </c>
      <c r="FE153" s="99">
        <f>IF(AND(Database!LI105&gt;1,Database!LI107&gt;1),100*(Database!LI105/(Database!LI107)),0.0001)</f>
        <v>1E-4</v>
      </c>
      <c r="FF153" s="99">
        <f>IF(AND(Database!LK105&gt;1,Database!LK107&gt;1),100*(Database!LK105/(Database!LK107)),0.0001)</f>
        <v>1E-4</v>
      </c>
      <c r="FG153" s="99">
        <f>IF(AND(Database!LM105&gt;1,Database!LM107&gt;1),100*(Database!LM105/(Database!LM107)),0.0001)</f>
        <v>1E-4</v>
      </c>
      <c r="FH153" s="99">
        <f>IF(AND(Database!LO105&gt;1,Database!LO107&gt;1),100*(Database!LO105/(Database!LO107)),0.0001)</f>
        <v>1E-4</v>
      </c>
      <c r="FI153" s="99">
        <f>IF(AND(Database!LQ105&gt;1,Database!LQ107&gt;1),100*(Database!LQ105/(Database!LQ107)),0.0001)</f>
        <v>1E-4</v>
      </c>
      <c r="FJ153" s="99">
        <f>IF(AND(Database!LS105&gt;1,Database!LS107&gt;1),100*(Database!LS105/(Database!LS107)),0.0001)</f>
        <v>1E-4</v>
      </c>
      <c r="FK153" s="99">
        <f>IF(AND(Database!LU105&gt;1,Database!LU107&gt;1),100*(Database!LU105/(Database!LU107)),0.0001)</f>
        <v>1E-4</v>
      </c>
      <c r="FL153" s="99">
        <f>IF(AND(Database!LW105&gt;1,Database!LW107&gt;1),100*(Database!LW105/(Database!LW107)),0.0001)</f>
        <v>1E-4</v>
      </c>
      <c r="FM153" s="99">
        <f>IF(AND(Database!LY105&gt;1,Database!LY107&gt;1),100*(Database!LY105/(Database!LY107)),0.0001)</f>
        <v>1E-4</v>
      </c>
      <c r="FN153" s="99">
        <f>IF(AND(Database!MA105&gt;1,Database!MA107&gt;1),100*(Database!MA105/(Database!MA107)),0.0001)</f>
        <v>1E-4</v>
      </c>
      <c r="FO153" s="99">
        <f>IF(AND(Database!MC105&gt;1,Database!MC107&gt;1),100*(Database!MC105/(Database!MC107)),0.0001)</f>
        <v>1E-4</v>
      </c>
      <c r="FP153" s="99">
        <f>IF(AND(Database!ME105&gt;1,Database!ME107&gt;1),100*(Database!ME105/(Database!ME107)),0.0001)</f>
        <v>1E-4</v>
      </c>
      <c r="FQ153" s="99">
        <f>IF(AND(Database!MG105&gt;1,Database!MG107&gt;1),100*(Database!MG105/(Database!MG107)),0.0001)</f>
        <v>1E-4</v>
      </c>
      <c r="FR153" s="99">
        <f>IF(AND(Database!MI105&gt;1,Database!MI107&gt;1),100*(Database!MI105/(Database!MI107)),0.0001)</f>
        <v>1E-4</v>
      </c>
      <c r="FS153" s="99">
        <f>IF(AND(Database!MK105&gt;1,Database!MK107&gt;1),100*(Database!MK105/(Database!MK107)),0.0001)</f>
        <v>1E-4</v>
      </c>
      <c r="FT153" s="99">
        <f>IF(AND(Database!MM105&gt;1,Database!MM107&gt;1),100*(Database!MM105/(Database!MM107)),0.0001)</f>
        <v>1E-4</v>
      </c>
      <c r="FU153" s="99">
        <f>IF(AND(Database!MO105&gt;1,Database!MO107&gt;1),100*(Database!MO105/(Database!MO107)),0.0001)</f>
        <v>1E-4</v>
      </c>
      <c r="FV153" s="99">
        <f>IF(AND(Database!MQ105&gt;1,Database!MQ107&gt;1),100*(Database!MQ105/(Database!MQ107)),0.0001)</f>
        <v>1E-4</v>
      </c>
      <c r="FW153" s="99">
        <f>IF(AND(Database!MS105&gt;1,Database!MS107&gt;1),100*(Database!MS105/(Database!MS107)),0.0001)</f>
        <v>1E-4</v>
      </c>
      <c r="FX153" s="99">
        <f>IF(AND(Database!MU105&gt;1,Database!MU107&gt;1),100*(Database!MU105/(Database!MU107)),0.0001)</f>
        <v>1E-4</v>
      </c>
      <c r="FY153" s="99">
        <f>IF(AND(Database!MW105&gt;1,Database!MW107&gt;1),100*(Database!MW105/(Database!MW107)),0.0001)</f>
        <v>1E-4</v>
      </c>
      <c r="FZ153" s="99">
        <f>IF(AND(Database!MY105&gt;1,Database!MY107&gt;1),100*(Database!MY105/(Database!MY107)),0.0001)</f>
        <v>1E-4</v>
      </c>
      <c r="GA153" s="99">
        <f>IF(AND(Database!NA105&gt;1,Database!NA107&gt;1),100*(Database!NA105/(Database!NA107)),0.0001)</f>
        <v>1E-4</v>
      </c>
      <c r="GB153" s="99">
        <f>IF(AND(Database!NC105&gt;1,Database!NC107&gt;1),100*(Database!NC105/(Database!NC107)),0.0001)</f>
        <v>1E-4</v>
      </c>
      <c r="GC153" s="99">
        <f>IF(AND(Database!NE105&gt;1,Database!NE107&gt;1),100*(Database!NE105/(Database!NE107)),0.0001)</f>
        <v>1E-4</v>
      </c>
      <c r="GD153" s="99">
        <f>IF(AND(Database!NG105&gt;1,Database!NG107&gt;1),100*(Database!NG105/(Database!NG107)),0.0001)</f>
        <v>1E-4</v>
      </c>
      <c r="GE153" s="99">
        <f>IF(AND(Database!NI105&gt;1,Database!NI107&gt;1),100*(Database!NI105/(Database!NI107)),0.0001)</f>
        <v>1E-4</v>
      </c>
      <c r="GF153" s="99">
        <f>IF(AND(Database!NK105&gt;1,Database!NK107&gt;1),100*(Database!NK105/(Database!NK107)),0.0001)</f>
        <v>1E-4</v>
      </c>
      <c r="GG153" s="99">
        <f>IF(AND(Database!NM105&gt;1,Database!NM107&gt;1),100*(Database!NM105/(Database!NM107)),0.0001)</f>
        <v>1E-4</v>
      </c>
      <c r="GH153" s="99">
        <f>IF(AND(Database!NO105&gt;1,Database!NO107&gt;1),100*(Database!NO105/(Database!NO107)),0.0001)</f>
        <v>1E-4</v>
      </c>
      <c r="GI153" s="99">
        <f>IF(AND(Database!NQ105&gt;1,Database!NQ107&gt;1),100*(Database!NQ105/(Database!NQ107)),0.0001)</f>
        <v>1E-4</v>
      </c>
      <c r="GJ153" s="99">
        <f>IF(AND(Database!NS105&gt;1,Database!NS107&gt;1),100*(Database!NS105/(Database!NS107)),0.0001)</f>
        <v>1E-4</v>
      </c>
      <c r="GK153" s="99">
        <f>IF(AND(Database!NU105&gt;1,Database!NU107&gt;1),100*(Database!NU105/(Database!NU107)),0.0001)</f>
        <v>1E-4</v>
      </c>
      <c r="GL153" s="99">
        <f>IF(AND(Database!NW105&gt;1,Database!NW107&gt;1),100*(Database!NW105/(Database!NW107)),0.0001)</f>
        <v>1E-4</v>
      </c>
      <c r="GM153" s="99">
        <f>IF(AND(Database!NY105&gt;1,Database!NY107&gt;1),100*(Database!NY105/(Database!NY107)),0.0001)</f>
        <v>1E-4</v>
      </c>
      <c r="GN153" s="99">
        <f>IF(AND(Database!OA105&gt;1,Database!OA107&gt;1),100*(Database!OA105/(Database!OA107)),0.0001)</f>
        <v>1E-4</v>
      </c>
      <c r="GO153" s="99">
        <f>IF(AND(Database!OC105&gt;1,Database!OC107&gt;1),100*(Database!OC105/(Database!OC107)),0.0001)</f>
        <v>1E-4</v>
      </c>
      <c r="GP153" s="99">
        <f>IF(AND(Database!OE105&gt;1,Database!OE107&gt;1),100*(Database!OE105/(Database!OE107)),0.0001)</f>
        <v>1E-4</v>
      </c>
      <c r="GQ153" s="99">
        <f>IF(AND(Database!OG105&gt;1,Database!OG107&gt;1),100*(Database!OG105/(Database!OG107)),0.0001)</f>
        <v>1E-4</v>
      </c>
      <c r="GR153" s="99">
        <f>IF(AND(Database!OI105&gt;1,Database!OI107&gt;1),100*(Database!OI105/(Database!OI107)),0.0001)</f>
        <v>1E-4</v>
      </c>
      <c r="GS153" s="99">
        <f>IF(AND(Database!OK105&gt;1,Database!OK107&gt;1),100*(Database!OK105/(Database!OK107)),0.0001)</f>
        <v>1E-4</v>
      </c>
      <c r="GT153" s="30">
        <f>IF(AND(Database!OM105&gt;1,Database!OM107&gt;1),100*(Database!OM105/(Database!OM107)),0.0001)</f>
        <v>1E-4</v>
      </c>
      <c r="GU153" s="99"/>
      <c r="GV153" s="99"/>
      <c r="GW153" s="99"/>
    </row>
    <row r="154" spans="1:205" ht="18.75" customHeight="1" x14ac:dyDescent="0.4">
      <c r="A154" s="240" t="s">
        <v>164</v>
      </c>
      <c r="B154" s="96"/>
      <c r="C154" s="260">
        <f>IF(AND(Database!E106&gt;1,Database!E49&gt;1),100*(Database!E106/(Database!E49)),0.0001)</f>
        <v>1E-4</v>
      </c>
      <c r="D154" s="99">
        <f>IF(AND(Database!G106&gt;1,Database!G49&gt;1),100*(Database!G106/(Database!G49)),0.0001)</f>
        <v>1E-4</v>
      </c>
      <c r="E154" s="99">
        <f>IF(AND(Database!I106&gt;1,Database!I49&gt;1),100*(Database!I106/(Database!I49)),0.0001)</f>
        <v>1E-4</v>
      </c>
      <c r="F154" s="99">
        <f>IF(AND(Database!K106&gt;1,Database!K49&gt;1),100*(Database!K106/(Database!K49)),0.0001)</f>
        <v>1E-4</v>
      </c>
      <c r="G154" s="99">
        <f>IF(AND(Database!M106&gt;1,Database!M49&gt;1),100*(Database!M106/(Database!M49)),0.0001)</f>
        <v>1E-4</v>
      </c>
      <c r="H154" s="99">
        <f>IF(AND(Database!O106&gt;1,Database!O49&gt;1),100*(Database!O106/(Database!O49)),0.0001)</f>
        <v>1E-4</v>
      </c>
      <c r="I154" s="99">
        <f>IF(AND(Database!Q106&gt;1,Database!Q49&gt;1),100*(Database!Q106/(Database!Q49)),0.0001)</f>
        <v>1E-4</v>
      </c>
      <c r="J154" s="99">
        <f>IF(AND(Database!S106&gt;1,Database!S49&gt;1),100*(Database!S106/(Database!S49)),0.0001)</f>
        <v>1E-4</v>
      </c>
      <c r="K154" s="99">
        <f>IF(AND(Database!U106&gt;1,Database!U49&gt;1),100*(Database!U106/(Database!U49)),0.0001)</f>
        <v>1E-4</v>
      </c>
      <c r="L154" s="99">
        <f>IF(AND(Database!W106&gt;1,Database!W49&gt;1),100*(Database!W106/(Database!W49)),0.0001)</f>
        <v>1E-4</v>
      </c>
      <c r="M154" s="99">
        <f>IF(AND(Database!Y106&gt;1,Database!Y49&gt;1),100*(Database!Y106/(Database!Y49)),0.0001)</f>
        <v>1E-4</v>
      </c>
      <c r="N154" s="99">
        <f>IF(AND(Database!AA106&gt;1,Database!AA49&gt;1),100*(Database!AA106/(Database!AA49)),0.0001)</f>
        <v>1E-4</v>
      </c>
      <c r="O154" s="99">
        <f>IF(AND(Database!AC106&gt;1,Database!AC49&gt;1),100*(Database!AC106/(Database!AC49)),0.0001)</f>
        <v>1E-4</v>
      </c>
      <c r="P154" s="99">
        <f>IF(AND(Database!AE106&gt;1,Database!AE49&gt;1),100*(Database!AE106/(Database!AE49)),0.0001)</f>
        <v>1E-4</v>
      </c>
      <c r="Q154" s="99">
        <f>IF(AND(Database!AG106&gt;1,Database!AG49&gt;1),100*(Database!AG106/(Database!AG49)),0.0001)</f>
        <v>1E-4</v>
      </c>
      <c r="R154" s="99">
        <f>IF(AND(Database!AI106&gt;1,Database!AI49&gt;1),100*(Database!AI106/(Database!AI49)),0.0001)</f>
        <v>1E-4</v>
      </c>
      <c r="S154" s="99">
        <f>IF(AND(Database!AK106&gt;1,Database!AK49&gt;1),100*(Database!AK106/(Database!AK49)),0.0001)</f>
        <v>1E-4</v>
      </c>
      <c r="T154" s="99">
        <f>IF(AND(Database!AM106&gt;1,Database!AM49&gt;1),100*(Database!AM106/(Database!AM49)),0.0001)</f>
        <v>1E-4</v>
      </c>
      <c r="U154" s="99">
        <f>IF(AND(Database!AO106&gt;1,Database!AO49&gt;1),100*(Database!AO106/(Database!AO49)),0.0001)</f>
        <v>1E-4</v>
      </c>
      <c r="V154" s="99">
        <f>IF(AND(Database!AQ106&gt;1,Database!AQ49&gt;1),100*(Database!AQ106/(Database!AQ49)),0.0001)</f>
        <v>1E-4</v>
      </c>
      <c r="W154" s="99">
        <f>IF(AND(Database!AS106&gt;1,Database!AS49&gt;1),100*(Database!AS106/(Database!AS49)),0.0001)</f>
        <v>1E-4</v>
      </c>
      <c r="X154" s="99">
        <f>IF(AND(Database!AU106&gt;1,Database!AU49&gt;1),100*(Database!AU106/(Database!AU49)),0.0001)</f>
        <v>1E-4</v>
      </c>
      <c r="Y154" s="99">
        <f>IF(AND(Database!AW106&gt;1,Database!AW49&gt;1),100*(Database!AW106/(Database!AW49)),0.0001)</f>
        <v>1E-4</v>
      </c>
      <c r="Z154" s="99">
        <f>IF(AND(Database!AY106&gt;1,Database!AY49&gt;1),100*(Database!AY106/(Database!AY49)),0.0001)</f>
        <v>1E-4</v>
      </c>
      <c r="AA154" s="99">
        <f>IF(AND(Database!BA106&gt;1,Database!BA49&gt;1),100*(Database!BA106/(Database!BA49)),0.0001)</f>
        <v>1E-4</v>
      </c>
      <c r="AB154" s="99">
        <f>IF(AND(Database!BC106&gt;1,Database!BC49&gt;1),100*(Database!BC106/(Database!BC49)),0.0001)</f>
        <v>1E-4</v>
      </c>
      <c r="AC154" s="99">
        <f>IF(AND(Database!BE106&gt;1,Database!BE49&gt;1),100*(Database!BE106/(Database!BE49)),0.0001)</f>
        <v>1E-4</v>
      </c>
      <c r="AD154" s="99">
        <f>IF(AND(Database!BG106&gt;1,Database!BG49&gt;1),100*(Database!BG106/(Database!BG49)),0.0001)</f>
        <v>1E-4</v>
      </c>
      <c r="AE154" s="99">
        <f>IF(AND(Database!BI106&gt;1,Database!BI49&gt;1),100*(Database!BI106/(Database!BI49)),0.0001)</f>
        <v>1E-4</v>
      </c>
      <c r="AF154" s="99">
        <f>IF(AND(Database!BK106&gt;1,Database!BK49&gt;1),100*(Database!BK106/(Database!BK49)),0.0001)</f>
        <v>1E-4</v>
      </c>
      <c r="AG154" s="99">
        <f>IF(AND(Database!BM106&gt;1,Database!BM49&gt;1),100*(Database!BM106/(Database!BM49)),0.0001)</f>
        <v>1E-4</v>
      </c>
      <c r="AH154" s="99">
        <f>IF(AND(Database!BO106&gt;1,Database!BO49&gt;1),100*(Database!BO106/(Database!BO49)),0.0001)</f>
        <v>1E-4</v>
      </c>
      <c r="AI154" s="99">
        <f>IF(AND(Database!BQ106&gt;1,Database!BQ49&gt;1),100*(Database!BQ106/(Database!BQ49)),0.0001)</f>
        <v>1E-4</v>
      </c>
      <c r="AJ154" s="99">
        <f>IF(AND(Database!BS106&gt;1,Database!BS49&gt;1),100*(Database!BS106/(Database!BS49)),0.0001)</f>
        <v>1E-4</v>
      </c>
      <c r="AK154" s="99">
        <f>IF(AND(Database!BU106&gt;1,Database!BU49&gt;1),100*(Database!BU106/(Database!BU49)),0.0001)</f>
        <v>1E-4</v>
      </c>
      <c r="AL154" s="99">
        <f>IF(AND(Database!BW106&gt;1,Database!BW49&gt;1),100*(Database!BW106/(Database!BW49)),0.0001)</f>
        <v>1E-4</v>
      </c>
      <c r="AM154" s="99">
        <f>IF(AND(Database!BY106&gt;1,Database!BY49&gt;1),100*(Database!BY106/(Database!BY49)),0.0001)</f>
        <v>1E-4</v>
      </c>
      <c r="AN154" s="99">
        <f>IF(AND(Database!CA106&gt;1,Database!CA49&gt;1),100*(Database!CA106/(Database!CA49)),0.0001)</f>
        <v>1E-4</v>
      </c>
      <c r="AO154" s="99">
        <f>IF(AND(Database!CC106&gt;1,Database!CC49&gt;1),100*(Database!CC106/(Database!CC49)),0.0001)</f>
        <v>1E-4</v>
      </c>
      <c r="AP154" s="99">
        <f>IF(AND(Database!CE106&gt;1,Database!CE49&gt;1),100*(Database!CE106/(Database!CE49)),0.0001)</f>
        <v>1E-4</v>
      </c>
      <c r="AQ154" s="99">
        <f>IF(AND(Database!CG106&gt;1,Database!CG49&gt;1),100*(Database!CG106/(Database!CG49)),0.0001)</f>
        <v>1E-4</v>
      </c>
      <c r="AR154" s="99">
        <f>IF(AND(Database!CI106&gt;1,Database!CI49&gt;1),100*(Database!CI106/(Database!CI49)),0.0001)</f>
        <v>1E-4</v>
      </c>
      <c r="AS154" s="99">
        <f>IF(AND(Database!CK106&gt;1,Database!CK49&gt;1),100*(Database!CK106/(Database!CK49)),0.0001)</f>
        <v>1E-4</v>
      </c>
      <c r="AT154" s="99">
        <f>IF(AND(Database!CM106&gt;1,Database!CM49&gt;1),100*(Database!CM106/(Database!CM49)),0.0001)</f>
        <v>1E-4</v>
      </c>
      <c r="AU154" s="99">
        <f>IF(AND(Database!CO106&gt;1,Database!CO49&gt;1),100*(Database!CO106/(Database!CO49)),0.0001)</f>
        <v>1E-4</v>
      </c>
      <c r="AV154" s="99">
        <f>IF(AND(Database!CQ106&gt;1,Database!CQ49&gt;1),100*(Database!CQ106/(Database!CQ49)),0.0001)</f>
        <v>1E-4</v>
      </c>
      <c r="AW154" s="99">
        <f>IF(AND(Database!CS106&gt;1,Database!CS49&gt;1),100*(Database!CS106/(Database!CS49)),0.0001)</f>
        <v>1E-4</v>
      </c>
      <c r="AX154" s="99">
        <f>IF(AND(Database!CU106&gt;1,Database!CU49&gt;1),100*(Database!CU106/(Database!CU49)),0.0001)</f>
        <v>1E-4</v>
      </c>
      <c r="AY154" s="99">
        <f>IF(AND(Database!CW106&gt;1,Database!CW49&gt;1),100*(Database!CW106/(Database!CW49)),0.0001)</f>
        <v>1E-4</v>
      </c>
      <c r="AZ154" s="99">
        <f>IF(AND(Database!CY106&gt;1,Database!CY49&gt;1),100*(Database!CY106/(Database!CY49)),0.0001)</f>
        <v>1E-4</v>
      </c>
      <c r="BA154" s="99">
        <f>IF(AND(Database!DA106&gt;1,Database!DA49&gt;1),100*(Database!DA106/(Database!DA49)),0.0001)</f>
        <v>1E-4</v>
      </c>
      <c r="BB154" s="99">
        <f>IF(AND(Database!DC106&gt;1,Database!DC49&gt;1),100*(Database!DC106/(Database!DC49)),0.0001)</f>
        <v>1E-4</v>
      </c>
      <c r="BC154" s="99">
        <f>IF(AND(Database!DE106&gt;1,Database!DE49&gt;1),100*(Database!DE106/(Database!DE49)),0.0001)</f>
        <v>1E-4</v>
      </c>
      <c r="BD154" s="99">
        <f>IF(AND(Database!DG106&gt;1,Database!DG49&gt;1),100*(Database!DG106/(Database!DG49)),0.0001)</f>
        <v>1E-4</v>
      </c>
      <c r="BE154" s="99">
        <f>IF(AND(Database!DI106&gt;1,Database!DI49&gt;1),100*(Database!DI106/(Database!DI49)),0.0001)</f>
        <v>1E-4</v>
      </c>
      <c r="BF154" s="99">
        <f>IF(AND(Database!DK106&gt;1,Database!DK49&gt;1),100*(Database!DK106/(Database!DK49)),0.0001)</f>
        <v>1E-4</v>
      </c>
      <c r="BG154" s="99">
        <f>IF(AND(Database!DM106&gt;1,Database!DM49&gt;1),100*(Database!DM106/(Database!DM49)),0.0001)</f>
        <v>1E-4</v>
      </c>
      <c r="BH154" s="99">
        <f>IF(AND(Database!DO106&gt;1,Database!DO49&gt;1),100*(Database!DO106/(Database!DO49)),0.0001)</f>
        <v>1E-4</v>
      </c>
      <c r="BI154" s="99">
        <f>IF(AND(Database!DQ106&gt;1,Database!DQ49&gt;1),100*(Database!DQ106/(Database!DQ49)),0.0001)</f>
        <v>1E-4</v>
      </c>
      <c r="BJ154" s="99">
        <f>IF(AND(Database!DS106&gt;1,Database!DS49&gt;1),100*(Database!DS106/(Database!DS49)),0.0001)</f>
        <v>1E-4</v>
      </c>
      <c r="BK154" s="99">
        <f>IF(AND(Database!DU106&gt;1,Database!DU49&gt;1),100*(Database!DU106/(Database!DU49)),0.0001)</f>
        <v>1E-4</v>
      </c>
      <c r="BL154" s="99">
        <f>IF(AND(Database!DW106&gt;1,Database!DW49&gt;1),100*(Database!DW106/(Database!DW49)),0.0001)</f>
        <v>1E-4</v>
      </c>
      <c r="BM154" s="99">
        <f>IF(AND(Database!DY106&gt;1,Database!DY49&gt;1),100*(Database!DY106/(Database!DY49)),0.0001)</f>
        <v>1E-4</v>
      </c>
      <c r="BN154" s="99">
        <f>IF(AND(Database!EA106&gt;1,Database!EA49&gt;1),100*(Database!EA106/(Database!EA49)),0.0001)</f>
        <v>1E-4</v>
      </c>
      <c r="BO154" s="99">
        <f>IF(AND(Database!EC106&gt;1,Database!EC49&gt;1),100*(Database!EC106/(Database!EC49)),0.0001)</f>
        <v>1E-4</v>
      </c>
      <c r="BP154" s="99">
        <f>IF(AND(Database!EE106&gt;1,Database!EE49&gt;1),100*(Database!EE106/(Database!EE49)),0.0001)</f>
        <v>1E-4</v>
      </c>
      <c r="BQ154" s="99">
        <f>IF(AND(Database!EG106&gt;1,Database!EG49&gt;1),100*(Database!EG106/(Database!EG49)),0.0001)</f>
        <v>1E-4</v>
      </c>
      <c r="BR154" s="99">
        <f>IF(AND(Database!EI106&gt;1,Database!EI49&gt;1),100*(Database!EI106/(Database!EI49)),0.0001)</f>
        <v>1E-4</v>
      </c>
      <c r="BS154" s="99">
        <f>IF(AND(Database!EK106&gt;1,Database!EK49&gt;1),100*(Database!EK106/(Database!EK49)),0.0001)</f>
        <v>1E-4</v>
      </c>
      <c r="BT154" s="99">
        <f>IF(AND(Database!EM106&gt;1,Database!EM49&gt;1),100*(Database!EM106/(Database!EM49)),0.0001)</f>
        <v>1E-4</v>
      </c>
      <c r="BU154" s="99">
        <f>IF(AND(Database!EO106&gt;1,Database!EO49&gt;1),100*(Database!EO106/(Database!EO49)),0.0001)</f>
        <v>1E-4</v>
      </c>
      <c r="BV154" s="99">
        <f>IF(AND(Database!EQ106&gt;1,Database!EQ49&gt;1),100*(Database!EQ106/(Database!EQ49)),0.0001)</f>
        <v>1E-4</v>
      </c>
      <c r="BW154" s="99">
        <f>IF(AND(Database!ES106&gt;1,Database!ES49&gt;1),100*(Database!ES106/(Database!ES49)),0.0001)</f>
        <v>1E-4</v>
      </c>
      <c r="BX154" s="99">
        <f>IF(AND(Database!EU106&gt;1,Database!EU49&gt;1),100*(Database!EU106/(Database!EU49)),0.0001)</f>
        <v>1E-4</v>
      </c>
      <c r="BY154" s="99">
        <f>IF(AND(Database!EW106&gt;1,Database!EW49&gt;1),100*(Database!EW106/(Database!EW49)),0.0001)</f>
        <v>1E-4</v>
      </c>
      <c r="BZ154" s="99">
        <f>IF(AND(Database!EY106&gt;1,Database!EY49&gt;1),100*(Database!EY106/(Database!EY49)),0.0001)</f>
        <v>1E-4</v>
      </c>
      <c r="CA154" s="99">
        <f>IF(AND(Database!FA106&gt;1,Database!FA49&gt;1),100*(Database!FA106/(Database!FA49)),0.0001)</f>
        <v>1E-4</v>
      </c>
      <c r="CB154" s="99">
        <f>IF(AND(Database!FC106&gt;1,Database!FC49&gt;1),100*(Database!FC106/(Database!FC49)),0.0001)</f>
        <v>1E-4</v>
      </c>
      <c r="CC154" s="99">
        <f>IF(AND(Database!FE106&gt;1,Database!FE49&gt;1),100*(Database!FE106/(Database!FE49)),0.0001)</f>
        <v>1E-4</v>
      </c>
      <c r="CD154" s="99">
        <f>IF(AND(Database!FG106&gt;1,Database!FG49&gt;1),100*(Database!FG106/(Database!FG49)),0.0001)</f>
        <v>1E-4</v>
      </c>
      <c r="CE154" s="99">
        <f>IF(AND(Database!FI106&gt;1,Database!FI49&gt;1),100*(Database!FI106/(Database!FI49)),0.0001)</f>
        <v>1E-4</v>
      </c>
      <c r="CF154" s="99">
        <f>IF(AND(Database!FK106&gt;1,Database!FK49&gt;1),100*(Database!FK106/(Database!FK49)),0.0001)</f>
        <v>1E-4</v>
      </c>
      <c r="CG154" s="99">
        <f>IF(AND(Database!FM106&gt;1,Database!FM49&gt;1),100*(Database!FM106/(Database!FM49)),0.0001)</f>
        <v>1E-4</v>
      </c>
      <c r="CH154" s="99">
        <f>IF(AND(Database!FO106&gt;1,Database!FO49&gt;1),100*(Database!FO106/(Database!FO49)),0.0001)</f>
        <v>1E-4</v>
      </c>
      <c r="CI154" s="99">
        <f>IF(AND(Database!FQ106&gt;1,Database!FQ49&gt;1),100*(Database!FQ106/(Database!FQ49)),0.0001)</f>
        <v>1E-4</v>
      </c>
      <c r="CJ154" s="99">
        <f>IF(AND(Database!FS106&gt;1,Database!FS49&gt;1),100*(Database!FS106/(Database!FS49)),0.0001)</f>
        <v>1E-4</v>
      </c>
      <c r="CK154" s="99">
        <f>IF(AND(Database!FU106&gt;1,Database!FU49&gt;1),100*(Database!FU106/(Database!FU49)),0.0001)</f>
        <v>1E-4</v>
      </c>
      <c r="CL154" s="99">
        <f>IF(AND(Database!FW106&gt;1,Database!FW49&gt;1),100*(Database!FW106/(Database!FW49)),0.0001)</f>
        <v>1E-4</v>
      </c>
      <c r="CM154" s="99">
        <f>IF(AND(Database!FY106&gt;1,Database!FY49&gt;1),100*(Database!FY106/(Database!FY49)),0.0001)</f>
        <v>1E-4</v>
      </c>
      <c r="CN154" s="99">
        <f>IF(AND(Database!GA106&gt;1,Database!GA49&gt;1),100*(Database!GA106/(Database!GA49)),0.0001)</f>
        <v>1E-4</v>
      </c>
      <c r="CO154" s="99">
        <f>IF(AND(Database!GC106&gt;1,Database!GC49&gt;1),100*(Database!GC106/(Database!GC49)),0.0001)</f>
        <v>1E-4</v>
      </c>
      <c r="CP154" s="99">
        <f>IF(AND(Database!GE106&gt;1,Database!GE49&gt;1),100*(Database!GE106/(Database!GE49)),0.0001)</f>
        <v>1E-4</v>
      </c>
      <c r="CQ154" s="99">
        <f>IF(AND(Database!GG106&gt;1,Database!GG49&gt;1),100*(Database!GG106/(Database!GG49)),0.0001)</f>
        <v>1E-4</v>
      </c>
      <c r="CR154" s="99">
        <f>IF(AND(Database!GI106&gt;1,Database!GI49&gt;1),100*(Database!GI106/(Database!GI49)),0.0001)</f>
        <v>1E-4</v>
      </c>
      <c r="CS154" s="99">
        <f>IF(AND(Database!GK106&gt;1,Database!GK49&gt;1),100*(Database!GK106/(Database!GK49)),0.0001)</f>
        <v>1E-4</v>
      </c>
      <c r="CT154" s="99">
        <f>IF(AND(Database!GM106&gt;1,Database!GM49&gt;1),100*(Database!GM106/(Database!GM49)),0.0001)</f>
        <v>1E-4</v>
      </c>
      <c r="CU154" s="99">
        <f>IF(AND(Database!GO106&gt;1,Database!GO49&gt;1),100*(Database!GO106/(Database!GO49)),0.0001)</f>
        <v>1E-4</v>
      </c>
      <c r="CV154" s="99">
        <f>IF(AND(Database!GQ106&gt;1,Database!GQ49&gt;1),100*(Database!GQ106/(Database!GQ49)),0.0001)</f>
        <v>1E-4</v>
      </c>
      <c r="CW154" s="99">
        <f>IF(AND(Database!GS106&gt;1,Database!GS49&gt;1),100*(Database!GS106/(Database!GS49)),0.0001)</f>
        <v>1E-4</v>
      </c>
      <c r="CX154" s="99">
        <f>IF(AND(Database!GU106&gt;1,Database!GU49&gt;1),100*(Database!GU106/(Database!GU49)),0.0001)</f>
        <v>1E-4</v>
      </c>
      <c r="CY154" s="99">
        <f>IF(AND(Database!GW106&gt;1,Database!GW49&gt;1),100*(Database!GW106/(Database!GW49)),0.0001)</f>
        <v>1E-4</v>
      </c>
      <c r="CZ154" s="99">
        <f>IF(AND(Database!GY106&gt;1,Database!GY49&gt;1),100*(Database!GY106/(Database!GY49)),0.0001)</f>
        <v>1E-4</v>
      </c>
      <c r="DA154" s="99">
        <f>IF(AND(Database!HA106&gt;1,Database!HA49&gt;1),100*(Database!HA106/(Database!HA49)),0.0001)</f>
        <v>1E-4</v>
      </c>
      <c r="DB154" s="99">
        <f>IF(AND(Database!HC106&gt;1,Database!HC49&gt;1),100*(Database!HC106/(Database!HC49)),0.0001)</f>
        <v>1E-4</v>
      </c>
      <c r="DC154" s="99">
        <f>IF(AND(Database!HE106&gt;1,Database!HE49&gt;1),100*(Database!HE106/(Database!HE49)),0.0001)</f>
        <v>1E-4</v>
      </c>
      <c r="DD154" s="99">
        <f>IF(AND(Database!HG106&gt;1,Database!HG49&gt;1),100*(Database!HG106/(Database!HG49)),0.0001)</f>
        <v>1E-4</v>
      </c>
      <c r="DE154" s="99">
        <f>IF(AND(Database!HI106&gt;1,Database!HI49&gt;1),100*(Database!HI106/(Database!HI49)),0.0001)</f>
        <v>1E-4</v>
      </c>
      <c r="DF154" s="99">
        <f>IF(AND(Database!HK106&gt;1,Database!HK49&gt;1),100*(Database!HK106/(Database!HK49)),0.0001)</f>
        <v>1E-4</v>
      </c>
      <c r="DG154" s="99">
        <f>IF(AND(Database!HM106&gt;1,Database!HM49&gt;1),100*(Database!HM106/(Database!HM49)),0.0001)</f>
        <v>1E-4</v>
      </c>
      <c r="DH154" s="99">
        <f>IF(AND(Database!HO106&gt;1,Database!HO49&gt;1),100*(Database!HO106/(Database!HO49)),0.0001)</f>
        <v>1E-4</v>
      </c>
      <c r="DI154" s="99">
        <f>IF(AND(Database!HQ106&gt;1,Database!HQ49&gt;1),100*(Database!HQ106/(Database!HQ49)),0.0001)</f>
        <v>1E-4</v>
      </c>
      <c r="DJ154" s="99">
        <f>IF(AND(Database!HS106&gt;1,Database!HS49&gt;1),100*(Database!HS106/(Database!HS49)),0.0001)</f>
        <v>1E-4</v>
      </c>
      <c r="DK154" s="99">
        <f>IF(AND(Database!HU106&gt;1,Database!HU49&gt;1),100*(Database!HU106/(Database!HU49)),0.0001)</f>
        <v>1E-4</v>
      </c>
      <c r="DL154" s="99">
        <f>IF(AND(Database!HW106&gt;1,Database!HW49&gt;1),100*(Database!HW106/(Database!HW49)),0.0001)</f>
        <v>1E-4</v>
      </c>
      <c r="DM154" s="99">
        <f>IF(AND(Database!HY106&gt;1,Database!HY49&gt;1),100*(Database!HY106/(Database!HY49)),0.0001)</f>
        <v>1E-4</v>
      </c>
      <c r="DN154" s="99">
        <f>IF(AND(Database!IA106&gt;1,Database!IA49&gt;1),100*(Database!IA106/(Database!IA49)),0.0001)</f>
        <v>1E-4</v>
      </c>
      <c r="DO154" s="99">
        <f>IF(AND(Database!IC106&gt;1,Database!IC49&gt;1),100*(Database!IC106/(Database!IC49)),0.0001)</f>
        <v>1E-4</v>
      </c>
      <c r="DP154" s="99">
        <f>IF(AND(Database!IE106&gt;1,Database!IE49&gt;1),100*(Database!IE106/(Database!IE49)),0.0001)</f>
        <v>1E-4</v>
      </c>
      <c r="DQ154" s="99">
        <f>IF(AND(Database!IG106&gt;1,Database!IG49&gt;1),100*(Database!IG106/(Database!IG49)),0.0001)</f>
        <v>1E-4</v>
      </c>
      <c r="DR154" s="99">
        <f>IF(AND(Database!II106&gt;1,Database!II49&gt;1),100*(Database!II106/(Database!II49)),0.0001)</f>
        <v>1E-4</v>
      </c>
      <c r="DS154" s="99">
        <f>IF(AND(Database!IK106&gt;1,Database!IK49&gt;1),100*(Database!IK106/(Database!IK49)),0.0001)</f>
        <v>1E-4</v>
      </c>
      <c r="DT154" s="99">
        <f>IF(AND(Database!IM106&gt;1,Database!IM49&gt;1),100*(Database!IM106/(Database!IM49)),0.0001)</f>
        <v>1E-4</v>
      </c>
      <c r="DU154" s="99">
        <f>IF(AND(Database!IO106&gt;1,Database!IO49&gt;1),100*(Database!IO106/(Database!IO49)),0.0001)</f>
        <v>1E-4</v>
      </c>
      <c r="DV154" s="99">
        <f>IF(AND(Database!IQ106&gt;1,Database!IQ49&gt;1),100*(Database!IQ106/(Database!IQ49)),0.0001)</f>
        <v>1E-4</v>
      </c>
      <c r="DW154" s="99">
        <f>IF(AND(Database!IS106&gt;1,Database!IS49&gt;1),100*(Database!IS106/(Database!IS49)),0.0001)</f>
        <v>1E-4</v>
      </c>
      <c r="DX154" s="99">
        <f>IF(AND(Database!IU106&gt;1,Database!IU49&gt;1),100*(Database!IU106/(Database!IU49)),0.0001)</f>
        <v>1E-4</v>
      </c>
      <c r="DY154" s="99">
        <f>IF(AND(Database!IW106&gt;1,Database!IW49&gt;1),100*(Database!IW106/(Database!IW49)),0.0001)</f>
        <v>1E-4</v>
      </c>
      <c r="DZ154" s="99">
        <f>IF(AND(Database!IY106&gt;1,Database!IY49&gt;1),100*(Database!IY106/(Database!IY49)),0.0001)</f>
        <v>1E-4</v>
      </c>
      <c r="EA154" s="99">
        <f>IF(AND(Database!JA106&gt;1,Database!JA49&gt;1),100*(Database!JA106/(Database!JA49)),0.0001)</f>
        <v>1E-4</v>
      </c>
      <c r="EB154" s="99">
        <f>IF(AND(Database!JC106&gt;1,Database!JC49&gt;1),100*(Database!JC106/(Database!JC49)),0.0001)</f>
        <v>1E-4</v>
      </c>
      <c r="EC154" s="99">
        <f>IF(AND(Database!JE106&gt;1,Database!JE49&gt;1),100*(Database!JE106/(Database!JE49)),0.0001)</f>
        <v>1E-4</v>
      </c>
      <c r="ED154" s="99">
        <f>IF(AND(Database!JG106&gt;1,Database!JG49&gt;1),100*(Database!JG106/(Database!JG49)),0.0001)</f>
        <v>1E-4</v>
      </c>
      <c r="EE154" s="99">
        <f>IF(AND(Database!JI106&gt;1,Database!JI49&gt;1),100*(Database!JI106/(Database!JI49)),0.0001)</f>
        <v>1E-4</v>
      </c>
      <c r="EF154" s="99">
        <f>IF(AND(Database!JK106&gt;1,Database!JK49&gt;1),100*(Database!JK106/(Database!JK49)),0.0001)</f>
        <v>1E-4</v>
      </c>
      <c r="EG154" s="99">
        <f>IF(AND(Database!JM106&gt;1,Database!JM49&gt;1),100*(Database!JM106/(Database!JM49)),0.0001)</f>
        <v>1E-4</v>
      </c>
      <c r="EH154" s="99">
        <f>IF(AND(Database!JO106&gt;1,Database!JO49&gt;1),100*(Database!JO106/(Database!JO49)),0.0001)</f>
        <v>1E-4</v>
      </c>
      <c r="EI154" s="99">
        <f>IF(AND(Database!JQ106&gt;1,Database!JQ49&gt;1),100*(Database!JQ106/(Database!JQ49)),0.0001)</f>
        <v>1E-4</v>
      </c>
      <c r="EJ154" s="99">
        <f>IF(AND(Database!JS106&gt;1,Database!JS49&gt;1),100*(Database!JS106/(Database!JS49)),0.0001)</f>
        <v>1E-4</v>
      </c>
      <c r="EK154" s="99">
        <f>IF(AND(Database!JU106&gt;1,Database!JU49&gt;1),100*(Database!JU106/(Database!JU49)),0.0001)</f>
        <v>1E-4</v>
      </c>
      <c r="EL154" s="99">
        <f>IF(AND(Database!JW106&gt;1,Database!JW49&gt;1),100*(Database!JW106/(Database!JW49)),0.0001)</f>
        <v>1E-4</v>
      </c>
      <c r="EM154" s="99">
        <f>IF(AND(Database!JY106&gt;1,Database!JY49&gt;1),100*(Database!JY106/(Database!JY49)),0.0001)</f>
        <v>1E-4</v>
      </c>
      <c r="EN154" s="99">
        <f>IF(AND(Database!KA106&gt;1,Database!KA49&gt;1),100*(Database!KA106/(Database!KA49)),0.0001)</f>
        <v>1E-4</v>
      </c>
      <c r="EO154" s="99">
        <f>IF(AND(Database!KC106&gt;1,Database!KC49&gt;1),100*(Database!KC106/(Database!KC49)),0.0001)</f>
        <v>1E-4</v>
      </c>
      <c r="EP154" s="99">
        <f>IF(AND(Database!KE106&gt;1,Database!KE49&gt;1),100*(Database!KE106/(Database!KE49)),0.0001)</f>
        <v>1E-4</v>
      </c>
      <c r="EQ154" s="99">
        <f>IF(AND(Database!KG106&gt;1,Database!KG49&gt;1),100*(Database!KG106/(Database!KG49)),0.0001)</f>
        <v>1E-4</v>
      </c>
      <c r="ER154" s="99">
        <f>IF(AND(Database!KI106&gt;1,Database!KI49&gt;1),100*(Database!KI106/(Database!KI49)),0.0001)</f>
        <v>1E-4</v>
      </c>
      <c r="ES154" s="99">
        <f>IF(AND(Database!KK106&gt;1,Database!KK49&gt;1),100*(Database!KK106/(Database!KK49)),0.0001)</f>
        <v>1E-4</v>
      </c>
      <c r="ET154" s="99">
        <f>IF(AND(Database!KM106&gt;1,Database!KM49&gt;1),100*(Database!KM106/(Database!KM49)),0.0001)</f>
        <v>1E-4</v>
      </c>
      <c r="EU154" s="99">
        <f>IF(AND(Database!KO106&gt;1,Database!KO49&gt;1),100*(Database!KO106/(Database!KO49)),0.0001)</f>
        <v>1E-4</v>
      </c>
      <c r="EV154" s="99">
        <f>IF(AND(Database!KQ106&gt;1,Database!KQ49&gt;1),100*(Database!KQ106/(Database!KQ49)),0.0001)</f>
        <v>1E-4</v>
      </c>
      <c r="EW154" s="99">
        <f>IF(AND(Database!KS106&gt;1,Database!KS49&gt;1),100*(Database!KS106/(Database!KS49)),0.0001)</f>
        <v>1E-4</v>
      </c>
      <c r="EX154" s="99">
        <f>IF(AND(Database!KU106&gt;1,Database!KU49&gt;1),100*(Database!KU106/(Database!KU49)),0.0001)</f>
        <v>1E-4</v>
      </c>
      <c r="EY154" s="99">
        <f>IF(AND(Database!KW106&gt;1,Database!KW49&gt;1),100*(Database!KW106/(Database!KW49)),0.0001)</f>
        <v>1E-4</v>
      </c>
      <c r="EZ154" s="99">
        <f>IF(AND(Database!KY106&gt;1,Database!KY49&gt;1),100*(Database!KY106/(Database!KY49)),0.0001)</f>
        <v>1E-4</v>
      </c>
      <c r="FA154" s="99">
        <f>IF(AND(Database!LA106&gt;1,Database!LA49&gt;1),100*(Database!LA106/(Database!LA49)),0.0001)</f>
        <v>1E-4</v>
      </c>
      <c r="FB154" s="99">
        <f>IF(AND(Database!LC106&gt;1,Database!LC49&gt;1),100*(Database!LC106/(Database!LC49)),0.0001)</f>
        <v>1E-4</v>
      </c>
      <c r="FC154" s="99">
        <f>IF(AND(Database!LE106&gt;1,Database!LE49&gt;1),100*(Database!LE106/(Database!LE49)),0.0001)</f>
        <v>1E-4</v>
      </c>
      <c r="FD154" s="99">
        <f>IF(AND(Database!LG106&gt;1,Database!LG49&gt;1),100*(Database!LG106/(Database!LG49)),0.0001)</f>
        <v>1E-4</v>
      </c>
      <c r="FE154" s="99">
        <f>IF(AND(Database!LI106&gt;1,Database!LI49&gt;1),100*(Database!LI106/(Database!LI49)),0.0001)</f>
        <v>1E-4</v>
      </c>
      <c r="FF154" s="99">
        <f>IF(AND(Database!LK106&gt;1,Database!LK49&gt;1),100*(Database!LK106/(Database!LK49)),0.0001)</f>
        <v>1E-4</v>
      </c>
      <c r="FG154" s="99">
        <f>IF(AND(Database!LM106&gt;1,Database!LM49&gt;1),100*(Database!LM106/(Database!LM49)),0.0001)</f>
        <v>1E-4</v>
      </c>
      <c r="FH154" s="99">
        <f>IF(AND(Database!LO106&gt;1,Database!LO49&gt;1),100*(Database!LO106/(Database!LO49)),0.0001)</f>
        <v>1E-4</v>
      </c>
      <c r="FI154" s="99">
        <f>IF(AND(Database!LQ106&gt;1,Database!LQ49&gt;1),100*(Database!LQ106/(Database!LQ49)),0.0001)</f>
        <v>1E-4</v>
      </c>
      <c r="FJ154" s="99">
        <f>IF(AND(Database!LS106&gt;1,Database!LS49&gt;1),100*(Database!LS106/(Database!LS49)),0.0001)</f>
        <v>1E-4</v>
      </c>
      <c r="FK154" s="99">
        <f>IF(AND(Database!LU106&gt;1,Database!LU49&gt;1),100*(Database!LU106/(Database!LU49)),0.0001)</f>
        <v>1E-4</v>
      </c>
      <c r="FL154" s="99">
        <f>IF(AND(Database!LW106&gt;1,Database!LW49&gt;1),100*(Database!LW106/(Database!LW49)),0.0001)</f>
        <v>1E-4</v>
      </c>
      <c r="FM154" s="99">
        <f>IF(AND(Database!LY106&gt;1,Database!LY49&gt;1),100*(Database!LY106/(Database!LY49)),0.0001)</f>
        <v>1E-4</v>
      </c>
      <c r="FN154" s="99">
        <f>IF(AND(Database!MA106&gt;1,Database!MA49&gt;1),100*(Database!MA106/(Database!MA49)),0.0001)</f>
        <v>1E-4</v>
      </c>
      <c r="FO154" s="99">
        <f>IF(AND(Database!MC106&gt;1,Database!MC49&gt;1),100*(Database!MC106/(Database!MC49)),0.0001)</f>
        <v>1E-4</v>
      </c>
      <c r="FP154" s="99">
        <f>IF(AND(Database!ME106&gt;1,Database!ME49&gt;1),100*(Database!ME106/(Database!ME49)),0.0001)</f>
        <v>1E-4</v>
      </c>
      <c r="FQ154" s="99">
        <f>IF(AND(Database!MG106&gt;1,Database!MG49&gt;1),100*(Database!MG106/(Database!MG49)),0.0001)</f>
        <v>1E-4</v>
      </c>
      <c r="FR154" s="99">
        <f>IF(AND(Database!MI106&gt;1,Database!MI49&gt;1),100*(Database!MI106/(Database!MI49)),0.0001)</f>
        <v>1E-4</v>
      </c>
      <c r="FS154" s="99">
        <f>IF(AND(Database!MK106&gt;1,Database!MK49&gt;1),100*(Database!MK106/(Database!MK49)),0.0001)</f>
        <v>1E-4</v>
      </c>
      <c r="FT154" s="99">
        <f>IF(AND(Database!MM106&gt;1,Database!MM49&gt;1),100*(Database!MM106/(Database!MM49)),0.0001)</f>
        <v>1E-4</v>
      </c>
      <c r="FU154" s="99">
        <f>IF(AND(Database!MO106&gt;1,Database!MO49&gt;1),100*(Database!MO106/(Database!MO49)),0.0001)</f>
        <v>1E-4</v>
      </c>
      <c r="FV154" s="99">
        <f>IF(AND(Database!MQ106&gt;1,Database!MQ49&gt;1),100*(Database!MQ106/(Database!MQ49)),0.0001)</f>
        <v>1E-4</v>
      </c>
      <c r="FW154" s="99">
        <f>IF(AND(Database!MS106&gt;1,Database!MS49&gt;1),100*(Database!MS106/(Database!MS49)),0.0001)</f>
        <v>1E-4</v>
      </c>
      <c r="FX154" s="99">
        <f>IF(AND(Database!MU106&gt;1,Database!MU49&gt;1),100*(Database!MU106/(Database!MU49)),0.0001)</f>
        <v>1E-4</v>
      </c>
      <c r="FY154" s="99">
        <f>IF(AND(Database!MW106&gt;1,Database!MW49&gt;1),100*(Database!MW106/(Database!MW49)),0.0001)</f>
        <v>1E-4</v>
      </c>
      <c r="FZ154" s="99">
        <f>IF(AND(Database!MY106&gt;1,Database!MY49&gt;1),100*(Database!MY106/(Database!MY49)),0.0001)</f>
        <v>1E-4</v>
      </c>
      <c r="GA154" s="99">
        <f>IF(AND(Database!NA106&gt;1,Database!NA49&gt;1),100*(Database!NA106/(Database!NA49)),0.0001)</f>
        <v>1E-4</v>
      </c>
      <c r="GB154" s="99">
        <f>IF(AND(Database!NC106&gt;1,Database!NC49&gt;1),100*(Database!NC106/(Database!NC49)),0.0001)</f>
        <v>1E-4</v>
      </c>
      <c r="GC154" s="99">
        <f>IF(AND(Database!NE106&gt;1,Database!NE49&gt;1),100*(Database!NE106/(Database!NE49)),0.0001)</f>
        <v>1E-4</v>
      </c>
      <c r="GD154" s="99">
        <f>IF(AND(Database!NG106&gt;1,Database!NG49&gt;1),100*(Database!NG106/(Database!NG49)),0.0001)</f>
        <v>1E-4</v>
      </c>
      <c r="GE154" s="99">
        <f>IF(AND(Database!NI106&gt;1,Database!NI49&gt;1),100*(Database!NI106/(Database!NI49)),0.0001)</f>
        <v>1E-4</v>
      </c>
      <c r="GF154" s="99">
        <f>IF(AND(Database!NK106&gt;1,Database!NK49&gt;1),100*(Database!NK106/(Database!NK49)),0.0001)</f>
        <v>1E-4</v>
      </c>
      <c r="GG154" s="99">
        <f>IF(AND(Database!NM106&gt;1,Database!NM49&gt;1),100*(Database!NM106/(Database!NM49)),0.0001)</f>
        <v>1E-4</v>
      </c>
      <c r="GH154" s="99">
        <f>IF(AND(Database!NO106&gt;1,Database!NO49&gt;1),100*(Database!NO106/(Database!NO49)),0.0001)</f>
        <v>1E-4</v>
      </c>
      <c r="GI154" s="99">
        <f>IF(AND(Database!NQ106&gt;1,Database!NQ49&gt;1),100*(Database!NQ106/(Database!NQ49)),0.0001)</f>
        <v>1E-4</v>
      </c>
      <c r="GJ154" s="99">
        <f>IF(AND(Database!NS106&gt;1,Database!NS49&gt;1),100*(Database!NS106/(Database!NS49)),0.0001)</f>
        <v>1E-4</v>
      </c>
      <c r="GK154" s="99">
        <f>IF(AND(Database!NU106&gt;1,Database!NU49&gt;1),100*(Database!NU106/(Database!NU49)),0.0001)</f>
        <v>1E-4</v>
      </c>
      <c r="GL154" s="99">
        <f>IF(AND(Database!NW106&gt;1,Database!NW49&gt;1),100*(Database!NW106/(Database!NW49)),0.0001)</f>
        <v>1E-4</v>
      </c>
      <c r="GM154" s="99">
        <f>IF(AND(Database!NY106&gt;1,Database!NY49&gt;1),100*(Database!NY106/(Database!NY49)),0.0001)</f>
        <v>1E-4</v>
      </c>
      <c r="GN154" s="99">
        <f>IF(AND(Database!OA106&gt;1,Database!OA49&gt;1),100*(Database!OA106/(Database!OA49)),0.0001)</f>
        <v>1E-4</v>
      </c>
      <c r="GO154" s="99">
        <f>IF(AND(Database!OC106&gt;1,Database!OC49&gt;1),100*(Database!OC106/(Database!OC49)),0.0001)</f>
        <v>1E-4</v>
      </c>
      <c r="GP154" s="99">
        <f>IF(AND(Database!OE106&gt;1,Database!OE49&gt;1),100*(Database!OE106/(Database!OE49)),0.0001)</f>
        <v>1E-4</v>
      </c>
      <c r="GQ154" s="99">
        <f>IF(AND(Database!OG106&gt;1,Database!OG49&gt;1),100*(Database!OG106/(Database!OG49)),0.0001)</f>
        <v>1E-4</v>
      </c>
      <c r="GR154" s="99">
        <f>IF(AND(Database!OI106&gt;1,Database!OI49&gt;1),100*(Database!OI106/(Database!OI49)),0.0001)</f>
        <v>1E-4</v>
      </c>
      <c r="GS154" s="99">
        <f>IF(AND(Database!OK106&gt;1,Database!OK49&gt;1),100*(Database!OK106/(Database!OK49)),0.0001)</f>
        <v>1E-4</v>
      </c>
      <c r="GT154" s="30">
        <f>IF(AND(Database!OM106&gt;1,Database!OM49&gt;1),100*(Database!OM106/(Database!OM49)),0.0001)</f>
        <v>1E-4</v>
      </c>
      <c r="GU154" s="99"/>
      <c r="GV154" s="99"/>
      <c r="GW154" s="99"/>
    </row>
    <row r="155" spans="1:205" ht="18.75" customHeight="1" x14ac:dyDescent="0.4">
      <c r="A155" s="707" t="s">
        <v>165</v>
      </c>
      <c r="B155" s="96"/>
      <c r="C155" s="260">
        <f>IF(AND(Database!E108&gt;1,Database!E109&gt;1),100*(Database!E108/(Database!E109)),0.0001)</f>
        <v>77.747537509192725</v>
      </c>
      <c r="D155" s="99">
        <f>IF(AND(Database!G108&gt;1,Database!G109&gt;1),100*(Database!G108/(Database!G109)),0.0001)</f>
        <v>79.802010759326208</v>
      </c>
      <c r="E155" s="99">
        <f>IF(AND(Database!I108&gt;1,Database!I109&gt;1),100*(Database!I108/(Database!I109)),0.0001)</f>
        <v>81.229583440154158</v>
      </c>
      <c r="F155" s="99">
        <f>IF(AND(Database!K108&gt;1,Database!K109&gt;1),100*(Database!K108/(Database!K109)),0.0001)</f>
        <v>80.289269612263297</v>
      </c>
      <c r="G155" s="99">
        <f>IF(AND(Database!M108&gt;1,Database!M109&gt;1),100*(Database!M108/(Database!M109)),0.0001)</f>
        <v>1E-4</v>
      </c>
      <c r="H155" s="99">
        <f>IF(AND(Database!O108&gt;1,Database!O109&gt;1),100*(Database!O108/(Database!O109)),0.0001)</f>
        <v>1E-4</v>
      </c>
      <c r="I155" s="99">
        <f>IF(AND(Database!Q108&gt;1,Database!Q109&gt;1),100*(Database!Q108/(Database!Q109)),0.0001)</f>
        <v>1E-4</v>
      </c>
      <c r="J155" s="99">
        <f>IF(AND(Database!S108&gt;1,Database!S109&gt;1),100*(Database!S108/(Database!S109)),0.0001)</f>
        <v>1E-4</v>
      </c>
      <c r="K155" s="99">
        <f>IF(AND(Database!U108&gt;1,Database!U109&gt;1),100*(Database!U108/(Database!U109)),0.0001)</f>
        <v>1E-4</v>
      </c>
      <c r="L155" s="99">
        <f>IF(AND(Database!W108&gt;1,Database!W109&gt;1),100*(Database!W108/(Database!W109)),0.0001)</f>
        <v>1E-4</v>
      </c>
      <c r="M155" s="99">
        <f>IF(AND(Database!Y108&gt;1,Database!Y109&gt;1),100*(Database!Y108/(Database!Y109)),0.0001)</f>
        <v>1E-4</v>
      </c>
      <c r="N155" s="99">
        <f>IF(AND(Database!AA108&gt;1,Database!AA109&gt;1),100*(Database!AA108/(Database!AA109)),0.0001)</f>
        <v>1E-4</v>
      </c>
      <c r="O155" s="99">
        <f>IF(AND(Database!AC108&gt;1,Database!AC109&gt;1),100*(Database!AC108/(Database!AC109)),0.0001)</f>
        <v>1E-4</v>
      </c>
      <c r="P155" s="99">
        <f>IF(AND(Database!AE108&gt;1,Database!AE109&gt;1),100*(Database!AE108/(Database!AE109)),0.0001)</f>
        <v>1E-4</v>
      </c>
      <c r="Q155" s="99">
        <f>IF(AND(Database!AG108&gt;1,Database!AG109&gt;1),100*(Database!AG108/(Database!AG109)),0.0001)</f>
        <v>1E-4</v>
      </c>
      <c r="R155" s="99">
        <f>IF(AND(Database!AI108&gt;1,Database!AI109&gt;1),100*(Database!AI108/(Database!AI109)),0.0001)</f>
        <v>1E-4</v>
      </c>
      <c r="S155" s="99">
        <f>IF(AND(Database!AK108&gt;1,Database!AK109&gt;1),100*(Database!AK108/(Database!AK109)),0.0001)</f>
        <v>1E-4</v>
      </c>
      <c r="T155" s="99">
        <f>IF(AND(Database!AM108&gt;1,Database!AM109&gt;1),100*(Database!AM108/(Database!AM109)),0.0001)</f>
        <v>1E-4</v>
      </c>
      <c r="U155" s="99">
        <f>IF(AND(Database!AO108&gt;1,Database!AO109&gt;1),100*(Database!AO108/(Database!AO109)),0.0001)</f>
        <v>1E-4</v>
      </c>
      <c r="V155" s="99">
        <f>IF(AND(Database!AQ108&gt;1,Database!AQ109&gt;1),100*(Database!AQ108/(Database!AQ109)),0.0001)</f>
        <v>1E-4</v>
      </c>
      <c r="W155" s="99">
        <f>IF(AND(Database!AS108&gt;1,Database!AS109&gt;1),100*(Database!AS108/(Database!AS109)),0.0001)</f>
        <v>1E-4</v>
      </c>
      <c r="X155" s="99">
        <f>IF(AND(Database!AU108&gt;1,Database!AU109&gt;1),100*(Database!AU108/(Database!AU109)),0.0001)</f>
        <v>1E-4</v>
      </c>
      <c r="Y155" s="99">
        <f>IF(AND(Database!AW108&gt;1,Database!AW109&gt;1),100*(Database!AW108/(Database!AW109)),0.0001)</f>
        <v>1E-4</v>
      </c>
      <c r="Z155" s="99">
        <f>IF(AND(Database!AY108&gt;1,Database!AY109&gt;1),100*(Database!AY108/(Database!AY109)),0.0001)</f>
        <v>1E-4</v>
      </c>
      <c r="AA155" s="99">
        <f>IF(AND(Database!BA108&gt;1,Database!BA109&gt;1),100*(Database!BA108/(Database!BA109)),0.0001)</f>
        <v>1E-4</v>
      </c>
      <c r="AB155" s="99">
        <f>IF(AND(Database!BC108&gt;1,Database!BC109&gt;1),100*(Database!BC108/(Database!BC109)),0.0001)</f>
        <v>1E-4</v>
      </c>
      <c r="AC155" s="99">
        <f>IF(AND(Database!BE108&gt;1,Database!BE109&gt;1),100*(Database!BE108/(Database!BE109)),0.0001)</f>
        <v>1E-4</v>
      </c>
      <c r="AD155" s="99">
        <f>IF(AND(Database!BG108&gt;1,Database!BG109&gt;1),100*(Database!BG108/(Database!BG109)),0.0001)</f>
        <v>1E-4</v>
      </c>
      <c r="AE155" s="99">
        <f>IF(AND(Database!BI108&gt;1,Database!BI109&gt;1),100*(Database!BI108/(Database!BI109)),0.0001)</f>
        <v>1E-4</v>
      </c>
      <c r="AF155" s="99">
        <f>IF(AND(Database!BK108&gt;1,Database!BK109&gt;1),100*(Database!BK108/(Database!BK109)),0.0001)</f>
        <v>1E-4</v>
      </c>
      <c r="AG155" s="99">
        <f>IF(AND(Database!BM108&gt;1,Database!BM109&gt;1),100*(Database!BM108/(Database!BM109)),0.0001)</f>
        <v>1E-4</v>
      </c>
      <c r="AH155" s="99">
        <f>IF(AND(Database!BO108&gt;1,Database!BO109&gt;1),100*(Database!BO108/(Database!BO109)),0.0001)</f>
        <v>1E-4</v>
      </c>
      <c r="AI155" s="99">
        <f>IF(AND(Database!BQ108&gt;1,Database!BQ109&gt;1),100*(Database!BQ108/(Database!BQ109)),0.0001)</f>
        <v>1E-4</v>
      </c>
      <c r="AJ155" s="99">
        <f>IF(AND(Database!BS108&gt;1,Database!BS109&gt;1),100*(Database!BS108/(Database!BS109)),0.0001)</f>
        <v>1E-4</v>
      </c>
      <c r="AK155" s="99">
        <f>IF(AND(Database!BU108&gt;1,Database!BU109&gt;1),100*(Database!BU108/(Database!BU109)),0.0001)</f>
        <v>1E-4</v>
      </c>
      <c r="AL155" s="99">
        <f>IF(AND(Database!BW108&gt;1,Database!BW109&gt;1),100*(Database!BW108/(Database!BW109)),0.0001)</f>
        <v>1E-4</v>
      </c>
      <c r="AM155" s="99">
        <f>IF(AND(Database!BY108&gt;1,Database!BY109&gt;1),100*(Database!BY108/(Database!BY109)),0.0001)</f>
        <v>1E-4</v>
      </c>
      <c r="AN155" s="99">
        <f>IF(AND(Database!CA108&gt;1,Database!CA109&gt;1),100*(Database!CA108/(Database!CA109)),0.0001)</f>
        <v>1E-4</v>
      </c>
      <c r="AO155" s="99">
        <f>IF(AND(Database!CC108&gt;1,Database!CC109&gt;1),100*(Database!CC108/(Database!CC109)),0.0001)</f>
        <v>1E-4</v>
      </c>
      <c r="AP155" s="99">
        <f>IF(AND(Database!CE108&gt;1,Database!CE109&gt;1),100*(Database!CE108/(Database!CE109)),0.0001)</f>
        <v>1E-4</v>
      </c>
      <c r="AQ155" s="99">
        <f>IF(AND(Database!CG108&gt;1,Database!CG109&gt;1),100*(Database!CG108/(Database!CG109)),0.0001)</f>
        <v>1E-4</v>
      </c>
      <c r="AR155" s="99">
        <f>IF(AND(Database!CI108&gt;1,Database!CI109&gt;1),100*(Database!CI108/(Database!CI109)),0.0001)</f>
        <v>1E-4</v>
      </c>
      <c r="AS155" s="99">
        <f>IF(AND(Database!CK108&gt;1,Database!CK109&gt;1),100*(Database!CK108/(Database!CK109)),0.0001)</f>
        <v>1E-4</v>
      </c>
      <c r="AT155" s="99">
        <f>IF(AND(Database!CM108&gt;1,Database!CM109&gt;1),100*(Database!CM108/(Database!CM109)),0.0001)</f>
        <v>1E-4</v>
      </c>
      <c r="AU155" s="99">
        <f>IF(AND(Database!CO108&gt;1,Database!CO109&gt;1),100*(Database!CO108/(Database!CO109)),0.0001)</f>
        <v>1E-4</v>
      </c>
      <c r="AV155" s="99">
        <f>IF(AND(Database!CQ108&gt;1,Database!CQ109&gt;1),100*(Database!CQ108/(Database!CQ109)),0.0001)</f>
        <v>1E-4</v>
      </c>
      <c r="AW155" s="99">
        <f>IF(AND(Database!CS108&gt;1,Database!CS109&gt;1),100*(Database!CS108/(Database!CS109)),0.0001)</f>
        <v>1E-4</v>
      </c>
      <c r="AX155" s="99">
        <f>IF(AND(Database!CU108&gt;1,Database!CU109&gt;1),100*(Database!CU108/(Database!CU109)),0.0001)</f>
        <v>1E-4</v>
      </c>
      <c r="AY155" s="99">
        <f>IF(AND(Database!CW108&gt;1,Database!CW109&gt;1),100*(Database!CW108/(Database!CW109)),0.0001)</f>
        <v>1E-4</v>
      </c>
      <c r="AZ155" s="99">
        <f>IF(AND(Database!CY108&gt;1,Database!CY109&gt;1),100*(Database!CY108/(Database!CY109)),0.0001)</f>
        <v>1E-4</v>
      </c>
      <c r="BA155" s="99">
        <f>IF(AND(Database!DA108&gt;1,Database!DA109&gt;1),100*(Database!DA108/(Database!DA109)),0.0001)</f>
        <v>1E-4</v>
      </c>
      <c r="BB155" s="99">
        <f>IF(AND(Database!DC108&gt;1,Database!DC109&gt;1),100*(Database!DC108/(Database!DC109)),0.0001)</f>
        <v>1E-4</v>
      </c>
      <c r="BC155" s="99">
        <f>IF(AND(Database!DE108&gt;1,Database!DE109&gt;1),100*(Database!DE108/(Database!DE109)),0.0001)</f>
        <v>1E-4</v>
      </c>
      <c r="BD155" s="99">
        <f>IF(AND(Database!DG108&gt;1,Database!DG109&gt;1),100*(Database!DG108/(Database!DG109)),0.0001)</f>
        <v>1E-4</v>
      </c>
      <c r="BE155" s="99">
        <f>IF(AND(Database!DI108&gt;1,Database!DI109&gt;1),100*(Database!DI108/(Database!DI109)),0.0001)</f>
        <v>1E-4</v>
      </c>
      <c r="BF155" s="99">
        <f>IF(AND(Database!DK108&gt;1,Database!DK109&gt;1),100*(Database!DK108/(Database!DK109)),0.0001)</f>
        <v>1E-4</v>
      </c>
      <c r="BG155" s="99">
        <f>IF(AND(Database!DM108&gt;1,Database!DM109&gt;1),100*(Database!DM108/(Database!DM109)),0.0001)</f>
        <v>1E-4</v>
      </c>
      <c r="BH155" s="99">
        <f>IF(AND(Database!DO108&gt;1,Database!DO109&gt;1),100*(Database!DO108/(Database!DO109)),0.0001)</f>
        <v>1E-4</v>
      </c>
      <c r="BI155" s="99">
        <f>IF(AND(Database!DQ108&gt;1,Database!DQ109&gt;1),100*(Database!DQ108/(Database!DQ109)),0.0001)</f>
        <v>1E-4</v>
      </c>
      <c r="BJ155" s="99">
        <f>IF(AND(Database!DS108&gt;1,Database!DS109&gt;1),100*(Database!DS108/(Database!DS109)),0.0001)</f>
        <v>1E-4</v>
      </c>
      <c r="BK155" s="99">
        <f>IF(AND(Database!DU108&gt;1,Database!DU109&gt;1),100*(Database!DU108/(Database!DU109)),0.0001)</f>
        <v>1E-4</v>
      </c>
      <c r="BL155" s="99">
        <f>IF(AND(Database!DW108&gt;1,Database!DW109&gt;1),100*(Database!DW108/(Database!DW109)),0.0001)</f>
        <v>1E-4</v>
      </c>
      <c r="BM155" s="99">
        <f>IF(AND(Database!DY108&gt;1,Database!DY109&gt;1),100*(Database!DY108/(Database!DY109)),0.0001)</f>
        <v>1E-4</v>
      </c>
      <c r="BN155" s="99">
        <f>IF(AND(Database!EA108&gt;1,Database!EA109&gt;1),100*(Database!EA108/(Database!EA109)),0.0001)</f>
        <v>1E-4</v>
      </c>
      <c r="BO155" s="99">
        <f>IF(AND(Database!EC108&gt;1,Database!EC109&gt;1),100*(Database!EC108/(Database!EC109)),0.0001)</f>
        <v>1E-4</v>
      </c>
      <c r="BP155" s="99">
        <f>IF(AND(Database!EE108&gt;1,Database!EE109&gt;1),100*(Database!EE108/(Database!EE109)),0.0001)</f>
        <v>1E-4</v>
      </c>
      <c r="BQ155" s="99">
        <f>IF(AND(Database!EG108&gt;1,Database!EG109&gt;1),100*(Database!EG108/(Database!EG109)),0.0001)</f>
        <v>1E-4</v>
      </c>
      <c r="BR155" s="99">
        <f>IF(AND(Database!EI108&gt;1,Database!EI109&gt;1),100*(Database!EI108/(Database!EI109)),0.0001)</f>
        <v>1E-4</v>
      </c>
      <c r="BS155" s="99">
        <f>IF(AND(Database!EK108&gt;1,Database!EK109&gt;1),100*(Database!EK108/(Database!EK109)),0.0001)</f>
        <v>1E-4</v>
      </c>
      <c r="BT155" s="99">
        <f>IF(AND(Database!EM108&gt;1,Database!EM109&gt;1),100*(Database!EM108/(Database!EM109)),0.0001)</f>
        <v>1E-4</v>
      </c>
      <c r="BU155" s="99">
        <f>IF(AND(Database!EO108&gt;1,Database!EO109&gt;1),100*(Database!EO108/(Database!EO109)),0.0001)</f>
        <v>1E-4</v>
      </c>
      <c r="BV155" s="99">
        <f>IF(AND(Database!EQ108&gt;1,Database!EQ109&gt;1),100*(Database!EQ108/(Database!EQ109)),0.0001)</f>
        <v>1E-4</v>
      </c>
      <c r="BW155" s="99">
        <f>IF(AND(Database!ES108&gt;1,Database!ES109&gt;1),100*(Database!ES108/(Database!ES109)),0.0001)</f>
        <v>1E-4</v>
      </c>
      <c r="BX155" s="99">
        <f>IF(AND(Database!EU108&gt;1,Database!EU109&gt;1),100*(Database!EU108/(Database!EU109)),0.0001)</f>
        <v>1E-4</v>
      </c>
      <c r="BY155" s="99">
        <f>IF(AND(Database!EW108&gt;1,Database!EW109&gt;1),100*(Database!EW108/(Database!EW109)),0.0001)</f>
        <v>1E-4</v>
      </c>
      <c r="BZ155" s="99">
        <f>IF(AND(Database!EY108&gt;1,Database!EY109&gt;1),100*(Database!EY108/(Database!EY109)),0.0001)</f>
        <v>1E-4</v>
      </c>
      <c r="CA155" s="99">
        <f>IF(AND(Database!FA108&gt;1,Database!FA109&gt;1),100*(Database!FA108/(Database!FA109)),0.0001)</f>
        <v>1E-4</v>
      </c>
      <c r="CB155" s="99">
        <f>IF(AND(Database!FC108&gt;1,Database!FC109&gt;1),100*(Database!FC108/(Database!FC109)),0.0001)</f>
        <v>1E-4</v>
      </c>
      <c r="CC155" s="99">
        <f>IF(AND(Database!FE108&gt;1,Database!FE109&gt;1),100*(Database!FE108/(Database!FE109)),0.0001)</f>
        <v>1E-4</v>
      </c>
      <c r="CD155" s="99">
        <f>IF(AND(Database!FG108&gt;1,Database!FG109&gt;1),100*(Database!FG108/(Database!FG109)),0.0001)</f>
        <v>1E-4</v>
      </c>
      <c r="CE155" s="99">
        <f>IF(AND(Database!FI108&gt;1,Database!FI109&gt;1),100*(Database!FI108/(Database!FI109)),0.0001)</f>
        <v>1E-4</v>
      </c>
      <c r="CF155" s="99">
        <f>IF(AND(Database!FK108&gt;1,Database!FK109&gt;1),100*(Database!FK108/(Database!FK109)),0.0001)</f>
        <v>1E-4</v>
      </c>
      <c r="CG155" s="99">
        <f>IF(AND(Database!FM108&gt;1,Database!FM109&gt;1),100*(Database!FM108/(Database!FM109)),0.0001)</f>
        <v>1E-4</v>
      </c>
      <c r="CH155" s="99">
        <f>IF(AND(Database!FO108&gt;1,Database!FO109&gt;1),100*(Database!FO108/(Database!FO109)),0.0001)</f>
        <v>1E-4</v>
      </c>
      <c r="CI155" s="99">
        <f>IF(AND(Database!FQ108&gt;1,Database!FQ109&gt;1),100*(Database!FQ108/(Database!FQ109)),0.0001)</f>
        <v>1E-4</v>
      </c>
      <c r="CJ155" s="99">
        <f>IF(AND(Database!FS108&gt;1,Database!FS109&gt;1),100*(Database!FS108/(Database!FS109)),0.0001)</f>
        <v>1E-4</v>
      </c>
      <c r="CK155" s="99">
        <f>IF(AND(Database!FU108&gt;1,Database!FU109&gt;1),100*(Database!FU108/(Database!FU109)),0.0001)</f>
        <v>1E-4</v>
      </c>
      <c r="CL155" s="99">
        <f>IF(AND(Database!FW108&gt;1,Database!FW109&gt;1),100*(Database!FW108/(Database!FW109)),0.0001)</f>
        <v>1E-4</v>
      </c>
      <c r="CM155" s="99">
        <f>IF(AND(Database!FY108&gt;1,Database!FY109&gt;1),100*(Database!FY108/(Database!FY109)),0.0001)</f>
        <v>1E-4</v>
      </c>
      <c r="CN155" s="99">
        <f>IF(AND(Database!GA108&gt;1,Database!GA109&gt;1),100*(Database!GA108/(Database!GA109)),0.0001)</f>
        <v>1E-4</v>
      </c>
      <c r="CO155" s="99">
        <f>IF(AND(Database!GC108&gt;1,Database!GC109&gt;1),100*(Database!GC108/(Database!GC109)),0.0001)</f>
        <v>1E-4</v>
      </c>
      <c r="CP155" s="99">
        <f>IF(AND(Database!GE108&gt;1,Database!GE109&gt;1),100*(Database!GE108/(Database!GE109)),0.0001)</f>
        <v>1E-4</v>
      </c>
      <c r="CQ155" s="99">
        <f>IF(AND(Database!GG108&gt;1,Database!GG109&gt;1),100*(Database!GG108/(Database!GG109)),0.0001)</f>
        <v>1E-4</v>
      </c>
      <c r="CR155" s="99">
        <f>IF(AND(Database!GI108&gt;1,Database!GI109&gt;1),100*(Database!GI108/(Database!GI109)),0.0001)</f>
        <v>1E-4</v>
      </c>
      <c r="CS155" s="99">
        <f>IF(AND(Database!GK108&gt;1,Database!GK109&gt;1),100*(Database!GK108/(Database!GK109)),0.0001)</f>
        <v>1E-4</v>
      </c>
      <c r="CT155" s="99">
        <f>IF(AND(Database!GM108&gt;1,Database!GM109&gt;1),100*(Database!GM108/(Database!GM109)),0.0001)</f>
        <v>1E-4</v>
      </c>
      <c r="CU155" s="99">
        <f>IF(AND(Database!GO108&gt;1,Database!GO109&gt;1),100*(Database!GO108/(Database!GO109)),0.0001)</f>
        <v>1E-4</v>
      </c>
      <c r="CV155" s="99">
        <f>IF(AND(Database!GQ108&gt;1,Database!GQ109&gt;1),100*(Database!GQ108/(Database!GQ109)),0.0001)</f>
        <v>1E-4</v>
      </c>
      <c r="CW155" s="99">
        <f>IF(AND(Database!GS108&gt;1,Database!GS109&gt;1),100*(Database!GS108/(Database!GS109)),0.0001)</f>
        <v>1E-4</v>
      </c>
      <c r="CX155" s="99">
        <f>IF(AND(Database!GU108&gt;1,Database!GU109&gt;1),100*(Database!GU108/(Database!GU109)),0.0001)</f>
        <v>1E-4</v>
      </c>
      <c r="CY155" s="99">
        <f>IF(AND(Database!GW108&gt;1,Database!GW109&gt;1),100*(Database!GW108/(Database!GW109)),0.0001)</f>
        <v>1E-4</v>
      </c>
      <c r="CZ155" s="99">
        <f>IF(AND(Database!GY108&gt;1,Database!GY109&gt;1),100*(Database!GY108/(Database!GY109)),0.0001)</f>
        <v>1E-4</v>
      </c>
      <c r="DA155" s="99">
        <f>IF(AND(Database!HA108&gt;1,Database!HA109&gt;1),100*(Database!HA108/(Database!HA109)),0.0001)</f>
        <v>1E-4</v>
      </c>
      <c r="DB155" s="99">
        <f>IF(AND(Database!HC108&gt;1,Database!HC109&gt;1),100*(Database!HC108/(Database!HC109)),0.0001)</f>
        <v>1E-4</v>
      </c>
      <c r="DC155" s="99">
        <f>IF(AND(Database!HE108&gt;1,Database!HE109&gt;1),100*(Database!HE108/(Database!HE109)),0.0001)</f>
        <v>1E-4</v>
      </c>
      <c r="DD155" s="99">
        <f>IF(AND(Database!HG108&gt;1,Database!HG109&gt;1),100*(Database!HG108/(Database!HG109)),0.0001)</f>
        <v>1E-4</v>
      </c>
      <c r="DE155" s="99">
        <f>IF(AND(Database!HI108&gt;1,Database!HI109&gt;1),100*(Database!HI108/(Database!HI109)),0.0001)</f>
        <v>1E-4</v>
      </c>
      <c r="DF155" s="99">
        <f>IF(AND(Database!HK108&gt;1,Database!HK109&gt;1),100*(Database!HK108/(Database!HK109)),0.0001)</f>
        <v>1E-4</v>
      </c>
      <c r="DG155" s="99">
        <f>IF(AND(Database!HM108&gt;1,Database!HM109&gt;1),100*(Database!HM108/(Database!HM109)),0.0001)</f>
        <v>1E-4</v>
      </c>
      <c r="DH155" s="99">
        <f>IF(AND(Database!HO108&gt;1,Database!HO109&gt;1),100*(Database!HO108/(Database!HO109)),0.0001)</f>
        <v>1E-4</v>
      </c>
      <c r="DI155" s="99">
        <f>IF(AND(Database!HQ108&gt;1,Database!HQ109&gt;1),100*(Database!HQ108/(Database!HQ109)),0.0001)</f>
        <v>1E-4</v>
      </c>
      <c r="DJ155" s="99">
        <f>IF(AND(Database!HS108&gt;1,Database!HS109&gt;1),100*(Database!HS108/(Database!HS109)),0.0001)</f>
        <v>1E-4</v>
      </c>
      <c r="DK155" s="99">
        <f>IF(AND(Database!HU108&gt;1,Database!HU109&gt;1),100*(Database!HU108/(Database!HU109)),0.0001)</f>
        <v>1E-4</v>
      </c>
      <c r="DL155" s="99">
        <f>IF(AND(Database!HW108&gt;1,Database!HW109&gt;1),100*(Database!HW108/(Database!HW109)),0.0001)</f>
        <v>1E-4</v>
      </c>
      <c r="DM155" s="99">
        <f>IF(AND(Database!HY108&gt;1,Database!HY109&gt;1),100*(Database!HY108/(Database!HY109)),0.0001)</f>
        <v>1E-4</v>
      </c>
      <c r="DN155" s="99">
        <f>IF(AND(Database!IA108&gt;1,Database!IA109&gt;1),100*(Database!IA108/(Database!IA109)),0.0001)</f>
        <v>1E-4</v>
      </c>
      <c r="DO155" s="99">
        <f>IF(AND(Database!IC108&gt;1,Database!IC109&gt;1),100*(Database!IC108/(Database!IC109)),0.0001)</f>
        <v>1E-4</v>
      </c>
      <c r="DP155" s="99">
        <f>IF(AND(Database!IE108&gt;1,Database!IE109&gt;1),100*(Database!IE108/(Database!IE109)),0.0001)</f>
        <v>1E-4</v>
      </c>
      <c r="DQ155" s="99">
        <f>IF(AND(Database!IG108&gt;1,Database!IG109&gt;1),100*(Database!IG108/(Database!IG109)),0.0001)</f>
        <v>1E-4</v>
      </c>
      <c r="DR155" s="99">
        <f>IF(AND(Database!II108&gt;1,Database!II109&gt;1),100*(Database!II108/(Database!II109)),0.0001)</f>
        <v>1E-4</v>
      </c>
      <c r="DS155" s="99">
        <f>IF(AND(Database!IK108&gt;1,Database!IK109&gt;1),100*(Database!IK108/(Database!IK109)),0.0001)</f>
        <v>1E-4</v>
      </c>
      <c r="DT155" s="99">
        <f>IF(AND(Database!IM108&gt;1,Database!IM109&gt;1),100*(Database!IM108/(Database!IM109)),0.0001)</f>
        <v>1E-4</v>
      </c>
      <c r="DU155" s="99">
        <f>IF(AND(Database!IO108&gt;1,Database!IO109&gt;1),100*(Database!IO108/(Database!IO109)),0.0001)</f>
        <v>1E-4</v>
      </c>
      <c r="DV155" s="99">
        <f>IF(AND(Database!IQ108&gt;1,Database!IQ109&gt;1),100*(Database!IQ108/(Database!IQ109)),0.0001)</f>
        <v>1E-4</v>
      </c>
      <c r="DW155" s="99">
        <f>IF(AND(Database!IS108&gt;1,Database!IS109&gt;1),100*(Database!IS108/(Database!IS109)),0.0001)</f>
        <v>1E-4</v>
      </c>
      <c r="DX155" s="99">
        <f>IF(AND(Database!IU108&gt;1,Database!IU109&gt;1),100*(Database!IU108/(Database!IU109)),0.0001)</f>
        <v>1E-4</v>
      </c>
      <c r="DY155" s="99">
        <f>IF(AND(Database!IW108&gt;1,Database!IW109&gt;1),100*(Database!IW108/(Database!IW109)),0.0001)</f>
        <v>1E-4</v>
      </c>
      <c r="DZ155" s="99">
        <f>IF(AND(Database!IY108&gt;1,Database!IY109&gt;1),100*(Database!IY108/(Database!IY109)),0.0001)</f>
        <v>1E-4</v>
      </c>
      <c r="EA155" s="99">
        <f>IF(AND(Database!JA108&gt;1,Database!JA109&gt;1),100*(Database!JA108/(Database!JA109)),0.0001)</f>
        <v>1E-4</v>
      </c>
      <c r="EB155" s="99">
        <f>IF(AND(Database!JC108&gt;1,Database!JC109&gt;1),100*(Database!JC108/(Database!JC109)),0.0001)</f>
        <v>1E-4</v>
      </c>
      <c r="EC155" s="99">
        <f>IF(AND(Database!JE108&gt;1,Database!JE109&gt;1),100*(Database!JE108/(Database!JE109)),0.0001)</f>
        <v>1E-4</v>
      </c>
      <c r="ED155" s="99">
        <f>IF(AND(Database!JG108&gt;1,Database!JG109&gt;1),100*(Database!JG108/(Database!JG109)),0.0001)</f>
        <v>1E-4</v>
      </c>
      <c r="EE155" s="99">
        <f>IF(AND(Database!JI108&gt;1,Database!JI109&gt;1),100*(Database!JI108/(Database!JI109)),0.0001)</f>
        <v>1E-4</v>
      </c>
      <c r="EF155" s="99">
        <f>IF(AND(Database!JK108&gt;1,Database!JK109&gt;1),100*(Database!JK108/(Database!JK109)),0.0001)</f>
        <v>1E-4</v>
      </c>
      <c r="EG155" s="99">
        <f>IF(AND(Database!JM108&gt;1,Database!JM109&gt;1),100*(Database!JM108/(Database!JM109)),0.0001)</f>
        <v>1E-4</v>
      </c>
      <c r="EH155" s="99">
        <f>IF(AND(Database!JO108&gt;1,Database!JO109&gt;1),100*(Database!JO108/(Database!JO109)),0.0001)</f>
        <v>1E-4</v>
      </c>
      <c r="EI155" s="99">
        <f>IF(AND(Database!JQ108&gt;1,Database!JQ109&gt;1),100*(Database!JQ108/(Database!JQ109)),0.0001)</f>
        <v>1E-4</v>
      </c>
      <c r="EJ155" s="99">
        <f>IF(AND(Database!JS108&gt;1,Database!JS109&gt;1),100*(Database!JS108/(Database!JS109)),0.0001)</f>
        <v>1E-4</v>
      </c>
      <c r="EK155" s="99">
        <f>IF(AND(Database!JU108&gt;1,Database!JU109&gt;1),100*(Database!JU108/(Database!JU109)),0.0001)</f>
        <v>1E-4</v>
      </c>
      <c r="EL155" s="99">
        <f>IF(AND(Database!JW108&gt;1,Database!JW109&gt;1),100*(Database!JW108/(Database!JW109)),0.0001)</f>
        <v>1E-4</v>
      </c>
      <c r="EM155" s="99">
        <f>IF(AND(Database!JY108&gt;1,Database!JY109&gt;1),100*(Database!JY108/(Database!JY109)),0.0001)</f>
        <v>1E-4</v>
      </c>
      <c r="EN155" s="99">
        <f>IF(AND(Database!KA108&gt;1,Database!KA109&gt;1),100*(Database!KA108/(Database!KA109)),0.0001)</f>
        <v>1E-4</v>
      </c>
      <c r="EO155" s="99">
        <f>IF(AND(Database!KC108&gt;1,Database!KC109&gt;1),100*(Database!KC108/(Database!KC109)),0.0001)</f>
        <v>1E-4</v>
      </c>
      <c r="EP155" s="99">
        <f>IF(AND(Database!KE108&gt;1,Database!KE109&gt;1),100*(Database!KE108/(Database!KE109)),0.0001)</f>
        <v>1E-4</v>
      </c>
      <c r="EQ155" s="99">
        <f>IF(AND(Database!KG108&gt;1,Database!KG109&gt;1),100*(Database!KG108/(Database!KG109)),0.0001)</f>
        <v>1E-4</v>
      </c>
      <c r="ER155" s="99">
        <f>IF(AND(Database!KI108&gt;1,Database!KI109&gt;1),100*(Database!KI108/(Database!KI109)),0.0001)</f>
        <v>1E-4</v>
      </c>
      <c r="ES155" s="99">
        <f>IF(AND(Database!KK108&gt;1,Database!KK109&gt;1),100*(Database!KK108/(Database!KK109)),0.0001)</f>
        <v>1E-4</v>
      </c>
      <c r="ET155" s="99">
        <f>IF(AND(Database!KM108&gt;1,Database!KM109&gt;1),100*(Database!KM108/(Database!KM109)),0.0001)</f>
        <v>1E-4</v>
      </c>
      <c r="EU155" s="99">
        <f>IF(AND(Database!KO108&gt;1,Database!KO109&gt;1),100*(Database!KO108/(Database!KO109)),0.0001)</f>
        <v>1E-4</v>
      </c>
      <c r="EV155" s="99">
        <f>IF(AND(Database!KQ108&gt;1,Database!KQ109&gt;1),100*(Database!KQ108/(Database!KQ109)),0.0001)</f>
        <v>1E-4</v>
      </c>
      <c r="EW155" s="99">
        <f>IF(AND(Database!KS108&gt;1,Database!KS109&gt;1),100*(Database!KS108/(Database!KS109)),0.0001)</f>
        <v>1E-4</v>
      </c>
      <c r="EX155" s="99">
        <f>IF(AND(Database!KU108&gt;1,Database!KU109&gt;1),100*(Database!KU108/(Database!KU109)),0.0001)</f>
        <v>1E-4</v>
      </c>
      <c r="EY155" s="99">
        <f>IF(AND(Database!KW108&gt;1,Database!KW109&gt;1),100*(Database!KW108/(Database!KW109)),0.0001)</f>
        <v>1E-4</v>
      </c>
      <c r="EZ155" s="99">
        <f>IF(AND(Database!KY108&gt;1,Database!KY109&gt;1),100*(Database!KY108/(Database!KY109)),0.0001)</f>
        <v>1E-4</v>
      </c>
      <c r="FA155" s="99">
        <f>IF(AND(Database!LA108&gt;1,Database!LA109&gt;1),100*(Database!LA108/(Database!LA109)),0.0001)</f>
        <v>1E-4</v>
      </c>
      <c r="FB155" s="99">
        <f>IF(AND(Database!LC108&gt;1,Database!LC109&gt;1),100*(Database!LC108/(Database!LC109)),0.0001)</f>
        <v>1E-4</v>
      </c>
      <c r="FC155" s="99">
        <f>IF(AND(Database!LE108&gt;1,Database!LE109&gt;1),100*(Database!LE108/(Database!LE109)),0.0001)</f>
        <v>1E-4</v>
      </c>
      <c r="FD155" s="99">
        <f>IF(AND(Database!LG108&gt;1,Database!LG109&gt;1),100*(Database!LG108/(Database!LG109)),0.0001)</f>
        <v>1E-4</v>
      </c>
      <c r="FE155" s="99">
        <f>IF(AND(Database!LI108&gt;1,Database!LI109&gt;1),100*(Database!LI108/(Database!LI109)),0.0001)</f>
        <v>1E-4</v>
      </c>
      <c r="FF155" s="99">
        <f>IF(AND(Database!LK108&gt;1,Database!LK109&gt;1),100*(Database!LK108/(Database!LK109)),0.0001)</f>
        <v>1E-4</v>
      </c>
      <c r="FG155" s="99">
        <f>IF(AND(Database!LM108&gt;1,Database!LM109&gt;1),100*(Database!LM108/(Database!LM109)),0.0001)</f>
        <v>1E-4</v>
      </c>
      <c r="FH155" s="99">
        <f>IF(AND(Database!LO108&gt;1,Database!LO109&gt;1),100*(Database!LO108/(Database!LO109)),0.0001)</f>
        <v>1E-4</v>
      </c>
      <c r="FI155" s="99">
        <f>IF(AND(Database!LQ108&gt;1,Database!LQ109&gt;1),100*(Database!LQ108/(Database!LQ109)),0.0001)</f>
        <v>1E-4</v>
      </c>
      <c r="FJ155" s="99">
        <f>IF(AND(Database!LS108&gt;1,Database!LS109&gt;1),100*(Database!LS108/(Database!LS109)),0.0001)</f>
        <v>1E-4</v>
      </c>
      <c r="FK155" s="99">
        <f>IF(AND(Database!LU108&gt;1,Database!LU109&gt;1),100*(Database!LU108/(Database!LU109)),0.0001)</f>
        <v>1E-4</v>
      </c>
      <c r="FL155" s="99">
        <f>IF(AND(Database!LW108&gt;1,Database!LW109&gt;1),100*(Database!LW108/(Database!LW109)),0.0001)</f>
        <v>1E-4</v>
      </c>
      <c r="FM155" s="99">
        <f>IF(AND(Database!LY108&gt;1,Database!LY109&gt;1),100*(Database!LY108/(Database!LY109)),0.0001)</f>
        <v>1E-4</v>
      </c>
      <c r="FN155" s="99">
        <f>IF(AND(Database!MA108&gt;1,Database!MA109&gt;1),100*(Database!MA108/(Database!MA109)),0.0001)</f>
        <v>1E-4</v>
      </c>
      <c r="FO155" s="99">
        <f>IF(AND(Database!MC108&gt;1,Database!MC109&gt;1),100*(Database!MC108/(Database!MC109)),0.0001)</f>
        <v>1E-4</v>
      </c>
      <c r="FP155" s="99">
        <f>IF(AND(Database!ME108&gt;1,Database!ME109&gt;1),100*(Database!ME108/(Database!ME109)),0.0001)</f>
        <v>1E-4</v>
      </c>
      <c r="FQ155" s="99">
        <f>IF(AND(Database!MG108&gt;1,Database!MG109&gt;1),100*(Database!MG108/(Database!MG109)),0.0001)</f>
        <v>1E-4</v>
      </c>
      <c r="FR155" s="99">
        <f>IF(AND(Database!MI108&gt;1,Database!MI109&gt;1),100*(Database!MI108/(Database!MI109)),0.0001)</f>
        <v>1E-4</v>
      </c>
      <c r="FS155" s="99">
        <f>IF(AND(Database!MK108&gt;1,Database!MK109&gt;1),100*(Database!MK108/(Database!MK109)),0.0001)</f>
        <v>1E-4</v>
      </c>
      <c r="FT155" s="99">
        <f>IF(AND(Database!MM108&gt;1,Database!MM109&gt;1),100*(Database!MM108/(Database!MM109)),0.0001)</f>
        <v>1E-4</v>
      </c>
      <c r="FU155" s="99">
        <f>IF(AND(Database!MO108&gt;1,Database!MO109&gt;1),100*(Database!MO108/(Database!MO109)),0.0001)</f>
        <v>1E-4</v>
      </c>
      <c r="FV155" s="99">
        <f>IF(AND(Database!MQ108&gt;1,Database!MQ109&gt;1),100*(Database!MQ108/(Database!MQ109)),0.0001)</f>
        <v>1E-4</v>
      </c>
      <c r="FW155" s="99">
        <f>IF(AND(Database!MS108&gt;1,Database!MS109&gt;1),100*(Database!MS108/(Database!MS109)),0.0001)</f>
        <v>1E-4</v>
      </c>
      <c r="FX155" s="99">
        <f>IF(AND(Database!MU108&gt;1,Database!MU109&gt;1),100*(Database!MU108/(Database!MU109)),0.0001)</f>
        <v>1E-4</v>
      </c>
      <c r="FY155" s="99">
        <f>IF(AND(Database!MW108&gt;1,Database!MW109&gt;1),100*(Database!MW108/(Database!MW109)),0.0001)</f>
        <v>1E-4</v>
      </c>
      <c r="FZ155" s="99">
        <f>IF(AND(Database!MY108&gt;1,Database!MY109&gt;1),100*(Database!MY108/(Database!MY109)),0.0001)</f>
        <v>1E-4</v>
      </c>
      <c r="GA155" s="99">
        <f>IF(AND(Database!NA108&gt;1,Database!NA109&gt;1),100*(Database!NA108/(Database!NA109)),0.0001)</f>
        <v>1E-4</v>
      </c>
      <c r="GB155" s="99">
        <f>IF(AND(Database!NC108&gt;1,Database!NC109&gt;1),100*(Database!NC108/(Database!NC109)),0.0001)</f>
        <v>1E-4</v>
      </c>
      <c r="GC155" s="99">
        <f>IF(AND(Database!NE108&gt;1,Database!NE109&gt;1),100*(Database!NE108/(Database!NE109)),0.0001)</f>
        <v>1E-4</v>
      </c>
      <c r="GD155" s="99">
        <f>IF(AND(Database!NG108&gt;1,Database!NG109&gt;1),100*(Database!NG108/(Database!NG109)),0.0001)</f>
        <v>1E-4</v>
      </c>
      <c r="GE155" s="99">
        <f>IF(AND(Database!NI108&gt;1,Database!NI109&gt;1),100*(Database!NI108/(Database!NI109)),0.0001)</f>
        <v>1E-4</v>
      </c>
      <c r="GF155" s="99">
        <f>IF(AND(Database!NK108&gt;1,Database!NK109&gt;1),100*(Database!NK108/(Database!NK109)),0.0001)</f>
        <v>1E-4</v>
      </c>
      <c r="GG155" s="99">
        <f>IF(AND(Database!NM108&gt;1,Database!NM109&gt;1),100*(Database!NM108/(Database!NM109)),0.0001)</f>
        <v>1E-4</v>
      </c>
      <c r="GH155" s="99">
        <f>IF(AND(Database!NO108&gt;1,Database!NO109&gt;1),100*(Database!NO108/(Database!NO109)),0.0001)</f>
        <v>1E-4</v>
      </c>
      <c r="GI155" s="99">
        <f>IF(AND(Database!NQ108&gt;1,Database!NQ109&gt;1),100*(Database!NQ108/(Database!NQ109)),0.0001)</f>
        <v>1E-4</v>
      </c>
      <c r="GJ155" s="99">
        <f>IF(AND(Database!NS108&gt;1,Database!NS109&gt;1),100*(Database!NS108/(Database!NS109)),0.0001)</f>
        <v>1E-4</v>
      </c>
      <c r="GK155" s="99">
        <f>IF(AND(Database!NU108&gt;1,Database!NU109&gt;1),100*(Database!NU108/(Database!NU109)),0.0001)</f>
        <v>1E-4</v>
      </c>
      <c r="GL155" s="99">
        <f>IF(AND(Database!NW108&gt;1,Database!NW109&gt;1),100*(Database!NW108/(Database!NW109)),0.0001)</f>
        <v>1E-4</v>
      </c>
      <c r="GM155" s="99">
        <f>IF(AND(Database!NY108&gt;1,Database!NY109&gt;1),100*(Database!NY108/(Database!NY109)),0.0001)</f>
        <v>1E-4</v>
      </c>
      <c r="GN155" s="99">
        <f>IF(AND(Database!OA108&gt;1,Database!OA109&gt;1),100*(Database!OA108/(Database!OA109)),0.0001)</f>
        <v>1E-4</v>
      </c>
      <c r="GO155" s="99">
        <f>IF(AND(Database!OC108&gt;1,Database!OC109&gt;1),100*(Database!OC108/(Database!OC109)),0.0001)</f>
        <v>1E-4</v>
      </c>
      <c r="GP155" s="99">
        <f>IF(AND(Database!OE108&gt;1,Database!OE109&gt;1),100*(Database!OE108/(Database!OE109)),0.0001)</f>
        <v>1E-4</v>
      </c>
      <c r="GQ155" s="99">
        <f>IF(AND(Database!OG108&gt;1,Database!OG109&gt;1),100*(Database!OG108/(Database!OG109)),0.0001)</f>
        <v>1E-4</v>
      </c>
      <c r="GR155" s="99">
        <f>IF(AND(Database!OI108&gt;1,Database!OI109&gt;1),100*(Database!OI108/(Database!OI109)),0.0001)</f>
        <v>1E-4</v>
      </c>
      <c r="GS155" s="99">
        <f>IF(AND(Database!OK108&gt;1,Database!OK109&gt;1),100*(Database!OK108/(Database!OK109)),0.0001)</f>
        <v>1E-4</v>
      </c>
      <c r="GT155" s="30">
        <f>IF(AND(Database!OM108&gt;1,Database!OM109&gt;1),100*(Database!OM108/(Database!OM109)),0.0001)</f>
        <v>1E-4</v>
      </c>
      <c r="GU155" s="99"/>
      <c r="GV155" s="99"/>
      <c r="GW155" s="99"/>
    </row>
    <row r="156" spans="1:205" ht="18.75" customHeight="1" x14ac:dyDescent="0.4">
      <c r="A156" s="240" t="s">
        <v>166</v>
      </c>
      <c r="B156" s="96"/>
      <c r="C156" s="260">
        <f>IF(AND(Database!E31&gt;1,Database!E34&gt;1),100*(Database!E31/(Database!E34)),0.0001)</f>
        <v>28.633208836738088</v>
      </c>
      <c r="D156" s="99">
        <f>IF(AND(Database!G31&gt;1,Database!G34&gt;1),100*(Database!G31/(Database!G34)),0.0001)</f>
        <v>36.011435906412274</v>
      </c>
      <c r="E156" s="99">
        <f>IF(AND(Database!I31&gt;1,Database!I34&gt;1),100*(Database!I31/(Database!I34)),0.0001)</f>
        <v>36.729524345623418</v>
      </c>
      <c r="F156" s="99">
        <f>IF(AND(Database!K31&gt;1,Database!K34&gt;1),100*(Database!K31/(Database!K34)),0.0001)</f>
        <v>35.325485858745459</v>
      </c>
      <c r="G156" s="99">
        <f>IF(AND(Database!M31&gt;1,Database!M34&gt;1),100*(Database!M31/(Database!M34)),0.0001)</f>
        <v>1E-4</v>
      </c>
      <c r="H156" s="99">
        <f>IF(AND(Database!O31&gt;1,Database!O34&gt;1),100*(Database!O31/(Database!O34)),0.0001)</f>
        <v>1E-4</v>
      </c>
      <c r="I156" s="99">
        <f>IF(AND(Database!Q31&gt;1,Database!Q34&gt;1),100*(Database!Q31/(Database!Q34)),0.0001)</f>
        <v>1E-4</v>
      </c>
      <c r="J156" s="99">
        <f>IF(AND(Database!S31&gt;1,Database!S34&gt;1),100*(Database!S31/(Database!S34)),0.0001)</f>
        <v>1E-4</v>
      </c>
      <c r="K156" s="99">
        <f>IF(AND(Database!U31&gt;1,Database!U34&gt;1),100*(Database!U31/(Database!U34)),0.0001)</f>
        <v>1E-4</v>
      </c>
      <c r="L156" s="99">
        <f>IF(AND(Database!W31&gt;1,Database!W34&gt;1),100*(Database!W31/(Database!W34)),0.0001)</f>
        <v>1E-4</v>
      </c>
      <c r="M156" s="99">
        <f>IF(AND(Database!Y31&gt;1,Database!Y34&gt;1),100*(Database!Y31/(Database!Y34)),0.0001)</f>
        <v>1E-4</v>
      </c>
      <c r="N156" s="99">
        <f>IF(AND(Database!AA31&gt;1,Database!AA34&gt;1),100*(Database!AA31/(Database!AA34)),0.0001)</f>
        <v>1E-4</v>
      </c>
      <c r="O156" s="99">
        <f>IF(AND(Database!AC31&gt;1,Database!AC34&gt;1),100*(Database!AC31/(Database!AC34)),0.0001)</f>
        <v>1E-4</v>
      </c>
      <c r="P156" s="99">
        <f>IF(AND(Database!AE31&gt;1,Database!AE34&gt;1),100*(Database!AE31/(Database!AE34)),0.0001)</f>
        <v>1E-4</v>
      </c>
      <c r="Q156" s="99">
        <f>IF(AND(Database!AG31&gt;1,Database!AG34&gt;1),100*(Database!AG31/(Database!AG34)),0.0001)</f>
        <v>1E-4</v>
      </c>
      <c r="R156" s="99">
        <f>IF(AND(Database!AI31&gt;1,Database!AI34&gt;1),100*(Database!AI31/(Database!AI34)),0.0001)</f>
        <v>1E-4</v>
      </c>
      <c r="S156" s="99">
        <f>IF(AND(Database!AK31&gt;1,Database!AK34&gt;1),100*(Database!AK31/(Database!AK34)),0.0001)</f>
        <v>1E-4</v>
      </c>
      <c r="T156" s="99">
        <f>IF(AND(Database!AM31&gt;1,Database!AM34&gt;1),100*(Database!AM31/(Database!AM34)),0.0001)</f>
        <v>1E-4</v>
      </c>
      <c r="U156" s="99">
        <f>IF(AND(Database!AO31&gt;1,Database!AO34&gt;1),100*(Database!AO31/(Database!AO34)),0.0001)</f>
        <v>1E-4</v>
      </c>
      <c r="V156" s="99">
        <f>IF(AND(Database!AQ31&gt;1,Database!AQ34&gt;1),100*(Database!AQ31/(Database!AQ34)),0.0001)</f>
        <v>1E-4</v>
      </c>
      <c r="W156" s="99">
        <f>IF(AND(Database!AS31&gt;1,Database!AS34&gt;1),100*(Database!AS31/(Database!AS34)),0.0001)</f>
        <v>1E-4</v>
      </c>
      <c r="X156" s="99">
        <f>IF(AND(Database!AU31&gt;1,Database!AU34&gt;1),100*(Database!AU31/(Database!AU34)),0.0001)</f>
        <v>1E-4</v>
      </c>
      <c r="Y156" s="99">
        <f>IF(AND(Database!AW31&gt;1,Database!AW34&gt;1),100*(Database!AW31/(Database!AW34)),0.0001)</f>
        <v>1E-4</v>
      </c>
      <c r="Z156" s="99">
        <f>IF(AND(Database!AY31&gt;1,Database!AY34&gt;1),100*(Database!AY31/(Database!AY34)),0.0001)</f>
        <v>1E-4</v>
      </c>
      <c r="AA156" s="99">
        <f>IF(AND(Database!BA31&gt;1,Database!BA34&gt;1),100*(Database!BA31/(Database!BA34)),0.0001)</f>
        <v>1E-4</v>
      </c>
      <c r="AB156" s="99">
        <f>IF(AND(Database!BC31&gt;1,Database!BC34&gt;1),100*(Database!BC31/(Database!BC34)),0.0001)</f>
        <v>1E-4</v>
      </c>
      <c r="AC156" s="99">
        <f>IF(AND(Database!BE31&gt;1,Database!BE34&gt;1),100*(Database!BE31/(Database!BE34)),0.0001)</f>
        <v>1E-4</v>
      </c>
      <c r="AD156" s="99">
        <f>IF(AND(Database!BG31&gt;1,Database!BG34&gt;1),100*(Database!BG31/(Database!BG34)),0.0001)</f>
        <v>1E-4</v>
      </c>
      <c r="AE156" s="99">
        <f>IF(AND(Database!BI31&gt;1,Database!BI34&gt;1),100*(Database!BI31/(Database!BI34)),0.0001)</f>
        <v>1E-4</v>
      </c>
      <c r="AF156" s="99">
        <f>IF(AND(Database!BK31&gt;1,Database!BK34&gt;1),100*(Database!BK31/(Database!BK34)),0.0001)</f>
        <v>1E-4</v>
      </c>
      <c r="AG156" s="99">
        <f>IF(AND(Database!BM31&gt;1,Database!BM34&gt;1),100*(Database!BM31/(Database!BM34)),0.0001)</f>
        <v>1E-4</v>
      </c>
      <c r="AH156" s="99">
        <f>IF(AND(Database!BO31&gt;1,Database!BO34&gt;1),100*(Database!BO31/(Database!BO34)),0.0001)</f>
        <v>1E-4</v>
      </c>
      <c r="AI156" s="99">
        <f>IF(AND(Database!BQ31&gt;1,Database!BQ34&gt;1),100*(Database!BQ31/(Database!BQ34)),0.0001)</f>
        <v>1E-4</v>
      </c>
      <c r="AJ156" s="99">
        <f>IF(AND(Database!BS31&gt;1,Database!BS34&gt;1),100*(Database!BS31/(Database!BS34)),0.0001)</f>
        <v>1E-4</v>
      </c>
      <c r="AK156" s="99">
        <f>IF(AND(Database!BU31&gt;1,Database!BU34&gt;1),100*(Database!BU31/(Database!BU34)),0.0001)</f>
        <v>1E-4</v>
      </c>
      <c r="AL156" s="99">
        <f>IF(AND(Database!BW31&gt;1,Database!BW34&gt;1),100*(Database!BW31/(Database!BW34)),0.0001)</f>
        <v>1E-4</v>
      </c>
      <c r="AM156" s="99">
        <f>IF(AND(Database!BY31&gt;1,Database!BY34&gt;1),100*(Database!BY31/(Database!BY34)),0.0001)</f>
        <v>1E-4</v>
      </c>
      <c r="AN156" s="99">
        <f>IF(AND(Database!CA31&gt;1,Database!CA34&gt;1),100*(Database!CA31/(Database!CA34)),0.0001)</f>
        <v>1E-4</v>
      </c>
      <c r="AO156" s="99">
        <f>IF(AND(Database!CC31&gt;1,Database!CC34&gt;1),100*(Database!CC31/(Database!CC34)),0.0001)</f>
        <v>1E-4</v>
      </c>
      <c r="AP156" s="99">
        <f>IF(AND(Database!CE31&gt;1,Database!CE34&gt;1),100*(Database!CE31/(Database!CE34)),0.0001)</f>
        <v>1E-4</v>
      </c>
      <c r="AQ156" s="99">
        <f>IF(AND(Database!CG31&gt;1,Database!CG34&gt;1),100*(Database!CG31/(Database!CG34)),0.0001)</f>
        <v>1E-4</v>
      </c>
      <c r="AR156" s="99">
        <f>IF(AND(Database!CI31&gt;1,Database!CI34&gt;1),100*(Database!CI31/(Database!CI34)),0.0001)</f>
        <v>1E-4</v>
      </c>
      <c r="AS156" s="99">
        <f>IF(AND(Database!CK31&gt;1,Database!CK34&gt;1),100*(Database!CK31/(Database!CK34)),0.0001)</f>
        <v>1E-4</v>
      </c>
      <c r="AT156" s="99">
        <f>IF(AND(Database!CM31&gt;1,Database!CM34&gt;1),100*(Database!CM31/(Database!CM34)),0.0001)</f>
        <v>1E-4</v>
      </c>
      <c r="AU156" s="99">
        <f>IF(AND(Database!CO31&gt;1,Database!CO34&gt;1),100*(Database!CO31/(Database!CO34)),0.0001)</f>
        <v>1E-4</v>
      </c>
      <c r="AV156" s="99">
        <f>IF(AND(Database!CQ31&gt;1,Database!CQ34&gt;1),100*(Database!CQ31/(Database!CQ34)),0.0001)</f>
        <v>1E-4</v>
      </c>
      <c r="AW156" s="99">
        <f>IF(AND(Database!CS31&gt;1,Database!CS34&gt;1),100*(Database!CS31/(Database!CS34)),0.0001)</f>
        <v>1E-4</v>
      </c>
      <c r="AX156" s="99">
        <f>IF(AND(Database!CU31&gt;1,Database!CU34&gt;1),100*(Database!CU31/(Database!CU34)),0.0001)</f>
        <v>1E-4</v>
      </c>
      <c r="AY156" s="99">
        <f>IF(AND(Database!CW31&gt;1,Database!CW34&gt;1),100*(Database!CW31/(Database!CW34)),0.0001)</f>
        <v>1E-4</v>
      </c>
      <c r="AZ156" s="99">
        <f>IF(AND(Database!CY31&gt;1,Database!CY34&gt;1),100*(Database!CY31/(Database!CY34)),0.0001)</f>
        <v>1E-4</v>
      </c>
      <c r="BA156" s="99">
        <f>IF(AND(Database!DA31&gt;1,Database!DA34&gt;1),100*(Database!DA31/(Database!DA34)),0.0001)</f>
        <v>1E-4</v>
      </c>
      <c r="BB156" s="99">
        <f>IF(AND(Database!DC31&gt;1,Database!DC34&gt;1),100*(Database!DC31/(Database!DC34)),0.0001)</f>
        <v>1E-4</v>
      </c>
      <c r="BC156" s="99">
        <f>IF(AND(Database!DE31&gt;1,Database!DE34&gt;1),100*(Database!DE31/(Database!DE34)),0.0001)</f>
        <v>1E-4</v>
      </c>
      <c r="BD156" s="99">
        <f>IF(AND(Database!DG31&gt;1,Database!DG34&gt;1),100*(Database!DG31/(Database!DG34)),0.0001)</f>
        <v>1E-4</v>
      </c>
      <c r="BE156" s="99">
        <f>IF(AND(Database!DI31&gt;1,Database!DI34&gt;1),100*(Database!DI31/(Database!DI34)),0.0001)</f>
        <v>1E-4</v>
      </c>
      <c r="BF156" s="99">
        <f>IF(AND(Database!DK31&gt;1,Database!DK34&gt;1),100*(Database!DK31/(Database!DK34)),0.0001)</f>
        <v>1E-4</v>
      </c>
      <c r="BG156" s="99">
        <f>IF(AND(Database!DM31&gt;1,Database!DM34&gt;1),100*(Database!DM31/(Database!DM34)),0.0001)</f>
        <v>1E-4</v>
      </c>
      <c r="BH156" s="99">
        <f>IF(AND(Database!DO31&gt;1,Database!DO34&gt;1),100*(Database!DO31/(Database!DO34)),0.0001)</f>
        <v>1E-4</v>
      </c>
      <c r="BI156" s="99">
        <f>IF(AND(Database!DQ31&gt;1,Database!DQ34&gt;1),100*(Database!DQ31/(Database!DQ34)),0.0001)</f>
        <v>1E-4</v>
      </c>
      <c r="BJ156" s="99">
        <f>IF(AND(Database!DS31&gt;1,Database!DS34&gt;1),100*(Database!DS31/(Database!DS34)),0.0001)</f>
        <v>1E-4</v>
      </c>
      <c r="BK156" s="99">
        <f>IF(AND(Database!DU31&gt;1,Database!DU34&gt;1),100*(Database!DU31/(Database!DU34)),0.0001)</f>
        <v>1E-4</v>
      </c>
      <c r="BL156" s="99">
        <f>IF(AND(Database!DW31&gt;1,Database!DW34&gt;1),100*(Database!DW31/(Database!DW34)),0.0001)</f>
        <v>1E-4</v>
      </c>
      <c r="BM156" s="99">
        <f>IF(AND(Database!DY31&gt;1,Database!DY34&gt;1),100*(Database!DY31/(Database!DY34)),0.0001)</f>
        <v>1E-4</v>
      </c>
      <c r="BN156" s="99">
        <f>IF(AND(Database!EA31&gt;1,Database!EA34&gt;1),100*(Database!EA31/(Database!EA34)),0.0001)</f>
        <v>1E-4</v>
      </c>
      <c r="BO156" s="99">
        <f>IF(AND(Database!EC31&gt;1,Database!EC34&gt;1),100*(Database!EC31/(Database!EC34)),0.0001)</f>
        <v>1E-4</v>
      </c>
      <c r="BP156" s="99">
        <f>IF(AND(Database!EE31&gt;1,Database!EE34&gt;1),100*(Database!EE31/(Database!EE34)),0.0001)</f>
        <v>1E-4</v>
      </c>
      <c r="BQ156" s="99">
        <f>IF(AND(Database!EG31&gt;1,Database!EG34&gt;1),100*(Database!EG31/(Database!EG34)),0.0001)</f>
        <v>1E-4</v>
      </c>
      <c r="BR156" s="99">
        <f>IF(AND(Database!EI31&gt;1,Database!EI34&gt;1),100*(Database!EI31/(Database!EI34)),0.0001)</f>
        <v>1E-4</v>
      </c>
      <c r="BS156" s="99">
        <f>IF(AND(Database!EK31&gt;1,Database!EK34&gt;1),100*(Database!EK31/(Database!EK34)),0.0001)</f>
        <v>1E-4</v>
      </c>
      <c r="BT156" s="99">
        <f>IF(AND(Database!EM31&gt;1,Database!EM34&gt;1),100*(Database!EM31/(Database!EM34)),0.0001)</f>
        <v>1E-4</v>
      </c>
      <c r="BU156" s="99">
        <f>IF(AND(Database!EO31&gt;1,Database!EO34&gt;1),100*(Database!EO31/(Database!EO34)),0.0001)</f>
        <v>1E-4</v>
      </c>
      <c r="BV156" s="99">
        <f>IF(AND(Database!EQ31&gt;1,Database!EQ34&gt;1),100*(Database!EQ31/(Database!EQ34)),0.0001)</f>
        <v>1E-4</v>
      </c>
      <c r="BW156" s="99">
        <f>IF(AND(Database!ES31&gt;1,Database!ES34&gt;1),100*(Database!ES31/(Database!ES34)),0.0001)</f>
        <v>1E-4</v>
      </c>
      <c r="BX156" s="99">
        <f>IF(AND(Database!EU31&gt;1,Database!EU34&gt;1),100*(Database!EU31/(Database!EU34)),0.0001)</f>
        <v>1E-4</v>
      </c>
      <c r="BY156" s="99">
        <f>IF(AND(Database!EW31&gt;1,Database!EW34&gt;1),100*(Database!EW31/(Database!EW34)),0.0001)</f>
        <v>1E-4</v>
      </c>
      <c r="BZ156" s="99">
        <f>IF(AND(Database!EY31&gt;1,Database!EY34&gt;1),100*(Database!EY31/(Database!EY34)),0.0001)</f>
        <v>1E-4</v>
      </c>
      <c r="CA156" s="99">
        <f>IF(AND(Database!FA31&gt;1,Database!FA34&gt;1),100*(Database!FA31/(Database!FA34)),0.0001)</f>
        <v>1E-4</v>
      </c>
      <c r="CB156" s="99">
        <f>IF(AND(Database!FC31&gt;1,Database!FC34&gt;1),100*(Database!FC31/(Database!FC34)),0.0001)</f>
        <v>1E-4</v>
      </c>
      <c r="CC156" s="99">
        <f>IF(AND(Database!FE31&gt;1,Database!FE34&gt;1),100*(Database!FE31/(Database!FE34)),0.0001)</f>
        <v>1E-4</v>
      </c>
      <c r="CD156" s="99">
        <f>IF(AND(Database!FG31&gt;1,Database!FG34&gt;1),100*(Database!FG31/(Database!FG34)),0.0001)</f>
        <v>1E-4</v>
      </c>
      <c r="CE156" s="99">
        <f>IF(AND(Database!FI31&gt;1,Database!FI34&gt;1),100*(Database!FI31/(Database!FI34)),0.0001)</f>
        <v>1E-4</v>
      </c>
      <c r="CF156" s="99">
        <f>IF(AND(Database!FK31&gt;1,Database!FK34&gt;1),100*(Database!FK31/(Database!FK34)),0.0001)</f>
        <v>1E-4</v>
      </c>
      <c r="CG156" s="99">
        <f>IF(AND(Database!FM31&gt;1,Database!FM34&gt;1),100*(Database!FM31/(Database!FM34)),0.0001)</f>
        <v>1E-4</v>
      </c>
      <c r="CH156" s="99">
        <f>IF(AND(Database!FO31&gt;1,Database!FO34&gt;1),100*(Database!FO31/(Database!FO34)),0.0001)</f>
        <v>1E-4</v>
      </c>
      <c r="CI156" s="99">
        <f>IF(AND(Database!FQ31&gt;1,Database!FQ34&gt;1),100*(Database!FQ31/(Database!FQ34)),0.0001)</f>
        <v>1E-4</v>
      </c>
      <c r="CJ156" s="99">
        <f>IF(AND(Database!FS31&gt;1,Database!FS34&gt;1),100*(Database!FS31/(Database!FS34)),0.0001)</f>
        <v>1E-4</v>
      </c>
      <c r="CK156" s="99">
        <f>IF(AND(Database!FU31&gt;1,Database!FU34&gt;1),100*(Database!FU31/(Database!FU34)),0.0001)</f>
        <v>1E-4</v>
      </c>
      <c r="CL156" s="99">
        <f>IF(AND(Database!FW31&gt;1,Database!FW34&gt;1),100*(Database!FW31/(Database!FW34)),0.0001)</f>
        <v>1E-4</v>
      </c>
      <c r="CM156" s="99">
        <f>IF(AND(Database!FY31&gt;1,Database!FY34&gt;1),100*(Database!FY31/(Database!FY34)),0.0001)</f>
        <v>1E-4</v>
      </c>
      <c r="CN156" s="99">
        <f>IF(AND(Database!GA31&gt;1,Database!GA34&gt;1),100*(Database!GA31/(Database!GA34)),0.0001)</f>
        <v>1E-4</v>
      </c>
      <c r="CO156" s="99">
        <f>IF(AND(Database!GC31&gt;1,Database!GC34&gt;1),100*(Database!GC31/(Database!GC34)),0.0001)</f>
        <v>1E-4</v>
      </c>
      <c r="CP156" s="99">
        <f>IF(AND(Database!GE31&gt;1,Database!GE34&gt;1),100*(Database!GE31/(Database!GE34)),0.0001)</f>
        <v>1E-4</v>
      </c>
      <c r="CQ156" s="99">
        <f>IF(AND(Database!GG31&gt;1,Database!GG34&gt;1),100*(Database!GG31/(Database!GG34)),0.0001)</f>
        <v>1E-4</v>
      </c>
      <c r="CR156" s="99">
        <f>IF(AND(Database!GI31&gt;1,Database!GI34&gt;1),100*(Database!GI31/(Database!GI34)),0.0001)</f>
        <v>1E-4</v>
      </c>
      <c r="CS156" s="99">
        <f>IF(AND(Database!GK31&gt;1,Database!GK34&gt;1),100*(Database!GK31/(Database!GK34)),0.0001)</f>
        <v>1E-4</v>
      </c>
      <c r="CT156" s="99">
        <f>IF(AND(Database!GM31&gt;1,Database!GM34&gt;1),100*(Database!GM31/(Database!GM34)),0.0001)</f>
        <v>1E-4</v>
      </c>
      <c r="CU156" s="99">
        <f>IF(AND(Database!GO31&gt;1,Database!GO34&gt;1),100*(Database!GO31/(Database!GO34)),0.0001)</f>
        <v>1E-4</v>
      </c>
      <c r="CV156" s="99">
        <f>IF(AND(Database!GQ31&gt;1,Database!GQ34&gt;1),100*(Database!GQ31/(Database!GQ34)),0.0001)</f>
        <v>1E-4</v>
      </c>
      <c r="CW156" s="99">
        <f>IF(AND(Database!GS31&gt;1,Database!GS34&gt;1),100*(Database!GS31/(Database!GS34)),0.0001)</f>
        <v>1E-4</v>
      </c>
      <c r="CX156" s="99">
        <f>IF(AND(Database!GU31&gt;1,Database!GU34&gt;1),100*(Database!GU31/(Database!GU34)),0.0001)</f>
        <v>1E-4</v>
      </c>
      <c r="CY156" s="99">
        <f>IF(AND(Database!GW31&gt;1,Database!GW34&gt;1),100*(Database!GW31/(Database!GW34)),0.0001)</f>
        <v>1E-4</v>
      </c>
      <c r="CZ156" s="99">
        <f>IF(AND(Database!GY31&gt;1,Database!GY34&gt;1),100*(Database!GY31/(Database!GY34)),0.0001)</f>
        <v>1E-4</v>
      </c>
      <c r="DA156" s="99">
        <f>IF(AND(Database!HA31&gt;1,Database!HA34&gt;1),100*(Database!HA31/(Database!HA34)),0.0001)</f>
        <v>1E-4</v>
      </c>
      <c r="DB156" s="99">
        <f>IF(AND(Database!HC31&gt;1,Database!HC34&gt;1),100*(Database!HC31/(Database!HC34)),0.0001)</f>
        <v>1E-4</v>
      </c>
      <c r="DC156" s="99">
        <f>IF(AND(Database!HE31&gt;1,Database!HE34&gt;1),100*(Database!HE31/(Database!HE34)),0.0001)</f>
        <v>1E-4</v>
      </c>
      <c r="DD156" s="99">
        <f>IF(AND(Database!HG31&gt;1,Database!HG34&gt;1),100*(Database!HG31/(Database!HG34)),0.0001)</f>
        <v>1E-4</v>
      </c>
      <c r="DE156" s="99">
        <f>IF(AND(Database!HI31&gt;1,Database!HI34&gt;1),100*(Database!HI31/(Database!HI34)),0.0001)</f>
        <v>1E-4</v>
      </c>
      <c r="DF156" s="99">
        <f>IF(AND(Database!HK31&gt;1,Database!HK34&gt;1),100*(Database!HK31/(Database!HK34)),0.0001)</f>
        <v>1E-4</v>
      </c>
      <c r="DG156" s="99">
        <f>IF(AND(Database!HM31&gt;1,Database!HM34&gt;1),100*(Database!HM31/(Database!HM34)),0.0001)</f>
        <v>1E-4</v>
      </c>
      <c r="DH156" s="99">
        <f>IF(AND(Database!HO31&gt;1,Database!HO34&gt;1),100*(Database!HO31/(Database!HO34)),0.0001)</f>
        <v>1E-4</v>
      </c>
      <c r="DI156" s="99">
        <f>IF(AND(Database!HQ31&gt;1,Database!HQ34&gt;1),100*(Database!HQ31/(Database!HQ34)),0.0001)</f>
        <v>1E-4</v>
      </c>
      <c r="DJ156" s="99">
        <f>IF(AND(Database!HS31&gt;1,Database!HS34&gt;1),100*(Database!HS31/(Database!HS34)),0.0001)</f>
        <v>1E-4</v>
      </c>
      <c r="DK156" s="99">
        <f>IF(AND(Database!HU31&gt;1,Database!HU34&gt;1),100*(Database!HU31/(Database!HU34)),0.0001)</f>
        <v>1E-4</v>
      </c>
      <c r="DL156" s="99">
        <f>IF(AND(Database!HW31&gt;1,Database!HW34&gt;1),100*(Database!HW31/(Database!HW34)),0.0001)</f>
        <v>1E-4</v>
      </c>
      <c r="DM156" s="99">
        <f>IF(AND(Database!HY31&gt;1,Database!HY34&gt;1),100*(Database!HY31/(Database!HY34)),0.0001)</f>
        <v>1E-4</v>
      </c>
      <c r="DN156" s="99">
        <f>IF(AND(Database!IA31&gt;1,Database!IA34&gt;1),100*(Database!IA31/(Database!IA34)),0.0001)</f>
        <v>1E-4</v>
      </c>
      <c r="DO156" s="99">
        <f>IF(AND(Database!IC31&gt;1,Database!IC34&gt;1),100*(Database!IC31/(Database!IC34)),0.0001)</f>
        <v>1E-4</v>
      </c>
      <c r="DP156" s="99">
        <f>IF(AND(Database!IE31&gt;1,Database!IE34&gt;1),100*(Database!IE31/(Database!IE34)),0.0001)</f>
        <v>1E-4</v>
      </c>
      <c r="DQ156" s="99">
        <f>IF(AND(Database!IG31&gt;1,Database!IG34&gt;1),100*(Database!IG31/(Database!IG34)),0.0001)</f>
        <v>1E-4</v>
      </c>
      <c r="DR156" s="99">
        <f>IF(AND(Database!II31&gt;1,Database!II34&gt;1),100*(Database!II31/(Database!II34)),0.0001)</f>
        <v>1E-4</v>
      </c>
      <c r="DS156" s="99">
        <f>IF(AND(Database!IK31&gt;1,Database!IK34&gt;1),100*(Database!IK31/(Database!IK34)),0.0001)</f>
        <v>1E-4</v>
      </c>
      <c r="DT156" s="99">
        <f>IF(AND(Database!IM31&gt;1,Database!IM34&gt;1),100*(Database!IM31/(Database!IM34)),0.0001)</f>
        <v>1E-4</v>
      </c>
      <c r="DU156" s="99">
        <f>IF(AND(Database!IO31&gt;1,Database!IO34&gt;1),100*(Database!IO31/(Database!IO34)),0.0001)</f>
        <v>1E-4</v>
      </c>
      <c r="DV156" s="99">
        <f>IF(AND(Database!IQ31&gt;1,Database!IQ34&gt;1),100*(Database!IQ31/(Database!IQ34)),0.0001)</f>
        <v>1E-4</v>
      </c>
      <c r="DW156" s="99">
        <f>IF(AND(Database!IS31&gt;1,Database!IS34&gt;1),100*(Database!IS31/(Database!IS34)),0.0001)</f>
        <v>1E-4</v>
      </c>
      <c r="DX156" s="99">
        <f>IF(AND(Database!IU31&gt;1,Database!IU34&gt;1),100*(Database!IU31/(Database!IU34)),0.0001)</f>
        <v>1E-4</v>
      </c>
      <c r="DY156" s="99">
        <f>IF(AND(Database!IW31&gt;1,Database!IW34&gt;1),100*(Database!IW31/(Database!IW34)),0.0001)</f>
        <v>1E-4</v>
      </c>
      <c r="DZ156" s="99">
        <f>IF(AND(Database!IY31&gt;1,Database!IY34&gt;1),100*(Database!IY31/(Database!IY34)),0.0001)</f>
        <v>1E-4</v>
      </c>
      <c r="EA156" s="99">
        <f>IF(AND(Database!JA31&gt;1,Database!JA34&gt;1),100*(Database!JA31/(Database!JA34)),0.0001)</f>
        <v>1E-4</v>
      </c>
      <c r="EB156" s="99">
        <f>IF(AND(Database!JC31&gt;1,Database!JC34&gt;1),100*(Database!JC31/(Database!JC34)),0.0001)</f>
        <v>1E-4</v>
      </c>
      <c r="EC156" s="99">
        <f>IF(AND(Database!JE31&gt;1,Database!JE34&gt;1),100*(Database!JE31/(Database!JE34)),0.0001)</f>
        <v>1E-4</v>
      </c>
      <c r="ED156" s="99">
        <f>IF(AND(Database!JG31&gt;1,Database!JG34&gt;1),100*(Database!JG31/(Database!JG34)),0.0001)</f>
        <v>1E-4</v>
      </c>
      <c r="EE156" s="99">
        <f>IF(AND(Database!JI31&gt;1,Database!JI34&gt;1),100*(Database!JI31/(Database!JI34)),0.0001)</f>
        <v>1E-4</v>
      </c>
      <c r="EF156" s="99">
        <f>IF(AND(Database!JK31&gt;1,Database!JK34&gt;1),100*(Database!JK31/(Database!JK34)),0.0001)</f>
        <v>1E-4</v>
      </c>
      <c r="EG156" s="99">
        <f>IF(AND(Database!JM31&gt;1,Database!JM34&gt;1),100*(Database!JM31/(Database!JM34)),0.0001)</f>
        <v>1E-4</v>
      </c>
      <c r="EH156" s="99">
        <f>IF(AND(Database!JO31&gt;1,Database!JO34&gt;1),100*(Database!JO31/(Database!JO34)),0.0001)</f>
        <v>1E-4</v>
      </c>
      <c r="EI156" s="99">
        <f>IF(AND(Database!JQ31&gt;1,Database!JQ34&gt;1),100*(Database!JQ31/(Database!JQ34)),0.0001)</f>
        <v>1E-4</v>
      </c>
      <c r="EJ156" s="99">
        <f>IF(AND(Database!JS31&gt;1,Database!JS34&gt;1),100*(Database!JS31/(Database!JS34)),0.0001)</f>
        <v>1E-4</v>
      </c>
      <c r="EK156" s="99">
        <f>IF(AND(Database!JU31&gt;1,Database!JU34&gt;1),100*(Database!JU31/(Database!JU34)),0.0001)</f>
        <v>1E-4</v>
      </c>
      <c r="EL156" s="99">
        <f>IF(AND(Database!JW31&gt;1,Database!JW34&gt;1),100*(Database!JW31/(Database!JW34)),0.0001)</f>
        <v>1E-4</v>
      </c>
      <c r="EM156" s="99">
        <f>IF(AND(Database!JY31&gt;1,Database!JY34&gt;1),100*(Database!JY31/(Database!JY34)),0.0001)</f>
        <v>1E-4</v>
      </c>
      <c r="EN156" s="99">
        <f>IF(AND(Database!KA31&gt;1,Database!KA34&gt;1),100*(Database!KA31/(Database!KA34)),0.0001)</f>
        <v>1E-4</v>
      </c>
      <c r="EO156" s="99">
        <f>IF(AND(Database!KC31&gt;1,Database!KC34&gt;1),100*(Database!KC31/(Database!KC34)),0.0001)</f>
        <v>1E-4</v>
      </c>
      <c r="EP156" s="99">
        <f>IF(AND(Database!KE31&gt;1,Database!KE34&gt;1),100*(Database!KE31/(Database!KE34)),0.0001)</f>
        <v>1E-4</v>
      </c>
      <c r="EQ156" s="99">
        <f>IF(AND(Database!KG31&gt;1,Database!KG34&gt;1),100*(Database!KG31/(Database!KG34)),0.0001)</f>
        <v>1E-4</v>
      </c>
      <c r="ER156" s="99">
        <f>IF(AND(Database!KI31&gt;1,Database!KI34&gt;1),100*(Database!KI31/(Database!KI34)),0.0001)</f>
        <v>1E-4</v>
      </c>
      <c r="ES156" s="99">
        <f>IF(AND(Database!KK31&gt;1,Database!KK34&gt;1),100*(Database!KK31/(Database!KK34)),0.0001)</f>
        <v>1E-4</v>
      </c>
      <c r="ET156" s="99">
        <f>IF(AND(Database!KM31&gt;1,Database!KM34&gt;1),100*(Database!KM31/(Database!KM34)),0.0001)</f>
        <v>1E-4</v>
      </c>
      <c r="EU156" s="99">
        <f>IF(AND(Database!KO31&gt;1,Database!KO34&gt;1),100*(Database!KO31/(Database!KO34)),0.0001)</f>
        <v>1E-4</v>
      </c>
      <c r="EV156" s="99">
        <f>IF(AND(Database!KQ31&gt;1,Database!KQ34&gt;1),100*(Database!KQ31/(Database!KQ34)),0.0001)</f>
        <v>1E-4</v>
      </c>
      <c r="EW156" s="99">
        <f>IF(AND(Database!KS31&gt;1,Database!KS34&gt;1),100*(Database!KS31/(Database!KS34)),0.0001)</f>
        <v>1E-4</v>
      </c>
      <c r="EX156" s="99">
        <f>IF(AND(Database!KU31&gt;1,Database!KU34&gt;1),100*(Database!KU31/(Database!KU34)),0.0001)</f>
        <v>1E-4</v>
      </c>
      <c r="EY156" s="99">
        <f>IF(AND(Database!KW31&gt;1,Database!KW34&gt;1),100*(Database!KW31/(Database!KW34)),0.0001)</f>
        <v>1E-4</v>
      </c>
      <c r="EZ156" s="99">
        <f>IF(AND(Database!KY31&gt;1,Database!KY34&gt;1),100*(Database!KY31/(Database!KY34)),0.0001)</f>
        <v>1E-4</v>
      </c>
      <c r="FA156" s="99">
        <f>IF(AND(Database!LA31&gt;1,Database!LA34&gt;1),100*(Database!LA31/(Database!LA34)),0.0001)</f>
        <v>1E-4</v>
      </c>
      <c r="FB156" s="99">
        <f>IF(AND(Database!LC31&gt;1,Database!LC34&gt;1),100*(Database!LC31/(Database!LC34)),0.0001)</f>
        <v>1E-4</v>
      </c>
      <c r="FC156" s="99">
        <f>IF(AND(Database!LE31&gt;1,Database!LE34&gt;1),100*(Database!LE31/(Database!LE34)),0.0001)</f>
        <v>1E-4</v>
      </c>
      <c r="FD156" s="99">
        <f>IF(AND(Database!LG31&gt;1,Database!LG34&gt;1),100*(Database!LG31/(Database!LG34)),0.0001)</f>
        <v>1E-4</v>
      </c>
      <c r="FE156" s="99">
        <f>IF(AND(Database!LI31&gt;1,Database!LI34&gt;1),100*(Database!LI31/(Database!LI34)),0.0001)</f>
        <v>1E-4</v>
      </c>
      <c r="FF156" s="99">
        <f>IF(AND(Database!LK31&gt;1,Database!LK34&gt;1),100*(Database!LK31/(Database!LK34)),0.0001)</f>
        <v>1E-4</v>
      </c>
      <c r="FG156" s="99">
        <f>IF(AND(Database!LM31&gt;1,Database!LM34&gt;1),100*(Database!LM31/(Database!LM34)),0.0001)</f>
        <v>1E-4</v>
      </c>
      <c r="FH156" s="99">
        <f>IF(AND(Database!LO31&gt;1,Database!LO34&gt;1),100*(Database!LO31/(Database!LO34)),0.0001)</f>
        <v>1E-4</v>
      </c>
      <c r="FI156" s="99">
        <f>IF(AND(Database!LQ31&gt;1,Database!LQ34&gt;1),100*(Database!LQ31/(Database!LQ34)),0.0001)</f>
        <v>1E-4</v>
      </c>
      <c r="FJ156" s="99">
        <f>IF(AND(Database!LS31&gt;1,Database!LS34&gt;1),100*(Database!LS31/(Database!LS34)),0.0001)</f>
        <v>1E-4</v>
      </c>
      <c r="FK156" s="99">
        <f>IF(AND(Database!LU31&gt;1,Database!LU34&gt;1),100*(Database!LU31/(Database!LU34)),0.0001)</f>
        <v>1E-4</v>
      </c>
      <c r="FL156" s="99">
        <f>IF(AND(Database!LW31&gt;1,Database!LW34&gt;1),100*(Database!LW31/(Database!LW34)),0.0001)</f>
        <v>1E-4</v>
      </c>
      <c r="FM156" s="99">
        <f>IF(AND(Database!LY31&gt;1,Database!LY34&gt;1),100*(Database!LY31/(Database!LY34)),0.0001)</f>
        <v>1E-4</v>
      </c>
      <c r="FN156" s="99">
        <f>IF(AND(Database!MA31&gt;1,Database!MA34&gt;1),100*(Database!MA31/(Database!MA34)),0.0001)</f>
        <v>1E-4</v>
      </c>
      <c r="FO156" s="99">
        <f>IF(AND(Database!MC31&gt;1,Database!MC34&gt;1),100*(Database!MC31/(Database!MC34)),0.0001)</f>
        <v>1E-4</v>
      </c>
      <c r="FP156" s="99">
        <f>IF(AND(Database!ME31&gt;1,Database!ME34&gt;1),100*(Database!ME31/(Database!ME34)),0.0001)</f>
        <v>1E-4</v>
      </c>
      <c r="FQ156" s="99">
        <f>IF(AND(Database!MG31&gt;1,Database!MG34&gt;1),100*(Database!MG31/(Database!MG34)),0.0001)</f>
        <v>1E-4</v>
      </c>
      <c r="FR156" s="99">
        <f>IF(AND(Database!MI31&gt;1,Database!MI34&gt;1),100*(Database!MI31/(Database!MI34)),0.0001)</f>
        <v>1E-4</v>
      </c>
      <c r="FS156" s="99">
        <f>IF(AND(Database!MK31&gt;1,Database!MK34&gt;1),100*(Database!MK31/(Database!MK34)),0.0001)</f>
        <v>1E-4</v>
      </c>
      <c r="FT156" s="99">
        <f>IF(AND(Database!MM31&gt;1,Database!MM34&gt;1),100*(Database!MM31/(Database!MM34)),0.0001)</f>
        <v>1E-4</v>
      </c>
      <c r="FU156" s="99">
        <f>IF(AND(Database!MO31&gt;1,Database!MO34&gt;1),100*(Database!MO31/(Database!MO34)),0.0001)</f>
        <v>1E-4</v>
      </c>
      <c r="FV156" s="99">
        <f>IF(AND(Database!MQ31&gt;1,Database!MQ34&gt;1),100*(Database!MQ31/(Database!MQ34)),0.0001)</f>
        <v>1E-4</v>
      </c>
      <c r="FW156" s="99">
        <f>IF(AND(Database!MS31&gt;1,Database!MS34&gt;1),100*(Database!MS31/(Database!MS34)),0.0001)</f>
        <v>1E-4</v>
      </c>
      <c r="FX156" s="99">
        <f>IF(AND(Database!MU31&gt;1,Database!MU34&gt;1),100*(Database!MU31/(Database!MU34)),0.0001)</f>
        <v>1E-4</v>
      </c>
      <c r="FY156" s="99">
        <f>IF(AND(Database!MW31&gt;1,Database!MW34&gt;1),100*(Database!MW31/(Database!MW34)),0.0001)</f>
        <v>1E-4</v>
      </c>
      <c r="FZ156" s="99">
        <f>IF(AND(Database!MY31&gt;1,Database!MY34&gt;1),100*(Database!MY31/(Database!MY34)),0.0001)</f>
        <v>1E-4</v>
      </c>
      <c r="GA156" s="99">
        <f>IF(AND(Database!NA31&gt;1,Database!NA34&gt;1),100*(Database!NA31/(Database!NA34)),0.0001)</f>
        <v>1E-4</v>
      </c>
      <c r="GB156" s="99">
        <f>IF(AND(Database!NC31&gt;1,Database!NC34&gt;1),100*(Database!NC31/(Database!NC34)),0.0001)</f>
        <v>1E-4</v>
      </c>
      <c r="GC156" s="99">
        <f>IF(AND(Database!NE31&gt;1,Database!NE34&gt;1),100*(Database!NE31/(Database!NE34)),0.0001)</f>
        <v>1E-4</v>
      </c>
      <c r="GD156" s="99">
        <f>IF(AND(Database!NG31&gt;1,Database!NG34&gt;1),100*(Database!NG31/(Database!NG34)),0.0001)</f>
        <v>1E-4</v>
      </c>
      <c r="GE156" s="99">
        <f>IF(AND(Database!NI31&gt;1,Database!NI34&gt;1),100*(Database!NI31/(Database!NI34)),0.0001)</f>
        <v>1E-4</v>
      </c>
      <c r="GF156" s="99">
        <f>IF(AND(Database!NK31&gt;1,Database!NK34&gt;1),100*(Database!NK31/(Database!NK34)),0.0001)</f>
        <v>1E-4</v>
      </c>
      <c r="GG156" s="99">
        <f>IF(AND(Database!NM31&gt;1,Database!NM34&gt;1),100*(Database!NM31/(Database!NM34)),0.0001)</f>
        <v>1E-4</v>
      </c>
      <c r="GH156" s="99">
        <f>IF(AND(Database!NO31&gt;1,Database!NO34&gt;1),100*(Database!NO31/(Database!NO34)),0.0001)</f>
        <v>1E-4</v>
      </c>
      <c r="GI156" s="99">
        <f>IF(AND(Database!NQ31&gt;1,Database!NQ34&gt;1),100*(Database!NQ31/(Database!NQ34)),0.0001)</f>
        <v>1E-4</v>
      </c>
      <c r="GJ156" s="99">
        <f>IF(AND(Database!NS31&gt;1,Database!NS34&gt;1),100*(Database!NS31/(Database!NS34)),0.0001)</f>
        <v>1E-4</v>
      </c>
      <c r="GK156" s="99">
        <f>IF(AND(Database!NU31&gt;1,Database!NU34&gt;1),100*(Database!NU31/(Database!NU34)),0.0001)</f>
        <v>1E-4</v>
      </c>
      <c r="GL156" s="99">
        <f>IF(AND(Database!NW31&gt;1,Database!NW34&gt;1),100*(Database!NW31/(Database!NW34)),0.0001)</f>
        <v>1E-4</v>
      </c>
      <c r="GM156" s="99">
        <f>IF(AND(Database!NY31&gt;1,Database!NY34&gt;1),100*(Database!NY31/(Database!NY34)),0.0001)</f>
        <v>1E-4</v>
      </c>
      <c r="GN156" s="99">
        <f>IF(AND(Database!OA31&gt;1,Database!OA34&gt;1),100*(Database!OA31/(Database!OA34)),0.0001)</f>
        <v>1E-4</v>
      </c>
      <c r="GO156" s="99">
        <f>IF(AND(Database!OC31&gt;1,Database!OC34&gt;1),100*(Database!OC31/(Database!OC34)),0.0001)</f>
        <v>1E-4</v>
      </c>
      <c r="GP156" s="99">
        <f>IF(AND(Database!OE31&gt;1,Database!OE34&gt;1),100*(Database!OE31/(Database!OE34)),0.0001)</f>
        <v>1E-4</v>
      </c>
      <c r="GQ156" s="99">
        <f>IF(AND(Database!OG31&gt;1,Database!OG34&gt;1),100*(Database!OG31/(Database!OG34)),0.0001)</f>
        <v>1E-4</v>
      </c>
      <c r="GR156" s="99">
        <f>IF(AND(Database!OI31&gt;1,Database!OI34&gt;1),100*(Database!OI31/(Database!OI34)),0.0001)</f>
        <v>1E-4</v>
      </c>
      <c r="GS156" s="99">
        <f>IF(AND(Database!OK31&gt;1,Database!OK34&gt;1),100*(Database!OK31/(Database!OK34)),0.0001)</f>
        <v>1E-4</v>
      </c>
      <c r="GT156" s="30">
        <f>IF(AND(Database!OM31&gt;1,Database!OM34&gt;1),100*(Database!OM31/(Database!OM34)),0.0001)</f>
        <v>1E-4</v>
      </c>
      <c r="GU156" s="99"/>
      <c r="GV156" s="99"/>
      <c r="GW156" s="99"/>
    </row>
    <row r="157" spans="1:205" ht="18.75" customHeight="1" x14ac:dyDescent="0.4">
      <c r="A157" s="240" t="s">
        <v>167</v>
      </c>
      <c r="B157" s="96"/>
      <c r="C157" s="260">
        <f>IF(AND(Database!E112&gt;1,Database!E114&gt;1),100*(Database!E112/(Database!E114)),0.0001)</f>
        <v>1E-4</v>
      </c>
      <c r="D157" s="99">
        <f>IF(AND(Database!G112&gt;1,Database!G114&gt;1),100*(Database!G112/(Database!G114)),0.0001)</f>
        <v>1E-4</v>
      </c>
      <c r="E157" s="99">
        <f>IF(AND(Database!I112&gt;1,Database!I114&gt;1),100*(Database!I112/(Database!I114)),0.0001)</f>
        <v>1E-4</v>
      </c>
      <c r="F157" s="99">
        <f>IF(AND(Database!K112&gt;1,Database!K114&gt;1),100*(Database!K112/(Database!K114)),0.0001)</f>
        <v>1E-4</v>
      </c>
      <c r="G157" s="99">
        <f>IF(AND(Database!M112&gt;1,Database!M114&gt;1),100*(Database!M112/(Database!M114)),0.0001)</f>
        <v>1E-4</v>
      </c>
      <c r="H157" s="99">
        <f>IF(AND(Database!O112&gt;1,Database!O114&gt;1),100*(Database!O112/(Database!O114)),0.0001)</f>
        <v>1E-4</v>
      </c>
      <c r="I157" s="99">
        <f>IF(AND(Database!Q112&gt;1,Database!Q114&gt;1),100*(Database!Q112/(Database!Q114)),0.0001)</f>
        <v>1E-4</v>
      </c>
      <c r="J157" s="99">
        <f>IF(AND(Database!S112&gt;1,Database!S114&gt;1),100*(Database!S112/(Database!S114)),0.0001)</f>
        <v>1E-4</v>
      </c>
      <c r="K157" s="99">
        <f>IF(AND(Database!U112&gt;1,Database!U114&gt;1),100*(Database!U112/(Database!U114)),0.0001)</f>
        <v>1E-4</v>
      </c>
      <c r="L157" s="99">
        <f>IF(AND(Database!W112&gt;1,Database!W114&gt;1),100*(Database!W112/(Database!W114)),0.0001)</f>
        <v>1E-4</v>
      </c>
      <c r="M157" s="99">
        <f>IF(AND(Database!Y112&gt;1,Database!Y114&gt;1),100*(Database!Y112/(Database!Y114)),0.0001)</f>
        <v>1E-4</v>
      </c>
      <c r="N157" s="99">
        <f>IF(AND(Database!AA112&gt;1,Database!AA114&gt;1),100*(Database!AA112/(Database!AA114)),0.0001)</f>
        <v>1E-4</v>
      </c>
      <c r="O157" s="99">
        <f>IF(AND(Database!AC112&gt;1,Database!AC114&gt;1),100*(Database!AC112/(Database!AC114)),0.0001)</f>
        <v>1E-4</v>
      </c>
      <c r="P157" s="99">
        <f>IF(AND(Database!AE112&gt;1,Database!AE114&gt;1),100*(Database!AE112/(Database!AE114)),0.0001)</f>
        <v>1E-4</v>
      </c>
      <c r="Q157" s="99">
        <f>IF(AND(Database!AG112&gt;1,Database!AG114&gt;1),100*(Database!AG112/(Database!AG114)),0.0001)</f>
        <v>1E-4</v>
      </c>
      <c r="R157" s="99">
        <f>IF(AND(Database!AI112&gt;1,Database!AI114&gt;1),100*(Database!AI112/(Database!AI114)),0.0001)</f>
        <v>1E-4</v>
      </c>
      <c r="S157" s="99">
        <f>IF(AND(Database!AK112&gt;1,Database!AK114&gt;1),100*(Database!AK112/(Database!AK114)),0.0001)</f>
        <v>1E-4</v>
      </c>
      <c r="T157" s="99">
        <f>IF(AND(Database!AM112&gt;1,Database!AM114&gt;1),100*(Database!AM112/(Database!AM114)),0.0001)</f>
        <v>1E-4</v>
      </c>
      <c r="U157" s="99">
        <f>IF(AND(Database!AO112&gt;1,Database!AO114&gt;1),100*(Database!AO112/(Database!AO114)),0.0001)</f>
        <v>1E-4</v>
      </c>
      <c r="V157" s="99">
        <f>IF(AND(Database!AQ112&gt;1,Database!AQ114&gt;1),100*(Database!AQ112/(Database!AQ114)),0.0001)</f>
        <v>1E-4</v>
      </c>
      <c r="W157" s="99">
        <f>IF(AND(Database!AS112&gt;1,Database!AS114&gt;1),100*(Database!AS112/(Database!AS114)),0.0001)</f>
        <v>1E-4</v>
      </c>
      <c r="X157" s="99">
        <f>IF(AND(Database!AU112&gt;1,Database!AU114&gt;1),100*(Database!AU112/(Database!AU114)),0.0001)</f>
        <v>1E-4</v>
      </c>
      <c r="Y157" s="99">
        <f>IF(AND(Database!AW112&gt;1,Database!AW114&gt;1),100*(Database!AW112/(Database!AW114)),0.0001)</f>
        <v>1E-4</v>
      </c>
      <c r="Z157" s="99">
        <f>IF(AND(Database!AY112&gt;1,Database!AY114&gt;1),100*(Database!AY112/(Database!AY114)),0.0001)</f>
        <v>1E-4</v>
      </c>
      <c r="AA157" s="99">
        <f>IF(AND(Database!BA112&gt;1,Database!BA114&gt;1),100*(Database!BA112/(Database!BA114)),0.0001)</f>
        <v>1E-4</v>
      </c>
      <c r="AB157" s="99">
        <f>IF(AND(Database!BC112&gt;1,Database!BC114&gt;1),100*(Database!BC112/(Database!BC114)),0.0001)</f>
        <v>1E-4</v>
      </c>
      <c r="AC157" s="99">
        <f>IF(AND(Database!BE112&gt;1,Database!BE114&gt;1),100*(Database!BE112/(Database!BE114)),0.0001)</f>
        <v>1E-4</v>
      </c>
      <c r="AD157" s="99">
        <f>IF(AND(Database!BG112&gt;1,Database!BG114&gt;1),100*(Database!BG112/(Database!BG114)),0.0001)</f>
        <v>1E-4</v>
      </c>
      <c r="AE157" s="99">
        <f>IF(AND(Database!BI112&gt;1,Database!BI114&gt;1),100*(Database!BI112/(Database!BI114)),0.0001)</f>
        <v>1E-4</v>
      </c>
      <c r="AF157" s="99">
        <f>IF(AND(Database!BK112&gt;1,Database!BK114&gt;1),100*(Database!BK112/(Database!BK114)),0.0001)</f>
        <v>1E-4</v>
      </c>
      <c r="AG157" s="99">
        <f>IF(AND(Database!BM112&gt;1,Database!BM114&gt;1),100*(Database!BM112/(Database!BM114)),0.0001)</f>
        <v>1E-4</v>
      </c>
      <c r="AH157" s="99">
        <f>IF(AND(Database!BO112&gt;1,Database!BO114&gt;1),100*(Database!BO112/(Database!BO114)),0.0001)</f>
        <v>1E-4</v>
      </c>
      <c r="AI157" s="99">
        <f>IF(AND(Database!BQ112&gt;1,Database!BQ114&gt;1),100*(Database!BQ112/(Database!BQ114)),0.0001)</f>
        <v>1E-4</v>
      </c>
      <c r="AJ157" s="99">
        <f>IF(AND(Database!BS112&gt;1,Database!BS114&gt;1),100*(Database!BS112/(Database!BS114)),0.0001)</f>
        <v>1E-4</v>
      </c>
      <c r="AK157" s="99">
        <f>IF(AND(Database!BU112&gt;1,Database!BU114&gt;1),100*(Database!BU112/(Database!BU114)),0.0001)</f>
        <v>1E-4</v>
      </c>
      <c r="AL157" s="99">
        <f>IF(AND(Database!BW112&gt;1,Database!BW114&gt;1),100*(Database!BW112/(Database!BW114)),0.0001)</f>
        <v>1E-4</v>
      </c>
      <c r="AM157" s="99">
        <f>IF(AND(Database!BY112&gt;1,Database!BY114&gt;1),100*(Database!BY112/(Database!BY114)),0.0001)</f>
        <v>1E-4</v>
      </c>
      <c r="AN157" s="99">
        <f>IF(AND(Database!CA112&gt;1,Database!CA114&gt;1),100*(Database!CA112/(Database!CA114)),0.0001)</f>
        <v>1E-4</v>
      </c>
      <c r="AO157" s="99">
        <f>IF(AND(Database!CC112&gt;1,Database!CC114&gt;1),100*(Database!CC112/(Database!CC114)),0.0001)</f>
        <v>1E-4</v>
      </c>
      <c r="AP157" s="99">
        <f>IF(AND(Database!CE112&gt;1,Database!CE114&gt;1),100*(Database!CE112/(Database!CE114)),0.0001)</f>
        <v>1E-4</v>
      </c>
      <c r="AQ157" s="99">
        <f>IF(AND(Database!CG112&gt;1,Database!CG114&gt;1),100*(Database!CG112/(Database!CG114)),0.0001)</f>
        <v>1E-4</v>
      </c>
      <c r="AR157" s="99">
        <f>IF(AND(Database!CI112&gt;1,Database!CI114&gt;1),100*(Database!CI112/(Database!CI114)),0.0001)</f>
        <v>1E-4</v>
      </c>
      <c r="AS157" s="99">
        <f>IF(AND(Database!CK112&gt;1,Database!CK114&gt;1),100*(Database!CK112/(Database!CK114)),0.0001)</f>
        <v>1E-4</v>
      </c>
      <c r="AT157" s="99">
        <f>IF(AND(Database!CM112&gt;1,Database!CM114&gt;1),100*(Database!CM112/(Database!CM114)),0.0001)</f>
        <v>1E-4</v>
      </c>
      <c r="AU157" s="99">
        <f>IF(AND(Database!CO112&gt;1,Database!CO114&gt;1),100*(Database!CO112/(Database!CO114)),0.0001)</f>
        <v>1E-4</v>
      </c>
      <c r="AV157" s="99">
        <f>IF(AND(Database!CQ112&gt;1,Database!CQ114&gt;1),100*(Database!CQ112/(Database!CQ114)),0.0001)</f>
        <v>1E-4</v>
      </c>
      <c r="AW157" s="99">
        <f>IF(AND(Database!CS112&gt;1,Database!CS114&gt;1),100*(Database!CS112/(Database!CS114)),0.0001)</f>
        <v>1E-4</v>
      </c>
      <c r="AX157" s="99">
        <f>IF(AND(Database!CU112&gt;1,Database!CU114&gt;1),100*(Database!CU112/(Database!CU114)),0.0001)</f>
        <v>1E-4</v>
      </c>
      <c r="AY157" s="99">
        <f>IF(AND(Database!CW112&gt;1,Database!CW114&gt;1),100*(Database!CW112/(Database!CW114)),0.0001)</f>
        <v>1E-4</v>
      </c>
      <c r="AZ157" s="99">
        <f>IF(AND(Database!CY112&gt;1,Database!CY114&gt;1),100*(Database!CY112/(Database!CY114)),0.0001)</f>
        <v>1E-4</v>
      </c>
      <c r="BA157" s="99">
        <f>IF(AND(Database!DA112&gt;1,Database!DA114&gt;1),100*(Database!DA112/(Database!DA114)),0.0001)</f>
        <v>1E-4</v>
      </c>
      <c r="BB157" s="99">
        <f>IF(AND(Database!DC112&gt;1,Database!DC114&gt;1),100*(Database!DC112/(Database!DC114)),0.0001)</f>
        <v>1E-4</v>
      </c>
      <c r="BC157" s="99">
        <f>IF(AND(Database!DE112&gt;1,Database!DE114&gt;1),100*(Database!DE112/(Database!DE114)),0.0001)</f>
        <v>1E-4</v>
      </c>
      <c r="BD157" s="99">
        <f>IF(AND(Database!DG112&gt;1,Database!DG114&gt;1),100*(Database!DG112/(Database!DG114)),0.0001)</f>
        <v>1E-4</v>
      </c>
      <c r="BE157" s="99">
        <f>IF(AND(Database!DI112&gt;1,Database!DI114&gt;1),100*(Database!DI112/(Database!DI114)),0.0001)</f>
        <v>1E-4</v>
      </c>
      <c r="BF157" s="99">
        <f>IF(AND(Database!DK112&gt;1,Database!DK114&gt;1),100*(Database!DK112/(Database!DK114)),0.0001)</f>
        <v>1E-4</v>
      </c>
      <c r="BG157" s="99">
        <f>IF(AND(Database!DM112&gt;1,Database!DM114&gt;1),100*(Database!DM112/(Database!DM114)),0.0001)</f>
        <v>1E-4</v>
      </c>
      <c r="BH157" s="99">
        <f>IF(AND(Database!DO112&gt;1,Database!DO114&gt;1),100*(Database!DO112/(Database!DO114)),0.0001)</f>
        <v>1E-4</v>
      </c>
      <c r="BI157" s="99">
        <f>IF(AND(Database!DQ112&gt;1,Database!DQ114&gt;1),100*(Database!DQ112/(Database!DQ114)),0.0001)</f>
        <v>1E-4</v>
      </c>
      <c r="BJ157" s="99">
        <f>IF(AND(Database!DS112&gt;1,Database!DS114&gt;1),100*(Database!DS112/(Database!DS114)),0.0001)</f>
        <v>1E-4</v>
      </c>
      <c r="BK157" s="99">
        <f>IF(AND(Database!DU112&gt;1,Database!DU114&gt;1),100*(Database!DU112/(Database!DU114)),0.0001)</f>
        <v>1E-4</v>
      </c>
      <c r="BL157" s="99">
        <f>IF(AND(Database!DW112&gt;1,Database!DW114&gt;1),100*(Database!DW112/(Database!DW114)),0.0001)</f>
        <v>1E-4</v>
      </c>
      <c r="BM157" s="99">
        <f>IF(AND(Database!DY112&gt;1,Database!DY114&gt;1),100*(Database!DY112/(Database!DY114)),0.0001)</f>
        <v>1E-4</v>
      </c>
      <c r="BN157" s="99">
        <f>IF(AND(Database!EA112&gt;1,Database!EA114&gt;1),100*(Database!EA112/(Database!EA114)),0.0001)</f>
        <v>1E-4</v>
      </c>
      <c r="BO157" s="99">
        <f>IF(AND(Database!EC112&gt;1,Database!EC114&gt;1),100*(Database!EC112/(Database!EC114)),0.0001)</f>
        <v>1E-4</v>
      </c>
      <c r="BP157" s="99">
        <f>IF(AND(Database!EE112&gt;1,Database!EE114&gt;1),100*(Database!EE112/(Database!EE114)),0.0001)</f>
        <v>1E-4</v>
      </c>
      <c r="BQ157" s="99">
        <f>IF(AND(Database!EG112&gt;1,Database!EG114&gt;1),100*(Database!EG112/(Database!EG114)),0.0001)</f>
        <v>1E-4</v>
      </c>
      <c r="BR157" s="99">
        <f>IF(AND(Database!EI112&gt;1,Database!EI114&gt;1),100*(Database!EI112/(Database!EI114)),0.0001)</f>
        <v>1E-4</v>
      </c>
      <c r="BS157" s="99">
        <f>IF(AND(Database!EK112&gt;1,Database!EK114&gt;1),100*(Database!EK112/(Database!EK114)),0.0001)</f>
        <v>1E-4</v>
      </c>
      <c r="BT157" s="99">
        <f>IF(AND(Database!EM112&gt;1,Database!EM114&gt;1),100*(Database!EM112/(Database!EM114)),0.0001)</f>
        <v>1E-4</v>
      </c>
      <c r="BU157" s="99">
        <f>IF(AND(Database!EO112&gt;1,Database!EO114&gt;1),100*(Database!EO112/(Database!EO114)),0.0001)</f>
        <v>1E-4</v>
      </c>
      <c r="BV157" s="99">
        <f>IF(AND(Database!EQ112&gt;1,Database!EQ114&gt;1),100*(Database!EQ112/(Database!EQ114)),0.0001)</f>
        <v>1E-4</v>
      </c>
      <c r="BW157" s="99">
        <f>IF(AND(Database!ES112&gt;1,Database!ES114&gt;1),100*(Database!ES112/(Database!ES114)),0.0001)</f>
        <v>1E-4</v>
      </c>
      <c r="BX157" s="99">
        <f>IF(AND(Database!EU112&gt;1,Database!EU114&gt;1),100*(Database!EU112/(Database!EU114)),0.0001)</f>
        <v>1E-4</v>
      </c>
      <c r="BY157" s="99">
        <f>IF(AND(Database!EW112&gt;1,Database!EW114&gt;1),100*(Database!EW112/(Database!EW114)),0.0001)</f>
        <v>1E-4</v>
      </c>
      <c r="BZ157" s="99">
        <f>IF(AND(Database!EY112&gt;1,Database!EY114&gt;1),100*(Database!EY112/(Database!EY114)),0.0001)</f>
        <v>1E-4</v>
      </c>
      <c r="CA157" s="99">
        <f>IF(AND(Database!FA112&gt;1,Database!FA114&gt;1),100*(Database!FA112/(Database!FA114)),0.0001)</f>
        <v>1E-4</v>
      </c>
      <c r="CB157" s="99">
        <f>IF(AND(Database!FC112&gt;1,Database!FC114&gt;1),100*(Database!FC112/(Database!FC114)),0.0001)</f>
        <v>1E-4</v>
      </c>
      <c r="CC157" s="99">
        <f>IF(AND(Database!FE112&gt;1,Database!FE114&gt;1),100*(Database!FE112/(Database!FE114)),0.0001)</f>
        <v>1E-4</v>
      </c>
      <c r="CD157" s="99">
        <f>IF(AND(Database!FG112&gt;1,Database!FG114&gt;1),100*(Database!FG112/(Database!FG114)),0.0001)</f>
        <v>1E-4</v>
      </c>
      <c r="CE157" s="99">
        <f>IF(AND(Database!FI112&gt;1,Database!FI114&gt;1),100*(Database!FI112/(Database!FI114)),0.0001)</f>
        <v>1E-4</v>
      </c>
      <c r="CF157" s="99">
        <f>IF(AND(Database!FK112&gt;1,Database!FK114&gt;1),100*(Database!FK112/(Database!FK114)),0.0001)</f>
        <v>1E-4</v>
      </c>
      <c r="CG157" s="99">
        <f>IF(AND(Database!FM112&gt;1,Database!FM114&gt;1),100*(Database!FM112/(Database!FM114)),0.0001)</f>
        <v>1E-4</v>
      </c>
      <c r="CH157" s="99">
        <f>IF(AND(Database!FO112&gt;1,Database!FO114&gt;1),100*(Database!FO112/(Database!FO114)),0.0001)</f>
        <v>1E-4</v>
      </c>
      <c r="CI157" s="99">
        <f>IF(AND(Database!FQ112&gt;1,Database!FQ114&gt;1),100*(Database!FQ112/(Database!FQ114)),0.0001)</f>
        <v>1E-4</v>
      </c>
      <c r="CJ157" s="99">
        <f>IF(AND(Database!FS112&gt;1,Database!FS114&gt;1),100*(Database!FS112/(Database!FS114)),0.0001)</f>
        <v>1E-4</v>
      </c>
      <c r="CK157" s="99">
        <f>IF(AND(Database!FU112&gt;1,Database!FU114&gt;1),100*(Database!FU112/(Database!FU114)),0.0001)</f>
        <v>1E-4</v>
      </c>
      <c r="CL157" s="99">
        <f>IF(AND(Database!FW112&gt;1,Database!FW114&gt;1),100*(Database!FW112/(Database!FW114)),0.0001)</f>
        <v>1E-4</v>
      </c>
      <c r="CM157" s="99">
        <f>IF(AND(Database!FY112&gt;1,Database!FY114&gt;1),100*(Database!FY112/(Database!FY114)),0.0001)</f>
        <v>1E-4</v>
      </c>
      <c r="CN157" s="99">
        <f>IF(AND(Database!GA112&gt;1,Database!GA114&gt;1),100*(Database!GA112/(Database!GA114)),0.0001)</f>
        <v>1E-4</v>
      </c>
      <c r="CO157" s="99">
        <f>IF(AND(Database!GC112&gt;1,Database!GC114&gt;1),100*(Database!GC112/(Database!GC114)),0.0001)</f>
        <v>1E-4</v>
      </c>
      <c r="CP157" s="99">
        <f>IF(AND(Database!GE112&gt;1,Database!GE114&gt;1),100*(Database!GE112/(Database!GE114)),0.0001)</f>
        <v>1E-4</v>
      </c>
      <c r="CQ157" s="99">
        <f>IF(AND(Database!GG112&gt;1,Database!GG114&gt;1),100*(Database!GG112/(Database!GG114)),0.0001)</f>
        <v>1E-4</v>
      </c>
      <c r="CR157" s="99">
        <f>IF(AND(Database!GI112&gt;1,Database!GI114&gt;1),100*(Database!GI112/(Database!GI114)),0.0001)</f>
        <v>1E-4</v>
      </c>
      <c r="CS157" s="99">
        <f>IF(AND(Database!GK112&gt;1,Database!GK114&gt;1),100*(Database!GK112/(Database!GK114)),0.0001)</f>
        <v>1E-4</v>
      </c>
      <c r="CT157" s="99">
        <f>IF(AND(Database!GM112&gt;1,Database!GM114&gt;1),100*(Database!GM112/(Database!GM114)),0.0001)</f>
        <v>1E-4</v>
      </c>
      <c r="CU157" s="99">
        <f>IF(AND(Database!GO112&gt;1,Database!GO114&gt;1),100*(Database!GO112/(Database!GO114)),0.0001)</f>
        <v>1E-4</v>
      </c>
      <c r="CV157" s="99">
        <f>IF(AND(Database!GQ112&gt;1,Database!GQ114&gt;1),100*(Database!GQ112/(Database!GQ114)),0.0001)</f>
        <v>1E-4</v>
      </c>
      <c r="CW157" s="99">
        <f>IF(AND(Database!GS112&gt;1,Database!GS114&gt;1),100*(Database!GS112/(Database!GS114)),0.0001)</f>
        <v>1E-4</v>
      </c>
      <c r="CX157" s="99">
        <f>IF(AND(Database!GU112&gt;1,Database!GU114&gt;1),100*(Database!GU112/(Database!GU114)),0.0001)</f>
        <v>1E-4</v>
      </c>
      <c r="CY157" s="99">
        <f>IF(AND(Database!GW112&gt;1,Database!GW114&gt;1),100*(Database!GW112/(Database!GW114)),0.0001)</f>
        <v>1E-4</v>
      </c>
      <c r="CZ157" s="99">
        <f>IF(AND(Database!GY112&gt;1,Database!GY114&gt;1),100*(Database!GY112/(Database!GY114)),0.0001)</f>
        <v>1E-4</v>
      </c>
      <c r="DA157" s="99">
        <f>IF(AND(Database!HA112&gt;1,Database!HA114&gt;1),100*(Database!HA112/(Database!HA114)),0.0001)</f>
        <v>1E-4</v>
      </c>
      <c r="DB157" s="99">
        <f>IF(AND(Database!HC112&gt;1,Database!HC114&gt;1),100*(Database!HC112/(Database!HC114)),0.0001)</f>
        <v>1E-4</v>
      </c>
      <c r="DC157" s="99">
        <f>IF(AND(Database!HE112&gt;1,Database!HE114&gt;1),100*(Database!HE112/(Database!HE114)),0.0001)</f>
        <v>1E-4</v>
      </c>
      <c r="DD157" s="99">
        <f>IF(AND(Database!HG112&gt;1,Database!HG114&gt;1),100*(Database!HG112/(Database!HG114)),0.0001)</f>
        <v>1E-4</v>
      </c>
      <c r="DE157" s="99">
        <f>IF(AND(Database!HI112&gt;1,Database!HI114&gt;1),100*(Database!HI112/(Database!HI114)),0.0001)</f>
        <v>1E-4</v>
      </c>
      <c r="DF157" s="99">
        <f>IF(AND(Database!HK112&gt;1,Database!HK114&gt;1),100*(Database!HK112/(Database!HK114)),0.0001)</f>
        <v>1E-4</v>
      </c>
      <c r="DG157" s="99">
        <f>IF(AND(Database!HM112&gt;1,Database!HM114&gt;1),100*(Database!HM112/(Database!HM114)),0.0001)</f>
        <v>1E-4</v>
      </c>
      <c r="DH157" s="99">
        <f>IF(AND(Database!HO112&gt;1,Database!HO114&gt;1),100*(Database!HO112/(Database!HO114)),0.0001)</f>
        <v>1E-4</v>
      </c>
      <c r="DI157" s="99">
        <f>IF(AND(Database!HQ112&gt;1,Database!HQ114&gt;1),100*(Database!HQ112/(Database!HQ114)),0.0001)</f>
        <v>1E-4</v>
      </c>
      <c r="DJ157" s="99">
        <f>IF(AND(Database!HS112&gt;1,Database!HS114&gt;1),100*(Database!HS112/(Database!HS114)),0.0001)</f>
        <v>1E-4</v>
      </c>
      <c r="DK157" s="99">
        <f>IF(AND(Database!HU112&gt;1,Database!HU114&gt;1),100*(Database!HU112/(Database!HU114)),0.0001)</f>
        <v>1E-4</v>
      </c>
      <c r="DL157" s="99">
        <f>IF(AND(Database!HW112&gt;1,Database!HW114&gt;1),100*(Database!HW112/(Database!HW114)),0.0001)</f>
        <v>1E-4</v>
      </c>
      <c r="DM157" s="99">
        <f>IF(AND(Database!HY112&gt;1,Database!HY114&gt;1),100*(Database!HY112/(Database!HY114)),0.0001)</f>
        <v>1E-4</v>
      </c>
      <c r="DN157" s="99">
        <f>IF(AND(Database!IA112&gt;1,Database!IA114&gt;1),100*(Database!IA112/(Database!IA114)),0.0001)</f>
        <v>1E-4</v>
      </c>
      <c r="DO157" s="99">
        <f>IF(AND(Database!IC112&gt;1,Database!IC114&gt;1),100*(Database!IC112/(Database!IC114)),0.0001)</f>
        <v>1E-4</v>
      </c>
      <c r="DP157" s="99">
        <f>IF(AND(Database!IE112&gt;1,Database!IE114&gt;1),100*(Database!IE112/(Database!IE114)),0.0001)</f>
        <v>1E-4</v>
      </c>
      <c r="DQ157" s="99">
        <f>IF(AND(Database!IG112&gt;1,Database!IG114&gt;1),100*(Database!IG112/(Database!IG114)),0.0001)</f>
        <v>1E-4</v>
      </c>
      <c r="DR157" s="99">
        <f>IF(AND(Database!II112&gt;1,Database!II114&gt;1),100*(Database!II112/(Database!II114)),0.0001)</f>
        <v>1E-4</v>
      </c>
      <c r="DS157" s="99">
        <f>IF(AND(Database!IK112&gt;1,Database!IK114&gt;1),100*(Database!IK112/(Database!IK114)),0.0001)</f>
        <v>1E-4</v>
      </c>
      <c r="DT157" s="99">
        <f>IF(AND(Database!IM112&gt;1,Database!IM114&gt;1),100*(Database!IM112/(Database!IM114)),0.0001)</f>
        <v>1E-4</v>
      </c>
      <c r="DU157" s="99">
        <f>IF(AND(Database!IO112&gt;1,Database!IO114&gt;1),100*(Database!IO112/(Database!IO114)),0.0001)</f>
        <v>1E-4</v>
      </c>
      <c r="DV157" s="99">
        <f>IF(AND(Database!IQ112&gt;1,Database!IQ114&gt;1),100*(Database!IQ112/(Database!IQ114)),0.0001)</f>
        <v>1E-4</v>
      </c>
      <c r="DW157" s="99">
        <f>IF(AND(Database!IS112&gt;1,Database!IS114&gt;1),100*(Database!IS112/(Database!IS114)),0.0001)</f>
        <v>1E-4</v>
      </c>
      <c r="DX157" s="99">
        <f>IF(AND(Database!IU112&gt;1,Database!IU114&gt;1),100*(Database!IU112/(Database!IU114)),0.0001)</f>
        <v>1E-4</v>
      </c>
      <c r="DY157" s="99">
        <f>IF(AND(Database!IW112&gt;1,Database!IW114&gt;1),100*(Database!IW112/(Database!IW114)),0.0001)</f>
        <v>1E-4</v>
      </c>
      <c r="DZ157" s="99">
        <f>IF(AND(Database!IY112&gt;1,Database!IY114&gt;1),100*(Database!IY112/(Database!IY114)),0.0001)</f>
        <v>1E-4</v>
      </c>
      <c r="EA157" s="99">
        <f>IF(AND(Database!JA112&gt;1,Database!JA114&gt;1),100*(Database!JA112/(Database!JA114)),0.0001)</f>
        <v>1E-4</v>
      </c>
      <c r="EB157" s="99">
        <f>IF(AND(Database!JC112&gt;1,Database!JC114&gt;1),100*(Database!JC112/(Database!JC114)),0.0001)</f>
        <v>1E-4</v>
      </c>
      <c r="EC157" s="99">
        <f>IF(AND(Database!JE112&gt;1,Database!JE114&gt;1),100*(Database!JE112/(Database!JE114)),0.0001)</f>
        <v>1E-4</v>
      </c>
      <c r="ED157" s="99">
        <f>IF(AND(Database!JG112&gt;1,Database!JG114&gt;1),100*(Database!JG112/(Database!JG114)),0.0001)</f>
        <v>1E-4</v>
      </c>
      <c r="EE157" s="99">
        <f>IF(AND(Database!JI112&gt;1,Database!JI114&gt;1),100*(Database!JI112/(Database!JI114)),0.0001)</f>
        <v>1E-4</v>
      </c>
      <c r="EF157" s="99">
        <f>IF(AND(Database!JK112&gt;1,Database!JK114&gt;1),100*(Database!JK112/(Database!JK114)),0.0001)</f>
        <v>1E-4</v>
      </c>
      <c r="EG157" s="99">
        <f>IF(AND(Database!JM112&gt;1,Database!JM114&gt;1),100*(Database!JM112/(Database!JM114)),0.0001)</f>
        <v>1E-4</v>
      </c>
      <c r="EH157" s="99">
        <f>IF(AND(Database!JO112&gt;1,Database!JO114&gt;1),100*(Database!JO112/(Database!JO114)),0.0001)</f>
        <v>1E-4</v>
      </c>
      <c r="EI157" s="99">
        <f>IF(AND(Database!JQ112&gt;1,Database!JQ114&gt;1),100*(Database!JQ112/(Database!JQ114)),0.0001)</f>
        <v>1E-4</v>
      </c>
      <c r="EJ157" s="99">
        <f>IF(AND(Database!JS112&gt;1,Database!JS114&gt;1),100*(Database!JS112/(Database!JS114)),0.0001)</f>
        <v>1E-4</v>
      </c>
      <c r="EK157" s="99">
        <f>IF(AND(Database!JU112&gt;1,Database!JU114&gt;1),100*(Database!JU112/(Database!JU114)),0.0001)</f>
        <v>1E-4</v>
      </c>
      <c r="EL157" s="99">
        <f>IF(AND(Database!JW112&gt;1,Database!JW114&gt;1),100*(Database!JW112/(Database!JW114)),0.0001)</f>
        <v>1E-4</v>
      </c>
      <c r="EM157" s="99">
        <f>IF(AND(Database!JY112&gt;1,Database!JY114&gt;1),100*(Database!JY112/(Database!JY114)),0.0001)</f>
        <v>1E-4</v>
      </c>
      <c r="EN157" s="99">
        <f>IF(AND(Database!KA112&gt;1,Database!KA114&gt;1),100*(Database!KA112/(Database!KA114)),0.0001)</f>
        <v>1E-4</v>
      </c>
      <c r="EO157" s="99">
        <f>IF(AND(Database!KC112&gt;1,Database!KC114&gt;1),100*(Database!KC112/(Database!KC114)),0.0001)</f>
        <v>1E-4</v>
      </c>
      <c r="EP157" s="99">
        <f>IF(AND(Database!KE112&gt;1,Database!KE114&gt;1),100*(Database!KE112/(Database!KE114)),0.0001)</f>
        <v>1E-4</v>
      </c>
      <c r="EQ157" s="99">
        <f>IF(AND(Database!KG112&gt;1,Database!KG114&gt;1),100*(Database!KG112/(Database!KG114)),0.0001)</f>
        <v>1E-4</v>
      </c>
      <c r="ER157" s="99">
        <f>IF(AND(Database!KI112&gt;1,Database!KI114&gt;1),100*(Database!KI112/(Database!KI114)),0.0001)</f>
        <v>1E-4</v>
      </c>
      <c r="ES157" s="99">
        <f>IF(AND(Database!KK112&gt;1,Database!KK114&gt;1),100*(Database!KK112/(Database!KK114)),0.0001)</f>
        <v>1E-4</v>
      </c>
      <c r="ET157" s="99">
        <f>IF(AND(Database!KM112&gt;1,Database!KM114&gt;1),100*(Database!KM112/(Database!KM114)),0.0001)</f>
        <v>1E-4</v>
      </c>
      <c r="EU157" s="99">
        <f>IF(AND(Database!KO112&gt;1,Database!KO114&gt;1),100*(Database!KO112/(Database!KO114)),0.0001)</f>
        <v>1E-4</v>
      </c>
      <c r="EV157" s="99">
        <f>IF(AND(Database!KQ112&gt;1,Database!KQ114&gt;1),100*(Database!KQ112/(Database!KQ114)),0.0001)</f>
        <v>1E-4</v>
      </c>
      <c r="EW157" s="99">
        <f>IF(AND(Database!KS112&gt;1,Database!KS114&gt;1),100*(Database!KS112/(Database!KS114)),0.0001)</f>
        <v>1E-4</v>
      </c>
      <c r="EX157" s="99">
        <f>IF(AND(Database!KU112&gt;1,Database!KU114&gt;1),100*(Database!KU112/(Database!KU114)),0.0001)</f>
        <v>1E-4</v>
      </c>
      <c r="EY157" s="99">
        <f>IF(AND(Database!KW112&gt;1,Database!KW114&gt;1),100*(Database!KW112/(Database!KW114)),0.0001)</f>
        <v>1E-4</v>
      </c>
      <c r="EZ157" s="99">
        <f>IF(AND(Database!KY112&gt;1,Database!KY114&gt;1),100*(Database!KY112/(Database!KY114)),0.0001)</f>
        <v>1E-4</v>
      </c>
      <c r="FA157" s="99">
        <f>IF(AND(Database!LA112&gt;1,Database!LA114&gt;1),100*(Database!LA112/(Database!LA114)),0.0001)</f>
        <v>1E-4</v>
      </c>
      <c r="FB157" s="99">
        <f>IF(AND(Database!LC112&gt;1,Database!LC114&gt;1),100*(Database!LC112/(Database!LC114)),0.0001)</f>
        <v>1E-4</v>
      </c>
      <c r="FC157" s="99">
        <f>IF(AND(Database!LE112&gt;1,Database!LE114&gt;1),100*(Database!LE112/(Database!LE114)),0.0001)</f>
        <v>1E-4</v>
      </c>
      <c r="FD157" s="99">
        <f>IF(AND(Database!LG112&gt;1,Database!LG114&gt;1),100*(Database!LG112/(Database!LG114)),0.0001)</f>
        <v>1E-4</v>
      </c>
      <c r="FE157" s="99">
        <f>IF(AND(Database!LI112&gt;1,Database!LI114&gt;1),100*(Database!LI112/(Database!LI114)),0.0001)</f>
        <v>1E-4</v>
      </c>
      <c r="FF157" s="99">
        <f>IF(AND(Database!LK112&gt;1,Database!LK114&gt;1),100*(Database!LK112/(Database!LK114)),0.0001)</f>
        <v>1E-4</v>
      </c>
      <c r="FG157" s="99">
        <f>IF(AND(Database!LM112&gt;1,Database!LM114&gt;1),100*(Database!LM112/(Database!LM114)),0.0001)</f>
        <v>1E-4</v>
      </c>
      <c r="FH157" s="99">
        <f>IF(AND(Database!LO112&gt;1,Database!LO114&gt;1),100*(Database!LO112/(Database!LO114)),0.0001)</f>
        <v>1E-4</v>
      </c>
      <c r="FI157" s="99">
        <f>IF(AND(Database!LQ112&gt;1,Database!LQ114&gt;1),100*(Database!LQ112/(Database!LQ114)),0.0001)</f>
        <v>1E-4</v>
      </c>
      <c r="FJ157" s="99">
        <f>IF(AND(Database!LS112&gt;1,Database!LS114&gt;1),100*(Database!LS112/(Database!LS114)),0.0001)</f>
        <v>1E-4</v>
      </c>
      <c r="FK157" s="99">
        <f>IF(AND(Database!LU112&gt;1,Database!LU114&gt;1),100*(Database!LU112/(Database!LU114)),0.0001)</f>
        <v>1E-4</v>
      </c>
      <c r="FL157" s="99">
        <f>IF(AND(Database!LW112&gt;1,Database!LW114&gt;1),100*(Database!LW112/(Database!LW114)),0.0001)</f>
        <v>1E-4</v>
      </c>
      <c r="FM157" s="99">
        <f>IF(AND(Database!LY112&gt;1,Database!LY114&gt;1),100*(Database!LY112/(Database!LY114)),0.0001)</f>
        <v>1E-4</v>
      </c>
      <c r="FN157" s="99">
        <f>IF(AND(Database!MA112&gt;1,Database!MA114&gt;1),100*(Database!MA112/(Database!MA114)),0.0001)</f>
        <v>1E-4</v>
      </c>
      <c r="FO157" s="99">
        <f>IF(AND(Database!MC112&gt;1,Database!MC114&gt;1),100*(Database!MC112/(Database!MC114)),0.0001)</f>
        <v>1E-4</v>
      </c>
      <c r="FP157" s="99">
        <f>IF(AND(Database!ME112&gt;1,Database!ME114&gt;1),100*(Database!ME112/(Database!ME114)),0.0001)</f>
        <v>1E-4</v>
      </c>
      <c r="FQ157" s="99">
        <f>IF(AND(Database!MG112&gt;1,Database!MG114&gt;1),100*(Database!MG112/(Database!MG114)),0.0001)</f>
        <v>1E-4</v>
      </c>
      <c r="FR157" s="99">
        <f>IF(AND(Database!MI112&gt;1,Database!MI114&gt;1),100*(Database!MI112/(Database!MI114)),0.0001)</f>
        <v>1E-4</v>
      </c>
      <c r="FS157" s="99">
        <f>IF(AND(Database!MK112&gt;1,Database!MK114&gt;1),100*(Database!MK112/(Database!MK114)),0.0001)</f>
        <v>1E-4</v>
      </c>
      <c r="FT157" s="99">
        <f>IF(AND(Database!MM112&gt;1,Database!MM114&gt;1),100*(Database!MM112/(Database!MM114)),0.0001)</f>
        <v>1E-4</v>
      </c>
      <c r="FU157" s="99">
        <f>IF(AND(Database!MO112&gt;1,Database!MO114&gt;1),100*(Database!MO112/(Database!MO114)),0.0001)</f>
        <v>1E-4</v>
      </c>
      <c r="FV157" s="99">
        <f>IF(AND(Database!MQ112&gt;1,Database!MQ114&gt;1),100*(Database!MQ112/(Database!MQ114)),0.0001)</f>
        <v>1E-4</v>
      </c>
      <c r="FW157" s="99">
        <f>IF(AND(Database!MS112&gt;1,Database!MS114&gt;1),100*(Database!MS112/(Database!MS114)),0.0001)</f>
        <v>1E-4</v>
      </c>
      <c r="FX157" s="99">
        <f>IF(AND(Database!MU112&gt;1,Database!MU114&gt;1),100*(Database!MU112/(Database!MU114)),0.0001)</f>
        <v>1E-4</v>
      </c>
      <c r="FY157" s="99">
        <f>IF(AND(Database!MW112&gt;1,Database!MW114&gt;1),100*(Database!MW112/(Database!MW114)),0.0001)</f>
        <v>1E-4</v>
      </c>
      <c r="FZ157" s="99">
        <f>IF(AND(Database!MY112&gt;1,Database!MY114&gt;1),100*(Database!MY112/(Database!MY114)),0.0001)</f>
        <v>1E-4</v>
      </c>
      <c r="GA157" s="99">
        <f>IF(AND(Database!NA112&gt;1,Database!NA114&gt;1),100*(Database!NA112/(Database!NA114)),0.0001)</f>
        <v>1E-4</v>
      </c>
      <c r="GB157" s="99">
        <f>IF(AND(Database!NC112&gt;1,Database!NC114&gt;1),100*(Database!NC112/(Database!NC114)),0.0001)</f>
        <v>1E-4</v>
      </c>
      <c r="GC157" s="99">
        <f>IF(AND(Database!NE112&gt;1,Database!NE114&gt;1),100*(Database!NE112/(Database!NE114)),0.0001)</f>
        <v>1E-4</v>
      </c>
      <c r="GD157" s="99">
        <f>IF(AND(Database!NG112&gt;1,Database!NG114&gt;1),100*(Database!NG112/(Database!NG114)),0.0001)</f>
        <v>1E-4</v>
      </c>
      <c r="GE157" s="99">
        <f>IF(AND(Database!NI112&gt;1,Database!NI114&gt;1),100*(Database!NI112/(Database!NI114)),0.0001)</f>
        <v>1E-4</v>
      </c>
      <c r="GF157" s="99">
        <f>IF(AND(Database!NK112&gt;1,Database!NK114&gt;1),100*(Database!NK112/(Database!NK114)),0.0001)</f>
        <v>1E-4</v>
      </c>
      <c r="GG157" s="99">
        <f>IF(AND(Database!NM112&gt;1,Database!NM114&gt;1),100*(Database!NM112/(Database!NM114)),0.0001)</f>
        <v>1E-4</v>
      </c>
      <c r="GH157" s="99">
        <f>IF(AND(Database!NO112&gt;1,Database!NO114&gt;1),100*(Database!NO112/(Database!NO114)),0.0001)</f>
        <v>1E-4</v>
      </c>
      <c r="GI157" s="99">
        <f>IF(AND(Database!NQ112&gt;1,Database!NQ114&gt;1),100*(Database!NQ112/(Database!NQ114)),0.0001)</f>
        <v>1E-4</v>
      </c>
      <c r="GJ157" s="99">
        <f>IF(AND(Database!NS112&gt;1,Database!NS114&gt;1),100*(Database!NS112/(Database!NS114)),0.0001)</f>
        <v>1E-4</v>
      </c>
      <c r="GK157" s="99">
        <f>IF(AND(Database!NU112&gt;1,Database!NU114&gt;1),100*(Database!NU112/(Database!NU114)),0.0001)</f>
        <v>1E-4</v>
      </c>
      <c r="GL157" s="99">
        <f>IF(AND(Database!NW112&gt;1,Database!NW114&gt;1),100*(Database!NW112/(Database!NW114)),0.0001)</f>
        <v>1E-4</v>
      </c>
      <c r="GM157" s="99">
        <f>IF(AND(Database!NY112&gt;1,Database!NY114&gt;1),100*(Database!NY112/(Database!NY114)),0.0001)</f>
        <v>1E-4</v>
      </c>
      <c r="GN157" s="99">
        <f>IF(AND(Database!OA112&gt;1,Database!OA114&gt;1),100*(Database!OA112/(Database!OA114)),0.0001)</f>
        <v>1E-4</v>
      </c>
      <c r="GO157" s="99">
        <f>IF(AND(Database!OC112&gt;1,Database!OC114&gt;1),100*(Database!OC112/(Database!OC114)),0.0001)</f>
        <v>1E-4</v>
      </c>
      <c r="GP157" s="99">
        <f>IF(AND(Database!OE112&gt;1,Database!OE114&gt;1),100*(Database!OE112/(Database!OE114)),0.0001)</f>
        <v>1E-4</v>
      </c>
      <c r="GQ157" s="99">
        <f>IF(AND(Database!OG112&gt;1,Database!OG114&gt;1),100*(Database!OG112/(Database!OG114)),0.0001)</f>
        <v>1E-4</v>
      </c>
      <c r="GR157" s="99">
        <f>IF(AND(Database!OI112&gt;1,Database!OI114&gt;1),100*(Database!OI112/(Database!OI114)),0.0001)</f>
        <v>1E-4</v>
      </c>
      <c r="GS157" s="99">
        <f>IF(AND(Database!OK112&gt;1,Database!OK114&gt;1),100*(Database!OK112/(Database!OK114)),0.0001)</f>
        <v>1E-4</v>
      </c>
      <c r="GT157" s="30">
        <f>IF(AND(Database!OM112&gt;1,Database!OM114&gt;1),100*(Database!OM112/(Database!OM114)),0.0001)</f>
        <v>1E-4</v>
      </c>
      <c r="GU157" s="99"/>
      <c r="GV157" s="99"/>
      <c r="GW157" s="99"/>
    </row>
    <row r="158" spans="1:205" ht="18.75" customHeight="1" x14ac:dyDescent="0.4">
      <c r="A158" s="240" t="s">
        <v>168</v>
      </c>
      <c r="B158" s="96"/>
      <c r="C158" s="260">
        <f>IF(AND(Database!E113&gt;1,Database!E114&gt;1),100*(Database!E113/(Database!E114)),0.0001)</f>
        <v>1E-4</v>
      </c>
      <c r="D158" s="99">
        <f>IF(AND(Database!G113&gt;1,Database!G114&gt;1),100*(Database!G113/(Database!G114)),0.0001)</f>
        <v>1E-4</v>
      </c>
      <c r="E158" s="99">
        <f>IF(AND(Database!I113&gt;1,Database!I114&gt;1),100*(Database!I113/(Database!I114)),0.0001)</f>
        <v>1E-4</v>
      </c>
      <c r="F158" s="99">
        <f>IF(AND(Database!K113&gt;1,Database!K114&gt;1),100*(Database!K113/(Database!K114)),0.0001)</f>
        <v>1E-4</v>
      </c>
      <c r="G158" s="99">
        <f>IF(AND(Database!M113&gt;1,Database!M114&gt;1),100*(Database!M113/(Database!M114)),0.0001)</f>
        <v>1E-4</v>
      </c>
      <c r="H158" s="99">
        <f>IF(AND(Database!O113&gt;1,Database!O114&gt;1),100*(Database!O113/(Database!O114)),0.0001)</f>
        <v>1E-4</v>
      </c>
      <c r="I158" s="99">
        <f>IF(AND(Database!Q113&gt;1,Database!Q114&gt;1),100*(Database!Q113/(Database!Q114)),0.0001)</f>
        <v>1E-4</v>
      </c>
      <c r="J158" s="99">
        <f>IF(AND(Database!S113&gt;1,Database!S114&gt;1),100*(Database!S113/(Database!S114)),0.0001)</f>
        <v>1E-4</v>
      </c>
      <c r="K158" s="99">
        <f>IF(AND(Database!U113&gt;1,Database!U114&gt;1),100*(Database!U113/(Database!U114)),0.0001)</f>
        <v>1E-4</v>
      </c>
      <c r="L158" s="99">
        <f>IF(AND(Database!W113&gt;1,Database!W114&gt;1),100*(Database!W113/(Database!W114)),0.0001)</f>
        <v>1E-4</v>
      </c>
      <c r="M158" s="99">
        <f>IF(AND(Database!Y113&gt;1,Database!Y114&gt;1),100*(Database!Y113/(Database!Y114)),0.0001)</f>
        <v>1E-4</v>
      </c>
      <c r="N158" s="99">
        <f>IF(AND(Database!AA113&gt;1,Database!AA114&gt;1),100*(Database!AA113/(Database!AA114)),0.0001)</f>
        <v>1E-4</v>
      </c>
      <c r="O158" s="99">
        <f>IF(AND(Database!AC113&gt;1,Database!AC114&gt;1),100*(Database!AC113/(Database!AC114)),0.0001)</f>
        <v>1E-4</v>
      </c>
      <c r="P158" s="99">
        <f>IF(AND(Database!AE113&gt;1,Database!AE114&gt;1),100*(Database!AE113/(Database!AE114)),0.0001)</f>
        <v>1E-4</v>
      </c>
      <c r="Q158" s="99">
        <f>IF(AND(Database!AG113&gt;1,Database!AG114&gt;1),100*(Database!AG113/(Database!AG114)),0.0001)</f>
        <v>1E-4</v>
      </c>
      <c r="R158" s="99">
        <f>IF(AND(Database!AI113&gt;1,Database!AI114&gt;1),100*(Database!AI113/(Database!AI114)),0.0001)</f>
        <v>1E-4</v>
      </c>
      <c r="S158" s="99">
        <f>IF(AND(Database!AK113&gt;1,Database!AK114&gt;1),100*(Database!AK113/(Database!AK114)),0.0001)</f>
        <v>1E-4</v>
      </c>
      <c r="T158" s="99">
        <f>IF(AND(Database!AM113&gt;1,Database!AM114&gt;1),100*(Database!AM113/(Database!AM114)),0.0001)</f>
        <v>1E-4</v>
      </c>
      <c r="U158" s="99">
        <f>IF(AND(Database!AO113&gt;1,Database!AO114&gt;1),100*(Database!AO113/(Database!AO114)),0.0001)</f>
        <v>1E-4</v>
      </c>
      <c r="V158" s="99">
        <f>IF(AND(Database!AQ113&gt;1,Database!AQ114&gt;1),100*(Database!AQ113/(Database!AQ114)),0.0001)</f>
        <v>1E-4</v>
      </c>
      <c r="W158" s="99">
        <f>IF(AND(Database!AS113&gt;1,Database!AS114&gt;1),100*(Database!AS113/(Database!AS114)),0.0001)</f>
        <v>1E-4</v>
      </c>
      <c r="X158" s="99">
        <f>IF(AND(Database!AU113&gt;1,Database!AU114&gt;1),100*(Database!AU113/(Database!AU114)),0.0001)</f>
        <v>1E-4</v>
      </c>
      <c r="Y158" s="99">
        <f>IF(AND(Database!AW113&gt;1,Database!AW114&gt;1),100*(Database!AW113/(Database!AW114)),0.0001)</f>
        <v>1E-4</v>
      </c>
      <c r="Z158" s="99">
        <f>IF(AND(Database!AY113&gt;1,Database!AY114&gt;1),100*(Database!AY113/(Database!AY114)),0.0001)</f>
        <v>1E-4</v>
      </c>
      <c r="AA158" s="99">
        <f>IF(AND(Database!BA113&gt;1,Database!BA114&gt;1),100*(Database!BA113/(Database!BA114)),0.0001)</f>
        <v>1E-4</v>
      </c>
      <c r="AB158" s="99">
        <f>IF(AND(Database!BC113&gt;1,Database!BC114&gt;1),100*(Database!BC113/(Database!BC114)),0.0001)</f>
        <v>1E-4</v>
      </c>
      <c r="AC158" s="99">
        <f>IF(AND(Database!BE113&gt;1,Database!BE114&gt;1),100*(Database!BE113/(Database!BE114)),0.0001)</f>
        <v>1E-4</v>
      </c>
      <c r="AD158" s="99">
        <f>IF(AND(Database!BG113&gt;1,Database!BG114&gt;1),100*(Database!BG113/(Database!BG114)),0.0001)</f>
        <v>1E-4</v>
      </c>
      <c r="AE158" s="99">
        <f>IF(AND(Database!BI113&gt;1,Database!BI114&gt;1),100*(Database!BI113/(Database!BI114)),0.0001)</f>
        <v>1E-4</v>
      </c>
      <c r="AF158" s="99">
        <f>IF(AND(Database!BK113&gt;1,Database!BK114&gt;1),100*(Database!BK113/(Database!BK114)),0.0001)</f>
        <v>1E-4</v>
      </c>
      <c r="AG158" s="99">
        <f>IF(AND(Database!BM113&gt;1,Database!BM114&gt;1),100*(Database!BM113/(Database!BM114)),0.0001)</f>
        <v>1E-4</v>
      </c>
      <c r="AH158" s="99">
        <f>IF(AND(Database!BO113&gt;1,Database!BO114&gt;1),100*(Database!BO113/(Database!BO114)),0.0001)</f>
        <v>1E-4</v>
      </c>
      <c r="AI158" s="99">
        <f>IF(AND(Database!BQ113&gt;1,Database!BQ114&gt;1),100*(Database!BQ113/(Database!BQ114)),0.0001)</f>
        <v>1E-4</v>
      </c>
      <c r="AJ158" s="99">
        <f>IF(AND(Database!BS113&gt;1,Database!BS114&gt;1),100*(Database!BS113/(Database!BS114)),0.0001)</f>
        <v>1E-4</v>
      </c>
      <c r="AK158" s="99">
        <f>IF(AND(Database!BU113&gt;1,Database!BU114&gt;1),100*(Database!BU113/(Database!BU114)),0.0001)</f>
        <v>1E-4</v>
      </c>
      <c r="AL158" s="99">
        <f>IF(AND(Database!BW113&gt;1,Database!BW114&gt;1),100*(Database!BW113/(Database!BW114)),0.0001)</f>
        <v>1E-4</v>
      </c>
      <c r="AM158" s="99">
        <f>IF(AND(Database!BY113&gt;1,Database!BY114&gt;1),100*(Database!BY113/(Database!BY114)),0.0001)</f>
        <v>1E-4</v>
      </c>
      <c r="AN158" s="99">
        <f>IF(AND(Database!CA113&gt;1,Database!CA114&gt;1),100*(Database!CA113/(Database!CA114)),0.0001)</f>
        <v>1E-4</v>
      </c>
      <c r="AO158" s="99">
        <f>IF(AND(Database!CC113&gt;1,Database!CC114&gt;1),100*(Database!CC113/(Database!CC114)),0.0001)</f>
        <v>1E-4</v>
      </c>
      <c r="AP158" s="99">
        <f>IF(AND(Database!CE113&gt;1,Database!CE114&gt;1),100*(Database!CE113/(Database!CE114)),0.0001)</f>
        <v>1E-4</v>
      </c>
      <c r="AQ158" s="99">
        <f>IF(AND(Database!CG113&gt;1,Database!CG114&gt;1),100*(Database!CG113/(Database!CG114)),0.0001)</f>
        <v>1E-4</v>
      </c>
      <c r="AR158" s="99">
        <f>IF(AND(Database!CI113&gt;1,Database!CI114&gt;1),100*(Database!CI113/(Database!CI114)),0.0001)</f>
        <v>1E-4</v>
      </c>
      <c r="AS158" s="99">
        <f>IF(AND(Database!CK113&gt;1,Database!CK114&gt;1),100*(Database!CK113/(Database!CK114)),0.0001)</f>
        <v>1E-4</v>
      </c>
      <c r="AT158" s="99">
        <f>IF(AND(Database!CM113&gt;1,Database!CM114&gt;1),100*(Database!CM113/(Database!CM114)),0.0001)</f>
        <v>1E-4</v>
      </c>
      <c r="AU158" s="99">
        <f>IF(AND(Database!CO113&gt;1,Database!CO114&gt;1),100*(Database!CO113/(Database!CO114)),0.0001)</f>
        <v>1E-4</v>
      </c>
      <c r="AV158" s="99">
        <f>IF(AND(Database!CQ113&gt;1,Database!CQ114&gt;1),100*(Database!CQ113/(Database!CQ114)),0.0001)</f>
        <v>1E-4</v>
      </c>
      <c r="AW158" s="99">
        <f>IF(AND(Database!CS113&gt;1,Database!CS114&gt;1),100*(Database!CS113/(Database!CS114)),0.0001)</f>
        <v>1E-4</v>
      </c>
      <c r="AX158" s="99">
        <f>IF(AND(Database!CU113&gt;1,Database!CU114&gt;1),100*(Database!CU113/(Database!CU114)),0.0001)</f>
        <v>1E-4</v>
      </c>
      <c r="AY158" s="99">
        <f>IF(AND(Database!CW113&gt;1,Database!CW114&gt;1),100*(Database!CW113/(Database!CW114)),0.0001)</f>
        <v>1E-4</v>
      </c>
      <c r="AZ158" s="99">
        <f>IF(AND(Database!CY113&gt;1,Database!CY114&gt;1),100*(Database!CY113/(Database!CY114)),0.0001)</f>
        <v>1E-4</v>
      </c>
      <c r="BA158" s="99">
        <f>IF(AND(Database!DA113&gt;1,Database!DA114&gt;1),100*(Database!DA113/(Database!DA114)),0.0001)</f>
        <v>1E-4</v>
      </c>
      <c r="BB158" s="99">
        <f>IF(AND(Database!DC113&gt;1,Database!DC114&gt;1),100*(Database!DC113/(Database!DC114)),0.0001)</f>
        <v>1E-4</v>
      </c>
      <c r="BC158" s="99">
        <f>IF(AND(Database!DE113&gt;1,Database!DE114&gt;1),100*(Database!DE113/(Database!DE114)),0.0001)</f>
        <v>1E-4</v>
      </c>
      <c r="BD158" s="99">
        <f>IF(AND(Database!DG113&gt;1,Database!DG114&gt;1),100*(Database!DG113/(Database!DG114)),0.0001)</f>
        <v>1E-4</v>
      </c>
      <c r="BE158" s="99">
        <f>IF(AND(Database!DI113&gt;1,Database!DI114&gt;1),100*(Database!DI113/(Database!DI114)),0.0001)</f>
        <v>1E-4</v>
      </c>
      <c r="BF158" s="99">
        <f>IF(AND(Database!DK113&gt;1,Database!DK114&gt;1),100*(Database!DK113/(Database!DK114)),0.0001)</f>
        <v>1E-4</v>
      </c>
      <c r="BG158" s="99">
        <f>IF(AND(Database!DM113&gt;1,Database!DM114&gt;1),100*(Database!DM113/(Database!DM114)),0.0001)</f>
        <v>1E-4</v>
      </c>
      <c r="BH158" s="99">
        <f>IF(AND(Database!DO113&gt;1,Database!DO114&gt;1),100*(Database!DO113/(Database!DO114)),0.0001)</f>
        <v>1E-4</v>
      </c>
      <c r="BI158" s="99">
        <f>IF(AND(Database!DQ113&gt;1,Database!DQ114&gt;1),100*(Database!DQ113/(Database!DQ114)),0.0001)</f>
        <v>1E-4</v>
      </c>
      <c r="BJ158" s="99">
        <f>IF(AND(Database!DS113&gt;1,Database!DS114&gt;1),100*(Database!DS113/(Database!DS114)),0.0001)</f>
        <v>1E-4</v>
      </c>
      <c r="BK158" s="99">
        <f>IF(AND(Database!DU113&gt;1,Database!DU114&gt;1),100*(Database!DU113/(Database!DU114)),0.0001)</f>
        <v>1E-4</v>
      </c>
      <c r="BL158" s="99">
        <f>IF(AND(Database!DW113&gt;1,Database!DW114&gt;1),100*(Database!DW113/(Database!DW114)),0.0001)</f>
        <v>1E-4</v>
      </c>
      <c r="BM158" s="99">
        <f>IF(AND(Database!DY113&gt;1,Database!DY114&gt;1),100*(Database!DY113/(Database!DY114)),0.0001)</f>
        <v>1E-4</v>
      </c>
      <c r="BN158" s="99">
        <f>IF(AND(Database!EA113&gt;1,Database!EA114&gt;1),100*(Database!EA113/(Database!EA114)),0.0001)</f>
        <v>1E-4</v>
      </c>
      <c r="BO158" s="99">
        <f>IF(AND(Database!EC113&gt;1,Database!EC114&gt;1),100*(Database!EC113/(Database!EC114)),0.0001)</f>
        <v>1E-4</v>
      </c>
      <c r="BP158" s="99">
        <f>IF(AND(Database!EE113&gt;1,Database!EE114&gt;1),100*(Database!EE113/(Database!EE114)),0.0001)</f>
        <v>1E-4</v>
      </c>
      <c r="BQ158" s="99">
        <f>IF(AND(Database!EG113&gt;1,Database!EG114&gt;1),100*(Database!EG113/(Database!EG114)),0.0001)</f>
        <v>1E-4</v>
      </c>
      <c r="BR158" s="99">
        <f>IF(AND(Database!EI113&gt;1,Database!EI114&gt;1),100*(Database!EI113/(Database!EI114)),0.0001)</f>
        <v>1E-4</v>
      </c>
      <c r="BS158" s="99">
        <f>IF(AND(Database!EK113&gt;1,Database!EK114&gt;1),100*(Database!EK113/(Database!EK114)),0.0001)</f>
        <v>1E-4</v>
      </c>
      <c r="BT158" s="99">
        <f>IF(AND(Database!EM113&gt;1,Database!EM114&gt;1),100*(Database!EM113/(Database!EM114)),0.0001)</f>
        <v>1E-4</v>
      </c>
      <c r="BU158" s="99">
        <f>IF(AND(Database!EO113&gt;1,Database!EO114&gt;1),100*(Database!EO113/(Database!EO114)),0.0001)</f>
        <v>1E-4</v>
      </c>
      <c r="BV158" s="99">
        <f>IF(AND(Database!EQ113&gt;1,Database!EQ114&gt;1),100*(Database!EQ113/(Database!EQ114)),0.0001)</f>
        <v>1E-4</v>
      </c>
      <c r="BW158" s="99">
        <f>IF(AND(Database!ES113&gt;1,Database!ES114&gt;1),100*(Database!ES113/(Database!ES114)),0.0001)</f>
        <v>1E-4</v>
      </c>
      <c r="BX158" s="99">
        <f>IF(AND(Database!EU113&gt;1,Database!EU114&gt;1),100*(Database!EU113/(Database!EU114)),0.0001)</f>
        <v>1E-4</v>
      </c>
      <c r="BY158" s="99">
        <f>IF(AND(Database!EW113&gt;1,Database!EW114&gt;1),100*(Database!EW113/(Database!EW114)),0.0001)</f>
        <v>1E-4</v>
      </c>
      <c r="BZ158" s="99">
        <f>IF(AND(Database!EY113&gt;1,Database!EY114&gt;1),100*(Database!EY113/(Database!EY114)),0.0001)</f>
        <v>1E-4</v>
      </c>
      <c r="CA158" s="99">
        <f>IF(AND(Database!FA113&gt;1,Database!FA114&gt;1),100*(Database!FA113/(Database!FA114)),0.0001)</f>
        <v>1E-4</v>
      </c>
      <c r="CB158" s="99">
        <f>IF(AND(Database!FC113&gt;1,Database!FC114&gt;1),100*(Database!FC113/(Database!FC114)),0.0001)</f>
        <v>1E-4</v>
      </c>
      <c r="CC158" s="99">
        <f>IF(AND(Database!FE113&gt;1,Database!FE114&gt;1),100*(Database!FE113/(Database!FE114)),0.0001)</f>
        <v>1E-4</v>
      </c>
      <c r="CD158" s="99">
        <f>IF(AND(Database!FG113&gt;1,Database!FG114&gt;1),100*(Database!FG113/(Database!FG114)),0.0001)</f>
        <v>1E-4</v>
      </c>
      <c r="CE158" s="99">
        <f>IF(AND(Database!FI113&gt;1,Database!FI114&gt;1),100*(Database!FI113/(Database!FI114)),0.0001)</f>
        <v>1E-4</v>
      </c>
      <c r="CF158" s="99">
        <f>IF(AND(Database!FK113&gt;1,Database!FK114&gt;1),100*(Database!FK113/(Database!FK114)),0.0001)</f>
        <v>1E-4</v>
      </c>
      <c r="CG158" s="99">
        <f>IF(AND(Database!FM113&gt;1,Database!FM114&gt;1),100*(Database!FM113/(Database!FM114)),0.0001)</f>
        <v>1E-4</v>
      </c>
      <c r="CH158" s="99">
        <f>IF(AND(Database!FO113&gt;1,Database!FO114&gt;1),100*(Database!FO113/(Database!FO114)),0.0001)</f>
        <v>1E-4</v>
      </c>
      <c r="CI158" s="99">
        <f>IF(AND(Database!FQ113&gt;1,Database!FQ114&gt;1),100*(Database!FQ113/(Database!FQ114)),0.0001)</f>
        <v>1E-4</v>
      </c>
      <c r="CJ158" s="99">
        <f>IF(AND(Database!FS113&gt;1,Database!FS114&gt;1),100*(Database!FS113/(Database!FS114)),0.0001)</f>
        <v>1E-4</v>
      </c>
      <c r="CK158" s="99">
        <f>IF(AND(Database!FU113&gt;1,Database!FU114&gt;1),100*(Database!FU113/(Database!FU114)),0.0001)</f>
        <v>1E-4</v>
      </c>
      <c r="CL158" s="99">
        <f>IF(AND(Database!FW113&gt;1,Database!FW114&gt;1),100*(Database!FW113/(Database!FW114)),0.0001)</f>
        <v>1E-4</v>
      </c>
      <c r="CM158" s="99">
        <f>IF(AND(Database!FY113&gt;1,Database!FY114&gt;1),100*(Database!FY113/(Database!FY114)),0.0001)</f>
        <v>1E-4</v>
      </c>
      <c r="CN158" s="99">
        <f>IF(AND(Database!GA113&gt;1,Database!GA114&gt;1),100*(Database!GA113/(Database!GA114)),0.0001)</f>
        <v>1E-4</v>
      </c>
      <c r="CO158" s="99">
        <f>IF(AND(Database!GC113&gt;1,Database!GC114&gt;1),100*(Database!GC113/(Database!GC114)),0.0001)</f>
        <v>1E-4</v>
      </c>
      <c r="CP158" s="99">
        <f>IF(AND(Database!GE113&gt;1,Database!GE114&gt;1),100*(Database!GE113/(Database!GE114)),0.0001)</f>
        <v>1E-4</v>
      </c>
      <c r="CQ158" s="99">
        <f>IF(AND(Database!GG113&gt;1,Database!GG114&gt;1),100*(Database!GG113/(Database!GG114)),0.0001)</f>
        <v>1E-4</v>
      </c>
      <c r="CR158" s="99">
        <f>IF(AND(Database!GI113&gt;1,Database!GI114&gt;1),100*(Database!GI113/(Database!GI114)),0.0001)</f>
        <v>1E-4</v>
      </c>
      <c r="CS158" s="99">
        <f>IF(AND(Database!GK113&gt;1,Database!GK114&gt;1),100*(Database!GK113/(Database!GK114)),0.0001)</f>
        <v>1E-4</v>
      </c>
      <c r="CT158" s="99">
        <f>IF(AND(Database!GM113&gt;1,Database!GM114&gt;1),100*(Database!GM113/(Database!GM114)),0.0001)</f>
        <v>1E-4</v>
      </c>
      <c r="CU158" s="99">
        <f>IF(AND(Database!GO113&gt;1,Database!GO114&gt;1),100*(Database!GO113/(Database!GO114)),0.0001)</f>
        <v>1E-4</v>
      </c>
      <c r="CV158" s="99">
        <f>IF(AND(Database!GQ113&gt;1,Database!GQ114&gt;1),100*(Database!GQ113/(Database!GQ114)),0.0001)</f>
        <v>1E-4</v>
      </c>
      <c r="CW158" s="99">
        <f>IF(AND(Database!GS113&gt;1,Database!GS114&gt;1),100*(Database!GS113/(Database!GS114)),0.0001)</f>
        <v>1E-4</v>
      </c>
      <c r="CX158" s="99">
        <f>IF(AND(Database!GU113&gt;1,Database!GU114&gt;1),100*(Database!GU113/(Database!GU114)),0.0001)</f>
        <v>1E-4</v>
      </c>
      <c r="CY158" s="99">
        <f>IF(AND(Database!GW113&gt;1,Database!GW114&gt;1),100*(Database!GW113/(Database!GW114)),0.0001)</f>
        <v>1E-4</v>
      </c>
      <c r="CZ158" s="99">
        <f>IF(AND(Database!GY113&gt;1,Database!GY114&gt;1),100*(Database!GY113/(Database!GY114)),0.0001)</f>
        <v>1E-4</v>
      </c>
      <c r="DA158" s="99">
        <f>IF(AND(Database!HA113&gt;1,Database!HA114&gt;1),100*(Database!HA113/(Database!HA114)),0.0001)</f>
        <v>1E-4</v>
      </c>
      <c r="DB158" s="99">
        <f>IF(AND(Database!HC113&gt;1,Database!HC114&gt;1),100*(Database!HC113/(Database!HC114)),0.0001)</f>
        <v>1E-4</v>
      </c>
      <c r="DC158" s="99">
        <f>IF(AND(Database!HE113&gt;1,Database!HE114&gt;1),100*(Database!HE113/(Database!HE114)),0.0001)</f>
        <v>1E-4</v>
      </c>
      <c r="DD158" s="99">
        <f>IF(AND(Database!HG113&gt;1,Database!HG114&gt;1),100*(Database!HG113/(Database!HG114)),0.0001)</f>
        <v>1E-4</v>
      </c>
      <c r="DE158" s="99">
        <f>IF(AND(Database!HI113&gt;1,Database!HI114&gt;1),100*(Database!HI113/(Database!HI114)),0.0001)</f>
        <v>1E-4</v>
      </c>
      <c r="DF158" s="99">
        <f>IF(AND(Database!HK113&gt;1,Database!HK114&gt;1),100*(Database!HK113/(Database!HK114)),0.0001)</f>
        <v>1E-4</v>
      </c>
      <c r="DG158" s="99">
        <f>IF(AND(Database!HM113&gt;1,Database!HM114&gt;1),100*(Database!HM113/(Database!HM114)),0.0001)</f>
        <v>1E-4</v>
      </c>
      <c r="DH158" s="99">
        <f>IF(AND(Database!HO113&gt;1,Database!HO114&gt;1),100*(Database!HO113/(Database!HO114)),0.0001)</f>
        <v>1E-4</v>
      </c>
      <c r="DI158" s="99">
        <f>IF(AND(Database!HQ113&gt;1,Database!HQ114&gt;1),100*(Database!HQ113/(Database!HQ114)),0.0001)</f>
        <v>1E-4</v>
      </c>
      <c r="DJ158" s="99">
        <f>IF(AND(Database!HS113&gt;1,Database!HS114&gt;1),100*(Database!HS113/(Database!HS114)),0.0001)</f>
        <v>1E-4</v>
      </c>
      <c r="DK158" s="99">
        <f>IF(AND(Database!HU113&gt;1,Database!HU114&gt;1),100*(Database!HU113/(Database!HU114)),0.0001)</f>
        <v>1E-4</v>
      </c>
      <c r="DL158" s="99">
        <f>IF(AND(Database!HW113&gt;1,Database!HW114&gt;1),100*(Database!HW113/(Database!HW114)),0.0001)</f>
        <v>1E-4</v>
      </c>
      <c r="DM158" s="99">
        <f>IF(AND(Database!HY113&gt;1,Database!HY114&gt;1),100*(Database!HY113/(Database!HY114)),0.0001)</f>
        <v>1E-4</v>
      </c>
      <c r="DN158" s="99">
        <f>IF(AND(Database!IA113&gt;1,Database!IA114&gt;1),100*(Database!IA113/(Database!IA114)),0.0001)</f>
        <v>1E-4</v>
      </c>
      <c r="DO158" s="99">
        <f>IF(AND(Database!IC113&gt;1,Database!IC114&gt;1),100*(Database!IC113/(Database!IC114)),0.0001)</f>
        <v>1E-4</v>
      </c>
      <c r="DP158" s="99">
        <f>IF(AND(Database!IE113&gt;1,Database!IE114&gt;1),100*(Database!IE113/(Database!IE114)),0.0001)</f>
        <v>1E-4</v>
      </c>
      <c r="DQ158" s="99">
        <f>IF(AND(Database!IG113&gt;1,Database!IG114&gt;1),100*(Database!IG113/(Database!IG114)),0.0001)</f>
        <v>1E-4</v>
      </c>
      <c r="DR158" s="99">
        <f>IF(AND(Database!II113&gt;1,Database!II114&gt;1),100*(Database!II113/(Database!II114)),0.0001)</f>
        <v>1E-4</v>
      </c>
      <c r="DS158" s="99">
        <f>IF(AND(Database!IK113&gt;1,Database!IK114&gt;1),100*(Database!IK113/(Database!IK114)),0.0001)</f>
        <v>1E-4</v>
      </c>
      <c r="DT158" s="99">
        <f>IF(AND(Database!IM113&gt;1,Database!IM114&gt;1),100*(Database!IM113/(Database!IM114)),0.0001)</f>
        <v>1E-4</v>
      </c>
      <c r="DU158" s="99">
        <f>IF(AND(Database!IO113&gt;1,Database!IO114&gt;1),100*(Database!IO113/(Database!IO114)),0.0001)</f>
        <v>1E-4</v>
      </c>
      <c r="DV158" s="99">
        <f>IF(AND(Database!IQ113&gt;1,Database!IQ114&gt;1),100*(Database!IQ113/(Database!IQ114)),0.0001)</f>
        <v>1E-4</v>
      </c>
      <c r="DW158" s="99">
        <f>IF(AND(Database!IS113&gt;1,Database!IS114&gt;1),100*(Database!IS113/(Database!IS114)),0.0001)</f>
        <v>1E-4</v>
      </c>
      <c r="DX158" s="99">
        <f>IF(AND(Database!IU113&gt;1,Database!IU114&gt;1),100*(Database!IU113/(Database!IU114)),0.0001)</f>
        <v>1E-4</v>
      </c>
      <c r="DY158" s="99">
        <f>IF(AND(Database!IW113&gt;1,Database!IW114&gt;1),100*(Database!IW113/(Database!IW114)),0.0001)</f>
        <v>1E-4</v>
      </c>
      <c r="DZ158" s="99">
        <f>IF(AND(Database!IY113&gt;1,Database!IY114&gt;1),100*(Database!IY113/(Database!IY114)),0.0001)</f>
        <v>1E-4</v>
      </c>
      <c r="EA158" s="99">
        <f>IF(AND(Database!JA113&gt;1,Database!JA114&gt;1),100*(Database!JA113/(Database!JA114)),0.0001)</f>
        <v>1E-4</v>
      </c>
      <c r="EB158" s="99">
        <f>IF(AND(Database!JC113&gt;1,Database!JC114&gt;1),100*(Database!JC113/(Database!JC114)),0.0001)</f>
        <v>1E-4</v>
      </c>
      <c r="EC158" s="99">
        <f>IF(AND(Database!JE113&gt;1,Database!JE114&gt;1),100*(Database!JE113/(Database!JE114)),0.0001)</f>
        <v>1E-4</v>
      </c>
      <c r="ED158" s="99">
        <f>IF(AND(Database!JG113&gt;1,Database!JG114&gt;1),100*(Database!JG113/(Database!JG114)),0.0001)</f>
        <v>1E-4</v>
      </c>
      <c r="EE158" s="99">
        <f>IF(AND(Database!JI113&gt;1,Database!JI114&gt;1),100*(Database!JI113/(Database!JI114)),0.0001)</f>
        <v>1E-4</v>
      </c>
      <c r="EF158" s="99">
        <f>IF(AND(Database!JK113&gt;1,Database!JK114&gt;1),100*(Database!JK113/(Database!JK114)),0.0001)</f>
        <v>1E-4</v>
      </c>
      <c r="EG158" s="99">
        <f>IF(AND(Database!JM113&gt;1,Database!JM114&gt;1),100*(Database!JM113/(Database!JM114)),0.0001)</f>
        <v>1E-4</v>
      </c>
      <c r="EH158" s="99">
        <f>IF(AND(Database!JO113&gt;1,Database!JO114&gt;1),100*(Database!JO113/(Database!JO114)),0.0001)</f>
        <v>1E-4</v>
      </c>
      <c r="EI158" s="99">
        <f>IF(AND(Database!JQ113&gt;1,Database!JQ114&gt;1),100*(Database!JQ113/(Database!JQ114)),0.0001)</f>
        <v>1E-4</v>
      </c>
      <c r="EJ158" s="99">
        <f>IF(AND(Database!JS113&gt;1,Database!JS114&gt;1),100*(Database!JS113/(Database!JS114)),0.0001)</f>
        <v>1E-4</v>
      </c>
      <c r="EK158" s="99">
        <f>IF(AND(Database!JU113&gt;1,Database!JU114&gt;1),100*(Database!JU113/(Database!JU114)),0.0001)</f>
        <v>1E-4</v>
      </c>
      <c r="EL158" s="99">
        <f>IF(AND(Database!JW113&gt;1,Database!JW114&gt;1),100*(Database!JW113/(Database!JW114)),0.0001)</f>
        <v>1E-4</v>
      </c>
      <c r="EM158" s="99">
        <f>IF(AND(Database!JY113&gt;1,Database!JY114&gt;1),100*(Database!JY113/(Database!JY114)),0.0001)</f>
        <v>1E-4</v>
      </c>
      <c r="EN158" s="99">
        <f>IF(AND(Database!KA113&gt;1,Database!KA114&gt;1),100*(Database!KA113/(Database!KA114)),0.0001)</f>
        <v>1E-4</v>
      </c>
      <c r="EO158" s="99">
        <f>IF(AND(Database!KC113&gt;1,Database!KC114&gt;1),100*(Database!KC113/(Database!KC114)),0.0001)</f>
        <v>1E-4</v>
      </c>
      <c r="EP158" s="99">
        <f>IF(AND(Database!KE113&gt;1,Database!KE114&gt;1),100*(Database!KE113/(Database!KE114)),0.0001)</f>
        <v>1E-4</v>
      </c>
      <c r="EQ158" s="99">
        <f>IF(AND(Database!KG113&gt;1,Database!KG114&gt;1),100*(Database!KG113/(Database!KG114)),0.0001)</f>
        <v>1E-4</v>
      </c>
      <c r="ER158" s="99">
        <f>IF(AND(Database!KI113&gt;1,Database!KI114&gt;1),100*(Database!KI113/(Database!KI114)),0.0001)</f>
        <v>1E-4</v>
      </c>
      <c r="ES158" s="99">
        <f>IF(AND(Database!KK113&gt;1,Database!KK114&gt;1),100*(Database!KK113/(Database!KK114)),0.0001)</f>
        <v>1E-4</v>
      </c>
      <c r="ET158" s="99">
        <f>IF(AND(Database!KM113&gt;1,Database!KM114&gt;1),100*(Database!KM113/(Database!KM114)),0.0001)</f>
        <v>1E-4</v>
      </c>
      <c r="EU158" s="99">
        <f>IF(AND(Database!KO113&gt;1,Database!KO114&gt;1),100*(Database!KO113/(Database!KO114)),0.0001)</f>
        <v>1E-4</v>
      </c>
      <c r="EV158" s="99">
        <f>IF(AND(Database!KQ113&gt;1,Database!KQ114&gt;1),100*(Database!KQ113/(Database!KQ114)),0.0001)</f>
        <v>1E-4</v>
      </c>
      <c r="EW158" s="99">
        <f>IF(AND(Database!KS113&gt;1,Database!KS114&gt;1),100*(Database!KS113/(Database!KS114)),0.0001)</f>
        <v>1E-4</v>
      </c>
      <c r="EX158" s="99">
        <f>IF(AND(Database!KU113&gt;1,Database!KU114&gt;1),100*(Database!KU113/(Database!KU114)),0.0001)</f>
        <v>1E-4</v>
      </c>
      <c r="EY158" s="99">
        <f>IF(AND(Database!KW113&gt;1,Database!KW114&gt;1),100*(Database!KW113/(Database!KW114)),0.0001)</f>
        <v>1E-4</v>
      </c>
      <c r="EZ158" s="99">
        <f>IF(AND(Database!KY113&gt;1,Database!KY114&gt;1),100*(Database!KY113/(Database!KY114)),0.0001)</f>
        <v>1E-4</v>
      </c>
      <c r="FA158" s="99">
        <f>IF(AND(Database!LA113&gt;1,Database!LA114&gt;1),100*(Database!LA113/(Database!LA114)),0.0001)</f>
        <v>1E-4</v>
      </c>
      <c r="FB158" s="99">
        <f>IF(AND(Database!LC113&gt;1,Database!LC114&gt;1),100*(Database!LC113/(Database!LC114)),0.0001)</f>
        <v>1E-4</v>
      </c>
      <c r="FC158" s="99">
        <f>IF(AND(Database!LE113&gt;1,Database!LE114&gt;1),100*(Database!LE113/(Database!LE114)),0.0001)</f>
        <v>1E-4</v>
      </c>
      <c r="FD158" s="99">
        <f>IF(AND(Database!LG113&gt;1,Database!LG114&gt;1),100*(Database!LG113/(Database!LG114)),0.0001)</f>
        <v>1E-4</v>
      </c>
      <c r="FE158" s="99">
        <f>IF(AND(Database!LI113&gt;1,Database!LI114&gt;1),100*(Database!LI113/(Database!LI114)),0.0001)</f>
        <v>1E-4</v>
      </c>
      <c r="FF158" s="99">
        <f>IF(AND(Database!LK113&gt;1,Database!LK114&gt;1),100*(Database!LK113/(Database!LK114)),0.0001)</f>
        <v>1E-4</v>
      </c>
      <c r="FG158" s="99">
        <f>IF(AND(Database!LM113&gt;1,Database!LM114&gt;1),100*(Database!LM113/(Database!LM114)),0.0001)</f>
        <v>1E-4</v>
      </c>
      <c r="FH158" s="99">
        <f>IF(AND(Database!LO113&gt;1,Database!LO114&gt;1),100*(Database!LO113/(Database!LO114)),0.0001)</f>
        <v>1E-4</v>
      </c>
      <c r="FI158" s="99">
        <f>IF(AND(Database!LQ113&gt;1,Database!LQ114&gt;1),100*(Database!LQ113/(Database!LQ114)),0.0001)</f>
        <v>1E-4</v>
      </c>
      <c r="FJ158" s="99">
        <f>IF(AND(Database!LS113&gt;1,Database!LS114&gt;1),100*(Database!LS113/(Database!LS114)),0.0001)</f>
        <v>1E-4</v>
      </c>
      <c r="FK158" s="99">
        <f>IF(AND(Database!LU113&gt;1,Database!LU114&gt;1),100*(Database!LU113/(Database!LU114)),0.0001)</f>
        <v>1E-4</v>
      </c>
      <c r="FL158" s="99">
        <f>IF(AND(Database!LW113&gt;1,Database!LW114&gt;1),100*(Database!LW113/(Database!LW114)),0.0001)</f>
        <v>1E-4</v>
      </c>
      <c r="FM158" s="99">
        <f>IF(AND(Database!LY113&gt;1,Database!LY114&gt;1),100*(Database!LY113/(Database!LY114)),0.0001)</f>
        <v>1E-4</v>
      </c>
      <c r="FN158" s="99">
        <f>IF(AND(Database!MA113&gt;1,Database!MA114&gt;1),100*(Database!MA113/(Database!MA114)),0.0001)</f>
        <v>1E-4</v>
      </c>
      <c r="FO158" s="99">
        <f>IF(AND(Database!MC113&gt;1,Database!MC114&gt;1),100*(Database!MC113/(Database!MC114)),0.0001)</f>
        <v>1E-4</v>
      </c>
      <c r="FP158" s="99">
        <f>IF(AND(Database!ME113&gt;1,Database!ME114&gt;1),100*(Database!ME113/(Database!ME114)),0.0001)</f>
        <v>1E-4</v>
      </c>
      <c r="FQ158" s="99">
        <f>IF(AND(Database!MG113&gt;1,Database!MG114&gt;1),100*(Database!MG113/(Database!MG114)),0.0001)</f>
        <v>1E-4</v>
      </c>
      <c r="FR158" s="99">
        <f>IF(AND(Database!MI113&gt;1,Database!MI114&gt;1),100*(Database!MI113/(Database!MI114)),0.0001)</f>
        <v>1E-4</v>
      </c>
      <c r="FS158" s="99">
        <f>IF(AND(Database!MK113&gt;1,Database!MK114&gt;1),100*(Database!MK113/(Database!MK114)),0.0001)</f>
        <v>1E-4</v>
      </c>
      <c r="FT158" s="99">
        <f>IF(AND(Database!MM113&gt;1,Database!MM114&gt;1),100*(Database!MM113/(Database!MM114)),0.0001)</f>
        <v>1E-4</v>
      </c>
      <c r="FU158" s="99">
        <f>IF(AND(Database!MO113&gt;1,Database!MO114&gt;1),100*(Database!MO113/(Database!MO114)),0.0001)</f>
        <v>1E-4</v>
      </c>
      <c r="FV158" s="99">
        <f>IF(AND(Database!MQ113&gt;1,Database!MQ114&gt;1),100*(Database!MQ113/(Database!MQ114)),0.0001)</f>
        <v>1E-4</v>
      </c>
      <c r="FW158" s="99">
        <f>IF(AND(Database!MS113&gt;1,Database!MS114&gt;1),100*(Database!MS113/(Database!MS114)),0.0001)</f>
        <v>1E-4</v>
      </c>
      <c r="FX158" s="99">
        <f>IF(AND(Database!MU113&gt;1,Database!MU114&gt;1),100*(Database!MU113/(Database!MU114)),0.0001)</f>
        <v>1E-4</v>
      </c>
      <c r="FY158" s="99">
        <f>IF(AND(Database!MW113&gt;1,Database!MW114&gt;1),100*(Database!MW113/(Database!MW114)),0.0001)</f>
        <v>1E-4</v>
      </c>
      <c r="FZ158" s="99">
        <f>IF(AND(Database!MY113&gt;1,Database!MY114&gt;1),100*(Database!MY113/(Database!MY114)),0.0001)</f>
        <v>1E-4</v>
      </c>
      <c r="GA158" s="99">
        <f>IF(AND(Database!NA113&gt;1,Database!NA114&gt;1),100*(Database!NA113/(Database!NA114)),0.0001)</f>
        <v>1E-4</v>
      </c>
      <c r="GB158" s="99">
        <f>IF(AND(Database!NC113&gt;1,Database!NC114&gt;1),100*(Database!NC113/(Database!NC114)),0.0001)</f>
        <v>1E-4</v>
      </c>
      <c r="GC158" s="99">
        <f>IF(AND(Database!NE113&gt;1,Database!NE114&gt;1),100*(Database!NE113/(Database!NE114)),0.0001)</f>
        <v>1E-4</v>
      </c>
      <c r="GD158" s="99">
        <f>IF(AND(Database!NG113&gt;1,Database!NG114&gt;1),100*(Database!NG113/(Database!NG114)),0.0001)</f>
        <v>1E-4</v>
      </c>
      <c r="GE158" s="99">
        <f>IF(AND(Database!NI113&gt;1,Database!NI114&gt;1),100*(Database!NI113/(Database!NI114)),0.0001)</f>
        <v>1E-4</v>
      </c>
      <c r="GF158" s="99">
        <f>IF(AND(Database!NK113&gt;1,Database!NK114&gt;1),100*(Database!NK113/(Database!NK114)),0.0001)</f>
        <v>1E-4</v>
      </c>
      <c r="GG158" s="99">
        <f>IF(AND(Database!NM113&gt;1,Database!NM114&gt;1),100*(Database!NM113/(Database!NM114)),0.0001)</f>
        <v>1E-4</v>
      </c>
      <c r="GH158" s="99">
        <f>IF(AND(Database!NO113&gt;1,Database!NO114&gt;1),100*(Database!NO113/(Database!NO114)),0.0001)</f>
        <v>1E-4</v>
      </c>
      <c r="GI158" s="99">
        <f>IF(AND(Database!NQ113&gt;1,Database!NQ114&gt;1),100*(Database!NQ113/(Database!NQ114)),0.0001)</f>
        <v>1E-4</v>
      </c>
      <c r="GJ158" s="99">
        <f>IF(AND(Database!NS113&gt;1,Database!NS114&gt;1),100*(Database!NS113/(Database!NS114)),0.0001)</f>
        <v>1E-4</v>
      </c>
      <c r="GK158" s="99">
        <f>IF(AND(Database!NU113&gt;1,Database!NU114&gt;1),100*(Database!NU113/(Database!NU114)),0.0001)</f>
        <v>1E-4</v>
      </c>
      <c r="GL158" s="99">
        <f>IF(AND(Database!NW113&gt;1,Database!NW114&gt;1),100*(Database!NW113/(Database!NW114)),0.0001)</f>
        <v>1E-4</v>
      </c>
      <c r="GM158" s="99">
        <f>IF(AND(Database!NY113&gt;1,Database!NY114&gt;1),100*(Database!NY113/(Database!NY114)),0.0001)</f>
        <v>1E-4</v>
      </c>
      <c r="GN158" s="99">
        <f>IF(AND(Database!OA113&gt;1,Database!OA114&gt;1),100*(Database!OA113/(Database!OA114)),0.0001)</f>
        <v>1E-4</v>
      </c>
      <c r="GO158" s="99">
        <f>IF(AND(Database!OC113&gt;1,Database!OC114&gt;1),100*(Database!OC113/(Database!OC114)),0.0001)</f>
        <v>1E-4</v>
      </c>
      <c r="GP158" s="99">
        <f>IF(AND(Database!OE113&gt;1,Database!OE114&gt;1),100*(Database!OE113/(Database!OE114)),0.0001)</f>
        <v>1E-4</v>
      </c>
      <c r="GQ158" s="99">
        <f>IF(AND(Database!OG113&gt;1,Database!OG114&gt;1),100*(Database!OG113/(Database!OG114)),0.0001)</f>
        <v>1E-4</v>
      </c>
      <c r="GR158" s="99">
        <f>IF(AND(Database!OI113&gt;1,Database!OI114&gt;1),100*(Database!OI113/(Database!OI114)),0.0001)</f>
        <v>1E-4</v>
      </c>
      <c r="GS158" s="99">
        <f>IF(AND(Database!OK113&gt;1,Database!OK114&gt;1),100*(Database!OK113/(Database!OK114)),0.0001)</f>
        <v>1E-4</v>
      </c>
      <c r="GT158" s="30">
        <f>IF(AND(Database!OM113&gt;1,Database!OM114&gt;1),100*(Database!OM113/(Database!OM114)),0.0001)</f>
        <v>1E-4</v>
      </c>
      <c r="GU158" s="99"/>
      <c r="GV158" s="99"/>
      <c r="GW158" s="99"/>
    </row>
    <row r="159" spans="1:205" ht="18.75" customHeight="1" x14ac:dyDescent="0.4">
      <c r="A159" s="240" t="s">
        <v>169</v>
      </c>
      <c r="B159" s="96"/>
      <c r="C159" s="260">
        <f>IF(AND(Database!E115&gt;1,Database!E49&gt;1),100*(Database!E115/(Database!E49)),0.0001)</f>
        <v>1E-4</v>
      </c>
      <c r="D159" s="99">
        <f>IF(AND(Database!G115&gt;1,Database!G49&gt;1),100*(Database!G115/(Database!G49)),0.0001)</f>
        <v>1E-4</v>
      </c>
      <c r="E159" s="99">
        <f>IF(AND(Database!I115&gt;1,Database!I49&gt;1),100*(Database!I115/(Database!I49)),0.0001)</f>
        <v>1E-4</v>
      </c>
      <c r="F159" s="99">
        <f>IF(AND(Database!K115&gt;1,Database!K49&gt;1),100*(Database!K115/(Database!K49)),0.0001)</f>
        <v>1E-4</v>
      </c>
      <c r="G159" s="99">
        <f>IF(AND(Database!M115&gt;1,Database!M49&gt;1),100*(Database!M115/(Database!M49)),0.0001)</f>
        <v>1E-4</v>
      </c>
      <c r="H159" s="99">
        <f>IF(AND(Database!O115&gt;1,Database!O49&gt;1),100*(Database!O115/(Database!O49)),0.0001)</f>
        <v>1E-4</v>
      </c>
      <c r="I159" s="99">
        <f>IF(AND(Database!Q115&gt;1,Database!Q49&gt;1),100*(Database!Q115/(Database!Q49)),0.0001)</f>
        <v>1E-4</v>
      </c>
      <c r="J159" s="99">
        <f>IF(AND(Database!S115&gt;1,Database!S49&gt;1),100*(Database!S115/(Database!S49)),0.0001)</f>
        <v>1E-4</v>
      </c>
      <c r="K159" s="99">
        <f>IF(AND(Database!U115&gt;1,Database!U49&gt;1),100*(Database!U115/(Database!U49)),0.0001)</f>
        <v>1E-4</v>
      </c>
      <c r="L159" s="99">
        <f>IF(AND(Database!W115&gt;1,Database!W49&gt;1),100*(Database!W115/(Database!W49)),0.0001)</f>
        <v>1E-4</v>
      </c>
      <c r="M159" s="99">
        <f>IF(AND(Database!Y115&gt;1,Database!Y49&gt;1),100*(Database!Y115/(Database!Y49)),0.0001)</f>
        <v>1E-4</v>
      </c>
      <c r="N159" s="99">
        <f>IF(AND(Database!AA115&gt;1,Database!AA49&gt;1),100*(Database!AA115/(Database!AA49)),0.0001)</f>
        <v>1E-4</v>
      </c>
      <c r="O159" s="99">
        <f>IF(AND(Database!AC115&gt;1,Database!AC49&gt;1),100*(Database!AC115/(Database!AC49)),0.0001)</f>
        <v>1E-4</v>
      </c>
      <c r="P159" s="99">
        <f>IF(AND(Database!AE115&gt;1,Database!AE49&gt;1),100*(Database!AE115/(Database!AE49)),0.0001)</f>
        <v>1E-4</v>
      </c>
      <c r="Q159" s="99">
        <f>IF(AND(Database!AG115&gt;1,Database!AG49&gt;1),100*(Database!AG115/(Database!AG49)),0.0001)</f>
        <v>1E-4</v>
      </c>
      <c r="R159" s="99">
        <f>IF(AND(Database!AI115&gt;1,Database!AI49&gt;1),100*(Database!AI115/(Database!AI49)),0.0001)</f>
        <v>1E-4</v>
      </c>
      <c r="S159" s="99">
        <f>IF(AND(Database!AK115&gt;1,Database!AK49&gt;1),100*(Database!AK115/(Database!AK49)),0.0001)</f>
        <v>1E-4</v>
      </c>
      <c r="T159" s="99">
        <f>IF(AND(Database!AM115&gt;1,Database!AM49&gt;1),100*(Database!AM115/(Database!AM49)),0.0001)</f>
        <v>1E-4</v>
      </c>
      <c r="U159" s="99">
        <f>IF(AND(Database!AO115&gt;1,Database!AO49&gt;1),100*(Database!AO115/(Database!AO49)),0.0001)</f>
        <v>1E-4</v>
      </c>
      <c r="V159" s="99">
        <f>IF(AND(Database!AQ115&gt;1,Database!AQ49&gt;1),100*(Database!AQ115/(Database!AQ49)),0.0001)</f>
        <v>1E-4</v>
      </c>
      <c r="W159" s="99">
        <f>IF(AND(Database!AS115&gt;1,Database!AS49&gt;1),100*(Database!AS115/(Database!AS49)),0.0001)</f>
        <v>1E-4</v>
      </c>
      <c r="X159" s="99">
        <f>IF(AND(Database!AU115&gt;1,Database!AU49&gt;1),100*(Database!AU115/(Database!AU49)),0.0001)</f>
        <v>1E-4</v>
      </c>
      <c r="Y159" s="99">
        <f>IF(AND(Database!AW115&gt;1,Database!AW49&gt;1),100*(Database!AW115/(Database!AW49)),0.0001)</f>
        <v>1E-4</v>
      </c>
      <c r="Z159" s="99">
        <f>IF(AND(Database!AY115&gt;1,Database!AY49&gt;1),100*(Database!AY115/(Database!AY49)),0.0001)</f>
        <v>1E-4</v>
      </c>
      <c r="AA159" s="99">
        <f>IF(AND(Database!BA115&gt;1,Database!BA49&gt;1),100*(Database!BA115/(Database!BA49)),0.0001)</f>
        <v>1E-4</v>
      </c>
      <c r="AB159" s="99">
        <f>IF(AND(Database!BC115&gt;1,Database!BC49&gt;1),100*(Database!BC115/(Database!BC49)),0.0001)</f>
        <v>1E-4</v>
      </c>
      <c r="AC159" s="99">
        <f>IF(AND(Database!BE115&gt;1,Database!BE49&gt;1),100*(Database!BE115/(Database!BE49)),0.0001)</f>
        <v>1E-4</v>
      </c>
      <c r="AD159" s="99">
        <f>IF(AND(Database!BG115&gt;1,Database!BG49&gt;1),100*(Database!BG115/(Database!BG49)),0.0001)</f>
        <v>1E-4</v>
      </c>
      <c r="AE159" s="99">
        <f>IF(AND(Database!BI115&gt;1,Database!BI49&gt;1),100*(Database!BI115/(Database!BI49)),0.0001)</f>
        <v>1E-4</v>
      </c>
      <c r="AF159" s="99">
        <f>IF(AND(Database!BK115&gt;1,Database!BK49&gt;1),100*(Database!BK115/(Database!BK49)),0.0001)</f>
        <v>1E-4</v>
      </c>
      <c r="AG159" s="99">
        <f>IF(AND(Database!BM115&gt;1,Database!BM49&gt;1),100*(Database!BM115/(Database!BM49)),0.0001)</f>
        <v>1E-4</v>
      </c>
      <c r="AH159" s="99">
        <f>IF(AND(Database!BO115&gt;1,Database!BO49&gt;1),100*(Database!BO115/(Database!BO49)),0.0001)</f>
        <v>1E-4</v>
      </c>
      <c r="AI159" s="99">
        <f>IF(AND(Database!BQ115&gt;1,Database!BQ49&gt;1),100*(Database!BQ115/(Database!BQ49)),0.0001)</f>
        <v>1E-4</v>
      </c>
      <c r="AJ159" s="99">
        <f>IF(AND(Database!BS115&gt;1,Database!BS49&gt;1),100*(Database!BS115/(Database!BS49)),0.0001)</f>
        <v>1E-4</v>
      </c>
      <c r="AK159" s="99">
        <f>IF(AND(Database!BU115&gt;1,Database!BU49&gt;1),100*(Database!BU115/(Database!BU49)),0.0001)</f>
        <v>1E-4</v>
      </c>
      <c r="AL159" s="99">
        <f>IF(AND(Database!BW115&gt;1,Database!BW49&gt;1),100*(Database!BW115/(Database!BW49)),0.0001)</f>
        <v>1E-4</v>
      </c>
      <c r="AM159" s="99">
        <f>IF(AND(Database!BY115&gt;1,Database!BY49&gt;1),100*(Database!BY115/(Database!BY49)),0.0001)</f>
        <v>1E-4</v>
      </c>
      <c r="AN159" s="99">
        <f>IF(AND(Database!CA115&gt;1,Database!CA49&gt;1),100*(Database!CA115/(Database!CA49)),0.0001)</f>
        <v>1E-4</v>
      </c>
      <c r="AO159" s="99">
        <f>IF(AND(Database!CC115&gt;1,Database!CC49&gt;1),100*(Database!CC115/(Database!CC49)),0.0001)</f>
        <v>1E-4</v>
      </c>
      <c r="AP159" s="99">
        <f>IF(AND(Database!CE115&gt;1,Database!CE49&gt;1),100*(Database!CE115/(Database!CE49)),0.0001)</f>
        <v>1E-4</v>
      </c>
      <c r="AQ159" s="99">
        <f>IF(AND(Database!CG115&gt;1,Database!CG49&gt;1),100*(Database!CG115/(Database!CG49)),0.0001)</f>
        <v>1E-4</v>
      </c>
      <c r="AR159" s="99">
        <f>IF(AND(Database!CI115&gt;1,Database!CI49&gt;1),100*(Database!CI115/(Database!CI49)),0.0001)</f>
        <v>1E-4</v>
      </c>
      <c r="AS159" s="99">
        <f>IF(AND(Database!CK115&gt;1,Database!CK49&gt;1),100*(Database!CK115/(Database!CK49)),0.0001)</f>
        <v>1E-4</v>
      </c>
      <c r="AT159" s="99">
        <f>IF(AND(Database!CM115&gt;1,Database!CM49&gt;1),100*(Database!CM115/(Database!CM49)),0.0001)</f>
        <v>1E-4</v>
      </c>
      <c r="AU159" s="99">
        <f>IF(AND(Database!CO115&gt;1,Database!CO49&gt;1),100*(Database!CO115/(Database!CO49)),0.0001)</f>
        <v>1E-4</v>
      </c>
      <c r="AV159" s="99">
        <f>IF(AND(Database!CQ115&gt;1,Database!CQ49&gt;1),100*(Database!CQ115/(Database!CQ49)),0.0001)</f>
        <v>1E-4</v>
      </c>
      <c r="AW159" s="99">
        <f>IF(AND(Database!CS115&gt;1,Database!CS49&gt;1),100*(Database!CS115/(Database!CS49)),0.0001)</f>
        <v>1E-4</v>
      </c>
      <c r="AX159" s="99">
        <f>IF(AND(Database!CU115&gt;1,Database!CU49&gt;1),100*(Database!CU115/(Database!CU49)),0.0001)</f>
        <v>1E-4</v>
      </c>
      <c r="AY159" s="99">
        <f>IF(AND(Database!CW115&gt;1,Database!CW49&gt;1),100*(Database!CW115/(Database!CW49)),0.0001)</f>
        <v>1E-4</v>
      </c>
      <c r="AZ159" s="99">
        <f>IF(AND(Database!CY115&gt;1,Database!CY49&gt;1),100*(Database!CY115/(Database!CY49)),0.0001)</f>
        <v>1E-4</v>
      </c>
      <c r="BA159" s="99">
        <f>IF(AND(Database!DA115&gt;1,Database!DA49&gt;1),100*(Database!DA115/(Database!DA49)),0.0001)</f>
        <v>1E-4</v>
      </c>
      <c r="BB159" s="99">
        <f>IF(AND(Database!DC115&gt;1,Database!DC49&gt;1),100*(Database!DC115/(Database!DC49)),0.0001)</f>
        <v>1E-4</v>
      </c>
      <c r="BC159" s="99">
        <f>IF(AND(Database!DE115&gt;1,Database!DE49&gt;1),100*(Database!DE115/(Database!DE49)),0.0001)</f>
        <v>1E-4</v>
      </c>
      <c r="BD159" s="99">
        <f>IF(AND(Database!DG115&gt;1,Database!DG49&gt;1),100*(Database!DG115/(Database!DG49)),0.0001)</f>
        <v>1E-4</v>
      </c>
      <c r="BE159" s="99">
        <f>IF(AND(Database!DI115&gt;1,Database!DI49&gt;1),100*(Database!DI115/(Database!DI49)),0.0001)</f>
        <v>1E-4</v>
      </c>
      <c r="BF159" s="99">
        <f>IF(AND(Database!DK115&gt;1,Database!DK49&gt;1),100*(Database!DK115/(Database!DK49)),0.0001)</f>
        <v>1E-4</v>
      </c>
      <c r="BG159" s="99">
        <f>IF(AND(Database!DM115&gt;1,Database!DM49&gt;1),100*(Database!DM115/(Database!DM49)),0.0001)</f>
        <v>1E-4</v>
      </c>
      <c r="BH159" s="99">
        <f>IF(AND(Database!DO115&gt;1,Database!DO49&gt;1),100*(Database!DO115/(Database!DO49)),0.0001)</f>
        <v>1E-4</v>
      </c>
      <c r="BI159" s="99">
        <f>IF(AND(Database!DQ115&gt;1,Database!DQ49&gt;1),100*(Database!DQ115/(Database!DQ49)),0.0001)</f>
        <v>1E-4</v>
      </c>
      <c r="BJ159" s="99">
        <f>IF(AND(Database!DS115&gt;1,Database!DS49&gt;1),100*(Database!DS115/(Database!DS49)),0.0001)</f>
        <v>1E-4</v>
      </c>
      <c r="BK159" s="99">
        <f>IF(AND(Database!DU115&gt;1,Database!DU49&gt;1),100*(Database!DU115/(Database!DU49)),0.0001)</f>
        <v>1E-4</v>
      </c>
      <c r="BL159" s="99">
        <f>IF(AND(Database!DW115&gt;1,Database!DW49&gt;1),100*(Database!DW115/(Database!DW49)),0.0001)</f>
        <v>1E-4</v>
      </c>
      <c r="BM159" s="99">
        <f>IF(AND(Database!DY115&gt;1,Database!DY49&gt;1),100*(Database!DY115/(Database!DY49)),0.0001)</f>
        <v>1E-4</v>
      </c>
      <c r="BN159" s="99">
        <f>IF(AND(Database!EA115&gt;1,Database!EA49&gt;1),100*(Database!EA115/(Database!EA49)),0.0001)</f>
        <v>1E-4</v>
      </c>
      <c r="BO159" s="99">
        <f>IF(AND(Database!EC115&gt;1,Database!EC49&gt;1),100*(Database!EC115/(Database!EC49)),0.0001)</f>
        <v>1E-4</v>
      </c>
      <c r="BP159" s="99">
        <f>IF(AND(Database!EE115&gt;1,Database!EE49&gt;1),100*(Database!EE115/(Database!EE49)),0.0001)</f>
        <v>1E-4</v>
      </c>
      <c r="BQ159" s="99">
        <f>IF(AND(Database!EG115&gt;1,Database!EG49&gt;1),100*(Database!EG115/(Database!EG49)),0.0001)</f>
        <v>1E-4</v>
      </c>
      <c r="BR159" s="99">
        <f>IF(AND(Database!EI115&gt;1,Database!EI49&gt;1),100*(Database!EI115/(Database!EI49)),0.0001)</f>
        <v>1E-4</v>
      </c>
      <c r="BS159" s="99">
        <f>IF(AND(Database!EK115&gt;1,Database!EK49&gt;1),100*(Database!EK115/(Database!EK49)),0.0001)</f>
        <v>1E-4</v>
      </c>
      <c r="BT159" s="99">
        <f>IF(AND(Database!EM115&gt;1,Database!EM49&gt;1),100*(Database!EM115/(Database!EM49)),0.0001)</f>
        <v>1E-4</v>
      </c>
      <c r="BU159" s="99">
        <f>IF(AND(Database!EO115&gt;1,Database!EO49&gt;1),100*(Database!EO115/(Database!EO49)),0.0001)</f>
        <v>1E-4</v>
      </c>
      <c r="BV159" s="99">
        <f>IF(AND(Database!EQ115&gt;1,Database!EQ49&gt;1),100*(Database!EQ115/(Database!EQ49)),0.0001)</f>
        <v>1E-4</v>
      </c>
      <c r="BW159" s="99">
        <f>IF(AND(Database!ES115&gt;1,Database!ES49&gt;1),100*(Database!ES115/(Database!ES49)),0.0001)</f>
        <v>1E-4</v>
      </c>
      <c r="BX159" s="99">
        <f>IF(AND(Database!EU115&gt;1,Database!EU49&gt;1),100*(Database!EU115/(Database!EU49)),0.0001)</f>
        <v>1E-4</v>
      </c>
      <c r="BY159" s="99">
        <f>IF(AND(Database!EW115&gt;1,Database!EW49&gt;1),100*(Database!EW115/(Database!EW49)),0.0001)</f>
        <v>1E-4</v>
      </c>
      <c r="BZ159" s="99">
        <f>IF(AND(Database!EY115&gt;1,Database!EY49&gt;1),100*(Database!EY115/(Database!EY49)),0.0001)</f>
        <v>1E-4</v>
      </c>
      <c r="CA159" s="99">
        <f>IF(AND(Database!FA115&gt;1,Database!FA49&gt;1),100*(Database!FA115/(Database!FA49)),0.0001)</f>
        <v>1E-4</v>
      </c>
      <c r="CB159" s="99">
        <f>IF(AND(Database!FC115&gt;1,Database!FC49&gt;1),100*(Database!FC115/(Database!FC49)),0.0001)</f>
        <v>1E-4</v>
      </c>
      <c r="CC159" s="99">
        <f>IF(AND(Database!FE115&gt;1,Database!FE49&gt;1),100*(Database!FE115/(Database!FE49)),0.0001)</f>
        <v>1E-4</v>
      </c>
      <c r="CD159" s="99">
        <f>IF(AND(Database!FG115&gt;1,Database!FG49&gt;1),100*(Database!FG115/(Database!FG49)),0.0001)</f>
        <v>1E-4</v>
      </c>
      <c r="CE159" s="99">
        <f>IF(AND(Database!FI115&gt;1,Database!FI49&gt;1),100*(Database!FI115/(Database!FI49)),0.0001)</f>
        <v>1E-4</v>
      </c>
      <c r="CF159" s="99">
        <f>IF(AND(Database!FK115&gt;1,Database!FK49&gt;1),100*(Database!FK115/(Database!FK49)),0.0001)</f>
        <v>1E-4</v>
      </c>
      <c r="CG159" s="99">
        <f>IF(AND(Database!FM115&gt;1,Database!FM49&gt;1),100*(Database!FM115/(Database!FM49)),0.0001)</f>
        <v>1E-4</v>
      </c>
      <c r="CH159" s="99">
        <f>IF(AND(Database!FO115&gt;1,Database!FO49&gt;1),100*(Database!FO115/(Database!FO49)),0.0001)</f>
        <v>1E-4</v>
      </c>
      <c r="CI159" s="99">
        <f>IF(AND(Database!FQ115&gt;1,Database!FQ49&gt;1),100*(Database!FQ115/(Database!FQ49)),0.0001)</f>
        <v>1E-4</v>
      </c>
      <c r="CJ159" s="99">
        <f>IF(AND(Database!FS115&gt;1,Database!FS49&gt;1),100*(Database!FS115/(Database!FS49)),0.0001)</f>
        <v>1E-4</v>
      </c>
      <c r="CK159" s="99">
        <f>IF(AND(Database!FU115&gt;1,Database!FU49&gt;1),100*(Database!FU115/(Database!FU49)),0.0001)</f>
        <v>1E-4</v>
      </c>
      <c r="CL159" s="99">
        <f>IF(AND(Database!FW115&gt;1,Database!FW49&gt;1),100*(Database!FW115/(Database!FW49)),0.0001)</f>
        <v>1E-4</v>
      </c>
      <c r="CM159" s="99">
        <f>IF(AND(Database!FY115&gt;1,Database!FY49&gt;1),100*(Database!FY115/(Database!FY49)),0.0001)</f>
        <v>1E-4</v>
      </c>
      <c r="CN159" s="99">
        <f>IF(AND(Database!GA115&gt;1,Database!GA49&gt;1),100*(Database!GA115/(Database!GA49)),0.0001)</f>
        <v>1E-4</v>
      </c>
      <c r="CO159" s="99">
        <f>IF(AND(Database!GC115&gt;1,Database!GC49&gt;1),100*(Database!GC115/(Database!GC49)),0.0001)</f>
        <v>1E-4</v>
      </c>
      <c r="CP159" s="99">
        <f>IF(AND(Database!GE115&gt;1,Database!GE49&gt;1),100*(Database!GE115/(Database!GE49)),0.0001)</f>
        <v>1E-4</v>
      </c>
      <c r="CQ159" s="99">
        <f>IF(AND(Database!GG115&gt;1,Database!GG49&gt;1),100*(Database!GG115/(Database!GG49)),0.0001)</f>
        <v>1E-4</v>
      </c>
      <c r="CR159" s="99">
        <f>IF(AND(Database!GI115&gt;1,Database!GI49&gt;1),100*(Database!GI115/(Database!GI49)),0.0001)</f>
        <v>1E-4</v>
      </c>
      <c r="CS159" s="99">
        <f>IF(AND(Database!GK115&gt;1,Database!GK49&gt;1),100*(Database!GK115/(Database!GK49)),0.0001)</f>
        <v>1E-4</v>
      </c>
      <c r="CT159" s="99">
        <f>IF(AND(Database!GM115&gt;1,Database!GM49&gt;1),100*(Database!GM115/(Database!GM49)),0.0001)</f>
        <v>1E-4</v>
      </c>
      <c r="CU159" s="99">
        <f>IF(AND(Database!GO115&gt;1,Database!GO49&gt;1),100*(Database!GO115/(Database!GO49)),0.0001)</f>
        <v>1E-4</v>
      </c>
      <c r="CV159" s="99">
        <f>IF(AND(Database!GQ115&gt;1,Database!GQ49&gt;1),100*(Database!GQ115/(Database!GQ49)),0.0001)</f>
        <v>1E-4</v>
      </c>
      <c r="CW159" s="99">
        <f>IF(AND(Database!GS115&gt;1,Database!GS49&gt;1),100*(Database!GS115/(Database!GS49)),0.0001)</f>
        <v>1E-4</v>
      </c>
      <c r="CX159" s="99">
        <f>IF(AND(Database!GU115&gt;1,Database!GU49&gt;1),100*(Database!GU115/(Database!GU49)),0.0001)</f>
        <v>1E-4</v>
      </c>
      <c r="CY159" s="99">
        <f>IF(AND(Database!GW115&gt;1,Database!GW49&gt;1),100*(Database!GW115/(Database!GW49)),0.0001)</f>
        <v>1E-4</v>
      </c>
      <c r="CZ159" s="99">
        <f>IF(AND(Database!GY115&gt;1,Database!GY49&gt;1),100*(Database!GY115/(Database!GY49)),0.0001)</f>
        <v>1E-4</v>
      </c>
      <c r="DA159" s="99">
        <f>IF(AND(Database!HA115&gt;1,Database!HA49&gt;1),100*(Database!HA115/(Database!HA49)),0.0001)</f>
        <v>1E-4</v>
      </c>
      <c r="DB159" s="99">
        <f>IF(AND(Database!HC115&gt;1,Database!HC49&gt;1),100*(Database!HC115/(Database!HC49)),0.0001)</f>
        <v>1E-4</v>
      </c>
      <c r="DC159" s="99">
        <f>IF(AND(Database!HE115&gt;1,Database!HE49&gt;1),100*(Database!HE115/(Database!HE49)),0.0001)</f>
        <v>1E-4</v>
      </c>
      <c r="DD159" s="99">
        <f>IF(AND(Database!HG115&gt;1,Database!HG49&gt;1),100*(Database!HG115/(Database!HG49)),0.0001)</f>
        <v>1E-4</v>
      </c>
      <c r="DE159" s="99">
        <f>IF(AND(Database!HI115&gt;1,Database!HI49&gt;1),100*(Database!HI115/(Database!HI49)),0.0001)</f>
        <v>1E-4</v>
      </c>
      <c r="DF159" s="99">
        <f>IF(AND(Database!HK115&gt;1,Database!HK49&gt;1),100*(Database!HK115/(Database!HK49)),0.0001)</f>
        <v>1E-4</v>
      </c>
      <c r="DG159" s="99">
        <f>IF(AND(Database!HM115&gt;1,Database!HM49&gt;1),100*(Database!HM115/(Database!HM49)),0.0001)</f>
        <v>1E-4</v>
      </c>
      <c r="DH159" s="99">
        <f>IF(AND(Database!HO115&gt;1,Database!HO49&gt;1),100*(Database!HO115/(Database!HO49)),0.0001)</f>
        <v>1E-4</v>
      </c>
      <c r="DI159" s="99">
        <f>IF(AND(Database!HQ115&gt;1,Database!HQ49&gt;1),100*(Database!HQ115/(Database!HQ49)),0.0001)</f>
        <v>1E-4</v>
      </c>
      <c r="DJ159" s="99">
        <f>IF(AND(Database!HS115&gt;1,Database!HS49&gt;1),100*(Database!HS115/(Database!HS49)),0.0001)</f>
        <v>1E-4</v>
      </c>
      <c r="DK159" s="99">
        <f>IF(AND(Database!HU115&gt;1,Database!HU49&gt;1),100*(Database!HU115/(Database!HU49)),0.0001)</f>
        <v>1E-4</v>
      </c>
      <c r="DL159" s="99">
        <f>IF(AND(Database!HW115&gt;1,Database!HW49&gt;1),100*(Database!HW115/(Database!HW49)),0.0001)</f>
        <v>1E-4</v>
      </c>
      <c r="DM159" s="99">
        <f>IF(AND(Database!HY115&gt;1,Database!HY49&gt;1),100*(Database!HY115/(Database!HY49)),0.0001)</f>
        <v>1E-4</v>
      </c>
      <c r="DN159" s="99">
        <f>IF(AND(Database!IA115&gt;1,Database!IA49&gt;1),100*(Database!IA115/(Database!IA49)),0.0001)</f>
        <v>1E-4</v>
      </c>
      <c r="DO159" s="99">
        <f>IF(AND(Database!IC115&gt;1,Database!IC49&gt;1),100*(Database!IC115/(Database!IC49)),0.0001)</f>
        <v>1E-4</v>
      </c>
      <c r="DP159" s="99">
        <f>IF(AND(Database!IE115&gt;1,Database!IE49&gt;1),100*(Database!IE115/(Database!IE49)),0.0001)</f>
        <v>1E-4</v>
      </c>
      <c r="DQ159" s="99">
        <f>IF(AND(Database!IG115&gt;1,Database!IG49&gt;1),100*(Database!IG115/(Database!IG49)),0.0001)</f>
        <v>1E-4</v>
      </c>
      <c r="DR159" s="99">
        <f>IF(AND(Database!II115&gt;1,Database!II49&gt;1),100*(Database!II115/(Database!II49)),0.0001)</f>
        <v>1E-4</v>
      </c>
      <c r="DS159" s="99">
        <f>IF(AND(Database!IK115&gt;1,Database!IK49&gt;1),100*(Database!IK115/(Database!IK49)),0.0001)</f>
        <v>1E-4</v>
      </c>
      <c r="DT159" s="99">
        <f>IF(AND(Database!IM115&gt;1,Database!IM49&gt;1),100*(Database!IM115/(Database!IM49)),0.0001)</f>
        <v>1E-4</v>
      </c>
      <c r="DU159" s="99">
        <f>IF(AND(Database!IO115&gt;1,Database!IO49&gt;1),100*(Database!IO115/(Database!IO49)),0.0001)</f>
        <v>1E-4</v>
      </c>
      <c r="DV159" s="99">
        <f>IF(AND(Database!IQ115&gt;1,Database!IQ49&gt;1),100*(Database!IQ115/(Database!IQ49)),0.0001)</f>
        <v>1E-4</v>
      </c>
      <c r="DW159" s="99">
        <f>IF(AND(Database!IS115&gt;1,Database!IS49&gt;1),100*(Database!IS115/(Database!IS49)),0.0001)</f>
        <v>1E-4</v>
      </c>
      <c r="DX159" s="99">
        <f>IF(AND(Database!IU115&gt;1,Database!IU49&gt;1),100*(Database!IU115/(Database!IU49)),0.0001)</f>
        <v>1E-4</v>
      </c>
      <c r="DY159" s="99">
        <f>IF(AND(Database!IW115&gt;1,Database!IW49&gt;1),100*(Database!IW115/(Database!IW49)),0.0001)</f>
        <v>1E-4</v>
      </c>
      <c r="DZ159" s="99">
        <f>IF(AND(Database!IY115&gt;1,Database!IY49&gt;1),100*(Database!IY115/(Database!IY49)),0.0001)</f>
        <v>1E-4</v>
      </c>
      <c r="EA159" s="99">
        <f>IF(AND(Database!JA115&gt;1,Database!JA49&gt;1),100*(Database!JA115/(Database!JA49)),0.0001)</f>
        <v>1E-4</v>
      </c>
      <c r="EB159" s="99">
        <f>IF(AND(Database!JC115&gt;1,Database!JC49&gt;1),100*(Database!JC115/(Database!JC49)),0.0001)</f>
        <v>1E-4</v>
      </c>
      <c r="EC159" s="99">
        <f>IF(AND(Database!JE115&gt;1,Database!JE49&gt;1),100*(Database!JE115/(Database!JE49)),0.0001)</f>
        <v>1E-4</v>
      </c>
      <c r="ED159" s="99">
        <f>IF(AND(Database!JG115&gt;1,Database!JG49&gt;1),100*(Database!JG115/(Database!JG49)),0.0001)</f>
        <v>1E-4</v>
      </c>
      <c r="EE159" s="99">
        <f>IF(AND(Database!JI115&gt;1,Database!JI49&gt;1),100*(Database!JI115/(Database!JI49)),0.0001)</f>
        <v>1E-4</v>
      </c>
      <c r="EF159" s="99">
        <f>IF(AND(Database!JK115&gt;1,Database!JK49&gt;1),100*(Database!JK115/(Database!JK49)),0.0001)</f>
        <v>1E-4</v>
      </c>
      <c r="EG159" s="99">
        <f>IF(AND(Database!JM115&gt;1,Database!JM49&gt;1),100*(Database!JM115/(Database!JM49)),0.0001)</f>
        <v>1E-4</v>
      </c>
      <c r="EH159" s="99">
        <f>IF(AND(Database!JO115&gt;1,Database!JO49&gt;1),100*(Database!JO115/(Database!JO49)),0.0001)</f>
        <v>1E-4</v>
      </c>
      <c r="EI159" s="99">
        <f>IF(AND(Database!JQ115&gt;1,Database!JQ49&gt;1),100*(Database!JQ115/(Database!JQ49)),0.0001)</f>
        <v>1E-4</v>
      </c>
      <c r="EJ159" s="99">
        <f>IF(AND(Database!JS115&gt;1,Database!JS49&gt;1),100*(Database!JS115/(Database!JS49)),0.0001)</f>
        <v>1E-4</v>
      </c>
      <c r="EK159" s="99">
        <f>IF(AND(Database!JU115&gt;1,Database!JU49&gt;1),100*(Database!JU115/(Database!JU49)),0.0001)</f>
        <v>1E-4</v>
      </c>
      <c r="EL159" s="99">
        <f>IF(AND(Database!JW115&gt;1,Database!JW49&gt;1),100*(Database!JW115/(Database!JW49)),0.0001)</f>
        <v>1E-4</v>
      </c>
      <c r="EM159" s="99">
        <f>IF(AND(Database!JY115&gt;1,Database!JY49&gt;1),100*(Database!JY115/(Database!JY49)),0.0001)</f>
        <v>1E-4</v>
      </c>
      <c r="EN159" s="99">
        <f>IF(AND(Database!KA115&gt;1,Database!KA49&gt;1),100*(Database!KA115/(Database!KA49)),0.0001)</f>
        <v>1E-4</v>
      </c>
      <c r="EO159" s="99">
        <f>IF(AND(Database!KC115&gt;1,Database!KC49&gt;1),100*(Database!KC115/(Database!KC49)),0.0001)</f>
        <v>1E-4</v>
      </c>
      <c r="EP159" s="99">
        <f>IF(AND(Database!KE115&gt;1,Database!KE49&gt;1),100*(Database!KE115/(Database!KE49)),0.0001)</f>
        <v>1E-4</v>
      </c>
      <c r="EQ159" s="99">
        <f>IF(AND(Database!KG115&gt;1,Database!KG49&gt;1),100*(Database!KG115/(Database!KG49)),0.0001)</f>
        <v>1E-4</v>
      </c>
      <c r="ER159" s="99">
        <f>IF(AND(Database!KI115&gt;1,Database!KI49&gt;1),100*(Database!KI115/(Database!KI49)),0.0001)</f>
        <v>1E-4</v>
      </c>
      <c r="ES159" s="99">
        <f>IF(AND(Database!KK115&gt;1,Database!KK49&gt;1),100*(Database!KK115/(Database!KK49)),0.0001)</f>
        <v>1E-4</v>
      </c>
      <c r="ET159" s="99">
        <f>IF(AND(Database!KM115&gt;1,Database!KM49&gt;1),100*(Database!KM115/(Database!KM49)),0.0001)</f>
        <v>1E-4</v>
      </c>
      <c r="EU159" s="99">
        <f>IF(AND(Database!KO115&gt;1,Database!KO49&gt;1),100*(Database!KO115/(Database!KO49)),0.0001)</f>
        <v>1E-4</v>
      </c>
      <c r="EV159" s="99">
        <f>IF(AND(Database!KQ115&gt;1,Database!KQ49&gt;1),100*(Database!KQ115/(Database!KQ49)),0.0001)</f>
        <v>1E-4</v>
      </c>
      <c r="EW159" s="99">
        <f>IF(AND(Database!KS115&gt;1,Database!KS49&gt;1),100*(Database!KS115/(Database!KS49)),0.0001)</f>
        <v>1E-4</v>
      </c>
      <c r="EX159" s="99">
        <f>IF(AND(Database!KU115&gt;1,Database!KU49&gt;1),100*(Database!KU115/(Database!KU49)),0.0001)</f>
        <v>1E-4</v>
      </c>
      <c r="EY159" s="99">
        <f>IF(AND(Database!KW115&gt;1,Database!KW49&gt;1),100*(Database!KW115/(Database!KW49)),0.0001)</f>
        <v>1E-4</v>
      </c>
      <c r="EZ159" s="99">
        <f>IF(AND(Database!KY115&gt;1,Database!KY49&gt;1),100*(Database!KY115/(Database!KY49)),0.0001)</f>
        <v>1E-4</v>
      </c>
      <c r="FA159" s="99">
        <f>IF(AND(Database!LA115&gt;1,Database!LA49&gt;1),100*(Database!LA115/(Database!LA49)),0.0001)</f>
        <v>1E-4</v>
      </c>
      <c r="FB159" s="99">
        <f>IF(AND(Database!LC115&gt;1,Database!LC49&gt;1),100*(Database!LC115/(Database!LC49)),0.0001)</f>
        <v>1E-4</v>
      </c>
      <c r="FC159" s="99">
        <f>IF(AND(Database!LE115&gt;1,Database!LE49&gt;1),100*(Database!LE115/(Database!LE49)),0.0001)</f>
        <v>1E-4</v>
      </c>
      <c r="FD159" s="99">
        <f>IF(AND(Database!LG115&gt;1,Database!LG49&gt;1),100*(Database!LG115/(Database!LG49)),0.0001)</f>
        <v>1E-4</v>
      </c>
      <c r="FE159" s="99">
        <f>IF(AND(Database!LI115&gt;1,Database!LI49&gt;1),100*(Database!LI115/(Database!LI49)),0.0001)</f>
        <v>1E-4</v>
      </c>
      <c r="FF159" s="99">
        <f>IF(AND(Database!LK115&gt;1,Database!LK49&gt;1),100*(Database!LK115/(Database!LK49)),0.0001)</f>
        <v>1E-4</v>
      </c>
      <c r="FG159" s="99">
        <f>IF(AND(Database!LM115&gt;1,Database!LM49&gt;1),100*(Database!LM115/(Database!LM49)),0.0001)</f>
        <v>1E-4</v>
      </c>
      <c r="FH159" s="99">
        <f>IF(AND(Database!LO115&gt;1,Database!LO49&gt;1),100*(Database!LO115/(Database!LO49)),0.0001)</f>
        <v>1E-4</v>
      </c>
      <c r="FI159" s="99">
        <f>IF(AND(Database!LQ115&gt;1,Database!LQ49&gt;1),100*(Database!LQ115/(Database!LQ49)),0.0001)</f>
        <v>1E-4</v>
      </c>
      <c r="FJ159" s="99">
        <f>IF(AND(Database!LS115&gt;1,Database!LS49&gt;1),100*(Database!LS115/(Database!LS49)),0.0001)</f>
        <v>1E-4</v>
      </c>
      <c r="FK159" s="99">
        <f>IF(AND(Database!LU115&gt;1,Database!LU49&gt;1),100*(Database!LU115/(Database!LU49)),0.0001)</f>
        <v>1E-4</v>
      </c>
      <c r="FL159" s="99">
        <f>IF(AND(Database!LW115&gt;1,Database!LW49&gt;1),100*(Database!LW115/(Database!LW49)),0.0001)</f>
        <v>1E-4</v>
      </c>
      <c r="FM159" s="99">
        <f>IF(AND(Database!LY115&gt;1,Database!LY49&gt;1),100*(Database!LY115/(Database!LY49)),0.0001)</f>
        <v>1E-4</v>
      </c>
      <c r="FN159" s="99">
        <f>IF(AND(Database!MA115&gt;1,Database!MA49&gt;1),100*(Database!MA115/(Database!MA49)),0.0001)</f>
        <v>1E-4</v>
      </c>
      <c r="FO159" s="99">
        <f>IF(AND(Database!MC115&gt;1,Database!MC49&gt;1),100*(Database!MC115/(Database!MC49)),0.0001)</f>
        <v>1E-4</v>
      </c>
      <c r="FP159" s="99">
        <f>IF(AND(Database!ME115&gt;1,Database!ME49&gt;1),100*(Database!ME115/(Database!ME49)),0.0001)</f>
        <v>1E-4</v>
      </c>
      <c r="FQ159" s="99">
        <f>IF(AND(Database!MG115&gt;1,Database!MG49&gt;1),100*(Database!MG115/(Database!MG49)),0.0001)</f>
        <v>1E-4</v>
      </c>
      <c r="FR159" s="99">
        <f>IF(AND(Database!MI115&gt;1,Database!MI49&gt;1),100*(Database!MI115/(Database!MI49)),0.0001)</f>
        <v>1E-4</v>
      </c>
      <c r="FS159" s="99">
        <f>IF(AND(Database!MK115&gt;1,Database!MK49&gt;1),100*(Database!MK115/(Database!MK49)),0.0001)</f>
        <v>1E-4</v>
      </c>
      <c r="FT159" s="99">
        <f>IF(AND(Database!MM115&gt;1,Database!MM49&gt;1),100*(Database!MM115/(Database!MM49)),0.0001)</f>
        <v>1E-4</v>
      </c>
      <c r="FU159" s="99">
        <f>IF(AND(Database!MO115&gt;1,Database!MO49&gt;1),100*(Database!MO115/(Database!MO49)),0.0001)</f>
        <v>1E-4</v>
      </c>
      <c r="FV159" s="99">
        <f>IF(AND(Database!MQ115&gt;1,Database!MQ49&gt;1),100*(Database!MQ115/(Database!MQ49)),0.0001)</f>
        <v>1E-4</v>
      </c>
      <c r="FW159" s="99">
        <f>IF(AND(Database!MS115&gt;1,Database!MS49&gt;1),100*(Database!MS115/(Database!MS49)),0.0001)</f>
        <v>1E-4</v>
      </c>
      <c r="FX159" s="99">
        <f>IF(AND(Database!MU115&gt;1,Database!MU49&gt;1),100*(Database!MU115/(Database!MU49)),0.0001)</f>
        <v>1E-4</v>
      </c>
      <c r="FY159" s="99">
        <f>IF(AND(Database!MW115&gt;1,Database!MW49&gt;1),100*(Database!MW115/(Database!MW49)),0.0001)</f>
        <v>1E-4</v>
      </c>
      <c r="FZ159" s="99">
        <f>IF(AND(Database!MY115&gt;1,Database!MY49&gt;1),100*(Database!MY115/(Database!MY49)),0.0001)</f>
        <v>1E-4</v>
      </c>
      <c r="GA159" s="99">
        <f>IF(AND(Database!NA115&gt;1,Database!NA49&gt;1),100*(Database!NA115/(Database!NA49)),0.0001)</f>
        <v>1E-4</v>
      </c>
      <c r="GB159" s="99">
        <f>IF(AND(Database!NC115&gt;1,Database!NC49&gt;1),100*(Database!NC115/(Database!NC49)),0.0001)</f>
        <v>1E-4</v>
      </c>
      <c r="GC159" s="99">
        <f>IF(AND(Database!NE115&gt;1,Database!NE49&gt;1),100*(Database!NE115/(Database!NE49)),0.0001)</f>
        <v>1E-4</v>
      </c>
      <c r="GD159" s="99">
        <f>IF(AND(Database!NG115&gt;1,Database!NG49&gt;1),100*(Database!NG115/(Database!NG49)),0.0001)</f>
        <v>1E-4</v>
      </c>
      <c r="GE159" s="99">
        <f>IF(AND(Database!NI115&gt;1,Database!NI49&gt;1),100*(Database!NI115/(Database!NI49)),0.0001)</f>
        <v>1E-4</v>
      </c>
      <c r="GF159" s="99">
        <f>IF(AND(Database!NK115&gt;1,Database!NK49&gt;1),100*(Database!NK115/(Database!NK49)),0.0001)</f>
        <v>1E-4</v>
      </c>
      <c r="GG159" s="99">
        <f>IF(AND(Database!NM115&gt;1,Database!NM49&gt;1),100*(Database!NM115/(Database!NM49)),0.0001)</f>
        <v>1E-4</v>
      </c>
      <c r="GH159" s="99">
        <f>IF(AND(Database!NO115&gt;1,Database!NO49&gt;1),100*(Database!NO115/(Database!NO49)),0.0001)</f>
        <v>1E-4</v>
      </c>
      <c r="GI159" s="99">
        <f>IF(AND(Database!NQ115&gt;1,Database!NQ49&gt;1),100*(Database!NQ115/(Database!NQ49)),0.0001)</f>
        <v>1E-4</v>
      </c>
      <c r="GJ159" s="99">
        <f>IF(AND(Database!NS115&gt;1,Database!NS49&gt;1),100*(Database!NS115/(Database!NS49)),0.0001)</f>
        <v>1E-4</v>
      </c>
      <c r="GK159" s="99">
        <f>IF(AND(Database!NU115&gt;1,Database!NU49&gt;1),100*(Database!NU115/(Database!NU49)),0.0001)</f>
        <v>1E-4</v>
      </c>
      <c r="GL159" s="99">
        <f>IF(AND(Database!NW115&gt;1,Database!NW49&gt;1),100*(Database!NW115/(Database!NW49)),0.0001)</f>
        <v>1E-4</v>
      </c>
      <c r="GM159" s="99">
        <f>IF(AND(Database!NY115&gt;1,Database!NY49&gt;1),100*(Database!NY115/(Database!NY49)),0.0001)</f>
        <v>1E-4</v>
      </c>
      <c r="GN159" s="99">
        <f>IF(AND(Database!OA115&gt;1,Database!OA49&gt;1),100*(Database!OA115/(Database!OA49)),0.0001)</f>
        <v>1E-4</v>
      </c>
      <c r="GO159" s="99">
        <f>IF(AND(Database!OC115&gt;1,Database!OC49&gt;1),100*(Database!OC115/(Database!OC49)),0.0001)</f>
        <v>1E-4</v>
      </c>
      <c r="GP159" s="99">
        <f>IF(AND(Database!OE115&gt;1,Database!OE49&gt;1),100*(Database!OE115/(Database!OE49)),0.0001)</f>
        <v>1E-4</v>
      </c>
      <c r="GQ159" s="99">
        <f>IF(AND(Database!OG115&gt;1,Database!OG49&gt;1),100*(Database!OG115/(Database!OG49)),0.0001)</f>
        <v>1E-4</v>
      </c>
      <c r="GR159" s="99">
        <f>IF(AND(Database!OI115&gt;1,Database!OI49&gt;1),100*(Database!OI115/(Database!OI49)),0.0001)</f>
        <v>1E-4</v>
      </c>
      <c r="GS159" s="99">
        <f>IF(AND(Database!OK115&gt;1,Database!OK49&gt;1),100*(Database!OK115/(Database!OK49)),0.0001)</f>
        <v>1E-4</v>
      </c>
      <c r="GT159" s="30">
        <f>IF(AND(Database!OM115&gt;1,Database!OM49&gt;1),100*(Database!OM115/(Database!OM49)),0.0001)</f>
        <v>1E-4</v>
      </c>
      <c r="GU159" s="99"/>
      <c r="GV159" s="99"/>
      <c r="GW159" s="99"/>
    </row>
    <row r="160" spans="1:205" ht="18.75" customHeight="1" x14ac:dyDescent="0.4">
      <c r="A160" s="240" t="s">
        <v>170</v>
      </c>
      <c r="B160" s="96"/>
      <c r="C160" s="260">
        <f>IF(AND(Database!E122&gt;1,Database!E49&gt;1),100*(Database!E122/(Database!E49)),0.0001)</f>
        <v>1E-4</v>
      </c>
      <c r="D160" s="99">
        <f>IF(AND(Database!G122&gt;1,Database!G49&gt;1),100*(Database!G122/(Database!G49)),0.0001)</f>
        <v>1E-4</v>
      </c>
      <c r="E160" s="99">
        <f>IF(AND(Database!I122&gt;1,Database!I49&gt;1),100*(Database!I122/(Database!I49)),0.0001)</f>
        <v>1E-4</v>
      </c>
      <c r="F160" s="99">
        <f>IF(AND(Database!K122&gt;1,Database!K49&gt;1),100*(Database!K122/(Database!K49)),0.0001)</f>
        <v>1E-4</v>
      </c>
      <c r="G160" s="99">
        <f>IF(AND(Database!M122&gt;1,Database!M49&gt;1),100*(Database!M122/(Database!M49)),0.0001)</f>
        <v>1E-4</v>
      </c>
      <c r="H160" s="99">
        <f>IF(AND(Database!O122&gt;1,Database!O49&gt;1),100*(Database!O122/(Database!O49)),0.0001)</f>
        <v>1E-4</v>
      </c>
      <c r="I160" s="99">
        <f>IF(AND(Database!Q122&gt;1,Database!Q49&gt;1),100*(Database!Q122/(Database!Q49)),0.0001)</f>
        <v>1E-4</v>
      </c>
      <c r="J160" s="99">
        <f>IF(AND(Database!S122&gt;1,Database!S49&gt;1),100*(Database!S122/(Database!S49)),0.0001)</f>
        <v>1E-4</v>
      </c>
      <c r="K160" s="99">
        <f>IF(AND(Database!U122&gt;1,Database!U49&gt;1),100*(Database!U122/(Database!U49)),0.0001)</f>
        <v>1E-4</v>
      </c>
      <c r="L160" s="99">
        <f>IF(AND(Database!W122&gt;1,Database!W49&gt;1),100*(Database!W122/(Database!W49)),0.0001)</f>
        <v>1E-4</v>
      </c>
      <c r="M160" s="99">
        <f>IF(AND(Database!Y122&gt;1,Database!Y49&gt;1),100*(Database!Y122/(Database!Y49)),0.0001)</f>
        <v>1E-4</v>
      </c>
      <c r="N160" s="99">
        <f>IF(AND(Database!AA122&gt;1,Database!AA49&gt;1),100*(Database!AA122/(Database!AA49)),0.0001)</f>
        <v>1E-4</v>
      </c>
      <c r="O160" s="99">
        <f>IF(AND(Database!AC122&gt;1,Database!AC49&gt;1),100*(Database!AC122/(Database!AC49)),0.0001)</f>
        <v>1E-4</v>
      </c>
      <c r="P160" s="99">
        <f>IF(AND(Database!AE122&gt;1,Database!AE49&gt;1),100*(Database!AE122/(Database!AE49)),0.0001)</f>
        <v>1E-4</v>
      </c>
      <c r="Q160" s="99">
        <f>IF(AND(Database!AG122&gt;1,Database!AG49&gt;1),100*(Database!AG122/(Database!AG49)),0.0001)</f>
        <v>1E-4</v>
      </c>
      <c r="R160" s="99">
        <f>IF(AND(Database!AI122&gt;1,Database!AI49&gt;1),100*(Database!AI122/(Database!AI49)),0.0001)</f>
        <v>1E-4</v>
      </c>
      <c r="S160" s="99">
        <f>IF(AND(Database!AK122&gt;1,Database!AK49&gt;1),100*(Database!AK122/(Database!AK49)),0.0001)</f>
        <v>1E-4</v>
      </c>
      <c r="T160" s="99">
        <f>IF(AND(Database!AM122&gt;1,Database!AM49&gt;1),100*(Database!AM122/(Database!AM49)),0.0001)</f>
        <v>1E-4</v>
      </c>
      <c r="U160" s="99">
        <f>IF(AND(Database!AO122&gt;1,Database!AO49&gt;1),100*(Database!AO122/(Database!AO49)),0.0001)</f>
        <v>1E-4</v>
      </c>
      <c r="V160" s="99">
        <f>IF(AND(Database!AQ122&gt;1,Database!AQ49&gt;1),100*(Database!AQ122/(Database!AQ49)),0.0001)</f>
        <v>1E-4</v>
      </c>
      <c r="W160" s="99">
        <f>IF(AND(Database!AS122&gt;1,Database!AS49&gt;1),100*(Database!AS122/(Database!AS49)),0.0001)</f>
        <v>1E-4</v>
      </c>
      <c r="X160" s="99">
        <f>IF(AND(Database!AU122&gt;1,Database!AU49&gt;1),100*(Database!AU122/(Database!AU49)),0.0001)</f>
        <v>1E-4</v>
      </c>
      <c r="Y160" s="99">
        <f>IF(AND(Database!AW122&gt;1,Database!AW49&gt;1),100*(Database!AW122/(Database!AW49)),0.0001)</f>
        <v>1E-4</v>
      </c>
      <c r="Z160" s="99">
        <f>IF(AND(Database!AY122&gt;1,Database!AY49&gt;1),100*(Database!AY122/(Database!AY49)),0.0001)</f>
        <v>1E-4</v>
      </c>
      <c r="AA160" s="99">
        <f>IF(AND(Database!BA122&gt;1,Database!BA49&gt;1),100*(Database!BA122/(Database!BA49)),0.0001)</f>
        <v>1E-4</v>
      </c>
      <c r="AB160" s="99">
        <f>IF(AND(Database!BC122&gt;1,Database!BC49&gt;1),100*(Database!BC122/(Database!BC49)),0.0001)</f>
        <v>1E-4</v>
      </c>
      <c r="AC160" s="99">
        <f>IF(AND(Database!BE122&gt;1,Database!BE49&gt;1),100*(Database!BE122/(Database!BE49)),0.0001)</f>
        <v>1E-4</v>
      </c>
      <c r="AD160" s="99">
        <f>IF(AND(Database!BG122&gt;1,Database!BG49&gt;1),100*(Database!BG122/(Database!BG49)),0.0001)</f>
        <v>1E-4</v>
      </c>
      <c r="AE160" s="99">
        <f>IF(AND(Database!BI122&gt;1,Database!BI49&gt;1),100*(Database!BI122/(Database!BI49)),0.0001)</f>
        <v>1E-4</v>
      </c>
      <c r="AF160" s="99">
        <f>IF(AND(Database!BK122&gt;1,Database!BK49&gt;1),100*(Database!BK122/(Database!BK49)),0.0001)</f>
        <v>1E-4</v>
      </c>
      <c r="AG160" s="99">
        <f>IF(AND(Database!BM122&gt;1,Database!BM49&gt;1),100*(Database!BM122/(Database!BM49)),0.0001)</f>
        <v>1E-4</v>
      </c>
      <c r="AH160" s="99">
        <f>IF(AND(Database!BO122&gt;1,Database!BO49&gt;1),100*(Database!BO122/(Database!BO49)),0.0001)</f>
        <v>1E-4</v>
      </c>
      <c r="AI160" s="99">
        <f>IF(AND(Database!BQ122&gt;1,Database!BQ49&gt;1),100*(Database!BQ122/(Database!BQ49)),0.0001)</f>
        <v>1E-4</v>
      </c>
      <c r="AJ160" s="99">
        <f>IF(AND(Database!BS122&gt;1,Database!BS49&gt;1),100*(Database!BS122/(Database!BS49)),0.0001)</f>
        <v>1E-4</v>
      </c>
      <c r="AK160" s="99">
        <f>IF(AND(Database!BU122&gt;1,Database!BU49&gt;1),100*(Database!BU122/(Database!BU49)),0.0001)</f>
        <v>1E-4</v>
      </c>
      <c r="AL160" s="99">
        <f>IF(AND(Database!BW122&gt;1,Database!BW49&gt;1),100*(Database!BW122/(Database!BW49)),0.0001)</f>
        <v>1E-4</v>
      </c>
      <c r="AM160" s="99">
        <f>IF(AND(Database!BY122&gt;1,Database!BY49&gt;1),100*(Database!BY122/(Database!BY49)),0.0001)</f>
        <v>1E-4</v>
      </c>
      <c r="AN160" s="99">
        <f>IF(AND(Database!CA122&gt;1,Database!CA49&gt;1),100*(Database!CA122/(Database!CA49)),0.0001)</f>
        <v>1E-4</v>
      </c>
      <c r="AO160" s="99">
        <f>IF(AND(Database!CC122&gt;1,Database!CC49&gt;1),100*(Database!CC122/(Database!CC49)),0.0001)</f>
        <v>1E-4</v>
      </c>
      <c r="AP160" s="99">
        <f>IF(AND(Database!CE122&gt;1,Database!CE49&gt;1),100*(Database!CE122/(Database!CE49)),0.0001)</f>
        <v>1E-4</v>
      </c>
      <c r="AQ160" s="99">
        <f>IF(AND(Database!CG122&gt;1,Database!CG49&gt;1),100*(Database!CG122/(Database!CG49)),0.0001)</f>
        <v>1E-4</v>
      </c>
      <c r="AR160" s="99">
        <f>IF(AND(Database!CI122&gt;1,Database!CI49&gt;1),100*(Database!CI122/(Database!CI49)),0.0001)</f>
        <v>1E-4</v>
      </c>
      <c r="AS160" s="99">
        <f>IF(AND(Database!CK122&gt;1,Database!CK49&gt;1),100*(Database!CK122/(Database!CK49)),0.0001)</f>
        <v>1E-4</v>
      </c>
      <c r="AT160" s="99">
        <f>IF(AND(Database!CM122&gt;1,Database!CM49&gt;1),100*(Database!CM122/(Database!CM49)),0.0001)</f>
        <v>1E-4</v>
      </c>
      <c r="AU160" s="99">
        <f>IF(AND(Database!CO122&gt;1,Database!CO49&gt;1),100*(Database!CO122/(Database!CO49)),0.0001)</f>
        <v>1E-4</v>
      </c>
      <c r="AV160" s="99">
        <f>IF(AND(Database!CQ122&gt;1,Database!CQ49&gt;1),100*(Database!CQ122/(Database!CQ49)),0.0001)</f>
        <v>1E-4</v>
      </c>
      <c r="AW160" s="99">
        <f>IF(AND(Database!CS122&gt;1,Database!CS49&gt;1),100*(Database!CS122/(Database!CS49)),0.0001)</f>
        <v>1E-4</v>
      </c>
      <c r="AX160" s="99">
        <f>IF(AND(Database!CU122&gt;1,Database!CU49&gt;1),100*(Database!CU122/(Database!CU49)),0.0001)</f>
        <v>1E-4</v>
      </c>
      <c r="AY160" s="99">
        <f>IF(AND(Database!CW122&gt;1,Database!CW49&gt;1),100*(Database!CW122/(Database!CW49)),0.0001)</f>
        <v>1E-4</v>
      </c>
      <c r="AZ160" s="99">
        <f>IF(AND(Database!CY122&gt;1,Database!CY49&gt;1),100*(Database!CY122/(Database!CY49)),0.0001)</f>
        <v>1E-4</v>
      </c>
      <c r="BA160" s="99">
        <f>IF(AND(Database!DA122&gt;1,Database!DA49&gt;1),100*(Database!DA122/(Database!DA49)),0.0001)</f>
        <v>1E-4</v>
      </c>
      <c r="BB160" s="99">
        <f>IF(AND(Database!DC122&gt;1,Database!DC49&gt;1),100*(Database!DC122/(Database!DC49)),0.0001)</f>
        <v>1E-4</v>
      </c>
      <c r="BC160" s="99">
        <f>IF(AND(Database!DE122&gt;1,Database!DE49&gt;1),100*(Database!DE122/(Database!DE49)),0.0001)</f>
        <v>1E-4</v>
      </c>
      <c r="BD160" s="99">
        <f>IF(AND(Database!DG122&gt;1,Database!DG49&gt;1),100*(Database!DG122/(Database!DG49)),0.0001)</f>
        <v>1E-4</v>
      </c>
      <c r="BE160" s="99">
        <f>IF(AND(Database!DI122&gt;1,Database!DI49&gt;1),100*(Database!DI122/(Database!DI49)),0.0001)</f>
        <v>1E-4</v>
      </c>
      <c r="BF160" s="99">
        <f>IF(AND(Database!DK122&gt;1,Database!DK49&gt;1),100*(Database!DK122/(Database!DK49)),0.0001)</f>
        <v>1E-4</v>
      </c>
      <c r="BG160" s="99">
        <f>IF(AND(Database!DM122&gt;1,Database!DM49&gt;1),100*(Database!DM122/(Database!DM49)),0.0001)</f>
        <v>1E-4</v>
      </c>
      <c r="BH160" s="99">
        <f>IF(AND(Database!DO122&gt;1,Database!DO49&gt;1),100*(Database!DO122/(Database!DO49)),0.0001)</f>
        <v>1E-4</v>
      </c>
      <c r="BI160" s="99">
        <f>IF(AND(Database!DQ122&gt;1,Database!DQ49&gt;1),100*(Database!DQ122/(Database!DQ49)),0.0001)</f>
        <v>1E-4</v>
      </c>
      <c r="BJ160" s="99">
        <f>IF(AND(Database!DS122&gt;1,Database!DS49&gt;1),100*(Database!DS122/(Database!DS49)),0.0001)</f>
        <v>1E-4</v>
      </c>
      <c r="BK160" s="99">
        <f>IF(AND(Database!DU122&gt;1,Database!DU49&gt;1),100*(Database!DU122/(Database!DU49)),0.0001)</f>
        <v>1E-4</v>
      </c>
      <c r="BL160" s="99">
        <f>IF(AND(Database!DW122&gt;1,Database!DW49&gt;1),100*(Database!DW122/(Database!DW49)),0.0001)</f>
        <v>1E-4</v>
      </c>
      <c r="BM160" s="99">
        <f>IF(AND(Database!DY122&gt;1,Database!DY49&gt;1),100*(Database!DY122/(Database!DY49)),0.0001)</f>
        <v>1E-4</v>
      </c>
      <c r="BN160" s="99">
        <f>IF(AND(Database!EA122&gt;1,Database!EA49&gt;1),100*(Database!EA122/(Database!EA49)),0.0001)</f>
        <v>1E-4</v>
      </c>
      <c r="BO160" s="99">
        <f>IF(AND(Database!EC122&gt;1,Database!EC49&gt;1),100*(Database!EC122/(Database!EC49)),0.0001)</f>
        <v>1E-4</v>
      </c>
      <c r="BP160" s="99">
        <f>IF(AND(Database!EE122&gt;1,Database!EE49&gt;1),100*(Database!EE122/(Database!EE49)),0.0001)</f>
        <v>1E-4</v>
      </c>
      <c r="BQ160" s="99">
        <f>IF(AND(Database!EG122&gt;1,Database!EG49&gt;1),100*(Database!EG122/(Database!EG49)),0.0001)</f>
        <v>1E-4</v>
      </c>
      <c r="BR160" s="99">
        <f>IF(AND(Database!EI122&gt;1,Database!EI49&gt;1),100*(Database!EI122/(Database!EI49)),0.0001)</f>
        <v>1E-4</v>
      </c>
      <c r="BS160" s="99">
        <f>IF(AND(Database!EK122&gt;1,Database!EK49&gt;1),100*(Database!EK122/(Database!EK49)),0.0001)</f>
        <v>1E-4</v>
      </c>
      <c r="BT160" s="99">
        <f>IF(AND(Database!EM122&gt;1,Database!EM49&gt;1),100*(Database!EM122/(Database!EM49)),0.0001)</f>
        <v>1E-4</v>
      </c>
      <c r="BU160" s="99">
        <f>IF(AND(Database!EO122&gt;1,Database!EO49&gt;1),100*(Database!EO122/(Database!EO49)),0.0001)</f>
        <v>1E-4</v>
      </c>
      <c r="BV160" s="99">
        <f>IF(AND(Database!EQ122&gt;1,Database!EQ49&gt;1),100*(Database!EQ122/(Database!EQ49)),0.0001)</f>
        <v>1E-4</v>
      </c>
      <c r="BW160" s="99">
        <f>IF(AND(Database!ES122&gt;1,Database!ES49&gt;1),100*(Database!ES122/(Database!ES49)),0.0001)</f>
        <v>1E-4</v>
      </c>
      <c r="BX160" s="99">
        <f>IF(AND(Database!EU122&gt;1,Database!EU49&gt;1),100*(Database!EU122/(Database!EU49)),0.0001)</f>
        <v>1E-4</v>
      </c>
      <c r="BY160" s="99">
        <f>IF(AND(Database!EW122&gt;1,Database!EW49&gt;1),100*(Database!EW122/(Database!EW49)),0.0001)</f>
        <v>1E-4</v>
      </c>
      <c r="BZ160" s="99">
        <f>IF(AND(Database!EY122&gt;1,Database!EY49&gt;1),100*(Database!EY122/(Database!EY49)),0.0001)</f>
        <v>1E-4</v>
      </c>
      <c r="CA160" s="99">
        <f>IF(AND(Database!FA122&gt;1,Database!FA49&gt;1),100*(Database!FA122/(Database!FA49)),0.0001)</f>
        <v>1E-4</v>
      </c>
      <c r="CB160" s="99">
        <f>IF(AND(Database!FC122&gt;1,Database!FC49&gt;1),100*(Database!FC122/(Database!FC49)),0.0001)</f>
        <v>1E-4</v>
      </c>
      <c r="CC160" s="99">
        <f>IF(AND(Database!FE122&gt;1,Database!FE49&gt;1),100*(Database!FE122/(Database!FE49)),0.0001)</f>
        <v>1E-4</v>
      </c>
      <c r="CD160" s="99">
        <f>IF(AND(Database!FG122&gt;1,Database!FG49&gt;1),100*(Database!FG122/(Database!FG49)),0.0001)</f>
        <v>1E-4</v>
      </c>
      <c r="CE160" s="99">
        <f>IF(AND(Database!FI122&gt;1,Database!FI49&gt;1),100*(Database!FI122/(Database!FI49)),0.0001)</f>
        <v>1E-4</v>
      </c>
      <c r="CF160" s="99">
        <f>IF(AND(Database!FK122&gt;1,Database!FK49&gt;1),100*(Database!FK122/(Database!FK49)),0.0001)</f>
        <v>1E-4</v>
      </c>
      <c r="CG160" s="99">
        <f>IF(AND(Database!FM122&gt;1,Database!FM49&gt;1),100*(Database!FM122/(Database!FM49)),0.0001)</f>
        <v>1E-4</v>
      </c>
      <c r="CH160" s="99">
        <f>IF(AND(Database!FO122&gt;1,Database!FO49&gt;1),100*(Database!FO122/(Database!FO49)),0.0001)</f>
        <v>1E-4</v>
      </c>
      <c r="CI160" s="99">
        <f>IF(AND(Database!FQ122&gt;1,Database!FQ49&gt;1),100*(Database!FQ122/(Database!FQ49)),0.0001)</f>
        <v>1E-4</v>
      </c>
      <c r="CJ160" s="99">
        <f>IF(AND(Database!FS122&gt;1,Database!FS49&gt;1),100*(Database!FS122/(Database!FS49)),0.0001)</f>
        <v>1E-4</v>
      </c>
      <c r="CK160" s="99">
        <f>IF(AND(Database!FU122&gt;1,Database!FU49&gt;1),100*(Database!FU122/(Database!FU49)),0.0001)</f>
        <v>1E-4</v>
      </c>
      <c r="CL160" s="99">
        <f>IF(AND(Database!FW122&gt;1,Database!FW49&gt;1),100*(Database!FW122/(Database!FW49)),0.0001)</f>
        <v>1E-4</v>
      </c>
      <c r="CM160" s="99">
        <f>IF(AND(Database!FY122&gt;1,Database!FY49&gt;1),100*(Database!FY122/(Database!FY49)),0.0001)</f>
        <v>1E-4</v>
      </c>
      <c r="CN160" s="99">
        <f>IF(AND(Database!GA122&gt;1,Database!GA49&gt;1),100*(Database!GA122/(Database!GA49)),0.0001)</f>
        <v>1E-4</v>
      </c>
      <c r="CO160" s="99">
        <f>IF(AND(Database!GC122&gt;1,Database!GC49&gt;1),100*(Database!GC122/(Database!GC49)),0.0001)</f>
        <v>1E-4</v>
      </c>
      <c r="CP160" s="99">
        <f>IF(AND(Database!GE122&gt;1,Database!GE49&gt;1),100*(Database!GE122/(Database!GE49)),0.0001)</f>
        <v>1E-4</v>
      </c>
      <c r="CQ160" s="99">
        <f>IF(AND(Database!GG122&gt;1,Database!GG49&gt;1),100*(Database!GG122/(Database!GG49)),0.0001)</f>
        <v>1E-4</v>
      </c>
      <c r="CR160" s="99">
        <f>IF(AND(Database!GI122&gt;1,Database!GI49&gt;1),100*(Database!GI122/(Database!GI49)),0.0001)</f>
        <v>1E-4</v>
      </c>
      <c r="CS160" s="99">
        <f>IF(AND(Database!GK122&gt;1,Database!GK49&gt;1),100*(Database!GK122/(Database!GK49)),0.0001)</f>
        <v>1E-4</v>
      </c>
      <c r="CT160" s="99">
        <f>IF(AND(Database!GM122&gt;1,Database!GM49&gt;1),100*(Database!GM122/(Database!GM49)),0.0001)</f>
        <v>1E-4</v>
      </c>
      <c r="CU160" s="99">
        <f>IF(AND(Database!GO122&gt;1,Database!GO49&gt;1),100*(Database!GO122/(Database!GO49)),0.0001)</f>
        <v>1E-4</v>
      </c>
      <c r="CV160" s="99">
        <f>IF(AND(Database!GQ122&gt;1,Database!GQ49&gt;1),100*(Database!GQ122/(Database!GQ49)),0.0001)</f>
        <v>1E-4</v>
      </c>
      <c r="CW160" s="99">
        <f>IF(AND(Database!GS122&gt;1,Database!GS49&gt;1),100*(Database!GS122/(Database!GS49)),0.0001)</f>
        <v>1E-4</v>
      </c>
      <c r="CX160" s="99">
        <f>IF(AND(Database!GU122&gt;1,Database!GU49&gt;1),100*(Database!GU122/(Database!GU49)),0.0001)</f>
        <v>1E-4</v>
      </c>
      <c r="CY160" s="99">
        <f>IF(AND(Database!GW122&gt;1,Database!GW49&gt;1),100*(Database!GW122/(Database!GW49)),0.0001)</f>
        <v>1E-4</v>
      </c>
      <c r="CZ160" s="99">
        <f>IF(AND(Database!GY122&gt;1,Database!GY49&gt;1),100*(Database!GY122/(Database!GY49)),0.0001)</f>
        <v>1E-4</v>
      </c>
      <c r="DA160" s="99">
        <f>IF(AND(Database!HA122&gt;1,Database!HA49&gt;1),100*(Database!HA122/(Database!HA49)),0.0001)</f>
        <v>1E-4</v>
      </c>
      <c r="DB160" s="99">
        <f>IF(AND(Database!HC122&gt;1,Database!HC49&gt;1),100*(Database!HC122/(Database!HC49)),0.0001)</f>
        <v>1E-4</v>
      </c>
      <c r="DC160" s="99">
        <f>IF(AND(Database!HE122&gt;1,Database!HE49&gt;1),100*(Database!HE122/(Database!HE49)),0.0001)</f>
        <v>1E-4</v>
      </c>
      <c r="DD160" s="99">
        <f>IF(AND(Database!HG122&gt;1,Database!HG49&gt;1),100*(Database!HG122/(Database!HG49)),0.0001)</f>
        <v>1E-4</v>
      </c>
      <c r="DE160" s="99">
        <f>IF(AND(Database!HI122&gt;1,Database!HI49&gt;1),100*(Database!HI122/(Database!HI49)),0.0001)</f>
        <v>1E-4</v>
      </c>
      <c r="DF160" s="99">
        <f>IF(AND(Database!HK122&gt;1,Database!HK49&gt;1),100*(Database!HK122/(Database!HK49)),0.0001)</f>
        <v>1E-4</v>
      </c>
      <c r="DG160" s="99">
        <f>IF(AND(Database!HM122&gt;1,Database!HM49&gt;1),100*(Database!HM122/(Database!HM49)),0.0001)</f>
        <v>1E-4</v>
      </c>
      <c r="DH160" s="99">
        <f>IF(AND(Database!HO122&gt;1,Database!HO49&gt;1),100*(Database!HO122/(Database!HO49)),0.0001)</f>
        <v>1E-4</v>
      </c>
      <c r="DI160" s="99">
        <f>IF(AND(Database!HQ122&gt;1,Database!HQ49&gt;1),100*(Database!HQ122/(Database!HQ49)),0.0001)</f>
        <v>1E-4</v>
      </c>
      <c r="DJ160" s="99">
        <f>IF(AND(Database!HS122&gt;1,Database!HS49&gt;1),100*(Database!HS122/(Database!HS49)),0.0001)</f>
        <v>1E-4</v>
      </c>
      <c r="DK160" s="99">
        <f>IF(AND(Database!HU122&gt;1,Database!HU49&gt;1),100*(Database!HU122/(Database!HU49)),0.0001)</f>
        <v>1E-4</v>
      </c>
      <c r="DL160" s="99">
        <f>IF(AND(Database!HW122&gt;1,Database!HW49&gt;1),100*(Database!HW122/(Database!HW49)),0.0001)</f>
        <v>1E-4</v>
      </c>
      <c r="DM160" s="99">
        <f>IF(AND(Database!HY122&gt;1,Database!HY49&gt;1),100*(Database!HY122/(Database!HY49)),0.0001)</f>
        <v>1E-4</v>
      </c>
      <c r="DN160" s="99">
        <f>IF(AND(Database!IA122&gt;1,Database!IA49&gt;1),100*(Database!IA122/(Database!IA49)),0.0001)</f>
        <v>1E-4</v>
      </c>
      <c r="DO160" s="99">
        <f>IF(AND(Database!IC122&gt;1,Database!IC49&gt;1),100*(Database!IC122/(Database!IC49)),0.0001)</f>
        <v>1E-4</v>
      </c>
      <c r="DP160" s="99">
        <f>IF(AND(Database!IE122&gt;1,Database!IE49&gt;1),100*(Database!IE122/(Database!IE49)),0.0001)</f>
        <v>1E-4</v>
      </c>
      <c r="DQ160" s="99">
        <f>IF(AND(Database!IG122&gt;1,Database!IG49&gt;1),100*(Database!IG122/(Database!IG49)),0.0001)</f>
        <v>1E-4</v>
      </c>
      <c r="DR160" s="99">
        <f>IF(AND(Database!II122&gt;1,Database!II49&gt;1),100*(Database!II122/(Database!II49)),0.0001)</f>
        <v>1E-4</v>
      </c>
      <c r="DS160" s="99">
        <f>IF(AND(Database!IK122&gt;1,Database!IK49&gt;1),100*(Database!IK122/(Database!IK49)),0.0001)</f>
        <v>1E-4</v>
      </c>
      <c r="DT160" s="99">
        <f>IF(AND(Database!IM122&gt;1,Database!IM49&gt;1),100*(Database!IM122/(Database!IM49)),0.0001)</f>
        <v>1E-4</v>
      </c>
      <c r="DU160" s="99">
        <f>IF(AND(Database!IO122&gt;1,Database!IO49&gt;1),100*(Database!IO122/(Database!IO49)),0.0001)</f>
        <v>1E-4</v>
      </c>
      <c r="DV160" s="99">
        <f>IF(AND(Database!IQ122&gt;1,Database!IQ49&gt;1),100*(Database!IQ122/(Database!IQ49)),0.0001)</f>
        <v>1E-4</v>
      </c>
      <c r="DW160" s="99">
        <f>IF(AND(Database!IS122&gt;1,Database!IS49&gt;1),100*(Database!IS122/(Database!IS49)),0.0001)</f>
        <v>1E-4</v>
      </c>
      <c r="DX160" s="99">
        <f>IF(AND(Database!IU122&gt;1,Database!IU49&gt;1),100*(Database!IU122/(Database!IU49)),0.0001)</f>
        <v>1E-4</v>
      </c>
      <c r="DY160" s="99">
        <f>IF(AND(Database!IW122&gt;1,Database!IW49&gt;1),100*(Database!IW122/(Database!IW49)),0.0001)</f>
        <v>1E-4</v>
      </c>
      <c r="DZ160" s="99">
        <f>IF(AND(Database!IY122&gt;1,Database!IY49&gt;1),100*(Database!IY122/(Database!IY49)),0.0001)</f>
        <v>1E-4</v>
      </c>
      <c r="EA160" s="99">
        <f>IF(AND(Database!JA122&gt;1,Database!JA49&gt;1),100*(Database!JA122/(Database!JA49)),0.0001)</f>
        <v>1E-4</v>
      </c>
      <c r="EB160" s="99">
        <f>IF(AND(Database!JC122&gt;1,Database!JC49&gt;1),100*(Database!JC122/(Database!JC49)),0.0001)</f>
        <v>1E-4</v>
      </c>
      <c r="EC160" s="99">
        <f>IF(AND(Database!JE122&gt;1,Database!JE49&gt;1),100*(Database!JE122/(Database!JE49)),0.0001)</f>
        <v>1E-4</v>
      </c>
      <c r="ED160" s="99">
        <f>IF(AND(Database!JG122&gt;1,Database!JG49&gt;1),100*(Database!JG122/(Database!JG49)),0.0001)</f>
        <v>1E-4</v>
      </c>
      <c r="EE160" s="99">
        <f>IF(AND(Database!JI122&gt;1,Database!JI49&gt;1),100*(Database!JI122/(Database!JI49)),0.0001)</f>
        <v>1E-4</v>
      </c>
      <c r="EF160" s="99">
        <f>IF(AND(Database!JK122&gt;1,Database!JK49&gt;1),100*(Database!JK122/(Database!JK49)),0.0001)</f>
        <v>1E-4</v>
      </c>
      <c r="EG160" s="99">
        <f>IF(AND(Database!JM122&gt;1,Database!JM49&gt;1),100*(Database!JM122/(Database!JM49)),0.0001)</f>
        <v>1E-4</v>
      </c>
      <c r="EH160" s="99">
        <f>IF(AND(Database!JO122&gt;1,Database!JO49&gt;1),100*(Database!JO122/(Database!JO49)),0.0001)</f>
        <v>1E-4</v>
      </c>
      <c r="EI160" s="99">
        <f>IF(AND(Database!JQ122&gt;1,Database!JQ49&gt;1),100*(Database!JQ122/(Database!JQ49)),0.0001)</f>
        <v>1E-4</v>
      </c>
      <c r="EJ160" s="99">
        <f>IF(AND(Database!JS122&gt;1,Database!JS49&gt;1),100*(Database!JS122/(Database!JS49)),0.0001)</f>
        <v>1E-4</v>
      </c>
      <c r="EK160" s="99">
        <f>IF(AND(Database!JU122&gt;1,Database!JU49&gt;1),100*(Database!JU122/(Database!JU49)),0.0001)</f>
        <v>1E-4</v>
      </c>
      <c r="EL160" s="99">
        <f>IF(AND(Database!JW122&gt;1,Database!JW49&gt;1),100*(Database!JW122/(Database!JW49)),0.0001)</f>
        <v>1E-4</v>
      </c>
      <c r="EM160" s="99">
        <f>IF(AND(Database!JY122&gt;1,Database!JY49&gt;1),100*(Database!JY122/(Database!JY49)),0.0001)</f>
        <v>1E-4</v>
      </c>
      <c r="EN160" s="99">
        <f>IF(AND(Database!KA122&gt;1,Database!KA49&gt;1),100*(Database!KA122/(Database!KA49)),0.0001)</f>
        <v>1E-4</v>
      </c>
      <c r="EO160" s="99">
        <f>IF(AND(Database!KC122&gt;1,Database!KC49&gt;1),100*(Database!KC122/(Database!KC49)),0.0001)</f>
        <v>1E-4</v>
      </c>
      <c r="EP160" s="99">
        <f>IF(AND(Database!KE122&gt;1,Database!KE49&gt;1),100*(Database!KE122/(Database!KE49)),0.0001)</f>
        <v>1E-4</v>
      </c>
      <c r="EQ160" s="99">
        <f>IF(AND(Database!KG122&gt;1,Database!KG49&gt;1),100*(Database!KG122/(Database!KG49)),0.0001)</f>
        <v>1E-4</v>
      </c>
      <c r="ER160" s="99">
        <f>IF(AND(Database!KI122&gt;1,Database!KI49&gt;1),100*(Database!KI122/(Database!KI49)),0.0001)</f>
        <v>1E-4</v>
      </c>
      <c r="ES160" s="99">
        <f>IF(AND(Database!KK122&gt;1,Database!KK49&gt;1),100*(Database!KK122/(Database!KK49)),0.0001)</f>
        <v>1E-4</v>
      </c>
      <c r="ET160" s="99">
        <f>IF(AND(Database!KM122&gt;1,Database!KM49&gt;1),100*(Database!KM122/(Database!KM49)),0.0001)</f>
        <v>1E-4</v>
      </c>
      <c r="EU160" s="99">
        <f>IF(AND(Database!KO122&gt;1,Database!KO49&gt;1),100*(Database!KO122/(Database!KO49)),0.0001)</f>
        <v>1E-4</v>
      </c>
      <c r="EV160" s="99">
        <f>IF(AND(Database!KQ122&gt;1,Database!KQ49&gt;1),100*(Database!KQ122/(Database!KQ49)),0.0001)</f>
        <v>1E-4</v>
      </c>
      <c r="EW160" s="99">
        <f>IF(AND(Database!KS122&gt;1,Database!KS49&gt;1),100*(Database!KS122/(Database!KS49)),0.0001)</f>
        <v>1E-4</v>
      </c>
      <c r="EX160" s="99">
        <f>IF(AND(Database!KU122&gt;1,Database!KU49&gt;1),100*(Database!KU122/(Database!KU49)),0.0001)</f>
        <v>1E-4</v>
      </c>
      <c r="EY160" s="99">
        <f>IF(AND(Database!KW122&gt;1,Database!KW49&gt;1),100*(Database!KW122/(Database!KW49)),0.0001)</f>
        <v>1E-4</v>
      </c>
      <c r="EZ160" s="99">
        <f>IF(AND(Database!KY122&gt;1,Database!KY49&gt;1),100*(Database!KY122/(Database!KY49)),0.0001)</f>
        <v>1E-4</v>
      </c>
      <c r="FA160" s="99">
        <f>IF(AND(Database!LA122&gt;1,Database!LA49&gt;1),100*(Database!LA122/(Database!LA49)),0.0001)</f>
        <v>1E-4</v>
      </c>
      <c r="FB160" s="99">
        <f>IF(AND(Database!LC122&gt;1,Database!LC49&gt;1),100*(Database!LC122/(Database!LC49)),0.0001)</f>
        <v>1E-4</v>
      </c>
      <c r="FC160" s="99">
        <f>IF(AND(Database!LE122&gt;1,Database!LE49&gt;1),100*(Database!LE122/(Database!LE49)),0.0001)</f>
        <v>1E-4</v>
      </c>
      <c r="FD160" s="99">
        <f>IF(AND(Database!LG122&gt;1,Database!LG49&gt;1),100*(Database!LG122/(Database!LG49)),0.0001)</f>
        <v>1E-4</v>
      </c>
      <c r="FE160" s="99">
        <f>IF(AND(Database!LI122&gt;1,Database!LI49&gt;1),100*(Database!LI122/(Database!LI49)),0.0001)</f>
        <v>1E-4</v>
      </c>
      <c r="FF160" s="99">
        <f>IF(AND(Database!LK122&gt;1,Database!LK49&gt;1),100*(Database!LK122/(Database!LK49)),0.0001)</f>
        <v>1E-4</v>
      </c>
      <c r="FG160" s="99">
        <f>IF(AND(Database!LM122&gt;1,Database!LM49&gt;1),100*(Database!LM122/(Database!LM49)),0.0001)</f>
        <v>1E-4</v>
      </c>
      <c r="FH160" s="99">
        <f>IF(AND(Database!LO122&gt;1,Database!LO49&gt;1),100*(Database!LO122/(Database!LO49)),0.0001)</f>
        <v>1E-4</v>
      </c>
      <c r="FI160" s="99">
        <f>IF(AND(Database!LQ122&gt;1,Database!LQ49&gt;1),100*(Database!LQ122/(Database!LQ49)),0.0001)</f>
        <v>1E-4</v>
      </c>
      <c r="FJ160" s="99">
        <f>IF(AND(Database!LS122&gt;1,Database!LS49&gt;1),100*(Database!LS122/(Database!LS49)),0.0001)</f>
        <v>1E-4</v>
      </c>
      <c r="FK160" s="99">
        <f>IF(AND(Database!LU122&gt;1,Database!LU49&gt;1),100*(Database!LU122/(Database!LU49)),0.0001)</f>
        <v>1E-4</v>
      </c>
      <c r="FL160" s="99">
        <f>IF(AND(Database!LW122&gt;1,Database!LW49&gt;1),100*(Database!LW122/(Database!LW49)),0.0001)</f>
        <v>1E-4</v>
      </c>
      <c r="FM160" s="99">
        <f>IF(AND(Database!LY122&gt;1,Database!LY49&gt;1),100*(Database!LY122/(Database!LY49)),0.0001)</f>
        <v>1E-4</v>
      </c>
      <c r="FN160" s="99">
        <f>IF(AND(Database!MA122&gt;1,Database!MA49&gt;1),100*(Database!MA122/(Database!MA49)),0.0001)</f>
        <v>1E-4</v>
      </c>
      <c r="FO160" s="99">
        <f>IF(AND(Database!MC122&gt;1,Database!MC49&gt;1),100*(Database!MC122/(Database!MC49)),0.0001)</f>
        <v>1E-4</v>
      </c>
      <c r="FP160" s="99">
        <f>IF(AND(Database!ME122&gt;1,Database!ME49&gt;1),100*(Database!ME122/(Database!ME49)),0.0001)</f>
        <v>1E-4</v>
      </c>
      <c r="FQ160" s="99">
        <f>IF(AND(Database!MG122&gt;1,Database!MG49&gt;1),100*(Database!MG122/(Database!MG49)),0.0001)</f>
        <v>1E-4</v>
      </c>
      <c r="FR160" s="99">
        <f>IF(AND(Database!MI122&gt;1,Database!MI49&gt;1),100*(Database!MI122/(Database!MI49)),0.0001)</f>
        <v>1E-4</v>
      </c>
      <c r="FS160" s="99">
        <f>IF(AND(Database!MK122&gt;1,Database!MK49&gt;1),100*(Database!MK122/(Database!MK49)),0.0001)</f>
        <v>1E-4</v>
      </c>
      <c r="FT160" s="99">
        <f>IF(AND(Database!MM122&gt;1,Database!MM49&gt;1),100*(Database!MM122/(Database!MM49)),0.0001)</f>
        <v>1E-4</v>
      </c>
      <c r="FU160" s="99">
        <f>IF(AND(Database!MO122&gt;1,Database!MO49&gt;1),100*(Database!MO122/(Database!MO49)),0.0001)</f>
        <v>1E-4</v>
      </c>
      <c r="FV160" s="99">
        <f>IF(AND(Database!MQ122&gt;1,Database!MQ49&gt;1),100*(Database!MQ122/(Database!MQ49)),0.0001)</f>
        <v>1E-4</v>
      </c>
      <c r="FW160" s="99">
        <f>IF(AND(Database!MS122&gt;1,Database!MS49&gt;1),100*(Database!MS122/(Database!MS49)),0.0001)</f>
        <v>1E-4</v>
      </c>
      <c r="FX160" s="99">
        <f>IF(AND(Database!MU122&gt;1,Database!MU49&gt;1),100*(Database!MU122/(Database!MU49)),0.0001)</f>
        <v>1E-4</v>
      </c>
      <c r="FY160" s="99">
        <f>IF(AND(Database!MW122&gt;1,Database!MW49&gt;1),100*(Database!MW122/(Database!MW49)),0.0001)</f>
        <v>1E-4</v>
      </c>
      <c r="FZ160" s="99">
        <f>IF(AND(Database!MY122&gt;1,Database!MY49&gt;1),100*(Database!MY122/(Database!MY49)),0.0001)</f>
        <v>1E-4</v>
      </c>
      <c r="GA160" s="99">
        <f>IF(AND(Database!NA122&gt;1,Database!NA49&gt;1),100*(Database!NA122/(Database!NA49)),0.0001)</f>
        <v>1E-4</v>
      </c>
      <c r="GB160" s="99">
        <f>IF(AND(Database!NC122&gt;1,Database!NC49&gt;1),100*(Database!NC122/(Database!NC49)),0.0001)</f>
        <v>1E-4</v>
      </c>
      <c r="GC160" s="99">
        <f>IF(AND(Database!NE122&gt;1,Database!NE49&gt;1),100*(Database!NE122/(Database!NE49)),0.0001)</f>
        <v>1E-4</v>
      </c>
      <c r="GD160" s="99">
        <f>IF(AND(Database!NG122&gt;1,Database!NG49&gt;1),100*(Database!NG122/(Database!NG49)),0.0001)</f>
        <v>1E-4</v>
      </c>
      <c r="GE160" s="99">
        <f>IF(AND(Database!NI122&gt;1,Database!NI49&gt;1),100*(Database!NI122/(Database!NI49)),0.0001)</f>
        <v>1E-4</v>
      </c>
      <c r="GF160" s="99">
        <f>IF(AND(Database!NK122&gt;1,Database!NK49&gt;1),100*(Database!NK122/(Database!NK49)),0.0001)</f>
        <v>1E-4</v>
      </c>
      <c r="GG160" s="99">
        <f>IF(AND(Database!NM122&gt;1,Database!NM49&gt;1),100*(Database!NM122/(Database!NM49)),0.0001)</f>
        <v>1E-4</v>
      </c>
      <c r="GH160" s="99">
        <f>IF(AND(Database!NO122&gt;1,Database!NO49&gt;1),100*(Database!NO122/(Database!NO49)),0.0001)</f>
        <v>1E-4</v>
      </c>
      <c r="GI160" s="99">
        <f>IF(AND(Database!NQ122&gt;1,Database!NQ49&gt;1),100*(Database!NQ122/(Database!NQ49)),0.0001)</f>
        <v>1E-4</v>
      </c>
      <c r="GJ160" s="99">
        <f>IF(AND(Database!NS122&gt;1,Database!NS49&gt;1),100*(Database!NS122/(Database!NS49)),0.0001)</f>
        <v>1E-4</v>
      </c>
      <c r="GK160" s="99">
        <f>IF(AND(Database!NU122&gt;1,Database!NU49&gt;1),100*(Database!NU122/(Database!NU49)),0.0001)</f>
        <v>1E-4</v>
      </c>
      <c r="GL160" s="99">
        <f>IF(AND(Database!NW122&gt;1,Database!NW49&gt;1),100*(Database!NW122/(Database!NW49)),0.0001)</f>
        <v>1E-4</v>
      </c>
      <c r="GM160" s="99">
        <f>IF(AND(Database!NY122&gt;1,Database!NY49&gt;1),100*(Database!NY122/(Database!NY49)),0.0001)</f>
        <v>1E-4</v>
      </c>
      <c r="GN160" s="99">
        <f>IF(AND(Database!OA122&gt;1,Database!OA49&gt;1),100*(Database!OA122/(Database!OA49)),0.0001)</f>
        <v>1E-4</v>
      </c>
      <c r="GO160" s="99">
        <f>IF(AND(Database!OC122&gt;1,Database!OC49&gt;1),100*(Database!OC122/(Database!OC49)),0.0001)</f>
        <v>1E-4</v>
      </c>
      <c r="GP160" s="99">
        <f>IF(AND(Database!OE122&gt;1,Database!OE49&gt;1),100*(Database!OE122/(Database!OE49)),0.0001)</f>
        <v>1E-4</v>
      </c>
      <c r="GQ160" s="99">
        <f>IF(AND(Database!OG122&gt;1,Database!OG49&gt;1),100*(Database!OG122/(Database!OG49)),0.0001)</f>
        <v>1E-4</v>
      </c>
      <c r="GR160" s="99">
        <f>IF(AND(Database!OI122&gt;1,Database!OI49&gt;1),100*(Database!OI122/(Database!OI49)),0.0001)</f>
        <v>1E-4</v>
      </c>
      <c r="GS160" s="99">
        <f>IF(AND(Database!OK122&gt;1,Database!OK49&gt;1),100*(Database!OK122/(Database!OK49)),0.0001)</f>
        <v>1E-4</v>
      </c>
      <c r="GT160" s="30">
        <f>IF(AND(Database!OM122&gt;1,Database!OM49&gt;1),100*(Database!OM122/(Database!OM49)),0.0001)</f>
        <v>1E-4</v>
      </c>
      <c r="GU160" s="99"/>
      <c r="GV160" s="99"/>
      <c r="GW160" s="99"/>
    </row>
    <row r="161" spans="1:205" ht="18.75" customHeight="1" x14ac:dyDescent="0.4">
      <c r="A161" s="240" t="s">
        <v>171</v>
      </c>
      <c r="B161" s="96"/>
      <c r="C161" s="260">
        <f>IF(AND(Database!E124&gt;1,Database!E125&gt;1),100*(Database!E124/(Database!E125)),0.0001)</f>
        <v>15.945447010511247</v>
      </c>
      <c r="D161" s="99">
        <f>IF(AND(Database!G124&gt;1,Database!G125&gt;1),100*(Database!G124/(Database!G125)),0.0001)</f>
        <v>13.626157732248107</v>
      </c>
      <c r="E161" s="99">
        <f>IF(AND(Database!I124&gt;1,Database!I125&gt;1),100*(Database!I124/(Database!I125)),0.0001)</f>
        <v>13.795160018599761</v>
      </c>
      <c r="F161" s="99">
        <f>IF(AND(Database!K124&gt;1,Database!K125&gt;1),100*(Database!K124/(Database!K125)),0.0001)</f>
        <v>14.300865842605626</v>
      </c>
      <c r="G161" s="99">
        <f>IF(AND(Database!M124&gt;1,Database!M125&gt;1),100*(Database!M124/(Database!M125)),0.0001)</f>
        <v>1E-4</v>
      </c>
      <c r="H161" s="99">
        <f>IF(AND(Database!O124&gt;1,Database!O125&gt;1),100*(Database!O124/(Database!O125)),0.0001)</f>
        <v>1E-4</v>
      </c>
      <c r="I161" s="99">
        <f>IF(AND(Database!Q124&gt;1,Database!Q125&gt;1),100*(Database!Q124/(Database!Q125)),0.0001)</f>
        <v>1E-4</v>
      </c>
      <c r="J161" s="99">
        <f>IF(AND(Database!S124&gt;1,Database!S125&gt;1),100*(Database!S124/(Database!S125)),0.0001)</f>
        <v>1E-4</v>
      </c>
      <c r="K161" s="99">
        <f>IF(AND(Database!U124&gt;1,Database!U125&gt;1),100*(Database!U124/(Database!U125)),0.0001)</f>
        <v>1E-4</v>
      </c>
      <c r="L161" s="99">
        <f>IF(AND(Database!W124&gt;1,Database!W125&gt;1),100*(Database!W124/(Database!W125)),0.0001)</f>
        <v>1E-4</v>
      </c>
      <c r="M161" s="99">
        <f>IF(AND(Database!Y124&gt;1,Database!Y125&gt;1),100*(Database!Y124/(Database!Y125)),0.0001)</f>
        <v>1E-4</v>
      </c>
      <c r="N161" s="99">
        <f>IF(AND(Database!AA124&gt;1,Database!AA125&gt;1),100*(Database!AA124/(Database!AA125)),0.0001)</f>
        <v>1E-4</v>
      </c>
      <c r="O161" s="99">
        <f>IF(AND(Database!AC124&gt;1,Database!AC125&gt;1),100*(Database!AC124/(Database!AC125)),0.0001)</f>
        <v>1E-4</v>
      </c>
      <c r="P161" s="99">
        <f>IF(AND(Database!AE124&gt;1,Database!AE125&gt;1),100*(Database!AE124/(Database!AE125)),0.0001)</f>
        <v>1E-4</v>
      </c>
      <c r="Q161" s="99">
        <f>IF(AND(Database!AG124&gt;1,Database!AG125&gt;1),100*(Database!AG124/(Database!AG125)),0.0001)</f>
        <v>1E-4</v>
      </c>
      <c r="R161" s="99">
        <f>IF(AND(Database!AI124&gt;1,Database!AI125&gt;1),100*(Database!AI124/(Database!AI125)),0.0001)</f>
        <v>1E-4</v>
      </c>
      <c r="S161" s="99">
        <f>IF(AND(Database!AK124&gt;1,Database!AK125&gt;1),100*(Database!AK124/(Database!AK125)),0.0001)</f>
        <v>1E-4</v>
      </c>
      <c r="T161" s="99">
        <f>IF(AND(Database!AM124&gt;1,Database!AM125&gt;1),100*(Database!AM124/(Database!AM125)),0.0001)</f>
        <v>1E-4</v>
      </c>
      <c r="U161" s="99">
        <f>IF(AND(Database!AO124&gt;1,Database!AO125&gt;1),100*(Database!AO124/(Database!AO125)),0.0001)</f>
        <v>1E-4</v>
      </c>
      <c r="V161" s="99">
        <f>IF(AND(Database!AQ124&gt;1,Database!AQ125&gt;1),100*(Database!AQ124/(Database!AQ125)),0.0001)</f>
        <v>1E-4</v>
      </c>
      <c r="W161" s="99">
        <f>IF(AND(Database!AS124&gt;1,Database!AS125&gt;1),100*(Database!AS124/(Database!AS125)),0.0001)</f>
        <v>1E-4</v>
      </c>
      <c r="X161" s="99">
        <f>IF(AND(Database!AU124&gt;1,Database!AU125&gt;1),100*(Database!AU124/(Database!AU125)),0.0001)</f>
        <v>1E-4</v>
      </c>
      <c r="Y161" s="99">
        <f>IF(AND(Database!AW124&gt;1,Database!AW125&gt;1),100*(Database!AW124/(Database!AW125)),0.0001)</f>
        <v>1E-4</v>
      </c>
      <c r="Z161" s="99">
        <f>IF(AND(Database!AY124&gt;1,Database!AY125&gt;1),100*(Database!AY124/(Database!AY125)),0.0001)</f>
        <v>1E-4</v>
      </c>
      <c r="AA161" s="99">
        <f>IF(AND(Database!BA124&gt;1,Database!BA125&gt;1),100*(Database!BA124/(Database!BA125)),0.0001)</f>
        <v>1E-4</v>
      </c>
      <c r="AB161" s="99">
        <f>IF(AND(Database!BC124&gt;1,Database!BC125&gt;1),100*(Database!BC124/(Database!BC125)),0.0001)</f>
        <v>1E-4</v>
      </c>
      <c r="AC161" s="99">
        <f>IF(AND(Database!BE124&gt;1,Database!BE125&gt;1),100*(Database!BE124/(Database!BE125)),0.0001)</f>
        <v>1E-4</v>
      </c>
      <c r="AD161" s="99">
        <f>IF(AND(Database!BG124&gt;1,Database!BG125&gt;1),100*(Database!BG124/(Database!BG125)),0.0001)</f>
        <v>1E-4</v>
      </c>
      <c r="AE161" s="99">
        <f>IF(AND(Database!BI124&gt;1,Database!BI125&gt;1),100*(Database!BI124/(Database!BI125)),0.0001)</f>
        <v>1E-4</v>
      </c>
      <c r="AF161" s="99">
        <f>IF(AND(Database!BK124&gt;1,Database!BK125&gt;1),100*(Database!BK124/(Database!BK125)),0.0001)</f>
        <v>1E-4</v>
      </c>
      <c r="AG161" s="99">
        <f>IF(AND(Database!BM124&gt;1,Database!BM125&gt;1),100*(Database!BM124/(Database!BM125)),0.0001)</f>
        <v>1E-4</v>
      </c>
      <c r="AH161" s="99">
        <f>IF(AND(Database!BO124&gt;1,Database!BO125&gt;1),100*(Database!BO124/(Database!BO125)),0.0001)</f>
        <v>1E-4</v>
      </c>
      <c r="AI161" s="99">
        <f>IF(AND(Database!BQ124&gt;1,Database!BQ125&gt;1),100*(Database!BQ124/(Database!BQ125)),0.0001)</f>
        <v>1E-4</v>
      </c>
      <c r="AJ161" s="99">
        <f>IF(AND(Database!BS124&gt;1,Database!BS125&gt;1),100*(Database!BS124/(Database!BS125)),0.0001)</f>
        <v>1E-4</v>
      </c>
      <c r="AK161" s="99">
        <f>IF(AND(Database!BU124&gt;1,Database!BU125&gt;1),100*(Database!BU124/(Database!BU125)),0.0001)</f>
        <v>1E-4</v>
      </c>
      <c r="AL161" s="99">
        <f>IF(AND(Database!BW124&gt;1,Database!BW125&gt;1),100*(Database!BW124/(Database!BW125)),0.0001)</f>
        <v>1E-4</v>
      </c>
      <c r="AM161" s="99">
        <f>IF(AND(Database!BY124&gt;1,Database!BY125&gt;1),100*(Database!BY124/(Database!BY125)),0.0001)</f>
        <v>1E-4</v>
      </c>
      <c r="AN161" s="99">
        <f>IF(AND(Database!CA124&gt;1,Database!CA125&gt;1),100*(Database!CA124/(Database!CA125)),0.0001)</f>
        <v>1E-4</v>
      </c>
      <c r="AO161" s="99">
        <f>IF(AND(Database!CC124&gt;1,Database!CC125&gt;1),100*(Database!CC124/(Database!CC125)),0.0001)</f>
        <v>1E-4</v>
      </c>
      <c r="AP161" s="99">
        <f>IF(AND(Database!CE124&gt;1,Database!CE125&gt;1),100*(Database!CE124/(Database!CE125)),0.0001)</f>
        <v>1E-4</v>
      </c>
      <c r="AQ161" s="99">
        <f>IF(AND(Database!CG124&gt;1,Database!CG125&gt;1),100*(Database!CG124/(Database!CG125)),0.0001)</f>
        <v>1E-4</v>
      </c>
      <c r="AR161" s="99">
        <f>IF(AND(Database!CI124&gt;1,Database!CI125&gt;1),100*(Database!CI124/(Database!CI125)),0.0001)</f>
        <v>1E-4</v>
      </c>
      <c r="AS161" s="99">
        <f>IF(AND(Database!CK124&gt;1,Database!CK125&gt;1),100*(Database!CK124/(Database!CK125)),0.0001)</f>
        <v>1E-4</v>
      </c>
      <c r="AT161" s="99">
        <f>IF(AND(Database!CM124&gt;1,Database!CM125&gt;1),100*(Database!CM124/(Database!CM125)),0.0001)</f>
        <v>1E-4</v>
      </c>
      <c r="AU161" s="99">
        <f>IF(AND(Database!CO124&gt;1,Database!CO125&gt;1),100*(Database!CO124/(Database!CO125)),0.0001)</f>
        <v>1E-4</v>
      </c>
      <c r="AV161" s="99">
        <f>IF(AND(Database!CQ124&gt;1,Database!CQ125&gt;1),100*(Database!CQ124/(Database!CQ125)),0.0001)</f>
        <v>1E-4</v>
      </c>
      <c r="AW161" s="99">
        <f>IF(AND(Database!CS124&gt;1,Database!CS125&gt;1),100*(Database!CS124/(Database!CS125)),0.0001)</f>
        <v>1E-4</v>
      </c>
      <c r="AX161" s="99">
        <f>IF(AND(Database!CU124&gt;1,Database!CU125&gt;1),100*(Database!CU124/(Database!CU125)),0.0001)</f>
        <v>1E-4</v>
      </c>
      <c r="AY161" s="99">
        <f>IF(AND(Database!CW124&gt;1,Database!CW125&gt;1),100*(Database!CW124/(Database!CW125)),0.0001)</f>
        <v>1E-4</v>
      </c>
      <c r="AZ161" s="99">
        <f>IF(AND(Database!CY124&gt;1,Database!CY125&gt;1),100*(Database!CY124/(Database!CY125)),0.0001)</f>
        <v>1E-4</v>
      </c>
      <c r="BA161" s="99">
        <f>IF(AND(Database!DA124&gt;1,Database!DA125&gt;1),100*(Database!DA124/(Database!DA125)),0.0001)</f>
        <v>1E-4</v>
      </c>
      <c r="BB161" s="99">
        <f>IF(AND(Database!DC124&gt;1,Database!DC125&gt;1),100*(Database!DC124/(Database!DC125)),0.0001)</f>
        <v>1E-4</v>
      </c>
      <c r="BC161" s="99">
        <f>IF(AND(Database!DE124&gt;1,Database!DE125&gt;1),100*(Database!DE124/(Database!DE125)),0.0001)</f>
        <v>1E-4</v>
      </c>
      <c r="BD161" s="99">
        <f>IF(AND(Database!DG124&gt;1,Database!DG125&gt;1),100*(Database!DG124/(Database!DG125)),0.0001)</f>
        <v>1E-4</v>
      </c>
      <c r="BE161" s="99">
        <f>IF(AND(Database!DI124&gt;1,Database!DI125&gt;1),100*(Database!DI124/(Database!DI125)),0.0001)</f>
        <v>1E-4</v>
      </c>
      <c r="BF161" s="99">
        <f>IF(AND(Database!DK124&gt;1,Database!DK125&gt;1),100*(Database!DK124/(Database!DK125)),0.0001)</f>
        <v>1E-4</v>
      </c>
      <c r="BG161" s="99">
        <f>IF(AND(Database!DM124&gt;1,Database!DM125&gt;1),100*(Database!DM124/(Database!DM125)),0.0001)</f>
        <v>1E-4</v>
      </c>
      <c r="BH161" s="99">
        <f>IF(AND(Database!DO124&gt;1,Database!DO125&gt;1),100*(Database!DO124/(Database!DO125)),0.0001)</f>
        <v>1E-4</v>
      </c>
      <c r="BI161" s="99">
        <f>IF(AND(Database!DQ124&gt;1,Database!DQ125&gt;1),100*(Database!DQ124/(Database!DQ125)),0.0001)</f>
        <v>1E-4</v>
      </c>
      <c r="BJ161" s="99">
        <f>IF(AND(Database!DS124&gt;1,Database!DS125&gt;1),100*(Database!DS124/(Database!DS125)),0.0001)</f>
        <v>1E-4</v>
      </c>
      <c r="BK161" s="99">
        <f>IF(AND(Database!DU124&gt;1,Database!DU125&gt;1),100*(Database!DU124/(Database!DU125)),0.0001)</f>
        <v>1E-4</v>
      </c>
      <c r="BL161" s="99">
        <f>IF(AND(Database!DW124&gt;1,Database!DW125&gt;1),100*(Database!DW124/(Database!DW125)),0.0001)</f>
        <v>1E-4</v>
      </c>
      <c r="BM161" s="99">
        <f>IF(AND(Database!DY124&gt;1,Database!DY125&gt;1),100*(Database!DY124/(Database!DY125)),0.0001)</f>
        <v>1E-4</v>
      </c>
      <c r="BN161" s="99">
        <f>IF(AND(Database!EA124&gt;1,Database!EA125&gt;1),100*(Database!EA124/(Database!EA125)),0.0001)</f>
        <v>1E-4</v>
      </c>
      <c r="BO161" s="99">
        <f>IF(AND(Database!EC124&gt;1,Database!EC125&gt;1),100*(Database!EC124/(Database!EC125)),0.0001)</f>
        <v>1E-4</v>
      </c>
      <c r="BP161" s="99">
        <f>IF(AND(Database!EE124&gt;1,Database!EE125&gt;1),100*(Database!EE124/(Database!EE125)),0.0001)</f>
        <v>1E-4</v>
      </c>
      <c r="BQ161" s="99">
        <f>IF(AND(Database!EG124&gt;1,Database!EG125&gt;1),100*(Database!EG124/(Database!EG125)),0.0001)</f>
        <v>1E-4</v>
      </c>
      <c r="BR161" s="99">
        <f>IF(AND(Database!EI124&gt;1,Database!EI125&gt;1),100*(Database!EI124/(Database!EI125)),0.0001)</f>
        <v>1E-4</v>
      </c>
      <c r="BS161" s="99">
        <f>IF(AND(Database!EK124&gt;1,Database!EK125&gt;1),100*(Database!EK124/(Database!EK125)),0.0001)</f>
        <v>1E-4</v>
      </c>
      <c r="BT161" s="99">
        <f>IF(AND(Database!EM124&gt;1,Database!EM125&gt;1),100*(Database!EM124/(Database!EM125)),0.0001)</f>
        <v>1E-4</v>
      </c>
      <c r="BU161" s="99">
        <f>IF(AND(Database!EO124&gt;1,Database!EO125&gt;1),100*(Database!EO124/(Database!EO125)),0.0001)</f>
        <v>1E-4</v>
      </c>
      <c r="BV161" s="99">
        <f>IF(AND(Database!EQ124&gt;1,Database!EQ125&gt;1),100*(Database!EQ124/(Database!EQ125)),0.0001)</f>
        <v>1E-4</v>
      </c>
      <c r="BW161" s="99">
        <f>IF(AND(Database!ES124&gt;1,Database!ES125&gt;1),100*(Database!ES124/(Database!ES125)),0.0001)</f>
        <v>1E-4</v>
      </c>
      <c r="BX161" s="99">
        <f>IF(AND(Database!EU124&gt;1,Database!EU125&gt;1),100*(Database!EU124/(Database!EU125)),0.0001)</f>
        <v>1E-4</v>
      </c>
      <c r="BY161" s="99">
        <f>IF(AND(Database!EW124&gt;1,Database!EW125&gt;1),100*(Database!EW124/(Database!EW125)),0.0001)</f>
        <v>1E-4</v>
      </c>
      <c r="BZ161" s="99">
        <f>IF(AND(Database!EY124&gt;1,Database!EY125&gt;1),100*(Database!EY124/(Database!EY125)),0.0001)</f>
        <v>1E-4</v>
      </c>
      <c r="CA161" s="99">
        <f>IF(AND(Database!FA124&gt;1,Database!FA125&gt;1),100*(Database!FA124/(Database!FA125)),0.0001)</f>
        <v>1E-4</v>
      </c>
      <c r="CB161" s="99">
        <f>IF(AND(Database!FC124&gt;1,Database!FC125&gt;1),100*(Database!FC124/(Database!FC125)),0.0001)</f>
        <v>1E-4</v>
      </c>
      <c r="CC161" s="99">
        <f>IF(AND(Database!FE124&gt;1,Database!FE125&gt;1),100*(Database!FE124/(Database!FE125)),0.0001)</f>
        <v>1E-4</v>
      </c>
      <c r="CD161" s="99">
        <f>IF(AND(Database!FG124&gt;1,Database!FG125&gt;1),100*(Database!FG124/(Database!FG125)),0.0001)</f>
        <v>1E-4</v>
      </c>
      <c r="CE161" s="99">
        <f>IF(AND(Database!FI124&gt;1,Database!FI125&gt;1),100*(Database!FI124/(Database!FI125)),0.0001)</f>
        <v>1E-4</v>
      </c>
      <c r="CF161" s="99">
        <f>IF(AND(Database!FK124&gt;1,Database!FK125&gt;1),100*(Database!FK124/(Database!FK125)),0.0001)</f>
        <v>1E-4</v>
      </c>
      <c r="CG161" s="99">
        <f>IF(AND(Database!FM124&gt;1,Database!FM125&gt;1),100*(Database!FM124/(Database!FM125)),0.0001)</f>
        <v>1E-4</v>
      </c>
      <c r="CH161" s="99">
        <f>IF(AND(Database!FO124&gt;1,Database!FO125&gt;1),100*(Database!FO124/(Database!FO125)),0.0001)</f>
        <v>1E-4</v>
      </c>
      <c r="CI161" s="99">
        <f>IF(AND(Database!FQ124&gt;1,Database!FQ125&gt;1),100*(Database!FQ124/(Database!FQ125)),0.0001)</f>
        <v>1E-4</v>
      </c>
      <c r="CJ161" s="99">
        <f>IF(AND(Database!FS124&gt;1,Database!FS125&gt;1),100*(Database!FS124/(Database!FS125)),0.0001)</f>
        <v>1E-4</v>
      </c>
      <c r="CK161" s="99">
        <f>IF(AND(Database!FU124&gt;1,Database!FU125&gt;1),100*(Database!FU124/(Database!FU125)),0.0001)</f>
        <v>1E-4</v>
      </c>
      <c r="CL161" s="99">
        <f>IF(AND(Database!FW124&gt;1,Database!FW125&gt;1),100*(Database!FW124/(Database!FW125)),0.0001)</f>
        <v>1E-4</v>
      </c>
      <c r="CM161" s="99">
        <f>IF(AND(Database!FY124&gt;1,Database!FY125&gt;1),100*(Database!FY124/(Database!FY125)),0.0001)</f>
        <v>1E-4</v>
      </c>
      <c r="CN161" s="99">
        <f>IF(AND(Database!GA124&gt;1,Database!GA125&gt;1),100*(Database!GA124/(Database!GA125)),0.0001)</f>
        <v>1E-4</v>
      </c>
      <c r="CO161" s="99">
        <f>IF(AND(Database!GC124&gt;1,Database!GC125&gt;1),100*(Database!GC124/(Database!GC125)),0.0001)</f>
        <v>1E-4</v>
      </c>
      <c r="CP161" s="99">
        <f>IF(AND(Database!GE124&gt;1,Database!GE125&gt;1),100*(Database!GE124/(Database!GE125)),0.0001)</f>
        <v>1E-4</v>
      </c>
      <c r="CQ161" s="99">
        <f>IF(AND(Database!GG124&gt;1,Database!GG125&gt;1),100*(Database!GG124/(Database!GG125)),0.0001)</f>
        <v>1E-4</v>
      </c>
      <c r="CR161" s="99">
        <f>IF(AND(Database!GI124&gt;1,Database!GI125&gt;1),100*(Database!GI124/(Database!GI125)),0.0001)</f>
        <v>1E-4</v>
      </c>
      <c r="CS161" s="99">
        <f>IF(AND(Database!GK124&gt;1,Database!GK125&gt;1),100*(Database!GK124/(Database!GK125)),0.0001)</f>
        <v>1E-4</v>
      </c>
      <c r="CT161" s="99">
        <f>IF(AND(Database!GM124&gt;1,Database!GM125&gt;1),100*(Database!GM124/(Database!GM125)),0.0001)</f>
        <v>1E-4</v>
      </c>
      <c r="CU161" s="99">
        <f>IF(AND(Database!GO124&gt;1,Database!GO125&gt;1),100*(Database!GO124/(Database!GO125)),0.0001)</f>
        <v>1E-4</v>
      </c>
      <c r="CV161" s="99">
        <f>IF(AND(Database!GQ124&gt;1,Database!GQ125&gt;1),100*(Database!GQ124/(Database!GQ125)),0.0001)</f>
        <v>1E-4</v>
      </c>
      <c r="CW161" s="99">
        <f>IF(AND(Database!GS124&gt;1,Database!GS125&gt;1),100*(Database!GS124/(Database!GS125)),0.0001)</f>
        <v>1E-4</v>
      </c>
      <c r="CX161" s="99">
        <f>IF(AND(Database!GU124&gt;1,Database!GU125&gt;1),100*(Database!GU124/(Database!GU125)),0.0001)</f>
        <v>1E-4</v>
      </c>
      <c r="CY161" s="99">
        <f>IF(AND(Database!GW124&gt;1,Database!GW125&gt;1),100*(Database!GW124/(Database!GW125)),0.0001)</f>
        <v>1E-4</v>
      </c>
      <c r="CZ161" s="99">
        <f>IF(AND(Database!GY124&gt;1,Database!GY125&gt;1),100*(Database!GY124/(Database!GY125)),0.0001)</f>
        <v>1E-4</v>
      </c>
      <c r="DA161" s="99">
        <f>IF(AND(Database!HA124&gt;1,Database!HA125&gt;1),100*(Database!HA124/(Database!HA125)),0.0001)</f>
        <v>1E-4</v>
      </c>
      <c r="DB161" s="99">
        <f>IF(AND(Database!HC124&gt;1,Database!HC125&gt;1),100*(Database!HC124/(Database!HC125)),0.0001)</f>
        <v>1E-4</v>
      </c>
      <c r="DC161" s="99">
        <f>IF(AND(Database!HE124&gt;1,Database!HE125&gt;1),100*(Database!HE124/(Database!HE125)),0.0001)</f>
        <v>1E-4</v>
      </c>
      <c r="DD161" s="99">
        <f>IF(AND(Database!HG124&gt;1,Database!HG125&gt;1),100*(Database!HG124/(Database!HG125)),0.0001)</f>
        <v>1E-4</v>
      </c>
      <c r="DE161" s="99">
        <f>IF(AND(Database!HI124&gt;1,Database!HI125&gt;1),100*(Database!HI124/(Database!HI125)),0.0001)</f>
        <v>1E-4</v>
      </c>
      <c r="DF161" s="99">
        <f>IF(AND(Database!HK124&gt;1,Database!HK125&gt;1),100*(Database!HK124/(Database!HK125)),0.0001)</f>
        <v>1E-4</v>
      </c>
      <c r="DG161" s="99">
        <f>IF(AND(Database!HM124&gt;1,Database!HM125&gt;1),100*(Database!HM124/(Database!HM125)),0.0001)</f>
        <v>1E-4</v>
      </c>
      <c r="DH161" s="99">
        <f>IF(AND(Database!HO124&gt;1,Database!HO125&gt;1),100*(Database!HO124/(Database!HO125)),0.0001)</f>
        <v>1E-4</v>
      </c>
      <c r="DI161" s="99">
        <f>IF(AND(Database!HQ124&gt;1,Database!HQ125&gt;1),100*(Database!HQ124/(Database!HQ125)),0.0001)</f>
        <v>1E-4</v>
      </c>
      <c r="DJ161" s="99">
        <f>IF(AND(Database!HS124&gt;1,Database!HS125&gt;1),100*(Database!HS124/(Database!HS125)),0.0001)</f>
        <v>1E-4</v>
      </c>
      <c r="DK161" s="99">
        <f>IF(AND(Database!HU124&gt;1,Database!HU125&gt;1),100*(Database!HU124/(Database!HU125)),0.0001)</f>
        <v>1E-4</v>
      </c>
      <c r="DL161" s="99">
        <f>IF(AND(Database!HW124&gt;1,Database!HW125&gt;1),100*(Database!HW124/(Database!HW125)),0.0001)</f>
        <v>1E-4</v>
      </c>
      <c r="DM161" s="99">
        <f>IF(AND(Database!HY124&gt;1,Database!HY125&gt;1),100*(Database!HY124/(Database!HY125)),0.0001)</f>
        <v>1E-4</v>
      </c>
      <c r="DN161" s="99">
        <f>IF(AND(Database!IA124&gt;1,Database!IA125&gt;1),100*(Database!IA124/(Database!IA125)),0.0001)</f>
        <v>1E-4</v>
      </c>
      <c r="DO161" s="99">
        <f>IF(AND(Database!IC124&gt;1,Database!IC125&gt;1),100*(Database!IC124/(Database!IC125)),0.0001)</f>
        <v>1E-4</v>
      </c>
      <c r="DP161" s="99">
        <f>IF(AND(Database!IE124&gt;1,Database!IE125&gt;1),100*(Database!IE124/(Database!IE125)),0.0001)</f>
        <v>1E-4</v>
      </c>
      <c r="DQ161" s="99">
        <f>IF(AND(Database!IG124&gt;1,Database!IG125&gt;1),100*(Database!IG124/(Database!IG125)),0.0001)</f>
        <v>1E-4</v>
      </c>
      <c r="DR161" s="99">
        <f>IF(AND(Database!II124&gt;1,Database!II125&gt;1),100*(Database!II124/(Database!II125)),0.0001)</f>
        <v>1E-4</v>
      </c>
      <c r="DS161" s="99">
        <f>IF(AND(Database!IK124&gt;1,Database!IK125&gt;1),100*(Database!IK124/(Database!IK125)),0.0001)</f>
        <v>1E-4</v>
      </c>
      <c r="DT161" s="99">
        <f>IF(AND(Database!IM124&gt;1,Database!IM125&gt;1),100*(Database!IM124/(Database!IM125)),0.0001)</f>
        <v>1E-4</v>
      </c>
      <c r="DU161" s="99">
        <f>IF(AND(Database!IO124&gt;1,Database!IO125&gt;1),100*(Database!IO124/(Database!IO125)),0.0001)</f>
        <v>1E-4</v>
      </c>
      <c r="DV161" s="99">
        <f>IF(AND(Database!IQ124&gt;1,Database!IQ125&gt;1),100*(Database!IQ124/(Database!IQ125)),0.0001)</f>
        <v>1E-4</v>
      </c>
      <c r="DW161" s="99">
        <f>IF(AND(Database!IS124&gt;1,Database!IS125&gt;1),100*(Database!IS124/(Database!IS125)),0.0001)</f>
        <v>1E-4</v>
      </c>
      <c r="DX161" s="99">
        <f>IF(AND(Database!IU124&gt;1,Database!IU125&gt;1),100*(Database!IU124/(Database!IU125)),0.0001)</f>
        <v>1E-4</v>
      </c>
      <c r="DY161" s="99">
        <f>IF(AND(Database!IW124&gt;1,Database!IW125&gt;1),100*(Database!IW124/(Database!IW125)),0.0001)</f>
        <v>1E-4</v>
      </c>
      <c r="DZ161" s="99">
        <f>IF(AND(Database!IY124&gt;1,Database!IY125&gt;1),100*(Database!IY124/(Database!IY125)),0.0001)</f>
        <v>1E-4</v>
      </c>
      <c r="EA161" s="99">
        <f>IF(AND(Database!JA124&gt;1,Database!JA125&gt;1),100*(Database!JA124/(Database!JA125)),0.0001)</f>
        <v>1E-4</v>
      </c>
      <c r="EB161" s="99">
        <f>IF(AND(Database!JC124&gt;1,Database!JC125&gt;1),100*(Database!JC124/(Database!JC125)),0.0001)</f>
        <v>1E-4</v>
      </c>
      <c r="EC161" s="99">
        <f>IF(AND(Database!JE124&gt;1,Database!JE125&gt;1),100*(Database!JE124/(Database!JE125)),0.0001)</f>
        <v>1E-4</v>
      </c>
      <c r="ED161" s="99">
        <f>IF(AND(Database!JG124&gt;1,Database!JG125&gt;1),100*(Database!JG124/(Database!JG125)),0.0001)</f>
        <v>1E-4</v>
      </c>
      <c r="EE161" s="99">
        <f>IF(AND(Database!JI124&gt;1,Database!JI125&gt;1),100*(Database!JI124/(Database!JI125)),0.0001)</f>
        <v>1E-4</v>
      </c>
      <c r="EF161" s="99">
        <f>IF(AND(Database!JK124&gt;1,Database!JK125&gt;1),100*(Database!JK124/(Database!JK125)),0.0001)</f>
        <v>1E-4</v>
      </c>
      <c r="EG161" s="99">
        <f>IF(AND(Database!JM124&gt;1,Database!JM125&gt;1),100*(Database!JM124/(Database!JM125)),0.0001)</f>
        <v>1E-4</v>
      </c>
      <c r="EH161" s="99">
        <f>IF(AND(Database!JO124&gt;1,Database!JO125&gt;1),100*(Database!JO124/(Database!JO125)),0.0001)</f>
        <v>1E-4</v>
      </c>
      <c r="EI161" s="99">
        <f>IF(AND(Database!JQ124&gt;1,Database!JQ125&gt;1),100*(Database!JQ124/(Database!JQ125)),0.0001)</f>
        <v>1E-4</v>
      </c>
      <c r="EJ161" s="99">
        <f>IF(AND(Database!JS124&gt;1,Database!JS125&gt;1),100*(Database!JS124/(Database!JS125)),0.0001)</f>
        <v>1E-4</v>
      </c>
      <c r="EK161" s="99">
        <f>IF(AND(Database!JU124&gt;1,Database!JU125&gt;1),100*(Database!JU124/(Database!JU125)),0.0001)</f>
        <v>1E-4</v>
      </c>
      <c r="EL161" s="99">
        <f>IF(AND(Database!JW124&gt;1,Database!JW125&gt;1),100*(Database!JW124/(Database!JW125)),0.0001)</f>
        <v>1E-4</v>
      </c>
      <c r="EM161" s="99">
        <f>IF(AND(Database!JY124&gt;1,Database!JY125&gt;1),100*(Database!JY124/(Database!JY125)),0.0001)</f>
        <v>1E-4</v>
      </c>
      <c r="EN161" s="99">
        <f>IF(AND(Database!KA124&gt;1,Database!KA125&gt;1),100*(Database!KA124/(Database!KA125)),0.0001)</f>
        <v>1E-4</v>
      </c>
      <c r="EO161" s="99">
        <f>IF(AND(Database!KC124&gt;1,Database!KC125&gt;1),100*(Database!KC124/(Database!KC125)),0.0001)</f>
        <v>1E-4</v>
      </c>
      <c r="EP161" s="99">
        <f>IF(AND(Database!KE124&gt;1,Database!KE125&gt;1),100*(Database!KE124/(Database!KE125)),0.0001)</f>
        <v>1E-4</v>
      </c>
      <c r="EQ161" s="99">
        <f>IF(AND(Database!KG124&gt;1,Database!KG125&gt;1),100*(Database!KG124/(Database!KG125)),0.0001)</f>
        <v>1E-4</v>
      </c>
      <c r="ER161" s="99">
        <f>IF(AND(Database!KI124&gt;1,Database!KI125&gt;1),100*(Database!KI124/(Database!KI125)),0.0001)</f>
        <v>1E-4</v>
      </c>
      <c r="ES161" s="99">
        <f>IF(AND(Database!KK124&gt;1,Database!KK125&gt;1),100*(Database!KK124/(Database!KK125)),0.0001)</f>
        <v>1E-4</v>
      </c>
      <c r="ET161" s="99">
        <f>IF(AND(Database!KM124&gt;1,Database!KM125&gt;1),100*(Database!KM124/(Database!KM125)),0.0001)</f>
        <v>1E-4</v>
      </c>
      <c r="EU161" s="99">
        <f>IF(AND(Database!KO124&gt;1,Database!KO125&gt;1),100*(Database!KO124/(Database!KO125)),0.0001)</f>
        <v>1E-4</v>
      </c>
      <c r="EV161" s="99">
        <f>IF(AND(Database!KQ124&gt;1,Database!KQ125&gt;1),100*(Database!KQ124/(Database!KQ125)),0.0001)</f>
        <v>1E-4</v>
      </c>
      <c r="EW161" s="99">
        <f>IF(AND(Database!KS124&gt;1,Database!KS125&gt;1),100*(Database!KS124/(Database!KS125)),0.0001)</f>
        <v>1E-4</v>
      </c>
      <c r="EX161" s="99">
        <f>IF(AND(Database!KU124&gt;1,Database!KU125&gt;1),100*(Database!KU124/(Database!KU125)),0.0001)</f>
        <v>1E-4</v>
      </c>
      <c r="EY161" s="99">
        <f>IF(AND(Database!KW124&gt;1,Database!KW125&gt;1),100*(Database!KW124/(Database!KW125)),0.0001)</f>
        <v>1E-4</v>
      </c>
      <c r="EZ161" s="99">
        <f>IF(AND(Database!KY124&gt;1,Database!KY125&gt;1),100*(Database!KY124/(Database!KY125)),0.0001)</f>
        <v>1E-4</v>
      </c>
      <c r="FA161" s="99">
        <f>IF(AND(Database!LA124&gt;1,Database!LA125&gt;1),100*(Database!LA124/(Database!LA125)),0.0001)</f>
        <v>1E-4</v>
      </c>
      <c r="FB161" s="99">
        <f>IF(AND(Database!LC124&gt;1,Database!LC125&gt;1),100*(Database!LC124/(Database!LC125)),0.0001)</f>
        <v>1E-4</v>
      </c>
      <c r="FC161" s="99">
        <f>IF(AND(Database!LE124&gt;1,Database!LE125&gt;1),100*(Database!LE124/(Database!LE125)),0.0001)</f>
        <v>1E-4</v>
      </c>
      <c r="FD161" s="99">
        <f>IF(AND(Database!LG124&gt;1,Database!LG125&gt;1),100*(Database!LG124/(Database!LG125)),0.0001)</f>
        <v>1E-4</v>
      </c>
      <c r="FE161" s="99">
        <f>IF(AND(Database!LI124&gt;1,Database!LI125&gt;1),100*(Database!LI124/(Database!LI125)),0.0001)</f>
        <v>1E-4</v>
      </c>
      <c r="FF161" s="99">
        <f>IF(AND(Database!LK124&gt;1,Database!LK125&gt;1),100*(Database!LK124/(Database!LK125)),0.0001)</f>
        <v>1E-4</v>
      </c>
      <c r="FG161" s="99">
        <f>IF(AND(Database!LM124&gt;1,Database!LM125&gt;1),100*(Database!LM124/(Database!LM125)),0.0001)</f>
        <v>1E-4</v>
      </c>
      <c r="FH161" s="99">
        <f>IF(AND(Database!LO124&gt;1,Database!LO125&gt;1),100*(Database!LO124/(Database!LO125)),0.0001)</f>
        <v>1E-4</v>
      </c>
      <c r="FI161" s="99">
        <f>IF(AND(Database!LQ124&gt;1,Database!LQ125&gt;1),100*(Database!LQ124/(Database!LQ125)),0.0001)</f>
        <v>1E-4</v>
      </c>
      <c r="FJ161" s="99">
        <f>IF(AND(Database!LS124&gt;1,Database!LS125&gt;1),100*(Database!LS124/(Database!LS125)),0.0001)</f>
        <v>1E-4</v>
      </c>
      <c r="FK161" s="99">
        <f>IF(AND(Database!LU124&gt;1,Database!LU125&gt;1),100*(Database!LU124/(Database!LU125)),0.0001)</f>
        <v>1E-4</v>
      </c>
      <c r="FL161" s="99">
        <f>IF(AND(Database!LW124&gt;1,Database!LW125&gt;1),100*(Database!LW124/(Database!LW125)),0.0001)</f>
        <v>1E-4</v>
      </c>
      <c r="FM161" s="99">
        <f>IF(AND(Database!LY124&gt;1,Database!LY125&gt;1),100*(Database!LY124/(Database!LY125)),0.0001)</f>
        <v>1E-4</v>
      </c>
      <c r="FN161" s="99">
        <f>IF(AND(Database!MA124&gt;1,Database!MA125&gt;1),100*(Database!MA124/(Database!MA125)),0.0001)</f>
        <v>1E-4</v>
      </c>
      <c r="FO161" s="99">
        <f>IF(AND(Database!MC124&gt;1,Database!MC125&gt;1),100*(Database!MC124/(Database!MC125)),0.0001)</f>
        <v>1E-4</v>
      </c>
      <c r="FP161" s="99">
        <f>IF(AND(Database!ME124&gt;1,Database!ME125&gt;1),100*(Database!ME124/(Database!ME125)),0.0001)</f>
        <v>1E-4</v>
      </c>
      <c r="FQ161" s="99">
        <f>IF(AND(Database!MG124&gt;1,Database!MG125&gt;1),100*(Database!MG124/(Database!MG125)),0.0001)</f>
        <v>1E-4</v>
      </c>
      <c r="FR161" s="99">
        <f>IF(AND(Database!MI124&gt;1,Database!MI125&gt;1),100*(Database!MI124/(Database!MI125)),0.0001)</f>
        <v>1E-4</v>
      </c>
      <c r="FS161" s="99">
        <f>IF(AND(Database!MK124&gt;1,Database!MK125&gt;1),100*(Database!MK124/(Database!MK125)),0.0001)</f>
        <v>1E-4</v>
      </c>
      <c r="FT161" s="99">
        <f>IF(AND(Database!MM124&gt;1,Database!MM125&gt;1),100*(Database!MM124/(Database!MM125)),0.0001)</f>
        <v>1E-4</v>
      </c>
      <c r="FU161" s="99">
        <f>IF(AND(Database!MO124&gt;1,Database!MO125&gt;1),100*(Database!MO124/(Database!MO125)),0.0001)</f>
        <v>1E-4</v>
      </c>
      <c r="FV161" s="99">
        <f>IF(AND(Database!MQ124&gt;1,Database!MQ125&gt;1),100*(Database!MQ124/(Database!MQ125)),0.0001)</f>
        <v>1E-4</v>
      </c>
      <c r="FW161" s="99">
        <f>IF(AND(Database!MS124&gt;1,Database!MS125&gt;1),100*(Database!MS124/(Database!MS125)),0.0001)</f>
        <v>1E-4</v>
      </c>
      <c r="FX161" s="99">
        <f>IF(AND(Database!MU124&gt;1,Database!MU125&gt;1),100*(Database!MU124/(Database!MU125)),0.0001)</f>
        <v>1E-4</v>
      </c>
      <c r="FY161" s="99">
        <f>IF(AND(Database!MW124&gt;1,Database!MW125&gt;1),100*(Database!MW124/(Database!MW125)),0.0001)</f>
        <v>1E-4</v>
      </c>
      <c r="FZ161" s="99">
        <f>IF(AND(Database!MY124&gt;1,Database!MY125&gt;1),100*(Database!MY124/(Database!MY125)),0.0001)</f>
        <v>1E-4</v>
      </c>
      <c r="GA161" s="99">
        <f>IF(AND(Database!NA124&gt;1,Database!NA125&gt;1),100*(Database!NA124/(Database!NA125)),0.0001)</f>
        <v>1E-4</v>
      </c>
      <c r="GB161" s="99">
        <f>IF(AND(Database!NC124&gt;1,Database!NC125&gt;1),100*(Database!NC124/(Database!NC125)),0.0001)</f>
        <v>1E-4</v>
      </c>
      <c r="GC161" s="99">
        <f>IF(AND(Database!NE124&gt;1,Database!NE125&gt;1),100*(Database!NE124/(Database!NE125)),0.0001)</f>
        <v>1E-4</v>
      </c>
      <c r="GD161" s="99">
        <f>IF(AND(Database!NG124&gt;1,Database!NG125&gt;1),100*(Database!NG124/(Database!NG125)),0.0001)</f>
        <v>1E-4</v>
      </c>
      <c r="GE161" s="99">
        <f>IF(AND(Database!NI124&gt;1,Database!NI125&gt;1),100*(Database!NI124/(Database!NI125)),0.0001)</f>
        <v>1E-4</v>
      </c>
      <c r="GF161" s="99">
        <f>IF(AND(Database!NK124&gt;1,Database!NK125&gt;1),100*(Database!NK124/(Database!NK125)),0.0001)</f>
        <v>1E-4</v>
      </c>
      <c r="GG161" s="99">
        <f>IF(AND(Database!NM124&gt;1,Database!NM125&gt;1),100*(Database!NM124/(Database!NM125)),0.0001)</f>
        <v>1E-4</v>
      </c>
      <c r="GH161" s="99">
        <f>IF(AND(Database!NO124&gt;1,Database!NO125&gt;1),100*(Database!NO124/(Database!NO125)),0.0001)</f>
        <v>1E-4</v>
      </c>
      <c r="GI161" s="99">
        <f>IF(AND(Database!NQ124&gt;1,Database!NQ125&gt;1),100*(Database!NQ124/(Database!NQ125)),0.0001)</f>
        <v>1E-4</v>
      </c>
      <c r="GJ161" s="99">
        <f>IF(AND(Database!NS124&gt;1,Database!NS125&gt;1),100*(Database!NS124/(Database!NS125)),0.0001)</f>
        <v>1E-4</v>
      </c>
      <c r="GK161" s="99">
        <f>IF(AND(Database!NU124&gt;1,Database!NU125&gt;1),100*(Database!NU124/(Database!NU125)),0.0001)</f>
        <v>1E-4</v>
      </c>
      <c r="GL161" s="99">
        <f>IF(AND(Database!NW124&gt;1,Database!NW125&gt;1),100*(Database!NW124/(Database!NW125)),0.0001)</f>
        <v>1E-4</v>
      </c>
      <c r="GM161" s="99">
        <f>IF(AND(Database!NY124&gt;1,Database!NY125&gt;1),100*(Database!NY124/(Database!NY125)),0.0001)</f>
        <v>1E-4</v>
      </c>
      <c r="GN161" s="99">
        <f>IF(AND(Database!OA124&gt;1,Database!OA125&gt;1),100*(Database!OA124/(Database!OA125)),0.0001)</f>
        <v>1E-4</v>
      </c>
      <c r="GO161" s="99">
        <f>IF(AND(Database!OC124&gt;1,Database!OC125&gt;1),100*(Database!OC124/(Database!OC125)),0.0001)</f>
        <v>1E-4</v>
      </c>
      <c r="GP161" s="99">
        <f>IF(AND(Database!OE124&gt;1,Database!OE125&gt;1),100*(Database!OE124/(Database!OE125)),0.0001)</f>
        <v>1E-4</v>
      </c>
      <c r="GQ161" s="99">
        <f>IF(AND(Database!OG124&gt;1,Database!OG125&gt;1),100*(Database!OG124/(Database!OG125)),0.0001)</f>
        <v>1E-4</v>
      </c>
      <c r="GR161" s="99">
        <f>IF(AND(Database!OI124&gt;1,Database!OI125&gt;1),100*(Database!OI124/(Database!OI125)),0.0001)</f>
        <v>1E-4</v>
      </c>
      <c r="GS161" s="99">
        <f>IF(AND(Database!OK124&gt;1,Database!OK125&gt;1),100*(Database!OK124/(Database!OK125)),0.0001)</f>
        <v>1E-4</v>
      </c>
      <c r="GT161" s="30">
        <f>IF(AND(Database!OM124&gt;1,Database!OM125&gt;1),100*(Database!OM124/(Database!OM125)),0.0001)</f>
        <v>1E-4</v>
      </c>
      <c r="GU161" s="99"/>
      <c r="GV161" s="99"/>
      <c r="GW161" s="99"/>
    </row>
    <row r="162" spans="1:205" ht="18.75" customHeight="1" x14ac:dyDescent="0.4">
      <c r="A162" s="240" t="s">
        <v>172</v>
      </c>
      <c r="B162" s="96"/>
      <c r="C162" s="260">
        <f>IF(AND(Database!E126&gt;1,Database!E130&gt;1),100*(Database!E126/(Database!E130)),0.0001)</f>
        <v>42.718782498517797</v>
      </c>
      <c r="D162" s="99">
        <f>IF(AND(Database!G126&gt;1,Database!G130&gt;1),100*(Database!G126/(Database!G130)),0.0001)</f>
        <v>20.522128170945216</v>
      </c>
      <c r="E162" s="99">
        <f>IF(AND(Database!I126&gt;1,Database!I130&gt;1),100*(Database!I126/(Database!I130)),0.0001)</f>
        <v>23.034402745032736</v>
      </c>
      <c r="F162" s="99">
        <f>IF(AND(Database!K126&gt;1,Database!K130&gt;1),100*(Database!K126/(Database!K130)),0.0001)</f>
        <v>23.623161307709502</v>
      </c>
      <c r="G162" s="99">
        <f>IF(AND(Database!M126&gt;1,Database!M130&gt;1),100*(Database!M126/(Database!M130)),0.0001)</f>
        <v>1E-4</v>
      </c>
      <c r="H162" s="99">
        <f>IF(AND(Database!O126&gt;1,Database!O130&gt;1),100*(Database!O126/(Database!O130)),0.0001)</f>
        <v>1E-4</v>
      </c>
      <c r="I162" s="99">
        <f>IF(AND(Database!Q126&gt;1,Database!Q130&gt;1),100*(Database!Q126/(Database!Q130)),0.0001)</f>
        <v>1E-4</v>
      </c>
      <c r="J162" s="99">
        <f>IF(AND(Database!S126&gt;1,Database!S130&gt;1),100*(Database!S126/(Database!S130)),0.0001)</f>
        <v>1E-4</v>
      </c>
      <c r="K162" s="99">
        <f>IF(AND(Database!U126&gt;1,Database!U130&gt;1),100*(Database!U126/(Database!U130)),0.0001)</f>
        <v>1E-4</v>
      </c>
      <c r="L162" s="99">
        <f>IF(AND(Database!W126&gt;1,Database!W130&gt;1),100*(Database!W126/(Database!W130)),0.0001)</f>
        <v>1E-4</v>
      </c>
      <c r="M162" s="99">
        <f>IF(AND(Database!Y126&gt;1,Database!Y130&gt;1),100*(Database!Y126/(Database!Y130)),0.0001)</f>
        <v>1E-4</v>
      </c>
      <c r="N162" s="99">
        <f>IF(AND(Database!AA126&gt;1,Database!AA130&gt;1),100*(Database!AA126/(Database!AA130)),0.0001)</f>
        <v>1E-4</v>
      </c>
      <c r="O162" s="99">
        <f>IF(AND(Database!AC126&gt;1,Database!AC130&gt;1),100*(Database!AC126/(Database!AC130)),0.0001)</f>
        <v>1E-4</v>
      </c>
      <c r="P162" s="99">
        <f>IF(AND(Database!AE126&gt;1,Database!AE130&gt;1),100*(Database!AE126/(Database!AE130)),0.0001)</f>
        <v>1E-4</v>
      </c>
      <c r="Q162" s="99">
        <f>IF(AND(Database!AG126&gt;1,Database!AG130&gt;1),100*(Database!AG126/(Database!AG130)),0.0001)</f>
        <v>1E-4</v>
      </c>
      <c r="R162" s="99">
        <f>IF(AND(Database!AI126&gt;1,Database!AI130&gt;1),100*(Database!AI126/(Database!AI130)),0.0001)</f>
        <v>1E-4</v>
      </c>
      <c r="S162" s="99">
        <f>IF(AND(Database!AK126&gt;1,Database!AK130&gt;1),100*(Database!AK126/(Database!AK130)),0.0001)</f>
        <v>1E-4</v>
      </c>
      <c r="T162" s="99">
        <f>IF(AND(Database!AM126&gt;1,Database!AM130&gt;1),100*(Database!AM126/(Database!AM130)),0.0001)</f>
        <v>1E-4</v>
      </c>
      <c r="U162" s="99">
        <f>IF(AND(Database!AO126&gt;1,Database!AO130&gt;1),100*(Database!AO126/(Database!AO130)),0.0001)</f>
        <v>1E-4</v>
      </c>
      <c r="V162" s="99">
        <f>IF(AND(Database!AQ126&gt;1,Database!AQ130&gt;1),100*(Database!AQ126/(Database!AQ130)),0.0001)</f>
        <v>1E-4</v>
      </c>
      <c r="W162" s="99">
        <f>IF(AND(Database!AS126&gt;1,Database!AS130&gt;1),100*(Database!AS126/(Database!AS130)),0.0001)</f>
        <v>1E-4</v>
      </c>
      <c r="X162" s="99">
        <f>IF(AND(Database!AU126&gt;1,Database!AU130&gt;1),100*(Database!AU126/(Database!AU130)),0.0001)</f>
        <v>1E-4</v>
      </c>
      <c r="Y162" s="99">
        <f>IF(AND(Database!AW126&gt;1,Database!AW130&gt;1),100*(Database!AW126/(Database!AW130)),0.0001)</f>
        <v>1E-4</v>
      </c>
      <c r="Z162" s="99">
        <f>IF(AND(Database!AY126&gt;1,Database!AY130&gt;1),100*(Database!AY126/(Database!AY130)),0.0001)</f>
        <v>1E-4</v>
      </c>
      <c r="AA162" s="99">
        <f>IF(AND(Database!BA126&gt;1,Database!BA130&gt;1),100*(Database!BA126/(Database!BA130)),0.0001)</f>
        <v>1E-4</v>
      </c>
      <c r="AB162" s="99">
        <f>IF(AND(Database!BC126&gt;1,Database!BC130&gt;1),100*(Database!BC126/(Database!BC130)),0.0001)</f>
        <v>1E-4</v>
      </c>
      <c r="AC162" s="99">
        <f>IF(AND(Database!BE126&gt;1,Database!BE130&gt;1),100*(Database!BE126/(Database!BE130)),0.0001)</f>
        <v>1E-4</v>
      </c>
      <c r="AD162" s="99">
        <f>IF(AND(Database!BG126&gt;1,Database!BG130&gt;1),100*(Database!BG126/(Database!BG130)),0.0001)</f>
        <v>1E-4</v>
      </c>
      <c r="AE162" s="99">
        <f>IF(AND(Database!BI126&gt;1,Database!BI130&gt;1),100*(Database!BI126/(Database!BI130)),0.0001)</f>
        <v>1E-4</v>
      </c>
      <c r="AF162" s="99">
        <f>IF(AND(Database!BK126&gt;1,Database!BK130&gt;1),100*(Database!BK126/(Database!BK130)),0.0001)</f>
        <v>1E-4</v>
      </c>
      <c r="AG162" s="99">
        <f>IF(AND(Database!BM126&gt;1,Database!BM130&gt;1),100*(Database!BM126/(Database!BM130)),0.0001)</f>
        <v>1E-4</v>
      </c>
      <c r="AH162" s="99">
        <f>IF(AND(Database!BO126&gt;1,Database!BO130&gt;1),100*(Database!BO126/(Database!BO130)),0.0001)</f>
        <v>1E-4</v>
      </c>
      <c r="AI162" s="99">
        <f>IF(AND(Database!BQ126&gt;1,Database!BQ130&gt;1),100*(Database!BQ126/(Database!BQ130)),0.0001)</f>
        <v>1E-4</v>
      </c>
      <c r="AJ162" s="99">
        <f>IF(AND(Database!BS126&gt;1,Database!BS130&gt;1),100*(Database!BS126/(Database!BS130)),0.0001)</f>
        <v>1E-4</v>
      </c>
      <c r="AK162" s="99">
        <f>IF(AND(Database!BU126&gt;1,Database!BU130&gt;1),100*(Database!BU126/(Database!BU130)),0.0001)</f>
        <v>1E-4</v>
      </c>
      <c r="AL162" s="99">
        <f>IF(AND(Database!BW126&gt;1,Database!BW130&gt;1),100*(Database!BW126/(Database!BW130)),0.0001)</f>
        <v>1E-4</v>
      </c>
      <c r="AM162" s="99">
        <f>IF(AND(Database!BY126&gt;1,Database!BY130&gt;1),100*(Database!BY126/(Database!BY130)),0.0001)</f>
        <v>1E-4</v>
      </c>
      <c r="AN162" s="99">
        <f>IF(AND(Database!CA126&gt;1,Database!CA130&gt;1),100*(Database!CA126/(Database!CA130)),0.0001)</f>
        <v>1E-4</v>
      </c>
      <c r="AO162" s="99">
        <f>IF(AND(Database!CC126&gt;1,Database!CC130&gt;1),100*(Database!CC126/(Database!CC130)),0.0001)</f>
        <v>1E-4</v>
      </c>
      <c r="AP162" s="99">
        <f>IF(AND(Database!CE126&gt;1,Database!CE130&gt;1),100*(Database!CE126/(Database!CE130)),0.0001)</f>
        <v>1E-4</v>
      </c>
      <c r="AQ162" s="99">
        <f>IF(AND(Database!CG126&gt;1,Database!CG130&gt;1),100*(Database!CG126/(Database!CG130)),0.0001)</f>
        <v>1E-4</v>
      </c>
      <c r="AR162" s="99">
        <f>IF(AND(Database!CI126&gt;1,Database!CI130&gt;1),100*(Database!CI126/(Database!CI130)),0.0001)</f>
        <v>1E-4</v>
      </c>
      <c r="AS162" s="99">
        <f>IF(AND(Database!CK126&gt;1,Database!CK130&gt;1),100*(Database!CK126/(Database!CK130)),0.0001)</f>
        <v>1E-4</v>
      </c>
      <c r="AT162" s="99">
        <f>IF(AND(Database!CM126&gt;1,Database!CM130&gt;1),100*(Database!CM126/(Database!CM130)),0.0001)</f>
        <v>1E-4</v>
      </c>
      <c r="AU162" s="99">
        <f>IF(AND(Database!CO126&gt;1,Database!CO130&gt;1),100*(Database!CO126/(Database!CO130)),0.0001)</f>
        <v>1E-4</v>
      </c>
      <c r="AV162" s="99">
        <f>IF(AND(Database!CQ126&gt;1,Database!CQ130&gt;1),100*(Database!CQ126/(Database!CQ130)),0.0001)</f>
        <v>1E-4</v>
      </c>
      <c r="AW162" s="99">
        <f>IF(AND(Database!CS126&gt;1,Database!CS130&gt;1),100*(Database!CS126/(Database!CS130)),0.0001)</f>
        <v>1E-4</v>
      </c>
      <c r="AX162" s="99">
        <f>IF(AND(Database!CU126&gt;1,Database!CU130&gt;1),100*(Database!CU126/(Database!CU130)),0.0001)</f>
        <v>1E-4</v>
      </c>
      <c r="AY162" s="99">
        <f>IF(AND(Database!CW126&gt;1,Database!CW130&gt;1),100*(Database!CW126/(Database!CW130)),0.0001)</f>
        <v>1E-4</v>
      </c>
      <c r="AZ162" s="99">
        <f>IF(AND(Database!CY126&gt;1,Database!CY130&gt;1),100*(Database!CY126/(Database!CY130)),0.0001)</f>
        <v>1E-4</v>
      </c>
      <c r="BA162" s="99">
        <f>IF(AND(Database!DA126&gt;1,Database!DA130&gt;1),100*(Database!DA126/(Database!DA130)),0.0001)</f>
        <v>1E-4</v>
      </c>
      <c r="BB162" s="99">
        <f>IF(AND(Database!DC126&gt;1,Database!DC130&gt;1),100*(Database!DC126/(Database!DC130)),0.0001)</f>
        <v>1E-4</v>
      </c>
      <c r="BC162" s="99">
        <f>IF(AND(Database!DE126&gt;1,Database!DE130&gt;1),100*(Database!DE126/(Database!DE130)),0.0001)</f>
        <v>1E-4</v>
      </c>
      <c r="BD162" s="99">
        <f>IF(AND(Database!DG126&gt;1,Database!DG130&gt;1),100*(Database!DG126/(Database!DG130)),0.0001)</f>
        <v>1E-4</v>
      </c>
      <c r="BE162" s="99">
        <f>IF(AND(Database!DI126&gt;1,Database!DI130&gt;1),100*(Database!DI126/(Database!DI130)),0.0001)</f>
        <v>1E-4</v>
      </c>
      <c r="BF162" s="99">
        <f>IF(AND(Database!DK126&gt;1,Database!DK130&gt;1),100*(Database!DK126/(Database!DK130)),0.0001)</f>
        <v>1E-4</v>
      </c>
      <c r="BG162" s="99">
        <f>IF(AND(Database!DM126&gt;1,Database!DM130&gt;1),100*(Database!DM126/(Database!DM130)),0.0001)</f>
        <v>1E-4</v>
      </c>
      <c r="BH162" s="99">
        <f>IF(AND(Database!DO126&gt;1,Database!DO130&gt;1),100*(Database!DO126/(Database!DO130)),0.0001)</f>
        <v>1E-4</v>
      </c>
      <c r="BI162" s="99">
        <f>IF(AND(Database!DQ126&gt;1,Database!DQ130&gt;1),100*(Database!DQ126/(Database!DQ130)),0.0001)</f>
        <v>1E-4</v>
      </c>
      <c r="BJ162" s="99">
        <f>IF(AND(Database!DS126&gt;1,Database!DS130&gt;1),100*(Database!DS126/(Database!DS130)),0.0001)</f>
        <v>1E-4</v>
      </c>
      <c r="BK162" s="99">
        <f>IF(AND(Database!DU126&gt;1,Database!DU130&gt;1),100*(Database!DU126/(Database!DU130)),0.0001)</f>
        <v>1E-4</v>
      </c>
      <c r="BL162" s="99">
        <f>IF(AND(Database!DW126&gt;1,Database!DW130&gt;1),100*(Database!DW126/(Database!DW130)),0.0001)</f>
        <v>1E-4</v>
      </c>
      <c r="BM162" s="99">
        <f>IF(AND(Database!DY126&gt;1,Database!DY130&gt;1),100*(Database!DY126/(Database!DY130)),0.0001)</f>
        <v>1E-4</v>
      </c>
      <c r="BN162" s="99">
        <f>IF(AND(Database!EA126&gt;1,Database!EA130&gt;1),100*(Database!EA126/(Database!EA130)),0.0001)</f>
        <v>1E-4</v>
      </c>
      <c r="BO162" s="99">
        <f>IF(AND(Database!EC126&gt;1,Database!EC130&gt;1),100*(Database!EC126/(Database!EC130)),0.0001)</f>
        <v>1E-4</v>
      </c>
      <c r="BP162" s="99">
        <f>IF(AND(Database!EE126&gt;1,Database!EE130&gt;1),100*(Database!EE126/(Database!EE130)),0.0001)</f>
        <v>1E-4</v>
      </c>
      <c r="BQ162" s="99">
        <f>IF(AND(Database!EG126&gt;1,Database!EG130&gt;1),100*(Database!EG126/(Database!EG130)),0.0001)</f>
        <v>1E-4</v>
      </c>
      <c r="BR162" s="99">
        <f>IF(AND(Database!EI126&gt;1,Database!EI130&gt;1),100*(Database!EI126/(Database!EI130)),0.0001)</f>
        <v>1E-4</v>
      </c>
      <c r="BS162" s="99">
        <f>IF(AND(Database!EK126&gt;1,Database!EK130&gt;1),100*(Database!EK126/(Database!EK130)),0.0001)</f>
        <v>1E-4</v>
      </c>
      <c r="BT162" s="99">
        <f>IF(AND(Database!EM126&gt;1,Database!EM130&gt;1),100*(Database!EM126/(Database!EM130)),0.0001)</f>
        <v>1E-4</v>
      </c>
      <c r="BU162" s="99">
        <f>IF(AND(Database!EO126&gt;1,Database!EO130&gt;1),100*(Database!EO126/(Database!EO130)),0.0001)</f>
        <v>1E-4</v>
      </c>
      <c r="BV162" s="99">
        <f>IF(AND(Database!EQ126&gt;1,Database!EQ130&gt;1),100*(Database!EQ126/(Database!EQ130)),0.0001)</f>
        <v>1E-4</v>
      </c>
      <c r="BW162" s="99">
        <f>IF(AND(Database!ES126&gt;1,Database!ES130&gt;1),100*(Database!ES126/(Database!ES130)),0.0001)</f>
        <v>1E-4</v>
      </c>
      <c r="BX162" s="99">
        <f>IF(AND(Database!EU126&gt;1,Database!EU130&gt;1),100*(Database!EU126/(Database!EU130)),0.0001)</f>
        <v>1E-4</v>
      </c>
      <c r="BY162" s="99">
        <f>IF(AND(Database!EW126&gt;1,Database!EW130&gt;1),100*(Database!EW126/(Database!EW130)),0.0001)</f>
        <v>1E-4</v>
      </c>
      <c r="BZ162" s="99">
        <f>IF(AND(Database!EY126&gt;1,Database!EY130&gt;1),100*(Database!EY126/(Database!EY130)),0.0001)</f>
        <v>1E-4</v>
      </c>
      <c r="CA162" s="99">
        <f>IF(AND(Database!FA126&gt;1,Database!FA130&gt;1),100*(Database!FA126/(Database!FA130)),0.0001)</f>
        <v>1E-4</v>
      </c>
      <c r="CB162" s="99">
        <f>IF(AND(Database!FC126&gt;1,Database!FC130&gt;1),100*(Database!FC126/(Database!FC130)),0.0001)</f>
        <v>1E-4</v>
      </c>
      <c r="CC162" s="99">
        <f>IF(AND(Database!FE126&gt;1,Database!FE130&gt;1),100*(Database!FE126/(Database!FE130)),0.0001)</f>
        <v>1E-4</v>
      </c>
      <c r="CD162" s="99">
        <f>IF(AND(Database!FG126&gt;1,Database!FG130&gt;1),100*(Database!FG126/(Database!FG130)),0.0001)</f>
        <v>1E-4</v>
      </c>
      <c r="CE162" s="99">
        <f>IF(AND(Database!FI126&gt;1,Database!FI130&gt;1),100*(Database!FI126/(Database!FI130)),0.0001)</f>
        <v>1E-4</v>
      </c>
      <c r="CF162" s="99">
        <f>IF(AND(Database!FK126&gt;1,Database!FK130&gt;1),100*(Database!FK126/(Database!FK130)),0.0001)</f>
        <v>1E-4</v>
      </c>
      <c r="CG162" s="99">
        <f>IF(AND(Database!FM126&gt;1,Database!FM130&gt;1),100*(Database!FM126/(Database!FM130)),0.0001)</f>
        <v>1E-4</v>
      </c>
      <c r="CH162" s="99">
        <f>IF(AND(Database!FO126&gt;1,Database!FO130&gt;1),100*(Database!FO126/(Database!FO130)),0.0001)</f>
        <v>1E-4</v>
      </c>
      <c r="CI162" s="99">
        <f>IF(AND(Database!FQ126&gt;1,Database!FQ130&gt;1),100*(Database!FQ126/(Database!FQ130)),0.0001)</f>
        <v>1E-4</v>
      </c>
      <c r="CJ162" s="99">
        <f>IF(AND(Database!FS126&gt;1,Database!FS130&gt;1),100*(Database!FS126/(Database!FS130)),0.0001)</f>
        <v>1E-4</v>
      </c>
      <c r="CK162" s="99">
        <f>IF(AND(Database!FU126&gt;1,Database!FU130&gt;1),100*(Database!FU126/(Database!FU130)),0.0001)</f>
        <v>1E-4</v>
      </c>
      <c r="CL162" s="99">
        <f>IF(AND(Database!FW126&gt;1,Database!FW130&gt;1),100*(Database!FW126/(Database!FW130)),0.0001)</f>
        <v>1E-4</v>
      </c>
      <c r="CM162" s="99">
        <f>IF(AND(Database!FY126&gt;1,Database!FY130&gt;1),100*(Database!FY126/(Database!FY130)),0.0001)</f>
        <v>1E-4</v>
      </c>
      <c r="CN162" s="99">
        <f>IF(AND(Database!GA126&gt;1,Database!GA130&gt;1),100*(Database!GA126/(Database!GA130)),0.0001)</f>
        <v>1E-4</v>
      </c>
      <c r="CO162" s="99">
        <f>IF(AND(Database!GC126&gt;1,Database!GC130&gt;1),100*(Database!GC126/(Database!GC130)),0.0001)</f>
        <v>1E-4</v>
      </c>
      <c r="CP162" s="99">
        <f>IF(AND(Database!GE126&gt;1,Database!GE130&gt;1),100*(Database!GE126/(Database!GE130)),0.0001)</f>
        <v>1E-4</v>
      </c>
      <c r="CQ162" s="99">
        <f>IF(AND(Database!GG126&gt;1,Database!GG130&gt;1),100*(Database!GG126/(Database!GG130)),0.0001)</f>
        <v>1E-4</v>
      </c>
      <c r="CR162" s="99">
        <f>IF(AND(Database!GI126&gt;1,Database!GI130&gt;1),100*(Database!GI126/(Database!GI130)),0.0001)</f>
        <v>1E-4</v>
      </c>
      <c r="CS162" s="99">
        <f>IF(AND(Database!GK126&gt;1,Database!GK130&gt;1),100*(Database!GK126/(Database!GK130)),0.0001)</f>
        <v>1E-4</v>
      </c>
      <c r="CT162" s="99">
        <f>IF(AND(Database!GM126&gt;1,Database!GM130&gt;1),100*(Database!GM126/(Database!GM130)),0.0001)</f>
        <v>1E-4</v>
      </c>
      <c r="CU162" s="99">
        <f>IF(AND(Database!GO126&gt;1,Database!GO130&gt;1),100*(Database!GO126/(Database!GO130)),0.0001)</f>
        <v>1E-4</v>
      </c>
      <c r="CV162" s="99">
        <f>IF(AND(Database!GQ126&gt;1,Database!GQ130&gt;1),100*(Database!GQ126/(Database!GQ130)),0.0001)</f>
        <v>1E-4</v>
      </c>
      <c r="CW162" s="99">
        <f>IF(AND(Database!GS126&gt;1,Database!GS130&gt;1),100*(Database!GS126/(Database!GS130)),0.0001)</f>
        <v>1E-4</v>
      </c>
      <c r="CX162" s="99">
        <f>IF(AND(Database!GU126&gt;1,Database!GU130&gt;1),100*(Database!GU126/(Database!GU130)),0.0001)</f>
        <v>1E-4</v>
      </c>
      <c r="CY162" s="99">
        <f>IF(AND(Database!GW126&gt;1,Database!GW130&gt;1),100*(Database!GW126/(Database!GW130)),0.0001)</f>
        <v>1E-4</v>
      </c>
      <c r="CZ162" s="99">
        <f>IF(AND(Database!GY126&gt;1,Database!GY130&gt;1),100*(Database!GY126/(Database!GY130)),0.0001)</f>
        <v>1E-4</v>
      </c>
      <c r="DA162" s="99">
        <f>IF(AND(Database!HA126&gt;1,Database!HA130&gt;1),100*(Database!HA126/(Database!HA130)),0.0001)</f>
        <v>1E-4</v>
      </c>
      <c r="DB162" s="99">
        <f>IF(AND(Database!HC126&gt;1,Database!HC130&gt;1),100*(Database!HC126/(Database!HC130)),0.0001)</f>
        <v>1E-4</v>
      </c>
      <c r="DC162" s="99">
        <f>IF(AND(Database!HE126&gt;1,Database!HE130&gt;1),100*(Database!HE126/(Database!HE130)),0.0001)</f>
        <v>1E-4</v>
      </c>
      <c r="DD162" s="99">
        <f>IF(AND(Database!HG126&gt;1,Database!HG130&gt;1),100*(Database!HG126/(Database!HG130)),0.0001)</f>
        <v>1E-4</v>
      </c>
      <c r="DE162" s="99">
        <f>IF(AND(Database!HI126&gt;1,Database!HI130&gt;1),100*(Database!HI126/(Database!HI130)),0.0001)</f>
        <v>1E-4</v>
      </c>
      <c r="DF162" s="99">
        <f>IF(AND(Database!HK126&gt;1,Database!HK130&gt;1),100*(Database!HK126/(Database!HK130)),0.0001)</f>
        <v>1E-4</v>
      </c>
      <c r="DG162" s="99">
        <f>IF(AND(Database!HM126&gt;1,Database!HM130&gt;1),100*(Database!HM126/(Database!HM130)),0.0001)</f>
        <v>1E-4</v>
      </c>
      <c r="DH162" s="99">
        <f>IF(AND(Database!HO126&gt;1,Database!HO130&gt;1),100*(Database!HO126/(Database!HO130)),0.0001)</f>
        <v>1E-4</v>
      </c>
      <c r="DI162" s="99">
        <f>IF(AND(Database!HQ126&gt;1,Database!HQ130&gt;1),100*(Database!HQ126/(Database!HQ130)),0.0001)</f>
        <v>1E-4</v>
      </c>
      <c r="DJ162" s="99">
        <f>IF(AND(Database!HS126&gt;1,Database!HS130&gt;1),100*(Database!HS126/(Database!HS130)),0.0001)</f>
        <v>1E-4</v>
      </c>
      <c r="DK162" s="99">
        <f>IF(AND(Database!HU126&gt;1,Database!HU130&gt;1),100*(Database!HU126/(Database!HU130)),0.0001)</f>
        <v>1E-4</v>
      </c>
      <c r="DL162" s="99">
        <f>IF(AND(Database!HW126&gt;1,Database!HW130&gt;1),100*(Database!HW126/(Database!HW130)),0.0001)</f>
        <v>1E-4</v>
      </c>
      <c r="DM162" s="99">
        <f>IF(AND(Database!HY126&gt;1,Database!HY130&gt;1),100*(Database!HY126/(Database!HY130)),0.0001)</f>
        <v>1E-4</v>
      </c>
      <c r="DN162" s="99">
        <f>IF(AND(Database!IA126&gt;1,Database!IA130&gt;1),100*(Database!IA126/(Database!IA130)),0.0001)</f>
        <v>1E-4</v>
      </c>
      <c r="DO162" s="99">
        <f>IF(AND(Database!IC126&gt;1,Database!IC130&gt;1),100*(Database!IC126/(Database!IC130)),0.0001)</f>
        <v>1E-4</v>
      </c>
      <c r="DP162" s="99">
        <f>IF(AND(Database!IE126&gt;1,Database!IE130&gt;1),100*(Database!IE126/(Database!IE130)),0.0001)</f>
        <v>1E-4</v>
      </c>
      <c r="DQ162" s="99">
        <f>IF(AND(Database!IG126&gt;1,Database!IG130&gt;1),100*(Database!IG126/(Database!IG130)),0.0001)</f>
        <v>1E-4</v>
      </c>
      <c r="DR162" s="99">
        <f>IF(AND(Database!II126&gt;1,Database!II130&gt;1),100*(Database!II126/(Database!II130)),0.0001)</f>
        <v>1E-4</v>
      </c>
      <c r="DS162" s="99">
        <f>IF(AND(Database!IK126&gt;1,Database!IK130&gt;1),100*(Database!IK126/(Database!IK130)),0.0001)</f>
        <v>1E-4</v>
      </c>
      <c r="DT162" s="99">
        <f>IF(AND(Database!IM126&gt;1,Database!IM130&gt;1),100*(Database!IM126/(Database!IM130)),0.0001)</f>
        <v>1E-4</v>
      </c>
      <c r="DU162" s="99">
        <f>IF(AND(Database!IO126&gt;1,Database!IO130&gt;1),100*(Database!IO126/(Database!IO130)),0.0001)</f>
        <v>1E-4</v>
      </c>
      <c r="DV162" s="99">
        <f>IF(AND(Database!IQ126&gt;1,Database!IQ130&gt;1),100*(Database!IQ126/(Database!IQ130)),0.0001)</f>
        <v>1E-4</v>
      </c>
      <c r="DW162" s="99">
        <f>IF(AND(Database!IS126&gt;1,Database!IS130&gt;1),100*(Database!IS126/(Database!IS130)),0.0001)</f>
        <v>1E-4</v>
      </c>
      <c r="DX162" s="99">
        <f>IF(AND(Database!IU126&gt;1,Database!IU130&gt;1),100*(Database!IU126/(Database!IU130)),0.0001)</f>
        <v>1E-4</v>
      </c>
      <c r="DY162" s="99">
        <f>IF(AND(Database!IW126&gt;1,Database!IW130&gt;1),100*(Database!IW126/(Database!IW130)),0.0001)</f>
        <v>1E-4</v>
      </c>
      <c r="DZ162" s="99">
        <f>IF(AND(Database!IY126&gt;1,Database!IY130&gt;1),100*(Database!IY126/(Database!IY130)),0.0001)</f>
        <v>1E-4</v>
      </c>
      <c r="EA162" s="99">
        <f>IF(AND(Database!JA126&gt;1,Database!JA130&gt;1),100*(Database!JA126/(Database!JA130)),0.0001)</f>
        <v>1E-4</v>
      </c>
      <c r="EB162" s="99">
        <f>IF(AND(Database!JC126&gt;1,Database!JC130&gt;1),100*(Database!JC126/(Database!JC130)),0.0001)</f>
        <v>1E-4</v>
      </c>
      <c r="EC162" s="99">
        <f>IF(AND(Database!JE126&gt;1,Database!JE130&gt;1),100*(Database!JE126/(Database!JE130)),0.0001)</f>
        <v>1E-4</v>
      </c>
      <c r="ED162" s="99">
        <f>IF(AND(Database!JG126&gt;1,Database!JG130&gt;1),100*(Database!JG126/(Database!JG130)),0.0001)</f>
        <v>1E-4</v>
      </c>
      <c r="EE162" s="99">
        <f>IF(AND(Database!JI126&gt;1,Database!JI130&gt;1),100*(Database!JI126/(Database!JI130)),0.0001)</f>
        <v>1E-4</v>
      </c>
      <c r="EF162" s="99">
        <f>IF(AND(Database!JK126&gt;1,Database!JK130&gt;1),100*(Database!JK126/(Database!JK130)),0.0001)</f>
        <v>1E-4</v>
      </c>
      <c r="EG162" s="99">
        <f>IF(AND(Database!JM126&gt;1,Database!JM130&gt;1),100*(Database!JM126/(Database!JM130)),0.0001)</f>
        <v>1E-4</v>
      </c>
      <c r="EH162" s="99">
        <f>IF(AND(Database!JO126&gt;1,Database!JO130&gt;1),100*(Database!JO126/(Database!JO130)),0.0001)</f>
        <v>1E-4</v>
      </c>
      <c r="EI162" s="99">
        <f>IF(AND(Database!JQ126&gt;1,Database!JQ130&gt;1),100*(Database!JQ126/(Database!JQ130)),0.0001)</f>
        <v>1E-4</v>
      </c>
      <c r="EJ162" s="99">
        <f>IF(AND(Database!JS126&gt;1,Database!JS130&gt;1),100*(Database!JS126/(Database!JS130)),0.0001)</f>
        <v>1E-4</v>
      </c>
      <c r="EK162" s="99">
        <f>IF(AND(Database!JU126&gt;1,Database!JU130&gt;1),100*(Database!JU126/(Database!JU130)),0.0001)</f>
        <v>1E-4</v>
      </c>
      <c r="EL162" s="99">
        <f>IF(AND(Database!JW126&gt;1,Database!JW130&gt;1),100*(Database!JW126/(Database!JW130)),0.0001)</f>
        <v>1E-4</v>
      </c>
      <c r="EM162" s="99">
        <f>IF(AND(Database!JY126&gt;1,Database!JY130&gt;1),100*(Database!JY126/(Database!JY130)),0.0001)</f>
        <v>1E-4</v>
      </c>
      <c r="EN162" s="99">
        <f>IF(AND(Database!KA126&gt;1,Database!KA130&gt;1),100*(Database!KA126/(Database!KA130)),0.0001)</f>
        <v>1E-4</v>
      </c>
      <c r="EO162" s="99">
        <f>IF(AND(Database!KC126&gt;1,Database!KC130&gt;1),100*(Database!KC126/(Database!KC130)),0.0001)</f>
        <v>1E-4</v>
      </c>
      <c r="EP162" s="99">
        <f>IF(AND(Database!KE126&gt;1,Database!KE130&gt;1),100*(Database!KE126/(Database!KE130)),0.0001)</f>
        <v>1E-4</v>
      </c>
      <c r="EQ162" s="99">
        <f>IF(AND(Database!KG126&gt;1,Database!KG130&gt;1),100*(Database!KG126/(Database!KG130)),0.0001)</f>
        <v>1E-4</v>
      </c>
      <c r="ER162" s="99">
        <f>IF(AND(Database!KI126&gt;1,Database!KI130&gt;1),100*(Database!KI126/(Database!KI130)),0.0001)</f>
        <v>1E-4</v>
      </c>
      <c r="ES162" s="99">
        <f>IF(AND(Database!KK126&gt;1,Database!KK130&gt;1),100*(Database!KK126/(Database!KK130)),0.0001)</f>
        <v>1E-4</v>
      </c>
      <c r="ET162" s="99">
        <f>IF(AND(Database!KM126&gt;1,Database!KM130&gt;1),100*(Database!KM126/(Database!KM130)),0.0001)</f>
        <v>1E-4</v>
      </c>
      <c r="EU162" s="99">
        <f>IF(AND(Database!KO126&gt;1,Database!KO130&gt;1),100*(Database!KO126/(Database!KO130)),0.0001)</f>
        <v>1E-4</v>
      </c>
      <c r="EV162" s="99">
        <f>IF(AND(Database!KQ126&gt;1,Database!KQ130&gt;1),100*(Database!KQ126/(Database!KQ130)),0.0001)</f>
        <v>1E-4</v>
      </c>
      <c r="EW162" s="99">
        <f>IF(AND(Database!KS126&gt;1,Database!KS130&gt;1),100*(Database!KS126/(Database!KS130)),0.0001)</f>
        <v>1E-4</v>
      </c>
      <c r="EX162" s="99">
        <f>IF(AND(Database!KU126&gt;1,Database!KU130&gt;1),100*(Database!KU126/(Database!KU130)),0.0001)</f>
        <v>1E-4</v>
      </c>
      <c r="EY162" s="99">
        <f>IF(AND(Database!KW126&gt;1,Database!KW130&gt;1),100*(Database!KW126/(Database!KW130)),0.0001)</f>
        <v>1E-4</v>
      </c>
      <c r="EZ162" s="99">
        <f>IF(AND(Database!KY126&gt;1,Database!KY130&gt;1),100*(Database!KY126/(Database!KY130)),0.0001)</f>
        <v>1E-4</v>
      </c>
      <c r="FA162" s="99">
        <f>IF(AND(Database!LA126&gt;1,Database!LA130&gt;1),100*(Database!LA126/(Database!LA130)),0.0001)</f>
        <v>1E-4</v>
      </c>
      <c r="FB162" s="99">
        <f>IF(AND(Database!LC126&gt;1,Database!LC130&gt;1),100*(Database!LC126/(Database!LC130)),0.0001)</f>
        <v>1E-4</v>
      </c>
      <c r="FC162" s="99">
        <f>IF(AND(Database!LE126&gt;1,Database!LE130&gt;1),100*(Database!LE126/(Database!LE130)),0.0001)</f>
        <v>1E-4</v>
      </c>
      <c r="FD162" s="99">
        <f>IF(AND(Database!LG126&gt;1,Database!LG130&gt;1),100*(Database!LG126/(Database!LG130)),0.0001)</f>
        <v>1E-4</v>
      </c>
      <c r="FE162" s="99">
        <f>IF(AND(Database!LI126&gt;1,Database!LI130&gt;1),100*(Database!LI126/(Database!LI130)),0.0001)</f>
        <v>1E-4</v>
      </c>
      <c r="FF162" s="99">
        <f>IF(AND(Database!LK126&gt;1,Database!LK130&gt;1),100*(Database!LK126/(Database!LK130)),0.0001)</f>
        <v>1E-4</v>
      </c>
      <c r="FG162" s="99">
        <f>IF(AND(Database!LM126&gt;1,Database!LM130&gt;1),100*(Database!LM126/(Database!LM130)),0.0001)</f>
        <v>1E-4</v>
      </c>
      <c r="FH162" s="99">
        <f>IF(AND(Database!LO126&gt;1,Database!LO130&gt;1),100*(Database!LO126/(Database!LO130)),0.0001)</f>
        <v>1E-4</v>
      </c>
      <c r="FI162" s="99">
        <f>IF(AND(Database!LQ126&gt;1,Database!LQ130&gt;1),100*(Database!LQ126/(Database!LQ130)),0.0001)</f>
        <v>1E-4</v>
      </c>
      <c r="FJ162" s="99">
        <f>IF(AND(Database!LS126&gt;1,Database!LS130&gt;1),100*(Database!LS126/(Database!LS130)),0.0001)</f>
        <v>1E-4</v>
      </c>
      <c r="FK162" s="99">
        <f>IF(AND(Database!LU126&gt;1,Database!LU130&gt;1),100*(Database!LU126/(Database!LU130)),0.0001)</f>
        <v>1E-4</v>
      </c>
      <c r="FL162" s="99">
        <f>IF(AND(Database!LW126&gt;1,Database!LW130&gt;1),100*(Database!LW126/(Database!LW130)),0.0001)</f>
        <v>1E-4</v>
      </c>
      <c r="FM162" s="99">
        <f>IF(AND(Database!LY126&gt;1,Database!LY130&gt;1),100*(Database!LY126/(Database!LY130)),0.0001)</f>
        <v>1E-4</v>
      </c>
      <c r="FN162" s="99">
        <f>IF(AND(Database!MA126&gt;1,Database!MA130&gt;1),100*(Database!MA126/(Database!MA130)),0.0001)</f>
        <v>1E-4</v>
      </c>
      <c r="FO162" s="99">
        <f>IF(AND(Database!MC126&gt;1,Database!MC130&gt;1),100*(Database!MC126/(Database!MC130)),0.0001)</f>
        <v>1E-4</v>
      </c>
      <c r="FP162" s="99">
        <f>IF(AND(Database!ME126&gt;1,Database!ME130&gt;1),100*(Database!ME126/(Database!ME130)),0.0001)</f>
        <v>1E-4</v>
      </c>
      <c r="FQ162" s="99">
        <f>IF(AND(Database!MG126&gt;1,Database!MG130&gt;1),100*(Database!MG126/(Database!MG130)),0.0001)</f>
        <v>1E-4</v>
      </c>
      <c r="FR162" s="99">
        <f>IF(AND(Database!MI126&gt;1,Database!MI130&gt;1),100*(Database!MI126/(Database!MI130)),0.0001)</f>
        <v>1E-4</v>
      </c>
      <c r="FS162" s="99">
        <f>IF(AND(Database!MK126&gt;1,Database!MK130&gt;1),100*(Database!MK126/(Database!MK130)),0.0001)</f>
        <v>1E-4</v>
      </c>
      <c r="FT162" s="99">
        <f>IF(AND(Database!MM126&gt;1,Database!MM130&gt;1),100*(Database!MM126/(Database!MM130)),0.0001)</f>
        <v>1E-4</v>
      </c>
      <c r="FU162" s="99">
        <f>IF(AND(Database!MO126&gt;1,Database!MO130&gt;1),100*(Database!MO126/(Database!MO130)),0.0001)</f>
        <v>1E-4</v>
      </c>
      <c r="FV162" s="99">
        <f>IF(AND(Database!MQ126&gt;1,Database!MQ130&gt;1),100*(Database!MQ126/(Database!MQ130)),0.0001)</f>
        <v>1E-4</v>
      </c>
      <c r="FW162" s="99">
        <f>IF(AND(Database!MS126&gt;1,Database!MS130&gt;1),100*(Database!MS126/(Database!MS130)),0.0001)</f>
        <v>1E-4</v>
      </c>
      <c r="FX162" s="99">
        <f>IF(AND(Database!MU126&gt;1,Database!MU130&gt;1),100*(Database!MU126/(Database!MU130)),0.0001)</f>
        <v>1E-4</v>
      </c>
      <c r="FY162" s="99">
        <f>IF(AND(Database!MW126&gt;1,Database!MW130&gt;1),100*(Database!MW126/(Database!MW130)),0.0001)</f>
        <v>1E-4</v>
      </c>
      <c r="FZ162" s="99">
        <f>IF(AND(Database!MY126&gt;1,Database!MY130&gt;1),100*(Database!MY126/(Database!MY130)),0.0001)</f>
        <v>1E-4</v>
      </c>
      <c r="GA162" s="99">
        <f>IF(AND(Database!NA126&gt;1,Database!NA130&gt;1),100*(Database!NA126/(Database!NA130)),0.0001)</f>
        <v>1E-4</v>
      </c>
      <c r="GB162" s="99">
        <f>IF(AND(Database!NC126&gt;1,Database!NC130&gt;1),100*(Database!NC126/(Database!NC130)),0.0001)</f>
        <v>1E-4</v>
      </c>
      <c r="GC162" s="99">
        <f>IF(AND(Database!NE126&gt;1,Database!NE130&gt;1),100*(Database!NE126/(Database!NE130)),0.0001)</f>
        <v>1E-4</v>
      </c>
      <c r="GD162" s="99">
        <f>IF(AND(Database!NG126&gt;1,Database!NG130&gt;1),100*(Database!NG126/(Database!NG130)),0.0001)</f>
        <v>1E-4</v>
      </c>
      <c r="GE162" s="99">
        <f>IF(AND(Database!NI126&gt;1,Database!NI130&gt;1),100*(Database!NI126/(Database!NI130)),0.0001)</f>
        <v>1E-4</v>
      </c>
      <c r="GF162" s="99">
        <f>IF(AND(Database!NK126&gt;1,Database!NK130&gt;1),100*(Database!NK126/(Database!NK130)),0.0001)</f>
        <v>1E-4</v>
      </c>
      <c r="GG162" s="99">
        <f>IF(AND(Database!NM126&gt;1,Database!NM130&gt;1),100*(Database!NM126/(Database!NM130)),0.0001)</f>
        <v>1E-4</v>
      </c>
      <c r="GH162" s="99">
        <f>IF(AND(Database!NO126&gt;1,Database!NO130&gt;1),100*(Database!NO126/(Database!NO130)),0.0001)</f>
        <v>1E-4</v>
      </c>
      <c r="GI162" s="99">
        <f>IF(AND(Database!NQ126&gt;1,Database!NQ130&gt;1),100*(Database!NQ126/(Database!NQ130)),0.0001)</f>
        <v>1E-4</v>
      </c>
      <c r="GJ162" s="99">
        <f>IF(AND(Database!NS126&gt;1,Database!NS130&gt;1),100*(Database!NS126/(Database!NS130)),0.0001)</f>
        <v>1E-4</v>
      </c>
      <c r="GK162" s="99">
        <f>IF(AND(Database!NU126&gt;1,Database!NU130&gt;1),100*(Database!NU126/(Database!NU130)),0.0001)</f>
        <v>1E-4</v>
      </c>
      <c r="GL162" s="99">
        <f>IF(AND(Database!NW126&gt;1,Database!NW130&gt;1),100*(Database!NW126/(Database!NW130)),0.0001)</f>
        <v>1E-4</v>
      </c>
      <c r="GM162" s="99">
        <f>IF(AND(Database!NY126&gt;1,Database!NY130&gt;1),100*(Database!NY126/(Database!NY130)),0.0001)</f>
        <v>1E-4</v>
      </c>
      <c r="GN162" s="99">
        <f>IF(AND(Database!OA126&gt;1,Database!OA130&gt;1),100*(Database!OA126/(Database!OA130)),0.0001)</f>
        <v>1E-4</v>
      </c>
      <c r="GO162" s="99">
        <f>IF(AND(Database!OC126&gt;1,Database!OC130&gt;1),100*(Database!OC126/(Database!OC130)),0.0001)</f>
        <v>1E-4</v>
      </c>
      <c r="GP162" s="99">
        <f>IF(AND(Database!OE126&gt;1,Database!OE130&gt;1),100*(Database!OE126/(Database!OE130)),0.0001)</f>
        <v>1E-4</v>
      </c>
      <c r="GQ162" s="99">
        <f>IF(AND(Database!OG126&gt;1,Database!OG130&gt;1),100*(Database!OG126/(Database!OG130)),0.0001)</f>
        <v>1E-4</v>
      </c>
      <c r="GR162" s="99">
        <f>IF(AND(Database!OI126&gt;1,Database!OI130&gt;1),100*(Database!OI126/(Database!OI130)),0.0001)</f>
        <v>1E-4</v>
      </c>
      <c r="GS162" s="99">
        <f>IF(AND(Database!OK126&gt;1,Database!OK130&gt;1),100*(Database!OK126/(Database!OK130)),0.0001)</f>
        <v>1E-4</v>
      </c>
      <c r="GT162" s="30">
        <f>IF(AND(Database!OM126&gt;1,Database!OM130&gt;1),100*(Database!OM126/(Database!OM130)),0.0001)</f>
        <v>1E-4</v>
      </c>
      <c r="GU162" s="99"/>
      <c r="GV162" s="99"/>
      <c r="GW162" s="99"/>
    </row>
    <row r="163" spans="1:205" ht="18.75" customHeight="1" x14ac:dyDescent="0.4">
      <c r="A163" s="240" t="s">
        <v>173</v>
      </c>
      <c r="B163" s="96"/>
      <c r="C163" s="260">
        <f>IF(AND(Database!E127&gt;1,Database!E53&gt;1),100*(Database!E127/(Database!E53)),0.0001)</f>
        <v>1E-4</v>
      </c>
      <c r="D163" s="99">
        <f>IF(AND(Database!G127&gt;1,Database!G53&gt;1),100*(Database!G127/(Database!G53)),0.0001)</f>
        <v>1E-4</v>
      </c>
      <c r="E163" s="99">
        <f>IF(AND(Database!I127&gt;1,Database!I53&gt;1),100*(Database!I127/(Database!I53)),0.0001)</f>
        <v>1E-4</v>
      </c>
      <c r="F163" s="99">
        <f>IF(AND(Database!K127&gt;1,Database!K53&gt;1),100*(Database!K127/(Database!K53)),0.0001)</f>
        <v>1E-4</v>
      </c>
      <c r="G163" s="99">
        <f>IF(AND(Database!M127&gt;1,Database!M53&gt;1),100*(Database!M127/(Database!M53)),0.0001)</f>
        <v>1E-4</v>
      </c>
      <c r="H163" s="99">
        <f>IF(AND(Database!O127&gt;1,Database!O53&gt;1),100*(Database!O127/(Database!O53)),0.0001)</f>
        <v>1E-4</v>
      </c>
      <c r="I163" s="99">
        <f>IF(AND(Database!Q127&gt;1,Database!Q53&gt;1),100*(Database!Q127/(Database!Q53)),0.0001)</f>
        <v>1E-4</v>
      </c>
      <c r="J163" s="99">
        <f>IF(AND(Database!S127&gt;1,Database!S53&gt;1),100*(Database!S127/(Database!S53)),0.0001)</f>
        <v>1E-4</v>
      </c>
      <c r="K163" s="99">
        <f>IF(AND(Database!U127&gt;1,Database!U53&gt;1),100*(Database!U127/(Database!U53)),0.0001)</f>
        <v>1E-4</v>
      </c>
      <c r="L163" s="99">
        <f>IF(AND(Database!W127&gt;1,Database!W53&gt;1),100*(Database!W127/(Database!W53)),0.0001)</f>
        <v>1E-4</v>
      </c>
      <c r="M163" s="99">
        <f>IF(AND(Database!Y127&gt;1,Database!Y53&gt;1),100*(Database!Y127/(Database!Y53)),0.0001)</f>
        <v>1E-4</v>
      </c>
      <c r="N163" s="99">
        <f>IF(AND(Database!AA127&gt;1,Database!AA53&gt;1),100*(Database!AA127/(Database!AA53)),0.0001)</f>
        <v>1E-4</v>
      </c>
      <c r="O163" s="99">
        <f>IF(AND(Database!AC127&gt;1,Database!AC53&gt;1),100*(Database!AC127/(Database!AC53)),0.0001)</f>
        <v>1E-4</v>
      </c>
      <c r="P163" s="99">
        <f>IF(AND(Database!AE127&gt;1,Database!AE53&gt;1),100*(Database!AE127/(Database!AE53)),0.0001)</f>
        <v>1E-4</v>
      </c>
      <c r="Q163" s="99">
        <f>IF(AND(Database!AG127&gt;1,Database!AG53&gt;1),100*(Database!AG127/(Database!AG53)),0.0001)</f>
        <v>1E-4</v>
      </c>
      <c r="R163" s="99">
        <f>IF(AND(Database!AI127&gt;1,Database!AI53&gt;1),100*(Database!AI127/(Database!AI53)),0.0001)</f>
        <v>1E-4</v>
      </c>
      <c r="S163" s="99">
        <f>IF(AND(Database!AK127&gt;1,Database!AK53&gt;1),100*(Database!AK127/(Database!AK53)),0.0001)</f>
        <v>1E-4</v>
      </c>
      <c r="T163" s="99">
        <f>IF(AND(Database!AM127&gt;1,Database!AM53&gt;1),100*(Database!AM127/(Database!AM53)),0.0001)</f>
        <v>1E-4</v>
      </c>
      <c r="U163" s="99">
        <f>IF(AND(Database!AO127&gt;1,Database!AO53&gt;1),100*(Database!AO127/(Database!AO53)),0.0001)</f>
        <v>1E-4</v>
      </c>
      <c r="V163" s="99">
        <f>IF(AND(Database!AQ127&gt;1,Database!AQ53&gt;1),100*(Database!AQ127/(Database!AQ53)),0.0001)</f>
        <v>1E-4</v>
      </c>
      <c r="W163" s="99">
        <f>IF(AND(Database!AS127&gt;1,Database!AS53&gt;1),100*(Database!AS127/(Database!AS53)),0.0001)</f>
        <v>1E-4</v>
      </c>
      <c r="X163" s="99">
        <f>IF(AND(Database!AU127&gt;1,Database!AU53&gt;1),100*(Database!AU127/(Database!AU53)),0.0001)</f>
        <v>1E-4</v>
      </c>
      <c r="Y163" s="99">
        <f>IF(AND(Database!AW127&gt;1,Database!AW53&gt;1),100*(Database!AW127/(Database!AW53)),0.0001)</f>
        <v>1E-4</v>
      </c>
      <c r="Z163" s="99">
        <f>IF(AND(Database!AY127&gt;1,Database!AY53&gt;1),100*(Database!AY127/(Database!AY53)),0.0001)</f>
        <v>1E-4</v>
      </c>
      <c r="AA163" s="99">
        <f>IF(AND(Database!BA127&gt;1,Database!BA53&gt;1),100*(Database!BA127/(Database!BA53)),0.0001)</f>
        <v>1E-4</v>
      </c>
      <c r="AB163" s="99">
        <f>IF(AND(Database!BC127&gt;1,Database!BC53&gt;1),100*(Database!BC127/(Database!BC53)),0.0001)</f>
        <v>1E-4</v>
      </c>
      <c r="AC163" s="99">
        <f>IF(AND(Database!BE127&gt;1,Database!BE53&gt;1),100*(Database!BE127/(Database!BE53)),0.0001)</f>
        <v>1E-4</v>
      </c>
      <c r="AD163" s="99">
        <f>IF(AND(Database!BG127&gt;1,Database!BG53&gt;1),100*(Database!BG127/(Database!BG53)),0.0001)</f>
        <v>1E-4</v>
      </c>
      <c r="AE163" s="99">
        <f>IF(AND(Database!BI127&gt;1,Database!BI53&gt;1),100*(Database!BI127/(Database!BI53)),0.0001)</f>
        <v>1E-4</v>
      </c>
      <c r="AF163" s="99">
        <f>IF(AND(Database!BK127&gt;1,Database!BK53&gt;1),100*(Database!BK127/(Database!BK53)),0.0001)</f>
        <v>1E-4</v>
      </c>
      <c r="AG163" s="99">
        <f>IF(AND(Database!BM127&gt;1,Database!BM53&gt;1),100*(Database!BM127/(Database!BM53)),0.0001)</f>
        <v>1E-4</v>
      </c>
      <c r="AH163" s="99">
        <f>IF(AND(Database!BO127&gt;1,Database!BO53&gt;1),100*(Database!BO127/(Database!BO53)),0.0001)</f>
        <v>1E-4</v>
      </c>
      <c r="AI163" s="99">
        <f>IF(AND(Database!BQ127&gt;1,Database!BQ53&gt;1),100*(Database!BQ127/(Database!BQ53)),0.0001)</f>
        <v>1E-4</v>
      </c>
      <c r="AJ163" s="99">
        <f>IF(AND(Database!BS127&gt;1,Database!BS53&gt;1),100*(Database!BS127/(Database!BS53)),0.0001)</f>
        <v>1E-4</v>
      </c>
      <c r="AK163" s="99">
        <f>IF(AND(Database!BU127&gt;1,Database!BU53&gt;1),100*(Database!BU127/(Database!BU53)),0.0001)</f>
        <v>1E-4</v>
      </c>
      <c r="AL163" s="99">
        <f>IF(AND(Database!BW127&gt;1,Database!BW53&gt;1),100*(Database!BW127/(Database!BW53)),0.0001)</f>
        <v>1E-4</v>
      </c>
      <c r="AM163" s="99">
        <f>IF(AND(Database!BY127&gt;1,Database!BY53&gt;1),100*(Database!BY127/(Database!BY53)),0.0001)</f>
        <v>1E-4</v>
      </c>
      <c r="AN163" s="99">
        <f>IF(AND(Database!CA127&gt;1,Database!CA53&gt;1),100*(Database!CA127/(Database!CA53)),0.0001)</f>
        <v>1E-4</v>
      </c>
      <c r="AO163" s="99">
        <f>IF(AND(Database!CC127&gt;1,Database!CC53&gt;1),100*(Database!CC127/(Database!CC53)),0.0001)</f>
        <v>1E-4</v>
      </c>
      <c r="AP163" s="99">
        <f>IF(AND(Database!CE127&gt;1,Database!CE53&gt;1),100*(Database!CE127/(Database!CE53)),0.0001)</f>
        <v>1E-4</v>
      </c>
      <c r="AQ163" s="99">
        <f>IF(AND(Database!CG127&gt;1,Database!CG53&gt;1),100*(Database!CG127/(Database!CG53)),0.0001)</f>
        <v>1E-4</v>
      </c>
      <c r="AR163" s="99">
        <f>IF(AND(Database!CI127&gt;1,Database!CI53&gt;1),100*(Database!CI127/(Database!CI53)),0.0001)</f>
        <v>1E-4</v>
      </c>
      <c r="AS163" s="99">
        <f>IF(AND(Database!CK127&gt;1,Database!CK53&gt;1),100*(Database!CK127/(Database!CK53)),0.0001)</f>
        <v>1E-4</v>
      </c>
      <c r="AT163" s="99">
        <f>IF(AND(Database!CM127&gt;1,Database!CM53&gt;1),100*(Database!CM127/(Database!CM53)),0.0001)</f>
        <v>1E-4</v>
      </c>
      <c r="AU163" s="99">
        <f>IF(AND(Database!CO127&gt;1,Database!CO53&gt;1),100*(Database!CO127/(Database!CO53)),0.0001)</f>
        <v>1E-4</v>
      </c>
      <c r="AV163" s="99">
        <f>IF(AND(Database!CQ127&gt;1,Database!CQ53&gt;1),100*(Database!CQ127/(Database!CQ53)),0.0001)</f>
        <v>1E-4</v>
      </c>
      <c r="AW163" s="99">
        <f>IF(AND(Database!CS127&gt;1,Database!CS53&gt;1),100*(Database!CS127/(Database!CS53)),0.0001)</f>
        <v>1E-4</v>
      </c>
      <c r="AX163" s="99">
        <f>IF(AND(Database!CU127&gt;1,Database!CU53&gt;1),100*(Database!CU127/(Database!CU53)),0.0001)</f>
        <v>1E-4</v>
      </c>
      <c r="AY163" s="99">
        <f>IF(AND(Database!CW127&gt;1,Database!CW53&gt;1),100*(Database!CW127/(Database!CW53)),0.0001)</f>
        <v>1E-4</v>
      </c>
      <c r="AZ163" s="99">
        <f>IF(AND(Database!CY127&gt;1,Database!CY53&gt;1),100*(Database!CY127/(Database!CY53)),0.0001)</f>
        <v>1E-4</v>
      </c>
      <c r="BA163" s="99">
        <f>IF(AND(Database!DA127&gt;1,Database!DA53&gt;1),100*(Database!DA127/(Database!DA53)),0.0001)</f>
        <v>1E-4</v>
      </c>
      <c r="BB163" s="99">
        <f>IF(AND(Database!DC127&gt;1,Database!DC53&gt;1),100*(Database!DC127/(Database!DC53)),0.0001)</f>
        <v>1E-4</v>
      </c>
      <c r="BC163" s="99">
        <f>IF(AND(Database!DE127&gt;1,Database!DE53&gt;1),100*(Database!DE127/(Database!DE53)),0.0001)</f>
        <v>1E-4</v>
      </c>
      <c r="BD163" s="99">
        <f>IF(AND(Database!DG127&gt;1,Database!DG53&gt;1),100*(Database!DG127/(Database!DG53)),0.0001)</f>
        <v>1E-4</v>
      </c>
      <c r="BE163" s="99">
        <f>IF(AND(Database!DI127&gt;1,Database!DI53&gt;1),100*(Database!DI127/(Database!DI53)),0.0001)</f>
        <v>1E-4</v>
      </c>
      <c r="BF163" s="99">
        <f>IF(AND(Database!DK127&gt;1,Database!DK53&gt;1),100*(Database!DK127/(Database!DK53)),0.0001)</f>
        <v>1E-4</v>
      </c>
      <c r="BG163" s="99">
        <f>IF(AND(Database!DM127&gt;1,Database!DM53&gt;1),100*(Database!DM127/(Database!DM53)),0.0001)</f>
        <v>1E-4</v>
      </c>
      <c r="BH163" s="99">
        <f>IF(AND(Database!DO127&gt;1,Database!DO53&gt;1),100*(Database!DO127/(Database!DO53)),0.0001)</f>
        <v>1E-4</v>
      </c>
      <c r="BI163" s="99">
        <f>IF(AND(Database!DQ127&gt;1,Database!DQ53&gt;1),100*(Database!DQ127/(Database!DQ53)),0.0001)</f>
        <v>1E-4</v>
      </c>
      <c r="BJ163" s="99">
        <f>IF(AND(Database!DS127&gt;1,Database!DS53&gt;1),100*(Database!DS127/(Database!DS53)),0.0001)</f>
        <v>1E-4</v>
      </c>
      <c r="BK163" s="99">
        <f>IF(AND(Database!DU127&gt;1,Database!DU53&gt;1),100*(Database!DU127/(Database!DU53)),0.0001)</f>
        <v>1E-4</v>
      </c>
      <c r="BL163" s="99">
        <f>IF(AND(Database!DW127&gt;1,Database!DW53&gt;1),100*(Database!DW127/(Database!DW53)),0.0001)</f>
        <v>1E-4</v>
      </c>
      <c r="BM163" s="99">
        <f>IF(AND(Database!DY127&gt;1,Database!DY53&gt;1),100*(Database!DY127/(Database!DY53)),0.0001)</f>
        <v>1E-4</v>
      </c>
      <c r="BN163" s="99">
        <f>IF(AND(Database!EA127&gt;1,Database!EA53&gt;1),100*(Database!EA127/(Database!EA53)),0.0001)</f>
        <v>1E-4</v>
      </c>
      <c r="BO163" s="99">
        <f>IF(AND(Database!EC127&gt;1,Database!EC53&gt;1),100*(Database!EC127/(Database!EC53)),0.0001)</f>
        <v>1E-4</v>
      </c>
      <c r="BP163" s="99">
        <f>IF(AND(Database!EE127&gt;1,Database!EE53&gt;1),100*(Database!EE127/(Database!EE53)),0.0001)</f>
        <v>1E-4</v>
      </c>
      <c r="BQ163" s="99">
        <f>IF(AND(Database!EG127&gt;1,Database!EG53&gt;1),100*(Database!EG127/(Database!EG53)),0.0001)</f>
        <v>1E-4</v>
      </c>
      <c r="BR163" s="99">
        <f>IF(AND(Database!EI127&gt;1,Database!EI53&gt;1),100*(Database!EI127/(Database!EI53)),0.0001)</f>
        <v>1E-4</v>
      </c>
      <c r="BS163" s="99">
        <f>IF(AND(Database!EK127&gt;1,Database!EK53&gt;1),100*(Database!EK127/(Database!EK53)),0.0001)</f>
        <v>1E-4</v>
      </c>
      <c r="BT163" s="99">
        <f>IF(AND(Database!EM127&gt;1,Database!EM53&gt;1),100*(Database!EM127/(Database!EM53)),0.0001)</f>
        <v>1E-4</v>
      </c>
      <c r="BU163" s="99">
        <f>IF(AND(Database!EO127&gt;1,Database!EO53&gt;1),100*(Database!EO127/(Database!EO53)),0.0001)</f>
        <v>1E-4</v>
      </c>
      <c r="BV163" s="99">
        <f>IF(AND(Database!EQ127&gt;1,Database!EQ53&gt;1),100*(Database!EQ127/(Database!EQ53)),0.0001)</f>
        <v>1E-4</v>
      </c>
      <c r="BW163" s="99">
        <f>IF(AND(Database!ES127&gt;1,Database!ES53&gt;1),100*(Database!ES127/(Database!ES53)),0.0001)</f>
        <v>1E-4</v>
      </c>
      <c r="BX163" s="99">
        <f>IF(AND(Database!EU127&gt;1,Database!EU53&gt;1),100*(Database!EU127/(Database!EU53)),0.0001)</f>
        <v>1E-4</v>
      </c>
      <c r="BY163" s="99">
        <f>IF(AND(Database!EW127&gt;1,Database!EW53&gt;1),100*(Database!EW127/(Database!EW53)),0.0001)</f>
        <v>1E-4</v>
      </c>
      <c r="BZ163" s="99">
        <f>IF(AND(Database!EY127&gt;1,Database!EY53&gt;1),100*(Database!EY127/(Database!EY53)),0.0001)</f>
        <v>1E-4</v>
      </c>
      <c r="CA163" s="99">
        <f>IF(AND(Database!FA127&gt;1,Database!FA53&gt;1),100*(Database!FA127/(Database!FA53)),0.0001)</f>
        <v>1E-4</v>
      </c>
      <c r="CB163" s="99">
        <f>IF(AND(Database!FC127&gt;1,Database!FC53&gt;1),100*(Database!FC127/(Database!FC53)),0.0001)</f>
        <v>1E-4</v>
      </c>
      <c r="CC163" s="99">
        <f>IF(AND(Database!FE127&gt;1,Database!FE53&gt;1),100*(Database!FE127/(Database!FE53)),0.0001)</f>
        <v>1E-4</v>
      </c>
      <c r="CD163" s="99">
        <f>IF(AND(Database!FG127&gt;1,Database!FG53&gt;1),100*(Database!FG127/(Database!FG53)),0.0001)</f>
        <v>1E-4</v>
      </c>
      <c r="CE163" s="99">
        <f>IF(AND(Database!FI127&gt;1,Database!FI53&gt;1),100*(Database!FI127/(Database!FI53)),0.0001)</f>
        <v>1E-4</v>
      </c>
      <c r="CF163" s="99">
        <f>IF(AND(Database!FK127&gt;1,Database!FK53&gt;1),100*(Database!FK127/(Database!FK53)),0.0001)</f>
        <v>1E-4</v>
      </c>
      <c r="CG163" s="99">
        <f>IF(AND(Database!FM127&gt;1,Database!FM53&gt;1),100*(Database!FM127/(Database!FM53)),0.0001)</f>
        <v>1E-4</v>
      </c>
      <c r="CH163" s="99">
        <f>IF(AND(Database!FO127&gt;1,Database!FO53&gt;1),100*(Database!FO127/(Database!FO53)),0.0001)</f>
        <v>1E-4</v>
      </c>
      <c r="CI163" s="99">
        <f>IF(AND(Database!FQ127&gt;1,Database!FQ53&gt;1),100*(Database!FQ127/(Database!FQ53)),0.0001)</f>
        <v>1E-4</v>
      </c>
      <c r="CJ163" s="99">
        <f>IF(AND(Database!FS127&gt;1,Database!FS53&gt;1),100*(Database!FS127/(Database!FS53)),0.0001)</f>
        <v>1E-4</v>
      </c>
      <c r="CK163" s="99">
        <f>IF(AND(Database!FU127&gt;1,Database!FU53&gt;1),100*(Database!FU127/(Database!FU53)),0.0001)</f>
        <v>1E-4</v>
      </c>
      <c r="CL163" s="99">
        <f>IF(AND(Database!FW127&gt;1,Database!FW53&gt;1),100*(Database!FW127/(Database!FW53)),0.0001)</f>
        <v>1E-4</v>
      </c>
      <c r="CM163" s="99">
        <f>IF(AND(Database!FY127&gt;1,Database!FY53&gt;1),100*(Database!FY127/(Database!FY53)),0.0001)</f>
        <v>1E-4</v>
      </c>
      <c r="CN163" s="99">
        <f>IF(AND(Database!GA127&gt;1,Database!GA53&gt;1),100*(Database!GA127/(Database!GA53)),0.0001)</f>
        <v>1E-4</v>
      </c>
      <c r="CO163" s="99">
        <f>IF(AND(Database!GC127&gt;1,Database!GC53&gt;1),100*(Database!GC127/(Database!GC53)),0.0001)</f>
        <v>1E-4</v>
      </c>
      <c r="CP163" s="99">
        <f>IF(AND(Database!GE127&gt;1,Database!GE53&gt;1),100*(Database!GE127/(Database!GE53)),0.0001)</f>
        <v>1E-4</v>
      </c>
      <c r="CQ163" s="99">
        <f>IF(AND(Database!GG127&gt;1,Database!GG53&gt;1),100*(Database!GG127/(Database!GG53)),0.0001)</f>
        <v>1E-4</v>
      </c>
      <c r="CR163" s="99">
        <f>IF(AND(Database!GI127&gt;1,Database!GI53&gt;1),100*(Database!GI127/(Database!GI53)),0.0001)</f>
        <v>1E-4</v>
      </c>
      <c r="CS163" s="99">
        <f>IF(AND(Database!GK127&gt;1,Database!GK53&gt;1),100*(Database!GK127/(Database!GK53)),0.0001)</f>
        <v>1E-4</v>
      </c>
      <c r="CT163" s="99">
        <f>IF(AND(Database!GM127&gt;1,Database!GM53&gt;1),100*(Database!GM127/(Database!GM53)),0.0001)</f>
        <v>1E-4</v>
      </c>
      <c r="CU163" s="99">
        <f>IF(AND(Database!GO127&gt;1,Database!GO53&gt;1),100*(Database!GO127/(Database!GO53)),0.0001)</f>
        <v>1E-4</v>
      </c>
      <c r="CV163" s="99">
        <f>IF(AND(Database!GQ127&gt;1,Database!GQ53&gt;1),100*(Database!GQ127/(Database!GQ53)),0.0001)</f>
        <v>1E-4</v>
      </c>
      <c r="CW163" s="99">
        <f>IF(AND(Database!GS127&gt;1,Database!GS53&gt;1),100*(Database!GS127/(Database!GS53)),0.0001)</f>
        <v>1E-4</v>
      </c>
      <c r="CX163" s="99">
        <f>IF(AND(Database!GU127&gt;1,Database!GU53&gt;1),100*(Database!GU127/(Database!GU53)),0.0001)</f>
        <v>1E-4</v>
      </c>
      <c r="CY163" s="99">
        <f>IF(AND(Database!GW127&gt;1,Database!GW53&gt;1),100*(Database!GW127/(Database!GW53)),0.0001)</f>
        <v>1E-4</v>
      </c>
      <c r="CZ163" s="99">
        <f>IF(AND(Database!GY127&gt;1,Database!GY53&gt;1),100*(Database!GY127/(Database!GY53)),0.0001)</f>
        <v>1E-4</v>
      </c>
      <c r="DA163" s="99">
        <f>IF(AND(Database!HA127&gt;1,Database!HA53&gt;1),100*(Database!HA127/(Database!HA53)),0.0001)</f>
        <v>1E-4</v>
      </c>
      <c r="DB163" s="99">
        <f>IF(AND(Database!HC127&gt;1,Database!HC53&gt;1),100*(Database!HC127/(Database!HC53)),0.0001)</f>
        <v>1E-4</v>
      </c>
      <c r="DC163" s="99">
        <f>IF(AND(Database!HE127&gt;1,Database!HE53&gt;1),100*(Database!HE127/(Database!HE53)),0.0001)</f>
        <v>1E-4</v>
      </c>
      <c r="DD163" s="99">
        <f>IF(AND(Database!HG127&gt;1,Database!HG53&gt;1),100*(Database!HG127/(Database!HG53)),0.0001)</f>
        <v>1E-4</v>
      </c>
      <c r="DE163" s="99">
        <f>IF(AND(Database!HI127&gt;1,Database!HI53&gt;1),100*(Database!HI127/(Database!HI53)),0.0001)</f>
        <v>1E-4</v>
      </c>
      <c r="DF163" s="99">
        <f>IF(AND(Database!HK127&gt;1,Database!HK53&gt;1),100*(Database!HK127/(Database!HK53)),0.0001)</f>
        <v>1E-4</v>
      </c>
      <c r="DG163" s="99">
        <f>IF(AND(Database!HM127&gt;1,Database!HM53&gt;1),100*(Database!HM127/(Database!HM53)),0.0001)</f>
        <v>1E-4</v>
      </c>
      <c r="DH163" s="99">
        <f>IF(AND(Database!HO127&gt;1,Database!HO53&gt;1),100*(Database!HO127/(Database!HO53)),0.0001)</f>
        <v>1E-4</v>
      </c>
      <c r="DI163" s="99">
        <f>IF(AND(Database!HQ127&gt;1,Database!HQ53&gt;1),100*(Database!HQ127/(Database!HQ53)),0.0001)</f>
        <v>1E-4</v>
      </c>
      <c r="DJ163" s="99">
        <f>IF(AND(Database!HS127&gt;1,Database!HS53&gt;1),100*(Database!HS127/(Database!HS53)),0.0001)</f>
        <v>1E-4</v>
      </c>
      <c r="DK163" s="99">
        <f>IF(AND(Database!HU127&gt;1,Database!HU53&gt;1),100*(Database!HU127/(Database!HU53)),0.0001)</f>
        <v>1E-4</v>
      </c>
      <c r="DL163" s="99">
        <f>IF(AND(Database!HW127&gt;1,Database!HW53&gt;1),100*(Database!HW127/(Database!HW53)),0.0001)</f>
        <v>1E-4</v>
      </c>
      <c r="DM163" s="99">
        <f>IF(AND(Database!HY127&gt;1,Database!HY53&gt;1),100*(Database!HY127/(Database!HY53)),0.0001)</f>
        <v>1E-4</v>
      </c>
      <c r="DN163" s="99">
        <f>IF(AND(Database!IA127&gt;1,Database!IA53&gt;1),100*(Database!IA127/(Database!IA53)),0.0001)</f>
        <v>1E-4</v>
      </c>
      <c r="DO163" s="99">
        <f>IF(AND(Database!IC127&gt;1,Database!IC53&gt;1),100*(Database!IC127/(Database!IC53)),0.0001)</f>
        <v>1E-4</v>
      </c>
      <c r="DP163" s="99">
        <f>IF(AND(Database!IE127&gt;1,Database!IE53&gt;1),100*(Database!IE127/(Database!IE53)),0.0001)</f>
        <v>1E-4</v>
      </c>
      <c r="DQ163" s="99">
        <f>IF(AND(Database!IG127&gt;1,Database!IG53&gt;1),100*(Database!IG127/(Database!IG53)),0.0001)</f>
        <v>1E-4</v>
      </c>
      <c r="DR163" s="99">
        <f>IF(AND(Database!II127&gt;1,Database!II53&gt;1),100*(Database!II127/(Database!II53)),0.0001)</f>
        <v>1E-4</v>
      </c>
      <c r="DS163" s="99">
        <f>IF(AND(Database!IK127&gt;1,Database!IK53&gt;1),100*(Database!IK127/(Database!IK53)),0.0001)</f>
        <v>1E-4</v>
      </c>
      <c r="DT163" s="99">
        <f>IF(AND(Database!IM127&gt;1,Database!IM53&gt;1),100*(Database!IM127/(Database!IM53)),0.0001)</f>
        <v>1E-4</v>
      </c>
      <c r="DU163" s="99">
        <f>IF(AND(Database!IO127&gt;1,Database!IO53&gt;1),100*(Database!IO127/(Database!IO53)),0.0001)</f>
        <v>1E-4</v>
      </c>
      <c r="DV163" s="99">
        <f>IF(AND(Database!IQ127&gt;1,Database!IQ53&gt;1),100*(Database!IQ127/(Database!IQ53)),0.0001)</f>
        <v>1E-4</v>
      </c>
      <c r="DW163" s="99">
        <f>IF(AND(Database!IS127&gt;1,Database!IS53&gt;1),100*(Database!IS127/(Database!IS53)),0.0001)</f>
        <v>1E-4</v>
      </c>
      <c r="DX163" s="99">
        <f>IF(AND(Database!IU127&gt;1,Database!IU53&gt;1),100*(Database!IU127/(Database!IU53)),0.0001)</f>
        <v>1E-4</v>
      </c>
      <c r="DY163" s="99">
        <f>IF(AND(Database!IW127&gt;1,Database!IW53&gt;1),100*(Database!IW127/(Database!IW53)),0.0001)</f>
        <v>1E-4</v>
      </c>
      <c r="DZ163" s="99">
        <f>IF(AND(Database!IY127&gt;1,Database!IY53&gt;1),100*(Database!IY127/(Database!IY53)),0.0001)</f>
        <v>1E-4</v>
      </c>
      <c r="EA163" s="99">
        <f>IF(AND(Database!JA127&gt;1,Database!JA53&gt;1),100*(Database!JA127/(Database!JA53)),0.0001)</f>
        <v>1E-4</v>
      </c>
      <c r="EB163" s="99">
        <f>IF(AND(Database!JC127&gt;1,Database!JC53&gt;1),100*(Database!JC127/(Database!JC53)),0.0001)</f>
        <v>1E-4</v>
      </c>
      <c r="EC163" s="99">
        <f>IF(AND(Database!JE127&gt;1,Database!JE53&gt;1),100*(Database!JE127/(Database!JE53)),0.0001)</f>
        <v>1E-4</v>
      </c>
      <c r="ED163" s="99">
        <f>IF(AND(Database!JG127&gt;1,Database!JG53&gt;1),100*(Database!JG127/(Database!JG53)),0.0001)</f>
        <v>1E-4</v>
      </c>
      <c r="EE163" s="99">
        <f>IF(AND(Database!JI127&gt;1,Database!JI53&gt;1),100*(Database!JI127/(Database!JI53)),0.0001)</f>
        <v>1E-4</v>
      </c>
      <c r="EF163" s="99">
        <f>IF(AND(Database!JK127&gt;1,Database!JK53&gt;1),100*(Database!JK127/(Database!JK53)),0.0001)</f>
        <v>1E-4</v>
      </c>
      <c r="EG163" s="99">
        <f>IF(AND(Database!JM127&gt;1,Database!JM53&gt;1),100*(Database!JM127/(Database!JM53)),0.0001)</f>
        <v>1E-4</v>
      </c>
      <c r="EH163" s="99">
        <f>IF(AND(Database!JO127&gt;1,Database!JO53&gt;1),100*(Database!JO127/(Database!JO53)),0.0001)</f>
        <v>1E-4</v>
      </c>
      <c r="EI163" s="99">
        <f>IF(AND(Database!JQ127&gt;1,Database!JQ53&gt;1),100*(Database!JQ127/(Database!JQ53)),0.0001)</f>
        <v>1E-4</v>
      </c>
      <c r="EJ163" s="99">
        <f>IF(AND(Database!JS127&gt;1,Database!JS53&gt;1),100*(Database!JS127/(Database!JS53)),0.0001)</f>
        <v>1E-4</v>
      </c>
      <c r="EK163" s="99">
        <f>IF(AND(Database!JU127&gt;1,Database!JU53&gt;1),100*(Database!JU127/(Database!JU53)),0.0001)</f>
        <v>1E-4</v>
      </c>
      <c r="EL163" s="99">
        <f>IF(AND(Database!JW127&gt;1,Database!JW53&gt;1),100*(Database!JW127/(Database!JW53)),0.0001)</f>
        <v>1E-4</v>
      </c>
      <c r="EM163" s="99">
        <f>IF(AND(Database!JY127&gt;1,Database!JY53&gt;1),100*(Database!JY127/(Database!JY53)),0.0001)</f>
        <v>1E-4</v>
      </c>
      <c r="EN163" s="99">
        <f>IF(AND(Database!KA127&gt;1,Database!KA53&gt;1),100*(Database!KA127/(Database!KA53)),0.0001)</f>
        <v>1E-4</v>
      </c>
      <c r="EO163" s="99">
        <f>IF(AND(Database!KC127&gt;1,Database!KC53&gt;1),100*(Database!KC127/(Database!KC53)),0.0001)</f>
        <v>1E-4</v>
      </c>
      <c r="EP163" s="99">
        <f>IF(AND(Database!KE127&gt;1,Database!KE53&gt;1),100*(Database!KE127/(Database!KE53)),0.0001)</f>
        <v>1E-4</v>
      </c>
      <c r="EQ163" s="99">
        <f>IF(AND(Database!KG127&gt;1,Database!KG53&gt;1),100*(Database!KG127/(Database!KG53)),0.0001)</f>
        <v>1E-4</v>
      </c>
      <c r="ER163" s="99">
        <f>IF(AND(Database!KI127&gt;1,Database!KI53&gt;1),100*(Database!KI127/(Database!KI53)),0.0001)</f>
        <v>1E-4</v>
      </c>
      <c r="ES163" s="99">
        <f>IF(AND(Database!KK127&gt;1,Database!KK53&gt;1),100*(Database!KK127/(Database!KK53)),0.0001)</f>
        <v>1E-4</v>
      </c>
      <c r="ET163" s="99">
        <f>IF(AND(Database!KM127&gt;1,Database!KM53&gt;1),100*(Database!KM127/(Database!KM53)),0.0001)</f>
        <v>1E-4</v>
      </c>
      <c r="EU163" s="99">
        <f>IF(AND(Database!KO127&gt;1,Database!KO53&gt;1),100*(Database!KO127/(Database!KO53)),0.0001)</f>
        <v>1E-4</v>
      </c>
      <c r="EV163" s="99">
        <f>IF(AND(Database!KQ127&gt;1,Database!KQ53&gt;1),100*(Database!KQ127/(Database!KQ53)),0.0001)</f>
        <v>1E-4</v>
      </c>
      <c r="EW163" s="99">
        <f>IF(AND(Database!KS127&gt;1,Database!KS53&gt;1),100*(Database!KS127/(Database!KS53)),0.0001)</f>
        <v>1E-4</v>
      </c>
      <c r="EX163" s="99">
        <f>IF(AND(Database!KU127&gt;1,Database!KU53&gt;1),100*(Database!KU127/(Database!KU53)),0.0001)</f>
        <v>1E-4</v>
      </c>
      <c r="EY163" s="99">
        <f>IF(AND(Database!KW127&gt;1,Database!KW53&gt;1),100*(Database!KW127/(Database!KW53)),0.0001)</f>
        <v>1E-4</v>
      </c>
      <c r="EZ163" s="99">
        <f>IF(AND(Database!KY127&gt;1,Database!KY53&gt;1),100*(Database!KY127/(Database!KY53)),0.0001)</f>
        <v>1E-4</v>
      </c>
      <c r="FA163" s="99">
        <f>IF(AND(Database!LA127&gt;1,Database!LA53&gt;1),100*(Database!LA127/(Database!LA53)),0.0001)</f>
        <v>1E-4</v>
      </c>
      <c r="FB163" s="99">
        <f>IF(AND(Database!LC127&gt;1,Database!LC53&gt;1),100*(Database!LC127/(Database!LC53)),0.0001)</f>
        <v>1E-4</v>
      </c>
      <c r="FC163" s="99">
        <f>IF(AND(Database!LE127&gt;1,Database!LE53&gt;1),100*(Database!LE127/(Database!LE53)),0.0001)</f>
        <v>1E-4</v>
      </c>
      <c r="FD163" s="99">
        <f>IF(AND(Database!LG127&gt;1,Database!LG53&gt;1),100*(Database!LG127/(Database!LG53)),0.0001)</f>
        <v>1E-4</v>
      </c>
      <c r="FE163" s="99">
        <f>IF(AND(Database!LI127&gt;1,Database!LI53&gt;1),100*(Database!LI127/(Database!LI53)),0.0001)</f>
        <v>1E-4</v>
      </c>
      <c r="FF163" s="99">
        <f>IF(AND(Database!LK127&gt;1,Database!LK53&gt;1),100*(Database!LK127/(Database!LK53)),0.0001)</f>
        <v>1E-4</v>
      </c>
      <c r="FG163" s="99">
        <f>IF(AND(Database!LM127&gt;1,Database!LM53&gt;1),100*(Database!LM127/(Database!LM53)),0.0001)</f>
        <v>1E-4</v>
      </c>
      <c r="FH163" s="99">
        <f>IF(AND(Database!LO127&gt;1,Database!LO53&gt;1),100*(Database!LO127/(Database!LO53)),0.0001)</f>
        <v>1E-4</v>
      </c>
      <c r="FI163" s="99">
        <f>IF(AND(Database!LQ127&gt;1,Database!LQ53&gt;1),100*(Database!LQ127/(Database!LQ53)),0.0001)</f>
        <v>1E-4</v>
      </c>
      <c r="FJ163" s="99">
        <f>IF(AND(Database!LS127&gt;1,Database!LS53&gt;1),100*(Database!LS127/(Database!LS53)),0.0001)</f>
        <v>1E-4</v>
      </c>
      <c r="FK163" s="99">
        <f>IF(AND(Database!LU127&gt;1,Database!LU53&gt;1),100*(Database!LU127/(Database!LU53)),0.0001)</f>
        <v>1E-4</v>
      </c>
      <c r="FL163" s="99">
        <f>IF(AND(Database!LW127&gt;1,Database!LW53&gt;1),100*(Database!LW127/(Database!LW53)),0.0001)</f>
        <v>1E-4</v>
      </c>
      <c r="FM163" s="99">
        <f>IF(AND(Database!LY127&gt;1,Database!LY53&gt;1),100*(Database!LY127/(Database!LY53)),0.0001)</f>
        <v>1E-4</v>
      </c>
      <c r="FN163" s="99">
        <f>IF(AND(Database!MA127&gt;1,Database!MA53&gt;1),100*(Database!MA127/(Database!MA53)),0.0001)</f>
        <v>1E-4</v>
      </c>
      <c r="FO163" s="99">
        <f>IF(AND(Database!MC127&gt;1,Database!MC53&gt;1),100*(Database!MC127/(Database!MC53)),0.0001)</f>
        <v>1E-4</v>
      </c>
      <c r="FP163" s="99">
        <f>IF(AND(Database!ME127&gt;1,Database!ME53&gt;1),100*(Database!ME127/(Database!ME53)),0.0001)</f>
        <v>1E-4</v>
      </c>
      <c r="FQ163" s="99">
        <f>IF(AND(Database!MG127&gt;1,Database!MG53&gt;1),100*(Database!MG127/(Database!MG53)),0.0001)</f>
        <v>1E-4</v>
      </c>
      <c r="FR163" s="99">
        <f>IF(AND(Database!MI127&gt;1,Database!MI53&gt;1),100*(Database!MI127/(Database!MI53)),0.0001)</f>
        <v>1E-4</v>
      </c>
      <c r="FS163" s="99">
        <f>IF(AND(Database!MK127&gt;1,Database!MK53&gt;1),100*(Database!MK127/(Database!MK53)),0.0001)</f>
        <v>1E-4</v>
      </c>
      <c r="FT163" s="99">
        <f>IF(AND(Database!MM127&gt;1,Database!MM53&gt;1),100*(Database!MM127/(Database!MM53)),0.0001)</f>
        <v>1E-4</v>
      </c>
      <c r="FU163" s="99">
        <f>IF(AND(Database!MO127&gt;1,Database!MO53&gt;1),100*(Database!MO127/(Database!MO53)),0.0001)</f>
        <v>1E-4</v>
      </c>
      <c r="FV163" s="99">
        <f>IF(AND(Database!MQ127&gt;1,Database!MQ53&gt;1),100*(Database!MQ127/(Database!MQ53)),0.0001)</f>
        <v>1E-4</v>
      </c>
      <c r="FW163" s="99">
        <f>IF(AND(Database!MS127&gt;1,Database!MS53&gt;1),100*(Database!MS127/(Database!MS53)),0.0001)</f>
        <v>1E-4</v>
      </c>
      <c r="FX163" s="99">
        <f>IF(AND(Database!MU127&gt;1,Database!MU53&gt;1),100*(Database!MU127/(Database!MU53)),0.0001)</f>
        <v>1E-4</v>
      </c>
      <c r="FY163" s="99">
        <f>IF(AND(Database!MW127&gt;1,Database!MW53&gt;1),100*(Database!MW127/(Database!MW53)),0.0001)</f>
        <v>1E-4</v>
      </c>
      <c r="FZ163" s="99">
        <f>IF(AND(Database!MY127&gt;1,Database!MY53&gt;1),100*(Database!MY127/(Database!MY53)),0.0001)</f>
        <v>1E-4</v>
      </c>
      <c r="GA163" s="99">
        <f>IF(AND(Database!NA127&gt;1,Database!NA53&gt;1),100*(Database!NA127/(Database!NA53)),0.0001)</f>
        <v>1E-4</v>
      </c>
      <c r="GB163" s="99">
        <f>IF(AND(Database!NC127&gt;1,Database!NC53&gt;1),100*(Database!NC127/(Database!NC53)),0.0001)</f>
        <v>1E-4</v>
      </c>
      <c r="GC163" s="99">
        <f>IF(AND(Database!NE127&gt;1,Database!NE53&gt;1),100*(Database!NE127/(Database!NE53)),0.0001)</f>
        <v>1E-4</v>
      </c>
      <c r="GD163" s="99">
        <f>IF(AND(Database!NG127&gt;1,Database!NG53&gt;1),100*(Database!NG127/(Database!NG53)),0.0001)</f>
        <v>1E-4</v>
      </c>
      <c r="GE163" s="99">
        <f>IF(AND(Database!NI127&gt;1,Database!NI53&gt;1),100*(Database!NI127/(Database!NI53)),0.0001)</f>
        <v>1E-4</v>
      </c>
      <c r="GF163" s="99">
        <f>IF(AND(Database!NK127&gt;1,Database!NK53&gt;1),100*(Database!NK127/(Database!NK53)),0.0001)</f>
        <v>1E-4</v>
      </c>
      <c r="GG163" s="99">
        <f>IF(AND(Database!NM127&gt;1,Database!NM53&gt;1),100*(Database!NM127/(Database!NM53)),0.0001)</f>
        <v>1E-4</v>
      </c>
      <c r="GH163" s="99">
        <f>IF(AND(Database!NO127&gt;1,Database!NO53&gt;1),100*(Database!NO127/(Database!NO53)),0.0001)</f>
        <v>1E-4</v>
      </c>
      <c r="GI163" s="99">
        <f>IF(AND(Database!NQ127&gt;1,Database!NQ53&gt;1),100*(Database!NQ127/(Database!NQ53)),0.0001)</f>
        <v>1E-4</v>
      </c>
      <c r="GJ163" s="99">
        <f>IF(AND(Database!NS127&gt;1,Database!NS53&gt;1),100*(Database!NS127/(Database!NS53)),0.0001)</f>
        <v>1E-4</v>
      </c>
      <c r="GK163" s="99">
        <f>IF(AND(Database!NU127&gt;1,Database!NU53&gt;1),100*(Database!NU127/(Database!NU53)),0.0001)</f>
        <v>1E-4</v>
      </c>
      <c r="GL163" s="99">
        <f>IF(AND(Database!NW127&gt;1,Database!NW53&gt;1),100*(Database!NW127/(Database!NW53)),0.0001)</f>
        <v>1E-4</v>
      </c>
      <c r="GM163" s="99">
        <f>IF(AND(Database!NY127&gt;1,Database!NY53&gt;1),100*(Database!NY127/(Database!NY53)),0.0001)</f>
        <v>1E-4</v>
      </c>
      <c r="GN163" s="99">
        <f>IF(AND(Database!OA127&gt;1,Database!OA53&gt;1),100*(Database!OA127/(Database!OA53)),0.0001)</f>
        <v>1E-4</v>
      </c>
      <c r="GO163" s="99">
        <f>IF(AND(Database!OC127&gt;1,Database!OC53&gt;1),100*(Database!OC127/(Database!OC53)),0.0001)</f>
        <v>1E-4</v>
      </c>
      <c r="GP163" s="99">
        <f>IF(AND(Database!OE127&gt;1,Database!OE53&gt;1),100*(Database!OE127/(Database!OE53)),0.0001)</f>
        <v>1E-4</v>
      </c>
      <c r="GQ163" s="99">
        <f>IF(AND(Database!OG127&gt;1,Database!OG53&gt;1),100*(Database!OG127/(Database!OG53)),0.0001)</f>
        <v>1E-4</v>
      </c>
      <c r="GR163" s="99">
        <f>IF(AND(Database!OI127&gt;1,Database!OI53&gt;1),100*(Database!OI127/(Database!OI53)),0.0001)</f>
        <v>1E-4</v>
      </c>
      <c r="GS163" s="99">
        <f>IF(AND(Database!OK127&gt;1,Database!OK53&gt;1),100*(Database!OK127/(Database!OK53)),0.0001)</f>
        <v>1E-4</v>
      </c>
      <c r="GT163" s="30">
        <f>IF(AND(Database!OM127&gt;1,Database!OM53&gt;1),100*(Database!OM127/(Database!OM53)),0.0001)</f>
        <v>1E-4</v>
      </c>
      <c r="GU163" s="99"/>
      <c r="GV163" s="99"/>
      <c r="GW163" s="99"/>
    </row>
    <row r="164" spans="1:205" ht="18.75" customHeight="1" x14ac:dyDescent="0.4">
      <c r="A164" s="240" t="s">
        <v>174</v>
      </c>
      <c r="B164" s="96"/>
      <c r="C164" s="260">
        <f>IF(AND(Database!E128&gt;1,Database!E53&gt;1),100*(Database!E128/Database!E53),0.0001)</f>
        <v>1E-4</v>
      </c>
      <c r="D164" s="99">
        <f>IF(AND(Database!G128&gt;1,Database!G53&gt;1),100*(Database!G128/Database!G53),0.0001)</f>
        <v>1E-4</v>
      </c>
      <c r="E164" s="99">
        <f>IF(AND(Database!I128&gt;1,Database!I53&gt;1),100*(Database!I128/Database!I53),0.0001)</f>
        <v>1E-4</v>
      </c>
      <c r="F164" s="99">
        <f>IF(AND(Database!K128&gt;1,Database!K53&gt;1),100*(Database!K128/Database!K53),0.0001)</f>
        <v>1E-4</v>
      </c>
      <c r="G164" s="99">
        <f>IF(AND(Database!M128&gt;1,Database!M53&gt;1),100*(Database!M128/Database!M53),0.0001)</f>
        <v>1E-4</v>
      </c>
      <c r="H164" s="99">
        <f>IF(AND(Database!O128&gt;1,Database!O53&gt;1),100*(Database!O128/Database!O53),0.0001)</f>
        <v>1E-4</v>
      </c>
      <c r="I164" s="99">
        <f>IF(AND(Database!Q128&gt;1,Database!Q53&gt;1),100*(Database!Q128/Database!Q53),0.0001)</f>
        <v>1E-4</v>
      </c>
      <c r="J164" s="99">
        <f>IF(AND(Database!S128&gt;1,Database!S53&gt;1),100*(Database!S128/Database!S53),0.0001)</f>
        <v>1E-4</v>
      </c>
      <c r="K164" s="99">
        <f>IF(AND(Database!U128&gt;1,Database!U53&gt;1),100*(Database!U128/Database!U53),0.0001)</f>
        <v>1E-4</v>
      </c>
      <c r="L164" s="99">
        <f>IF(AND(Database!W128&gt;1,Database!W53&gt;1),100*(Database!W128/Database!W53),0.0001)</f>
        <v>1E-4</v>
      </c>
      <c r="M164" s="99">
        <f>IF(AND(Database!Y128&gt;1,Database!Y53&gt;1),100*(Database!Y128/Database!Y53),0.0001)</f>
        <v>1E-4</v>
      </c>
      <c r="N164" s="99">
        <f>IF(AND(Database!AA128&gt;1,Database!AA53&gt;1),100*(Database!AA128/Database!AA53),0.0001)</f>
        <v>1E-4</v>
      </c>
      <c r="O164" s="99">
        <f>IF(AND(Database!AC128&gt;1,Database!AC53&gt;1),100*(Database!AC128/Database!AC53),0.0001)</f>
        <v>1E-4</v>
      </c>
      <c r="P164" s="99">
        <f>IF(AND(Database!AE128&gt;1,Database!AE53&gt;1),100*(Database!AE128/Database!AE53),0.0001)</f>
        <v>1E-4</v>
      </c>
      <c r="Q164" s="99">
        <f>IF(AND(Database!AG128&gt;1,Database!AG53&gt;1),100*(Database!AG128/Database!AG53),0.0001)</f>
        <v>1E-4</v>
      </c>
      <c r="R164" s="99">
        <f>IF(AND(Database!AI128&gt;1,Database!AI53&gt;1),100*(Database!AI128/Database!AI53),0.0001)</f>
        <v>1E-4</v>
      </c>
      <c r="S164" s="99">
        <f>IF(AND(Database!AK128&gt;1,Database!AK53&gt;1),100*(Database!AK128/Database!AK53),0.0001)</f>
        <v>1E-4</v>
      </c>
      <c r="T164" s="99">
        <f>IF(AND(Database!AM128&gt;1,Database!AM53&gt;1),100*(Database!AM128/Database!AM53),0.0001)</f>
        <v>1E-4</v>
      </c>
      <c r="U164" s="99">
        <f>IF(AND(Database!AO128&gt;1,Database!AO53&gt;1),100*(Database!AO128/Database!AO53),0.0001)</f>
        <v>1E-4</v>
      </c>
      <c r="V164" s="99">
        <f>IF(AND(Database!AQ128&gt;1,Database!AQ53&gt;1),100*(Database!AQ128/Database!AQ53),0.0001)</f>
        <v>1E-4</v>
      </c>
      <c r="W164" s="99">
        <f>IF(AND(Database!AS128&gt;1,Database!AS53&gt;1),100*(Database!AS128/Database!AS53),0.0001)</f>
        <v>1E-4</v>
      </c>
      <c r="X164" s="99">
        <f>IF(AND(Database!AU128&gt;1,Database!AU53&gt;1),100*(Database!AU128/Database!AU53),0.0001)</f>
        <v>1E-4</v>
      </c>
      <c r="Y164" s="99">
        <f>IF(AND(Database!AW128&gt;1,Database!AW53&gt;1),100*(Database!AW128/Database!AW53),0.0001)</f>
        <v>1E-4</v>
      </c>
      <c r="Z164" s="99">
        <f>IF(AND(Database!AY128&gt;1,Database!AY53&gt;1),100*(Database!AY128/Database!AY53),0.0001)</f>
        <v>1E-4</v>
      </c>
      <c r="AA164" s="99">
        <f>IF(AND(Database!BA128&gt;1,Database!BA53&gt;1),100*(Database!BA128/Database!BA53),0.0001)</f>
        <v>1E-4</v>
      </c>
      <c r="AB164" s="99">
        <f>IF(AND(Database!BC128&gt;1,Database!BC53&gt;1),100*(Database!BC128/Database!BC53),0.0001)</f>
        <v>1E-4</v>
      </c>
      <c r="AC164" s="99">
        <f>IF(AND(Database!BE128&gt;1,Database!BE53&gt;1),100*(Database!BE128/Database!BE53),0.0001)</f>
        <v>1E-4</v>
      </c>
      <c r="AD164" s="99">
        <f>IF(AND(Database!BG128&gt;1,Database!BG53&gt;1),100*(Database!BG128/Database!BG53),0.0001)</f>
        <v>1E-4</v>
      </c>
      <c r="AE164" s="99">
        <f>IF(AND(Database!BI128&gt;1,Database!BI53&gt;1),100*(Database!BI128/Database!BI53),0.0001)</f>
        <v>1E-4</v>
      </c>
      <c r="AF164" s="99">
        <f>IF(AND(Database!BK128&gt;1,Database!BK53&gt;1),100*(Database!BK128/Database!BK53),0.0001)</f>
        <v>1E-4</v>
      </c>
      <c r="AG164" s="99">
        <f>IF(AND(Database!BM128&gt;1,Database!BM53&gt;1),100*(Database!BM128/Database!BM53),0.0001)</f>
        <v>1E-4</v>
      </c>
      <c r="AH164" s="99">
        <f>IF(AND(Database!BO128&gt;1,Database!BO53&gt;1),100*(Database!BO128/Database!BO53),0.0001)</f>
        <v>1E-4</v>
      </c>
      <c r="AI164" s="99">
        <f>IF(AND(Database!BQ128&gt;1,Database!BQ53&gt;1),100*(Database!BQ128/Database!BQ53),0.0001)</f>
        <v>1E-4</v>
      </c>
      <c r="AJ164" s="99">
        <f>IF(AND(Database!BS128&gt;1,Database!BS53&gt;1),100*(Database!BS128/Database!BS53),0.0001)</f>
        <v>1E-4</v>
      </c>
      <c r="AK164" s="99">
        <f>IF(AND(Database!BU128&gt;1,Database!BU53&gt;1),100*(Database!BU128/Database!BU53),0.0001)</f>
        <v>1E-4</v>
      </c>
      <c r="AL164" s="99">
        <f>IF(AND(Database!BW128&gt;1,Database!BW53&gt;1),100*(Database!BW128/Database!BW53),0.0001)</f>
        <v>1E-4</v>
      </c>
      <c r="AM164" s="99">
        <f>IF(AND(Database!BY128&gt;1,Database!BY53&gt;1),100*(Database!BY128/Database!BY53),0.0001)</f>
        <v>1E-4</v>
      </c>
      <c r="AN164" s="99">
        <f>IF(AND(Database!CA128&gt;1,Database!CA53&gt;1),100*(Database!CA128/Database!CA53),0.0001)</f>
        <v>1E-4</v>
      </c>
      <c r="AO164" s="99">
        <f>IF(AND(Database!CC128&gt;1,Database!CC53&gt;1),100*(Database!CC128/Database!CC53),0.0001)</f>
        <v>1E-4</v>
      </c>
      <c r="AP164" s="99">
        <f>IF(AND(Database!CE128&gt;1,Database!CE53&gt;1),100*(Database!CE128/Database!CE53),0.0001)</f>
        <v>1E-4</v>
      </c>
      <c r="AQ164" s="99">
        <f>IF(AND(Database!CG128&gt;1,Database!CG53&gt;1),100*(Database!CG128/Database!CG53),0.0001)</f>
        <v>1E-4</v>
      </c>
      <c r="AR164" s="99">
        <f>IF(AND(Database!CI128&gt;1,Database!CI53&gt;1),100*(Database!CI128/Database!CI53),0.0001)</f>
        <v>1E-4</v>
      </c>
      <c r="AS164" s="99">
        <f>IF(AND(Database!CK128&gt;1,Database!CK53&gt;1),100*(Database!CK128/Database!CK53),0.0001)</f>
        <v>1E-4</v>
      </c>
      <c r="AT164" s="99">
        <f>IF(AND(Database!CM128&gt;1,Database!CM53&gt;1),100*(Database!CM128/Database!CM53),0.0001)</f>
        <v>1E-4</v>
      </c>
      <c r="AU164" s="99">
        <f>IF(AND(Database!CO128&gt;1,Database!CO53&gt;1),100*(Database!CO128/Database!CO53),0.0001)</f>
        <v>1E-4</v>
      </c>
      <c r="AV164" s="99">
        <f>IF(AND(Database!CQ128&gt;1,Database!CQ53&gt;1),100*(Database!CQ128/Database!CQ53),0.0001)</f>
        <v>1E-4</v>
      </c>
      <c r="AW164" s="99">
        <f>IF(AND(Database!CS128&gt;1,Database!CS53&gt;1),100*(Database!CS128/Database!CS53),0.0001)</f>
        <v>1E-4</v>
      </c>
      <c r="AX164" s="99">
        <f>IF(AND(Database!CU128&gt;1,Database!CU53&gt;1),100*(Database!CU128/Database!CU53),0.0001)</f>
        <v>1E-4</v>
      </c>
      <c r="AY164" s="99">
        <f>IF(AND(Database!CW128&gt;1,Database!CW53&gt;1),100*(Database!CW128/Database!CW53),0.0001)</f>
        <v>1E-4</v>
      </c>
      <c r="AZ164" s="99">
        <f>IF(AND(Database!CY128&gt;1,Database!CY53&gt;1),100*(Database!CY128/Database!CY53),0.0001)</f>
        <v>1E-4</v>
      </c>
      <c r="BA164" s="99">
        <f>IF(AND(Database!DA128&gt;1,Database!DA53&gt;1),100*(Database!DA128/Database!DA53),0.0001)</f>
        <v>1E-4</v>
      </c>
      <c r="BB164" s="99">
        <f>IF(AND(Database!DC128&gt;1,Database!DC53&gt;1),100*(Database!DC128/Database!DC53),0.0001)</f>
        <v>1E-4</v>
      </c>
      <c r="BC164" s="99">
        <f>IF(AND(Database!DE128&gt;1,Database!DE53&gt;1),100*(Database!DE128/Database!DE53),0.0001)</f>
        <v>1E-4</v>
      </c>
      <c r="BD164" s="99">
        <f>IF(AND(Database!DG128&gt;1,Database!DG53&gt;1),100*(Database!DG128/Database!DG53),0.0001)</f>
        <v>1E-4</v>
      </c>
      <c r="BE164" s="99">
        <f>IF(AND(Database!DI128&gt;1,Database!DI53&gt;1),100*(Database!DI128/Database!DI53),0.0001)</f>
        <v>1E-4</v>
      </c>
      <c r="BF164" s="99">
        <f>IF(AND(Database!DK128&gt;1,Database!DK53&gt;1),100*(Database!DK128/Database!DK53),0.0001)</f>
        <v>1E-4</v>
      </c>
      <c r="BG164" s="99">
        <f>IF(AND(Database!DM128&gt;1,Database!DM53&gt;1),100*(Database!DM128/Database!DM53),0.0001)</f>
        <v>1E-4</v>
      </c>
      <c r="BH164" s="99">
        <f>IF(AND(Database!DO128&gt;1,Database!DO53&gt;1),100*(Database!DO128/Database!DO53),0.0001)</f>
        <v>1E-4</v>
      </c>
      <c r="BI164" s="99">
        <f>IF(AND(Database!DQ128&gt;1,Database!DQ53&gt;1),100*(Database!DQ128/Database!DQ53),0.0001)</f>
        <v>1E-4</v>
      </c>
      <c r="BJ164" s="99">
        <f>IF(AND(Database!DS128&gt;1,Database!DS53&gt;1),100*(Database!DS128/Database!DS53),0.0001)</f>
        <v>1E-4</v>
      </c>
      <c r="BK164" s="99">
        <f>IF(AND(Database!DU128&gt;1,Database!DU53&gt;1),100*(Database!DU128/Database!DU53),0.0001)</f>
        <v>1E-4</v>
      </c>
      <c r="BL164" s="99">
        <f>IF(AND(Database!DW128&gt;1,Database!DW53&gt;1),100*(Database!DW128/Database!DW53),0.0001)</f>
        <v>1E-4</v>
      </c>
      <c r="BM164" s="99">
        <f>IF(AND(Database!DY128&gt;1,Database!DY53&gt;1),100*(Database!DY128/Database!DY53),0.0001)</f>
        <v>1E-4</v>
      </c>
      <c r="BN164" s="99">
        <f>IF(AND(Database!EA128&gt;1,Database!EA53&gt;1),100*(Database!EA128/Database!EA53),0.0001)</f>
        <v>1E-4</v>
      </c>
      <c r="BO164" s="99">
        <f>IF(AND(Database!EC128&gt;1,Database!EC53&gt;1),100*(Database!EC128/Database!EC53),0.0001)</f>
        <v>1E-4</v>
      </c>
      <c r="BP164" s="99">
        <f>IF(AND(Database!EE128&gt;1,Database!EE53&gt;1),100*(Database!EE128/Database!EE53),0.0001)</f>
        <v>1E-4</v>
      </c>
      <c r="BQ164" s="99">
        <f>IF(AND(Database!EG128&gt;1,Database!EG53&gt;1),100*(Database!EG128/Database!EG53),0.0001)</f>
        <v>1E-4</v>
      </c>
      <c r="BR164" s="99">
        <f>IF(AND(Database!EI128&gt;1,Database!EI53&gt;1),100*(Database!EI128/Database!EI53),0.0001)</f>
        <v>1E-4</v>
      </c>
      <c r="BS164" s="99">
        <f>IF(AND(Database!EK128&gt;1,Database!EK53&gt;1),100*(Database!EK128/Database!EK53),0.0001)</f>
        <v>1E-4</v>
      </c>
      <c r="BT164" s="99">
        <f>IF(AND(Database!EM128&gt;1,Database!EM53&gt;1),100*(Database!EM128/Database!EM53),0.0001)</f>
        <v>1E-4</v>
      </c>
      <c r="BU164" s="99">
        <f>IF(AND(Database!EO128&gt;1,Database!EO53&gt;1),100*(Database!EO128/Database!EO53),0.0001)</f>
        <v>1E-4</v>
      </c>
      <c r="BV164" s="99">
        <f>IF(AND(Database!EQ128&gt;1,Database!EQ53&gt;1),100*(Database!EQ128/Database!EQ53),0.0001)</f>
        <v>1E-4</v>
      </c>
      <c r="BW164" s="99">
        <f>IF(AND(Database!ES128&gt;1,Database!ES53&gt;1),100*(Database!ES128/Database!ES53),0.0001)</f>
        <v>1E-4</v>
      </c>
      <c r="BX164" s="99">
        <f>IF(AND(Database!EU128&gt;1,Database!EU53&gt;1),100*(Database!EU128/Database!EU53),0.0001)</f>
        <v>1E-4</v>
      </c>
      <c r="BY164" s="99">
        <f>IF(AND(Database!EW128&gt;1,Database!EW53&gt;1),100*(Database!EW128/Database!EW53),0.0001)</f>
        <v>1E-4</v>
      </c>
      <c r="BZ164" s="99">
        <f>IF(AND(Database!EY128&gt;1,Database!EY53&gt;1),100*(Database!EY128/Database!EY53),0.0001)</f>
        <v>1E-4</v>
      </c>
      <c r="CA164" s="99">
        <f>IF(AND(Database!FA128&gt;1,Database!FA53&gt;1),100*(Database!FA128/Database!FA53),0.0001)</f>
        <v>1E-4</v>
      </c>
      <c r="CB164" s="99">
        <f>IF(AND(Database!FC128&gt;1,Database!FC53&gt;1),100*(Database!FC128/Database!FC53),0.0001)</f>
        <v>1E-4</v>
      </c>
      <c r="CC164" s="99">
        <f>IF(AND(Database!FE128&gt;1,Database!FE53&gt;1),100*(Database!FE128/Database!FE53),0.0001)</f>
        <v>1E-4</v>
      </c>
      <c r="CD164" s="99">
        <f>IF(AND(Database!FG128&gt;1,Database!FG53&gt;1),100*(Database!FG128/Database!FG53),0.0001)</f>
        <v>1E-4</v>
      </c>
      <c r="CE164" s="99">
        <f>IF(AND(Database!FI128&gt;1,Database!FI53&gt;1),100*(Database!FI128/Database!FI53),0.0001)</f>
        <v>1E-4</v>
      </c>
      <c r="CF164" s="99">
        <f>IF(AND(Database!FK128&gt;1,Database!FK53&gt;1),100*(Database!FK128/Database!FK53),0.0001)</f>
        <v>1E-4</v>
      </c>
      <c r="CG164" s="99">
        <f>IF(AND(Database!FM128&gt;1,Database!FM53&gt;1),100*(Database!FM128/Database!FM53),0.0001)</f>
        <v>1E-4</v>
      </c>
      <c r="CH164" s="99">
        <f>IF(AND(Database!FO128&gt;1,Database!FO53&gt;1),100*(Database!FO128/Database!FO53),0.0001)</f>
        <v>1E-4</v>
      </c>
      <c r="CI164" s="99">
        <f>IF(AND(Database!FQ128&gt;1,Database!FQ53&gt;1),100*(Database!FQ128/Database!FQ53),0.0001)</f>
        <v>1E-4</v>
      </c>
      <c r="CJ164" s="99">
        <f>IF(AND(Database!FS128&gt;1,Database!FS53&gt;1),100*(Database!FS128/Database!FS53),0.0001)</f>
        <v>1E-4</v>
      </c>
      <c r="CK164" s="99">
        <f>IF(AND(Database!FU128&gt;1,Database!FU53&gt;1),100*(Database!FU128/Database!FU53),0.0001)</f>
        <v>1E-4</v>
      </c>
      <c r="CL164" s="99">
        <f>IF(AND(Database!FW128&gt;1,Database!FW53&gt;1),100*(Database!FW128/Database!FW53),0.0001)</f>
        <v>1E-4</v>
      </c>
      <c r="CM164" s="99">
        <f>IF(AND(Database!FY128&gt;1,Database!FY53&gt;1),100*(Database!FY128/Database!FY53),0.0001)</f>
        <v>1E-4</v>
      </c>
      <c r="CN164" s="99">
        <f>IF(AND(Database!GA128&gt;1,Database!GA53&gt;1),100*(Database!GA128/Database!GA53),0.0001)</f>
        <v>1E-4</v>
      </c>
      <c r="CO164" s="99">
        <f>IF(AND(Database!GC128&gt;1,Database!GC53&gt;1),100*(Database!GC128/Database!GC53),0.0001)</f>
        <v>1E-4</v>
      </c>
      <c r="CP164" s="99">
        <f>IF(AND(Database!GE128&gt;1,Database!GE53&gt;1),100*(Database!GE128/Database!GE53),0.0001)</f>
        <v>1E-4</v>
      </c>
      <c r="CQ164" s="99">
        <f>IF(AND(Database!GG128&gt;1,Database!GG53&gt;1),100*(Database!GG128/Database!GG53),0.0001)</f>
        <v>1E-4</v>
      </c>
      <c r="CR164" s="99">
        <f>IF(AND(Database!GI128&gt;1,Database!GI53&gt;1),100*(Database!GI128/Database!GI53),0.0001)</f>
        <v>1E-4</v>
      </c>
      <c r="CS164" s="99">
        <f>IF(AND(Database!GK128&gt;1,Database!GK53&gt;1),100*(Database!GK128/Database!GK53),0.0001)</f>
        <v>1E-4</v>
      </c>
      <c r="CT164" s="99">
        <f>IF(AND(Database!GM128&gt;1,Database!GM53&gt;1),100*(Database!GM128/Database!GM53),0.0001)</f>
        <v>1E-4</v>
      </c>
      <c r="CU164" s="99">
        <f>IF(AND(Database!GO128&gt;1,Database!GO53&gt;1),100*(Database!GO128/Database!GO53),0.0001)</f>
        <v>1E-4</v>
      </c>
      <c r="CV164" s="99">
        <f>IF(AND(Database!GQ128&gt;1,Database!GQ53&gt;1),100*(Database!GQ128/Database!GQ53),0.0001)</f>
        <v>1E-4</v>
      </c>
      <c r="CW164" s="99">
        <f>IF(AND(Database!GS128&gt;1,Database!GS53&gt;1),100*(Database!GS128/Database!GS53),0.0001)</f>
        <v>1E-4</v>
      </c>
      <c r="CX164" s="99">
        <f>IF(AND(Database!GU128&gt;1,Database!GU53&gt;1),100*(Database!GU128/Database!GU53),0.0001)</f>
        <v>1E-4</v>
      </c>
      <c r="CY164" s="99">
        <f>IF(AND(Database!GW128&gt;1,Database!GW53&gt;1),100*(Database!GW128/Database!GW53),0.0001)</f>
        <v>1E-4</v>
      </c>
      <c r="CZ164" s="99">
        <f>IF(AND(Database!GY128&gt;1,Database!GY53&gt;1),100*(Database!GY128/Database!GY53),0.0001)</f>
        <v>1E-4</v>
      </c>
      <c r="DA164" s="99">
        <f>IF(AND(Database!HA128&gt;1,Database!HA53&gt;1),100*(Database!HA128/Database!HA53),0.0001)</f>
        <v>1E-4</v>
      </c>
      <c r="DB164" s="99">
        <f>IF(AND(Database!HC128&gt;1,Database!HC53&gt;1),100*(Database!HC128/Database!HC53),0.0001)</f>
        <v>1E-4</v>
      </c>
      <c r="DC164" s="99">
        <f>IF(AND(Database!HE128&gt;1,Database!HE53&gt;1),100*(Database!HE128/Database!HE53),0.0001)</f>
        <v>1E-4</v>
      </c>
      <c r="DD164" s="99">
        <f>IF(AND(Database!HG128&gt;1,Database!HG53&gt;1),100*(Database!HG128/Database!HG53),0.0001)</f>
        <v>1E-4</v>
      </c>
      <c r="DE164" s="99">
        <f>IF(AND(Database!HI128&gt;1,Database!HI53&gt;1),100*(Database!HI128/Database!HI53),0.0001)</f>
        <v>1E-4</v>
      </c>
      <c r="DF164" s="99">
        <f>IF(AND(Database!HK128&gt;1,Database!HK53&gt;1),100*(Database!HK128/Database!HK53),0.0001)</f>
        <v>1E-4</v>
      </c>
      <c r="DG164" s="99">
        <f>IF(AND(Database!HM128&gt;1,Database!HM53&gt;1),100*(Database!HM128/Database!HM53),0.0001)</f>
        <v>1E-4</v>
      </c>
      <c r="DH164" s="99">
        <f>IF(AND(Database!HO128&gt;1,Database!HO53&gt;1),100*(Database!HO128/Database!HO53),0.0001)</f>
        <v>1E-4</v>
      </c>
      <c r="DI164" s="99">
        <f>IF(AND(Database!HQ128&gt;1,Database!HQ53&gt;1),100*(Database!HQ128/Database!HQ53),0.0001)</f>
        <v>1E-4</v>
      </c>
      <c r="DJ164" s="99">
        <f>IF(AND(Database!HS128&gt;1,Database!HS53&gt;1),100*(Database!HS128/Database!HS53),0.0001)</f>
        <v>1E-4</v>
      </c>
      <c r="DK164" s="99">
        <f>IF(AND(Database!HU128&gt;1,Database!HU53&gt;1),100*(Database!HU128/Database!HU53),0.0001)</f>
        <v>1E-4</v>
      </c>
      <c r="DL164" s="99">
        <f>IF(AND(Database!HW128&gt;1,Database!HW53&gt;1),100*(Database!HW128/Database!HW53),0.0001)</f>
        <v>1E-4</v>
      </c>
      <c r="DM164" s="99">
        <f>IF(AND(Database!HY128&gt;1,Database!HY53&gt;1),100*(Database!HY128/Database!HY53),0.0001)</f>
        <v>1E-4</v>
      </c>
      <c r="DN164" s="99">
        <f>IF(AND(Database!IA128&gt;1,Database!IA53&gt;1),100*(Database!IA128/Database!IA53),0.0001)</f>
        <v>1E-4</v>
      </c>
      <c r="DO164" s="99">
        <f>IF(AND(Database!IC128&gt;1,Database!IC53&gt;1),100*(Database!IC128/Database!IC53),0.0001)</f>
        <v>1E-4</v>
      </c>
      <c r="DP164" s="99">
        <f>IF(AND(Database!IE128&gt;1,Database!IE53&gt;1),100*(Database!IE128/Database!IE53),0.0001)</f>
        <v>1E-4</v>
      </c>
      <c r="DQ164" s="99">
        <f>IF(AND(Database!IG128&gt;1,Database!IG53&gt;1),100*(Database!IG128/Database!IG53),0.0001)</f>
        <v>1E-4</v>
      </c>
      <c r="DR164" s="99">
        <f>IF(AND(Database!II128&gt;1,Database!II53&gt;1),100*(Database!II128/Database!II53),0.0001)</f>
        <v>1E-4</v>
      </c>
      <c r="DS164" s="99">
        <f>IF(AND(Database!IK128&gt;1,Database!IK53&gt;1),100*(Database!IK128/Database!IK53),0.0001)</f>
        <v>1E-4</v>
      </c>
      <c r="DT164" s="99">
        <f>IF(AND(Database!IM128&gt;1,Database!IM53&gt;1),100*(Database!IM128/Database!IM53),0.0001)</f>
        <v>1E-4</v>
      </c>
      <c r="DU164" s="99">
        <f>IF(AND(Database!IO128&gt;1,Database!IO53&gt;1),100*(Database!IO128/Database!IO53),0.0001)</f>
        <v>1E-4</v>
      </c>
      <c r="DV164" s="99">
        <f>IF(AND(Database!IQ128&gt;1,Database!IQ53&gt;1),100*(Database!IQ128/Database!IQ53),0.0001)</f>
        <v>1E-4</v>
      </c>
      <c r="DW164" s="99">
        <f>IF(AND(Database!IS128&gt;1,Database!IS53&gt;1),100*(Database!IS128/Database!IS53),0.0001)</f>
        <v>1E-4</v>
      </c>
      <c r="DX164" s="99">
        <f>IF(AND(Database!IU128&gt;1,Database!IU53&gt;1),100*(Database!IU128/Database!IU53),0.0001)</f>
        <v>1E-4</v>
      </c>
      <c r="DY164" s="99">
        <f>IF(AND(Database!IW128&gt;1,Database!IW53&gt;1),100*(Database!IW128/Database!IW53),0.0001)</f>
        <v>1E-4</v>
      </c>
      <c r="DZ164" s="99">
        <f>IF(AND(Database!IY128&gt;1,Database!IY53&gt;1),100*(Database!IY128/Database!IY53),0.0001)</f>
        <v>1E-4</v>
      </c>
      <c r="EA164" s="99">
        <f>IF(AND(Database!JA128&gt;1,Database!JA53&gt;1),100*(Database!JA128/Database!JA53),0.0001)</f>
        <v>1E-4</v>
      </c>
      <c r="EB164" s="99">
        <f>IF(AND(Database!JC128&gt;1,Database!JC53&gt;1),100*(Database!JC128/Database!JC53),0.0001)</f>
        <v>1E-4</v>
      </c>
      <c r="EC164" s="99">
        <f>IF(AND(Database!JE128&gt;1,Database!JE53&gt;1),100*(Database!JE128/Database!JE53),0.0001)</f>
        <v>1E-4</v>
      </c>
      <c r="ED164" s="99">
        <f>IF(AND(Database!JG128&gt;1,Database!JG53&gt;1),100*(Database!JG128/Database!JG53),0.0001)</f>
        <v>1E-4</v>
      </c>
      <c r="EE164" s="99">
        <f>IF(AND(Database!JI128&gt;1,Database!JI53&gt;1),100*(Database!JI128/Database!JI53),0.0001)</f>
        <v>1E-4</v>
      </c>
      <c r="EF164" s="99">
        <f>IF(AND(Database!JK128&gt;1,Database!JK53&gt;1),100*(Database!JK128/Database!JK53),0.0001)</f>
        <v>1E-4</v>
      </c>
      <c r="EG164" s="99">
        <f>IF(AND(Database!JM128&gt;1,Database!JM53&gt;1),100*(Database!JM128/Database!JM53),0.0001)</f>
        <v>1E-4</v>
      </c>
      <c r="EH164" s="99">
        <f>IF(AND(Database!JO128&gt;1,Database!JO53&gt;1),100*(Database!JO128/Database!JO53),0.0001)</f>
        <v>1E-4</v>
      </c>
      <c r="EI164" s="99">
        <f>IF(AND(Database!JQ128&gt;1,Database!JQ53&gt;1),100*(Database!JQ128/Database!JQ53),0.0001)</f>
        <v>1E-4</v>
      </c>
      <c r="EJ164" s="99">
        <f>IF(AND(Database!JS128&gt;1,Database!JS53&gt;1),100*(Database!JS128/Database!JS53),0.0001)</f>
        <v>1E-4</v>
      </c>
      <c r="EK164" s="99">
        <f>IF(AND(Database!JU128&gt;1,Database!JU53&gt;1),100*(Database!JU128/Database!JU53),0.0001)</f>
        <v>1E-4</v>
      </c>
      <c r="EL164" s="99">
        <f>IF(AND(Database!JW128&gt;1,Database!JW53&gt;1),100*(Database!JW128/Database!JW53),0.0001)</f>
        <v>1E-4</v>
      </c>
      <c r="EM164" s="99">
        <f>IF(AND(Database!JY128&gt;1,Database!JY53&gt;1),100*(Database!JY128/Database!JY53),0.0001)</f>
        <v>1E-4</v>
      </c>
      <c r="EN164" s="99">
        <f>IF(AND(Database!KA128&gt;1,Database!KA53&gt;1),100*(Database!KA128/Database!KA53),0.0001)</f>
        <v>1E-4</v>
      </c>
      <c r="EO164" s="99">
        <f>IF(AND(Database!KC128&gt;1,Database!KC53&gt;1),100*(Database!KC128/Database!KC53),0.0001)</f>
        <v>1E-4</v>
      </c>
      <c r="EP164" s="99">
        <f>IF(AND(Database!KE128&gt;1,Database!KE53&gt;1),100*(Database!KE128/Database!KE53),0.0001)</f>
        <v>1E-4</v>
      </c>
      <c r="EQ164" s="99">
        <f>IF(AND(Database!KG128&gt;1,Database!KG53&gt;1),100*(Database!KG128/Database!KG53),0.0001)</f>
        <v>1E-4</v>
      </c>
      <c r="ER164" s="99">
        <f>IF(AND(Database!KI128&gt;1,Database!KI53&gt;1),100*(Database!KI128/Database!KI53),0.0001)</f>
        <v>1E-4</v>
      </c>
      <c r="ES164" s="99">
        <f>IF(AND(Database!KK128&gt;1,Database!KK53&gt;1),100*(Database!KK128/Database!KK53),0.0001)</f>
        <v>1E-4</v>
      </c>
      <c r="ET164" s="99">
        <f>IF(AND(Database!KM128&gt;1,Database!KM53&gt;1),100*(Database!KM128/Database!KM53),0.0001)</f>
        <v>1E-4</v>
      </c>
      <c r="EU164" s="99">
        <f>IF(AND(Database!KO128&gt;1,Database!KO53&gt;1),100*(Database!KO128/Database!KO53),0.0001)</f>
        <v>1E-4</v>
      </c>
      <c r="EV164" s="99">
        <f>IF(AND(Database!KQ128&gt;1,Database!KQ53&gt;1),100*(Database!KQ128/Database!KQ53),0.0001)</f>
        <v>1E-4</v>
      </c>
      <c r="EW164" s="99">
        <f>IF(AND(Database!KS128&gt;1,Database!KS53&gt;1),100*(Database!KS128/Database!KS53),0.0001)</f>
        <v>1E-4</v>
      </c>
      <c r="EX164" s="99">
        <f>IF(AND(Database!KU128&gt;1,Database!KU53&gt;1),100*(Database!KU128/Database!KU53),0.0001)</f>
        <v>1E-4</v>
      </c>
      <c r="EY164" s="99">
        <f>IF(AND(Database!KW128&gt;1,Database!KW53&gt;1),100*(Database!KW128/Database!KW53),0.0001)</f>
        <v>1E-4</v>
      </c>
      <c r="EZ164" s="99">
        <f>IF(AND(Database!KY128&gt;1,Database!KY53&gt;1),100*(Database!KY128/Database!KY53),0.0001)</f>
        <v>1E-4</v>
      </c>
      <c r="FA164" s="99">
        <f>IF(AND(Database!LA128&gt;1,Database!LA53&gt;1),100*(Database!LA128/Database!LA53),0.0001)</f>
        <v>1E-4</v>
      </c>
      <c r="FB164" s="99">
        <f>IF(AND(Database!LC128&gt;1,Database!LC53&gt;1),100*(Database!LC128/Database!LC53),0.0001)</f>
        <v>1E-4</v>
      </c>
      <c r="FC164" s="99">
        <f>IF(AND(Database!LE128&gt;1,Database!LE53&gt;1),100*(Database!LE128/Database!LE53),0.0001)</f>
        <v>1E-4</v>
      </c>
      <c r="FD164" s="99">
        <f>IF(AND(Database!LG128&gt;1,Database!LG53&gt;1),100*(Database!LG128/Database!LG53),0.0001)</f>
        <v>1E-4</v>
      </c>
      <c r="FE164" s="99">
        <f>IF(AND(Database!LI128&gt;1,Database!LI53&gt;1),100*(Database!LI128/Database!LI53),0.0001)</f>
        <v>1E-4</v>
      </c>
      <c r="FF164" s="99">
        <f>IF(AND(Database!LK128&gt;1,Database!LK53&gt;1),100*(Database!LK128/Database!LK53),0.0001)</f>
        <v>1E-4</v>
      </c>
      <c r="FG164" s="99">
        <f>IF(AND(Database!LM128&gt;1,Database!LM53&gt;1),100*(Database!LM128/Database!LM53),0.0001)</f>
        <v>1E-4</v>
      </c>
      <c r="FH164" s="99">
        <f>IF(AND(Database!LO128&gt;1,Database!LO53&gt;1),100*(Database!LO128/Database!LO53),0.0001)</f>
        <v>1E-4</v>
      </c>
      <c r="FI164" s="99">
        <f>IF(AND(Database!LQ128&gt;1,Database!LQ53&gt;1),100*(Database!LQ128/Database!LQ53),0.0001)</f>
        <v>1E-4</v>
      </c>
      <c r="FJ164" s="99">
        <f>IF(AND(Database!LS128&gt;1,Database!LS53&gt;1),100*(Database!LS128/Database!LS53),0.0001)</f>
        <v>1E-4</v>
      </c>
      <c r="FK164" s="99">
        <f>IF(AND(Database!LU128&gt;1,Database!LU53&gt;1),100*(Database!LU128/Database!LU53),0.0001)</f>
        <v>1E-4</v>
      </c>
      <c r="FL164" s="99">
        <f>IF(AND(Database!LW128&gt;1,Database!LW53&gt;1),100*(Database!LW128/Database!LW53),0.0001)</f>
        <v>1E-4</v>
      </c>
      <c r="FM164" s="99">
        <f>IF(AND(Database!LY128&gt;1,Database!LY53&gt;1),100*(Database!LY128/Database!LY53),0.0001)</f>
        <v>1E-4</v>
      </c>
      <c r="FN164" s="99">
        <f>IF(AND(Database!MA128&gt;1,Database!MA53&gt;1),100*(Database!MA128/Database!MA53),0.0001)</f>
        <v>1E-4</v>
      </c>
      <c r="FO164" s="99">
        <f>IF(AND(Database!MC128&gt;1,Database!MC53&gt;1),100*(Database!MC128/Database!MC53),0.0001)</f>
        <v>1E-4</v>
      </c>
      <c r="FP164" s="99">
        <f>IF(AND(Database!ME128&gt;1,Database!ME53&gt;1),100*(Database!ME128/Database!ME53),0.0001)</f>
        <v>1E-4</v>
      </c>
      <c r="FQ164" s="99">
        <f>IF(AND(Database!MG128&gt;1,Database!MG53&gt;1),100*(Database!MG128/Database!MG53),0.0001)</f>
        <v>1E-4</v>
      </c>
      <c r="FR164" s="99">
        <f>IF(AND(Database!MI128&gt;1,Database!MI53&gt;1),100*(Database!MI128/Database!MI53),0.0001)</f>
        <v>1E-4</v>
      </c>
      <c r="FS164" s="99">
        <f>IF(AND(Database!MK128&gt;1,Database!MK53&gt;1),100*(Database!MK128/Database!MK53),0.0001)</f>
        <v>1E-4</v>
      </c>
      <c r="FT164" s="99">
        <f>IF(AND(Database!MM128&gt;1,Database!MM53&gt;1),100*(Database!MM128/Database!MM53),0.0001)</f>
        <v>1E-4</v>
      </c>
      <c r="FU164" s="99">
        <f>IF(AND(Database!MO128&gt;1,Database!MO53&gt;1),100*(Database!MO128/Database!MO53),0.0001)</f>
        <v>1E-4</v>
      </c>
      <c r="FV164" s="99">
        <f>IF(AND(Database!MQ128&gt;1,Database!MQ53&gt;1),100*(Database!MQ128/Database!MQ53),0.0001)</f>
        <v>1E-4</v>
      </c>
      <c r="FW164" s="99">
        <f>IF(AND(Database!MS128&gt;1,Database!MS53&gt;1),100*(Database!MS128/Database!MS53),0.0001)</f>
        <v>1E-4</v>
      </c>
      <c r="FX164" s="99">
        <f>IF(AND(Database!MU128&gt;1,Database!MU53&gt;1),100*(Database!MU128/Database!MU53),0.0001)</f>
        <v>1E-4</v>
      </c>
      <c r="FY164" s="99">
        <f>IF(AND(Database!MW128&gt;1,Database!MW53&gt;1),100*(Database!MW128/Database!MW53),0.0001)</f>
        <v>1E-4</v>
      </c>
      <c r="FZ164" s="99">
        <f>IF(AND(Database!MY128&gt;1,Database!MY53&gt;1),100*(Database!MY128/Database!MY53),0.0001)</f>
        <v>1E-4</v>
      </c>
      <c r="GA164" s="99">
        <f>IF(AND(Database!NA128&gt;1,Database!NA53&gt;1),100*(Database!NA128/Database!NA53),0.0001)</f>
        <v>1E-4</v>
      </c>
      <c r="GB164" s="99">
        <f>IF(AND(Database!NC128&gt;1,Database!NC53&gt;1),100*(Database!NC128/Database!NC53),0.0001)</f>
        <v>1E-4</v>
      </c>
      <c r="GC164" s="99">
        <f>IF(AND(Database!NE128&gt;1,Database!NE53&gt;1),100*(Database!NE128/Database!NE53),0.0001)</f>
        <v>1E-4</v>
      </c>
      <c r="GD164" s="99">
        <f>IF(AND(Database!NG128&gt;1,Database!NG53&gt;1),100*(Database!NG128/Database!NG53),0.0001)</f>
        <v>1E-4</v>
      </c>
      <c r="GE164" s="99">
        <f>IF(AND(Database!NI128&gt;1,Database!NI53&gt;1),100*(Database!NI128/Database!NI53),0.0001)</f>
        <v>1E-4</v>
      </c>
      <c r="GF164" s="99">
        <f>IF(AND(Database!NK128&gt;1,Database!NK53&gt;1),100*(Database!NK128/Database!NK53),0.0001)</f>
        <v>1E-4</v>
      </c>
      <c r="GG164" s="99">
        <f>IF(AND(Database!NM128&gt;1,Database!NM53&gt;1),100*(Database!NM128/Database!NM53),0.0001)</f>
        <v>1E-4</v>
      </c>
      <c r="GH164" s="99">
        <f>IF(AND(Database!NO128&gt;1,Database!NO53&gt;1),100*(Database!NO128/Database!NO53),0.0001)</f>
        <v>1E-4</v>
      </c>
      <c r="GI164" s="99">
        <f>IF(AND(Database!NQ128&gt;1,Database!NQ53&gt;1),100*(Database!NQ128/Database!NQ53),0.0001)</f>
        <v>1E-4</v>
      </c>
      <c r="GJ164" s="99">
        <f>IF(AND(Database!NS128&gt;1,Database!NS53&gt;1),100*(Database!NS128/Database!NS53),0.0001)</f>
        <v>1E-4</v>
      </c>
      <c r="GK164" s="99">
        <f>IF(AND(Database!NU128&gt;1,Database!NU53&gt;1),100*(Database!NU128/Database!NU53),0.0001)</f>
        <v>1E-4</v>
      </c>
      <c r="GL164" s="99">
        <f>IF(AND(Database!NW128&gt;1,Database!NW53&gt;1),100*(Database!NW128/Database!NW53),0.0001)</f>
        <v>1E-4</v>
      </c>
      <c r="GM164" s="99">
        <f>IF(AND(Database!NY128&gt;1,Database!NY53&gt;1),100*(Database!NY128/Database!NY53),0.0001)</f>
        <v>1E-4</v>
      </c>
      <c r="GN164" s="99">
        <f>IF(AND(Database!OA128&gt;1,Database!OA53&gt;1),100*(Database!OA128/Database!OA53),0.0001)</f>
        <v>1E-4</v>
      </c>
      <c r="GO164" s="99">
        <f>IF(AND(Database!OC128&gt;1,Database!OC53&gt;1),100*(Database!OC128/Database!OC53),0.0001)</f>
        <v>1E-4</v>
      </c>
      <c r="GP164" s="99">
        <f>IF(AND(Database!OE128&gt;1,Database!OE53&gt;1),100*(Database!OE128/Database!OE53),0.0001)</f>
        <v>1E-4</v>
      </c>
      <c r="GQ164" s="99">
        <f>IF(AND(Database!OG128&gt;1,Database!OG53&gt;1),100*(Database!OG128/Database!OG53),0.0001)</f>
        <v>1E-4</v>
      </c>
      <c r="GR164" s="99">
        <f>IF(AND(Database!OI128&gt;1,Database!OI53&gt;1),100*(Database!OI128/Database!OI53),0.0001)</f>
        <v>1E-4</v>
      </c>
      <c r="GS164" s="99">
        <f>IF(AND(Database!OK128&gt;1,Database!OK53&gt;1),100*(Database!OK128/Database!OK53),0.0001)</f>
        <v>1E-4</v>
      </c>
      <c r="GT164" s="30">
        <f>IF(AND(Database!OM128&gt;1,Database!OM53&gt;1),100*(Database!OM128/Database!OM53),0.0001)</f>
        <v>1E-4</v>
      </c>
      <c r="GU164" s="99"/>
      <c r="GV164" s="99"/>
      <c r="GW164" s="99"/>
    </row>
    <row r="165" spans="1:205" ht="18.75" customHeight="1" x14ac:dyDescent="0.4">
      <c r="A165" s="240" t="s">
        <v>175</v>
      </c>
      <c r="B165" s="96"/>
      <c r="C165" s="260">
        <f>IF(AND(Database!E129&gt;1,Database!E61&gt;1),100*(Database!E129/(Database!E61)),0.0001)</f>
        <v>1E-4</v>
      </c>
      <c r="D165" s="99">
        <f>IF(AND(Database!G129&gt;1,Database!G61&gt;1),100*(Database!G129/(Database!G61)),0.0001)</f>
        <v>1E-4</v>
      </c>
      <c r="E165" s="99">
        <f>IF(AND(Database!I129&gt;1,Database!I61&gt;1),100*(Database!I129/(Database!I61)),0.0001)</f>
        <v>1E-4</v>
      </c>
      <c r="F165" s="99">
        <f>IF(AND(Database!K129&gt;1,Database!K61&gt;1),100*(Database!K129/(Database!K61)),0.0001)</f>
        <v>1E-4</v>
      </c>
      <c r="G165" s="99">
        <f>IF(AND(Database!M129&gt;1,Database!M61&gt;1),100*(Database!M129/(Database!M61)),0.0001)</f>
        <v>1E-4</v>
      </c>
      <c r="H165" s="99">
        <f>IF(AND(Database!O129&gt;1,Database!O61&gt;1),100*(Database!O129/(Database!O61)),0.0001)</f>
        <v>1E-4</v>
      </c>
      <c r="I165" s="99">
        <f>IF(AND(Database!Q129&gt;1,Database!Q61&gt;1),100*(Database!Q129/(Database!Q61)),0.0001)</f>
        <v>1E-4</v>
      </c>
      <c r="J165" s="99">
        <f>IF(AND(Database!S129&gt;1,Database!S61&gt;1),100*(Database!S129/(Database!S61)),0.0001)</f>
        <v>1E-4</v>
      </c>
      <c r="K165" s="99">
        <f>IF(AND(Database!U129&gt;1,Database!U61&gt;1),100*(Database!U129/(Database!U61)),0.0001)</f>
        <v>1E-4</v>
      </c>
      <c r="L165" s="99">
        <f>IF(AND(Database!W129&gt;1,Database!W61&gt;1),100*(Database!W129/(Database!W61)),0.0001)</f>
        <v>1E-4</v>
      </c>
      <c r="M165" s="99">
        <f>IF(AND(Database!Y129&gt;1,Database!Y61&gt;1),100*(Database!Y129/(Database!Y61)),0.0001)</f>
        <v>1E-4</v>
      </c>
      <c r="N165" s="99">
        <f>IF(AND(Database!AA129&gt;1,Database!AA61&gt;1),100*(Database!AA129/(Database!AA61)),0.0001)</f>
        <v>1E-4</v>
      </c>
      <c r="O165" s="99">
        <f>IF(AND(Database!AC129&gt;1,Database!AC61&gt;1),100*(Database!AC129/(Database!AC61)),0.0001)</f>
        <v>1E-4</v>
      </c>
      <c r="P165" s="99">
        <f>IF(AND(Database!AE129&gt;1,Database!AE61&gt;1),100*(Database!AE129/(Database!AE61)),0.0001)</f>
        <v>1E-4</v>
      </c>
      <c r="Q165" s="99">
        <f>IF(AND(Database!AG129&gt;1,Database!AG61&gt;1),100*(Database!AG129/(Database!AG61)),0.0001)</f>
        <v>1E-4</v>
      </c>
      <c r="R165" s="99">
        <f>IF(AND(Database!AI129&gt;1,Database!AI61&gt;1),100*(Database!AI129/(Database!AI61)),0.0001)</f>
        <v>1E-4</v>
      </c>
      <c r="S165" s="99">
        <f>IF(AND(Database!AK129&gt;1,Database!AK61&gt;1),100*(Database!AK129/(Database!AK61)),0.0001)</f>
        <v>1E-4</v>
      </c>
      <c r="T165" s="99">
        <f>IF(AND(Database!AM129&gt;1,Database!AM61&gt;1),100*(Database!AM129/(Database!AM61)),0.0001)</f>
        <v>1E-4</v>
      </c>
      <c r="U165" s="99">
        <f>IF(AND(Database!AO129&gt;1,Database!AO61&gt;1),100*(Database!AO129/(Database!AO61)),0.0001)</f>
        <v>1E-4</v>
      </c>
      <c r="V165" s="99">
        <f>IF(AND(Database!AQ129&gt;1,Database!AQ61&gt;1),100*(Database!AQ129/(Database!AQ61)),0.0001)</f>
        <v>1E-4</v>
      </c>
      <c r="W165" s="99">
        <f>IF(AND(Database!AS129&gt;1,Database!AS61&gt;1),100*(Database!AS129/(Database!AS61)),0.0001)</f>
        <v>1E-4</v>
      </c>
      <c r="X165" s="99">
        <f>IF(AND(Database!AU129&gt;1,Database!AU61&gt;1),100*(Database!AU129/(Database!AU61)),0.0001)</f>
        <v>1E-4</v>
      </c>
      <c r="Y165" s="99">
        <f>IF(AND(Database!AW129&gt;1,Database!AW61&gt;1),100*(Database!AW129/(Database!AW61)),0.0001)</f>
        <v>1E-4</v>
      </c>
      <c r="Z165" s="99">
        <f>IF(AND(Database!AY129&gt;1,Database!AY61&gt;1),100*(Database!AY129/(Database!AY61)),0.0001)</f>
        <v>1E-4</v>
      </c>
      <c r="AA165" s="99">
        <f>IF(AND(Database!BA129&gt;1,Database!BA61&gt;1),100*(Database!BA129/(Database!BA61)),0.0001)</f>
        <v>1E-4</v>
      </c>
      <c r="AB165" s="99">
        <f>IF(AND(Database!BC129&gt;1,Database!BC61&gt;1),100*(Database!BC129/(Database!BC61)),0.0001)</f>
        <v>1E-4</v>
      </c>
      <c r="AC165" s="99">
        <f>IF(AND(Database!BE129&gt;1,Database!BE61&gt;1),100*(Database!BE129/(Database!BE61)),0.0001)</f>
        <v>1E-4</v>
      </c>
      <c r="AD165" s="99">
        <f>IF(AND(Database!BG129&gt;1,Database!BG61&gt;1),100*(Database!BG129/(Database!BG61)),0.0001)</f>
        <v>1E-4</v>
      </c>
      <c r="AE165" s="99">
        <f>IF(AND(Database!BI129&gt;1,Database!BI61&gt;1),100*(Database!BI129/(Database!BI61)),0.0001)</f>
        <v>1E-4</v>
      </c>
      <c r="AF165" s="99">
        <f>IF(AND(Database!BK129&gt;1,Database!BK61&gt;1),100*(Database!BK129/(Database!BK61)),0.0001)</f>
        <v>1E-4</v>
      </c>
      <c r="AG165" s="99">
        <f>IF(AND(Database!BM129&gt;1,Database!BM61&gt;1),100*(Database!BM129/(Database!BM61)),0.0001)</f>
        <v>1E-4</v>
      </c>
      <c r="AH165" s="99">
        <f>IF(AND(Database!BO129&gt;1,Database!BO61&gt;1),100*(Database!BO129/(Database!BO61)),0.0001)</f>
        <v>1E-4</v>
      </c>
      <c r="AI165" s="99">
        <f>IF(AND(Database!BQ129&gt;1,Database!BQ61&gt;1),100*(Database!BQ129/(Database!BQ61)),0.0001)</f>
        <v>1E-4</v>
      </c>
      <c r="AJ165" s="99">
        <f>IF(AND(Database!BS129&gt;1,Database!BS61&gt;1),100*(Database!BS129/(Database!BS61)),0.0001)</f>
        <v>1E-4</v>
      </c>
      <c r="AK165" s="99">
        <f>IF(AND(Database!BU129&gt;1,Database!BU61&gt;1),100*(Database!BU129/(Database!BU61)),0.0001)</f>
        <v>1E-4</v>
      </c>
      <c r="AL165" s="99">
        <f>IF(AND(Database!BW129&gt;1,Database!BW61&gt;1),100*(Database!BW129/(Database!BW61)),0.0001)</f>
        <v>1E-4</v>
      </c>
      <c r="AM165" s="99">
        <f>IF(AND(Database!BY129&gt;1,Database!BY61&gt;1),100*(Database!BY129/(Database!BY61)),0.0001)</f>
        <v>1E-4</v>
      </c>
      <c r="AN165" s="99">
        <f>IF(AND(Database!CA129&gt;1,Database!CA61&gt;1),100*(Database!CA129/(Database!CA61)),0.0001)</f>
        <v>1E-4</v>
      </c>
      <c r="AO165" s="99">
        <f>IF(AND(Database!CC129&gt;1,Database!CC61&gt;1),100*(Database!CC129/(Database!CC61)),0.0001)</f>
        <v>1E-4</v>
      </c>
      <c r="AP165" s="99">
        <f>IF(AND(Database!CE129&gt;1,Database!CE61&gt;1),100*(Database!CE129/(Database!CE61)),0.0001)</f>
        <v>1E-4</v>
      </c>
      <c r="AQ165" s="99">
        <f>IF(AND(Database!CG129&gt;1,Database!CG61&gt;1),100*(Database!CG129/(Database!CG61)),0.0001)</f>
        <v>1E-4</v>
      </c>
      <c r="AR165" s="99">
        <f>IF(AND(Database!CI129&gt;1,Database!CI61&gt;1),100*(Database!CI129/(Database!CI61)),0.0001)</f>
        <v>1E-4</v>
      </c>
      <c r="AS165" s="99">
        <f>IF(AND(Database!CK129&gt;1,Database!CK61&gt;1),100*(Database!CK129/(Database!CK61)),0.0001)</f>
        <v>1E-4</v>
      </c>
      <c r="AT165" s="99">
        <f>IF(AND(Database!CM129&gt;1,Database!CM61&gt;1),100*(Database!CM129/(Database!CM61)),0.0001)</f>
        <v>1E-4</v>
      </c>
      <c r="AU165" s="99">
        <f>IF(AND(Database!CO129&gt;1,Database!CO61&gt;1),100*(Database!CO129/(Database!CO61)),0.0001)</f>
        <v>1E-4</v>
      </c>
      <c r="AV165" s="99">
        <f>IF(AND(Database!CQ129&gt;1,Database!CQ61&gt;1),100*(Database!CQ129/(Database!CQ61)),0.0001)</f>
        <v>1E-4</v>
      </c>
      <c r="AW165" s="99">
        <f>IF(AND(Database!CS129&gt;1,Database!CS61&gt;1),100*(Database!CS129/(Database!CS61)),0.0001)</f>
        <v>1E-4</v>
      </c>
      <c r="AX165" s="99">
        <f>IF(AND(Database!CU129&gt;1,Database!CU61&gt;1),100*(Database!CU129/(Database!CU61)),0.0001)</f>
        <v>1E-4</v>
      </c>
      <c r="AY165" s="99">
        <f>IF(AND(Database!CW129&gt;1,Database!CW61&gt;1),100*(Database!CW129/(Database!CW61)),0.0001)</f>
        <v>1E-4</v>
      </c>
      <c r="AZ165" s="99">
        <f>IF(AND(Database!CY129&gt;1,Database!CY61&gt;1),100*(Database!CY129/(Database!CY61)),0.0001)</f>
        <v>1E-4</v>
      </c>
      <c r="BA165" s="99">
        <f>IF(AND(Database!DA129&gt;1,Database!DA61&gt;1),100*(Database!DA129/(Database!DA61)),0.0001)</f>
        <v>1E-4</v>
      </c>
      <c r="BB165" s="99">
        <f>IF(AND(Database!DC129&gt;1,Database!DC61&gt;1),100*(Database!DC129/(Database!DC61)),0.0001)</f>
        <v>1E-4</v>
      </c>
      <c r="BC165" s="99">
        <f>IF(AND(Database!DE129&gt;1,Database!DE61&gt;1),100*(Database!DE129/(Database!DE61)),0.0001)</f>
        <v>1E-4</v>
      </c>
      <c r="BD165" s="99">
        <f>IF(AND(Database!DG129&gt;1,Database!DG61&gt;1),100*(Database!DG129/(Database!DG61)),0.0001)</f>
        <v>1E-4</v>
      </c>
      <c r="BE165" s="99">
        <f>IF(AND(Database!DI129&gt;1,Database!DI61&gt;1),100*(Database!DI129/(Database!DI61)),0.0001)</f>
        <v>1E-4</v>
      </c>
      <c r="BF165" s="99">
        <f>IF(AND(Database!DK129&gt;1,Database!DK61&gt;1),100*(Database!DK129/(Database!DK61)),0.0001)</f>
        <v>1E-4</v>
      </c>
      <c r="BG165" s="99">
        <f>IF(AND(Database!DM129&gt;1,Database!DM61&gt;1),100*(Database!DM129/(Database!DM61)),0.0001)</f>
        <v>1E-4</v>
      </c>
      <c r="BH165" s="99">
        <f>IF(AND(Database!DO129&gt;1,Database!DO61&gt;1),100*(Database!DO129/(Database!DO61)),0.0001)</f>
        <v>1E-4</v>
      </c>
      <c r="BI165" s="99">
        <f>IF(AND(Database!DQ129&gt;1,Database!DQ61&gt;1),100*(Database!DQ129/(Database!DQ61)),0.0001)</f>
        <v>1E-4</v>
      </c>
      <c r="BJ165" s="99">
        <f>IF(AND(Database!DS129&gt;1,Database!DS61&gt;1),100*(Database!DS129/(Database!DS61)),0.0001)</f>
        <v>1E-4</v>
      </c>
      <c r="BK165" s="99">
        <f>IF(AND(Database!DU129&gt;1,Database!DU61&gt;1),100*(Database!DU129/(Database!DU61)),0.0001)</f>
        <v>1E-4</v>
      </c>
      <c r="BL165" s="99">
        <f>IF(AND(Database!DW129&gt;1,Database!DW61&gt;1),100*(Database!DW129/(Database!DW61)),0.0001)</f>
        <v>1E-4</v>
      </c>
      <c r="BM165" s="99">
        <f>IF(AND(Database!DY129&gt;1,Database!DY61&gt;1),100*(Database!DY129/(Database!DY61)),0.0001)</f>
        <v>1E-4</v>
      </c>
      <c r="BN165" s="99">
        <f>IF(AND(Database!EA129&gt;1,Database!EA61&gt;1),100*(Database!EA129/(Database!EA61)),0.0001)</f>
        <v>1E-4</v>
      </c>
      <c r="BO165" s="99">
        <f>IF(AND(Database!EC129&gt;1,Database!EC61&gt;1),100*(Database!EC129/(Database!EC61)),0.0001)</f>
        <v>1E-4</v>
      </c>
      <c r="BP165" s="99">
        <f>IF(AND(Database!EE129&gt;1,Database!EE61&gt;1),100*(Database!EE129/(Database!EE61)),0.0001)</f>
        <v>1E-4</v>
      </c>
      <c r="BQ165" s="99">
        <f>IF(AND(Database!EG129&gt;1,Database!EG61&gt;1),100*(Database!EG129/(Database!EG61)),0.0001)</f>
        <v>1E-4</v>
      </c>
      <c r="BR165" s="99">
        <f>IF(AND(Database!EI129&gt;1,Database!EI61&gt;1),100*(Database!EI129/(Database!EI61)),0.0001)</f>
        <v>1E-4</v>
      </c>
      <c r="BS165" s="99">
        <f>IF(AND(Database!EK129&gt;1,Database!EK61&gt;1),100*(Database!EK129/(Database!EK61)),0.0001)</f>
        <v>1E-4</v>
      </c>
      <c r="BT165" s="99">
        <f>IF(AND(Database!EM129&gt;1,Database!EM61&gt;1),100*(Database!EM129/(Database!EM61)),0.0001)</f>
        <v>1E-4</v>
      </c>
      <c r="BU165" s="99">
        <f>IF(AND(Database!EO129&gt;1,Database!EO61&gt;1),100*(Database!EO129/(Database!EO61)),0.0001)</f>
        <v>1E-4</v>
      </c>
      <c r="BV165" s="99">
        <f>IF(AND(Database!EQ129&gt;1,Database!EQ61&gt;1),100*(Database!EQ129/(Database!EQ61)),0.0001)</f>
        <v>1E-4</v>
      </c>
      <c r="BW165" s="99">
        <f>IF(AND(Database!ES129&gt;1,Database!ES61&gt;1),100*(Database!ES129/(Database!ES61)),0.0001)</f>
        <v>1E-4</v>
      </c>
      <c r="BX165" s="99">
        <f>IF(AND(Database!EU129&gt;1,Database!EU61&gt;1),100*(Database!EU129/(Database!EU61)),0.0001)</f>
        <v>1E-4</v>
      </c>
      <c r="BY165" s="99">
        <f>IF(AND(Database!EW129&gt;1,Database!EW61&gt;1),100*(Database!EW129/(Database!EW61)),0.0001)</f>
        <v>1E-4</v>
      </c>
      <c r="BZ165" s="99">
        <f>IF(AND(Database!EY129&gt;1,Database!EY61&gt;1),100*(Database!EY129/(Database!EY61)),0.0001)</f>
        <v>1E-4</v>
      </c>
      <c r="CA165" s="99">
        <f>IF(AND(Database!FA129&gt;1,Database!FA61&gt;1),100*(Database!FA129/(Database!FA61)),0.0001)</f>
        <v>1E-4</v>
      </c>
      <c r="CB165" s="99">
        <f>IF(AND(Database!FC129&gt;1,Database!FC61&gt;1),100*(Database!FC129/(Database!FC61)),0.0001)</f>
        <v>1E-4</v>
      </c>
      <c r="CC165" s="99">
        <f>IF(AND(Database!FE129&gt;1,Database!FE61&gt;1),100*(Database!FE129/(Database!FE61)),0.0001)</f>
        <v>1E-4</v>
      </c>
      <c r="CD165" s="99">
        <f>IF(AND(Database!FG129&gt;1,Database!FG61&gt;1),100*(Database!FG129/(Database!FG61)),0.0001)</f>
        <v>1E-4</v>
      </c>
      <c r="CE165" s="99">
        <f>IF(AND(Database!FI129&gt;1,Database!FI61&gt;1),100*(Database!FI129/(Database!FI61)),0.0001)</f>
        <v>1E-4</v>
      </c>
      <c r="CF165" s="99">
        <f>IF(AND(Database!FK129&gt;1,Database!FK61&gt;1),100*(Database!FK129/(Database!FK61)),0.0001)</f>
        <v>1E-4</v>
      </c>
      <c r="CG165" s="99">
        <f>IF(AND(Database!FM129&gt;1,Database!FM61&gt;1),100*(Database!FM129/(Database!FM61)),0.0001)</f>
        <v>1E-4</v>
      </c>
      <c r="CH165" s="99">
        <f>IF(AND(Database!FO129&gt;1,Database!FO61&gt;1),100*(Database!FO129/(Database!FO61)),0.0001)</f>
        <v>1E-4</v>
      </c>
      <c r="CI165" s="99">
        <f>IF(AND(Database!FQ129&gt;1,Database!FQ61&gt;1),100*(Database!FQ129/(Database!FQ61)),0.0001)</f>
        <v>1E-4</v>
      </c>
      <c r="CJ165" s="99">
        <f>IF(AND(Database!FS129&gt;1,Database!FS61&gt;1),100*(Database!FS129/(Database!FS61)),0.0001)</f>
        <v>1E-4</v>
      </c>
      <c r="CK165" s="99">
        <f>IF(AND(Database!FU129&gt;1,Database!FU61&gt;1),100*(Database!FU129/(Database!FU61)),0.0001)</f>
        <v>1E-4</v>
      </c>
      <c r="CL165" s="99">
        <f>IF(AND(Database!FW129&gt;1,Database!FW61&gt;1),100*(Database!FW129/(Database!FW61)),0.0001)</f>
        <v>1E-4</v>
      </c>
      <c r="CM165" s="99">
        <f>IF(AND(Database!FY129&gt;1,Database!FY61&gt;1),100*(Database!FY129/(Database!FY61)),0.0001)</f>
        <v>1E-4</v>
      </c>
      <c r="CN165" s="99">
        <f>IF(AND(Database!GA129&gt;1,Database!GA61&gt;1),100*(Database!GA129/(Database!GA61)),0.0001)</f>
        <v>1E-4</v>
      </c>
      <c r="CO165" s="99">
        <f>IF(AND(Database!GC129&gt;1,Database!GC61&gt;1),100*(Database!GC129/(Database!GC61)),0.0001)</f>
        <v>1E-4</v>
      </c>
      <c r="CP165" s="99">
        <f>IF(AND(Database!GE129&gt;1,Database!GE61&gt;1),100*(Database!GE129/(Database!GE61)),0.0001)</f>
        <v>1E-4</v>
      </c>
      <c r="CQ165" s="99">
        <f>IF(AND(Database!GG129&gt;1,Database!GG61&gt;1),100*(Database!GG129/(Database!GG61)),0.0001)</f>
        <v>1E-4</v>
      </c>
      <c r="CR165" s="99">
        <f>IF(AND(Database!GI129&gt;1,Database!GI61&gt;1),100*(Database!GI129/(Database!GI61)),0.0001)</f>
        <v>1E-4</v>
      </c>
      <c r="CS165" s="99">
        <f>IF(AND(Database!GK129&gt;1,Database!GK61&gt;1),100*(Database!GK129/(Database!GK61)),0.0001)</f>
        <v>1E-4</v>
      </c>
      <c r="CT165" s="99">
        <f>IF(AND(Database!GM129&gt;1,Database!GM61&gt;1),100*(Database!GM129/(Database!GM61)),0.0001)</f>
        <v>1E-4</v>
      </c>
      <c r="CU165" s="99">
        <f>IF(AND(Database!GO129&gt;1,Database!GO61&gt;1),100*(Database!GO129/(Database!GO61)),0.0001)</f>
        <v>1E-4</v>
      </c>
      <c r="CV165" s="99">
        <f>IF(AND(Database!GQ129&gt;1,Database!GQ61&gt;1),100*(Database!GQ129/(Database!GQ61)),0.0001)</f>
        <v>1E-4</v>
      </c>
      <c r="CW165" s="99">
        <f>IF(AND(Database!GS129&gt;1,Database!GS61&gt;1),100*(Database!GS129/(Database!GS61)),0.0001)</f>
        <v>1E-4</v>
      </c>
      <c r="CX165" s="99">
        <f>IF(AND(Database!GU129&gt;1,Database!GU61&gt;1),100*(Database!GU129/(Database!GU61)),0.0001)</f>
        <v>1E-4</v>
      </c>
      <c r="CY165" s="99">
        <f>IF(AND(Database!GW129&gt;1,Database!GW61&gt;1),100*(Database!GW129/(Database!GW61)),0.0001)</f>
        <v>1E-4</v>
      </c>
      <c r="CZ165" s="99">
        <f>IF(AND(Database!GY129&gt;1,Database!GY61&gt;1),100*(Database!GY129/(Database!GY61)),0.0001)</f>
        <v>1E-4</v>
      </c>
      <c r="DA165" s="99">
        <f>IF(AND(Database!HA129&gt;1,Database!HA61&gt;1),100*(Database!HA129/(Database!HA61)),0.0001)</f>
        <v>1E-4</v>
      </c>
      <c r="DB165" s="99">
        <f>IF(AND(Database!HC129&gt;1,Database!HC61&gt;1),100*(Database!HC129/(Database!HC61)),0.0001)</f>
        <v>1E-4</v>
      </c>
      <c r="DC165" s="99">
        <f>IF(AND(Database!HE129&gt;1,Database!HE61&gt;1),100*(Database!HE129/(Database!HE61)),0.0001)</f>
        <v>1E-4</v>
      </c>
      <c r="DD165" s="99">
        <f>IF(AND(Database!HG129&gt;1,Database!HG61&gt;1),100*(Database!HG129/(Database!HG61)),0.0001)</f>
        <v>1E-4</v>
      </c>
      <c r="DE165" s="99">
        <f>IF(AND(Database!HI129&gt;1,Database!HI61&gt;1),100*(Database!HI129/(Database!HI61)),0.0001)</f>
        <v>1E-4</v>
      </c>
      <c r="DF165" s="99">
        <f>IF(AND(Database!HK129&gt;1,Database!HK61&gt;1),100*(Database!HK129/(Database!HK61)),0.0001)</f>
        <v>1E-4</v>
      </c>
      <c r="DG165" s="99">
        <f>IF(AND(Database!HM129&gt;1,Database!HM61&gt;1),100*(Database!HM129/(Database!HM61)),0.0001)</f>
        <v>1E-4</v>
      </c>
      <c r="DH165" s="99">
        <f>IF(AND(Database!HO129&gt;1,Database!HO61&gt;1),100*(Database!HO129/(Database!HO61)),0.0001)</f>
        <v>1E-4</v>
      </c>
      <c r="DI165" s="99">
        <f>IF(AND(Database!HQ129&gt;1,Database!HQ61&gt;1),100*(Database!HQ129/(Database!HQ61)),0.0001)</f>
        <v>1E-4</v>
      </c>
      <c r="DJ165" s="99">
        <f>IF(AND(Database!HS129&gt;1,Database!HS61&gt;1),100*(Database!HS129/(Database!HS61)),0.0001)</f>
        <v>1E-4</v>
      </c>
      <c r="DK165" s="99">
        <f>IF(AND(Database!HU129&gt;1,Database!HU61&gt;1),100*(Database!HU129/(Database!HU61)),0.0001)</f>
        <v>1E-4</v>
      </c>
      <c r="DL165" s="99">
        <f>IF(AND(Database!HW129&gt;1,Database!HW61&gt;1),100*(Database!HW129/(Database!HW61)),0.0001)</f>
        <v>1E-4</v>
      </c>
      <c r="DM165" s="99">
        <f>IF(AND(Database!HY129&gt;1,Database!HY61&gt;1),100*(Database!HY129/(Database!HY61)),0.0001)</f>
        <v>1E-4</v>
      </c>
      <c r="DN165" s="99">
        <f>IF(AND(Database!IA129&gt;1,Database!IA61&gt;1),100*(Database!IA129/(Database!IA61)),0.0001)</f>
        <v>1E-4</v>
      </c>
      <c r="DO165" s="99">
        <f>IF(AND(Database!IC129&gt;1,Database!IC61&gt;1),100*(Database!IC129/(Database!IC61)),0.0001)</f>
        <v>1E-4</v>
      </c>
      <c r="DP165" s="99">
        <f>IF(AND(Database!IE129&gt;1,Database!IE61&gt;1),100*(Database!IE129/(Database!IE61)),0.0001)</f>
        <v>1E-4</v>
      </c>
      <c r="DQ165" s="99">
        <f>IF(AND(Database!IG129&gt;1,Database!IG61&gt;1),100*(Database!IG129/(Database!IG61)),0.0001)</f>
        <v>1E-4</v>
      </c>
      <c r="DR165" s="99">
        <f>IF(AND(Database!II129&gt;1,Database!II61&gt;1),100*(Database!II129/(Database!II61)),0.0001)</f>
        <v>1E-4</v>
      </c>
      <c r="DS165" s="99">
        <f>IF(AND(Database!IK129&gt;1,Database!IK61&gt;1),100*(Database!IK129/(Database!IK61)),0.0001)</f>
        <v>1E-4</v>
      </c>
      <c r="DT165" s="99">
        <f>IF(AND(Database!IM129&gt;1,Database!IM61&gt;1),100*(Database!IM129/(Database!IM61)),0.0001)</f>
        <v>1E-4</v>
      </c>
      <c r="DU165" s="99">
        <f>IF(AND(Database!IO129&gt;1,Database!IO61&gt;1),100*(Database!IO129/(Database!IO61)),0.0001)</f>
        <v>1E-4</v>
      </c>
      <c r="DV165" s="99">
        <f>IF(AND(Database!IQ129&gt;1,Database!IQ61&gt;1),100*(Database!IQ129/(Database!IQ61)),0.0001)</f>
        <v>1E-4</v>
      </c>
      <c r="DW165" s="99">
        <f>IF(AND(Database!IS129&gt;1,Database!IS61&gt;1),100*(Database!IS129/(Database!IS61)),0.0001)</f>
        <v>1E-4</v>
      </c>
      <c r="DX165" s="99">
        <f>IF(AND(Database!IU129&gt;1,Database!IU61&gt;1),100*(Database!IU129/(Database!IU61)),0.0001)</f>
        <v>1E-4</v>
      </c>
      <c r="DY165" s="99">
        <f>IF(AND(Database!IW129&gt;1,Database!IW61&gt;1),100*(Database!IW129/(Database!IW61)),0.0001)</f>
        <v>1E-4</v>
      </c>
      <c r="DZ165" s="99">
        <f>IF(AND(Database!IY129&gt;1,Database!IY61&gt;1),100*(Database!IY129/(Database!IY61)),0.0001)</f>
        <v>1E-4</v>
      </c>
      <c r="EA165" s="99">
        <f>IF(AND(Database!JA129&gt;1,Database!JA61&gt;1),100*(Database!JA129/(Database!JA61)),0.0001)</f>
        <v>1E-4</v>
      </c>
      <c r="EB165" s="99">
        <f>IF(AND(Database!JC129&gt;1,Database!JC61&gt;1),100*(Database!JC129/(Database!JC61)),0.0001)</f>
        <v>1E-4</v>
      </c>
      <c r="EC165" s="99">
        <f>IF(AND(Database!JE129&gt;1,Database!JE61&gt;1),100*(Database!JE129/(Database!JE61)),0.0001)</f>
        <v>1E-4</v>
      </c>
      <c r="ED165" s="99">
        <f>IF(AND(Database!JG129&gt;1,Database!JG61&gt;1),100*(Database!JG129/(Database!JG61)),0.0001)</f>
        <v>1E-4</v>
      </c>
      <c r="EE165" s="99">
        <f>IF(AND(Database!JI129&gt;1,Database!JI61&gt;1),100*(Database!JI129/(Database!JI61)),0.0001)</f>
        <v>1E-4</v>
      </c>
      <c r="EF165" s="99">
        <f>IF(AND(Database!JK129&gt;1,Database!JK61&gt;1),100*(Database!JK129/(Database!JK61)),0.0001)</f>
        <v>1E-4</v>
      </c>
      <c r="EG165" s="99">
        <f>IF(AND(Database!JM129&gt;1,Database!JM61&gt;1),100*(Database!JM129/(Database!JM61)),0.0001)</f>
        <v>1E-4</v>
      </c>
      <c r="EH165" s="99">
        <f>IF(AND(Database!JO129&gt;1,Database!JO61&gt;1),100*(Database!JO129/(Database!JO61)),0.0001)</f>
        <v>1E-4</v>
      </c>
      <c r="EI165" s="99">
        <f>IF(AND(Database!JQ129&gt;1,Database!JQ61&gt;1),100*(Database!JQ129/(Database!JQ61)),0.0001)</f>
        <v>1E-4</v>
      </c>
      <c r="EJ165" s="99">
        <f>IF(AND(Database!JS129&gt;1,Database!JS61&gt;1),100*(Database!JS129/(Database!JS61)),0.0001)</f>
        <v>1E-4</v>
      </c>
      <c r="EK165" s="99">
        <f>IF(AND(Database!JU129&gt;1,Database!JU61&gt;1),100*(Database!JU129/(Database!JU61)),0.0001)</f>
        <v>1E-4</v>
      </c>
      <c r="EL165" s="99">
        <f>IF(AND(Database!JW129&gt;1,Database!JW61&gt;1),100*(Database!JW129/(Database!JW61)),0.0001)</f>
        <v>1E-4</v>
      </c>
      <c r="EM165" s="99">
        <f>IF(AND(Database!JY129&gt;1,Database!JY61&gt;1),100*(Database!JY129/(Database!JY61)),0.0001)</f>
        <v>1E-4</v>
      </c>
      <c r="EN165" s="99">
        <f>IF(AND(Database!KA129&gt;1,Database!KA61&gt;1),100*(Database!KA129/(Database!KA61)),0.0001)</f>
        <v>1E-4</v>
      </c>
      <c r="EO165" s="99">
        <f>IF(AND(Database!KC129&gt;1,Database!KC61&gt;1),100*(Database!KC129/(Database!KC61)),0.0001)</f>
        <v>1E-4</v>
      </c>
      <c r="EP165" s="99">
        <f>IF(AND(Database!KE129&gt;1,Database!KE61&gt;1),100*(Database!KE129/(Database!KE61)),0.0001)</f>
        <v>1E-4</v>
      </c>
      <c r="EQ165" s="99">
        <f>IF(AND(Database!KG129&gt;1,Database!KG61&gt;1),100*(Database!KG129/(Database!KG61)),0.0001)</f>
        <v>1E-4</v>
      </c>
      <c r="ER165" s="99">
        <f>IF(AND(Database!KI129&gt;1,Database!KI61&gt;1),100*(Database!KI129/(Database!KI61)),0.0001)</f>
        <v>1E-4</v>
      </c>
      <c r="ES165" s="99">
        <f>IF(AND(Database!KK129&gt;1,Database!KK61&gt;1),100*(Database!KK129/(Database!KK61)),0.0001)</f>
        <v>1E-4</v>
      </c>
      <c r="ET165" s="99">
        <f>IF(AND(Database!KM129&gt;1,Database!KM61&gt;1),100*(Database!KM129/(Database!KM61)),0.0001)</f>
        <v>1E-4</v>
      </c>
      <c r="EU165" s="99">
        <f>IF(AND(Database!KO129&gt;1,Database!KO61&gt;1),100*(Database!KO129/(Database!KO61)),0.0001)</f>
        <v>1E-4</v>
      </c>
      <c r="EV165" s="99">
        <f>IF(AND(Database!KQ129&gt;1,Database!KQ61&gt;1),100*(Database!KQ129/(Database!KQ61)),0.0001)</f>
        <v>1E-4</v>
      </c>
      <c r="EW165" s="99">
        <f>IF(AND(Database!KS129&gt;1,Database!KS61&gt;1),100*(Database!KS129/(Database!KS61)),0.0001)</f>
        <v>1E-4</v>
      </c>
      <c r="EX165" s="99">
        <f>IF(AND(Database!KU129&gt;1,Database!KU61&gt;1),100*(Database!KU129/(Database!KU61)),0.0001)</f>
        <v>1E-4</v>
      </c>
      <c r="EY165" s="99">
        <f>IF(AND(Database!KW129&gt;1,Database!KW61&gt;1),100*(Database!KW129/(Database!KW61)),0.0001)</f>
        <v>1E-4</v>
      </c>
      <c r="EZ165" s="99">
        <f>IF(AND(Database!KY129&gt;1,Database!KY61&gt;1),100*(Database!KY129/(Database!KY61)),0.0001)</f>
        <v>1E-4</v>
      </c>
      <c r="FA165" s="99">
        <f>IF(AND(Database!LA129&gt;1,Database!LA61&gt;1),100*(Database!LA129/(Database!LA61)),0.0001)</f>
        <v>1E-4</v>
      </c>
      <c r="FB165" s="99">
        <f>IF(AND(Database!LC129&gt;1,Database!LC61&gt;1),100*(Database!LC129/(Database!LC61)),0.0001)</f>
        <v>1E-4</v>
      </c>
      <c r="FC165" s="99">
        <f>IF(AND(Database!LE129&gt;1,Database!LE61&gt;1),100*(Database!LE129/(Database!LE61)),0.0001)</f>
        <v>1E-4</v>
      </c>
      <c r="FD165" s="99">
        <f>IF(AND(Database!LG129&gt;1,Database!LG61&gt;1),100*(Database!LG129/(Database!LG61)),0.0001)</f>
        <v>1E-4</v>
      </c>
      <c r="FE165" s="99">
        <f>IF(AND(Database!LI129&gt;1,Database!LI61&gt;1),100*(Database!LI129/(Database!LI61)),0.0001)</f>
        <v>1E-4</v>
      </c>
      <c r="FF165" s="99">
        <f>IF(AND(Database!LK129&gt;1,Database!LK61&gt;1),100*(Database!LK129/(Database!LK61)),0.0001)</f>
        <v>1E-4</v>
      </c>
      <c r="FG165" s="99">
        <f>IF(AND(Database!LM129&gt;1,Database!LM61&gt;1),100*(Database!LM129/(Database!LM61)),0.0001)</f>
        <v>1E-4</v>
      </c>
      <c r="FH165" s="99">
        <f>IF(AND(Database!LO129&gt;1,Database!LO61&gt;1),100*(Database!LO129/(Database!LO61)),0.0001)</f>
        <v>1E-4</v>
      </c>
      <c r="FI165" s="99">
        <f>IF(AND(Database!LQ129&gt;1,Database!LQ61&gt;1),100*(Database!LQ129/(Database!LQ61)),0.0001)</f>
        <v>1E-4</v>
      </c>
      <c r="FJ165" s="99">
        <f>IF(AND(Database!LS129&gt;1,Database!LS61&gt;1),100*(Database!LS129/(Database!LS61)),0.0001)</f>
        <v>1E-4</v>
      </c>
      <c r="FK165" s="99">
        <f>IF(AND(Database!LU129&gt;1,Database!LU61&gt;1),100*(Database!LU129/(Database!LU61)),0.0001)</f>
        <v>1E-4</v>
      </c>
      <c r="FL165" s="99">
        <f>IF(AND(Database!LW129&gt;1,Database!LW61&gt;1),100*(Database!LW129/(Database!LW61)),0.0001)</f>
        <v>1E-4</v>
      </c>
      <c r="FM165" s="99">
        <f>IF(AND(Database!LY129&gt;1,Database!LY61&gt;1),100*(Database!LY129/(Database!LY61)),0.0001)</f>
        <v>1E-4</v>
      </c>
      <c r="FN165" s="99">
        <f>IF(AND(Database!MA129&gt;1,Database!MA61&gt;1),100*(Database!MA129/(Database!MA61)),0.0001)</f>
        <v>1E-4</v>
      </c>
      <c r="FO165" s="99">
        <f>IF(AND(Database!MC129&gt;1,Database!MC61&gt;1),100*(Database!MC129/(Database!MC61)),0.0001)</f>
        <v>1E-4</v>
      </c>
      <c r="FP165" s="99">
        <f>IF(AND(Database!ME129&gt;1,Database!ME61&gt;1),100*(Database!ME129/(Database!ME61)),0.0001)</f>
        <v>1E-4</v>
      </c>
      <c r="FQ165" s="99">
        <f>IF(AND(Database!MG129&gt;1,Database!MG61&gt;1),100*(Database!MG129/(Database!MG61)),0.0001)</f>
        <v>1E-4</v>
      </c>
      <c r="FR165" s="99">
        <f>IF(AND(Database!MI129&gt;1,Database!MI61&gt;1),100*(Database!MI129/(Database!MI61)),0.0001)</f>
        <v>1E-4</v>
      </c>
      <c r="FS165" s="99">
        <f>IF(AND(Database!MK129&gt;1,Database!MK61&gt;1),100*(Database!MK129/(Database!MK61)),0.0001)</f>
        <v>1E-4</v>
      </c>
      <c r="FT165" s="99">
        <f>IF(AND(Database!MM129&gt;1,Database!MM61&gt;1),100*(Database!MM129/(Database!MM61)),0.0001)</f>
        <v>1E-4</v>
      </c>
      <c r="FU165" s="99">
        <f>IF(AND(Database!MO129&gt;1,Database!MO61&gt;1),100*(Database!MO129/(Database!MO61)),0.0001)</f>
        <v>1E-4</v>
      </c>
      <c r="FV165" s="99">
        <f>IF(AND(Database!MQ129&gt;1,Database!MQ61&gt;1),100*(Database!MQ129/(Database!MQ61)),0.0001)</f>
        <v>1E-4</v>
      </c>
      <c r="FW165" s="99">
        <f>IF(AND(Database!MS129&gt;1,Database!MS61&gt;1),100*(Database!MS129/(Database!MS61)),0.0001)</f>
        <v>1E-4</v>
      </c>
      <c r="FX165" s="99">
        <f>IF(AND(Database!MU129&gt;1,Database!MU61&gt;1),100*(Database!MU129/(Database!MU61)),0.0001)</f>
        <v>1E-4</v>
      </c>
      <c r="FY165" s="99">
        <f>IF(AND(Database!MW129&gt;1,Database!MW61&gt;1),100*(Database!MW129/(Database!MW61)),0.0001)</f>
        <v>1E-4</v>
      </c>
      <c r="FZ165" s="99">
        <f>IF(AND(Database!MY129&gt;1,Database!MY61&gt;1),100*(Database!MY129/(Database!MY61)),0.0001)</f>
        <v>1E-4</v>
      </c>
      <c r="GA165" s="99">
        <f>IF(AND(Database!NA129&gt;1,Database!NA61&gt;1),100*(Database!NA129/(Database!NA61)),0.0001)</f>
        <v>1E-4</v>
      </c>
      <c r="GB165" s="99">
        <f>IF(AND(Database!NC129&gt;1,Database!NC61&gt;1),100*(Database!NC129/(Database!NC61)),0.0001)</f>
        <v>1E-4</v>
      </c>
      <c r="GC165" s="99">
        <f>IF(AND(Database!NE129&gt;1,Database!NE61&gt;1),100*(Database!NE129/(Database!NE61)),0.0001)</f>
        <v>1E-4</v>
      </c>
      <c r="GD165" s="99">
        <f>IF(AND(Database!NG129&gt;1,Database!NG61&gt;1),100*(Database!NG129/(Database!NG61)),0.0001)</f>
        <v>1E-4</v>
      </c>
      <c r="GE165" s="99">
        <f>IF(AND(Database!NI129&gt;1,Database!NI61&gt;1),100*(Database!NI129/(Database!NI61)),0.0001)</f>
        <v>1E-4</v>
      </c>
      <c r="GF165" s="99">
        <f>IF(AND(Database!NK129&gt;1,Database!NK61&gt;1),100*(Database!NK129/(Database!NK61)),0.0001)</f>
        <v>1E-4</v>
      </c>
      <c r="GG165" s="99">
        <f>IF(AND(Database!NM129&gt;1,Database!NM61&gt;1),100*(Database!NM129/(Database!NM61)),0.0001)</f>
        <v>1E-4</v>
      </c>
      <c r="GH165" s="99">
        <f>IF(AND(Database!NO129&gt;1,Database!NO61&gt;1),100*(Database!NO129/(Database!NO61)),0.0001)</f>
        <v>1E-4</v>
      </c>
      <c r="GI165" s="99">
        <f>IF(AND(Database!NQ129&gt;1,Database!NQ61&gt;1),100*(Database!NQ129/(Database!NQ61)),0.0001)</f>
        <v>1E-4</v>
      </c>
      <c r="GJ165" s="99">
        <f>IF(AND(Database!NS129&gt;1,Database!NS61&gt;1),100*(Database!NS129/(Database!NS61)),0.0001)</f>
        <v>1E-4</v>
      </c>
      <c r="GK165" s="99">
        <f>IF(AND(Database!NU129&gt;1,Database!NU61&gt;1),100*(Database!NU129/(Database!NU61)),0.0001)</f>
        <v>1E-4</v>
      </c>
      <c r="GL165" s="99">
        <f>IF(AND(Database!NW129&gt;1,Database!NW61&gt;1),100*(Database!NW129/(Database!NW61)),0.0001)</f>
        <v>1E-4</v>
      </c>
      <c r="GM165" s="99">
        <f>IF(AND(Database!NY129&gt;1,Database!NY61&gt;1),100*(Database!NY129/(Database!NY61)),0.0001)</f>
        <v>1E-4</v>
      </c>
      <c r="GN165" s="99">
        <f>IF(AND(Database!OA129&gt;1,Database!OA61&gt;1),100*(Database!OA129/(Database!OA61)),0.0001)</f>
        <v>1E-4</v>
      </c>
      <c r="GO165" s="99">
        <f>IF(AND(Database!OC129&gt;1,Database!OC61&gt;1),100*(Database!OC129/(Database!OC61)),0.0001)</f>
        <v>1E-4</v>
      </c>
      <c r="GP165" s="99">
        <f>IF(AND(Database!OE129&gt;1,Database!OE61&gt;1),100*(Database!OE129/(Database!OE61)),0.0001)</f>
        <v>1E-4</v>
      </c>
      <c r="GQ165" s="99">
        <f>IF(AND(Database!OG129&gt;1,Database!OG61&gt;1),100*(Database!OG129/(Database!OG61)),0.0001)</f>
        <v>1E-4</v>
      </c>
      <c r="GR165" s="99">
        <f>IF(AND(Database!OI129&gt;1,Database!OI61&gt;1),100*(Database!OI129/(Database!OI61)),0.0001)</f>
        <v>1E-4</v>
      </c>
      <c r="GS165" s="99">
        <f>IF(AND(Database!OK129&gt;1,Database!OK61&gt;1),100*(Database!OK129/(Database!OK61)),0.0001)</f>
        <v>1E-4</v>
      </c>
      <c r="GT165" s="30">
        <f>IF(AND(Database!OM129&gt;1,Database!OM61&gt;1),100*(Database!OM129/(Database!OM61)),0.0001)</f>
        <v>1E-4</v>
      </c>
      <c r="GU165" s="99"/>
      <c r="GV165" s="99"/>
      <c r="GW165" s="99"/>
    </row>
    <row r="166" spans="1:205" ht="18.75" customHeight="1" x14ac:dyDescent="0.4">
      <c r="A166" s="240" t="s">
        <v>176</v>
      </c>
      <c r="B166" s="96"/>
      <c r="C166" s="260">
        <f>IF(AND(Database!E61&gt;1,Database!E140&gt;1),100*(Database!E61/(Database!E140)),0.0001)</f>
        <v>73.144236572118288</v>
      </c>
      <c r="D166" s="99">
        <f>IF(AND(Database!G61&gt;1,Database!G140&gt;1),100*(Database!G61/(Database!G140)),0.0001)</f>
        <v>606.39639639639643</v>
      </c>
      <c r="E166" s="99">
        <f>IF(AND(Database!I61&gt;1,Database!I140&gt;1),100*(Database!I61/(Database!I140)),0.0001)</f>
        <v>567.78115501519756</v>
      </c>
      <c r="F166" s="99">
        <f>IF(AND(Database!K61&gt;1,Database!K140&gt;1),100*(Database!K61/(Database!K140)),0.0001)</f>
        <v>546.19033501334127</v>
      </c>
      <c r="G166" s="99">
        <f>IF(AND(Database!M61&gt;1,Database!M140&gt;1),100*(Database!M61/(Database!M140)),0.0001)</f>
        <v>1E-4</v>
      </c>
      <c r="H166" s="99">
        <f>IF(AND(Database!O61&gt;1,Database!O140&gt;1),100*(Database!O61/(Database!O140)),0.0001)</f>
        <v>1E-4</v>
      </c>
      <c r="I166" s="99">
        <f>IF(AND(Database!Q61&gt;1,Database!Q140&gt;1),100*(Database!Q61/(Database!Q140)),0.0001)</f>
        <v>1E-4</v>
      </c>
      <c r="J166" s="99">
        <f>IF(AND(Database!S61&gt;1,Database!S140&gt;1),100*(Database!S61/(Database!S140)),0.0001)</f>
        <v>1E-4</v>
      </c>
      <c r="K166" s="99">
        <f>IF(AND(Database!U61&gt;1,Database!U140&gt;1),100*(Database!U61/(Database!U140)),0.0001)</f>
        <v>1E-4</v>
      </c>
      <c r="L166" s="99">
        <f>IF(AND(Database!W61&gt;1,Database!W140&gt;1),100*(Database!W61/(Database!W140)),0.0001)</f>
        <v>1E-4</v>
      </c>
      <c r="M166" s="99">
        <f>IF(AND(Database!Y61&gt;1,Database!Y140&gt;1),100*(Database!Y61/(Database!Y140)),0.0001)</f>
        <v>1E-4</v>
      </c>
      <c r="N166" s="99">
        <f>IF(AND(Database!AA61&gt;1,Database!AA140&gt;1),100*(Database!AA61/(Database!AA140)),0.0001)</f>
        <v>1E-4</v>
      </c>
      <c r="O166" s="99">
        <f>IF(AND(Database!AC61&gt;1,Database!AC140&gt;1),100*(Database!AC61/(Database!AC140)),0.0001)</f>
        <v>1E-4</v>
      </c>
      <c r="P166" s="99">
        <f>IF(AND(Database!AE61&gt;1,Database!AE140&gt;1),100*(Database!AE61/(Database!AE140)),0.0001)</f>
        <v>1E-4</v>
      </c>
      <c r="Q166" s="99">
        <f>IF(AND(Database!AG61&gt;1,Database!AG140&gt;1),100*(Database!AG61/(Database!AG140)),0.0001)</f>
        <v>1E-4</v>
      </c>
      <c r="R166" s="99">
        <f>IF(AND(Database!AI61&gt;1,Database!AI140&gt;1),100*(Database!AI61/(Database!AI140)),0.0001)</f>
        <v>1E-4</v>
      </c>
      <c r="S166" s="99">
        <f>IF(AND(Database!AK61&gt;1,Database!AK140&gt;1),100*(Database!AK61/(Database!AK140)),0.0001)</f>
        <v>1E-4</v>
      </c>
      <c r="T166" s="99">
        <f>IF(AND(Database!AM61&gt;1,Database!AM140&gt;1),100*(Database!AM61/(Database!AM140)),0.0001)</f>
        <v>1E-4</v>
      </c>
      <c r="U166" s="99">
        <f>IF(AND(Database!AO61&gt;1,Database!AO140&gt;1),100*(Database!AO61/(Database!AO140)),0.0001)</f>
        <v>1E-4</v>
      </c>
      <c r="V166" s="99">
        <f>IF(AND(Database!AQ61&gt;1,Database!AQ140&gt;1),100*(Database!AQ61/(Database!AQ140)),0.0001)</f>
        <v>1E-4</v>
      </c>
      <c r="W166" s="99">
        <f>IF(AND(Database!AS61&gt;1,Database!AS140&gt;1),100*(Database!AS61/(Database!AS140)),0.0001)</f>
        <v>1E-4</v>
      </c>
      <c r="X166" s="99">
        <f>IF(AND(Database!AU61&gt;1,Database!AU140&gt;1),100*(Database!AU61/(Database!AU140)),0.0001)</f>
        <v>1E-4</v>
      </c>
      <c r="Y166" s="99">
        <f>IF(AND(Database!AW61&gt;1,Database!AW140&gt;1),100*(Database!AW61/(Database!AW140)),0.0001)</f>
        <v>1E-4</v>
      </c>
      <c r="Z166" s="99">
        <f>IF(AND(Database!AY61&gt;1,Database!AY140&gt;1),100*(Database!AY61/(Database!AY140)),0.0001)</f>
        <v>1E-4</v>
      </c>
      <c r="AA166" s="99">
        <f>IF(AND(Database!BA61&gt;1,Database!BA140&gt;1),100*(Database!BA61/(Database!BA140)),0.0001)</f>
        <v>1E-4</v>
      </c>
      <c r="AB166" s="99">
        <f>IF(AND(Database!BC61&gt;1,Database!BC140&gt;1),100*(Database!BC61/(Database!BC140)),0.0001)</f>
        <v>1E-4</v>
      </c>
      <c r="AC166" s="99">
        <f>IF(AND(Database!BE61&gt;1,Database!BE140&gt;1),100*(Database!BE61/(Database!BE140)),0.0001)</f>
        <v>1E-4</v>
      </c>
      <c r="AD166" s="99">
        <f>IF(AND(Database!BG61&gt;1,Database!BG140&gt;1),100*(Database!BG61/(Database!BG140)),0.0001)</f>
        <v>1E-4</v>
      </c>
      <c r="AE166" s="99">
        <f>IF(AND(Database!BI61&gt;1,Database!BI140&gt;1),100*(Database!BI61/(Database!BI140)),0.0001)</f>
        <v>1E-4</v>
      </c>
      <c r="AF166" s="99">
        <f>IF(AND(Database!BK61&gt;1,Database!BK140&gt;1),100*(Database!BK61/(Database!BK140)),0.0001)</f>
        <v>1E-4</v>
      </c>
      <c r="AG166" s="99">
        <f>IF(AND(Database!BM61&gt;1,Database!BM140&gt;1),100*(Database!BM61/(Database!BM140)),0.0001)</f>
        <v>1E-4</v>
      </c>
      <c r="AH166" s="99">
        <f>IF(AND(Database!BO61&gt;1,Database!BO140&gt;1),100*(Database!BO61/(Database!BO140)),0.0001)</f>
        <v>1E-4</v>
      </c>
      <c r="AI166" s="99">
        <f>IF(AND(Database!BQ61&gt;1,Database!BQ140&gt;1),100*(Database!BQ61/(Database!BQ140)),0.0001)</f>
        <v>1E-4</v>
      </c>
      <c r="AJ166" s="99">
        <f>IF(AND(Database!BS61&gt;1,Database!BS140&gt;1),100*(Database!BS61/(Database!BS140)),0.0001)</f>
        <v>1E-4</v>
      </c>
      <c r="AK166" s="99">
        <f>IF(AND(Database!BU61&gt;1,Database!BU140&gt;1),100*(Database!BU61/(Database!BU140)),0.0001)</f>
        <v>1E-4</v>
      </c>
      <c r="AL166" s="99">
        <f>IF(AND(Database!BW61&gt;1,Database!BW140&gt;1),100*(Database!BW61/(Database!BW140)),0.0001)</f>
        <v>1E-4</v>
      </c>
      <c r="AM166" s="99">
        <f>IF(AND(Database!BY61&gt;1,Database!BY140&gt;1),100*(Database!BY61/(Database!BY140)),0.0001)</f>
        <v>1E-4</v>
      </c>
      <c r="AN166" s="99">
        <f>IF(AND(Database!CA61&gt;1,Database!CA140&gt;1),100*(Database!CA61/(Database!CA140)),0.0001)</f>
        <v>1E-4</v>
      </c>
      <c r="AO166" s="99">
        <f>IF(AND(Database!CC61&gt;1,Database!CC140&gt;1),100*(Database!CC61/(Database!CC140)),0.0001)</f>
        <v>1E-4</v>
      </c>
      <c r="AP166" s="99">
        <f>IF(AND(Database!CE61&gt;1,Database!CE140&gt;1),100*(Database!CE61/(Database!CE140)),0.0001)</f>
        <v>1E-4</v>
      </c>
      <c r="AQ166" s="99">
        <f>IF(AND(Database!CG61&gt;1,Database!CG140&gt;1),100*(Database!CG61/(Database!CG140)),0.0001)</f>
        <v>1E-4</v>
      </c>
      <c r="AR166" s="99">
        <f>IF(AND(Database!CI61&gt;1,Database!CI140&gt;1),100*(Database!CI61/(Database!CI140)),0.0001)</f>
        <v>1E-4</v>
      </c>
      <c r="AS166" s="99">
        <f>IF(AND(Database!CK61&gt;1,Database!CK140&gt;1),100*(Database!CK61/(Database!CK140)),0.0001)</f>
        <v>1E-4</v>
      </c>
      <c r="AT166" s="99">
        <f>IF(AND(Database!CM61&gt;1,Database!CM140&gt;1),100*(Database!CM61/(Database!CM140)),0.0001)</f>
        <v>1E-4</v>
      </c>
      <c r="AU166" s="99">
        <f>IF(AND(Database!CO61&gt;1,Database!CO140&gt;1),100*(Database!CO61/(Database!CO140)),0.0001)</f>
        <v>1E-4</v>
      </c>
      <c r="AV166" s="99">
        <f>IF(AND(Database!CQ61&gt;1,Database!CQ140&gt;1),100*(Database!CQ61/(Database!CQ140)),0.0001)</f>
        <v>1E-4</v>
      </c>
      <c r="AW166" s="99">
        <f>IF(AND(Database!CS61&gt;1,Database!CS140&gt;1),100*(Database!CS61/(Database!CS140)),0.0001)</f>
        <v>1E-4</v>
      </c>
      <c r="AX166" s="99">
        <f>IF(AND(Database!CU61&gt;1,Database!CU140&gt;1),100*(Database!CU61/(Database!CU140)),0.0001)</f>
        <v>1E-4</v>
      </c>
      <c r="AY166" s="99">
        <f>IF(AND(Database!CW61&gt;1,Database!CW140&gt;1),100*(Database!CW61/(Database!CW140)),0.0001)</f>
        <v>1E-4</v>
      </c>
      <c r="AZ166" s="99">
        <f>IF(AND(Database!CY61&gt;1,Database!CY140&gt;1),100*(Database!CY61/(Database!CY140)),0.0001)</f>
        <v>1E-4</v>
      </c>
      <c r="BA166" s="99">
        <f>IF(AND(Database!DA61&gt;1,Database!DA140&gt;1),100*(Database!DA61/(Database!DA140)),0.0001)</f>
        <v>1E-4</v>
      </c>
      <c r="BB166" s="99">
        <f>IF(AND(Database!DC61&gt;1,Database!DC140&gt;1),100*(Database!DC61/(Database!DC140)),0.0001)</f>
        <v>1E-4</v>
      </c>
      <c r="BC166" s="99">
        <f>IF(AND(Database!DE61&gt;1,Database!DE140&gt;1),100*(Database!DE61/(Database!DE140)),0.0001)</f>
        <v>1E-4</v>
      </c>
      <c r="BD166" s="99">
        <f>IF(AND(Database!DG61&gt;1,Database!DG140&gt;1),100*(Database!DG61/(Database!DG140)),0.0001)</f>
        <v>1E-4</v>
      </c>
      <c r="BE166" s="99">
        <f>IF(AND(Database!DI61&gt;1,Database!DI140&gt;1),100*(Database!DI61/(Database!DI140)),0.0001)</f>
        <v>1E-4</v>
      </c>
      <c r="BF166" s="99">
        <f>IF(AND(Database!DK61&gt;1,Database!DK140&gt;1),100*(Database!DK61/(Database!DK140)),0.0001)</f>
        <v>1E-4</v>
      </c>
      <c r="BG166" s="99">
        <f>IF(AND(Database!DM61&gt;1,Database!DM140&gt;1),100*(Database!DM61/(Database!DM140)),0.0001)</f>
        <v>1E-4</v>
      </c>
      <c r="BH166" s="99">
        <f>IF(AND(Database!DO61&gt;1,Database!DO140&gt;1),100*(Database!DO61/(Database!DO140)),0.0001)</f>
        <v>1E-4</v>
      </c>
      <c r="BI166" s="99">
        <f>IF(AND(Database!DQ61&gt;1,Database!DQ140&gt;1),100*(Database!DQ61/(Database!DQ140)),0.0001)</f>
        <v>1E-4</v>
      </c>
      <c r="BJ166" s="99">
        <f>IF(AND(Database!DS61&gt;1,Database!DS140&gt;1),100*(Database!DS61/(Database!DS140)),0.0001)</f>
        <v>1E-4</v>
      </c>
      <c r="BK166" s="99">
        <f>IF(AND(Database!DU61&gt;1,Database!DU140&gt;1),100*(Database!DU61/(Database!DU140)),0.0001)</f>
        <v>1E-4</v>
      </c>
      <c r="BL166" s="99">
        <f>IF(AND(Database!DW61&gt;1,Database!DW140&gt;1),100*(Database!DW61/(Database!DW140)),0.0001)</f>
        <v>1E-4</v>
      </c>
      <c r="BM166" s="99">
        <f>IF(AND(Database!DY61&gt;1,Database!DY140&gt;1),100*(Database!DY61/(Database!DY140)),0.0001)</f>
        <v>1E-4</v>
      </c>
      <c r="BN166" s="99">
        <f>IF(AND(Database!EA61&gt;1,Database!EA140&gt;1),100*(Database!EA61/(Database!EA140)),0.0001)</f>
        <v>1E-4</v>
      </c>
      <c r="BO166" s="99">
        <f>IF(AND(Database!EC61&gt;1,Database!EC140&gt;1),100*(Database!EC61/(Database!EC140)),0.0001)</f>
        <v>1E-4</v>
      </c>
      <c r="BP166" s="99">
        <f>IF(AND(Database!EE61&gt;1,Database!EE140&gt;1),100*(Database!EE61/(Database!EE140)),0.0001)</f>
        <v>1E-4</v>
      </c>
      <c r="BQ166" s="99">
        <f>IF(AND(Database!EG61&gt;1,Database!EG140&gt;1),100*(Database!EG61/(Database!EG140)),0.0001)</f>
        <v>1E-4</v>
      </c>
      <c r="BR166" s="99">
        <f>IF(AND(Database!EI61&gt;1,Database!EI140&gt;1),100*(Database!EI61/(Database!EI140)),0.0001)</f>
        <v>1E-4</v>
      </c>
      <c r="BS166" s="99">
        <f>IF(AND(Database!EK61&gt;1,Database!EK140&gt;1),100*(Database!EK61/(Database!EK140)),0.0001)</f>
        <v>1E-4</v>
      </c>
      <c r="BT166" s="99">
        <f>IF(AND(Database!EM61&gt;1,Database!EM140&gt;1),100*(Database!EM61/(Database!EM140)),0.0001)</f>
        <v>1E-4</v>
      </c>
      <c r="BU166" s="99">
        <f>IF(AND(Database!EO61&gt;1,Database!EO140&gt;1),100*(Database!EO61/(Database!EO140)),0.0001)</f>
        <v>1E-4</v>
      </c>
      <c r="BV166" s="99">
        <f>IF(AND(Database!EQ61&gt;1,Database!EQ140&gt;1),100*(Database!EQ61/(Database!EQ140)),0.0001)</f>
        <v>1E-4</v>
      </c>
      <c r="BW166" s="99">
        <f>IF(AND(Database!ES61&gt;1,Database!ES140&gt;1),100*(Database!ES61/(Database!ES140)),0.0001)</f>
        <v>1E-4</v>
      </c>
      <c r="BX166" s="99">
        <f>IF(AND(Database!EU61&gt;1,Database!EU140&gt;1),100*(Database!EU61/(Database!EU140)),0.0001)</f>
        <v>1E-4</v>
      </c>
      <c r="BY166" s="99">
        <f>IF(AND(Database!EW61&gt;1,Database!EW140&gt;1),100*(Database!EW61/(Database!EW140)),0.0001)</f>
        <v>1E-4</v>
      </c>
      <c r="BZ166" s="99">
        <f>IF(AND(Database!EY61&gt;1,Database!EY140&gt;1),100*(Database!EY61/(Database!EY140)),0.0001)</f>
        <v>1E-4</v>
      </c>
      <c r="CA166" s="99">
        <f>IF(AND(Database!FA61&gt;1,Database!FA140&gt;1),100*(Database!FA61/(Database!FA140)),0.0001)</f>
        <v>1E-4</v>
      </c>
      <c r="CB166" s="99">
        <f>IF(AND(Database!FC61&gt;1,Database!FC140&gt;1),100*(Database!FC61/(Database!FC140)),0.0001)</f>
        <v>1E-4</v>
      </c>
      <c r="CC166" s="99">
        <f>IF(AND(Database!FE61&gt;1,Database!FE140&gt;1),100*(Database!FE61/(Database!FE140)),0.0001)</f>
        <v>1E-4</v>
      </c>
      <c r="CD166" s="99">
        <f>IF(AND(Database!FG61&gt;1,Database!FG140&gt;1),100*(Database!FG61/(Database!FG140)),0.0001)</f>
        <v>1E-4</v>
      </c>
      <c r="CE166" s="99">
        <f>IF(AND(Database!FI61&gt;1,Database!FI140&gt;1),100*(Database!FI61/(Database!FI140)),0.0001)</f>
        <v>1E-4</v>
      </c>
      <c r="CF166" s="99">
        <f>IF(AND(Database!FK61&gt;1,Database!FK140&gt;1),100*(Database!FK61/(Database!FK140)),0.0001)</f>
        <v>1E-4</v>
      </c>
      <c r="CG166" s="99">
        <f>IF(AND(Database!FM61&gt;1,Database!FM140&gt;1),100*(Database!FM61/(Database!FM140)),0.0001)</f>
        <v>1E-4</v>
      </c>
      <c r="CH166" s="99">
        <f>IF(AND(Database!FO61&gt;1,Database!FO140&gt;1),100*(Database!FO61/(Database!FO140)),0.0001)</f>
        <v>1E-4</v>
      </c>
      <c r="CI166" s="99">
        <f>IF(AND(Database!FQ61&gt;1,Database!FQ140&gt;1),100*(Database!FQ61/(Database!FQ140)),0.0001)</f>
        <v>1E-4</v>
      </c>
      <c r="CJ166" s="99">
        <f>IF(AND(Database!FS61&gt;1,Database!FS140&gt;1),100*(Database!FS61/(Database!FS140)),0.0001)</f>
        <v>1E-4</v>
      </c>
      <c r="CK166" s="99">
        <f>IF(AND(Database!FU61&gt;1,Database!FU140&gt;1),100*(Database!FU61/(Database!FU140)),0.0001)</f>
        <v>1E-4</v>
      </c>
      <c r="CL166" s="99">
        <f>IF(AND(Database!FW61&gt;1,Database!FW140&gt;1),100*(Database!FW61/(Database!FW140)),0.0001)</f>
        <v>1E-4</v>
      </c>
      <c r="CM166" s="99">
        <f>IF(AND(Database!FY61&gt;1,Database!FY140&gt;1),100*(Database!FY61/(Database!FY140)),0.0001)</f>
        <v>1E-4</v>
      </c>
      <c r="CN166" s="99">
        <f>IF(AND(Database!GA61&gt;1,Database!GA140&gt;1),100*(Database!GA61/(Database!GA140)),0.0001)</f>
        <v>1E-4</v>
      </c>
      <c r="CO166" s="99">
        <f>IF(AND(Database!GC61&gt;1,Database!GC140&gt;1),100*(Database!GC61/(Database!GC140)),0.0001)</f>
        <v>1E-4</v>
      </c>
      <c r="CP166" s="99">
        <f>IF(AND(Database!GE61&gt;1,Database!GE140&gt;1),100*(Database!GE61/(Database!GE140)),0.0001)</f>
        <v>1E-4</v>
      </c>
      <c r="CQ166" s="99">
        <f>IF(AND(Database!GG61&gt;1,Database!GG140&gt;1),100*(Database!GG61/(Database!GG140)),0.0001)</f>
        <v>1E-4</v>
      </c>
      <c r="CR166" s="99">
        <f>IF(AND(Database!GI61&gt;1,Database!GI140&gt;1),100*(Database!GI61/(Database!GI140)),0.0001)</f>
        <v>1E-4</v>
      </c>
      <c r="CS166" s="99">
        <f>IF(AND(Database!GK61&gt;1,Database!GK140&gt;1),100*(Database!GK61/(Database!GK140)),0.0001)</f>
        <v>1E-4</v>
      </c>
      <c r="CT166" s="99">
        <f>IF(AND(Database!GM61&gt;1,Database!GM140&gt;1),100*(Database!GM61/(Database!GM140)),0.0001)</f>
        <v>1E-4</v>
      </c>
      <c r="CU166" s="99">
        <f>IF(AND(Database!GO61&gt;1,Database!GO140&gt;1),100*(Database!GO61/(Database!GO140)),0.0001)</f>
        <v>1E-4</v>
      </c>
      <c r="CV166" s="99">
        <f>IF(AND(Database!GQ61&gt;1,Database!GQ140&gt;1),100*(Database!GQ61/(Database!GQ140)),0.0001)</f>
        <v>1E-4</v>
      </c>
      <c r="CW166" s="99">
        <f>IF(AND(Database!GS61&gt;1,Database!GS140&gt;1),100*(Database!GS61/(Database!GS140)),0.0001)</f>
        <v>1E-4</v>
      </c>
      <c r="CX166" s="99">
        <f>IF(AND(Database!GU61&gt;1,Database!GU140&gt;1),100*(Database!GU61/(Database!GU140)),0.0001)</f>
        <v>1E-4</v>
      </c>
      <c r="CY166" s="99">
        <f>IF(AND(Database!GW61&gt;1,Database!GW140&gt;1),100*(Database!GW61/(Database!GW140)),0.0001)</f>
        <v>1E-4</v>
      </c>
      <c r="CZ166" s="99">
        <f>IF(AND(Database!GY61&gt;1,Database!GY140&gt;1),100*(Database!GY61/(Database!GY140)),0.0001)</f>
        <v>1E-4</v>
      </c>
      <c r="DA166" s="99">
        <f>IF(AND(Database!HA61&gt;1,Database!HA140&gt;1),100*(Database!HA61/(Database!HA140)),0.0001)</f>
        <v>1E-4</v>
      </c>
      <c r="DB166" s="99">
        <f>IF(AND(Database!HC61&gt;1,Database!HC140&gt;1),100*(Database!HC61/(Database!HC140)),0.0001)</f>
        <v>1E-4</v>
      </c>
      <c r="DC166" s="99">
        <f>IF(AND(Database!HE61&gt;1,Database!HE140&gt;1),100*(Database!HE61/(Database!HE140)),0.0001)</f>
        <v>1E-4</v>
      </c>
      <c r="DD166" s="99">
        <f>IF(AND(Database!HG61&gt;1,Database!HG140&gt;1),100*(Database!HG61/(Database!HG140)),0.0001)</f>
        <v>1E-4</v>
      </c>
      <c r="DE166" s="99">
        <f>IF(AND(Database!HI61&gt;1,Database!HI140&gt;1),100*(Database!HI61/(Database!HI140)),0.0001)</f>
        <v>1E-4</v>
      </c>
      <c r="DF166" s="99">
        <f>IF(AND(Database!HK61&gt;1,Database!HK140&gt;1),100*(Database!HK61/(Database!HK140)),0.0001)</f>
        <v>1E-4</v>
      </c>
      <c r="DG166" s="99">
        <f>IF(AND(Database!HM61&gt;1,Database!HM140&gt;1),100*(Database!HM61/(Database!HM140)),0.0001)</f>
        <v>1E-4</v>
      </c>
      <c r="DH166" s="99">
        <f>IF(AND(Database!HO61&gt;1,Database!HO140&gt;1),100*(Database!HO61/(Database!HO140)),0.0001)</f>
        <v>1E-4</v>
      </c>
      <c r="DI166" s="99">
        <f>IF(AND(Database!HQ61&gt;1,Database!HQ140&gt;1),100*(Database!HQ61/(Database!HQ140)),0.0001)</f>
        <v>1E-4</v>
      </c>
      <c r="DJ166" s="99">
        <f>IF(AND(Database!HS61&gt;1,Database!HS140&gt;1),100*(Database!HS61/(Database!HS140)),0.0001)</f>
        <v>1E-4</v>
      </c>
      <c r="DK166" s="99">
        <f>IF(AND(Database!HU61&gt;1,Database!HU140&gt;1),100*(Database!HU61/(Database!HU140)),0.0001)</f>
        <v>1E-4</v>
      </c>
      <c r="DL166" s="99">
        <f>IF(AND(Database!HW61&gt;1,Database!HW140&gt;1),100*(Database!HW61/(Database!HW140)),0.0001)</f>
        <v>1E-4</v>
      </c>
      <c r="DM166" s="99">
        <f>IF(AND(Database!HY61&gt;1,Database!HY140&gt;1),100*(Database!HY61/(Database!HY140)),0.0001)</f>
        <v>1E-4</v>
      </c>
      <c r="DN166" s="99">
        <f>IF(AND(Database!IA61&gt;1,Database!IA140&gt;1),100*(Database!IA61/(Database!IA140)),0.0001)</f>
        <v>1E-4</v>
      </c>
      <c r="DO166" s="99">
        <f>IF(AND(Database!IC61&gt;1,Database!IC140&gt;1),100*(Database!IC61/(Database!IC140)),0.0001)</f>
        <v>1E-4</v>
      </c>
      <c r="DP166" s="99">
        <f>IF(AND(Database!IE61&gt;1,Database!IE140&gt;1),100*(Database!IE61/(Database!IE140)),0.0001)</f>
        <v>1E-4</v>
      </c>
      <c r="DQ166" s="99">
        <f>IF(AND(Database!IG61&gt;1,Database!IG140&gt;1),100*(Database!IG61/(Database!IG140)),0.0001)</f>
        <v>1E-4</v>
      </c>
      <c r="DR166" s="99">
        <f>IF(AND(Database!II61&gt;1,Database!II140&gt;1),100*(Database!II61/(Database!II140)),0.0001)</f>
        <v>1E-4</v>
      </c>
      <c r="DS166" s="99">
        <f>IF(AND(Database!IK61&gt;1,Database!IK140&gt;1),100*(Database!IK61/(Database!IK140)),0.0001)</f>
        <v>1E-4</v>
      </c>
      <c r="DT166" s="99">
        <f>IF(AND(Database!IM61&gt;1,Database!IM140&gt;1),100*(Database!IM61/(Database!IM140)),0.0001)</f>
        <v>1E-4</v>
      </c>
      <c r="DU166" s="99">
        <f>IF(AND(Database!IO61&gt;1,Database!IO140&gt;1),100*(Database!IO61/(Database!IO140)),0.0001)</f>
        <v>1E-4</v>
      </c>
      <c r="DV166" s="99">
        <f>IF(AND(Database!IQ61&gt;1,Database!IQ140&gt;1),100*(Database!IQ61/(Database!IQ140)),0.0001)</f>
        <v>1E-4</v>
      </c>
      <c r="DW166" s="99">
        <f>IF(AND(Database!IS61&gt;1,Database!IS140&gt;1),100*(Database!IS61/(Database!IS140)),0.0001)</f>
        <v>1E-4</v>
      </c>
      <c r="DX166" s="99">
        <f>IF(AND(Database!IU61&gt;1,Database!IU140&gt;1),100*(Database!IU61/(Database!IU140)),0.0001)</f>
        <v>1E-4</v>
      </c>
      <c r="DY166" s="99">
        <f>IF(AND(Database!IW61&gt;1,Database!IW140&gt;1),100*(Database!IW61/(Database!IW140)),0.0001)</f>
        <v>1E-4</v>
      </c>
      <c r="DZ166" s="99">
        <f>IF(AND(Database!IY61&gt;1,Database!IY140&gt;1),100*(Database!IY61/(Database!IY140)),0.0001)</f>
        <v>1E-4</v>
      </c>
      <c r="EA166" s="99">
        <f>IF(AND(Database!JA61&gt;1,Database!JA140&gt;1),100*(Database!JA61/(Database!JA140)),0.0001)</f>
        <v>1E-4</v>
      </c>
      <c r="EB166" s="99">
        <f>IF(AND(Database!JC61&gt;1,Database!JC140&gt;1),100*(Database!JC61/(Database!JC140)),0.0001)</f>
        <v>1E-4</v>
      </c>
      <c r="EC166" s="99">
        <f>IF(AND(Database!JE61&gt;1,Database!JE140&gt;1),100*(Database!JE61/(Database!JE140)),0.0001)</f>
        <v>1E-4</v>
      </c>
      <c r="ED166" s="99">
        <f>IF(AND(Database!JG61&gt;1,Database!JG140&gt;1),100*(Database!JG61/(Database!JG140)),0.0001)</f>
        <v>1E-4</v>
      </c>
      <c r="EE166" s="99">
        <f>IF(AND(Database!JI61&gt;1,Database!JI140&gt;1),100*(Database!JI61/(Database!JI140)),0.0001)</f>
        <v>1E-4</v>
      </c>
      <c r="EF166" s="99">
        <f>IF(AND(Database!JK61&gt;1,Database!JK140&gt;1),100*(Database!JK61/(Database!JK140)),0.0001)</f>
        <v>1E-4</v>
      </c>
      <c r="EG166" s="99">
        <f>IF(AND(Database!JM61&gt;1,Database!JM140&gt;1),100*(Database!JM61/(Database!JM140)),0.0001)</f>
        <v>1E-4</v>
      </c>
      <c r="EH166" s="99">
        <f>IF(AND(Database!JO61&gt;1,Database!JO140&gt;1),100*(Database!JO61/(Database!JO140)),0.0001)</f>
        <v>1E-4</v>
      </c>
      <c r="EI166" s="99">
        <f>IF(AND(Database!JQ61&gt;1,Database!JQ140&gt;1),100*(Database!JQ61/(Database!JQ140)),0.0001)</f>
        <v>1E-4</v>
      </c>
      <c r="EJ166" s="99">
        <f>IF(AND(Database!JS61&gt;1,Database!JS140&gt;1),100*(Database!JS61/(Database!JS140)),0.0001)</f>
        <v>1E-4</v>
      </c>
      <c r="EK166" s="99">
        <f>IF(AND(Database!JU61&gt;1,Database!JU140&gt;1),100*(Database!JU61/(Database!JU140)),0.0001)</f>
        <v>1E-4</v>
      </c>
      <c r="EL166" s="99">
        <f>IF(AND(Database!JW61&gt;1,Database!JW140&gt;1),100*(Database!JW61/(Database!JW140)),0.0001)</f>
        <v>1E-4</v>
      </c>
      <c r="EM166" s="99">
        <f>IF(AND(Database!JY61&gt;1,Database!JY140&gt;1),100*(Database!JY61/(Database!JY140)),0.0001)</f>
        <v>1E-4</v>
      </c>
      <c r="EN166" s="99">
        <f>IF(AND(Database!KA61&gt;1,Database!KA140&gt;1),100*(Database!KA61/(Database!KA140)),0.0001)</f>
        <v>1E-4</v>
      </c>
      <c r="EO166" s="99">
        <f>IF(AND(Database!KC61&gt;1,Database!KC140&gt;1),100*(Database!KC61/(Database!KC140)),0.0001)</f>
        <v>1E-4</v>
      </c>
      <c r="EP166" s="99">
        <f>IF(AND(Database!KE61&gt;1,Database!KE140&gt;1),100*(Database!KE61/(Database!KE140)),0.0001)</f>
        <v>1E-4</v>
      </c>
      <c r="EQ166" s="99">
        <f>IF(AND(Database!KG61&gt;1,Database!KG140&gt;1),100*(Database!KG61/(Database!KG140)),0.0001)</f>
        <v>1E-4</v>
      </c>
      <c r="ER166" s="99">
        <f>IF(AND(Database!KI61&gt;1,Database!KI140&gt;1),100*(Database!KI61/(Database!KI140)),0.0001)</f>
        <v>1E-4</v>
      </c>
      <c r="ES166" s="99">
        <f>IF(AND(Database!KK61&gt;1,Database!KK140&gt;1),100*(Database!KK61/(Database!KK140)),0.0001)</f>
        <v>1E-4</v>
      </c>
      <c r="ET166" s="99">
        <f>IF(AND(Database!KM61&gt;1,Database!KM140&gt;1),100*(Database!KM61/(Database!KM140)),0.0001)</f>
        <v>1E-4</v>
      </c>
      <c r="EU166" s="99">
        <f>IF(AND(Database!KO61&gt;1,Database!KO140&gt;1),100*(Database!KO61/(Database!KO140)),0.0001)</f>
        <v>1E-4</v>
      </c>
      <c r="EV166" s="99">
        <f>IF(AND(Database!KQ61&gt;1,Database!KQ140&gt;1),100*(Database!KQ61/(Database!KQ140)),0.0001)</f>
        <v>1E-4</v>
      </c>
      <c r="EW166" s="99">
        <f>IF(AND(Database!KS61&gt;1,Database!KS140&gt;1),100*(Database!KS61/(Database!KS140)),0.0001)</f>
        <v>1E-4</v>
      </c>
      <c r="EX166" s="99">
        <f>IF(AND(Database!KU61&gt;1,Database!KU140&gt;1),100*(Database!KU61/(Database!KU140)),0.0001)</f>
        <v>1E-4</v>
      </c>
      <c r="EY166" s="99">
        <f>IF(AND(Database!KW61&gt;1,Database!KW140&gt;1),100*(Database!KW61/(Database!KW140)),0.0001)</f>
        <v>1E-4</v>
      </c>
      <c r="EZ166" s="99">
        <f>IF(AND(Database!KY61&gt;1,Database!KY140&gt;1),100*(Database!KY61/(Database!KY140)),0.0001)</f>
        <v>1E-4</v>
      </c>
      <c r="FA166" s="99">
        <f>IF(AND(Database!LA61&gt;1,Database!LA140&gt;1),100*(Database!LA61/(Database!LA140)),0.0001)</f>
        <v>1E-4</v>
      </c>
      <c r="FB166" s="99">
        <f>IF(AND(Database!LC61&gt;1,Database!LC140&gt;1),100*(Database!LC61/(Database!LC140)),0.0001)</f>
        <v>1E-4</v>
      </c>
      <c r="FC166" s="99">
        <f>IF(AND(Database!LE61&gt;1,Database!LE140&gt;1),100*(Database!LE61/(Database!LE140)),0.0001)</f>
        <v>1E-4</v>
      </c>
      <c r="FD166" s="99">
        <f>IF(AND(Database!LG61&gt;1,Database!LG140&gt;1),100*(Database!LG61/(Database!LG140)),0.0001)</f>
        <v>1E-4</v>
      </c>
      <c r="FE166" s="99">
        <f>IF(AND(Database!LI61&gt;1,Database!LI140&gt;1),100*(Database!LI61/(Database!LI140)),0.0001)</f>
        <v>1E-4</v>
      </c>
      <c r="FF166" s="99">
        <f>IF(AND(Database!LK61&gt;1,Database!LK140&gt;1),100*(Database!LK61/(Database!LK140)),0.0001)</f>
        <v>1E-4</v>
      </c>
      <c r="FG166" s="99">
        <f>IF(AND(Database!LM61&gt;1,Database!LM140&gt;1),100*(Database!LM61/(Database!LM140)),0.0001)</f>
        <v>1E-4</v>
      </c>
      <c r="FH166" s="99">
        <f>IF(AND(Database!LO61&gt;1,Database!LO140&gt;1),100*(Database!LO61/(Database!LO140)),0.0001)</f>
        <v>1E-4</v>
      </c>
      <c r="FI166" s="99">
        <f>IF(AND(Database!LQ61&gt;1,Database!LQ140&gt;1),100*(Database!LQ61/(Database!LQ140)),0.0001)</f>
        <v>1E-4</v>
      </c>
      <c r="FJ166" s="99">
        <f>IF(AND(Database!LS61&gt;1,Database!LS140&gt;1),100*(Database!LS61/(Database!LS140)),0.0001)</f>
        <v>1E-4</v>
      </c>
      <c r="FK166" s="99">
        <f>IF(AND(Database!LU61&gt;1,Database!LU140&gt;1),100*(Database!LU61/(Database!LU140)),0.0001)</f>
        <v>1E-4</v>
      </c>
      <c r="FL166" s="99">
        <f>IF(AND(Database!LW61&gt;1,Database!LW140&gt;1),100*(Database!LW61/(Database!LW140)),0.0001)</f>
        <v>1E-4</v>
      </c>
      <c r="FM166" s="99">
        <f>IF(AND(Database!LY61&gt;1,Database!LY140&gt;1),100*(Database!LY61/(Database!LY140)),0.0001)</f>
        <v>1E-4</v>
      </c>
      <c r="FN166" s="99">
        <f>IF(AND(Database!MA61&gt;1,Database!MA140&gt;1),100*(Database!MA61/(Database!MA140)),0.0001)</f>
        <v>1E-4</v>
      </c>
      <c r="FO166" s="99">
        <f>IF(AND(Database!MC61&gt;1,Database!MC140&gt;1),100*(Database!MC61/(Database!MC140)),0.0001)</f>
        <v>1E-4</v>
      </c>
      <c r="FP166" s="99">
        <f>IF(AND(Database!ME61&gt;1,Database!ME140&gt;1),100*(Database!ME61/(Database!ME140)),0.0001)</f>
        <v>1E-4</v>
      </c>
      <c r="FQ166" s="99">
        <f>IF(AND(Database!MG61&gt;1,Database!MG140&gt;1),100*(Database!MG61/(Database!MG140)),0.0001)</f>
        <v>1E-4</v>
      </c>
      <c r="FR166" s="99">
        <f>IF(AND(Database!MI61&gt;1,Database!MI140&gt;1),100*(Database!MI61/(Database!MI140)),0.0001)</f>
        <v>1E-4</v>
      </c>
      <c r="FS166" s="99">
        <f>IF(AND(Database!MK61&gt;1,Database!MK140&gt;1),100*(Database!MK61/(Database!MK140)),0.0001)</f>
        <v>1E-4</v>
      </c>
      <c r="FT166" s="99">
        <f>IF(AND(Database!MM61&gt;1,Database!MM140&gt;1),100*(Database!MM61/(Database!MM140)),0.0001)</f>
        <v>1E-4</v>
      </c>
      <c r="FU166" s="99">
        <f>IF(AND(Database!MO61&gt;1,Database!MO140&gt;1),100*(Database!MO61/(Database!MO140)),0.0001)</f>
        <v>1E-4</v>
      </c>
      <c r="FV166" s="99">
        <f>IF(AND(Database!MQ61&gt;1,Database!MQ140&gt;1),100*(Database!MQ61/(Database!MQ140)),0.0001)</f>
        <v>1E-4</v>
      </c>
      <c r="FW166" s="99">
        <f>IF(AND(Database!MS61&gt;1,Database!MS140&gt;1),100*(Database!MS61/(Database!MS140)),0.0001)</f>
        <v>1E-4</v>
      </c>
      <c r="FX166" s="99">
        <f>IF(AND(Database!MU61&gt;1,Database!MU140&gt;1),100*(Database!MU61/(Database!MU140)),0.0001)</f>
        <v>1E-4</v>
      </c>
      <c r="FY166" s="99">
        <f>IF(AND(Database!MW61&gt;1,Database!MW140&gt;1),100*(Database!MW61/(Database!MW140)),0.0001)</f>
        <v>1E-4</v>
      </c>
      <c r="FZ166" s="99">
        <f>IF(AND(Database!MY61&gt;1,Database!MY140&gt;1),100*(Database!MY61/(Database!MY140)),0.0001)</f>
        <v>1E-4</v>
      </c>
      <c r="GA166" s="99">
        <f>IF(AND(Database!NA61&gt;1,Database!NA140&gt;1),100*(Database!NA61/(Database!NA140)),0.0001)</f>
        <v>1E-4</v>
      </c>
      <c r="GB166" s="99">
        <f>IF(AND(Database!NC61&gt;1,Database!NC140&gt;1),100*(Database!NC61/(Database!NC140)),0.0001)</f>
        <v>1E-4</v>
      </c>
      <c r="GC166" s="99">
        <f>IF(AND(Database!NE61&gt;1,Database!NE140&gt;1),100*(Database!NE61/(Database!NE140)),0.0001)</f>
        <v>1E-4</v>
      </c>
      <c r="GD166" s="99">
        <f>IF(AND(Database!NG61&gt;1,Database!NG140&gt;1),100*(Database!NG61/(Database!NG140)),0.0001)</f>
        <v>1E-4</v>
      </c>
      <c r="GE166" s="99">
        <f>IF(AND(Database!NI61&gt;1,Database!NI140&gt;1),100*(Database!NI61/(Database!NI140)),0.0001)</f>
        <v>1E-4</v>
      </c>
      <c r="GF166" s="99">
        <f>IF(AND(Database!NK61&gt;1,Database!NK140&gt;1),100*(Database!NK61/(Database!NK140)),0.0001)</f>
        <v>1E-4</v>
      </c>
      <c r="GG166" s="99">
        <f>IF(AND(Database!NM61&gt;1,Database!NM140&gt;1),100*(Database!NM61/(Database!NM140)),0.0001)</f>
        <v>1E-4</v>
      </c>
      <c r="GH166" s="99">
        <f>IF(AND(Database!NO61&gt;1,Database!NO140&gt;1),100*(Database!NO61/(Database!NO140)),0.0001)</f>
        <v>1E-4</v>
      </c>
      <c r="GI166" s="99">
        <f>IF(AND(Database!NQ61&gt;1,Database!NQ140&gt;1),100*(Database!NQ61/(Database!NQ140)),0.0001)</f>
        <v>1E-4</v>
      </c>
      <c r="GJ166" s="99">
        <f>IF(AND(Database!NS61&gt;1,Database!NS140&gt;1),100*(Database!NS61/(Database!NS140)),0.0001)</f>
        <v>1E-4</v>
      </c>
      <c r="GK166" s="99">
        <f>IF(AND(Database!NU61&gt;1,Database!NU140&gt;1),100*(Database!NU61/(Database!NU140)),0.0001)</f>
        <v>1E-4</v>
      </c>
      <c r="GL166" s="99">
        <f>IF(AND(Database!NW61&gt;1,Database!NW140&gt;1),100*(Database!NW61/(Database!NW140)),0.0001)</f>
        <v>1E-4</v>
      </c>
      <c r="GM166" s="99">
        <f>IF(AND(Database!NY61&gt;1,Database!NY140&gt;1),100*(Database!NY61/(Database!NY140)),0.0001)</f>
        <v>1E-4</v>
      </c>
      <c r="GN166" s="99">
        <f>IF(AND(Database!OA61&gt;1,Database!OA140&gt;1),100*(Database!OA61/(Database!OA140)),0.0001)</f>
        <v>1E-4</v>
      </c>
      <c r="GO166" s="99">
        <f>IF(AND(Database!OC61&gt;1,Database!OC140&gt;1),100*(Database!OC61/(Database!OC140)),0.0001)</f>
        <v>1E-4</v>
      </c>
      <c r="GP166" s="99">
        <f>IF(AND(Database!OE61&gt;1,Database!OE140&gt;1),100*(Database!OE61/(Database!OE140)),0.0001)</f>
        <v>1E-4</v>
      </c>
      <c r="GQ166" s="99">
        <f>IF(AND(Database!OG61&gt;1,Database!OG140&gt;1),100*(Database!OG61/(Database!OG140)),0.0001)</f>
        <v>1E-4</v>
      </c>
      <c r="GR166" s="99">
        <f>IF(AND(Database!OI61&gt;1,Database!OI140&gt;1),100*(Database!OI61/(Database!OI140)),0.0001)</f>
        <v>1E-4</v>
      </c>
      <c r="GS166" s="99">
        <f>IF(AND(Database!OK61&gt;1,Database!OK140&gt;1),100*(Database!OK61/(Database!OK140)),0.0001)</f>
        <v>1E-4</v>
      </c>
      <c r="GT166" s="30">
        <f>IF(AND(Database!OM61&gt;1,Database!OM140&gt;1),100*(Database!OM61/(Database!OM140)),0.0001)</f>
        <v>1E-4</v>
      </c>
      <c r="GU166" s="99"/>
      <c r="GV166" s="99"/>
      <c r="GW166" s="99"/>
    </row>
    <row r="167" spans="1:205" ht="18.75" customHeight="1" x14ac:dyDescent="0.4">
      <c r="A167" s="240" t="s">
        <v>177</v>
      </c>
      <c r="B167" s="96"/>
      <c r="C167" s="260">
        <f>IF(AND(Database!E134&gt;1,Database!E53&gt;1),100*(Database!E134/(Database!E53)),0.0001)</f>
        <v>1E-4</v>
      </c>
      <c r="D167" s="99">
        <f>IF(AND(Database!G134&gt;1,Database!G53&gt;1),100*(Database!G134/(Database!G53)),0.0001)</f>
        <v>1E-4</v>
      </c>
      <c r="E167" s="99">
        <f>IF(AND(Database!I134&gt;1,Database!I53&gt;1),100*(Database!I134/(Database!I53)),0.0001)</f>
        <v>1E-4</v>
      </c>
      <c r="F167" s="99">
        <f>IF(AND(Database!K134&gt;1,Database!K53&gt;1),100*(Database!K134/(Database!K53)),0.0001)</f>
        <v>1E-4</v>
      </c>
      <c r="G167" s="99">
        <f>IF(AND(Database!M134&gt;1,Database!M53&gt;1),100*(Database!M134/(Database!M53)),0.0001)</f>
        <v>1E-4</v>
      </c>
      <c r="H167" s="99">
        <f>IF(AND(Database!O134&gt;1,Database!O53&gt;1),100*(Database!O134/(Database!O53)),0.0001)</f>
        <v>1E-4</v>
      </c>
      <c r="I167" s="99">
        <f>IF(AND(Database!Q134&gt;1,Database!Q53&gt;1),100*(Database!Q134/(Database!Q53)),0.0001)</f>
        <v>1E-4</v>
      </c>
      <c r="J167" s="99">
        <f>IF(AND(Database!S134&gt;1,Database!S53&gt;1),100*(Database!S134/(Database!S53)),0.0001)</f>
        <v>1E-4</v>
      </c>
      <c r="K167" s="99">
        <f>IF(AND(Database!U134&gt;1,Database!U53&gt;1),100*(Database!U134/(Database!U53)),0.0001)</f>
        <v>1E-4</v>
      </c>
      <c r="L167" s="99">
        <f>IF(AND(Database!W134&gt;1,Database!W53&gt;1),100*(Database!W134/(Database!W53)),0.0001)</f>
        <v>1E-4</v>
      </c>
      <c r="M167" s="99">
        <f>IF(AND(Database!Y134&gt;1,Database!Y53&gt;1),100*(Database!Y134/(Database!Y53)),0.0001)</f>
        <v>1E-4</v>
      </c>
      <c r="N167" s="99">
        <f>IF(AND(Database!AA134&gt;1,Database!AA53&gt;1),100*(Database!AA134/(Database!AA53)),0.0001)</f>
        <v>1E-4</v>
      </c>
      <c r="O167" s="99">
        <f>IF(AND(Database!AC134&gt;1,Database!AC53&gt;1),100*(Database!AC134/(Database!AC53)),0.0001)</f>
        <v>1E-4</v>
      </c>
      <c r="P167" s="99">
        <f>IF(AND(Database!AE134&gt;1,Database!AE53&gt;1),100*(Database!AE134/(Database!AE53)),0.0001)</f>
        <v>1E-4</v>
      </c>
      <c r="Q167" s="99">
        <f>IF(AND(Database!AG134&gt;1,Database!AG53&gt;1),100*(Database!AG134/(Database!AG53)),0.0001)</f>
        <v>1E-4</v>
      </c>
      <c r="R167" s="99">
        <f>IF(AND(Database!AI134&gt;1,Database!AI53&gt;1),100*(Database!AI134/(Database!AI53)),0.0001)</f>
        <v>1E-4</v>
      </c>
      <c r="S167" s="99">
        <f>IF(AND(Database!AK134&gt;1,Database!AK53&gt;1),100*(Database!AK134/(Database!AK53)),0.0001)</f>
        <v>1E-4</v>
      </c>
      <c r="T167" s="99">
        <f>IF(AND(Database!AM134&gt;1,Database!AM53&gt;1),100*(Database!AM134/(Database!AM53)),0.0001)</f>
        <v>1E-4</v>
      </c>
      <c r="U167" s="99">
        <f>IF(AND(Database!AO134&gt;1,Database!AO53&gt;1),100*(Database!AO134/(Database!AO53)),0.0001)</f>
        <v>1E-4</v>
      </c>
      <c r="V167" s="99">
        <f>IF(AND(Database!AQ134&gt;1,Database!AQ53&gt;1),100*(Database!AQ134/(Database!AQ53)),0.0001)</f>
        <v>1E-4</v>
      </c>
      <c r="W167" s="99">
        <f>IF(AND(Database!AS134&gt;1,Database!AS53&gt;1),100*(Database!AS134/(Database!AS53)),0.0001)</f>
        <v>1E-4</v>
      </c>
      <c r="X167" s="99">
        <f>IF(AND(Database!AU134&gt;1,Database!AU53&gt;1),100*(Database!AU134/(Database!AU53)),0.0001)</f>
        <v>1E-4</v>
      </c>
      <c r="Y167" s="99">
        <f>IF(AND(Database!AW134&gt;1,Database!AW53&gt;1),100*(Database!AW134/(Database!AW53)),0.0001)</f>
        <v>1E-4</v>
      </c>
      <c r="Z167" s="99">
        <f>IF(AND(Database!AY134&gt;1,Database!AY53&gt;1),100*(Database!AY134/(Database!AY53)),0.0001)</f>
        <v>1E-4</v>
      </c>
      <c r="AA167" s="99">
        <f>IF(AND(Database!BA134&gt;1,Database!BA53&gt;1),100*(Database!BA134/(Database!BA53)),0.0001)</f>
        <v>1E-4</v>
      </c>
      <c r="AB167" s="99">
        <f>IF(AND(Database!BC134&gt;1,Database!BC53&gt;1),100*(Database!BC134/(Database!BC53)),0.0001)</f>
        <v>1E-4</v>
      </c>
      <c r="AC167" s="99">
        <f>IF(AND(Database!BE134&gt;1,Database!BE53&gt;1),100*(Database!BE134/(Database!BE53)),0.0001)</f>
        <v>1E-4</v>
      </c>
      <c r="AD167" s="99">
        <f>IF(AND(Database!BG134&gt;1,Database!BG53&gt;1),100*(Database!BG134/(Database!BG53)),0.0001)</f>
        <v>1E-4</v>
      </c>
      <c r="AE167" s="99">
        <f>IF(AND(Database!BI134&gt;1,Database!BI53&gt;1),100*(Database!BI134/(Database!BI53)),0.0001)</f>
        <v>1E-4</v>
      </c>
      <c r="AF167" s="99">
        <f>IF(AND(Database!BK134&gt;1,Database!BK53&gt;1),100*(Database!BK134/(Database!BK53)),0.0001)</f>
        <v>1E-4</v>
      </c>
      <c r="AG167" s="99">
        <f>IF(AND(Database!BM134&gt;1,Database!BM53&gt;1),100*(Database!BM134/(Database!BM53)),0.0001)</f>
        <v>1E-4</v>
      </c>
      <c r="AH167" s="99">
        <f>IF(AND(Database!BO134&gt;1,Database!BO53&gt;1),100*(Database!BO134/(Database!BO53)),0.0001)</f>
        <v>1E-4</v>
      </c>
      <c r="AI167" s="99">
        <f>IF(AND(Database!BQ134&gt;1,Database!BQ53&gt;1),100*(Database!BQ134/(Database!BQ53)),0.0001)</f>
        <v>1E-4</v>
      </c>
      <c r="AJ167" s="99">
        <f>IF(AND(Database!BS134&gt;1,Database!BS53&gt;1),100*(Database!BS134/(Database!BS53)),0.0001)</f>
        <v>1E-4</v>
      </c>
      <c r="AK167" s="99">
        <f>IF(AND(Database!BU134&gt;1,Database!BU53&gt;1),100*(Database!BU134/(Database!BU53)),0.0001)</f>
        <v>1E-4</v>
      </c>
      <c r="AL167" s="99">
        <f>IF(AND(Database!BW134&gt;1,Database!BW53&gt;1),100*(Database!BW134/(Database!BW53)),0.0001)</f>
        <v>1E-4</v>
      </c>
      <c r="AM167" s="99">
        <f>IF(AND(Database!BY134&gt;1,Database!BY53&gt;1),100*(Database!BY134/(Database!BY53)),0.0001)</f>
        <v>1E-4</v>
      </c>
      <c r="AN167" s="99">
        <f>IF(AND(Database!CA134&gt;1,Database!CA53&gt;1),100*(Database!CA134/(Database!CA53)),0.0001)</f>
        <v>1E-4</v>
      </c>
      <c r="AO167" s="99">
        <f>IF(AND(Database!CC134&gt;1,Database!CC53&gt;1),100*(Database!CC134/(Database!CC53)),0.0001)</f>
        <v>1E-4</v>
      </c>
      <c r="AP167" s="99">
        <f>IF(AND(Database!CE134&gt;1,Database!CE53&gt;1),100*(Database!CE134/(Database!CE53)),0.0001)</f>
        <v>1E-4</v>
      </c>
      <c r="AQ167" s="99">
        <f>IF(AND(Database!CG134&gt;1,Database!CG53&gt;1),100*(Database!CG134/(Database!CG53)),0.0001)</f>
        <v>1E-4</v>
      </c>
      <c r="AR167" s="99">
        <f>IF(AND(Database!CI134&gt;1,Database!CI53&gt;1),100*(Database!CI134/(Database!CI53)),0.0001)</f>
        <v>1E-4</v>
      </c>
      <c r="AS167" s="99">
        <f>IF(AND(Database!CK134&gt;1,Database!CK53&gt;1),100*(Database!CK134/(Database!CK53)),0.0001)</f>
        <v>1E-4</v>
      </c>
      <c r="AT167" s="99">
        <f>IF(AND(Database!CM134&gt;1,Database!CM53&gt;1),100*(Database!CM134/(Database!CM53)),0.0001)</f>
        <v>1E-4</v>
      </c>
      <c r="AU167" s="99">
        <f>IF(AND(Database!CO134&gt;1,Database!CO53&gt;1),100*(Database!CO134/(Database!CO53)),0.0001)</f>
        <v>1E-4</v>
      </c>
      <c r="AV167" s="99">
        <f>IF(AND(Database!CQ134&gt;1,Database!CQ53&gt;1),100*(Database!CQ134/(Database!CQ53)),0.0001)</f>
        <v>1E-4</v>
      </c>
      <c r="AW167" s="99">
        <f>IF(AND(Database!CS134&gt;1,Database!CS53&gt;1),100*(Database!CS134/(Database!CS53)),0.0001)</f>
        <v>1E-4</v>
      </c>
      <c r="AX167" s="99">
        <f>IF(AND(Database!CU134&gt;1,Database!CU53&gt;1),100*(Database!CU134/(Database!CU53)),0.0001)</f>
        <v>1E-4</v>
      </c>
      <c r="AY167" s="99">
        <f>IF(AND(Database!CW134&gt;1,Database!CW53&gt;1),100*(Database!CW134/(Database!CW53)),0.0001)</f>
        <v>1E-4</v>
      </c>
      <c r="AZ167" s="99">
        <f>IF(AND(Database!CY134&gt;1,Database!CY53&gt;1),100*(Database!CY134/(Database!CY53)),0.0001)</f>
        <v>1E-4</v>
      </c>
      <c r="BA167" s="99">
        <f>IF(AND(Database!DA134&gt;1,Database!DA53&gt;1),100*(Database!DA134/(Database!DA53)),0.0001)</f>
        <v>1E-4</v>
      </c>
      <c r="BB167" s="99">
        <f>IF(AND(Database!DC134&gt;1,Database!DC53&gt;1),100*(Database!DC134/(Database!DC53)),0.0001)</f>
        <v>1E-4</v>
      </c>
      <c r="BC167" s="99">
        <f>IF(AND(Database!DE134&gt;1,Database!DE53&gt;1),100*(Database!DE134/(Database!DE53)),0.0001)</f>
        <v>1E-4</v>
      </c>
      <c r="BD167" s="99">
        <f>IF(AND(Database!DG134&gt;1,Database!DG53&gt;1),100*(Database!DG134/(Database!DG53)),0.0001)</f>
        <v>1E-4</v>
      </c>
      <c r="BE167" s="99">
        <f>IF(AND(Database!DI134&gt;1,Database!DI53&gt;1),100*(Database!DI134/(Database!DI53)),0.0001)</f>
        <v>1E-4</v>
      </c>
      <c r="BF167" s="99">
        <f>IF(AND(Database!DK134&gt;1,Database!DK53&gt;1),100*(Database!DK134/(Database!DK53)),0.0001)</f>
        <v>1E-4</v>
      </c>
      <c r="BG167" s="99">
        <f>IF(AND(Database!DM134&gt;1,Database!DM53&gt;1),100*(Database!DM134/(Database!DM53)),0.0001)</f>
        <v>1E-4</v>
      </c>
      <c r="BH167" s="99">
        <f>IF(AND(Database!DO134&gt;1,Database!DO53&gt;1),100*(Database!DO134/(Database!DO53)),0.0001)</f>
        <v>1E-4</v>
      </c>
      <c r="BI167" s="99">
        <f>IF(AND(Database!DQ134&gt;1,Database!DQ53&gt;1),100*(Database!DQ134/(Database!DQ53)),0.0001)</f>
        <v>1E-4</v>
      </c>
      <c r="BJ167" s="99">
        <f>IF(AND(Database!DS134&gt;1,Database!DS53&gt;1),100*(Database!DS134/(Database!DS53)),0.0001)</f>
        <v>1E-4</v>
      </c>
      <c r="BK167" s="99">
        <f>IF(AND(Database!DU134&gt;1,Database!DU53&gt;1),100*(Database!DU134/(Database!DU53)),0.0001)</f>
        <v>1E-4</v>
      </c>
      <c r="BL167" s="99">
        <f>IF(AND(Database!DW134&gt;1,Database!DW53&gt;1),100*(Database!DW134/(Database!DW53)),0.0001)</f>
        <v>1E-4</v>
      </c>
      <c r="BM167" s="99">
        <f>IF(AND(Database!DY134&gt;1,Database!DY53&gt;1),100*(Database!DY134/(Database!DY53)),0.0001)</f>
        <v>1E-4</v>
      </c>
      <c r="BN167" s="99">
        <f>IF(AND(Database!EA134&gt;1,Database!EA53&gt;1),100*(Database!EA134/(Database!EA53)),0.0001)</f>
        <v>1E-4</v>
      </c>
      <c r="BO167" s="99">
        <f>IF(AND(Database!EC134&gt;1,Database!EC53&gt;1),100*(Database!EC134/(Database!EC53)),0.0001)</f>
        <v>1E-4</v>
      </c>
      <c r="BP167" s="99">
        <f>IF(AND(Database!EE134&gt;1,Database!EE53&gt;1),100*(Database!EE134/(Database!EE53)),0.0001)</f>
        <v>1E-4</v>
      </c>
      <c r="BQ167" s="99">
        <f>IF(AND(Database!EG134&gt;1,Database!EG53&gt;1),100*(Database!EG134/(Database!EG53)),0.0001)</f>
        <v>1E-4</v>
      </c>
      <c r="BR167" s="99">
        <f>IF(AND(Database!EI134&gt;1,Database!EI53&gt;1),100*(Database!EI134/(Database!EI53)),0.0001)</f>
        <v>1E-4</v>
      </c>
      <c r="BS167" s="99">
        <f>IF(AND(Database!EK134&gt;1,Database!EK53&gt;1),100*(Database!EK134/(Database!EK53)),0.0001)</f>
        <v>1E-4</v>
      </c>
      <c r="BT167" s="99">
        <f>IF(AND(Database!EM134&gt;1,Database!EM53&gt;1),100*(Database!EM134/(Database!EM53)),0.0001)</f>
        <v>1E-4</v>
      </c>
      <c r="BU167" s="99">
        <f>IF(AND(Database!EO134&gt;1,Database!EO53&gt;1),100*(Database!EO134/(Database!EO53)),0.0001)</f>
        <v>1E-4</v>
      </c>
      <c r="BV167" s="99">
        <f>IF(AND(Database!EQ134&gt;1,Database!EQ53&gt;1),100*(Database!EQ134/(Database!EQ53)),0.0001)</f>
        <v>1E-4</v>
      </c>
      <c r="BW167" s="99">
        <f>IF(AND(Database!ES134&gt;1,Database!ES53&gt;1),100*(Database!ES134/(Database!ES53)),0.0001)</f>
        <v>1E-4</v>
      </c>
      <c r="BX167" s="99">
        <f>IF(AND(Database!EU134&gt;1,Database!EU53&gt;1),100*(Database!EU134/(Database!EU53)),0.0001)</f>
        <v>1E-4</v>
      </c>
      <c r="BY167" s="99">
        <f>IF(AND(Database!EW134&gt;1,Database!EW53&gt;1),100*(Database!EW134/(Database!EW53)),0.0001)</f>
        <v>1E-4</v>
      </c>
      <c r="BZ167" s="99">
        <f>IF(AND(Database!EY134&gt;1,Database!EY53&gt;1),100*(Database!EY134/(Database!EY53)),0.0001)</f>
        <v>1E-4</v>
      </c>
      <c r="CA167" s="99">
        <f>IF(AND(Database!FA134&gt;1,Database!FA53&gt;1),100*(Database!FA134/(Database!FA53)),0.0001)</f>
        <v>1E-4</v>
      </c>
      <c r="CB167" s="99">
        <f>IF(AND(Database!FC134&gt;1,Database!FC53&gt;1),100*(Database!FC134/(Database!FC53)),0.0001)</f>
        <v>1E-4</v>
      </c>
      <c r="CC167" s="99">
        <f>IF(AND(Database!FE134&gt;1,Database!FE53&gt;1),100*(Database!FE134/(Database!FE53)),0.0001)</f>
        <v>1E-4</v>
      </c>
      <c r="CD167" s="99">
        <f>IF(AND(Database!FG134&gt;1,Database!FG53&gt;1),100*(Database!FG134/(Database!FG53)),0.0001)</f>
        <v>1E-4</v>
      </c>
      <c r="CE167" s="99">
        <f>IF(AND(Database!FI134&gt;1,Database!FI53&gt;1),100*(Database!FI134/(Database!FI53)),0.0001)</f>
        <v>1E-4</v>
      </c>
      <c r="CF167" s="99">
        <f>IF(AND(Database!FK134&gt;1,Database!FK53&gt;1),100*(Database!FK134/(Database!FK53)),0.0001)</f>
        <v>1E-4</v>
      </c>
      <c r="CG167" s="99">
        <f>IF(AND(Database!FM134&gt;1,Database!FM53&gt;1),100*(Database!FM134/(Database!FM53)),0.0001)</f>
        <v>1E-4</v>
      </c>
      <c r="CH167" s="99">
        <f>IF(AND(Database!FO134&gt;1,Database!FO53&gt;1),100*(Database!FO134/(Database!FO53)),0.0001)</f>
        <v>1E-4</v>
      </c>
      <c r="CI167" s="99">
        <f>IF(AND(Database!FQ134&gt;1,Database!FQ53&gt;1),100*(Database!FQ134/(Database!FQ53)),0.0001)</f>
        <v>1E-4</v>
      </c>
      <c r="CJ167" s="99">
        <f>IF(AND(Database!FS134&gt;1,Database!FS53&gt;1),100*(Database!FS134/(Database!FS53)),0.0001)</f>
        <v>1E-4</v>
      </c>
      <c r="CK167" s="99">
        <f>IF(AND(Database!FU134&gt;1,Database!FU53&gt;1),100*(Database!FU134/(Database!FU53)),0.0001)</f>
        <v>1E-4</v>
      </c>
      <c r="CL167" s="99">
        <f>IF(AND(Database!FW134&gt;1,Database!FW53&gt;1),100*(Database!FW134/(Database!FW53)),0.0001)</f>
        <v>1E-4</v>
      </c>
      <c r="CM167" s="99">
        <f>IF(AND(Database!FY134&gt;1,Database!FY53&gt;1),100*(Database!FY134/(Database!FY53)),0.0001)</f>
        <v>1E-4</v>
      </c>
      <c r="CN167" s="99">
        <f>IF(AND(Database!GA134&gt;1,Database!GA53&gt;1),100*(Database!GA134/(Database!GA53)),0.0001)</f>
        <v>1E-4</v>
      </c>
      <c r="CO167" s="99">
        <f>IF(AND(Database!GC134&gt;1,Database!GC53&gt;1),100*(Database!GC134/(Database!GC53)),0.0001)</f>
        <v>1E-4</v>
      </c>
      <c r="CP167" s="99">
        <f>IF(AND(Database!GE134&gt;1,Database!GE53&gt;1),100*(Database!GE134/(Database!GE53)),0.0001)</f>
        <v>1E-4</v>
      </c>
      <c r="CQ167" s="99">
        <f>IF(AND(Database!GG134&gt;1,Database!GG53&gt;1),100*(Database!GG134/(Database!GG53)),0.0001)</f>
        <v>1E-4</v>
      </c>
      <c r="CR167" s="99">
        <f>IF(AND(Database!GI134&gt;1,Database!GI53&gt;1),100*(Database!GI134/(Database!GI53)),0.0001)</f>
        <v>1E-4</v>
      </c>
      <c r="CS167" s="99">
        <f>IF(AND(Database!GK134&gt;1,Database!GK53&gt;1),100*(Database!GK134/(Database!GK53)),0.0001)</f>
        <v>1E-4</v>
      </c>
      <c r="CT167" s="99">
        <f>IF(AND(Database!GM134&gt;1,Database!GM53&gt;1),100*(Database!GM134/(Database!GM53)),0.0001)</f>
        <v>1E-4</v>
      </c>
      <c r="CU167" s="99">
        <f>IF(AND(Database!GO134&gt;1,Database!GO53&gt;1),100*(Database!GO134/(Database!GO53)),0.0001)</f>
        <v>1E-4</v>
      </c>
      <c r="CV167" s="99">
        <f>IF(AND(Database!GQ134&gt;1,Database!GQ53&gt;1),100*(Database!GQ134/(Database!GQ53)),0.0001)</f>
        <v>1E-4</v>
      </c>
      <c r="CW167" s="99">
        <f>IF(AND(Database!GS134&gt;1,Database!GS53&gt;1),100*(Database!GS134/(Database!GS53)),0.0001)</f>
        <v>1E-4</v>
      </c>
      <c r="CX167" s="99">
        <f>IF(AND(Database!GU134&gt;1,Database!GU53&gt;1),100*(Database!GU134/(Database!GU53)),0.0001)</f>
        <v>1E-4</v>
      </c>
      <c r="CY167" s="99">
        <f>IF(AND(Database!GW134&gt;1,Database!GW53&gt;1),100*(Database!GW134/(Database!GW53)),0.0001)</f>
        <v>1E-4</v>
      </c>
      <c r="CZ167" s="99">
        <f>IF(AND(Database!GY134&gt;1,Database!GY53&gt;1),100*(Database!GY134/(Database!GY53)),0.0001)</f>
        <v>1E-4</v>
      </c>
      <c r="DA167" s="99">
        <f>IF(AND(Database!HA134&gt;1,Database!HA53&gt;1),100*(Database!HA134/(Database!HA53)),0.0001)</f>
        <v>1E-4</v>
      </c>
      <c r="DB167" s="99">
        <f>IF(AND(Database!HC134&gt;1,Database!HC53&gt;1),100*(Database!HC134/(Database!HC53)),0.0001)</f>
        <v>1E-4</v>
      </c>
      <c r="DC167" s="99">
        <f>IF(AND(Database!HE134&gt;1,Database!HE53&gt;1),100*(Database!HE134/(Database!HE53)),0.0001)</f>
        <v>1E-4</v>
      </c>
      <c r="DD167" s="99">
        <f>IF(AND(Database!HG134&gt;1,Database!HG53&gt;1),100*(Database!HG134/(Database!HG53)),0.0001)</f>
        <v>1E-4</v>
      </c>
      <c r="DE167" s="99">
        <f>IF(AND(Database!HI134&gt;1,Database!HI53&gt;1),100*(Database!HI134/(Database!HI53)),0.0001)</f>
        <v>1E-4</v>
      </c>
      <c r="DF167" s="99">
        <f>IF(AND(Database!HK134&gt;1,Database!HK53&gt;1),100*(Database!HK134/(Database!HK53)),0.0001)</f>
        <v>1E-4</v>
      </c>
      <c r="DG167" s="99">
        <f>IF(AND(Database!HM134&gt;1,Database!HM53&gt;1),100*(Database!HM134/(Database!HM53)),0.0001)</f>
        <v>1E-4</v>
      </c>
      <c r="DH167" s="99">
        <f>IF(AND(Database!HO134&gt;1,Database!HO53&gt;1),100*(Database!HO134/(Database!HO53)),0.0001)</f>
        <v>1E-4</v>
      </c>
      <c r="DI167" s="99">
        <f>IF(AND(Database!HQ134&gt;1,Database!HQ53&gt;1),100*(Database!HQ134/(Database!HQ53)),0.0001)</f>
        <v>1E-4</v>
      </c>
      <c r="DJ167" s="99">
        <f>IF(AND(Database!HS134&gt;1,Database!HS53&gt;1),100*(Database!HS134/(Database!HS53)),0.0001)</f>
        <v>1E-4</v>
      </c>
      <c r="DK167" s="99">
        <f>IF(AND(Database!HU134&gt;1,Database!HU53&gt;1),100*(Database!HU134/(Database!HU53)),0.0001)</f>
        <v>1E-4</v>
      </c>
      <c r="DL167" s="99">
        <f>IF(AND(Database!HW134&gt;1,Database!HW53&gt;1),100*(Database!HW134/(Database!HW53)),0.0001)</f>
        <v>1E-4</v>
      </c>
      <c r="DM167" s="99">
        <f>IF(AND(Database!HY134&gt;1,Database!HY53&gt;1),100*(Database!HY134/(Database!HY53)),0.0001)</f>
        <v>1E-4</v>
      </c>
      <c r="DN167" s="99">
        <f>IF(AND(Database!IA134&gt;1,Database!IA53&gt;1),100*(Database!IA134/(Database!IA53)),0.0001)</f>
        <v>1E-4</v>
      </c>
      <c r="DO167" s="99">
        <f>IF(AND(Database!IC134&gt;1,Database!IC53&gt;1),100*(Database!IC134/(Database!IC53)),0.0001)</f>
        <v>1E-4</v>
      </c>
      <c r="DP167" s="99">
        <f>IF(AND(Database!IE134&gt;1,Database!IE53&gt;1),100*(Database!IE134/(Database!IE53)),0.0001)</f>
        <v>1E-4</v>
      </c>
      <c r="DQ167" s="99">
        <f>IF(AND(Database!IG134&gt;1,Database!IG53&gt;1),100*(Database!IG134/(Database!IG53)),0.0001)</f>
        <v>1E-4</v>
      </c>
      <c r="DR167" s="99">
        <f>IF(AND(Database!II134&gt;1,Database!II53&gt;1),100*(Database!II134/(Database!II53)),0.0001)</f>
        <v>1E-4</v>
      </c>
      <c r="DS167" s="99">
        <f>IF(AND(Database!IK134&gt;1,Database!IK53&gt;1),100*(Database!IK134/(Database!IK53)),0.0001)</f>
        <v>1E-4</v>
      </c>
      <c r="DT167" s="99">
        <f>IF(AND(Database!IM134&gt;1,Database!IM53&gt;1),100*(Database!IM134/(Database!IM53)),0.0001)</f>
        <v>1E-4</v>
      </c>
      <c r="DU167" s="99">
        <f>IF(AND(Database!IO134&gt;1,Database!IO53&gt;1),100*(Database!IO134/(Database!IO53)),0.0001)</f>
        <v>1E-4</v>
      </c>
      <c r="DV167" s="99">
        <f>IF(AND(Database!IQ134&gt;1,Database!IQ53&gt;1),100*(Database!IQ134/(Database!IQ53)),0.0001)</f>
        <v>1E-4</v>
      </c>
      <c r="DW167" s="99">
        <f>IF(AND(Database!IS134&gt;1,Database!IS53&gt;1),100*(Database!IS134/(Database!IS53)),0.0001)</f>
        <v>1E-4</v>
      </c>
      <c r="DX167" s="99">
        <f>IF(AND(Database!IU134&gt;1,Database!IU53&gt;1),100*(Database!IU134/(Database!IU53)),0.0001)</f>
        <v>1E-4</v>
      </c>
      <c r="DY167" s="99">
        <f>IF(AND(Database!IW134&gt;1,Database!IW53&gt;1),100*(Database!IW134/(Database!IW53)),0.0001)</f>
        <v>1E-4</v>
      </c>
      <c r="DZ167" s="99">
        <f>IF(AND(Database!IY134&gt;1,Database!IY53&gt;1),100*(Database!IY134/(Database!IY53)),0.0001)</f>
        <v>1E-4</v>
      </c>
      <c r="EA167" s="99">
        <f>IF(AND(Database!JA134&gt;1,Database!JA53&gt;1),100*(Database!JA134/(Database!JA53)),0.0001)</f>
        <v>1E-4</v>
      </c>
      <c r="EB167" s="99">
        <f>IF(AND(Database!JC134&gt;1,Database!JC53&gt;1),100*(Database!JC134/(Database!JC53)),0.0001)</f>
        <v>1E-4</v>
      </c>
      <c r="EC167" s="99">
        <f>IF(AND(Database!JE134&gt;1,Database!JE53&gt;1),100*(Database!JE134/(Database!JE53)),0.0001)</f>
        <v>1E-4</v>
      </c>
      <c r="ED167" s="99">
        <f>IF(AND(Database!JG134&gt;1,Database!JG53&gt;1),100*(Database!JG134/(Database!JG53)),0.0001)</f>
        <v>1E-4</v>
      </c>
      <c r="EE167" s="99">
        <f>IF(AND(Database!JI134&gt;1,Database!JI53&gt;1),100*(Database!JI134/(Database!JI53)),0.0001)</f>
        <v>1E-4</v>
      </c>
      <c r="EF167" s="99">
        <f>IF(AND(Database!JK134&gt;1,Database!JK53&gt;1),100*(Database!JK134/(Database!JK53)),0.0001)</f>
        <v>1E-4</v>
      </c>
      <c r="EG167" s="99">
        <f>IF(AND(Database!JM134&gt;1,Database!JM53&gt;1),100*(Database!JM134/(Database!JM53)),0.0001)</f>
        <v>1E-4</v>
      </c>
      <c r="EH167" s="99">
        <f>IF(AND(Database!JO134&gt;1,Database!JO53&gt;1),100*(Database!JO134/(Database!JO53)),0.0001)</f>
        <v>1E-4</v>
      </c>
      <c r="EI167" s="99">
        <f>IF(AND(Database!JQ134&gt;1,Database!JQ53&gt;1),100*(Database!JQ134/(Database!JQ53)),0.0001)</f>
        <v>1E-4</v>
      </c>
      <c r="EJ167" s="99">
        <f>IF(AND(Database!JS134&gt;1,Database!JS53&gt;1),100*(Database!JS134/(Database!JS53)),0.0001)</f>
        <v>1E-4</v>
      </c>
      <c r="EK167" s="99">
        <f>IF(AND(Database!JU134&gt;1,Database!JU53&gt;1),100*(Database!JU134/(Database!JU53)),0.0001)</f>
        <v>1E-4</v>
      </c>
      <c r="EL167" s="99">
        <f>IF(AND(Database!JW134&gt;1,Database!JW53&gt;1),100*(Database!JW134/(Database!JW53)),0.0001)</f>
        <v>1E-4</v>
      </c>
      <c r="EM167" s="99">
        <f>IF(AND(Database!JY134&gt;1,Database!JY53&gt;1),100*(Database!JY134/(Database!JY53)),0.0001)</f>
        <v>1E-4</v>
      </c>
      <c r="EN167" s="99">
        <f>IF(AND(Database!KA134&gt;1,Database!KA53&gt;1),100*(Database!KA134/(Database!KA53)),0.0001)</f>
        <v>1E-4</v>
      </c>
      <c r="EO167" s="99">
        <f>IF(AND(Database!KC134&gt;1,Database!KC53&gt;1),100*(Database!KC134/(Database!KC53)),0.0001)</f>
        <v>1E-4</v>
      </c>
      <c r="EP167" s="99">
        <f>IF(AND(Database!KE134&gt;1,Database!KE53&gt;1),100*(Database!KE134/(Database!KE53)),0.0001)</f>
        <v>1E-4</v>
      </c>
      <c r="EQ167" s="99">
        <f>IF(AND(Database!KG134&gt;1,Database!KG53&gt;1),100*(Database!KG134/(Database!KG53)),0.0001)</f>
        <v>1E-4</v>
      </c>
      <c r="ER167" s="99">
        <f>IF(AND(Database!KI134&gt;1,Database!KI53&gt;1),100*(Database!KI134/(Database!KI53)),0.0001)</f>
        <v>1E-4</v>
      </c>
      <c r="ES167" s="99">
        <f>IF(AND(Database!KK134&gt;1,Database!KK53&gt;1),100*(Database!KK134/(Database!KK53)),0.0001)</f>
        <v>1E-4</v>
      </c>
      <c r="ET167" s="99">
        <f>IF(AND(Database!KM134&gt;1,Database!KM53&gt;1),100*(Database!KM134/(Database!KM53)),0.0001)</f>
        <v>1E-4</v>
      </c>
      <c r="EU167" s="99">
        <f>IF(AND(Database!KO134&gt;1,Database!KO53&gt;1),100*(Database!KO134/(Database!KO53)),0.0001)</f>
        <v>1E-4</v>
      </c>
      <c r="EV167" s="99">
        <f>IF(AND(Database!KQ134&gt;1,Database!KQ53&gt;1),100*(Database!KQ134/(Database!KQ53)),0.0001)</f>
        <v>1E-4</v>
      </c>
      <c r="EW167" s="99">
        <f>IF(AND(Database!KS134&gt;1,Database!KS53&gt;1),100*(Database!KS134/(Database!KS53)),0.0001)</f>
        <v>1E-4</v>
      </c>
      <c r="EX167" s="99">
        <f>IF(AND(Database!KU134&gt;1,Database!KU53&gt;1),100*(Database!KU134/(Database!KU53)),0.0001)</f>
        <v>1E-4</v>
      </c>
      <c r="EY167" s="99">
        <f>IF(AND(Database!KW134&gt;1,Database!KW53&gt;1),100*(Database!KW134/(Database!KW53)),0.0001)</f>
        <v>1E-4</v>
      </c>
      <c r="EZ167" s="99">
        <f>IF(AND(Database!KY134&gt;1,Database!KY53&gt;1),100*(Database!KY134/(Database!KY53)),0.0001)</f>
        <v>1E-4</v>
      </c>
      <c r="FA167" s="99">
        <f>IF(AND(Database!LA134&gt;1,Database!LA53&gt;1),100*(Database!LA134/(Database!LA53)),0.0001)</f>
        <v>1E-4</v>
      </c>
      <c r="FB167" s="99">
        <f>IF(AND(Database!LC134&gt;1,Database!LC53&gt;1),100*(Database!LC134/(Database!LC53)),0.0001)</f>
        <v>1E-4</v>
      </c>
      <c r="FC167" s="99">
        <f>IF(AND(Database!LE134&gt;1,Database!LE53&gt;1),100*(Database!LE134/(Database!LE53)),0.0001)</f>
        <v>1E-4</v>
      </c>
      <c r="FD167" s="99">
        <f>IF(AND(Database!LG134&gt;1,Database!LG53&gt;1),100*(Database!LG134/(Database!LG53)),0.0001)</f>
        <v>1E-4</v>
      </c>
      <c r="FE167" s="99">
        <f>IF(AND(Database!LI134&gt;1,Database!LI53&gt;1),100*(Database!LI134/(Database!LI53)),0.0001)</f>
        <v>1E-4</v>
      </c>
      <c r="FF167" s="99">
        <f>IF(AND(Database!LK134&gt;1,Database!LK53&gt;1),100*(Database!LK134/(Database!LK53)),0.0001)</f>
        <v>1E-4</v>
      </c>
      <c r="FG167" s="99">
        <f>IF(AND(Database!LM134&gt;1,Database!LM53&gt;1),100*(Database!LM134/(Database!LM53)),0.0001)</f>
        <v>1E-4</v>
      </c>
      <c r="FH167" s="99">
        <f>IF(AND(Database!LO134&gt;1,Database!LO53&gt;1),100*(Database!LO134/(Database!LO53)),0.0001)</f>
        <v>1E-4</v>
      </c>
      <c r="FI167" s="99">
        <f>IF(AND(Database!LQ134&gt;1,Database!LQ53&gt;1),100*(Database!LQ134/(Database!LQ53)),0.0001)</f>
        <v>1E-4</v>
      </c>
      <c r="FJ167" s="99">
        <f>IF(AND(Database!LS134&gt;1,Database!LS53&gt;1),100*(Database!LS134/(Database!LS53)),0.0001)</f>
        <v>1E-4</v>
      </c>
      <c r="FK167" s="99">
        <f>IF(AND(Database!LU134&gt;1,Database!LU53&gt;1),100*(Database!LU134/(Database!LU53)),0.0001)</f>
        <v>1E-4</v>
      </c>
      <c r="FL167" s="99">
        <f>IF(AND(Database!LW134&gt;1,Database!LW53&gt;1),100*(Database!LW134/(Database!LW53)),0.0001)</f>
        <v>1E-4</v>
      </c>
      <c r="FM167" s="99">
        <f>IF(AND(Database!LY134&gt;1,Database!LY53&gt;1),100*(Database!LY134/(Database!LY53)),0.0001)</f>
        <v>1E-4</v>
      </c>
      <c r="FN167" s="99">
        <f>IF(AND(Database!MA134&gt;1,Database!MA53&gt;1),100*(Database!MA134/(Database!MA53)),0.0001)</f>
        <v>1E-4</v>
      </c>
      <c r="FO167" s="99">
        <f>IF(AND(Database!MC134&gt;1,Database!MC53&gt;1),100*(Database!MC134/(Database!MC53)),0.0001)</f>
        <v>1E-4</v>
      </c>
      <c r="FP167" s="99">
        <f>IF(AND(Database!ME134&gt;1,Database!ME53&gt;1),100*(Database!ME134/(Database!ME53)),0.0001)</f>
        <v>1E-4</v>
      </c>
      <c r="FQ167" s="99">
        <f>IF(AND(Database!MG134&gt;1,Database!MG53&gt;1),100*(Database!MG134/(Database!MG53)),0.0001)</f>
        <v>1E-4</v>
      </c>
      <c r="FR167" s="99">
        <f>IF(AND(Database!MI134&gt;1,Database!MI53&gt;1),100*(Database!MI134/(Database!MI53)),0.0001)</f>
        <v>1E-4</v>
      </c>
      <c r="FS167" s="99">
        <f>IF(AND(Database!MK134&gt;1,Database!MK53&gt;1),100*(Database!MK134/(Database!MK53)),0.0001)</f>
        <v>1E-4</v>
      </c>
      <c r="FT167" s="99">
        <f>IF(AND(Database!MM134&gt;1,Database!MM53&gt;1),100*(Database!MM134/(Database!MM53)),0.0001)</f>
        <v>1E-4</v>
      </c>
      <c r="FU167" s="99">
        <f>IF(AND(Database!MO134&gt;1,Database!MO53&gt;1),100*(Database!MO134/(Database!MO53)),0.0001)</f>
        <v>1E-4</v>
      </c>
      <c r="FV167" s="99">
        <f>IF(AND(Database!MQ134&gt;1,Database!MQ53&gt;1),100*(Database!MQ134/(Database!MQ53)),0.0001)</f>
        <v>1E-4</v>
      </c>
      <c r="FW167" s="99">
        <f>IF(AND(Database!MS134&gt;1,Database!MS53&gt;1),100*(Database!MS134/(Database!MS53)),0.0001)</f>
        <v>1E-4</v>
      </c>
      <c r="FX167" s="99">
        <f>IF(AND(Database!MU134&gt;1,Database!MU53&gt;1),100*(Database!MU134/(Database!MU53)),0.0001)</f>
        <v>1E-4</v>
      </c>
      <c r="FY167" s="99">
        <f>IF(AND(Database!MW134&gt;1,Database!MW53&gt;1),100*(Database!MW134/(Database!MW53)),0.0001)</f>
        <v>1E-4</v>
      </c>
      <c r="FZ167" s="99">
        <f>IF(AND(Database!MY134&gt;1,Database!MY53&gt;1),100*(Database!MY134/(Database!MY53)),0.0001)</f>
        <v>1E-4</v>
      </c>
      <c r="GA167" s="99">
        <f>IF(AND(Database!NA134&gt;1,Database!NA53&gt;1),100*(Database!NA134/(Database!NA53)),0.0001)</f>
        <v>1E-4</v>
      </c>
      <c r="GB167" s="99">
        <f>IF(AND(Database!NC134&gt;1,Database!NC53&gt;1),100*(Database!NC134/(Database!NC53)),0.0001)</f>
        <v>1E-4</v>
      </c>
      <c r="GC167" s="99">
        <f>IF(AND(Database!NE134&gt;1,Database!NE53&gt;1),100*(Database!NE134/(Database!NE53)),0.0001)</f>
        <v>1E-4</v>
      </c>
      <c r="GD167" s="99">
        <f>IF(AND(Database!NG134&gt;1,Database!NG53&gt;1),100*(Database!NG134/(Database!NG53)),0.0001)</f>
        <v>1E-4</v>
      </c>
      <c r="GE167" s="99">
        <f>IF(AND(Database!NI134&gt;1,Database!NI53&gt;1),100*(Database!NI134/(Database!NI53)),0.0001)</f>
        <v>1E-4</v>
      </c>
      <c r="GF167" s="99">
        <f>IF(AND(Database!NK134&gt;1,Database!NK53&gt;1),100*(Database!NK134/(Database!NK53)),0.0001)</f>
        <v>1E-4</v>
      </c>
      <c r="GG167" s="99">
        <f>IF(AND(Database!NM134&gt;1,Database!NM53&gt;1),100*(Database!NM134/(Database!NM53)),0.0001)</f>
        <v>1E-4</v>
      </c>
      <c r="GH167" s="99">
        <f>IF(AND(Database!NO134&gt;1,Database!NO53&gt;1),100*(Database!NO134/(Database!NO53)),0.0001)</f>
        <v>1E-4</v>
      </c>
      <c r="GI167" s="99">
        <f>IF(AND(Database!NQ134&gt;1,Database!NQ53&gt;1),100*(Database!NQ134/(Database!NQ53)),0.0001)</f>
        <v>1E-4</v>
      </c>
      <c r="GJ167" s="99">
        <f>IF(AND(Database!NS134&gt;1,Database!NS53&gt;1),100*(Database!NS134/(Database!NS53)),0.0001)</f>
        <v>1E-4</v>
      </c>
      <c r="GK167" s="99">
        <f>IF(AND(Database!NU134&gt;1,Database!NU53&gt;1),100*(Database!NU134/(Database!NU53)),0.0001)</f>
        <v>1E-4</v>
      </c>
      <c r="GL167" s="99">
        <f>IF(AND(Database!NW134&gt;1,Database!NW53&gt;1),100*(Database!NW134/(Database!NW53)),0.0001)</f>
        <v>1E-4</v>
      </c>
      <c r="GM167" s="99">
        <f>IF(AND(Database!NY134&gt;1,Database!NY53&gt;1),100*(Database!NY134/(Database!NY53)),0.0001)</f>
        <v>1E-4</v>
      </c>
      <c r="GN167" s="99">
        <f>IF(AND(Database!OA134&gt;1,Database!OA53&gt;1),100*(Database!OA134/(Database!OA53)),0.0001)</f>
        <v>1E-4</v>
      </c>
      <c r="GO167" s="99">
        <f>IF(AND(Database!OC134&gt;1,Database!OC53&gt;1),100*(Database!OC134/(Database!OC53)),0.0001)</f>
        <v>1E-4</v>
      </c>
      <c r="GP167" s="99">
        <f>IF(AND(Database!OE134&gt;1,Database!OE53&gt;1),100*(Database!OE134/(Database!OE53)),0.0001)</f>
        <v>1E-4</v>
      </c>
      <c r="GQ167" s="99">
        <f>IF(AND(Database!OG134&gt;1,Database!OG53&gt;1),100*(Database!OG134/(Database!OG53)),0.0001)</f>
        <v>1E-4</v>
      </c>
      <c r="GR167" s="99">
        <f>IF(AND(Database!OI134&gt;1,Database!OI53&gt;1),100*(Database!OI134/(Database!OI53)),0.0001)</f>
        <v>1E-4</v>
      </c>
      <c r="GS167" s="99">
        <f>IF(AND(Database!OK134&gt;1,Database!OK53&gt;1),100*(Database!OK134/(Database!OK53)),0.0001)</f>
        <v>1E-4</v>
      </c>
      <c r="GT167" s="30">
        <f>IF(AND(Database!OM134&gt;1,Database!OM53&gt;1),100*(Database!OM134/(Database!OM53)),0.0001)</f>
        <v>1E-4</v>
      </c>
      <c r="GU167" s="99"/>
      <c r="GV167" s="99"/>
      <c r="GW167" s="99"/>
    </row>
    <row r="168" spans="1:205" ht="18.75" customHeight="1" x14ac:dyDescent="0.4">
      <c r="A168" s="240" t="s">
        <v>178</v>
      </c>
      <c r="B168" s="96"/>
      <c r="C168" s="260">
        <f>IF(AND(Database!E137&gt;1,Database!E139&gt;1),100*(Database!E137/(Database!E139)),0.0001)</f>
        <v>98.813760379596687</v>
      </c>
      <c r="D168" s="99">
        <f>IF(AND(Database!G137&gt;1,Database!G139&gt;1),100*(Database!G137/(Database!G139)),0.0001)</f>
        <v>48.439821693907874</v>
      </c>
      <c r="E168" s="99">
        <f>IF(AND(Database!I137&gt;1,Database!I139&gt;1),100*(Database!I137/(Database!I139)),0.0001)</f>
        <v>46.355140186915889</v>
      </c>
      <c r="F168" s="99">
        <f>IF(AND(Database!K137&gt;1,Database!K139&gt;1),100*(Database!K137/(Database!K139)),0.0001)</f>
        <v>46.782006920415228</v>
      </c>
      <c r="G168" s="99">
        <f>IF(AND(Database!M137&gt;1,Database!M139&gt;1),100*(Database!M137/(Database!M139)),0.0001)</f>
        <v>1E-4</v>
      </c>
      <c r="H168" s="99">
        <f>IF(AND(Database!O137&gt;1,Database!O139&gt;1),100*(Database!O137/(Database!O139)),0.0001)</f>
        <v>1E-4</v>
      </c>
      <c r="I168" s="99">
        <f>IF(AND(Database!Q137&gt;1,Database!Q139&gt;1),100*(Database!Q137/(Database!Q139)),0.0001)</f>
        <v>1E-4</v>
      </c>
      <c r="J168" s="99">
        <f>IF(AND(Database!S137&gt;1,Database!S139&gt;1),100*(Database!S137/(Database!S139)),0.0001)</f>
        <v>1E-4</v>
      </c>
      <c r="K168" s="99">
        <f>IF(AND(Database!U137&gt;1,Database!U139&gt;1),100*(Database!U137/(Database!U139)),0.0001)</f>
        <v>1E-4</v>
      </c>
      <c r="L168" s="99">
        <f>IF(AND(Database!W137&gt;1,Database!W139&gt;1),100*(Database!W137/(Database!W139)),0.0001)</f>
        <v>1E-4</v>
      </c>
      <c r="M168" s="99">
        <f>IF(AND(Database!Y137&gt;1,Database!Y139&gt;1),100*(Database!Y137/(Database!Y139)),0.0001)</f>
        <v>1E-4</v>
      </c>
      <c r="N168" s="99">
        <f>IF(AND(Database!AA137&gt;1,Database!AA139&gt;1),100*(Database!AA137/(Database!AA139)),0.0001)</f>
        <v>1E-4</v>
      </c>
      <c r="O168" s="99">
        <f>IF(AND(Database!AC137&gt;1,Database!AC139&gt;1),100*(Database!AC137/(Database!AC139)),0.0001)</f>
        <v>1E-4</v>
      </c>
      <c r="P168" s="99">
        <f>IF(AND(Database!AE137&gt;1,Database!AE139&gt;1),100*(Database!AE137/(Database!AE139)),0.0001)</f>
        <v>1E-4</v>
      </c>
      <c r="Q168" s="99">
        <f>IF(AND(Database!AG137&gt;1,Database!AG139&gt;1),100*(Database!AG137/(Database!AG139)),0.0001)</f>
        <v>1E-4</v>
      </c>
      <c r="R168" s="99">
        <f>IF(AND(Database!AI137&gt;1,Database!AI139&gt;1),100*(Database!AI137/(Database!AI139)),0.0001)</f>
        <v>1E-4</v>
      </c>
      <c r="S168" s="99">
        <f>IF(AND(Database!AK137&gt;1,Database!AK139&gt;1),100*(Database!AK137/(Database!AK139)),0.0001)</f>
        <v>1E-4</v>
      </c>
      <c r="T168" s="99">
        <f>IF(AND(Database!AM137&gt;1,Database!AM139&gt;1),100*(Database!AM137/(Database!AM139)),0.0001)</f>
        <v>1E-4</v>
      </c>
      <c r="U168" s="99">
        <f>IF(AND(Database!AO137&gt;1,Database!AO139&gt;1),100*(Database!AO137/(Database!AO139)),0.0001)</f>
        <v>1E-4</v>
      </c>
      <c r="V168" s="99">
        <f>IF(AND(Database!AQ137&gt;1,Database!AQ139&gt;1),100*(Database!AQ137/(Database!AQ139)),0.0001)</f>
        <v>1E-4</v>
      </c>
      <c r="W168" s="99">
        <f>IF(AND(Database!AS137&gt;1,Database!AS139&gt;1),100*(Database!AS137/(Database!AS139)),0.0001)</f>
        <v>1E-4</v>
      </c>
      <c r="X168" s="99">
        <f>IF(AND(Database!AU137&gt;1,Database!AU139&gt;1),100*(Database!AU137/(Database!AU139)),0.0001)</f>
        <v>1E-4</v>
      </c>
      <c r="Y168" s="99">
        <f>IF(AND(Database!AW137&gt;1,Database!AW139&gt;1),100*(Database!AW137/(Database!AW139)),0.0001)</f>
        <v>1E-4</v>
      </c>
      <c r="Z168" s="99">
        <f>IF(AND(Database!AY137&gt;1,Database!AY139&gt;1),100*(Database!AY137/(Database!AY139)),0.0001)</f>
        <v>1E-4</v>
      </c>
      <c r="AA168" s="99">
        <f>IF(AND(Database!BA137&gt;1,Database!BA139&gt;1),100*(Database!BA137/(Database!BA139)),0.0001)</f>
        <v>1E-4</v>
      </c>
      <c r="AB168" s="99">
        <f>IF(AND(Database!BC137&gt;1,Database!BC139&gt;1),100*(Database!BC137/(Database!BC139)),0.0001)</f>
        <v>1E-4</v>
      </c>
      <c r="AC168" s="99">
        <f>IF(AND(Database!BE137&gt;1,Database!BE139&gt;1),100*(Database!BE137/(Database!BE139)),0.0001)</f>
        <v>1E-4</v>
      </c>
      <c r="AD168" s="99">
        <f>IF(AND(Database!BG137&gt;1,Database!BG139&gt;1),100*(Database!BG137/(Database!BG139)),0.0001)</f>
        <v>1E-4</v>
      </c>
      <c r="AE168" s="99">
        <f>IF(AND(Database!BI137&gt;1,Database!BI139&gt;1),100*(Database!BI137/(Database!BI139)),0.0001)</f>
        <v>1E-4</v>
      </c>
      <c r="AF168" s="99">
        <f>IF(AND(Database!BK137&gt;1,Database!BK139&gt;1),100*(Database!BK137/(Database!BK139)),0.0001)</f>
        <v>1E-4</v>
      </c>
      <c r="AG168" s="99">
        <f>IF(AND(Database!BM137&gt;1,Database!BM139&gt;1),100*(Database!BM137/(Database!BM139)),0.0001)</f>
        <v>1E-4</v>
      </c>
      <c r="AH168" s="99">
        <f>IF(AND(Database!BO137&gt;1,Database!BO139&gt;1),100*(Database!BO137/(Database!BO139)),0.0001)</f>
        <v>1E-4</v>
      </c>
      <c r="AI168" s="99">
        <f>IF(AND(Database!BQ137&gt;1,Database!BQ139&gt;1),100*(Database!BQ137/(Database!BQ139)),0.0001)</f>
        <v>1E-4</v>
      </c>
      <c r="AJ168" s="99">
        <f>IF(AND(Database!BS137&gt;1,Database!BS139&gt;1),100*(Database!BS137/(Database!BS139)),0.0001)</f>
        <v>1E-4</v>
      </c>
      <c r="AK168" s="99">
        <f>IF(AND(Database!BU137&gt;1,Database!BU139&gt;1),100*(Database!BU137/(Database!BU139)),0.0001)</f>
        <v>1E-4</v>
      </c>
      <c r="AL168" s="99">
        <f>IF(AND(Database!BW137&gt;1,Database!BW139&gt;1),100*(Database!BW137/(Database!BW139)),0.0001)</f>
        <v>1E-4</v>
      </c>
      <c r="AM168" s="99">
        <f>IF(AND(Database!BY137&gt;1,Database!BY139&gt;1),100*(Database!BY137/(Database!BY139)),0.0001)</f>
        <v>1E-4</v>
      </c>
      <c r="AN168" s="99">
        <f>IF(AND(Database!CA137&gt;1,Database!CA139&gt;1),100*(Database!CA137/(Database!CA139)),0.0001)</f>
        <v>1E-4</v>
      </c>
      <c r="AO168" s="99">
        <f>IF(AND(Database!CC137&gt;1,Database!CC139&gt;1),100*(Database!CC137/(Database!CC139)),0.0001)</f>
        <v>1E-4</v>
      </c>
      <c r="AP168" s="99">
        <f>IF(AND(Database!CE137&gt;1,Database!CE139&gt;1),100*(Database!CE137/(Database!CE139)),0.0001)</f>
        <v>1E-4</v>
      </c>
      <c r="AQ168" s="99">
        <f>IF(AND(Database!CG137&gt;1,Database!CG139&gt;1),100*(Database!CG137/(Database!CG139)),0.0001)</f>
        <v>1E-4</v>
      </c>
      <c r="AR168" s="99">
        <f>IF(AND(Database!CI137&gt;1,Database!CI139&gt;1),100*(Database!CI137/(Database!CI139)),0.0001)</f>
        <v>1E-4</v>
      </c>
      <c r="AS168" s="99">
        <f>IF(AND(Database!CK137&gt;1,Database!CK139&gt;1),100*(Database!CK137/(Database!CK139)),0.0001)</f>
        <v>1E-4</v>
      </c>
      <c r="AT168" s="99">
        <f>IF(AND(Database!CM137&gt;1,Database!CM139&gt;1),100*(Database!CM137/(Database!CM139)),0.0001)</f>
        <v>1E-4</v>
      </c>
      <c r="AU168" s="99">
        <f>IF(AND(Database!CO137&gt;1,Database!CO139&gt;1),100*(Database!CO137/(Database!CO139)),0.0001)</f>
        <v>1E-4</v>
      </c>
      <c r="AV168" s="99">
        <f>IF(AND(Database!CQ137&gt;1,Database!CQ139&gt;1),100*(Database!CQ137/(Database!CQ139)),0.0001)</f>
        <v>1E-4</v>
      </c>
      <c r="AW168" s="99">
        <f>IF(AND(Database!CS137&gt;1,Database!CS139&gt;1),100*(Database!CS137/(Database!CS139)),0.0001)</f>
        <v>1E-4</v>
      </c>
      <c r="AX168" s="99">
        <f>IF(AND(Database!CU137&gt;1,Database!CU139&gt;1),100*(Database!CU137/(Database!CU139)),0.0001)</f>
        <v>1E-4</v>
      </c>
      <c r="AY168" s="99">
        <f>IF(AND(Database!CW137&gt;1,Database!CW139&gt;1),100*(Database!CW137/(Database!CW139)),0.0001)</f>
        <v>1E-4</v>
      </c>
      <c r="AZ168" s="99">
        <f>IF(AND(Database!CY137&gt;1,Database!CY139&gt;1),100*(Database!CY137/(Database!CY139)),0.0001)</f>
        <v>1E-4</v>
      </c>
      <c r="BA168" s="99">
        <f>IF(AND(Database!DA137&gt;1,Database!DA139&gt;1),100*(Database!DA137/(Database!DA139)),0.0001)</f>
        <v>1E-4</v>
      </c>
      <c r="BB168" s="99">
        <f>IF(AND(Database!DC137&gt;1,Database!DC139&gt;1),100*(Database!DC137/(Database!DC139)),0.0001)</f>
        <v>1E-4</v>
      </c>
      <c r="BC168" s="99">
        <f>IF(AND(Database!DE137&gt;1,Database!DE139&gt;1),100*(Database!DE137/(Database!DE139)),0.0001)</f>
        <v>1E-4</v>
      </c>
      <c r="BD168" s="99">
        <f>IF(AND(Database!DG137&gt;1,Database!DG139&gt;1),100*(Database!DG137/(Database!DG139)),0.0001)</f>
        <v>1E-4</v>
      </c>
      <c r="BE168" s="99">
        <f>IF(AND(Database!DI137&gt;1,Database!DI139&gt;1),100*(Database!DI137/(Database!DI139)),0.0001)</f>
        <v>1E-4</v>
      </c>
      <c r="BF168" s="99">
        <f>IF(AND(Database!DK137&gt;1,Database!DK139&gt;1),100*(Database!DK137/(Database!DK139)),0.0001)</f>
        <v>1E-4</v>
      </c>
      <c r="BG168" s="99">
        <f>IF(AND(Database!DM137&gt;1,Database!DM139&gt;1),100*(Database!DM137/(Database!DM139)),0.0001)</f>
        <v>1E-4</v>
      </c>
      <c r="BH168" s="99">
        <f>IF(AND(Database!DO137&gt;1,Database!DO139&gt;1),100*(Database!DO137/(Database!DO139)),0.0001)</f>
        <v>1E-4</v>
      </c>
      <c r="BI168" s="99">
        <f>IF(AND(Database!DQ137&gt;1,Database!DQ139&gt;1),100*(Database!DQ137/(Database!DQ139)),0.0001)</f>
        <v>1E-4</v>
      </c>
      <c r="BJ168" s="99">
        <f>IF(AND(Database!DS137&gt;1,Database!DS139&gt;1),100*(Database!DS137/(Database!DS139)),0.0001)</f>
        <v>1E-4</v>
      </c>
      <c r="BK168" s="99">
        <f>IF(AND(Database!DU137&gt;1,Database!DU139&gt;1),100*(Database!DU137/(Database!DU139)),0.0001)</f>
        <v>1E-4</v>
      </c>
      <c r="BL168" s="99">
        <f>IF(AND(Database!DW137&gt;1,Database!DW139&gt;1),100*(Database!DW137/(Database!DW139)),0.0001)</f>
        <v>1E-4</v>
      </c>
      <c r="BM168" s="99">
        <f>IF(AND(Database!DY137&gt;1,Database!DY139&gt;1),100*(Database!DY137/(Database!DY139)),0.0001)</f>
        <v>1E-4</v>
      </c>
      <c r="BN168" s="99">
        <f>IF(AND(Database!EA137&gt;1,Database!EA139&gt;1),100*(Database!EA137/(Database!EA139)),0.0001)</f>
        <v>1E-4</v>
      </c>
      <c r="BO168" s="99">
        <f>IF(AND(Database!EC137&gt;1,Database!EC139&gt;1),100*(Database!EC137/(Database!EC139)),0.0001)</f>
        <v>1E-4</v>
      </c>
      <c r="BP168" s="99">
        <f>IF(AND(Database!EE137&gt;1,Database!EE139&gt;1),100*(Database!EE137/(Database!EE139)),0.0001)</f>
        <v>1E-4</v>
      </c>
      <c r="BQ168" s="99">
        <f>IF(AND(Database!EG137&gt;1,Database!EG139&gt;1),100*(Database!EG137/(Database!EG139)),0.0001)</f>
        <v>1E-4</v>
      </c>
      <c r="BR168" s="99">
        <f>IF(AND(Database!EI137&gt;1,Database!EI139&gt;1),100*(Database!EI137/(Database!EI139)),0.0001)</f>
        <v>1E-4</v>
      </c>
      <c r="BS168" s="99">
        <f>IF(AND(Database!EK137&gt;1,Database!EK139&gt;1),100*(Database!EK137/(Database!EK139)),0.0001)</f>
        <v>1E-4</v>
      </c>
      <c r="BT168" s="99">
        <f>IF(AND(Database!EM137&gt;1,Database!EM139&gt;1),100*(Database!EM137/(Database!EM139)),0.0001)</f>
        <v>1E-4</v>
      </c>
      <c r="BU168" s="99">
        <f>IF(AND(Database!EO137&gt;1,Database!EO139&gt;1),100*(Database!EO137/(Database!EO139)),0.0001)</f>
        <v>1E-4</v>
      </c>
      <c r="BV168" s="99">
        <f>IF(AND(Database!EQ137&gt;1,Database!EQ139&gt;1),100*(Database!EQ137/(Database!EQ139)),0.0001)</f>
        <v>1E-4</v>
      </c>
      <c r="BW168" s="99">
        <f>IF(AND(Database!ES137&gt;1,Database!ES139&gt;1),100*(Database!ES137/(Database!ES139)),0.0001)</f>
        <v>1E-4</v>
      </c>
      <c r="BX168" s="99">
        <f>IF(AND(Database!EU137&gt;1,Database!EU139&gt;1),100*(Database!EU137/(Database!EU139)),0.0001)</f>
        <v>1E-4</v>
      </c>
      <c r="BY168" s="99">
        <f>IF(AND(Database!EW137&gt;1,Database!EW139&gt;1),100*(Database!EW137/(Database!EW139)),0.0001)</f>
        <v>1E-4</v>
      </c>
      <c r="BZ168" s="99">
        <f>IF(AND(Database!EY137&gt;1,Database!EY139&gt;1),100*(Database!EY137/(Database!EY139)),0.0001)</f>
        <v>1E-4</v>
      </c>
      <c r="CA168" s="99">
        <f>IF(AND(Database!FA137&gt;1,Database!FA139&gt;1),100*(Database!FA137/(Database!FA139)),0.0001)</f>
        <v>1E-4</v>
      </c>
      <c r="CB168" s="99">
        <f>IF(AND(Database!FC137&gt;1,Database!FC139&gt;1),100*(Database!FC137/(Database!FC139)),0.0001)</f>
        <v>1E-4</v>
      </c>
      <c r="CC168" s="99">
        <f>IF(AND(Database!FE137&gt;1,Database!FE139&gt;1),100*(Database!FE137/(Database!FE139)),0.0001)</f>
        <v>1E-4</v>
      </c>
      <c r="CD168" s="99">
        <f>IF(AND(Database!FG137&gt;1,Database!FG139&gt;1),100*(Database!FG137/(Database!FG139)),0.0001)</f>
        <v>1E-4</v>
      </c>
      <c r="CE168" s="99">
        <f>IF(AND(Database!FI137&gt;1,Database!FI139&gt;1),100*(Database!FI137/(Database!FI139)),0.0001)</f>
        <v>1E-4</v>
      </c>
      <c r="CF168" s="99">
        <f>IF(AND(Database!FK137&gt;1,Database!FK139&gt;1),100*(Database!FK137/(Database!FK139)),0.0001)</f>
        <v>1E-4</v>
      </c>
      <c r="CG168" s="99">
        <f>IF(AND(Database!FM137&gt;1,Database!FM139&gt;1),100*(Database!FM137/(Database!FM139)),0.0001)</f>
        <v>1E-4</v>
      </c>
      <c r="CH168" s="99">
        <f>IF(AND(Database!FO137&gt;1,Database!FO139&gt;1),100*(Database!FO137/(Database!FO139)),0.0001)</f>
        <v>1E-4</v>
      </c>
      <c r="CI168" s="99">
        <f>IF(AND(Database!FQ137&gt;1,Database!FQ139&gt;1),100*(Database!FQ137/(Database!FQ139)),0.0001)</f>
        <v>1E-4</v>
      </c>
      <c r="CJ168" s="99">
        <f>IF(AND(Database!FS137&gt;1,Database!FS139&gt;1),100*(Database!FS137/(Database!FS139)),0.0001)</f>
        <v>1E-4</v>
      </c>
      <c r="CK168" s="99">
        <f>IF(AND(Database!FU137&gt;1,Database!FU139&gt;1),100*(Database!FU137/(Database!FU139)),0.0001)</f>
        <v>1E-4</v>
      </c>
      <c r="CL168" s="99">
        <f>IF(AND(Database!FW137&gt;1,Database!FW139&gt;1),100*(Database!FW137/(Database!FW139)),0.0001)</f>
        <v>1E-4</v>
      </c>
      <c r="CM168" s="99">
        <f>IF(AND(Database!FY137&gt;1,Database!FY139&gt;1),100*(Database!FY137/(Database!FY139)),0.0001)</f>
        <v>1E-4</v>
      </c>
      <c r="CN168" s="99">
        <f>IF(AND(Database!GA137&gt;1,Database!GA139&gt;1),100*(Database!GA137/(Database!GA139)),0.0001)</f>
        <v>1E-4</v>
      </c>
      <c r="CO168" s="99">
        <f>IF(AND(Database!GC137&gt;1,Database!GC139&gt;1),100*(Database!GC137/(Database!GC139)),0.0001)</f>
        <v>1E-4</v>
      </c>
      <c r="CP168" s="99">
        <f>IF(AND(Database!GE137&gt;1,Database!GE139&gt;1),100*(Database!GE137/(Database!GE139)),0.0001)</f>
        <v>1E-4</v>
      </c>
      <c r="CQ168" s="99">
        <f>IF(AND(Database!GG137&gt;1,Database!GG139&gt;1),100*(Database!GG137/(Database!GG139)),0.0001)</f>
        <v>1E-4</v>
      </c>
      <c r="CR168" s="99">
        <f>IF(AND(Database!GI137&gt;1,Database!GI139&gt;1),100*(Database!GI137/(Database!GI139)),0.0001)</f>
        <v>1E-4</v>
      </c>
      <c r="CS168" s="99">
        <f>IF(AND(Database!GK137&gt;1,Database!GK139&gt;1),100*(Database!GK137/(Database!GK139)),0.0001)</f>
        <v>1E-4</v>
      </c>
      <c r="CT168" s="99">
        <f>IF(AND(Database!GM137&gt;1,Database!GM139&gt;1),100*(Database!GM137/(Database!GM139)),0.0001)</f>
        <v>1E-4</v>
      </c>
      <c r="CU168" s="99">
        <f>IF(AND(Database!GO137&gt;1,Database!GO139&gt;1),100*(Database!GO137/(Database!GO139)),0.0001)</f>
        <v>1E-4</v>
      </c>
      <c r="CV168" s="99">
        <f>IF(AND(Database!GQ137&gt;1,Database!GQ139&gt;1),100*(Database!GQ137/(Database!GQ139)),0.0001)</f>
        <v>1E-4</v>
      </c>
      <c r="CW168" s="99">
        <f>IF(AND(Database!GS137&gt;1,Database!GS139&gt;1),100*(Database!GS137/(Database!GS139)),0.0001)</f>
        <v>1E-4</v>
      </c>
      <c r="CX168" s="99">
        <f>IF(AND(Database!GU137&gt;1,Database!GU139&gt;1),100*(Database!GU137/(Database!GU139)),0.0001)</f>
        <v>1E-4</v>
      </c>
      <c r="CY168" s="99">
        <f>IF(AND(Database!GW137&gt;1,Database!GW139&gt;1),100*(Database!GW137/(Database!GW139)),0.0001)</f>
        <v>1E-4</v>
      </c>
      <c r="CZ168" s="99">
        <f>IF(AND(Database!GY137&gt;1,Database!GY139&gt;1),100*(Database!GY137/(Database!GY139)),0.0001)</f>
        <v>1E-4</v>
      </c>
      <c r="DA168" s="99">
        <f>IF(AND(Database!HA137&gt;1,Database!HA139&gt;1),100*(Database!HA137/(Database!HA139)),0.0001)</f>
        <v>1E-4</v>
      </c>
      <c r="DB168" s="99">
        <f>IF(AND(Database!HC137&gt;1,Database!HC139&gt;1),100*(Database!HC137/(Database!HC139)),0.0001)</f>
        <v>1E-4</v>
      </c>
      <c r="DC168" s="99">
        <f>IF(AND(Database!HE137&gt;1,Database!HE139&gt;1),100*(Database!HE137/(Database!HE139)),0.0001)</f>
        <v>1E-4</v>
      </c>
      <c r="DD168" s="99">
        <f>IF(AND(Database!HG137&gt;1,Database!HG139&gt;1),100*(Database!HG137/(Database!HG139)),0.0001)</f>
        <v>1E-4</v>
      </c>
      <c r="DE168" s="99">
        <f>IF(AND(Database!HI137&gt;1,Database!HI139&gt;1),100*(Database!HI137/(Database!HI139)),0.0001)</f>
        <v>1E-4</v>
      </c>
      <c r="DF168" s="99">
        <f>IF(AND(Database!HK137&gt;1,Database!HK139&gt;1),100*(Database!HK137/(Database!HK139)),0.0001)</f>
        <v>1E-4</v>
      </c>
      <c r="DG168" s="99">
        <f>IF(AND(Database!HM137&gt;1,Database!HM139&gt;1),100*(Database!HM137/(Database!HM139)),0.0001)</f>
        <v>1E-4</v>
      </c>
      <c r="DH168" s="99">
        <f>IF(AND(Database!HO137&gt;1,Database!HO139&gt;1),100*(Database!HO137/(Database!HO139)),0.0001)</f>
        <v>1E-4</v>
      </c>
      <c r="DI168" s="99">
        <f>IF(AND(Database!HQ137&gt;1,Database!HQ139&gt;1),100*(Database!HQ137/(Database!HQ139)),0.0001)</f>
        <v>1E-4</v>
      </c>
      <c r="DJ168" s="99">
        <f>IF(AND(Database!HS137&gt;1,Database!HS139&gt;1),100*(Database!HS137/(Database!HS139)),0.0001)</f>
        <v>1E-4</v>
      </c>
      <c r="DK168" s="99">
        <f>IF(AND(Database!HU137&gt;1,Database!HU139&gt;1),100*(Database!HU137/(Database!HU139)),0.0001)</f>
        <v>1E-4</v>
      </c>
      <c r="DL168" s="99">
        <f>IF(AND(Database!HW137&gt;1,Database!HW139&gt;1),100*(Database!HW137/(Database!HW139)),0.0001)</f>
        <v>1E-4</v>
      </c>
      <c r="DM168" s="99">
        <f>IF(AND(Database!HY137&gt;1,Database!HY139&gt;1),100*(Database!HY137/(Database!HY139)),0.0001)</f>
        <v>1E-4</v>
      </c>
      <c r="DN168" s="99">
        <f>IF(AND(Database!IA137&gt;1,Database!IA139&gt;1),100*(Database!IA137/(Database!IA139)),0.0001)</f>
        <v>1E-4</v>
      </c>
      <c r="DO168" s="99">
        <f>IF(AND(Database!IC137&gt;1,Database!IC139&gt;1),100*(Database!IC137/(Database!IC139)),0.0001)</f>
        <v>1E-4</v>
      </c>
      <c r="DP168" s="99">
        <f>IF(AND(Database!IE137&gt;1,Database!IE139&gt;1),100*(Database!IE137/(Database!IE139)),0.0001)</f>
        <v>1E-4</v>
      </c>
      <c r="DQ168" s="99">
        <f>IF(AND(Database!IG137&gt;1,Database!IG139&gt;1),100*(Database!IG137/(Database!IG139)),0.0001)</f>
        <v>1E-4</v>
      </c>
      <c r="DR168" s="99">
        <f>IF(AND(Database!II137&gt;1,Database!II139&gt;1),100*(Database!II137/(Database!II139)),0.0001)</f>
        <v>1E-4</v>
      </c>
      <c r="DS168" s="99">
        <f>IF(AND(Database!IK137&gt;1,Database!IK139&gt;1),100*(Database!IK137/(Database!IK139)),0.0001)</f>
        <v>1E-4</v>
      </c>
      <c r="DT168" s="99">
        <f>IF(AND(Database!IM137&gt;1,Database!IM139&gt;1),100*(Database!IM137/(Database!IM139)),0.0001)</f>
        <v>1E-4</v>
      </c>
      <c r="DU168" s="99">
        <f>IF(AND(Database!IO137&gt;1,Database!IO139&gt;1),100*(Database!IO137/(Database!IO139)),0.0001)</f>
        <v>1E-4</v>
      </c>
      <c r="DV168" s="99">
        <f>IF(AND(Database!IQ137&gt;1,Database!IQ139&gt;1),100*(Database!IQ137/(Database!IQ139)),0.0001)</f>
        <v>1E-4</v>
      </c>
      <c r="DW168" s="99">
        <f>IF(AND(Database!IS137&gt;1,Database!IS139&gt;1),100*(Database!IS137/(Database!IS139)),0.0001)</f>
        <v>1E-4</v>
      </c>
      <c r="DX168" s="99">
        <f>IF(AND(Database!IU137&gt;1,Database!IU139&gt;1),100*(Database!IU137/(Database!IU139)),0.0001)</f>
        <v>1E-4</v>
      </c>
      <c r="DY168" s="99">
        <f>IF(AND(Database!IW137&gt;1,Database!IW139&gt;1),100*(Database!IW137/(Database!IW139)),0.0001)</f>
        <v>1E-4</v>
      </c>
      <c r="DZ168" s="99">
        <f>IF(AND(Database!IY137&gt;1,Database!IY139&gt;1),100*(Database!IY137/(Database!IY139)),0.0001)</f>
        <v>1E-4</v>
      </c>
      <c r="EA168" s="99">
        <f>IF(AND(Database!JA137&gt;1,Database!JA139&gt;1),100*(Database!JA137/(Database!JA139)),0.0001)</f>
        <v>1E-4</v>
      </c>
      <c r="EB168" s="99">
        <f>IF(AND(Database!JC137&gt;1,Database!JC139&gt;1),100*(Database!JC137/(Database!JC139)),0.0001)</f>
        <v>1E-4</v>
      </c>
      <c r="EC168" s="99">
        <f>IF(AND(Database!JE137&gt;1,Database!JE139&gt;1),100*(Database!JE137/(Database!JE139)),0.0001)</f>
        <v>1E-4</v>
      </c>
      <c r="ED168" s="99">
        <f>IF(AND(Database!JG137&gt;1,Database!JG139&gt;1),100*(Database!JG137/(Database!JG139)),0.0001)</f>
        <v>1E-4</v>
      </c>
      <c r="EE168" s="99">
        <f>IF(AND(Database!JI137&gt;1,Database!JI139&gt;1),100*(Database!JI137/(Database!JI139)),0.0001)</f>
        <v>1E-4</v>
      </c>
      <c r="EF168" s="99">
        <f>IF(AND(Database!JK137&gt;1,Database!JK139&gt;1),100*(Database!JK137/(Database!JK139)),0.0001)</f>
        <v>1E-4</v>
      </c>
      <c r="EG168" s="99">
        <f>IF(AND(Database!JM137&gt;1,Database!JM139&gt;1),100*(Database!JM137/(Database!JM139)),0.0001)</f>
        <v>1E-4</v>
      </c>
      <c r="EH168" s="99">
        <f>IF(AND(Database!JO137&gt;1,Database!JO139&gt;1),100*(Database!JO137/(Database!JO139)),0.0001)</f>
        <v>1E-4</v>
      </c>
      <c r="EI168" s="99">
        <f>IF(AND(Database!JQ137&gt;1,Database!JQ139&gt;1),100*(Database!JQ137/(Database!JQ139)),0.0001)</f>
        <v>1E-4</v>
      </c>
      <c r="EJ168" s="99">
        <f>IF(AND(Database!JS137&gt;1,Database!JS139&gt;1),100*(Database!JS137/(Database!JS139)),0.0001)</f>
        <v>1E-4</v>
      </c>
      <c r="EK168" s="99">
        <f>IF(AND(Database!JU137&gt;1,Database!JU139&gt;1),100*(Database!JU137/(Database!JU139)),0.0001)</f>
        <v>1E-4</v>
      </c>
      <c r="EL168" s="99">
        <f>IF(AND(Database!JW137&gt;1,Database!JW139&gt;1),100*(Database!JW137/(Database!JW139)),0.0001)</f>
        <v>1E-4</v>
      </c>
      <c r="EM168" s="99">
        <f>IF(AND(Database!JY137&gt;1,Database!JY139&gt;1),100*(Database!JY137/(Database!JY139)),0.0001)</f>
        <v>1E-4</v>
      </c>
      <c r="EN168" s="99">
        <f>IF(AND(Database!KA137&gt;1,Database!KA139&gt;1),100*(Database!KA137/(Database!KA139)),0.0001)</f>
        <v>1E-4</v>
      </c>
      <c r="EO168" s="99">
        <f>IF(AND(Database!KC137&gt;1,Database!KC139&gt;1),100*(Database!KC137/(Database!KC139)),0.0001)</f>
        <v>1E-4</v>
      </c>
      <c r="EP168" s="99">
        <f>IF(AND(Database!KE137&gt;1,Database!KE139&gt;1),100*(Database!KE137/(Database!KE139)),0.0001)</f>
        <v>1E-4</v>
      </c>
      <c r="EQ168" s="99">
        <f>IF(AND(Database!KG137&gt;1,Database!KG139&gt;1),100*(Database!KG137/(Database!KG139)),0.0001)</f>
        <v>1E-4</v>
      </c>
      <c r="ER168" s="99">
        <f>IF(AND(Database!KI137&gt;1,Database!KI139&gt;1),100*(Database!KI137/(Database!KI139)),0.0001)</f>
        <v>1E-4</v>
      </c>
      <c r="ES168" s="99">
        <f>IF(AND(Database!KK137&gt;1,Database!KK139&gt;1),100*(Database!KK137/(Database!KK139)),0.0001)</f>
        <v>1E-4</v>
      </c>
      <c r="ET168" s="99">
        <f>IF(AND(Database!KM137&gt;1,Database!KM139&gt;1),100*(Database!KM137/(Database!KM139)),0.0001)</f>
        <v>1E-4</v>
      </c>
      <c r="EU168" s="99">
        <f>IF(AND(Database!KO137&gt;1,Database!KO139&gt;1),100*(Database!KO137/(Database!KO139)),0.0001)</f>
        <v>1E-4</v>
      </c>
      <c r="EV168" s="99">
        <f>IF(AND(Database!KQ137&gt;1,Database!KQ139&gt;1),100*(Database!KQ137/(Database!KQ139)),0.0001)</f>
        <v>1E-4</v>
      </c>
      <c r="EW168" s="99">
        <f>IF(AND(Database!KS137&gt;1,Database!KS139&gt;1),100*(Database!KS137/(Database!KS139)),0.0001)</f>
        <v>1E-4</v>
      </c>
      <c r="EX168" s="99">
        <f>IF(AND(Database!KU137&gt;1,Database!KU139&gt;1),100*(Database!KU137/(Database!KU139)),0.0001)</f>
        <v>1E-4</v>
      </c>
      <c r="EY168" s="99">
        <f>IF(AND(Database!KW137&gt;1,Database!KW139&gt;1),100*(Database!KW137/(Database!KW139)),0.0001)</f>
        <v>1E-4</v>
      </c>
      <c r="EZ168" s="99">
        <f>IF(AND(Database!KY137&gt;1,Database!KY139&gt;1),100*(Database!KY137/(Database!KY139)),0.0001)</f>
        <v>1E-4</v>
      </c>
      <c r="FA168" s="99">
        <f>IF(AND(Database!LA137&gt;1,Database!LA139&gt;1),100*(Database!LA137/(Database!LA139)),0.0001)</f>
        <v>1E-4</v>
      </c>
      <c r="FB168" s="99">
        <f>IF(AND(Database!LC137&gt;1,Database!LC139&gt;1),100*(Database!LC137/(Database!LC139)),0.0001)</f>
        <v>1E-4</v>
      </c>
      <c r="FC168" s="99">
        <f>IF(AND(Database!LE137&gt;1,Database!LE139&gt;1),100*(Database!LE137/(Database!LE139)),0.0001)</f>
        <v>1E-4</v>
      </c>
      <c r="FD168" s="99">
        <f>IF(AND(Database!LG137&gt;1,Database!LG139&gt;1),100*(Database!LG137/(Database!LG139)),0.0001)</f>
        <v>1E-4</v>
      </c>
      <c r="FE168" s="99">
        <f>IF(AND(Database!LI137&gt;1,Database!LI139&gt;1),100*(Database!LI137/(Database!LI139)),0.0001)</f>
        <v>1E-4</v>
      </c>
      <c r="FF168" s="99">
        <f>IF(AND(Database!LK137&gt;1,Database!LK139&gt;1),100*(Database!LK137/(Database!LK139)),0.0001)</f>
        <v>1E-4</v>
      </c>
      <c r="FG168" s="99">
        <f>IF(AND(Database!LM137&gt;1,Database!LM139&gt;1),100*(Database!LM137/(Database!LM139)),0.0001)</f>
        <v>1E-4</v>
      </c>
      <c r="FH168" s="99">
        <f>IF(AND(Database!LO137&gt;1,Database!LO139&gt;1),100*(Database!LO137/(Database!LO139)),0.0001)</f>
        <v>1E-4</v>
      </c>
      <c r="FI168" s="99">
        <f>IF(AND(Database!LQ137&gt;1,Database!LQ139&gt;1),100*(Database!LQ137/(Database!LQ139)),0.0001)</f>
        <v>1E-4</v>
      </c>
      <c r="FJ168" s="99">
        <f>IF(AND(Database!LS137&gt;1,Database!LS139&gt;1),100*(Database!LS137/(Database!LS139)),0.0001)</f>
        <v>1E-4</v>
      </c>
      <c r="FK168" s="99">
        <f>IF(AND(Database!LU137&gt;1,Database!LU139&gt;1),100*(Database!LU137/(Database!LU139)),0.0001)</f>
        <v>1E-4</v>
      </c>
      <c r="FL168" s="99">
        <f>IF(AND(Database!LW137&gt;1,Database!LW139&gt;1),100*(Database!LW137/(Database!LW139)),0.0001)</f>
        <v>1E-4</v>
      </c>
      <c r="FM168" s="99">
        <f>IF(AND(Database!LY137&gt;1,Database!LY139&gt;1),100*(Database!LY137/(Database!LY139)),0.0001)</f>
        <v>1E-4</v>
      </c>
      <c r="FN168" s="99">
        <f>IF(AND(Database!MA137&gt;1,Database!MA139&gt;1),100*(Database!MA137/(Database!MA139)),0.0001)</f>
        <v>1E-4</v>
      </c>
      <c r="FO168" s="99">
        <f>IF(AND(Database!MC137&gt;1,Database!MC139&gt;1),100*(Database!MC137/(Database!MC139)),0.0001)</f>
        <v>1E-4</v>
      </c>
      <c r="FP168" s="99">
        <f>IF(AND(Database!ME137&gt;1,Database!ME139&gt;1),100*(Database!ME137/(Database!ME139)),0.0001)</f>
        <v>1E-4</v>
      </c>
      <c r="FQ168" s="99">
        <f>IF(AND(Database!MG137&gt;1,Database!MG139&gt;1),100*(Database!MG137/(Database!MG139)),0.0001)</f>
        <v>1E-4</v>
      </c>
      <c r="FR168" s="99">
        <f>IF(AND(Database!MI137&gt;1,Database!MI139&gt;1),100*(Database!MI137/(Database!MI139)),0.0001)</f>
        <v>1E-4</v>
      </c>
      <c r="FS168" s="99">
        <f>IF(AND(Database!MK137&gt;1,Database!MK139&gt;1),100*(Database!MK137/(Database!MK139)),0.0001)</f>
        <v>1E-4</v>
      </c>
      <c r="FT168" s="99">
        <f>IF(AND(Database!MM137&gt;1,Database!MM139&gt;1),100*(Database!MM137/(Database!MM139)),0.0001)</f>
        <v>1E-4</v>
      </c>
      <c r="FU168" s="99">
        <f>IF(AND(Database!MO137&gt;1,Database!MO139&gt;1),100*(Database!MO137/(Database!MO139)),0.0001)</f>
        <v>1E-4</v>
      </c>
      <c r="FV168" s="99">
        <f>IF(AND(Database!MQ137&gt;1,Database!MQ139&gt;1),100*(Database!MQ137/(Database!MQ139)),0.0001)</f>
        <v>1E-4</v>
      </c>
      <c r="FW168" s="99">
        <f>IF(AND(Database!MS137&gt;1,Database!MS139&gt;1),100*(Database!MS137/(Database!MS139)),0.0001)</f>
        <v>1E-4</v>
      </c>
      <c r="FX168" s="99">
        <f>IF(AND(Database!MU137&gt;1,Database!MU139&gt;1),100*(Database!MU137/(Database!MU139)),0.0001)</f>
        <v>1E-4</v>
      </c>
      <c r="FY168" s="99">
        <f>IF(AND(Database!MW137&gt;1,Database!MW139&gt;1),100*(Database!MW137/(Database!MW139)),0.0001)</f>
        <v>1E-4</v>
      </c>
      <c r="FZ168" s="99">
        <f>IF(AND(Database!MY137&gt;1,Database!MY139&gt;1),100*(Database!MY137/(Database!MY139)),0.0001)</f>
        <v>1E-4</v>
      </c>
      <c r="GA168" s="99">
        <f>IF(AND(Database!NA137&gt;1,Database!NA139&gt;1),100*(Database!NA137/(Database!NA139)),0.0001)</f>
        <v>1E-4</v>
      </c>
      <c r="GB168" s="99">
        <f>IF(AND(Database!NC137&gt;1,Database!NC139&gt;1),100*(Database!NC137/(Database!NC139)),0.0001)</f>
        <v>1E-4</v>
      </c>
      <c r="GC168" s="99">
        <f>IF(AND(Database!NE137&gt;1,Database!NE139&gt;1),100*(Database!NE137/(Database!NE139)),0.0001)</f>
        <v>1E-4</v>
      </c>
      <c r="GD168" s="99">
        <f>IF(AND(Database!NG137&gt;1,Database!NG139&gt;1),100*(Database!NG137/(Database!NG139)),0.0001)</f>
        <v>1E-4</v>
      </c>
      <c r="GE168" s="99">
        <f>IF(AND(Database!NI137&gt;1,Database!NI139&gt;1),100*(Database!NI137/(Database!NI139)),0.0001)</f>
        <v>1E-4</v>
      </c>
      <c r="GF168" s="99">
        <f>IF(AND(Database!NK137&gt;1,Database!NK139&gt;1),100*(Database!NK137/(Database!NK139)),0.0001)</f>
        <v>1E-4</v>
      </c>
      <c r="GG168" s="99">
        <f>IF(AND(Database!NM137&gt;1,Database!NM139&gt;1),100*(Database!NM137/(Database!NM139)),0.0001)</f>
        <v>1E-4</v>
      </c>
      <c r="GH168" s="99">
        <f>IF(AND(Database!NO137&gt;1,Database!NO139&gt;1),100*(Database!NO137/(Database!NO139)),0.0001)</f>
        <v>1E-4</v>
      </c>
      <c r="GI168" s="99">
        <f>IF(AND(Database!NQ137&gt;1,Database!NQ139&gt;1),100*(Database!NQ137/(Database!NQ139)),0.0001)</f>
        <v>1E-4</v>
      </c>
      <c r="GJ168" s="99">
        <f>IF(AND(Database!NS137&gt;1,Database!NS139&gt;1),100*(Database!NS137/(Database!NS139)),0.0001)</f>
        <v>1E-4</v>
      </c>
      <c r="GK168" s="99">
        <f>IF(AND(Database!NU137&gt;1,Database!NU139&gt;1),100*(Database!NU137/(Database!NU139)),0.0001)</f>
        <v>1E-4</v>
      </c>
      <c r="GL168" s="99">
        <f>IF(AND(Database!NW137&gt;1,Database!NW139&gt;1),100*(Database!NW137/(Database!NW139)),0.0001)</f>
        <v>1E-4</v>
      </c>
      <c r="GM168" s="99">
        <f>IF(AND(Database!NY137&gt;1,Database!NY139&gt;1),100*(Database!NY137/(Database!NY139)),0.0001)</f>
        <v>1E-4</v>
      </c>
      <c r="GN168" s="99">
        <f>IF(AND(Database!OA137&gt;1,Database!OA139&gt;1),100*(Database!OA137/(Database!OA139)),0.0001)</f>
        <v>1E-4</v>
      </c>
      <c r="GO168" s="99">
        <f>IF(AND(Database!OC137&gt;1,Database!OC139&gt;1),100*(Database!OC137/(Database!OC139)),0.0001)</f>
        <v>1E-4</v>
      </c>
      <c r="GP168" s="99">
        <f>IF(AND(Database!OE137&gt;1,Database!OE139&gt;1),100*(Database!OE137/(Database!OE139)),0.0001)</f>
        <v>1E-4</v>
      </c>
      <c r="GQ168" s="99">
        <f>IF(AND(Database!OG137&gt;1,Database!OG139&gt;1),100*(Database!OG137/(Database!OG139)),0.0001)</f>
        <v>1E-4</v>
      </c>
      <c r="GR168" s="99">
        <f>IF(AND(Database!OI137&gt;1,Database!OI139&gt;1),100*(Database!OI137/(Database!OI139)),0.0001)</f>
        <v>1E-4</v>
      </c>
      <c r="GS168" s="99">
        <f>IF(AND(Database!OK137&gt;1,Database!OK139&gt;1),100*(Database!OK137/(Database!OK139)),0.0001)</f>
        <v>1E-4</v>
      </c>
      <c r="GT168" s="30">
        <f>IF(AND(Database!OM137&gt;1,Database!OM139&gt;1),100*(Database!OM137/(Database!OM139)),0.0001)</f>
        <v>1E-4</v>
      </c>
      <c r="GU168" s="99"/>
      <c r="GV168" s="99"/>
      <c r="GW168" s="99"/>
    </row>
    <row r="169" spans="1:205" ht="18.75" customHeight="1" x14ac:dyDescent="0.4">
      <c r="A169" s="240" t="s">
        <v>179</v>
      </c>
      <c r="B169" s="96"/>
      <c r="C169" s="260">
        <f>IF(AND(Database!E139&gt;1,Database!E68&gt;1),100*(Database!E139/(Database!E68)),0.0001)</f>
        <v>23.991856035728361</v>
      </c>
      <c r="D169" s="99">
        <f>IF(AND(Database!G139&gt;1,Database!G68&gt;1),100*(Database!G139/(Database!G68)),0.0001)</f>
        <v>28.210143915048203</v>
      </c>
      <c r="E169" s="99">
        <f>IF(AND(Database!I139&gt;1,Database!I68&gt;1),100*(Database!I139/(Database!I68)),0.0001)</f>
        <v>25.270417079967881</v>
      </c>
      <c r="F169" s="99">
        <f>IF(AND(Database!K139&gt;1,Database!K68&gt;1),100*(Database!K139/(Database!K68)),0.0001)</f>
        <v>24.888046848088187</v>
      </c>
      <c r="G169" s="99">
        <f>IF(AND(Database!M139&gt;1,Database!M68&gt;1),100*(Database!M139/(Database!M68)),0.0001)</f>
        <v>1E-4</v>
      </c>
      <c r="H169" s="99">
        <f>IF(AND(Database!O139&gt;1,Database!O68&gt;1),100*(Database!O139/(Database!O68)),0.0001)</f>
        <v>1E-4</v>
      </c>
      <c r="I169" s="99">
        <f>IF(AND(Database!Q139&gt;1,Database!Q68&gt;1),100*(Database!Q139/(Database!Q68)),0.0001)</f>
        <v>1E-4</v>
      </c>
      <c r="J169" s="99">
        <f>IF(AND(Database!S139&gt;1,Database!S68&gt;1),100*(Database!S139/(Database!S68)),0.0001)</f>
        <v>1E-4</v>
      </c>
      <c r="K169" s="99">
        <f>IF(AND(Database!U139&gt;1,Database!U68&gt;1),100*(Database!U139/(Database!U68)),0.0001)</f>
        <v>1E-4</v>
      </c>
      <c r="L169" s="99">
        <f>IF(AND(Database!W139&gt;1,Database!W68&gt;1),100*(Database!W139/(Database!W68)),0.0001)</f>
        <v>1E-4</v>
      </c>
      <c r="M169" s="99">
        <f>IF(AND(Database!Y139&gt;1,Database!Y68&gt;1),100*(Database!Y139/(Database!Y68)),0.0001)</f>
        <v>1E-4</v>
      </c>
      <c r="N169" s="99">
        <f>IF(AND(Database!AA139&gt;1,Database!AA68&gt;1),100*(Database!AA139/(Database!AA68)),0.0001)</f>
        <v>1E-4</v>
      </c>
      <c r="O169" s="99">
        <f>IF(AND(Database!AC139&gt;1,Database!AC68&gt;1),100*(Database!AC139/(Database!AC68)),0.0001)</f>
        <v>1E-4</v>
      </c>
      <c r="P169" s="99">
        <f>IF(AND(Database!AE139&gt;1,Database!AE68&gt;1),100*(Database!AE139/(Database!AE68)),0.0001)</f>
        <v>1E-4</v>
      </c>
      <c r="Q169" s="99">
        <f>IF(AND(Database!AG139&gt;1,Database!AG68&gt;1),100*(Database!AG139/(Database!AG68)),0.0001)</f>
        <v>1E-4</v>
      </c>
      <c r="R169" s="99">
        <f>IF(AND(Database!AI139&gt;1,Database!AI68&gt;1),100*(Database!AI139/(Database!AI68)),0.0001)</f>
        <v>1E-4</v>
      </c>
      <c r="S169" s="99">
        <f>IF(AND(Database!AK139&gt;1,Database!AK68&gt;1),100*(Database!AK139/(Database!AK68)),0.0001)</f>
        <v>1E-4</v>
      </c>
      <c r="T169" s="99">
        <f>IF(AND(Database!AM139&gt;1,Database!AM68&gt;1),100*(Database!AM139/(Database!AM68)),0.0001)</f>
        <v>1E-4</v>
      </c>
      <c r="U169" s="99">
        <f>IF(AND(Database!AO139&gt;1,Database!AO68&gt;1),100*(Database!AO139/(Database!AO68)),0.0001)</f>
        <v>1E-4</v>
      </c>
      <c r="V169" s="99">
        <f>IF(AND(Database!AQ139&gt;1,Database!AQ68&gt;1),100*(Database!AQ139/(Database!AQ68)),0.0001)</f>
        <v>1E-4</v>
      </c>
      <c r="W169" s="99">
        <f>IF(AND(Database!AS139&gt;1,Database!AS68&gt;1),100*(Database!AS139/(Database!AS68)),0.0001)</f>
        <v>1E-4</v>
      </c>
      <c r="X169" s="99">
        <f>IF(AND(Database!AU139&gt;1,Database!AU68&gt;1),100*(Database!AU139/(Database!AU68)),0.0001)</f>
        <v>1E-4</v>
      </c>
      <c r="Y169" s="99">
        <f>IF(AND(Database!AW139&gt;1,Database!AW68&gt;1),100*(Database!AW139/(Database!AW68)),0.0001)</f>
        <v>1E-4</v>
      </c>
      <c r="Z169" s="99">
        <f>IF(AND(Database!AY139&gt;1,Database!AY68&gt;1),100*(Database!AY139/(Database!AY68)),0.0001)</f>
        <v>1E-4</v>
      </c>
      <c r="AA169" s="99">
        <f>IF(AND(Database!BA139&gt;1,Database!BA68&gt;1),100*(Database!BA139/(Database!BA68)),0.0001)</f>
        <v>1E-4</v>
      </c>
      <c r="AB169" s="99">
        <f>IF(AND(Database!BC139&gt;1,Database!BC68&gt;1),100*(Database!BC139/(Database!BC68)),0.0001)</f>
        <v>1E-4</v>
      </c>
      <c r="AC169" s="99">
        <f>IF(AND(Database!BE139&gt;1,Database!BE68&gt;1),100*(Database!BE139/(Database!BE68)),0.0001)</f>
        <v>1E-4</v>
      </c>
      <c r="AD169" s="99">
        <f>IF(AND(Database!BG139&gt;1,Database!BG68&gt;1),100*(Database!BG139/(Database!BG68)),0.0001)</f>
        <v>1E-4</v>
      </c>
      <c r="AE169" s="99">
        <f>IF(AND(Database!BI139&gt;1,Database!BI68&gt;1),100*(Database!BI139/(Database!BI68)),0.0001)</f>
        <v>1E-4</v>
      </c>
      <c r="AF169" s="99">
        <f>IF(AND(Database!BK139&gt;1,Database!BK68&gt;1),100*(Database!BK139/(Database!BK68)),0.0001)</f>
        <v>1E-4</v>
      </c>
      <c r="AG169" s="99">
        <f>IF(AND(Database!BM139&gt;1,Database!BM68&gt;1),100*(Database!BM139/(Database!BM68)),0.0001)</f>
        <v>1E-4</v>
      </c>
      <c r="AH169" s="99">
        <f>IF(AND(Database!BO139&gt;1,Database!BO68&gt;1),100*(Database!BO139/(Database!BO68)),0.0001)</f>
        <v>1E-4</v>
      </c>
      <c r="AI169" s="99">
        <f>IF(AND(Database!BQ139&gt;1,Database!BQ68&gt;1),100*(Database!BQ139/(Database!BQ68)),0.0001)</f>
        <v>1E-4</v>
      </c>
      <c r="AJ169" s="99">
        <f>IF(AND(Database!BS139&gt;1,Database!BS68&gt;1),100*(Database!BS139/(Database!BS68)),0.0001)</f>
        <v>1E-4</v>
      </c>
      <c r="AK169" s="99">
        <f>IF(AND(Database!BU139&gt;1,Database!BU68&gt;1),100*(Database!BU139/(Database!BU68)),0.0001)</f>
        <v>1E-4</v>
      </c>
      <c r="AL169" s="99">
        <f>IF(AND(Database!BW139&gt;1,Database!BW68&gt;1),100*(Database!BW139/(Database!BW68)),0.0001)</f>
        <v>1E-4</v>
      </c>
      <c r="AM169" s="99">
        <f>IF(AND(Database!BY139&gt;1,Database!BY68&gt;1),100*(Database!BY139/(Database!BY68)),0.0001)</f>
        <v>1E-4</v>
      </c>
      <c r="AN169" s="99">
        <f>IF(AND(Database!CA139&gt;1,Database!CA68&gt;1),100*(Database!CA139/(Database!CA68)),0.0001)</f>
        <v>1E-4</v>
      </c>
      <c r="AO169" s="99">
        <f>IF(AND(Database!CC139&gt;1,Database!CC68&gt;1),100*(Database!CC139/(Database!CC68)),0.0001)</f>
        <v>1E-4</v>
      </c>
      <c r="AP169" s="99">
        <f>IF(AND(Database!CE139&gt;1,Database!CE68&gt;1),100*(Database!CE139/(Database!CE68)),0.0001)</f>
        <v>1E-4</v>
      </c>
      <c r="AQ169" s="99">
        <f>IF(AND(Database!CG139&gt;1,Database!CG68&gt;1),100*(Database!CG139/(Database!CG68)),0.0001)</f>
        <v>1E-4</v>
      </c>
      <c r="AR169" s="99">
        <f>IF(AND(Database!CI139&gt;1,Database!CI68&gt;1),100*(Database!CI139/(Database!CI68)),0.0001)</f>
        <v>1E-4</v>
      </c>
      <c r="AS169" s="99">
        <f>IF(AND(Database!CK139&gt;1,Database!CK68&gt;1),100*(Database!CK139/(Database!CK68)),0.0001)</f>
        <v>1E-4</v>
      </c>
      <c r="AT169" s="99">
        <f>IF(AND(Database!CM139&gt;1,Database!CM68&gt;1),100*(Database!CM139/(Database!CM68)),0.0001)</f>
        <v>1E-4</v>
      </c>
      <c r="AU169" s="99">
        <f>IF(AND(Database!CO139&gt;1,Database!CO68&gt;1),100*(Database!CO139/(Database!CO68)),0.0001)</f>
        <v>1E-4</v>
      </c>
      <c r="AV169" s="99">
        <f>IF(AND(Database!CQ139&gt;1,Database!CQ68&gt;1),100*(Database!CQ139/(Database!CQ68)),0.0001)</f>
        <v>1E-4</v>
      </c>
      <c r="AW169" s="99">
        <f>IF(AND(Database!CS139&gt;1,Database!CS68&gt;1),100*(Database!CS139/(Database!CS68)),0.0001)</f>
        <v>1E-4</v>
      </c>
      <c r="AX169" s="99">
        <f>IF(AND(Database!CU139&gt;1,Database!CU68&gt;1),100*(Database!CU139/(Database!CU68)),0.0001)</f>
        <v>1E-4</v>
      </c>
      <c r="AY169" s="99">
        <f>IF(AND(Database!CW139&gt;1,Database!CW68&gt;1),100*(Database!CW139/(Database!CW68)),0.0001)</f>
        <v>1E-4</v>
      </c>
      <c r="AZ169" s="99">
        <f>IF(AND(Database!CY139&gt;1,Database!CY68&gt;1),100*(Database!CY139/(Database!CY68)),0.0001)</f>
        <v>1E-4</v>
      </c>
      <c r="BA169" s="99">
        <f>IF(AND(Database!DA139&gt;1,Database!DA68&gt;1),100*(Database!DA139/(Database!DA68)),0.0001)</f>
        <v>1E-4</v>
      </c>
      <c r="BB169" s="99">
        <f>IF(AND(Database!DC139&gt;1,Database!DC68&gt;1),100*(Database!DC139/(Database!DC68)),0.0001)</f>
        <v>1E-4</v>
      </c>
      <c r="BC169" s="99">
        <f>IF(AND(Database!DE139&gt;1,Database!DE68&gt;1),100*(Database!DE139/(Database!DE68)),0.0001)</f>
        <v>1E-4</v>
      </c>
      <c r="BD169" s="99">
        <f>IF(AND(Database!DG139&gt;1,Database!DG68&gt;1),100*(Database!DG139/(Database!DG68)),0.0001)</f>
        <v>1E-4</v>
      </c>
      <c r="BE169" s="99">
        <f>IF(AND(Database!DI139&gt;1,Database!DI68&gt;1),100*(Database!DI139/(Database!DI68)),0.0001)</f>
        <v>1E-4</v>
      </c>
      <c r="BF169" s="99">
        <f>IF(AND(Database!DK139&gt;1,Database!DK68&gt;1),100*(Database!DK139/(Database!DK68)),0.0001)</f>
        <v>1E-4</v>
      </c>
      <c r="BG169" s="99">
        <f>IF(AND(Database!DM139&gt;1,Database!DM68&gt;1),100*(Database!DM139/(Database!DM68)),0.0001)</f>
        <v>1E-4</v>
      </c>
      <c r="BH169" s="99">
        <f>IF(AND(Database!DO139&gt;1,Database!DO68&gt;1),100*(Database!DO139/(Database!DO68)),0.0001)</f>
        <v>1E-4</v>
      </c>
      <c r="BI169" s="99">
        <f>IF(AND(Database!DQ139&gt;1,Database!DQ68&gt;1),100*(Database!DQ139/(Database!DQ68)),0.0001)</f>
        <v>1E-4</v>
      </c>
      <c r="BJ169" s="99">
        <f>IF(AND(Database!DS139&gt;1,Database!DS68&gt;1),100*(Database!DS139/(Database!DS68)),0.0001)</f>
        <v>1E-4</v>
      </c>
      <c r="BK169" s="99">
        <f>IF(AND(Database!DU139&gt;1,Database!DU68&gt;1),100*(Database!DU139/(Database!DU68)),0.0001)</f>
        <v>1E-4</v>
      </c>
      <c r="BL169" s="99">
        <f>IF(AND(Database!DW139&gt;1,Database!DW68&gt;1),100*(Database!DW139/(Database!DW68)),0.0001)</f>
        <v>1E-4</v>
      </c>
      <c r="BM169" s="99">
        <f>IF(AND(Database!DY139&gt;1,Database!DY68&gt;1),100*(Database!DY139/(Database!DY68)),0.0001)</f>
        <v>1E-4</v>
      </c>
      <c r="BN169" s="99">
        <f>IF(AND(Database!EA139&gt;1,Database!EA68&gt;1),100*(Database!EA139/(Database!EA68)),0.0001)</f>
        <v>1E-4</v>
      </c>
      <c r="BO169" s="99">
        <f>IF(AND(Database!EC139&gt;1,Database!EC68&gt;1),100*(Database!EC139/(Database!EC68)),0.0001)</f>
        <v>1E-4</v>
      </c>
      <c r="BP169" s="99">
        <f>IF(AND(Database!EE139&gt;1,Database!EE68&gt;1),100*(Database!EE139/(Database!EE68)),0.0001)</f>
        <v>1E-4</v>
      </c>
      <c r="BQ169" s="99">
        <f>IF(AND(Database!EG139&gt;1,Database!EG68&gt;1),100*(Database!EG139/(Database!EG68)),0.0001)</f>
        <v>1E-4</v>
      </c>
      <c r="BR169" s="99">
        <f>IF(AND(Database!EI139&gt;1,Database!EI68&gt;1),100*(Database!EI139/(Database!EI68)),0.0001)</f>
        <v>1E-4</v>
      </c>
      <c r="BS169" s="99">
        <f>IF(AND(Database!EK139&gt;1,Database!EK68&gt;1),100*(Database!EK139/(Database!EK68)),0.0001)</f>
        <v>1E-4</v>
      </c>
      <c r="BT169" s="99">
        <f>IF(AND(Database!EM139&gt;1,Database!EM68&gt;1),100*(Database!EM139/(Database!EM68)),0.0001)</f>
        <v>1E-4</v>
      </c>
      <c r="BU169" s="99">
        <f>IF(AND(Database!EO139&gt;1,Database!EO68&gt;1),100*(Database!EO139/(Database!EO68)),0.0001)</f>
        <v>1E-4</v>
      </c>
      <c r="BV169" s="99">
        <f>IF(AND(Database!EQ139&gt;1,Database!EQ68&gt;1),100*(Database!EQ139/(Database!EQ68)),0.0001)</f>
        <v>1E-4</v>
      </c>
      <c r="BW169" s="99">
        <f>IF(AND(Database!ES139&gt;1,Database!ES68&gt;1),100*(Database!ES139/(Database!ES68)),0.0001)</f>
        <v>1E-4</v>
      </c>
      <c r="BX169" s="99">
        <f>IF(AND(Database!EU139&gt;1,Database!EU68&gt;1),100*(Database!EU139/(Database!EU68)),0.0001)</f>
        <v>1E-4</v>
      </c>
      <c r="BY169" s="99">
        <f>IF(AND(Database!EW139&gt;1,Database!EW68&gt;1),100*(Database!EW139/(Database!EW68)),0.0001)</f>
        <v>1E-4</v>
      </c>
      <c r="BZ169" s="99">
        <f>IF(AND(Database!EY139&gt;1,Database!EY68&gt;1),100*(Database!EY139/(Database!EY68)),0.0001)</f>
        <v>1E-4</v>
      </c>
      <c r="CA169" s="99">
        <f>IF(AND(Database!FA139&gt;1,Database!FA68&gt;1),100*(Database!FA139/(Database!FA68)),0.0001)</f>
        <v>1E-4</v>
      </c>
      <c r="CB169" s="99">
        <f>IF(AND(Database!FC139&gt;1,Database!FC68&gt;1),100*(Database!FC139/(Database!FC68)),0.0001)</f>
        <v>1E-4</v>
      </c>
      <c r="CC169" s="99">
        <f>IF(AND(Database!FE139&gt;1,Database!FE68&gt;1),100*(Database!FE139/(Database!FE68)),0.0001)</f>
        <v>1E-4</v>
      </c>
      <c r="CD169" s="99">
        <f>IF(AND(Database!FG139&gt;1,Database!FG68&gt;1),100*(Database!FG139/(Database!FG68)),0.0001)</f>
        <v>1E-4</v>
      </c>
      <c r="CE169" s="99">
        <f>IF(AND(Database!FI139&gt;1,Database!FI68&gt;1),100*(Database!FI139/(Database!FI68)),0.0001)</f>
        <v>1E-4</v>
      </c>
      <c r="CF169" s="99">
        <f>IF(AND(Database!FK139&gt;1,Database!FK68&gt;1),100*(Database!FK139/(Database!FK68)),0.0001)</f>
        <v>1E-4</v>
      </c>
      <c r="CG169" s="99">
        <f>IF(AND(Database!FM139&gt;1,Database!FM68&gt;1),100*(Database!FM139/(Database!FM68)),0.0001)</f>
        <v>1E-4</v>
      </c>
      <c r="CH169" s="99">
        <f>IF(AND(Database!FO139&gt;1,Database!FO68&gt;1),100*(Database!FO139/(Database!FO68)),0.0001)</f>
        <v>1E-4</v>
      </c>
      <c r="CI169" s="99">
        <f>IF(AND(Database!FQ139&gt;1,Database!FQ68&gt;1),100*(Database!FQ139/(Database!FQ68)),0.0001)</f>
        <v>1E-4</v>
      </c>
      <c r="CJ169" s="99">
        <f>IF(AND(Database!FS139&gt;1,Database!FS68&gt;1),100*(Database!FS139/(Database!FS68)),0.0001)</f>
        <v>1E-4</v>
      </c>
      <c r="CK169" s="99">
        <f>IF(AND(Database!FU139&gt;1,Database!FU68&gt;1),100*(Database!FU139/(Database!FU68)),0.0001)</f>
        <v>1E-4</v>
      </c>
      <c r="CL169" s="99">
        <f>IF(AND(Database!FW139&gt;1,Database!FW68&gt;1),100*(Database!FW139/(Database!FW68)),0.0001)</f>
        <v>1E-4</v>
      </c>
      <c r="CM169" s="99">
        <f>IF(AND(Database!FY139&gt;1,Database!FY68&gt;1),100*(Database!FY139/(Database!FY68)),0.0001)</f>
        <v>1E-4</v>
      </c>
      <c r="CN169" s="99">
        <f>IF(AND(Database!GA139&gt;1,Database!GA68&gt;1),100*(Database!GA139/(Database!GA68)),0.0001)</f>
        <v>1E-4</v>
      </c>
      <c r="CO169" s="99">
        <f>IF(AND(Database!GC139&gt;1,Database!GC68&gt;1),100*(Database!GC139/(Database!GC68)),0.0001)</f>
        <v>1E-4</v>
      </c>
      <c r="CP169" s="99">
        <f>IF(AND(Database!GE139&gt;1,Database!GE68&gt;1),100*(Database!GE139/(Database!GE68)),0.0001)</f>
        <v>1E-4</v>
      </c>
      <c r="CQ169" s="99">
        <f>IF(AND(Database!GG139&gt;1,Database!GG68&gt;1),100*(Database!GG139/(Database!GG68)),0.0001)</f>
        <v>1E-4</v>
      </c>
      <c r="CR169" s="99">
        <f>IF(AND(Database!GI139&gt;1,Database!GI68&gt;1),100*(Database!GI139/(Database!GI68)),0.0001)</f>
        <v>1E-4</v>
      </c>
      <c r="CS169" s="99">
        <f>IF(AND(Database!GK139&gt;1,Database!GK68&gt;1),100*(Database!GK139/(Database!GK68)),0.0001)</f>
        <v>1E-4</v>
      </c>
      <c r="CT169" s="99">
        <f>IF(AND(Database!GM139&gt;1,Database!GM68&gt;1),100*(Database!GM139/(Database!GM68)),0.0001)</f>
        <v>1E-4</v>
      </c>
      <c r="CU169" s="99">
        <f>IF(AND(Database!GO139&gt;1,Database!GO68&gt;1),100*(Database!GO139/(Database!GO68)),0.0001)</f>
        <v>1E-4</v>
      </c>
      <c r="CV169" s="99">
        <f>IF(AND(Database!GQ139&gt;1,Database!GQ68&gt;1),100*(Database!GQ139/(Database!GQ68)),0.0001)</f>
        <v>1E-4</v>
      </c>
      <c r="CW169" s="99">
        <f>IF(AND(Database!GS139&gt;1,Database!GS68&gt;1),100*(Database!GS139/(Database!GS68)),0.0001)</f>
        <v>1E-4</v>
      </c>
      <c r="CX169" s="99">
        <f>IF(AND(Database!GU139&gt;1,Database!GU68&gt;1),100*(Database!GU139/(Database!GU68)),0.0001)</f>
        <v>1E-4</v>
      </c>
      <c r="CY169" s="99">
        <f>IF(AND(Database!GW139&gt;1,Database!GW68&gt;1),100*(Database!GW139/(Database!GW68)),0.0001)</f>
        <v>1E-4</v>
      </c>
      <c r="CZ169" s="99">
        <f>IF(AND(Database!GY139&gt;1,Database!GY68&gt;1),100*(Database!GY139/(Database!GY68)),0.0001)</f>
        <v>1E-4</v>
      </c>
      <c r="DA169" s="99">
        <f>IF(AND(Database!HA139&gt;1,Database!HA68&gt;1),100*(Database!HA139/(Database!HA68)),0.0001)</f>
        <v>1E-4</v>
      </c>
      <c r="DB169" s="99">
        <f>IF(AND(Database!HC139&gt;1,Database!HC68&gt;1),100*(Database!HC139/(Database!HC68)),0.0001)</f>
        <v>1E-4</v>
      </c>
      <c r="DC169" s="99">
        <f>IF(AND(Database!HE139&gt;1,Database!HE68&gt;1),100*(Database!HE139/(Database!HE68)),0.0001)</f>
        <v>1E-4</v>
      </c>
      <c r="DD169" s="99">
        <f>IF(AND(Database!HG139&gt;1,Database!HG68&gt;1),100*(Database!HG139/(Database!HG68)),0.0001)</f>
        <v>1E-4</v>
      </c>
      <c r="DE169" s="99">
        <f>IF(AND(Database!HI139&gt;1,Database!HI68&gt;1),100*(Database!HI139/(Database!HI68)),0.0001)</f>
        <v>1E-4</v>
      </c>
      <c r="DF169" s="99">
        <f>IF(AND(Database!HK139&gt;1,Database!HK68&gt;1),100*(Database!HK139/(Database!HK68)),0.0001)</f>
        <v>1E-4</v>
      </c>
      <c r="DG169" s="99">
        <f>IF(AND(Database!HM139&gt;1,Database!HM68&gt;1),100*(Database!HM139/(Database!HM68)),0.0001)</f>
        <v>1E-4</v>
      </c>
      <c r="DH169" s="99">
        <f>IF(AND(Database!HO139&gt;1,Database!HO68&gt;1),100*(Database!HO139/(Database!HO68)),0.0001)</f>
        <v>1E-4</v>
      </c>
      <c r="DI169" s="99">
        <f>IF(AND(Database!HQ139&gt;1,Database!HQ68&gt;1),100*(Database!HQ139/(Database!HQ68)),0.0001)</f>
        <v>1E-4</v>
      </c>
      <c r="DJ169" s="99">
        <f>IF(AND(Database!HS139&gt;1,Database!HS68&gt;1),100*(Database!HS139/(Database!HS68)),0.0001)</f>
        <v>1E-4</v>
      </c>
      <c r="DK169" s="99">
        <f>IF(AND(Database!HU139&gt;1,Database!HU68&gt;1),100*(Database!HU139/(Database!HU68)),0.0001)</f>
        <v>1E-4</v>
      </c>
      <c r="DL169" s="99">
        <f>IF(AND(Database!HW139&gt;1,Database!HW68&gt;1),100*(Database!HW139/(Database!HW68)),0.0001)</f>
        <v>1E-4</v>
      </c>
      <c r="DM169" s="99">
        <f>IF(AND(Database!HY139&gt;1,Database!HY68&gt;1),100*(Database!HY139/(Database!HY68)),0.0001)</f>
        <v>1E-4</v>
      </c>
      <c r="DN169" s="99">
        <f>IF(AND(Database!IA139&gt;1,Database!IA68&gt;1),100*(Database!IA139/(Database!IA68)),0.0001)</f>
        <v>1E-4</v>
      </c>
      <c r="DO169" s="99">
        <f>IF(AND(Database!IC139&gt;1,Database!IC68&gt;1),100*(Database!IC139/(Database!IC68)),0.0001)</f>
        <v>1E-4</v>
      </c>
      <c r="DP169" s="99">
        <f>IF(AND(Database!IE139&gt;1,Database!IE68&gt;1),100*(Database!IE139/(Database!IE68)),0.0001)</f>
        <v>1E-4</v>
      </c>
      <c r="DQ169" s="99">
        <f>IF(AND(Database!IG139&gt;1,Database!IG68&gt;1),100*(Database!IG139/(Database!IG68)),0.0001)</f>
        <v>1E-4</v>
      </c>
      <c r="DR169" s="99">
        <f>IF(AND(Database!II139&gt;1,Database!II68&gt;1),100*(Database!II139/(Database!II68)),0.0001)</f>
        <v>1E-4</v>
      </c>
      <c r="DS169" s="99">
        <f>IF(AND(Database!IK139&gt;1,Database!IK68&gt;1),100*(Database!IK139/(Database!IK68)),0.0001)</f>
        <v>1E-4</v>
      </c>
      <c r="DT169" s="99">
        <f>IF(AND(Database!IM139&gt;1,Database!IM68&gt;1),100*(Database!IM139/(Database!IM68)),0.0001)</f>
        <v>1E-4</v>
      </c>
      <c r="DU169" s="99">
        <f>IF(AND(Database!IO139&gt;1,Database!IO68&gt;1),100*(Database!IO139/(Database!IO68)),0.0001)</f>
        <v>1E-4</v>
      </c>
      <c r="DV169" s="99">
        <f>IF(AND(Database!IQ139&gt;1,Database!IQ68&gt;1),100*(Database!IQ139/(Database!IQ68)),0.0001)</f>
        <v>1E-4</v>
      </c>
      <c r="DW169" s="99">
        <f>IF(AND(Database!IS139&gt;1,Database!IS68&gt;1),100*(Database!IS139/(Database!IS68)),0.0001)</f>
        <v>1E-4</v>
      </c>
      <c r="DX169" s="99">
        <f>IF(AND(Database!IU139&gt;1,Database!IU68&gt;1),100*(Database!IU139/(Database!IU68)),0.0001)</f>
        <v>1E-4</v>
      </c>
      <c r="DY169" s="99">
        <f>IF(AND(Database!IW139&gt;1,Database!IW68&gt;1),100*(Database!IW139/(Database!IW68)),0.0001)</f>
        <v>1E-4</v>
      </c>
      <c r="DZ169" s="99">
        <f>IF(AND(Database!IY139&gt;1,Database!IY68&gt;1),100*(Database!IY139/(Database!IY68)),0.0001)</f>
        <v>1E-4</v>
      </c>
      <c r="EA169" s="99">
        <f>IF(AND(Database!JA139&gt;1,Database!JA68&gt;1),100*(Database!JA139/(Database!JA68)),0.0001)</f>
        <v>1E-4</v>
      </c>
      <c r="EB169" s="99">
        <f>IF(AND(Database!JC139&gt;1,Database!JC68&gt;1),100*(Database!JC139/(Database!JC68)),0.0001)</f>
        <v>1E-4</v>
      </c>
      <c r="EC169" s="99">
        <f>IF(AND(Database!JE139&gt;1,Database!JE68&gt;1),100*(Database!JE139/(Database!JE68)),0.0001)</f>
        <v>1E-4</v>
      </c>
      <c r="ED169" s="99">
        <f>IF(AND(Database!JG139&gt;1,Database!JG68&gt;1),100*(Database!JG139/(Database!JG68)),0.0001)</f>
        <v>1E-4</v>
      </c>
      <c r="EE169" s="99">
        <f>IF(AND(Database!JI139&gt;1,Database!JI68&gt;1),100*(Database!JI139/(Database!JI68)),0.0001)</f>
        <v>1E-4</v>
      </c>
      <c r="EF169" s="99">
        <f>IF(AND(Database!JK139&gt;1,Database!JK68&gt;1),100*(Database!JK139/(Database!JK68)),0.0001)</f>
        <v>1E-4</v>
      </c>
      <c r="EG169" s="99">
        <f>IF(AND(Database!JM139&gt;1,Database!JM68&gt;1),100*(Database!JM139/(Database!JM68)),0.0001)</f>
        <v>1E-4</v>
      </c>
      <c r="EH169" s="99">
        <f>IF(AND(Database!JO139&gt;1,Database!JO68&gt;1),100*(Database!JO139/(Database!JO68)),0.0001)</f>
        <v>1E-4</v>
      </c>
      <c r="EI169" s="99">
        <f>IF(AND(Database!JQ139&gt;1,Database!JQ68&gt;1),100*(Database!JQ139/(Database!JQ68)),0.0001)</f>
        <v>1E-4</v>
      </c>
      <c r="EJ169" s="99">
        <f>IF(AND(Database!JS139&gt;1,Database!JS68&gt;1),100*(Database!JS139/(Database!JS68)),0.0001)</f>
        <v>1E-4</v>
      </c>
      <c r="EK169" s="99">
        <f>IF(AND(Database!JU139&gt;1,Database!JU68&gt;1),100*(Database!JU139/(Database!JU68)),0.0001)</f>
        <v>1E-4</v>
      </c>
      <c r="EL169" s="99">
        <f>IF(AND(Database!JW139&gt;1,Database!JW68&gt;1),100*(Database!JW139/(Database!JW68)),0.0001)</f>
        <v>1E-4</v>
      </c>
      <c r="EM169" s="99">
        <f>IF(AND(Database!JY139&gt;1,Database!JY68&gt;1),100*(Database!JY139/(Database!JY68)),0.0001)</f>
        <v>1E-4</v>
      </c>
      <c r="EN169" s="99">
        <f>IF(AND(Database!KA139&gt;1,Database!KA68&gt;1),100*(Database!KA139/(Database!KA68)),0.0001)</f>
        <v>1E-4</v>
      </c>
      <c r="EO169" s="99">
        <f>IF(AND(Database!KC139&gt;1,Database!KC68&gt;1),100*(Database!KC139/(Database!KC68)),0.0001)</f>
        <v>1E-4</v>
      </c>
      <c r="EP169" s="99">
        <f>IF(AND(Database!KE139&gt;1,Database!KE68&gt;1),100*(Database!KE139/(Database!KE68)),0.0001)</f>
        <v>1E-4</v>
      </c>
      <c r="EQ169" s="99">
        <f>IF(AND(Database!KG139&gt;1,Database!KG68&gt;1),100*(Database!KG139/(Database!KG68)),0.0001)</f>
        <v>1E-4</v>
      </c>
      <c r="ER169" s="99">
        <f>IF(AND(Database!KI139&gt;1,Database!KI68&gt;1),100*(Database!KI139/(Database!KI68)),0.0001)</f>
        <v>1E-4</v>
      </c>
      <c r="ES169" s="99">
        <f>IF(AND(Database!KK139&gt;1,Database!KK68&gt;1),100*(Database!KK139/(Database!KK68)),0.0001)</f>
        <v>1E-4</v>
      </c>
      <c r="ET169" s="99">
        <f>IF(AND(Database!KM139&gt;1,Database!KM68&gt;1),100*(Database!KM139/(Database!KM68)),0.0001)</f>
        <v>1E-4</v>
      </c>
      <c r="EU169" s="99">
        <f>IF(AND(Database!KO139&gt;1,Database!KO68&gt;1),100*(Database!KO139/(Database!KO68)),0.0001)</f>
        <v>1E-4</v>
      </c>
      <c r="EV169" s="99">
        <f>IF(AND(Database!KQ139&gt;1,Database!KQ68&gt;1),100*(Database!KQ139/(Database!KQ68)),0.0001)</f>
        <v>1E-4</v>
      </c>
      <c r="EW169" s="99">
        <f>IF(AND(Database!KS139&gt;1,Database!KS68&gt;1),100*(Database!KS139/(Database!KS68)),0.0001)</f>
        <v>1E-4</v>
      </c>
      <c r="EX169" s="99">
        <f>IF(AND(Database!KU139&gt;1,Database!KU68&gt;1),100*(Database!KU139/(Database!KU68)),0.0001)</f>
        <v>1E-4</v>
      </c>
      <c r="EY169" s="99">
        <f>IF(AND(Database!KW139&gt;1,Database!KW68&gt;1),100*(Database!KW139/(Database!KW68)),0.0001)</f>
        <v>1E-4</v>
      </c>
      <c r="EZ169" s="99">
        <f>IF(AND(Database!KY139&gt;1,Database!KY68&gt;1),100*(Database!KY139/(Database!KY68)),0.0001)</f>
        <v>1E-4</v>
      </c>
      <c r="FA169" s="99">
        <f>IF(AND(Database!LA139&gt;1,Database!LA68&gt;1),100*(Database!LA139/(Database!LA68)),0.0001)</f>
        <v>1E-4</v>
      </c>
      <c r="FB169" s="99">
        <f>IF(AND(Database!LC139&gt;1,Database!LC68&gt;1),100*(Database!LC139/(Database!LC68)),0.0001)</f>
        <v>1E-4</v>
      </c>
      <c r="FC169" s="99">
        <f>IF(AND(Database!LE139&gt;1,Database!LE68&gt;1),100*(Database!LE139/(Database!LE68)),0.0001)</f>
        <v>1E-4</v>
      </c>
      <c r="FD169" s="99">
        <f>IF(AND(Database!LG139&gt;1,Database!LG68&gt;1),100*(Database!LG139/(Database!LG68)),0.0001)</f>
        <v>1E-4</v>
      </c>
      <c r="FE169" s="99">
        <f>IF(AND(Database!LI139&gt;1,Database!LI68&gt;1),100*(Database!LI139/(Database!LI68)),0.0001)</f>
        <v>1E-4</v>
      </c>
      <c r="FF169" s="99">
        <f>IF(AND(Database!LK139&gt;1,Database!LK68&gt;1),100*(Database!LK139/(Database!LK68)),0.0001)</f>
        <v>1E-4</v>
      </c>
      <c r="FG169" s="99">
        <f>IF(AND(Database!LM139&gt;1,Database!LM68&gt;1),100*(Database!LM139/(Database!LM68)),0.0001)</f>
        <v>1E-4</v>
      </c>
      <c r="FH169" s="99">
        <f>IF(AND(Database!LO139&gt;1,Database!LO68&gt;1),100*(Database!LO139/(Database!LO68)),0.0001)</f>
        <v>1E-4</v>
      </c>
      <c r="FI169" s="99">
        <f>IF(AND(Database!LQ139&gt;1,Database!LQ68&gt;1),100*(Database!LQ139/(Database!LQ68)),0.0001)</f>
        <v>1E-4</v>
      </c>
      <c r="FJ169" s="99">
        <f>IF(AND(Database!LS139&gt;1,Database!LS68&gt;1),100*(Database!LS139/(Database!LS68)),0.0001)</f>
        <v>1E-4</v>
      </c>
      <c r="FK169" s="99">
        <f>IF(AND(Database!LU139&gt;1,Database!LU68&gt;1),100*(Database!LU139/(Database!LU68)),0.0001)</f>
        <v>1E-4</v>
      </c>
      <c r="FL169" s="99">
        <f>IF(AND(Database!LW139&gt;1,Database!LW68&gt;1),100*(Database!LW139/(Database!LW68)),0.0001)</f>
        <v>1E-4</v>
      </c>
      <c r="FM169" s="99">
        <f>IF(AND(Database!LY139&gt;1,Database!LY68&gt;1),100*(Database!LY139/(Database!LY68)),0.0001)</f>
        <v>1E-4</v>
      </c>
      <c r="FN169" s="99">
        <f>IF(AND(Database!MA139&gt;1,Database!MA68&gt;1),100*(Database!MA139/(Database!MA68)),0.0001)</f>
        <v>1E-4</v>
      </c>
      <c r="FO169" s="99">
        <f>IF(AND(Database!MC139&gt;1,Database!MC68&gt;1),100*(Database!MC139/(Database!MC68)),0.0001)</f>
        <v>1E-4</v>
      </c>
      <c r="FP169" s="99">
        <f>IF(AND(Database!ME139&gt;1,Database!ME68&gt;1),100*(Database!ME139/(Database!ME68)),0.0001)</f>
        <v>1E-4</v>
      </c>
      <c r="FQ169" s="99">
        <f>IF(AND(Database!MG139&gt;1,Database!MG68&gt;1),100*(Database!MG139/(Database!MG68)),0.0001)</f>
        <v>1E-4</v>
      </c>
      <c r="FR169" s="99">
        <f>IF(AND(Database!MI139&gt;1,Database!MI68&gt;1),100*(Database!MI139/(Database!MI68)),0.0001)</f>
        <v>1E-4</v>
      </c>
      <c r="FS169" s="99">
        <f>IF(AND(Database!MK139&gt;1,Database!MK68&gt;1),100*(Database!MK139/(Database!MK68)),0.0001)</f>
        <v>1E-4</v>
      </c>
      <c r="FT169" s="99">
        <f>IF(AND(Database!MM139&gt;1,Database!MM68&gt;1),100*(Database!MM139/(Database!MM68)),0.0001)</f>
        <v>1E-4</v>
      </c>
      <c r="FU169" s="99">
        <f>IF(AND(Database!MO139&gt;1,Database!MO68&gt;1),100*(Database!MO139/(Database!MO68)),0.0001)</f>
        <v>1E-4</v>
      </c>
      <c r="FV169" s="99">
        <f>IF(AND(Database!MQ139&gt;1,Database!MQ68&gt;1),100*(Database!MQ139/(Database!MQ68)),0.0001)</f>
        <v>1E-4</v>
      </c>
      <c r="FW169" s="99">
        <f>IF(AND(Database!MS139&gt;1,Database!MS68&gt;1),100*(Database!MS139/(Database!MS68)),0.0001)</f>
        <v>1E-4</v>
      </c>
      <c r="FX169" s="99">
        <f>IF(AND(Database!MU139&gt;1,Database!MU68&gt;1),100*(Database!MU139/(Database!MU68)),0.0001)</f>
        <v>1E-4</v>
      </c>
      <c r="FY169" s="99">
        <f>IF(AND(Database!MW139&gt;1,Database!MW68&gt;1),100*(Database!MW139/(Database!MW68)),0.0001)</f>
        <v>1E-4</v>
      </c>
      <c r="FZ169" s="99">
        <f>IF(AND(Database!MY139&gt;1,Database!MY68&gt;1),100*(Database!MY139/(Database!MY68)),0.0001)</f>
        <v>1E-4</v>
      </c>
      <c r="GA169" s="99">
        <f>IF(AND(Database!NA139&gt;1,Database!NA68&gt;1),100*(Database!NA139/(Database!NA68)),0.0001)</f>
        <v>1E-4</v>
      </c>
      <c r="GB169" s="99">
        <f>IF(AND(Database!NC139&gt;1,Database!NC68&gt;1),100*(Database!NC139/(Database!NC68)),0.0001)</f>
        <v>1E-4</v>
      </c>
      <c r="GC169" s="99">
        <f>IF(AND(Database!NE139&gt;1,Database!NE68&gt;1),100*(Database!NE139/(Database!NE68)),0.0001)</f>
        <v>1E-4</v>
      </c>
      <c r="GD169" s="99">
        <f>IF(AND(Database!NG139&gt;1,Database!NG68&gt;1),100*(Database!NG139/(Database!NG68)),0.0001)</f>
        <v>1E-4</v>
      </c>
      <c r="GE169" s="99">
        <f>IF(AND(Database!NI139&gt;1,Database!NI68&gt;1),100*(Database!NI139/(Database!NI68)),0.0001)</f>
        <v>1E-4</v>
      </c>
      <c r="GF169" s="99">
        <f>IF(AND(Database!NK139&gt;1,Database!NK68&gt;1),100*(Database!NK139/(Database!NK68)),0.0001)</f>
        <v>1E-4</v>
      </c>
      <c r="GG169" s="99">
        <f>IF(AND(Database!NM139&gt;1,Database!NM68&gt;1),100*(Database!NM139/(Database!NM68)),0.0001)</f>
        <v>1E-4</v>
      </c>
      <c r="GH169" s="99">
        <f>IF(AND(Database!NO139&gt;1,Database!NO68&gt;1),100*(Database!NO139/(Database!NO68)),0.0001)</f>
        <v>1E-4</v>
      </c>
      <c r="GI169" s="99">
        <f>IF(AND(Database!NQ139&gt;1,Database!NQ68&gt;1),100*(Database!NQ139/(Database!NQ68)),0.0001)</f>
        <v>1E-4</v>
      </c>
      <c r="GJ169" s="99">
        <f>IF(AND(Database!NS139&gt;1,Database!NS68&gt;1),100*(Database!NS139/(Database!NS68)),0.0001)</f>
        <v>1E-4</v>
      </c>
      <c r="GK169" s="99">
        <f>IF(AND(Database!NU139&gt;1,Database!NU68&gt;1),100*(Database!NU139/(Database!NU68)),0.0001)</f>
        <v>1E-4</v>
      </c>
      <c r="GL169" s="99">
        <f>IF(AND(Database!NW139&gt;1,Database!NW68&gt;1),100*(Database!NW139/(Database!NW68)),0.0001)</f>
        <v>1E-4</v>
      </c>
      <c r="GM169" s="99">
        <f>IF(AND(Database!NY139&gt;1,Database!NY68&gt;1),100*(Database!NY139/(Database!NY68)),0.0001)</f>
        <v>1E-4</v>
      </c>
      <c r="GN169" s="99">
        <f>IF(AND(Database!OA139&gt;1,Database!OA68&gt;1),100*(Database!OA139/(Database!OA68)),0.0001)</f>
        <v>1E-4</v>
      </c>
      <c r="GO169" s="99">
        <f>IF(AND(Database!OC139&gt;1,Database!OC68&gt;1),100*(Database!OC139/(Database!OC68)),0.0001)</f>
        <v>1E-4</v>
      </c>
      <c r="GP169" s="99">
        <f>IF(AND(Database!OE139&gt;1,Database!OE68&gt;1),100*(Database!OE139/(Database!OE68)),0.0001)</f>
        <v>1E-4</v>
      </c>
      <c r="GQ169" s="99">
        <f>IF(AND(Database!OG139&gt;1,Database!OG68&gt;1),100*(Database!OG139/(Database!OG68)),0.0001)</f>
        <v>1E-4</v>
      </c>
      <c r="GR169" s="99">
        <f>IF(AND(Database!OI139&gt;1,Database!OI68&gt;1),100*(Database!OI139/(Database!OI68)),0.0001)</f>
        <v>1E-4</v>
      </c>
      <c r="GS169" s="99">
        <f>IF(AND(Database!OK139&gt;1,Database!OK68&gt;1),100*(Database!OK139/(Database!OK68)),0.0001)</f>
        <v>1E-4</v>
      </c>
      <c r="GT169" s="30">
        <f>IF(AND(Database!OM139&gt;1,Database!OM68&gt;1),100*(Database!OM139/(Database!OM68)),0.0001)</f>
        <v>1E-4</v>
      </c>
      <c r="GU169" s="99"/>
      <c r="GV169" s="99"/>
      <c r="GW169" s="99"/>
    </row>
    <row r="170" spans="1:205" ht="18.75" customHeight="1" x14ac:dyDescent="0.4">
      <c r="A170" s="240" t="s">
        <v>180</v>
      </c>
      <c r="B170" s="96"/>
      <c r="C170" s="260">
        <f>IF(AND(Database!E144&gt;1,Database!E74&gt;1),100*(Database!E144/(Database!E74)),0.0001)</f>
        <v>4.357344782876698</v>
      </c>
      <c r="D170" s="99">
        <f>IF(AND(Database!G144&gt;1,Database!G74&gt;1),100*(Database!G144/(Database!G74)),0.0001)</f>
        <v>3.0721003134796239</v>
      </c>
      <c r="E170" s="99">
        <f>IF(AND(Database!I144&gt;1,Database!I74&gt;1),100*(Database!I144/(Database!I74)),0.0001)</f>
        <v>3.0568870889814175</v>
      </c>
      <c r="F170" s="99">
        <f>IF(AND(Database!K144&gt;1,Database!K74&gt;1),100*(Database!K144/(Database!K74)),0.0001)</f>
        <v>3.2371579810631474</v>
      </c>
      <c r="G170" s="99">
        <f>IF(AND(Database!M144&gt;1,Database!M74&gt;1),100*(Database!M144/(Database!M74)),0.0001)</f>
        <v>1E-4</v>
      </c>
      <c r="H170" s="99">
        <f>IF(AND(Database!O144&gt;1,Database!O74&gt;1),100*(Database!O144/(Database!O74)),0.0001)</f>
        <v>1E-4</v>
      </c>
      <c r="I170" s="99">
        <f>IF(AND(Database!Q144&gt;1,Database!Q74&gt;1),100*(Database!Q144/(Database!Q74)),0.0001)</f>
        <v>1E-4</v>
      </c>
      <c r="J170" s="99">
        <f>IF(AND(Database!S144&gt;1,Database!S74&gt;1),100*(Database!S144/(Database!S74)),0.0001)</f>
        <v>1E-4</v>
      </c>
      <c r="K170" s="99">
        <f>IF(AND(Database!U144&gt;1,Database!U74&gt;1),100*(Database!U144/(Database!U74)),0.0001)</f>
        <v>1E-4</v>
      </c>
      <c r="L170" s="99">
        <f>IF(AND(Database!W144&gt;1,Database!W74&gt;1),100*(Database!W144/(Database!W74)),0.0001)</f>
        <v>1E-4</v>
      </c>
      <c r="M170" s="99">
        <f>IF(AND(Database!Y144&gt;1,Database!Y74&gt;1),100*(Database!Y144/(Database!Y74)),0.0001)</f>
        <v>1E-4</v>
      </c>
      <c r="N170" s="99">
        <f>IF(AND(Database!AA144&gt;1,Database!AA74&gt;1),100*(Database!AA144/(Database!AA74)),0.0001)</f>
        <v>1E-4</v>
      </c>
      <c r="O170" s="99">
        <f>IF(AND(Database!AC144&gt;1,Database!AC74&gt;1),100*(Database!AC144/(Database!AC74)),0.0001)</f>
        <v>1E-4</v>
      </c>
      <c r="P170" s="99">
        <f>IF(AND(Database!AE144&gt;1,Database!AE74&gt;1),100*(Database!AE144/(Database!AE74)),0.0001)</f>
        <v>1E-4</v>
      </c>
      <c r="Q170" s="99">
        <f>IF(AND(Database!AG144&gt;1,Database!AG74&gt;1),100*(Database!AG144/(Database!AG74)),0.0001)</f>
        <v>1E-4</v>
      </c>
      <c r="R170" s="99">
        <f>IF(AND(Database!AI144&gt;1,Database!AI74&gt;1),100*(Database!AI144/(Database!AI74)),0.0001)</f>
        <v>1E-4</v>
      </c>
      <c r="S170" s="99">
        <f>IF(AND(Database!AK144&gt;1,Database!AK74&gt;1),100*(Database!AK144/(Database!AK74)),0.0001)</f>
        <v>1E-4</v>
      </c>
      <c r="T170" s="99">
        <f>IF(AND(Database!AM144&gt;1,Database!AM74&gt;1),100*(Database!AM144/(Database!AM74)),0.0001)</f>
        <v>1E-4</v>
      </c>
      <c r="U170" s="99">
        <f>IF(AND(Database!AO144&gt;1,Database!AO74&gt;1),100*(Database!AO144/(Database!AO74)),0.0001)</f>
        <v>1E-4</v>
      </c>
      <c r="V170" s="99">
        <f>IF(AND(Database!AQ144&gt;1,Database!AQ74&gt;1),100*(Database!AQ144/(Database!AQ74)),0.0001)</f>
        <v>1E-4</v>
      </c>
      <c r="W170" s="99">
        <f>IF(AND(Database!AS144&gt;1,Database!AS74&gt;1),100*(Database!AS144/(Database!AS74)),0.0001)</f>
        <v>1E-4</v>
      </c>
      <c r="X170" s="99">
        <f>IF(AND(Database!AU144&gt;1,Database!AU74&gt;1),100*(Database!AU144/(Database!AU74)),0.0001)</f>
        <v>1E-4</v>
      </c>
      <c r="Y170" s="99">
        <f>IF(AND(Database!AW144&gt;1,Database!AW74&gt;1),100*(Database!AW144/(Database!AW74)),0.0001)</f>
        <v>1E-4</v>
      </c>
      <c r="Z170" s="99">
        <f>IF(AND(Database!AY144&gt;1,Database!AY74&gt;1),100*(Database!AY144/(Database!AY74)),0.0001)</f>
        <v>1E-4</v>
      </c>
      <c r="AA170" s="99">
        <f>IF(AND(Database!BA144&gt;1,Database!BA74&gt;1),100*(Database!BA144/(Database!BA74)),0.0001)</f>
        <v>1E-4</v>
      </c>
      <c r="AB170" s="99">
        <f>IF(AND(Database!BC144&gt;1,Database!BC74&gt;1),100*(Database!BC144/(Database!BC74)),0.0001)</f>
        <v>1E-4</v>
      </c>
      <c r="AC170" s="99">
        <f>IF(AND(Database!BE144&gt;1,Database!BE74&gt;1),100*(Database!BE144/(Database!BE74)),0.0001)</f>
        <v>1E-4</v>
      </c>
      <c r="AD170" s="99">
        <f>IF(AND(Database!BG144&gt;1,Database!BG74&gt;1),100*(Database!BG144/(Database!BG74)),0.0001)</f>
        <v>1E-4</v>
      </c>
      <c r="AE170" s="99">
        <f>IF(AND(Database!BI144&gt;1,Database!BI74&gt;1),100*(Database!BI144/(Database!BI74)),0.0001)</f>
        <v>1E-4</v>
      </c>
      <c r="AF170" s="99">
        <f>IF(AND(Database!BK144&gt;1,Database!BK74&gt;1),100*(Database!BK144/(Database!BK74)),0.0001)</f>
        <v>1E-4</v>
      </c>
      <c r="AG170" s="99">
        <f>IF(AND(Database!BM144&gt;1,Database!BM74&gt;1),100*(Database!BM144/(Database!BM74)),0.0001)</f>
        <v>1E-4</v>
      </c>
      <c r="AH170" s="99">
        <f>IF(AND(Database!BO144&gt;1,Database!BO74&gt;1),100*(Database!BO144/(Database!BO74)),0.0001)</f>
        <v>1E-4</v>
      </c>
      <c r="AI170" s="99">
        <f>IF(AND(Database!BQ144&gt;1,Database!BQ74&gt;1),100*(Database!BQ144/(Database!BQ74)),0.0001)</f>
        <v>1E-4</v>
      </c>
      <c r="AJ170" s="99">
        <f>IF(AND(Database!BS144&gt;1,Database!BS74&gt;1),100*(Database!BS144/(Database!BS74)),0.0001)</f>
        <v>1E-4</v>
      </c>
      <c r="AK170" s="99">
        <f>IF(AND(Database!BU144&gt;1,Database!BU74&gt;1),100*(Database!BU144/(Database!BU74)),0.0001)</f>
        <v>1E-4</v>
      </c>
      <c r="AL170" s="99">
        <f>IF(AND(Database!BW144&gt;1,Database!BW74&gt;1),100*(Database!BW144/(Database!BW74)),0.0001)</f>
        <v>1E-4</v>
      </c>
      <c r="AM170" s="99">
        <f>IF(AND(Database!BY144&gt;1,Database!BY74&gt;1),100*(Database!BY144/(Database!BY74)),0.0001)</f>
        <v>1E-4</v>
      </c>
      <c r="AN170" s="99">
        <f>IF(AND(Database!CA144&gt;1,Database!CA74&gt;1),100*(Database!CA144/(Database!CA74)),0.0001)</f>
        <v>1E-4</v>
      </c>
      <c r="AO170" s="99">
        <f>IF(AND(Database!CC144&gt;1,Database!CC74&gt;1),100*(Database!CC144/(Database!CC74)),0.0001)</f>
        <v>1E-4</v>
      </c>
      <c r="AP170" s="99">
        <f>IF(AND(Database!CE144&gt;1,Database!CE74&gt;1),100*(Database!CE144/(Database!CE74)),0.0001)</f>
        <v>1E-4</v>
      </c>
      <c r="AQ170" s="99">
        <f>IF(AND(Database!CG144&gt;1,Database!CG74&gt;1),100*(Database!CG144/(Database!CG74)),0.0001)</f>
        <v>1E-4</v>
      </c>
      <c r="AR170" s="99">
        <f>IF(AND(Database!CI144&gt;1,Database!CI74&gt;1),100*(Database!CI144/(Database!CI74)),0.0001)</f>
        <v>1E-4</v>
      </c>
      <c r="AS170" s="99">
        <f>IF(AND(Database!CK144&gt;1,Database!CK74&gt;1),100*(Database!CK144/(Database!CK74)),0.0001)</f>
        <v>1E-4</v>
      </c>
      <c r="AT170" s="99">
        <f>IF(AND(Database!CM144&gt;1,Database!CM74&gt;1),100*(Database!CM144/(Database!CM74)),0.0001)</f>
        <v>1E-4</v>
      </c>
      <c r="AU170" s="99">
        <f>IF(AND(Database!CO144&gt;1,Database!CO74&gt;1),100*(Database!CO144/(Database!CO74)),0.0001)</f>
        <v>1E-4</v>
      </c>
      <c r="AV170" s="99">
        <f>IF(AND(Database!CQ144&gt;1,Database!CQ74&gt;1),100*(Database!CQ144/(Database!CQ74)),0.0001)</f>
        <v>1E-4</v>
      </c>
      <c r="AW170" s="99">
        <f>IF(AND(Database!CS144&gt;1,Database!CS74&gt;1),100*(Database!CS144/(Database!CS74)),0.0001)</f>
        <v>1E-4</v>
      </c>
      <c r="AX170" s="99">
        <f>IF(AND(Database!CU144&gt;1,Database!CU74&gt;1),100*(Database!CU144/(Database!CU74)),0.0001)</f>
        <v>1E-4</v>
      </c>
      <c r="AY170" s="99">
        <f>IF(AND(Database!CW144&gt;1,Database!CW74&gt;1),100*(Database!CW144/(Database!CW74)),0.0001)</f>
        <v>1E-4</v>
      </c>
      <c r="AZ170" s="99">
        <f>IF(AND(Database!CY144&gt;1,Database!CY74&gt;1),100*(Database!CY144/(Database!CY74)),0.0001)</f>
        <v>1E-4</v>
      </c>
      <c r="BA170" s="99">
        <f>IF(AND(Database!DA144&gt;1,Database!DA74&gt;1),100*(Database!DA144/(Database!DA74)),0.0001)</f>
        <v>1E-4</v>
      </c>
      <c r="BB170" s="99">
        <f>IF(AND(Database!DC144&gt;1,Database!DC74&gt;1),100*(Database!DC144/(Database!DC74)),0.0001)</f>
        <v>1E-4</v>
      </c>
      <c r="BC170" s="99">
        <f>IF(AND(Database!DE144&gt;1,Database!DE74&gt;1),100*(Database!DE144/(Database!DE74)),0.0001)</f>
        <v>1E-4</v>
      </c>
      <c r="BD170" s="99">
        <f>IF(AND(Database!DG144&gt;1,Database!DG74&gt;1),100*(Database!DG144/(Database!DG74)),0.0001)</f>
        <v>1E-4</v>
      </c>
      <c r="BE170" s="99">
        <f>IF(AND(Database!DI144&gt;1,Database!DI74&gt;1),100*(Database!DI144/(Database!DI74)),0.0001)</f>
        <v>1E-4</v>
      </c>
      <c r="BF170" s="99">
        <f>IF(AND(Database!DK144&gt;1,Database!DK74&gt;1),100*(Database!DK144/(Database!DK74)),0.0001)</f>
        <v>1E-4</v>
      </c>
      <c r="BG170" s="99">
        <f>IF(AND(Database!DM144&gt;1,Database!DM74&gt;1),100*(Database!DM144/(Database!DM74)),0.0001)</f>
        <v>1E-4</v>
      </c>
      <c r="BH170" s="99">
        <f>IF(AND(Database!DO144&gt;1,Database!DO74&gt;1),100*(Database!DO144/(Database!DO74)),0.0001)</f>
        <v>1E-4</v>
      </c>
      <c r="BI170" s="99">
        <f>IF(AND(Database!DQ144&gt;1,Database!DQ74&gt;1),100*(Database!DQ144/(Database!DQ74)),0.0001)</f>
        <v>1E-4</v>
      </c>
      <c r="BJ170" s="99">
        <f>IF(AND(Database!DS144&gt;1,Database!DS74&gt;1),100*(Database!DS144/(Database!DS74)),0.0001)</f>
        <v>1E-4</v>
      </c>
      <c r="BK170" s="99">
        <f>IF(AND(Database!DU144&gt;1,Database!DU74&gt;1),100*(Database!DU144/(Database!DU74)),0.0001)</f>
        <v>1E-4</v>
      </c>
      <c r="BL170" s="99">
        <f>IF(AND(Database!DW144&gt;1,Database!DW74&gt;1),100*(Database!DW144/(Database!DW74)),0.0001)</f>
        <v>1E-4</v>
      </c>
      <c r="BM170" s="99">
        <f>IF(AND(Database!DY144&gt;1,Database!DY74&gt;1),100*(Database!DY144/(Database!DY74)),0.0001)</f>
        <v>1E-4</v>
      </c>
      <c r="BN170" s="99">
        <f>IF(AND(Database!EA144&gt;1,Database!EA74&gt;1),100*(Database!EA144/(Database!EA74)),0.0001)</f>
        <v>1E-4</v>
      </c>
      <c r="BO170" s="99">
        <f>IF(AND(Database!EC144&gt;1,Database!EC74&gt;1),100*(Database!EC144/(Database!EC74)),0.0001)</f>
        <v>1E-4</v>
      </c>
      <c r="BP170" s="99">
        <f>IF(AND(Database!EE144&gt;1,Database!EE74&gt;1),100*(Database!EE144/(Database!EE74)),0.0001)</f>
        <v>1E-4</v>
      </c>
      <c r="BQ170" s="99">
        <f>IF(AND(Database!EG144&gt;1,Database!EG74&gt;1),100*(Database!EG144/(Database!EG74)),0.0001)</f>
        <v>1E-4</v>
      </c>
      <c r="BR170" s="99">
        <f>IF(AND(Database!EI144&gt;1,Database!EI74&gt;1),100*(Database!EI144/(Database!EI74)),0.0001)</f>
        <v>1E-4</v>
      </c>
      <c r="BS170" s="99">
        <f>IF(AND(Database!EK144&gt;1,Database!EK74&gt;1),100*(Database!EK144/(Database!EK74)),0.0001)</f>
        <v>1E-4</v>
      </c>
      <c r="BT170" s="99">
        <f>IF(AND(Database!EM144&gt;1,Database!EM74&gt;1),100*(Database!EM144/(Database!EM74)),0.0001)</f>
        <v>1E-4</v>
      </c>
      <c r="BU170" s="99">
        <f>IF(AND(Database!EO144&gt;1,Database!EO74&gt;1),100*(Database!EO144/(Database!EO74)),0.0001)</f>
        <v>1E-4</v>
      </c>
      <c r="BV170" s="99">
        <f>IF(AND(Database!EQ144&gt;1,Database!EQ74&gt;1),100*(Database!EQ144/(Database!EQ74)),0.0001)</f>
        <v>1E-4</v>
      </c>
      <c r="BW170" s="99">
        <f>IF(AND(Database!ES144&gt;1,Database!ES74&gt;1),100*(Database!ES144/(Database!ES74)),0.0001)</f>
        <v>1E-4</v>
      </c>
      <c r="BX170" s="99">
        <f>IF(AND(Database!EU144&gt;1,Database!EU74&gt;1),100*(Database!EU144/(Database!EU74)),0.0001)</f>
        <v>1E-4</v>
      </c>
      <c r="BY170" s="99">
        <f>IF(AND(Database!EW144&gt;1,Database!EW74&gt;1),100*(Database!EW144/(Database!EW74)),0.0001)</f>
        <v>1E-4</v>
      </c>
      <c r="BZ170" s="99">
        <f>IF(AND(Database!EY144&gt;1,Database!EY74&gt;1),100*(Database!EY144/(Database!EY74)),0.0001)</f>
        <v>1E-4</v>
      </c>
      <c r="CA170" s="99">
        <f>IF(AND(Database!FA144&gt;1,Database!FA74&gt;1),100*(Database!FA144/(Database!FA74)),0.0001)</f>
        <v>1E-4</v>
      </c>
      <c r="CB170" s="99">
        <f>IF(AND(Database!FC144&gt;1,Database!FC74&gt;1),100*(Database!FC144/(Database!FC74)),0.0001)</f>
        <v>1E-4</v>
      </c>
      <c r="CC170" s="99">
        <f>IF(AND(Database!FE144&gt;1,Database!FE74&gt;1),100*(Database!FE144/(Database!FE74)),0.0001)</f>
        <v>1E-4</v>
      </c>
      <c r="CD170" s="99">
        <f>IF(AND(Database!FG144&gt;1,Database!FG74&gt;1),100*(Database!FG144/(Database!FG74)),0.0001)</f>
        <v>1E-4</v>
      </c>
      <c r="CE170" s="99">
        <f>IF(AND(Database!FI144&gt;1,Database!FI74&gt;1),100*(Database!FI144/(Database!FI74)),0.0001)</f>
        <v>1E-4</v>
      </c>
      <c r="CF170" s="99">
        <f>IF(AND(Database!FK144&gt;1,Database!FK74&gt;1),100*(Database!FK144/(Database!FK74)),0.0001)</f>
        <v>1E-4</v>
      </c>
      <c r="CG170" s="99">
        <f>IF(AND(Database!FM144&gt;1,Database!FM74&gt;1),100*(Database!FM144/(Database!FM74)),0.0001)</f>
        <v>1E-4</v>
      </c>
      <c r="CH170" s="99">
        <f>IF(AND(Database!FO144&gt;1,Database!FO74&gt;1),100*(Database!FO144/(Database!FO74)),0.0001)</f>
        <v>1E-4</v>
      </c>
      <c r="CI170" s="99">
        <f>IF(AND(Database!FQ144&gt;1,Database!FQ74&gt;1),100*(Database!FQ144/(Database!FQ74)),0.0001)</f>
        <v>1E-4</v>
      </c>
      <c r="CJ170" s="99">
        <f>IF(AND(Database!FS144&gt;1,Database!FS74&gt;1),100*(Database!FS144/(Database!FS74)),0.0001)</f>
        <v>1E-4</v>
      </c>
      <c r="CK170" s="99">
        <f>IF(AND(Database!FU144&gt;1,Database!FU74&gt;1),100*(Database!FU144/(Database!FU74)),0.0001)</f>
        <v>1E-4</v>
      </c>
      <c r="CL170" s="99">
        <f>IF(AND(Database!FW144&gt;1,Database!FW74&gt;1),100*(Database!FW144/(Database!FW74)),0.0001)</f>
        <v>1E-4</v>
      </c>
      <c r="CM170" s="99">
        <f>IF(AND(Database!FY144&gt;1,Database!FY74&gt;1),100*(Database!FY144/(Database!FY74)),0.0001)</f>
        <v>1E-4</v>
      </c>
      <c r="CN170" s="99">
        <f>IF(AND(Database!GA144&gt;1,Database!GA74&gt;1),100*(Database!GA144/(Database!GA74)),0.0001)</f>
        <v>1E-4</v>
      </c>
      <c r="CO170" s="99">
        <f>IF(AND(Database!GC144&gt;1,Database!GC74&gt;1),100*(Database!GC144/(Database!GC74)),0.0001)</f>
        <v>1E-4</v>
      </c>
      <c r="CP170" s="99">
        <f>IF(AND(Database!GE144&gt;1,Database!GE74&gt;1),100*(Database!GE144/(Database!GE74)),0.0001)</f>
        <v>1E-4</v>
      </c>
      <c r="CQ170" s="99">
        <f>IF(AND(Database!GG144&gt;1,Database!GG74&gt;1),100*(Database!GG144/(Database!GG74)),0.0001)</f>
        <v>1E-4</v>
      </c>
      <c r="CR170" s="99">
        <f>IF(AND(Database!GI144&gt;1,Database!GI74&gt;1),100*(Database!GI144/(Database!GI74)),0.0001)</f>
        <v>1E-4</v>
      </c>
      <c r="CS170" s="99">
        <f>IF(AND(Database!GK144&gt;1,Database!GK74&gt;1),100*(Database!GK144/(Database!GK74)),0.0001)</f>
        <v>1E-4</v>
      </c>
      <c r="CT170" s="99">
        <f>IF(AND(Database!GM144&gt;1,Database!GM74&gt;1),100*(Database!GM144/(Database!GM74)),0.0001)</f>
        <v>1E-4</v>
      </c>
      <c r="CU170" s="99">
        <f>IF(AND(Database!GO144&gt;1,Database!GO74&gt;1),100*(Database!GO144/(Database!GO74)),0.0001)</f>
        <v>1E-4</v>
      </c>
      <c r="CV170" s="99">
        <f>IF(AND(Database!GQ144&gt;1,Database!GQ74&gt;1),100*(Database!GQ144/(Database!GQ74)),0.0001)</f>
        <v>1E-4</v>
      </c>
      <c r="CW170" s="99">
        <f>IF(AND(Database!GS144&gt;1,Database!GS74&gt;1),100*(Database!GS144/(Database!GS74)),0.0001)</f>
        <v>1E-4</v>
      </c>
      <c r="CX170" s="99">
        <f>IF(AND(Database!GU144&gt;1,Database!GU74&gt;1),100*(Database!GU144/(Database!GU74)),0.0001)</f>
        <v>1E-4</v>
      </c>
      <c r="CY170" s="99">
        <f>IF(AND(Database!GW144&gt;1,Database!GW74&gt;1),100*(Database!GW144/(Database!GW74)),0.0001)</f>
        <v>1E-4</v>
      </c>
      <c r="CZ170" s="99">
        <f>IF(AND(Database!GY144&gt;1,Database!GY74&gt;1),100*(Database!GY144/(Database!GY74)),0.0001)</f>
        <v>1E-4</v>
      </c>
      <c r="DA170" s="99">
        <f>IF(AND(Database!HA144&gt;1,Database!HA74&gt;1),100*(Database!HA144/(Database!HA74)),0.0001)</f>
        <v>1E-4</v>
      </c>
      <c r="DB170" s="99">
        <f>IF(AND(Database!HC144&gt;1,Database!HC74&gt;1),100*(Database!HC144/(Database!HC74)),0.0001)</f>
        <v>1E-4</v>
      </c>
      <c r="DC170" s="99">
        <f>IF(AND(Database!HE144&gt;1,Database!HE74&gt;1),100*(Database!HE144/(Database!HE74)),0.0001)</f>
        <v>1E-4</v>
      </c>
      <c r="DD170" s="99">
        <f>IF(AND(Database!HG144&gt;1,Database!HG74&gt;1),100*(Database!HG144/(Database!HG74)),0.0001)</f>
        <v>1E-4</v>
      </c>
      <c r="DE170" s="99">
        <f>IF(AND(Database!HI144&gt;1,Database!HI74&gt;1),100*(Database!HI144/(Database!HI74)),0.0001)</f>
        <v>1E-4</v>
      </c>
      <c r="DF170" s="99">
        <f>IF(AND(Database!HK144&gt;1,Database!HK74&gt;1),100*(Database!HK144/(Database!HK74)),0.0001)</f>
        <v>1E-4</v>
      </c>
      <c r="DG170" s="99">
        <f>IF(AND(Database!HM144&gt;1,Database!HM74&gt;1),100*(Database!HM144/(Database!HM74)),0.0001)</f>
        <v>1E-4</v>
      </c>
      <c r="DH170" s="99">
        <f>IF(AND(Database!HO144&gt;1,Database!HO74&gt;1),100*(Database!HO144/(Database!HO74)),0.0001)</f>
        <v>1E-4</v>
      </c>
      <c r="DI170" s="99">
        <f>IF(AND(Database!HQ144&gt;1,Database!HQ74&gt;1),100*(Database!HQ144/(Database!HQ74)),0.0001)</f>
        <v>1E-4</v>
      </c>
      <c r="DJ170" s="99">
        <f>IF(AND(Database!HS144&gt;1,Database!HS74&gt;1),100*(Database!HS144/(Database!HS74)),0.0001)</f>
        <v>1E-4</v>
      </c>
      <c r="DK170" s="99">
        <f>IF(AND(Database!HU144&gt;1,Database!HU74&gt;1),100*(Database!HU144/(Database!HU74)),0.0001)</f>
        <v>1E-4</v>
      </c>
      <c r="DL170" s="99">
        <f>IF(AND(Database!HW144&gt;1,Database!HW74&gt;1),100*(Database!HW144/(Database!HW74)),0.0001)</f>
        <v>1E-4</v>
      </c>
      <c r="DM170" s="99">
        <f>IF(AND(Database!HY144&gt;1,Database!HY74&gt;1),100*(Database!HY144/(Database!HY74)),0.0001)</f>
        <v>1E-4</v>
      </c>
      <c r="DN170" s="99">
        <f>IF(AND(Database!IA144&gt;1,Database!IA74&gt;1),100*(Database!IA144/(Database!IA74)),0.0001)</f>
        <v>1E-4</v>
      </c>
      <c r="DO170" s="99">
        <f>IF(AND(Database!IC144&gt;1,Database!IC74&gt;1),100*(Database!IC144/(Database!IC74)),0.0001)</f>
        <v>1E-4</v>
      </c>
      <c r="DP170" s="99">
        <f>IF(AND(Database!IE144&gt;1,Database!IE74&gt;1),100*(Database!IE144/(Database!IE74)),0.0001)</f>
        <v>1E-4</v>
      </c>
      <c r="DQ170" s="99">
        <f>IF(AND(Database!IG144&gt;1,Database!IG74&gt;1),100*(Database!IG144/(Database!IG74)),0.0001)</f>
        <v>1E-4</v>
      </c>
      <c r="DR170" s="99">
        <f>IF(AND(Database!II144&gt;1,Database!II74&gt;1),100*(Database!II144/(Database!II74)),0.0001)</f>
        <v>1E-4</v>
      </c>
      <c r="DS170" s="99">
        <f>IF(AND(Database!IK144&gt;1,Database!IK74&gt;1),100*(Database!IK144/(Database!IK74)),0.0001)</f>
        <v>1E-4</v>
      </c>
      <c r="DT170" s="99">
        <f>IF(AND(Database!IM144&gt;1,Database!IM74&gt;1),100*(Database!IM144/(Database!IM74)),0.0001)</f>
        <v>1E-4</v>
      </c>
      <c r="DU170" s="99">
        <f>IF(AND(Database!IO144&gt;1,Database!IO74&gt;1),100*(Database!IO144/(Database!IO74)),0.0001)</f>
        <v>1E-4</v>
      </c>
      <c r="DV170" s="99">
        <f>IF(AND(Database!IQ144&gt;1,Database!IQ74&gt;1),100*(Database!IQ144/(Database!IQ74)),0.0001)</f>
        <v>1E-4</v>
      </c>
      <c r="DW170" s="99">
        <f>IF(AND(Database!IS144&gt;1,Database!IS74&gt;1),100*(Database!IS144/(Database!IS74)),0.0001)</f>
        <v>1E-4</v>
      </c>
      <c r="DX170" s="99">
        <f>IF(AND(Database!IU144&gt;1,Database!IU74&gt;1),100*(Database!IU144/(Database!IU74)),0.0001)</f>
        <v>1E-4</v>
      </c>
      <c r="DY170" s="99">
        <f>IF(AND(Database!IW144&gt;1,Database!IW74&gt;1),100*(Database!IW144/(Database!IW74)),0.0001)</f>
        <v>1E-4</v>
      </c>
      <c r="DZ170" s="99">
        <f>IF(AND(Database!IY144&gt;1,Database!IY74&gt;1),100*(Database!IY144/(Database!IY74)),0.0001)</f>
        <v>1E-4</v>
      </c>
      <c r="EA170" s="99">
        <f>IF(AND(Database!JA144&gt;1,Database!JA74&gt;1),100*(Database!JA144/(Database!JA74)),0.0001)</f>
        <v>1E-4</v>
      </c>
      <c r="EB170" s="99">
        <f>IF(AND(Database!JC144&gt;1,Database!JC74&gt;1),100*(Database!JC144/(Database!JC74)),0.0001)</f>
        <v>1E-4</v>
      </c>
      <c r="EC170" s="99">
        <f>IF(AND(Database!JE144&gt;1,Database!JE74&gt;1),100*(Database!JE144/(Database!JE74)),0.0001)</f>
        <v>1E-4</v>
      </c>
      <c r="ED170" s="99">
        <f>IF(AND(Database!JG144&gt;1,Database!JG74&gt;1),100*(Database!JG144/(Database!JG74)),0.0001)</f>
        <v>1E-4</v>
      </c>
      <c r="EE170" s="99">
        <f>IF(AND(Database!JI144&gt;1,Database!JI74&gt;1),100*(Database!JI144/(Database!JI74)),0.0001)</f>
        <v>1E-4</v>
      </c>
      <c r="EF170" s="99">
        <f>IF(AND(Database!JK144&gt;1,Database!JK74&gt;1),100*(Database!JK144/(Database!JK74)),0.0001)</f>
        <v>1E-4</v>
      </c>
      <c r="EG170" s="99">
        <f>IF(AND(Database!JM144&gt;1,Database!JM74&gt;1),100*(Database!JM144/(Database!JM74)),0.0001)</f>
        <v>1E-4</v>
      </c>
      <c r="EH170" s="99">
        <f>IF(AND(Database!JO144&gt;1,Database!JO74&gt;1),100*(Database!JO144/(Database!JO74)),0.0001)</f>
        <v>1E-4</v>
      </c>
      <c r="EI170" s="99">
        <f>IF(AND(Database!JQ144&gt;1,Database!JQ74&gt;1),100*(Database!JQ144/(Database!JQ74)),0.0001)</f>
        <v>1E-4</v>
      </c>
      <c r="EJ170" s="99">
        <f>IF(AND(Database!JS144&gt;1,Database!JS74&gt;1),100*(Database!JS144/(Database!JS74)),0.0001)</f>
        <v>1E-4</v>
      </c>
      <c r="EK170" s="99">
        <f>IF(AND(Database!JU144&gt;1,Database!JU74&gt;1),100*(Database!JU144/(Database!JU74)),0.0001)</f>
        <v>1E-4</v>
      </c>
      <c r="EL170" s="99">
        <f>IF(AND(Database!JW144&gt;1,Database!JW74&gt;1),100*(Database!JW144/(Database!JW74)),0.0001)</f>
        <v>1E-4</v>
      </c>
      <c r="EM170" s="99">
        <f>IF(AND(Database!JY144&gt;1,Database!JY74&gt;1),100*(Database!JY144/(Database!JY74)),0.0001)</f>
        <v>1E-4</v>
      </c>
      <c r="EN170" s="99">
        <f>IF(AND(Database!KA144&gt;1,Database!KA74&gt;1),100*(Database!KA144/(Database!KA74)),0.0001)</f>
        <v>1E-4</v>
      </c>
      <c r="EO170" s="99">
        <f>IF(AND(Database!KC144&gt;1,Database!KC74&gt;1),100*(Database!KC144/(Database!KC74)),0.0001)</f>
        <v>1E-4</v>
      </c>
      <c r="EP170" s="99">
        <f>IF(AND(Database!KE144&gt;1,Database!KE74&gt;1),100*(Database!KE144/(Database!KE74)),0.0001)</f>
        <v>1E-4</v>
      </c>
      <c r="EQ170" s="99">
        <f>IF(AND(Database!KG144&gt;1,Database!KG74&gt;1),100*(Database!KG144/(Database!KG74)),0.0001)</f>
        <v>1E-4</v>
      </c>
      <c r="ER170" s="99">
        <f>IF(AND(Database!KI144&gt;1,Database!KI74&gt;1),100*(Database!KI144/(Database!KI74)),0.0001)</f>
        <v>1E-4</v>
      </c>
      <c r="ES170" s="99">
        <f>IF(AND(Database!KK144&gt;1,Database!KK74&gt;1),100*(Database!KK144/(Database!KK74)),0.0001)</f>
        <v>1E-4</v>
      </c>
      <c r="ET170" s="99">
        <f>IF(AND(Database!KM144&gt;1,Database!KM74&gt;1),100*(Database!KM144/(Database!KM74)),0.0001)</f>
        <v>1E-4</v>
      </c>
      <c r="EU170" s="99">
        <f>IF(AND(Database!KO144&gt;1,Database!KO74&gt;1),100*(Database!KO144/(Database!KO74)),0.0001)</f>
        <v>1E-4</v>
      </c>
      <c r="EV170" s="99">
        <f>IF(AND(Database!KQ144&gt;1,Database!KQ74&gt;1),100*(Database!KQ144/(Database!KQ74)),0.0001)</f>
        <v>1E-4</v>
      </c>
      <c r="EW170" s="99">
        <f>IF(AND(Database!KS144&gt;1,Database!KS74&gt;1),100*(Database!KS144/(Database!KS74)),0.0001)</f>
        <v>1E-4</v>
      </c>
      <c r="EX170" s="99">
        <f>IF(AND(Database!KU144&gt;1,Database!KU74&gt;1),100*(Database!KU144/(Database!KU74)),0.0001)</f>
        <v>1E-4</v>
      </c>
      <c r="EY170" s="99">
        <f>IF(AND(Database!KW144&gt;1,Database!KW74&gt;1),100*(Database!KW144/(Database!KW74)),0.0001)</f>
        <v>1E-4</v>
      </c>
      <c r="EZ170" s="99">
        <f>IF(AND(Database!KY144&gt;1,Database!KY74&gt;1),100*(Database!KY144/(Database!KY74)),0.0001)</f>
        <v>1E-4</v>
      </c>
      <c r="FA170" s="99">
        <f>IF(AND(Database!LA144&gt;1,Database!LA74&gt;1),100*(Database!LA144/(Database!LA74)),0.0001)</f>
        <v>1E-4</v>
      </c>
      <c r="FB170" s="99">
        <f>IF(AND(Database!LC144&gt;1,Database!LC74&gt;1),100*(Database!LC144/(Database!LC74)),0.0001)</f>
        <v>1E-4</v>
      </c>
      <c r="FC170" s="99">
        <f>IF(AND(Database!LE144&gt;1,Database!LE74&gt;1),100*(Database!LE144/(Database!LE74)),0.0001)</f>
        <v>1E-4</v>
      </c>
      <c r="FD170" s="99">
        <f>IF(AND(Database!LG144&gt;1,Database!LG74&gt;1),100*(Database!LG144/(Database!LG74)),0.0001)</f>
        <v>1E-4</v>
      </c>
      <c r="FE170" s="99">
        <f>IF(AND(Database!LI144&gt;1,Database!LI74&gt;1),100*(Database!LI144/(Database!LI74)),0.0001)</f>
        <v>1E-4</v>
      </c>
      <c r="FF170" s="99">
        <f>IF(AND(Database!LK144&gt;1,Database!LK74&gt;1),100*(Database!LK144/(Database!LK74)),0.0001)</f>
        <v>1E-4</v>
      </c>
      <c r="FG170" s="99">
        <f>IF(AND(Database!LM144&gt;1,Database!LM74&gt;1),100*(Database!LM144/(Database!LM74)),0.0001)</f>
        <v>1E-4</v>
      </c>
      <c r="FH170" s="99">
        <f>IF(AND(Database!LO144&gt;1,Database!LO74&gt;1),100*(Database!LO144/(Database!LO74)),0.0001)</f>
        <v>1E-4</v>
      </c>
      <c r="FI170" s="99">
        <f>IF(AND(Database!LQ144&gt;1,Database!LQ74&gt;1),100*(Database!LQ144/(Database!LQ74)),0.0001)</f>
        <v>1E-4</v>
      </c>
      <c r="FJ170" s="99">
        <f>IF(AND(Database!LS144&gt;1,Database!LS74&gt;1),100*(Database!LS144/(Database!LS74)),0.0001)</f>
        <v>1E-4</v>
      </c>
      <c r="FK170" s="99">
        <f>IF(AND(Database!LU144&gt;1,Database!LU74&gt;1),100*(Database!LU144/(Database!LU74)),0.0001)</f>
        <v>1E-4</v>
      </c>
      <c r="FL170" s="99">
        <f>IF(AND(Database!LW144&gt;1,Database!LW74&gt;1),100*(Database!LW144/(Database!LW74)),0.0001)</f>
        <v>1E-4</v>
      </c>
      <c r="FM170" s="99">
        <f>IF(AND(Database!LY144&gt;1,Database!LY74&gt;1),100*(Database!LY144/(Database!LY74)),0.0001)</f>
        <v>1E-4</v>
      </c>
      <c r="FN170" s="99">
        <f>IF(AND(Database!MA144&gt;1,Database!MA74&gt;1),100*(Database!MA144/(Database!MA74)),0.0001)</f>
        <v>1E-4</v>
      </c>
      <c r="FO170" s="99">
        <f>IF(AND(Database!MC144&gt;1,Database!MC74&gt;1),100*(Database!MC144/(Database!MC74)),0.0001)</f>
        <v>1E-4</v>
      </c>
      <c r="FP170" s="99">
        <f>IF(AND(Database!ME144&gt;1,Database!ME74&gt;1),100*(Database!ME144/(Database!ME74)),0.0001)</f>
        <v>1E-4</v>
      </c>
      <c r="FQ170" s="99">
        <f>IF(AND(Database!MG144&gt;1,Database!MG74&gt;1),100*(Database!MG144/(Database!MG74)),0.0001)</f>
        <v>1E-4</v>
      </c>
      <c r="FR170" s="99">
        <f>IF(AND(Database!MI144&gt;1,Database!MI74&gt;1),100*(Database!MI144/(Database!MI74)),0.0001)</f>
        <v>1E-4</v>
      </c>
      <c r="FS170" s="99">
        <f>IF(AND(Database!MK144&gt;1,Database!MK74&gt;1),100*(Database!MK144/(Database!MK74)),0.0001)</f>
        <v>1E-4</v>
      </c>
      <c r="FT170" s="99">
        <f>IF(AND(Database!MM144&gt;1,Database!MM74&gt;1),100*(Database!MM144/(Database!MM74)),0.0001)</f>
        <v>1E-4</v>
      </c>
      <c r="FU170" s="99">
        <f>IF(AND(Database!MO144&gt;1,Database!MO74&gt;1),100*(Database!MO144/(Database!MO74)),0.0001)</f>
        <v>1E-4</v>
      </c>
      <c r="FV170" s="99">
        <f>IF(AND(Database!MQ144&gt;1,Database!MQ74&gt;1),100*(Database!MQ144/(Database!MQ74)),0.0001)</f>
        <v>1E-4</v>
      </c>
      <c r="FW170" s="99">
        <f>IF(AND(Database!MS144&gt;1,Database!MS74&gt;1),100*(Database!MS144/(Database!MS74)),0.0001)</f>
        <v>1E-4</v>
      </c>
      <c r="FX170" s="99">
        <f>IF(AND(Database!MU144&gt;1,Database!MU74&gt;1),100*(Database!MU144/(Database!MU74)),0.0001)</f>
        <v>1E-4</v>
      </c>
      <c r="FY170" s="99">
        <f>IF(AND(Database!MW144&gt;1,Database!MW74&gt;1),100*(Database!MW144/(Database!MW74)),0.0001)</f>
        <v>1E-4</v>
      </c>
      <c r="FZ170" s="99">
        <f>IF(AND(Database!MY144&gt;1,Database!MY74&gt;1),100*(Database!MY144/(Database!MY74)),0.0001)</f>
        <v>1E-4</v>
      </c>
      <c r="GA170" s="99">
        <f>IF(AND(Database!NA144&gt;1,Database!NA74&gt;1),100*(Database!NA144/(Database!NA74)),0.0001)</f>
        <v>1E-4</v>
      </c>
      <c r="GB170" s="99">
        <f>IF(AND(Database!NC144&gt;1,Database!NC74&gt;1),100*(Database!NC144/(Database!NC74)),0.0001)</f>
        <v>1E-4</v>
      </c>
      <c r="GC170" s="99">
        <f>IF(AND(Database!NE144&gt;1,Database!NE74&gt;1),100*(Database!NE144/(Database!NE74)),0.0001)</f>
        <v>1E-4</v>
      </c>
      <c r="GD170" s="99">
        <f>IF(AND(Database!NG144&gt;1,Database!NG74&gt;1),100*(Database!NG144/(Database!NG74)),0.0001)</f>
        <v>1E-4</v>
      </c>
      <c r="GE170" s="99">
        <f>IF(AND(Database!NI144&gt;1,Database!NI74&gt;1),100*(Database!NI144/(Database!NI74)),0.0001)</f>
        <v>1E-4</v>
      </c>
      <c r="GF170" s="99">
        <f>IF(AND(Database!NK144&gt;1,Database!NK74&gt;1),100*(Database!NK144/(Database!NK74)),0.0001)</f>
        <v>1E-4</v>
      </c>
      <c r="GG170" s="99">
        <f>IF(AND(Database!NM144&gt;1,Database!NM74&gt;1),100*(Database!NM144/(Database!NM74)),0.0001)</f>
        <v>1E-4</v>
      </c>
      <c r="GH170" s="99">
        <f>IF(AND(Database!NO144&gt;1,Database!NO74&gt;1),100*(Database!NO144/(Database!NO74)),0.0001)</f>
        <v>1E-4</v>
      </c>
      <c r="GI170" s="99">
        <f>IF(AND(Database!NQ144&gt;1,Database!NQ74&gt;1),100*(Database!NQ144/(Database!NQ74)),0.0001)</f>
        <v>1E-4</v>
      </c>
      <c r="GJ170" s="99">
        <f>IF(AND(Database!NS144&gt;1,Database!NS74&gt;1),100*(Database!NS144/(Database!NS74)),0.0001)</f>
        <v>1E-4</v>
      </c>
      <c r="GK170" s="99">
        <f>IF(AND(Database!NU144&gt;1,Database!NU74&gt;1),100*(Database!NU144/(Database!NU74)),0.0001)</f>
        <v>1E-4</v>
      </c>
      <c r="GL170" s="99">
        <f>IF(AND(Database!NW144&gt;1,Database!NW74&gt;1),100*(Database!NW144/(Database!NW74)),0.0001)</f>
        <v>1E-4</v>
      </c>
      <c r="GM170" s="99">
        <f>IF(AND(Database!NY144&gt;1,Database!NY74&gt;1),100*(Database!NY144/(Database!NY74)),0.0001)</f>
        <v>1E-4</v>
      </c>
      <c r="GN170" s="99">
        <f>IF(AND(Database!OA144&gt;1,Database!OA74&gt;1),100*(Database!OA144/(Database!OA74)),0.0001)</f>
        <v>1E-4</v>
      </c>
      <c r="GO170" s="99">
        <f>IF(AND(Database!OC144&gt;1,Database!OC74&gt;1),100*(Database!OC144/(Database!OC74)),0.0001)</f>
        <v>1E-4</v>
      </c>
      <c r="GP170" s="99">
        <f>IF(AND(Database!OE144&gt;1,Database!OE74&gt;1),100*(Database!OE144/(Database!OE74)),0.0001)</f>
        <v>1E-4</v>
      </c>
      <c r="GQ170" s="99">
        <f>IF(AND(Database!OG144&gt;1,Database!OG74&gt;1),100*(Database!OG144/(Database!OG74)),0.0001)</f>
        <v>1E-4</v>
      </c>
      <c r="GR170" s="99">
        <f>IF(AND(Database!OI144&gt;1,Database!OI74&gt;1),100*(Database!OI144/(Database!OI74)),0.0001)</f>
        <v>1E-4</v>
      </c>
      <c r="GS170" s="99">
        <f>IF(AND(Database!OK144&gt;1,Database!OK74&gt;1),100*(Database!OK144/(Database!OK74)),0.0001)</f>
        <v>1E-4</v>
      </c>
      <c r="GT170" s="30">
        <f>IF(AND(Database!OM144&gt;1,Database!OM74&gt;1),100*(Database!OM144/(Database!OM74)),0.0001)</f>
        <v>1E-4</v>
      </c>
      <c r="GU170" s="99"/>
      <c r="GV170" s="99"/>
      <c r="GW170" s="99"/>
    </row>
    <row r="171" spans="1:205" ht="18.75" customHeight="1" x14ac:dyDescent="0.4">
      <c r="A171" s="240" t="s">
        <v>181</v>
      </c>
      <c r="B171" s="96"/>
      <c r="C171" s="260">
        <f>IF(AND(Database!E146&gt;1,Database!E147&gt;1),100*(Database!E146/(Database!E147)),0.0001)</f>
        <v>353.59897172236504</v>
      </c>
      <c r="D171" s="99">
        <f>IF(AND(Database!G146&gt;1,Database!G147&gt;1),100*(Database!G146/(Database!G147)),0.0001)</f>
        <v>192.20566562960536</v>
      </c>
      <c r="E171" s="99">
        <f>IF(AND(Database!I146&gt;1,Database!I147&gt;1),100*(Database!I146/(Database!I147)),0.0001)</f>
        <v>184.56919503767065</v>
      </c>
      <c r="F171" s="99">
        <f>IF(AND(Database!K146&gt;1,Database!K147&gt;1),100*(Database!K146/(Database!K147)),0.0001)</f>
        <v>178.20096840213648</v>
      </c>
      <c r="G171" s="99">
        <f>IF(AND(Database!M146&gt;1,Database!M147&gt;1),100*(Database!M146/(Database!M147)),0.0001)</f>
        <v>1E-4</v>
      </c>
      <c r="H171" s="99">
        <f>IF(AND(Database!O146&gt;1,Database!O147&gt;1),100*(Database!O146/(Database!O147)),0.0001)</f>
        <v>1E-4</v>
      </c>
      <c r="I171" s="99">
        <f>IF(AND(Database!Q146&gt;1,Database!Q147&gt;1),100*(Database!Q146/(Database!Q147)),0.0001)</f>
        <v>1E-4</v>
      </c>
      <c r="J171" s="99">
        <f>IF(AND(Database!S146&gt;1,Database!S147&gt;1),100*(Database!S146/(Database!S147)),0.0001)</f>
        <v>1E-4</v>
      </c>
      <c r="K171" s="99">
        <f>IF(AND(Database!U146&gt;1,Database!U147&gt;1),100*(Database!U146/(Database!U147)),0.0001)</f>
        <v>1E-4</v>
      </c>
      <c r="L171" s="99">
        <f>IF(AND(Database!W146&gt;1,Database!W147&gt;1),100*(Database!W146/(Database!W147)),0.0001)</f>
        <v>1E-4</v>
      </c>
      <c r="M171" s="99">
        <f>IF(AND(Database!Y146&gt;1,Database!Y147&gt;1),100*(Database!Y146/(Database!Y147)),0.0001)</f>
        <v>1E-4</v>
      </c>
      <c r="N171" s="99">
        <f>IF(AND(Database!AA146&gt;1,Database!AA147&gt;1),100*(Database!AA146/(Database!AA147)),0.0001)</f>
        <v>1E-4</v>
      </c>
      <c r="O171" s="99">
        <f>IF(AND(Database!AC146&gt;1,Database!AC147&gt;1),100*(Database!AC146/(Database!AC147)),0.0001)</f>
        <v>1E-4</v>
      </c>
      <c r="P171" s="99">
        <f>IF(AND(Database!AE146&gt;1,Database!AE147&gt;1),100*(Database!AE146/(Database!AE147)),0.0001)</f>
        <v>1E-4</v>
      </c>
      <c r="Q171" s="99">
        <f>IF(AND(Database!AG146&gt;1,Database!AG147&gt;1),100*(Database!AG146/(Database!AG147)),0.0001)</f>
        <v>1E-4</v>
      </c>
      <c r="R171" s="99">
        <f>IF(AND(Database!AI146&gt;1,Database!AI147&gt;1),100*(Database!AI146/(Database!AI147)),0.0001)</f>
        <v>1E-4</v>
      </c>
      <c r="S171" s="99">
        <f>IF(AND(Database!AK146&gt;1,Database!AK147&gt;1),100*(Database!AK146/(Database!AK147)),0.0001)</f>
        <v>1E-4</v>
      </c>
      <c r="T171" s="99">
        <f>IF(AND(Database!AM146&gt;1,Database!AM147&gt;1),100*(Database!AM146/(Database!AM147)),0.0001)</f>
        <v>1E-4</v>
      </c>
      <c r="U171" s="99">
        <f>IF(AND(Database!AO146&gt;1,Database!AO147&gt;1),100*(Database!AO146/(Database!AO147)),0.0001)</f>
        <v>1E-4</v>
      </c>
      <c r="V171" s="99">
        <f>IF(AND(Database!AQ146&gt;1,Database!AQ147&gt;1),100*(Database!AQ146/(Database!AQ147)),0.0001)</f>
        <v>1E-4</v>
      </c>
      <c r="W171" s="99">
        <f>IF(AND(Database!AS146&gt;1,Database!AS147&gt;1),100*(Database!AS146/(Database!AS147)),0.0001)</f>
        <v>1E-4</v>
      </c>
      <c r="X171" s="99">
        <f>IF(AND(Database!AU146&gt;1,Database!AU147&gt;1),100*(Database!AU146/(Database!AU147)),0.0001)</f>
        <v>1E-4</v>
      </c>
      <c r="Y171" s="99">
        <f>IF(AND(Database!AW146&gt;1,Database!AW147&gt;1),100*(Database!AW146/(Database!AW147)),0.0001)</f>
        <v>1E-4</v>
      </c>
      <c r="Z171" s="99">
        <f>IF(AND(Database!AY146&gt;1,Database!AY147&gt;1),100*(Database!AY146/(Database!AY147)),0.0001)</f>
        <v>1E-4</v>
      </c>
      <c r="AA171" s="99">
        <f>IF(AND(Database!BA146&gt;1,Database!BA147&gt;1),100*(Database!BA146/(Database!BA147)),0.0001)</f>
        <v>1E-4</v>
      </c>
      <c r="AB171" s="99">
        <f>IF(AND(Database!BC146&gt;1,Database!BC147&gt;1),100*(Database!BC146/(Database!BC147)),0.0001)</f>
        <v>1E-4</v>
      </c>
      <c r="AC171" s="99">
        <f>IF(AND(Database!BE146&gt;1,Database!BE147&gt;1),100*(Database!BE146/(Database!BE147)),0.0001)</f>
        <v>1E-4</v>
      </c>
      <c r="AD171" s="99">
        <f>IF(AND(Database!BG146&gt;1,Database!BG147&gt;1),100*(Database!BG146/(Database!BG147)),0.0001)</f>
        <v>1E-4</v>
      </c>
      <c r="AE171" s="99">
        <f>IF(AND(Database!BI146&gt;1,Database!BI147&gt;1),100*(Database!BI146/(Database!BI147)),0.0001)</f>
        <v>1E-4</v>
      </c>
      <c r="AF171" s="99">
        <f>IF(AND(Database!BK146&gt;1,Database!BK147&gt;1),100*(Database!BK146/(Database!BK147)),0.0001)</f>
        <v>1E-4</v>
      </c>
      <c r="AG171" s="99">
        <f>IF(AND(Database!BM146&gt;1,Database!BM147&gt;1),100*(Database!BM146/(Database!BM147)),0.0001)</f>
        <v>1E-4</v>
      </c>
      <c r="AH171" s="99">
        <f>IF(AND(Database!BO146&gt;1,Database!BO147&gt;1),100*(Database!BO146/(Database!BO147)),0.0001)</f>
        <v>1E-4</v>
      </c>
      <c r="AI171" s="99">
        <f>IF(AND(Database!BQ146&gt;1,Database!BQ147&gt;1),100*(Database!BQ146/(Database!BQ147)),0.0001)</f>
        <v>1E-4</v>
      </c>
      <c r="AJ171" s="99">
        <f>IF(AND(Database!BS146&gt;1,Database!BS147&gt;1),100*(Database!BS146/(Database!BS147)),0.0001)</f>
        <v>1E-4</v>
      </c>
      <c r="AK171" s="99">
        <f>IF(AND(Database!BU146&gt;1,Database!BU147&gt;1),100*(Database!BU146/(Database!BU147)),0.0001)</f>
        <v>1E-4</v>
      </c>
      <c r="AL171" s="99">
        <f>IF(AND(Database!BW146&gt;1,Database!BW147&gt;1),100*(Database!BW146/(Database!BW147)),0.0001)</f>
        <v>1E-4</v>
      </c>
      <c r="AM171" s="99">
        <f>IF(AND(Database!BY146&gt;1,Database!BY147&gt;1),100*(Database!BY146/(Database!BY147)),0.0001)</f>
        <v>1E-4</v>
      </c>
      <c r="AN171" s="99">
        <f>IF(AND(Database!CA146&gt;1,Database!CA147&gt;1),100*(Database!CA146/(Database!CA147)),0.0001)</f>
        <v>1E-4</v>
      </c>
      <c r="AO171" s="99">
        <f>IF(AND(Database!CC146&gt;1,Database!CC147&gt;1),100*(Database!CC146/(Database!CC147)),0.0001)</f>
        <v>1E-4</v>
      </c>
      <c r="AP171" s="99">
        <f>IF(AND(Database!CE146&gt;1,Database!CE147&gt;1),100*(Database!CE146/(Database!CE147)),0.0001)</f>
        <v>1E-4</v>
      </c>
      <c r="AQ171" s="99">
        <f>IF(AND(Database!CG146&gt;1,Database!CG147&gt;1),100*(Database!CG146/(Database!CG147)),0.0001)</f>
        <v>1E-4</v>
      </c>
      <c r="AR171" s="99">
        <f>IF(AND(Database!CI146&gt;1,Database!CI147&gt;1),100*(Database!CI146/(Database!CI147)),0.0001)</f>
        <v>1E-4</v>
      </c>
      <c r="AS171" s="99">
        <f>IF(AND(Database!CK146&gt;1,Database!CK147&gt;1),100*(Database!CK146/(Database!CK147)),0.0001)</f>
        <v>1E-4</v>
      </c>
      <c r="AT171" s="99">
        <f>IF(AND(Database!CM146&gt;1,Database!CM147&gt;1),100*(Database!CM146/(Database!CM147)),0.0001)</f>
        <v>1E-4</v>
      </c>
      <c r="AU171" s="99">
        <f>IF(AND(Database!CO146&gt;1,Database!CO147&gt;1),100*(Database!CO146/(Database!CO147)),0.0001)</f>
        <v>1E-4</v>
      </c>
      <c r="AV171" s="99">
        <f>IF(AND(Database!CQ146&gt;1,Database!CQ147&gt;1),100*(Database!CQ146/(Database!CQ147)),0.0001)</f>
        <v>1E-4</v>
      </c>
      <c r="AW171" s="99">
        <f>IF(AND(Database!CS146&gt;1,Database!CS147&gt;1),100*(Database!CS146/(Database!CS147)),0.0001)</f>
        <v>1E-4</v>
      </c>
      <c r="AX171" s="99">
        <f>IF(AND(Database!CU146&gt;1,Database!CU147&gt;1),100*(Database!CU146/(Database!CU147)),0.0001)</f>
        <v>1E-4</v>
      </c>
      <c r="AY171" s="99">
        <f>IF(AND(Database!CW146&gt;1,Database!CW147&gt;1),100*(Database!CW146/(Database!CW147)),0.0001)</f>
        <v>1E-4</v>
      </c>
      <c r="AZ171" s="99">
        <f>IF(AND(Database!CY146&gt;1,Database!CY147&gt;1),100*(Database!CY146/(Database!CY147)),0.0001)</f>
        <v>1E-4</v>
      </c>
      <c r="BA171" s="99">
        <f>IF(AND(Database!DA146&gt;1,Database!DA147&gt;1),100*(Database!DA146/(Database!DA147)),0.0001)</f>
        <v>1E-4</v>
      </c>
      <c r="BB171" s="99">
        <f>IF(AND(Database!DC146&gt;1,Database!DC147&gt;1),100*(Database!DC146/(Database!DC147)),0.0001)</f>
        <v>1E-4</v>
      </c>
      <c r="BC171" s="99">
        <f>IF(AND(Database!DE146&gt;1,Database!DE147&gt;1),100*(Database!DE146/(Database!DE147)),0.0001)</f>
        <v>1E-4</v>
      </c>
      <c r="BD171" s="99">
        <f>IF(AND(Database!DG146&gt;1,Database!DG147&gt;1),100*(Database!DG146/(Database!DG147)),0.0001)</f>
        <v>1E-4</v>
      </c>
      <c r="BE171" s="99">
        <f>IF(AND(Database!DI146&gt;1,Database!DI147&gt;1),100*(Database!DI146/(Database!DI147)),0.0001)</f>
        <v>1E-4</v>
      </c>
      <c r="BF171" s="99">
        <f>IF(AND(Database!DK146&gt;1,Database!DK147&gt;1),100*(Database!DK146/(Database!DK147)),0.0001)</f>
        <v>1E-4</v>
      </c>
      <c r="BG171" s="99">
        <f>IF(AND(Database!DM146&gt;1,Database!DM147&gt;1),100*(Database!DM146/(Database!DM147)),0.0001)</f>
        <v>1E-4</v>
      </c>
      <c r="BH171" s="99">
        <f>IF(AND(Database!DO146&gt;1,Database!DO147&gt;1),100*(Database!DO146/(Database!DO147)),0.0001)</f>
        <v>1E-4</v>
      </c>
      <c r="BI171" s="99">
        <f>IF(AND(Database!DQ146&gt;1,Database!DQ147&gt;1),100*(Database!DQ146/(Database!DQ147)),0.0001)</f>
        <v>1E-4</v>
      </c>
      <c r="BJ171" s="99">
        <f>IF(AND(Database!DS146&gt;1,Database!DS147&gt;1),100*(Database!DS146/(Database!DS147)),0.0001)</f>
        <v>1E-4</v>
      </c>
      <c r="BK171" s="99">
        <f>IF(AND(Database!DU146&gt;1,Database!DU147&gt;1),100*(Database!DU146/(Database!DU147)),0.0001)</f>
        <v>1E-4</v>
      </c>
      <c r="BL171" s="99">
        <f>IF(AND(Database!DW146&gt;1,Database!DW147&gt;1),100*(Database!DW146/(Database!DW147)),0.0001)</f>
        <v>1E-4</v>
      </c>
      <c r="BM171" s="99">
        <f>IF(AND(Database!DY146&gt;1,Database!DY147&gt;1),100*(Database!DY146/(Database!DY147)),0.0001)</f>
        <v>1E-4</v>
      </c>
      <c r="BN171" s="99">
        <f>IF(AND(Database!EA146&gt;1,Database!EA147&gt;1),100*(Database!EA146/(Database!EA147)),0.0001)</f>
        <v>1E-4</v>
      </c>
      <c r="BO171" s="99">
        <f>IF(AND(Database!EC146&gt;1,Database!EC147&gt;1),100*(Database!EC146/(Database!EC147)),0.0001)</f>
        <v>1E-4</v>
      </c>
      <c r="BP171" s="99">
        <f>IF(AND(Database!EE146&gt;1,Database!EE147&gt;1),100*(Database!EE146/(Database!EE147)),0.0001)</f>
        <v>1E-4</v>
      </c>
      <c r="BQ171" s="99">
        <f>IF(AND(Database!EG146&gt;1,Database!EG147&gt;1),100*(Database!EG146/(Database!EG147)),0.0001)</f>
        <v>1E-4</v>
      </c>
      <c r="BR171" s="99">
        <f>IF(AND(Database!EI146&gt;1,Database!EI147&gt;1),100*(Database!EI146/(Database!EI147)),0.0001)</f>
        <v>1E-4</v>
      </c>
      <c r="BS171" s="99">
        <f>IF(AND(Database!EK146&gt;1,Database!EK147&gt;1),100*(Database!EK146/(Database!EK147)),0.0001)</f>
        <v>1E-4</v>
      </c>
      <c r="BT171" s="99">
        <f>IF(AND(Database!EM146&gt;1,Database!EM147&gt;1),100*(Database!EM146/(Database!EM147)),0.0001)</f>
        <v>1E-4</v>
      </c>
      <c r="BU171" s="99">
        <f>IF(AND(Database!EO146&gt;1,Database!EO147&gt;1),100*(Database!EO146/(Database!EO147)),0.0001)</f>
        <v>1E-4</v>
      </c>
      <c r="BV171" s="99">
        <f>IF(AND(Database!EQ146&gt;1,Database!EQ147&gt;1),100*(Database!EQ146/(Database!EQ147)),0.0001)</f>
        <v>1E-4</v>
      </c>
      <c r="BW171" s="99">
        <f>IF(AND(Database!ES146&gt;1,Database!ES147&gt;1),100*(Database!ES146/(Database!ES147)),0.0001)</f>
        <v>1E-4</v>
      </c>
      <c r="BX171" s="99">
        <f>IF(AND(Database!EU146&gt;1,Database!EU147&gt;1),100*(Database!EU146/(Database!EU147)),0.0001)</f>
        <v>1E-4</v>
      </c>
      <c r="BY171" s="99">
        <f>IF(AND(Database!EW146&gt;1,Database!EW147&gt;1),100*(Database!EW146/(Database!EW147)),0.0001)</f>
        <v>1E-4</v>
      </c>
      <c r="BZ171" s="99">
        <f>IF(AND(Database!EY146&gt;1,Database!EY147&gt;1),100*(Database!EY146/(Database!EY147)),0.0001)</f>
        <v>1E-4</v>
      </c>
      <c r="CA171" s="99">
        <f>IF(AND(Database!FA146&gt;1,Database!FA147&gt;1),100*(Database!FA146/(Database!FA147)),0.0001)</f>
        <v>1E-4</v>
      </c>
      <c r="CB171" s="99">
        <f>IF(AND(Database!FC146&gt;1,Database!FC147&gt;1),100*(Database!FC146/(Database!FC147)),0.0001)</f>
        <v>1E-4</v>
      </c>
      <c r="CC171" s="99">
        <f>IF(AND(Database!FE146&gt;1,Database!FE147&gt;1),100*(Database!FE146/(Database!FE147)),0.0001)</f>
        <v>1E-4</v>
      </c>
      <c r="CD171" s="99">
        <f>IF(AND(Database!FG146&gt;1,Database!FG147&gt;1),100*(Database!FG146/(Database!FG147)),0.0001)</f>
        <v>1E-4</v>
      </c>
      <c r="CE171" s="99">
        <f>IF(AND(Database!FI146&gt;1,Database!FI147&gt;1),100*(Database!FI146/(Database!FI147)),0.0001)</f>
        <v>1E-4</v>
      </c>
      <c r="CF171" s="99">
        <f>IF(AND(Database!FK146&gt;1,Database!FK147&gt;1),100*(Database!FK146/(Database!FK147)),0.0001)</f>
        <v>1E-4</v>
      </c>
      <c r="CG171" s="99">
        <f>IF(AND(Database!FM146&gt;1,Database!FM147&gt;1),100*(Database!FM146/(Database!FM147)),0.0001)</f>
        <v>1E-4</v>
      </c>
      <c r="CH171" s="99">
        <f>IF(AND(Database!FO146&gt;1,Database!FO147&gt;1),100*(Database!FO146/(Database!FO147)),0.0001)</f>
        <v>1E-4</v>
      </c>
      <c r="CI171" s="99">
        <f>IF(AND(Database!FQ146&gt;1,Database!FQ147&gt;1),100*(Database!FQ146/(Database!FQ147)),0.0001)</f>
        <v>1E-4</v>
      </c>
      <c r="CJ171" s="99">
        <f>IF(AND(Database!FS146&gt;1,Database!FS147&gt;1),100*(Database!FS146/(Database!FS147)),0.0001)</f>
        <v>1E-4</v>
      </c>
      <c r="CK171" s="99">
        <f>IF(AND(Database!FU146&gt;1,Database!FU147&gt;1),100*(Database!FU146/(Database!FU147)),0.0001)</f>
        <v>1E-4</v>
      </c>
      <c r="CL171" s="99">
        <f>IF(AND(Database!FW146&gt;1,Database!FW147&gt;1),100*(Database!FW146/(Database!FW147)),0.0001)</f>
        <v>1E-4</v>
      </c>
      <c r="CM171" s="99">
        <f>IF(AND(Database!FY146&gt;1,Database!FY147&gt;1),100*(Database!FY146/(Database!FY147)),0.0001)</f>
        <v>1E-4</v>
      </c>
      <c r="CN171" s="99">
        <f>IF(AND(Database!GA146&gt;1,Database!GA147&gt;1),100*(Database!GA146/(Database!GA147)),0.0001)</f>
        <v>1E-4</v>
      </c>
      <c r="CO171" s="99">
        <f>IF(AND(Database!GC146&gt;1,Database!GC147&gt;1),100*(Database!GC146/(Database!GC147)),0.0001)</f>
        <v>1E-4</v>
      </c>
      <c r="CP171" s="99">
        <f>IF(AND(Database!GE146&gt;1,Database!GE147&gt;1),100*(Database!GE146/(Database!GE147)),0.0001)</f>
        <v>1E-4</v>
      </c>
      <c r="CQ171" s="99">
        <f>IF(AND(Database!GG146&gt;1,Database!GG147&gt;1),100*(Database!GG146/(Database!GG147)),0.0001)</f>
        <v>1E-4</v>
      </c>
      <c r="CR171" s="99">
        <f>IF(AND(Database!GI146&gt;1,Database!GI147&gt;1),100*(Database!GI146/(Database!GI147)),0.0001)</f>
        <v>1E-4</v>
      </c>
      <c r="CS171" s="99">
        <f>IF(AND(Database!GK146&gt;1,Database!GK147&gt;1),100*(Database!GK146/(Database!GK147)),0.0001)</f>
        <v>1E-4</v>
      </c>
      <c r="CT171" s="99">
        <f>IF(AND(Database!GM146&gt;1,Database!GM147&gt;1),100*(Database!GM146/(Database!GM147)),0.0001)</f>
        <v>1E-4</v>
      </c>
      <c r="CU171" s="99">
        <f>IF(AND(Database!GO146&gt;1,Database!GO147&gt;1),100*(Database!GO146/(Database!GO147)),0.0001)</f>
        <v>1E-4</v>
      </c>
      <c r="CV171" s="99">
        <f>IF(AND(Database!GQ146&gt;1,Database!GQ147&gt;1),100*(Database!GQ146/(Database!GQ147)),0.0001)</f>
        <v>1E-4</v>
      </c>
      <c r="CW171" s="99">
        <f>IF(AND(Database!GS146&gt;1,Database!GS147&gt;1),100*(Database!GS146/(Database!GS147)),0.0001)</f>
        <v>1E-4</v>
      </c>
      <c r="CX171" s="99">
        <f>IF(AND(Database!GU146&gt;1,Database!GU147&gt;1),100*(Database!GU146/(Database!GU147)),0.0001)</f>
        <v>1E-4</v>
      </c>
      <c r="CY171" s="99">
        <f>IF(AND(Database!GW146&gt;1,Database!GW147&gt;1),100*(Database!GW146/(Database!GW147)),0.0001)</f>
        <v>1E-4</v>
      </c>
      <c r="CZ171" s="99">
        <f>IF(AND(Database!GY146&gt;1,Database!GY147&gt;1),100*(Database!GY146/(Database!GY147)),0.0001)</f>
        <v>1E-4</v>
      </c>
      <c r="DA171" s="99">
        <f>IF(AND(Database!HA146&gt;1,Database!HA147&gt;1),100*(Database!HA146/(Database!HA147)),0.0001)</f>
        <v>1E-4</v>
      </c>
      <c r="DB171" s="99">
        <f>IF(AND(Database!HC146&gt;1,Database!HC147&gt;1),100*(Database!HC146/(Database!HC147)),0.0001)</f>
        <v>1E-4</v>
      </c>
      <c r="DC171" s="99">
        <f>IF(AND(Database!HE146&gt;1,Database!HE147&gt;1),100*(Database!HE146/(Database!HE147)),0.0001)</f>
        <v>1E-4</v>
      </c>
      <c r="DD171" s="99">
        <f>IF(AND(Database!HG146&gt;1,Database!HG147&gt;1),100*(Database!HG146/(Database!HG147)),0.0001)</f>
        <v>1E-4</v>
      </c>
      <c r="DE171" s="99">
        <f>IF(AND(Database!HI146&gt;1,Database!HI147&gt;1),100*(Database!HI146/(Database!HI147)),0.0001)</f>
        <v>1E-4</v>
      </c>
      <c r="DF171" s="99">
        <f>IF(AND(Database!HK146&gt;1,Database!HK147&gt;1),100*(Database!HK146/(Database!HK147)),0.0001)</f>
        <v>1E-4</v>
      </c>
      <c r="DG171" s="99">
        <f>IF(AND(Database!HM146&gt;1,Database!HM147&gt;1),100*(Database!HM146/(Database!HM147)),0.0001)</f>
        <v>1E-4</v>
      </c>
      <c r="DH171" s="99">
        <f>IF(AND(Database!HO146&gt;1,Database!HO147&gt;1),100*(Database!HO146/(Database!HO147)),0.0001)</f>
        <v>1E-4</v>
      </c>
      <c r="DI171" s="99">
        <f>IF(AND(Database!HQ146&gt;1,Database!HQ147&gt;1),100*(Database!HQ146/(Database!HQ147)),0.0001)</f>
        <v>1E-4</v>
      </c>
      <c r="DJ171" s="99">
        <f>IF(AND(Database!HS146&gt;1,Database!HS147&gt;1),100*(Database!HS146/(Database!HS147)),0.0001)</f>
        <v>1E-4</v>
      </c>
      <c r="DK171" s="99">
        <f>IF(AND(Database!HU146&gt;1,Database!HU147&gt;1),100*(Database!HU146/(Database!HU147)),0.0001)</f>
        <v>1E-4</v>
      </c>
      <c r="DL171" s="99">
        <f>IF(AND(Database!HW146&gt;1,Database!HW147&gt;1),100*(Database!HW146/(Database!HW147)),0.0001)</f>
        <v>1E-4</v>
      </c>
      <c r="DM171" s="99">
        <f>IF(AND(Database!HY146&gt;1,Database!HY147&gt;1),100*(Database!HY146/(Database!HY147)),0.0001)</f>
        <v>1E-4</v>
      </c>
      <c r="DN171" s="99">
        <f>IF(AND(Database!IA146&gt;1,Database!IA147&gt;1),100*(Database!IA146/(Database!IA147)),0.0001)</f>
        <v>1E-4</v>
      </c>
      <c r="DO171" s="99">
        <f>IF(AND(Database!IC146&gt;1,Database!IC147&gt;1),100*(Database!IC146/(Database!IC147)),0.0001)</f>
        <v>1E-4</v>
      </c>
      <c r="DP171" s="99">
        <f>IF(AND(Database!IE146&gt;1,Database!IE147&gt;1),100*(Database!IE146/(Database!IE147)),0.0001)</f>
        <v>1E-4</v>
      </c>
      <c r="DQ171" s="99">
        <f>IF(AND(Database!IG146&gt;1,Database!IG147&gt;1),100*(Database!IG146/(Database!IG147)),0.0001)</f>
        <v>1E-4</v>
      </c>
      <c r="DR171" s="99">
        <f>IF(AND(Database!II146&gt;1,Database!II147&gt;1),100*(Database!II146/(Database!II147)),0.0001)</f>
        <v>1E-4</v>
      </c>
      <c r="DS171" s="99">
        <f>IF(AND(Database!IK146&gt;1,Database!IK147&gt;1),100*(Database!IK146/(Database!IK147)),0.0001)</f>
        <v>1E-4</v>
      </c>
      <c r="DT171" s="99">
        <f>IF(AND(Database!IM146&gt;1,Database!IM147&gt;1),100*(Database!IM146/(Database!IM147)),0.0001)</f>
        <v>1E-4</v>
      </c>
      <c r="DU171" s="99">
        <f>IF(AND(Database!IO146&gt;1,Database!IO147&gt;1),100*(Database!IO146/(Database!IO147)),0.0001)</f>
        <v>1E-4</v>
      </c>
      <c r="DV171" s="99">
        <f>IF(AND(Database!IQ146&gt;1,Database!IQ147&gt;1),100*(Database!IQ146/(Database!IQ147)),0.0001)</f>
        <v>1E-4</v>
      </c>
      <c r="DW171" s="99">
        <f>IF(AND(Database!IS146&gt;1,Database!IS147&gt;1),100*(Database!IS146/(Database!IS147)),0.0001)</f>
        <v>1E-4</v>
      </c>
      <c r="DX171" s="99">
        <f>IF(AND(Database!IU146&gt;1,Database!IU147&gt;1),100*(Database!IU146/(Database!IU147)),0.0001)</f>
        <v>1E-4</v>
      </c>
      <c r="DY171" s="99">
        <f>IF(AND(Database!IW146&gt;1,Database!IW147&gt;1),100*(Database!IW146/(Database!IW147)),0.0001)</f>
        <v>1E-4</v>
      </c>
      <c r="DZ171" s="99">
        <f>IF(AND(Database!IY146&gt;1,Database!IY147&gt;1),100*(Database!IY146/(Database!IY147)),0.0001)</f>
        <v>1E-4</v>
      </c>
      <c r="EA171" s="99">
        <f>IF(AND(Database!JA146&gt;1,Database!JA147&gt;1),100*(Database!JA146/(Database!JA147)),0.0001)</f>
        <v>1E-4</v>
      </c>
      <c r="EB171" s="99">
        <f>IF(AND(Database!JC146&gt;1,Database!JC147&gt;1),100*(Database!JC146/(Database!JC147)),0.0001)</f>
        <v>1E-4</v>
      </c>
      <c r="EC171" s="99">
        <f>IF(AND(Database!JE146&gt;1,Database!JE147&gt;1),100*(Database!JE146/(Database!JE147)),0.0001)</f>
        <v>1E-4</v>
      </c>
      <c r="ED171" s="99">
        <f>IF(AND(Database!JG146&gt;1,Database!JG147&gt;1),100*(Database!JG146/(Database!JG147)),0.0001)</f>
        <v>1E-4</v>
      </c>
      <c r="EE171" s="99">
        <f>IF(AND(Database!JI146&gt;1,Database!JI147&gt;1),100*(Database!JI146/(Database!JI147)),0.0001)</f>
        <v>1E-4</v>
      </c>
      <c r="EF171" s="99">
        <f>IF(AND(Database!JK146&gt;1,Database!JK147&gt;1),100*(Database!JK146/(Database!JK147)),0.0001)</f>
        <v>1E-4</v>
      </c>
      <c r="EG171" s="99">
        <f>IF(AND(Database!JM146&gt;1,Database!JM147&gt;1),100*(Database!JM146/(Database!JM147)),0.0001)</f>
        <v>1E-4</v>
      </c>
      <c r="EH171" s="99">
        <f>IF(AND(Database!JO146&gt;1,Database!JO147&gt;1),100*(Database!JO146/(Database!JO147)),0.0001)</f>
        <v>1E-4</v>
      </c>
      <c r="EI171" s="99">
        <f>IF(AND(Database!JQ146&gt;1,Database!JQ147&gt;1),100*(Database!JQ146/(Database!JQ147)),0.0001)</f>
        <v>1E-4</v>
      </c>
      <c r="EJ171" s="99">
        <f>IF(AND(Database!JS146&gt;1,Database!JS147&gt;1),100*(Database!JS146/(Database!JS147)),0.0001)</f>
        <v>1E-4</v>
      </c>
      <c r="EK171" s="99">
        <f>IF(AND(Database!JU146&gt;1,Database!JU147&gt;1),100*(Database!JU146/(Database!JU147)),0.0001)</f>
        <v>1E-4</v>
      </c>
      <c r="EL171" s="99">
        <f>IF(AND(Database!JW146&gt;1,Database!JW147&gt;1),100*(Database!JW146/(Database!JW147)),0.0001)</f>
        <v>1E-4</v>
      </c>
      <c r="EM171" s="99">
        <f>IF(AND(Database!JY146&gt;1,Database!JY147&gt;1),100*(Database!JY146/(Database!JY147)),0.0001)</f>
        <v>1E-4</v>
      </c>
      <c r="EN171" s="99">
        <f>IF(AND(Database!KA146&gt;1,Database!KA147&gt;1),100*(Database!KA146/(Database!KA147)),0.0001)</f>
        <v>1E-4</v>
      </c>
      <c r="EO171" s="99">
        <f>IF(AND(Database!KC146&gt;1,Database!KC147&gt;1),100*(Database!KC146/(Database!KC147)),0.0001)</f>
        <v>1E-4</v>
      </c>
      <c r="EP171" s="99">
        <f>IF(AND(Database!KE146&gt;1,Database!KE147&gt;1),100*(Database!KE146/(Database!KE147)),0.0001)</f>
        <v>1E-4</v>
      </c>
      <c r="EQ171" s="99">
        <f>IF(AND(Database!KG146&gt;1,Database!KG147&gt;1),100*(Database!KG146/(Database!KG147)),0.0001)</f>
        <v>1E-4</v>
      </c>
      <c r="ER171" s="99">
        <f>IF(AND(Database!KI146&gt;1,Database!KI147&gt;1),100*(Database!KI146/(Database!KI147)),0.0001)</f>
        <v>1E-4</v>
      </c>
      <c r="ES171" s="99">
        <f>IF(AND(Database!KK146&gt;1,Database!KK147&gt;1),100*(Database!KK146/(Database!KK147)),0.0001)</f>
        <v>1E-4</v>
      </c>
      <c r="ET171" s="99">
        <f>IF(AND(Database!KM146&gt;1,Database!KM147&gt;1),100*(Database!KM146/(Database!KM147)),0.0001)</f>
        <v>1E-4</v>
      </c>
      <c r="EU171" s="99">
        <f>IF(AND(Database!KO146&gt;1,Database!KO147&gt;1),100*(Database!KO146/(Database!KO147)),0.0001)</f>
        <v>1E-4</v>
      </c>
      <c r="EV171" s="99">
        <f>IF(AND(Database!KQ146&gt;1,Database!KQ147&gt;1),100*(Database!KQ146/(Database!KQ147)),0.0001)</f>
        <v>1E-4</v>
      </c>
      <c r="EW171" s="99">
        <f>IF(AND(Database!KS146&gt;1,Database!KS147&gt;1),100*(Database!KS146/(Database!KS147)),0.0001)</f>
        <v>1E-4</v>
      </c>
      <c r="EX171" s="99">
        <f>IF(AND(Database!KU146&gt;1,Database!KU147&gt;1),100*(Database!KU146/(Database!KU147)),0.0001)</f>
        <v>1E-4</v>
      </c>
      <c r="EY171" s="99">
        <f>IF(AND(Database!KW146&gt;1,Database!KW147&gt;1),100*(Database!KW146/(Database!KW147)),0.0001)</f>
        <v>1E-4</v>
      </c>
      <c r="EZ171" s="99">
        <f>IF(AND(Database!KY146&gt;1,Database!KY147&gt;1),100*(Database!KY146/(Database!KY147)),0.0001)</f>
        <v>1E-4</v>
      </c>
      <c r="FA171" s="99">
        <f>IF(AND(Database!LA146&gt;1,Database!LA147&gt;1),100*(Database!LA146/(Database!LA147)),0.0001)</f>
        <v>1E-4</v>
      </c>
      <c r="FB171" s="99">
        <f>IF(AND(Database!LC146&gt;1,Database!LC147&gt;1),100*(Database!LC146/(Database!LC147)),0.0001)</f>
        <v>1E-4</v>
      </c>
      <c r="FC171" s="99">
        <f>IF(AND(Database!LE146&gt;1,Database!LE147&gt;1),100*(Database!LE146/(Database!LE147)),0.0001)</f>
        <v>1E-4</v>
      </c>
      <c r="FD171" s="99">
        <f>IF(AND(Database!LG146&gt;1,Database!LG147&gt;1),100*(Database!LG146/(Database!LG147)),0.0001)</f>
        <v>1E-4</v>
      </c>
      <c r="FE171" s="99">
        <f>IF(AND(Database!LI146&gt;1,Database!LI147&gt;1),100*(Database!LI146/(Database!LI147)),0.0001)</f>
        <v>1E-4</v>
      </c>
      <c r="FF171" s="99">
        <f>IF(AND(Database!LK146&gt;1,Database!LK147&gt;1),100*(Database!LK146/(Database!LK147)),0.0001)</f>
        <v>1E-4</v>
      </c>
      <c r="FG171" s="99">
        <f>IF(AND(Database!LM146&gt;1,Database!LM147&gt;1),100*(Database!LM146/(Database!LM147)),0.0001)</f>
        <v>1E-4</v>
      </c>
      <c r="FH171" s="99">
        <f>IF(AND(Database!LO146&gt;1,Database!LO147&gt;1),100*(Database!LO146/(Database!LO147)),0.0001)</f>
        <v>1E-4</v>
      </c>
      <c r="FI171" s="99">
        <f>IF(AND(Database!LQ146&gt;1,Database!LQ147&gt;1),100*(Database!LQ146/(Database!LQ147)),0.0001)</f>
        <v>1E-4</v>
      </c>
      <c r="FJ171" s="99">
        <f>IF(AND(Database!LS146&gt;1,Database!LS147&gt;1),100*(Database!LS146/(Database!LS147)),0.0001)</f>
        <v>1E-4</v>
      </c>
      <c r="FK171" s="99">
        <f>IF(AND(Database!LU146&gt;1,Database!LU147&gt;1),100*(Database!LU146/(Database!LU147)),0.0001)</f>
        <v>1E-4</v>
      </c>
      <c r="FL171" s="99">
        <f>IF(AND(Database!LW146&gt;1,Database!LW147&gt;1),100*(Database!LW146/(Database!LW147)),0.0001)</f>
        <v>1E-4</v>
      </c>
      <c r="FM171" s="99">
        <f>IF(AND(Database!LY146&gt;1,Database!LY147&gt;1),100*(Database!LY146/(Database!LY147)),0.0001)</f>
        <v>1E-4</v>
      </c>
      <c r="FN171" s="99">
        <f>IF(AND(Database!MA146&gt;1,Database!MA147&gt;1),100*(Database!MA146/(Database!MA147)),0.0001)</f>
        <v>1E-4</v>
      </c>
      <c r="FO171" s="99">
        <f>IF(AND(Database!MC146&gt;1,Database!MC147&gt;1),100*(Database!MC146/(Database!MC147)),0.0001)</f>
        <v>1E-4</v>
      </c>
      <c r="FP171" s="99">
        <f>IF(AND(Database!ME146&gt;1,Database!ME147&gt;1),100*(Database!ME146/(Database!ME147)),0.0001)</f>
        <v>1E-4</v>
      </c>
      <c r="FQ171" s="99">
        <f>IF(AND(Database!MG146&gt;1,Database!MG147&gt;1),100*(Database!MG146/(Database!MG147)),0.0001)</f>
        <v>1E-4</v>
      </c>
      <c r="FR171" s="99">
        <f>IF(AND(Database!MI146&gt;1,Database!MI147&gt;1),100*(Database!MI146/(Database!MI147)),0.0001)</f>
        <v>1E-4</v>
      </c>
      <c r="FS171" s="99">
        <f>IF(AND(Database!MK146&gt;1,Database!MK147&gt;1),100*(Database!MK146/(Database!MK147)),0.0001)</f>
        <v>1E-4</v>
      </c>
      <c r="FT171" s="99">
        <f>IF(AND(Database!MM146&gt;1,Database!MM147&gt;1),100*(Database!MM146/(Database!MM147)),0.0001)</f>
        <v>1E-4</v>
      </c>
      <c r="FU171" s="99">
        <f>IF(AND(Database!MO146&gt;1,Database!MO147&gt;1),100*(Database!MO146/(Database!MO147)),0.0001)</f>
        <v>1E-4</v>
      </c>
      <c r="FV171" s="99">
        <f>IF(AND(Database!MQ146&gt;1,Database!MQ147&gt;1),100*(Database!MQ146/(Database!MQ147)),0.0001)</f>
        <v>1E-4</v>
      </c>
      <c r="FW171" s="99">
        <f>IF(AND(Database!MS146&gt;1,Database!MS147&gt;1),100*(Database!MS146/(Database!MS147)),0.0001)</f>
        <v>1E-4</v>
      </c>
      <c r="FX171" s="99">
        <f>IF(AND(Database!MU146&gt;1,Database!MU147&gt;1),100*(Database!MU146/(Database!MU147)),0.0001)</f>
        <v>1E-4</v>
      </c>
      <c r="FY171" s="99">
        <f>IF(AND(Database!MW146&gt;1,Database!MW147&gt;1),100*(Database!MW146/(Database!MW147)),0.0001)</f>
        <v>1E-4</v>
      </c>
      <c r="FZ171" s="99">
        <f>IF(AND(Database!MY146&gt;1,Database!MY147&gt;1),100*(Database!MY146/(Database!MY147)),0.0001)</f>
        <v>1E-4</v>
      </c>
      <c r="GA171" s="99">
        <f>IF(AND(Database!NA146&gt;1,Database!NA147&gt;1),100*(Database!NA146/(Database!NA147)),0.0001)</f>
        <v>1E-4</v>
      </c>
      <c r="GB171" s="99">
        <f>IF(AND(Database!NC146&gt;1,Database!NC147&gt;1),100*(Database!NC146/(Database!NC147)),0.0001)</f>
        <v>1E-4</v>
      </c>
      <c r="GC171" s="99">
        <f>IF(AND(Database!NE146&gt;1,Database!NE147&gt;1),100*(Database!NE146/(Database!NE147)),0.0001)</f>
        <v>1E-4</v>
      </c>
      <c r="GD171" s="99">
        <f>IF(AND(Database!NG146&gt;1,Database!NG147&gt;1),100*(Database!NG146/(Database!NG147)),0.0001)</f>
        <v>1E-4</v>
      </c>
      <c r="GE171" s="99">
        <f>IF(AND(Database!NI146&gt;1,Database!NI147&gt;1),100*(Database!NI146/(Database!NI147)),0.0001)</f>
        <v>1E-4</v>
      </c>
      <c r="GF171" s="99">
        <f>IF(AND(Database!NK146&gt;1,Database!NK147&gt;1),100*(Database!NK146/(Database!NK147)),0.0001)</f>
        <v>1E-4</v>
      </c>
      <c r="GG171" s="99">
        <f>IF(AND(Database!NM146&gt;1,Database!NM147&gt;1),100*(Database!NM146/(Database!NM147)),0.0001)</f>
        <v>1E-4</v>
      </c>
      <c r="GH171" s="99">
        <f>IF(AND(Database!NO146&gt;1,Database!NO147&gt;1),100*(Database!NO146/(Database!NO147)),0.0001)</f>
        <v>1E-4</v>
      </c>
      <c r="GI171" s="99">
        <f>IF(AND(Database!NQ146&gt;1,Database!NQ147&gt;1),100*(Database!NQ146/(Database!NQ147)),0.0001)</f>
        <v>1E-4</v>
      </c>
      <c r="GJ171" s="99">
        <f>IF(AND(Database!NS146&gt;1,Database!NS147&gt;1),100*(Database!NS146/(Database!NS147)),0.0001)</f>
        <v>1E-4</v>
      </c>
      <c r="GK171" s="99">
        <f>IF(AND(Database!NU146&gt;1,Database!NU147&gt;1),100*(Database!NU146/(Database!NU147)),0.0001)</f>
        <v>1E-4</v>
      </c>
      <c r="GL171" s="99">
        <f>IF(AND(Database!NW146&gt;1,Database!NW147&gt;1),100*(Database!NW146/(Database!NW147)),0.0001)</f>
        <v>1E-4</v>
      </c>
      <c r="GM171" s="99">
        <f>IF(AND(Database!NY146&gt;1,Database!NY147&gt;1),100*(Database!NY146/(Database!NY147)),0.0001)</f>
        <v>1E-4</v>
      </c>
      <c r="GN171" s="99">
        <f>IF(AND(Database!OA146&gt;1,Database!OA147&gt;1),100*(Database!OA146/(Database!OA147)),0.0001)</f>
        <v>1E-4</v>
      </c>
      <c r="GO171" s="99">
        <f>IF(AND(Database!OC146&gt;1,Database!OC147&gt;1),100*(Database!OC146/(Database!OC147)),0.0001)</f>
        <v>1E-4</v>
      </c>
      <c r="GP171" s="99">
        <f>IF(AND(Database!OE146&gt;1,Database!OE147&gt;1),100*(Database!OE146/(Database!OE147)),0.0001)</f>
        <v>1E-4</v>
      </c>
      <c r="GQ171" s="99">
        <f>IF(AND(Database!OG146&gt;1,Database!OG147&gt;1),100*(Database!OG146/(Database!OG147)),0.0001)</f>
        <v>1E-4</v>
      </c>
      <c r="GR171" s="99">
        <f>IF(AND(Database!OI146&gt;1,Database!OI147&gt;1),100*(Database!OI146/(Database!OI147)),0.0001)</f>
        <v>1E-4</v>
      </c>
      <c r="GS171" s="99">
        <f>IF(AND(Database!OK146&gt;1,Database!OK147&gt;1),100*(Database!OK146/(Database!OK147)),0.0001)</f>
        <v>1E-4</v>
      </c>
      <c r="GT171" s="30">
        <f>IF(AND(Database!OM146&gt;1,Database!OM147&gt;1),100*(Database!OM146/(Database!OM147)),0.0001)</f>
        <v>1E-4</v>
      </c>
      <c r="GU171" s="99"/>
      <c r="GV171" s="99"/>
      <c r="GW171" s="99"/>
    </row>
    <row r="172" spans="1:205" ht="18.75" customHeight="1" x14ac:dyDescent="0.4">
      <c r="A172" s="240" t="s">
        <v>182</v>
      </c>
      <c r="B172" s="96"/>
      <c r="C172" s="282">
        <f>IF(AND(Database!E150&gt;1,Database!E152&gt;1),100*(Database!E150/(Database!E152)),0.0001)</f>
        <v>72.723850160005014</v>
      </c>
      <c r="D172" s="429">
        <f>IF(AND(Database!G150&gt;1,Database!G152&gt;1),100*(Database!G150/(Database!G152)),0.0001)</f>
        <v>121.86978297161937</v>
      </c>
      <c r="E172" s="429">
        <f>IF(AND(Database!I150&gt;1,Database!I152&gt;1),100*(Database!I150/(Database!I152)),0.0001)</f>
        <v>118.15141380358772</v>
      </c>
      <c r="F172" s="429">
        <f>IF(AND(Database!K150&gt;1,Database!K152&gt;1),100*(Database!K150/(Database!K152)),0.0001)</f>
        <v>118.3177398642451</v>
      </c>
      <c r="G172" s="429">
        <f>IF(AND(Database!M150&gt;1,Database!M152&gt;1),100*(Database!M150/(Database!M152)),0.0001)</f>
        <v>1E-4</v>
      </c>
      <c r="H172" s="429">
        <f>IF(AND(Database!O150&gt;1,Database!O152&gt;1),100*(Database!O150/(Database!O152)),0.0001)</f>
        <v>1E-4</v>
      </c>
      <c r="I172" s="429">
        <f>IF(AND(Database!Q150&gt;1,Database!Q152&gt;1),100*(Database!Q150/(Database!Q152)),0.0001)</f>
        <v>1E-4</v>
      </c>
      <c r="J172" s="429">
        <f>IF(AND(Database!S150&gt;1,Database!S152&gt;1),100*(Database!S150/(Database!S152)),0.0001)</f>
        <v>1E-4</v>
      </c>
      <c r="K172" s="429">
        <f>IF(AND(Database!U150&gt;1,Database!U152&gt;1),100*(Database!U150/(Database!U152)),0.0001)</f>
        <v>1E-4</v>
      </c>
      <c r="L172" s="429">
        <f>IF(AND(Database!W150&gt;1,Database!W152&gt;1),100*(Database!W150/(Database!W152)),0.0001)</f>
        <v>1E-4</v>
      </c>
      <c r="M172" s="429">
        <f>IF(AND(Database!Y150&gt;1,Database!Y152&gt;1),100*(Database!Y150/(Database!Y152)),0.0001)</f>
        <v>1E-4</v>
      </c>
      <c r="N172" s="429">
        <f>IF(AND(Database!AA150&gt;1,Database!AA152&gt;1),100*(Database!AA150/(Database!AA152)),0.0001)</f>
        <v>1E-4</v>
      </c>
      <c r="O172" s="429">
        <f>IF(AND(Database!AC150&gt;1,Database!AC152&gt;1),100*(Database!AC150/(Database!AC152)),0.0001)</f>
        <v>1E-4</v>
      </c>
      <c r="P172" s="429">
        <f>IF(AND(Database!AE150&gt;1,Database!AE152&gt;1),100*(Database!AE150/(Database!AE152)),0.0001)</f>
        <v>1E-4</v>
      </c>
      <c r="Q172" s="429">
        <f>IF(AND(Database!AG150&gt;1,Database!AG152&gt;1),100*(Database!AG150/(Database!AG152)),0.0001)</f>
        <v>1E-4</v>
      </c>
      <c r="R172" s="429">
        <f>IF(AND(Database!AI150&gt;1,Database!AI152&gt;1),100*(Database!AI150/(Database!AI152)),0.0001)</f>
        <v>1E-4</v>
      </c>
      <c r="S172" s="429">
        <f>IF(AND(Database!AK150&gt;1,Database!AK152&gt;1),100*(Database!AK150/(Database!AK152)),0.0001)</f>
        <v>1E-4</v>
      </c>
      <c r="T172" s="429">
        <f>IF(AND(Database!AM150&gt;1,Database!AM152&gt;1),100*(Database!AM150/(Database!AM152)),0.0001)</f>
        <v>1E-4</v>
      </c>
      <c r="U172" s="429">
        <f>IF(AND(Database!AO150&gt;1,Database!AO152&gt;1),100*(Database!AO150/(Database!AO152)),0.0001)</f>
        <v>1E-4</v>
      </c>
      <c r="V172" s="429">
        <f>IF(AND(Database!AQ150&gt;1,Database!AQ152&gt;1),100*(Database!AQ150/(Database!AQ152)),0.0001)</f>
        <v>1E-4</v>
      </c>
      <c r="W172" s="429">
        <f>IF(AND(Database!AS150&gt;1,Database!AS152&gt;1),100*(Database!AS150/(Database!AS152)),0.0001)</f>
        <v>1E-4</v>
      </c>
      <c r="X172" s="429">
        <f>IF(AND(Database!AU150&gt;1,Database!AU152&gt;1),100*(Database!AU150/(Database!AU152)),0.0001)</f>
        <v>1E-4</v>
      </c>
      <c r="Y172" s="429">
        <f>IF(AND(Database!AW150&gt;1,Database!AW152&gt;1),100*(Database!AW150/(Database!AW152)),0.0001)</f>
        <v>1E-4</v>
      </c>
      <c r="Z172" s="429">
        <f>IF(AND(Database!AY150&gt;1,Database!AY152&gt;1),100*(Database!AY150/(Database!AY152)),0.0001)</f>
        <v>1E-4</v>
      </c>
      <c r="AA172" s="429">
        <f>IF(AND(Database!BA150&gt;1,Database!BA152&gt;1),100*(Database!BA150/(Database!BA152)),0.0001)</f>
        <v>1E-4</v>
      </c>
      <c r="AB172" s="429">
        <f>IF(AND(Database!BC150&gt;1,Database!BC152&gt;1),100*(Database!BC150/(Database!BC152)),0.0001)</f>
        <v>1E-4</v>
      </c>
      <c r="AC172" s="429">
        <f>IF(AND(Database!BE150&gt;1,Database!BE152&gt;1),100*(Database!BE150/(Database!BE152)),0.0001)</f>
        <v>1E-4</v>
      </c>
      <c r="AD172" s="429">
        <f>IF(AND(Database!BG150&gt;1,Database!BG152&gt;1),100*(Database!BG150/(Database!BG152)),0.0001)</f>
        <v>1E-4</v>
      </c>
      <c r="AE172" s="429">
        <f>IF(AND(Database!BI150&gt;1,Database!BI152&gt;1),100*(Database!BI150/(Database!BI152)),0.0001)</f>
        <v>1E-4</v>
      </c>
      <c r="AF172" s="429">
        <f>IF(AND(Database!BK150&gt;1,Database!BK152&gt;1),100*(Database!BK150/(Database!BK152)),0.0001)</f>
        <v>1E-4</v>
      </c>
      <c r="AG172" s="429">
        <f>IF(AND(Database!BM150&gt;1,Database!BM152&gt;1),100*(Database!BM150/(Database!BM152)),0.0001)</f>
        <v>1E-4</v>
      </c>
      <c r="AH172" s="429">
        <f>IF(AND(Database!BO150&gt;1,Database!BO152&gt;1),100*(Database!BO150/(Database!BO152)),0.0001)</f>
        <v>1E-4</v>
      </c>
      <c r="AI172" s="429">
        <f>IF(AND(Database!BQ150&gt;1,Database!BQ152&gt;1),100*(Database!BQ150/(Database!BQ152)),0.0001)</f>
        <v>1E-4</v>
      </c>
      <c r="AJ172" s="429">
        <f>IF(AND(Database!BS150&gt;1,Database!BS152&gt;1),100*(Database!BS150/(Database!BS152)),0.0001)</f>
        <v>1E-4</v>
      </c>
      <c r="AK172" s="429">
        <f>IF(AND(Database!BU150&gt;1,Database!BU152&gt;1),100*(Database!BU150/(Database!BU152)),0.0001)</f>
        <v>1E-4</v>
      </c>
      <c r="AL172" s="429">
        <f>IF(AND(Database!BW150&gt;1,Database!BW152&gt;1),100*(Database!BW150/(Database!BW152)),0.0001)</f>
        <v>1E-4</v>
      </c>
      <c r="AM172" s="429">
        <f>IF(AND(Database!BY150&gt;1,Database!BY152&gt;1),100*(Database!BY150/(Database!BY152)),0.0001)</f>
        <v>1E-4</v>
      </c>
      <c r="AN172" s="429">
        <f>IF(AND(Database!CA150&gt;1,Database!CA152&gt;1),100*(Database!CA150/(Database!CA152)),0.0001)</f>
        <v>1E-4</v>
      </c>
      <c r="AO172" s="429">
        <f>IF(AND(Database!CC150&gt;1,Database!CC152&gt;1),100*(Database!CC150/(Database!CC152)),0.0001)</f>
        <v>1E-4</v>
      </c>
      <c r="AP172" s="429">
        <f>IF(AND(Database!CE150&gt;1,Database!CE152&gt;1),100*(Database!CE150/(Database!CE152)),0.0001)</f>
        <v>1E-4</v>
      </c>
      <c r="AQ172" s="429">
        <f>IF(AND(Database!CG150&gt;1,Database!CG152&gt;1),100*(Database!CG150/(Database!CG152)),0.0001)</f>
        <v>1E-4</v>
      </c>
      <c r="AR172" s="429">
        <f>IF(AND(Database!CI150&gt;1,Database!CI152&gt;1),100*(Database!CI150/(Database!CI152)),0.0001)</f>
        <v>1E-4</v>
      </c>
      <c r="AS172" s="429">
        <f>IF(AND(Database!CK150&gt;1,Database!CK152&gt;1),100*(Database!CK150/(Database!CK152)),0.0001)</f>
        <v>1E-4</v>
      </c>
      <c r="AT172" s="429">
        <f>IF(AND(Database!CM150&gt;1,Database!CM152&gt;1),100*(Database!CM150/(Database!CM152)),0.0001)</f>
        <v>1E-4</v>
      </c>
      <c r="AU172" s="429">
        <f>IF(AND(Database!CO150&gt;1,Database!CO152&gt;1),100*(Database!CO150/(Database!CO152)),0.0001)</f>
        <v>1E-4</v>
      </c>
      <c r="AV172" s="429">
        <f>IF(AND(Database!CQ150&gt;1,Database!CQ152&gt;1),100*(Database!CQ150/(Database!CQ152)),0.0001)</f>
        <v>1E-4</v>
      </c>
      <c r="AW172" s="429">
        <f>IF(AND(Database!CS150&gt;1,Database!CS152&gt;1),100*(Database!CS150/(Database!CS152)),0.0001)</f>
        <v>1E-4</v>
      </c>
      <c r="AX172" s="429">
        <f>IF(AND(Database!CU150&gt;1,Database!CU152&gt;1),100*(Database!CU150/(Database!CU152)),0.0001)</f>
        <v>1E-4</v>
      </c>
      <c r="AY172" s="429">
        <f>IF(AND(Database!CW150&gt;1,Database!CW152&gt;1),100*(Database!CW150/(Database!CW152)),0.0001)</f>
        <v>1E-4</v>
      </c>
      <c r="AZ172" s="429">
        <f>IF(AND(Database!CY150&gt;1,Database!CY152&gt;1),100*(Database!CY150/(Database!CY152)),0.0001)</f>
        <v>1E-4</v>
      </c>
      <c r="BA172" s="429">
        <f>IF(AND(Database!DA150&gt;1,Database!DA152&gt;1),100*(Database!DA150/(Database!DA152)),0.0001)</f>
        <v>1E-4</v>
      </c>
      <c r="BB172" s="429">
        <f>IF(AND(Database!DC150&gt;1,Database!DC152&gt;1),100*(Database!DC150/(Database!DC152)),0.0001)</f>
        <v>1E-4</v>
      </c>
      <c r="BC172" s="429">
        <f>IF(AND(Database!DE150&gt;1,Database!DE152&gt;1),100*(Database!DE150/(Database!DE152)),0.0001)</f>
        <v>1E-4</v>
      </c>
      <c r="BD172" s="429">
        <f>IF(AND(Database!DG150&gt;1,Database!DG152&gt;1),100*(Database!DG150/(Database!DG152)),0.0001)</f>
        <v>1E-4</v>
      </c>
      <c r="BE172" s="429">
        <f>IF(AND(Database!DI150&gt;1,Database!DI152&gt;1),100*(Database!DI150/(Database!DI152)),0.0001)</f>
        <v>1E-4</v>
      </c>
      <c r="BF172" s="429">
        <f>IF(AND(Database!DK150&gt;1,Database!DK152&gt;1),100*(Database!DK150/(Database!DK152)),0.0001)</f>
        <v>1E-4</v>
      </c>
      <c r="BG172" s="429">
        <f>IF(AND(Database!DM150&gt;1,Database!DM152&gt;1),100*(Database!DM150/(Database!DM152)),0.0001)</f>
        <v>1E-4</v>
      </c>
      <c r="BH172" s="429">
        <f>IF(AND(Database!DO150&gt;1,Database!DO152&gt;1),100*(Database!DO150/(Database!DO152)),0.0001)</f>
        <v>1E-4</v>
      </c>
      <c r="BI172" s="429">
        <f>IF(AND(Database!DQ150&gt;1,Database!DQ152&gt;1),100*(Database!DQ150/(Database!DQ152)),0.0001)</f>
        <v>1E-4</v>
      </c>
      <c r="BJ172" s="429">
        <f>IF(AND(Database!DS150&gt;1,Database!DS152&gt;1),100*(Database!DS150/(Database!DS152)),0.0001)</f>
        <v>1E-4</v>
      </c>
      <c r="BK172" s="429">
        <f>IF(AND(Database!DU150&gt;1,Database!DU152&gt;1),100*(Database!DU150/(Database!DU152)),0.0001)</f>
        <v>1E-4</v>
      </c>
      <c r="BL172" s="429">
        <f>IF(AND(Database!DW150&gt;1,Database!DW152&gt;1),100*(Database!DW150/(Database!DW152)),0.0001)</f>
        <v>1E-4</v>
      </c>
      <c r="BM172" s="429">
        <f>IF(AND(Database!DY150&gt;1,Database!DY152&gt;1),100*(Database!DY150/(Database!DY152)),0.0001)</f>
        <v>1E-4</v>
      </c>
      <c r="BN172" s="429">
        <f>IF(AND(Database!EA150&gt;1,Database!EA152&gt;1),100*(Database!EA150/(Database!EA152)),0.0001)</f>
        <v>1E-4</v>
      </c>
      <c r="BO172" s="429">
        <f>IF(AND(Database!EC150&gt;1,Database!EC152&gt;1),100*(Database!EC150/(Database!EC152)),0.0001)</f>
        <v>1E-4</v>
      </c>
      <c r="BP172" s="429">
        <f>IF(AND(Database!EE150&gt;1,Database!EE152&gt;1),100*(Database!EE150/(Database!EE152)),0.0001)</f>
        <v>1E-4</v>
      </c>
      <c r="BQ172" s="429">
        <f>IF(AND(Database!EG150&gt;1,Database!EG152&gt;1),100*(Database!EG150/(Database!EG152)),0.0001)</f>
        <v>1E-4</v>
      </c>
      <c r="BR172" s="429">
        <f>IF(AND(Database!EI150&gt;1,Database!EI152&gt;1),100*(Database!EI150/(Database!EI152)),0.0001)</f>
        <v>1E-4</v>
      </c>
      <c r="BS172" s="429">
        <f>IF(AND(Database!EK150&gt;1,Database!EK152&gt;1),100*(Database!EK150/(Database!EK152)),0.0001)</f>
        <v>1E-4</v>
      </c>
      <c r="BT172" s="429">
        <f>IF(AND(Database!EM150&gt;1,Database!EM152&gt;1),100*(Database!EM150/(Database!EM152)),0.0001)</f>
        <v>1E-4</v>
      </c>
      <c r="BU172" s="429">
        <f>IF(AND(Database!EO150&gt;1,Database!EO152&gt;1),100*(Database!EO150/(Database!EO152)),0.0001)</f>
        <v>1E-4</v>
      </c>
      <c r="BV172" s="429">
        <f>IF(AND(Database!EQ150&gt;1,Database!EQ152&gt;1),100*(Database!EQ150/(Database!EQ152)),0.0001)</f>
        <v>1E-4</v>
      </c>
      <c r="BW172" s="429">
        <f>IF(AND(Database!ES150&gt;1,Database!ES152&gt;1),100*(Database!ES150/(Database!ES152)),0.0001)</f>
        <v>1E-4</v>
      </c>
      <c r="BX172" s="429">
        <f>IF(AND(Database!EU150&gt;1,Database!EU152&gt;1),100*(Database!EU150/(Database!EU152)),0.0001)</f>
        <v>1E-4</v>
      </c>
      <c r="BY172" s="429">
        <f>IF(AND(Database!EW150&gt;1,Database!EW152&gt;1),100*(Database!EW150/(Database!EW152)),0.0001)</f>
        <v>1E-4</v>
      </c>
      <c r="BZ172" s="429">
        <f>IF(AND(Database!EY150&gt;1,Database!EY152&gt;1),100*(Database!EY150/(Database!EY152)),0.0001)</f>
        <v>1E-4</v>
      </c>
      <c r="CA172" s="429">
        <f>IF(AND(Database!FA150&gt;1,Database!FA152&gt;1),100*(Database!FA150/(Database!FA152)),0.0001)</f>
        <v>1E-4</v>
      </c>
      <c r="CB172" s="429">
        <f>IF(AND(Database!FC150&gt;1,Database!FC152&gt;1),100*(Database!FC150/(Database!FC152)),0.0001)</f>
        <v>1E-4</v>
      </c>
      <c r="CC172" s="429">
        <f>IF(AND(Database!FE150&gt;1,Database!FE152&gt;1),100*(Database!FE150/(Database!FE152)),0.0001)</f>
        <v>1E-4</v>
      </c>
      <c r="CD172" s="429">
        <f>IF(AND(Database!FG150&gt;1,Database!FG152&gt;1),100*(Database!FG150/(Database!FG152)),0.0001)</f>
        <v>1E-4</v>
      </c>
      <c r="CE172" s="429">
        <f>IF(AND(Database!FI150&gt;1,Database!FI152&gt;1),100*(Database!FI150/(Database!FI152)),0.0001)</f>
        <v>1E-4</v>
      </c>
      <c r="CF172" s="429">
        <f>IF(AND(Database!FK150&gt;1,Database!FK152&gt;1),100*(Database!FK150/(Database!FK152)),0.0001)</f>
        <v>1E-4</v>
      </c>
      <c r="CG172" s="429">
        <f>IF(AND(Database!FM150&gt;1,Database!FM152&gt;1),100*(Database!FM150/(Database!FM152)),0.0001)</f>
        <v>1E-4</v>
      </c>
      <c r="CH172" s="429">
        <f>IF(AND(Database!FO150&gt;1,Database!FO152&gt;1),100*(Database!FO150/(Database!FO152)),0.0001)</f>
        <v>1E-4</v>
      </c>
      <c r="CI172" s="429">
        <f>IF(AND(Database!FQ150&gt;1,Database!FQ152&gt;1),100*(Database!FQ150/(Database!FQ152)),0.0001)</f>
        <v>1E-4</v>
      </c>
      <c r="CJ172" s="429">
        <f>IF(AND(Database!FS150&gt;1,Database!FS152&gt;1),100*(Database!FS150/(Database!FS152)),0.0001)</f>
        <v>1E-4</v>
      </c>
      <c r="CK172" s="429">
        <f>IF(AND(Database!FU150&gt;1,Database!FU152&gt;1),100*(Database!FU150/(Database!FU152)),0.0001)</f>
        <v>1E-4</v>
      </c>
      <c r="CL172" s="429">
        <f>IF(AND(Database!FW150&gt;1,Database!FW152&gt;1),100*(Database!FW150/(Database!FW152)),0.0001)</f>
        <v>1E-4</v>
      </c>
      <c r="CM172" s="429">
        <f>IF(AND(Database!FY150&gt;1,Database!FY152&gt;1),100*(Database!FY150/(Database!FY152)),0.0001)</f>
        <v>1E-4</v>
      </c>
      <c r="CN172" s="429">
        <f>IF(AND(Database!GA150&gt;1,Database!GA152&gt;1),100*(Database!GA150/(Database!GA152)),0.0001)</f>
        <v>1E-4</v>
      </c>
      <c r="CO172" s="429">
        <f>IF(AND(Database!GC150&gt;1,Database!GC152&gt;1),100*(Database!GC150/(Database!GC152)),0.0001)</f>
        <v>1E-4</v>
      </c>
      <c r="CP172" s="429">
        <f>IF(AND(Database!GE150&gt;1,Database!GE152&gt;1),100*(Database!GE150/(Database!GE152)),0.0001)</f>
        <v>1E-4</v>
      </c>
      <c r="CQ172" s="429">
        <f>IF(AND(Database!GG150&gt;1,Database!GG152&gt;1),100*(Database!GG150/(Database!GG152)),0.0001)</f>
        <v>1E-4</v>
      </c>
      <c r="CR172" s="429">
        <f>IF(AND(Database!GI150&gt;1,Database!GI152&gt;1),100*(Database!GI150/(Database!GI152)),0.0001)</f>
        <v>1E-4</v>
      </c>
      <c r="CS172" s="429">
        <f>IF(AND(Database!GK150&gt;1,Database!GK152&gt;1),100*(Database!GK150/(Database!GK152)),0.0001)</f>
        <v>1E-4</v>
      </c>
      <c r="CT172" s="429">
        <f>IF(AND(Database!GM150&gt;1,Database!GM152&gt;1),100*(Database!GM150/(Database!GM152)),0.0001)</f>
        <v>1E-4</v>
      </c>
      <c r="CU172" s="429">
        <f>IF(AND(Database!GO150&gt;1,Database!GO152&gt;1),100*(Database!GO150/(Database!GO152)),0.0001)</f>
        <v>1E-4</v>
      </c>
      <c r="CV172" s="429">
        <f>IF(AND(Database!GQ150&gt;1,Database!GQ152&gt;1),100*(Database!GQ150/(Database!GQ152)),0.0001)</f>
        <v>1E-4</v>
      </c>
      <c r="CW172" s="429">
        <f>IF(AND(Database!GS150&gt;1,Database!GS152&gt;1),100*(Database!GS150/(Database!GS152)),0.0001)</f>
        <v>1E-4</v>
      </c>
      <c r="CX172" s="429">
        <f>IF(AND(Database!GU150&gt;1,Database!GU152&gt;1),100*(Database!GU150/(Database!GU152)),0.0001)</f>
        <v>1E-4</v>
      </c>
      <c r="CY172" s="429">
        <f>IF(AND(Database!GW150&gt;1,Database!GW152&gt;1),100*(Database!GW150/(Database!GW152)),0.0001)</f>
        <v>1E-4</v>
      </c>
      <c r="CZ172" s="429">
        <f>IF(AND(Database!GY150&gt;1,Database!GY152&gt;1),100*(Database!GY150/(Database!GY152)),0.0001)</f>
        <v>1E-4</v>
      </c>
      <c r="DA172" s="429">
        <f>IF(AND(Database!HA150&gt;1,Database!HA152&gt;1),100*(Database!HA150/(Database!HA152)),0.0001)</f>
        <v>1E-4</v>
      </c>
      <c r="DB172" s="429">
        <f>IF(AND(Database!HC150&gt;1,Database!HC152&gt;1),100*(Database!HC150/(Database!HC152)),0.0001)</f>
        <v>1E-4</v>
      </c>
      <c r="DC172" s="429">
        <f>IF(AND(Database!HE150&gt;1,Database!HE152&gt;1),100*(Database!HE150/(Database!HE152)),0.0001)</f>
        <v>1E-4</v>
      </c>
      <c r="DD172" s="429">
        <f>IF(AND(Database!HG150&gt;1,Database!HG152&gt;1),100*(Database!HG150/(Database!HG152)),0.0001)</f>
        <v>1E-4</v>
      </c>
      <c r="DE172" s="429">
        <f>IF(AND(Database!HI150&gt;1,Database!HI152&gt;1),100*(Database!HI150/(Database!HI152)),0.0001)</f>
        <v>1E-4</v>
      </c>
      <c r="DF172" s="429">
        <f>IF(AND(Database!HK150&gt;1,Database!HK152&gt;1),100*(Database!HK150/(Database!HK152)),0.0001)</f>
        <v>1E-4</v>
      </c>
      <c r="DG172" s="429">
        <f>IF(AND(Database!HM150&gt;1,Database!HM152&gt;1),100*(Database!HM150/(Database!HM152)),0.0001)</f>
        <v>1E-4</v>
      </c>
      <c r="DH172" s="429">
        <f>IF(AND(Database!HO150&gt;1,Database!HO152&gt;1),100*(Database!HO150/(Database!HO152)),0.0001)</f>
        <v>1E-4</v>
      </c>
      <c r="DI172" s="429">
        <f>IF(AND(Database!HQ150&gt;1,Database!HQ152&gt;1),100*(Database!HQ150/(Database!HQ152)),0.0001)</f>
        <v>1E-4</v>
      </c>
      <c r="DJ172" s="429">
        <f>IF(AND(Database!HS150&gt;1,Database!HS152&gt;1),100*(Database!HS150/(Database!HS152)),0.0001)</f>
        <v>1E-4</v>
      </c>
      <c r="DK172" s="429">
        <f>IF(AND(Database!HU150&gt;1,Database!HU152&gt;1),100*(Database!HU150/(Database!HU152)),0.0001)</f>
        <v>1E-4</v>
      </c>
      <c r="DL172" s="429">
        <f>IF(AND(Database!HW150&gt;1,Database!HW152&gt;1),100*(Database!HW150/(Database!HW152)),0.0001)</f>
        <v>1E-4</v>
      </c>
      <c r="DM172" s="429">
        <f>IF(AND(Database!HY150&gt;1,Database!HY152&gt;1),100*(Database!HY150/(Database!HY152)),0.0001)</f>
        <v>1E-4</v>
      </c>
      <c r="DN172" s="429">
        <f>IF(AND(Database!IA150&gt;1,Database!IA152&gt;1),100*(Database!IA150/(Database!IA152)),0.0001)</f>
        <v>1E-4</v>
      </c>
      <c r="DO172" s="429">
        <f>IF(AND(Database!IC150&gt;1,Database!IC152&gt;1),100*(Database!IC150/(Database!IC152)),0.0001)</f>
        <v>1E-4</v>
      </c>
      <c r="DP172" s="429">
        <f>IF(AND(Database!IE150&gt;1,Database!IE152&gt;1),100*(Database!IE150/(Database!IE152)),0.0001)</f>
        <v>1E-4</v>
      </c>
      <c r="DQ172" s="429">
        <f>IF(AND(Database!IG150&gt;1,Database!IG152&gt;1),100*(Database!IG150/(Database!IG152)),0.0001)</f>
        <v>1E-4</v>
      </c>
      <c r="DR172" s="429">
        <f>IF(AND(Database!II150&gt;1,Database!II152&gt;1),100*(Database!II150/(Database!II152)),0.0001)</f>
        <v>1E-4</v>
      </c>
      <c r="DS172" s="429">
        <f>IF(AND(Database!IK150&gt;1,Database!IK152&gt;1),100*(Database!IK150/(Database!IK152)),0.0001)</f>
        <v>1E-4</v>
      </c>
      <c r="DT172" s="429">
        <f>IF(AND(Database!IM150&gt;1,Database!IM152&gt;1),100*(Database!IM150/(Database!IM152)),0.0001)</f>
        <v>1E-4</v>
      </c>
      <c r="DU172" s="429">
        <f>IF(AND(Database!IO150&gt;1,Database!IO152&gt;1),100*(Database!IO150/(Database!IO152)),0.0001)</f>
        <v>1E-4</v>
      </c>
      <c r="DV172" s="429">
        <f>IF(AND(Database!IQ150&gt;1,Database!IQ152&gt;1),100*(Database!IQ150/(Database!IQ152)),0.0001)</f>
        <v>1E-4</v>
      </c>
      <c r="DW172" s="429">
        <f>IF(AND(Database!IS150&gt;1,Database!IS152&gt;1),100*(Database!IS150/(Database!IS152)),0.0001)</f>
        <v>1E-4</v>
      </c>
      <c r="DX172" s="429">
        <f>IF(AND(Database!IU150&gt;1,Database!IU152&gt;1),100*(Database!IU150/(Database!IU152)),0.0001)</f>
        <v>1E-4</v>
      </c>
      <c r="DY172" s="429">
        <f>IF(AND(Database!IW150&gt;1,Database!IW152&gt;1),100*(Database!IW150/(Database!IW152)),0.0001)</f>
        <v>1E-4</v>
      </c>
      <c r="DZ172" s="429">
        <f>IF(AND(Database!IY150&gt;1,Database!IY152&gt;1),100*(Database!IY150/(Database!IY152)),0.0001)</f>
        <v>1E-4</v>
      </c>
      <c r="EA172" s="429">
        <f>IF(AND(Database!JA150&gt;1,Database!JA152&gt;1),100*(Database!JA150/(Database!JA152)),0.0001)</f>
        <v>1E-4</v>
      </c>
      <c r="EB172" s="429">
        <f>IF(AND(Database!JC150&gt;1,Database!JC152&gt;1),100*(Database!JC150/(Database!JC152)),0.0001)</f>
        <v>1E-4</v>
      </c>
      <c r="EC172" s="429">
        <f>IF(AND(Database!JE150&gt;1,Database!JE152&gt;1),100*(Database!JE150/(Database!JE152)),0.0001)</f>
        <v>1E-4</v>
      </c>
      <c r="ED172" s="429">
        <f>IF(AND(Database!JG150&gt;1,Database!JG152&gt;1),100*(Database!JG150/(Database!JG152)),0.0001)</f>
        <v>1E-4</v>
      </c>
      <c r="EE172" s="429">
        <f>IF(AND(Database!JI150&gt;1,Database!JI152&gt;1),100*(Database!JI150/(Database!JI152)),0.0001)</f>
        <v>1E-4</v>
      </c>
      <c r="EF172" s="429">
        <f>IF(AND(Database!JK150&gt;1,Database!JK152&gt;1),100*(Database!JK150/(Database!JK152)),0.0001)</f>
        <v>1E-4</v>
      </c>
      <c r="EG172" s="429">
        <f>IF(AND(Database!JM150&gt;1,Database!JM152&gt;1),100*(Database!JM150/(Database!JM152)),0.0001)</f>
        <v>1E-4</v>
      </c>
      <c r="EH172" s="429">
        <f>IF(AND(Database!JO150&gt;1,Database!JO152&gt;1),100*(Database!JO150/(Database!JO152)),0.0001)</f>
        <v>1E-4</v>
      </c>
      <c r="EI172" s="429">
        <f>IF(AND(Database!JQ150&gt;1,Database!JQ152&gt;1),100*(Database!JQ150/(Database!JQ152)),0.0001)</f>
        <v>1E-4</v>
      </c>
      <c r="EJ172" s="429">
        <f>IF(AND(Database!JS150&gt;1,Database!JS152&gt;1),100*(Database!JS150/(Database!JS152)),0.0001)</f>
        <v>1E-4</v>
      </c>
      <c r="EK172" s="429">
        <f>IF(AND(Database!JU150&gt;1,Database!JU152&gt;1),100*(Database!JU150/(Database!JU152)),0.0001)</f>
        <v>1E-4</v>
      </c>
      <c r="EL172" s="429">
        <f>IF(AND(Database!JW150&gt;1,Database!JW152&gt;1),100*(Database!JW150/(Database!JW152)),0.0001)</f>
        <v>1E-4</v>
      </c>
      <c r="EM172" s="429">
        <f>IF(AND(Database!JY150&gt;1,Database!JY152&gt;1),100*(Database!JY150/(Database!JY152)),0.0001)</f>
        <v>1E-4</v>
      </c>
      <c r="EN172" s="429">
        <f>IF(AND(Database!KA150&gt;1,Database!KA152&gt;1),100*(Database!KA150/(Database!KA152)),0.0001)</f>
        <v>1E-4</v>
      </c>
      <c r="EO172" s="429">
        <f>IF(AND(Database!KC150&gt;1,Database!KC152&gt;1),100*(Database!KC150/(Database!KC152)),0.0001)</f>
        <v>1E-4</v>
      </c>
      <c r="EP172" s="429">
        <f>IF(AND(Database!KE150&gt;1,Database!KE152&gt;1),100*(Database!KE150/(Database!KE152)),0.0001)</f>
        <v>1E-4</v>
      </c>
      <c r="EQ172" s="429">
        <f>IF(AND(Database!KG150&gt;1,Database!KG152&gt;1),100*(Database!KG150/(Database!KG152)),0.0001)</f>
        <v>1E-4</v>
      </c>
      <c r="ER172" s="429">
        <f>IF(AND(Database!KI150&gt;1,Database!KI152&gt;1),100*(Database!KI150/(Database!KI152)),0.0001)</f>
        <v>1E-4</v>
      </c>
      <c r="ES172" s="429">
        <f>IF(AND(Database!KK150&gt;1,Database!KK152&gt;1),100*(Database!KK150/(Database!KK152)),0.0001)</f>
        <v>1E-4</v>
      </c>
      <c r="ET172" s="429">
        <f>IF(AND(Database!KM150&gt;1,Database!KM152&gt;1),100*(Database!KM150/(Database!KM152)),0.0001)</f>
        <v>1E-4</v>
      </c>
      <c r="EU172" s="429">
        <f>IF(AND(Database!KO150&gt;1,Database!KO152&gt;1),100*(Database!KO150/(Database!KO152)),0.0001)</f>
        <v>1E-4</v>
      </c>
      <c r="EV172" s="429">
        <f>IF(AND(Database!KQ150&gt;1,Database!KQ152&gt;1),100*(Database!KQ150/(Database!KQ152)),0.0001)</f>
        <v>1E-4</v>
      </c>
      <c r="EW172" s="429">
        <f>IF(AND(Database!KS150&gt;1,Database!KS152&gt;1),100*(Database!KS150/(Database!KS152)),0.0001)</f>
        <v>1E-4</v>
      </c>
      <c r="EX172" s="429">
        <f>IF(AND(Database!KU150&gt;1,Database!KU152&gt;1),100*(Database!KU150/(Database!KU152)),0.0001)</f>
        <v>1E-4</v>
      </c>
      <c r="EY172" s="429">
        <f>IF(AND(Database!KW150&gt;1,Database!KW152&gt;1),100*(Database!KW150/(Database!KW152)),0.0001)</f>
        <v>1E-4</v>
      </c>
      <c r="EZ172" s="429">
        <f>IF(AND(Database!KY150&gt;1,Database!KY152&gt;1),100*(Database!KY150/(Database!KY152)),0.0001)</f>
        <v>1E-4</v>
      </c>
      <c r="FA172" s="429">
        <f>IF(AND(Database!LA150&gt;1,Database!LA152&gt;1),100*(Database!LA150/(Database!LA152)),0.0001)</f>
        <v>1E-4</v>
      </c>
      <c r="FB172" s="429">
        <f>IF(AND(Database!LC150&gt;1,Database!LC152&gt;1),100*(Database!LC150/(Database!LC152)),0.0001)</f>
        <v>1E-4</v>
      </c>
      <c r="FC172" s="429">
        <f>IF(AND(Database!LE150&gt;1,Database!LE152&gt;1),100*(Database!LE150/(Database!LE152)),0.0001)</f>
        <v>1E-4</v>
      </c>
      <c r="FD172" s="429">
        <f>IF(AND(Database!LG150&gt;1,Database!LG152&gt;1),100*(Database!LG150/(Database!LG152)),0.0001)</f>
        <v>1E-4</v>
      </c>
      <c r="FE172" s="429">
        <f>IF(AND(Database!LI150&gt;1,Database!LI152&gt;1),100*(Database!LI150/(Database!LI152)),0.0001)</f>
        <v>1E-4</v>
      </c>
      <c r="FF172" s="429">
        <f>IF(AND(Database!LK150&gt;1,Database!LK152&gt;1),100*(Database!LK150/(Database!LK152)),0.0001)</f>
        <v>1E-4</v>
      </c>
      <c r="FG172" s="429">
        <f>IF(AND(Database!LM150&gt;1,Database!LM152&gt;1),100*(Database!LM150/(Database!LM152)),0.0001)</f>
        <v>1E-4</v>
      </c>
      <c r="FH172" s="429">
        <f>IF(AND(Database!LO150&gt;1,Database!LO152&gt;1),100*(Database!LO150/(Database!LO152)),0.0001)</f>
        <v>1E-4</v>
      </c>
      <c r="FI172" s="429">
        <f>IF(AND(Database!LQ150&gt;1,Database!LQ152&gt;1),100*(Database!LQ150/(Database!LQ152)),0.0001)</f>
        <v>1E-4</v>
      </c>
      <c r="FJ172" s="429">
        <f>IF(AND(Database!LS150&gt;1,Database!LS152&gt;1),100*(Database!LS150/(Database!LS152)),0.0001)</f>
        <v>1E-4</v>
      </c>
      <c r="FK172" s="429">
        <f>IF(AND(Database!LU150&gt;1,Database!LU152&gt;1),100*(Database!LU150/(Database!LU152)),0.0001)</f>
        <v>1E-4</v>
      </c>
      <c r="FL172" s="429">
        <f>IF(AND(Database!LW150&gt;1,Database!LW152&gt;1),100*(Database!LW150/(Database!LW152)),0.0001)</f>
        <v>1E-4</v>
      </c>
      <c r="FM172" s="429">
        <f>IF(AND(Database!LY150&gt;1,Database!LY152&gt;1),100*(Database!LY150/(Database!LY152)),0.0001)</f>
        <v>1E-4</v>
      </c>
      <c r="FN172" s="429">
        <f>IF(AND(Database!MA150&gt;1,Database!MA152&gt;1),100*(Database!MA150/(Database!MA152)),0.0001)</f>
        <v>1E-4</v>
      </c>
      <c r="FO172" s="429">
        <f>IF(AND(Database!MC150&gt;1,Database!MC152&gt;1),100*(Database!MC150/(Database!MC152)),0.0001)</f>
        <v>1E-4</v>
      </c>
      <c r="FP172" s="429">
        <f>IF(AND(Database!ME150&gt;1,Database!ME152&gt;1),100*(Database!ME150/(Database!ME152)),0.0001)</f>
        <v>1E-4</v>
      </c>
      <c r="FQ172" s="429">
        <f>IF(AND(Database!MG150&gt;1,Database!MG152&gt;1),100*(Database!MG150/(Database!MG152)),0.0001)</f>
        <v>1E-4</v>
      </c>
      <c r="FR172" s="429">
        <f>IF(AND(Database!MI150&gt;1,Database!MI152&gt;1),100*(Database!MI150/(Database!MI152)),0.0001)</f>
        <v>1E-4</v>
      </c>
      <c r="FS172" s="429">
        <f>IF(AND(Database!MK150&gt;1,Database!MK152&gt;1),100*(Database!MK150/(Database!MK152)),0.0001)</f>
        <v>1E-4</v>
      </c>
      <c r="FT172" s="429">
        <f>IF(AND(Database!MM150&gt;1,Database!MM152&gt;1),100*(Database!MM150/(Database!MM152)),0.0001)</f>
        <v>1E-4</v>
      </c>
      <c r="FU172" s="429">
        <f>IF(AND(Database!MO150&gt;1,Database!MO152&gt;1),100*(Database!MO150/(Database!MO152)),0.0001)</f>
        <v>1E-4</v>
      </c>
      <c r="FV172" s="429">
        <f>IF(AND(Database!MQ150&gt;1,Database!MQ152&gt;1),100*(Database!MQ150/(Database!MQ152)),0.0001)</f>
        <v>1E-4</v>
      </c>
      <c r="FW172" s="429">
        <f>IF(AND(Database!MS150&gt;1,Database!MS152&gt;1),100*(Database!MS150/(Database!MS152)),0.0001)</f>
        <v>1E-4</v>
      </c>
      <c r="FX172" s="429">
        <f>IF(AND(Database!MU150&gt;1,Database!MU152&gt;1),100*(Database!MU150/(Database!MU152)),0.0001)</f>
        <v>1E-4</v>
      </c>
      <c r="FY172" s="429">
        <f>IF(AND(Database!MW150&gt;1,Database!MW152&gt;1),100*(Database!MW150/(Database!MW152)),0.0001)</f>
        <v>1E-4</v>
      </c>
      <c r="FZ172" s="429">
        <f>IF(AND(Database!MY150&gt;1,Database!MY152&gt;1),100*(Database!MY150/(Database!MY152)),0.0001)</f>
        <v>1E-4</v>
      </c>
      <c r="GA172" s="429">
        <f>IF(AND(Database!NA150&gt;1,Database!NA152&gt;1),100*(Database!NA150/(Database!NA152)),0.0001)</f>
        <v>1E-4</v>
      </c>
      <c r="GB172" s="429">
        <f>IF(AND(Database!NC150&gt;1,Database!NC152&gt;1),100*(Database!NC150/(Database!NC152)),0.0001)</f>
        <v>1E-4</v>
      </c>
      <c r="GC172" s="429">
        <f>IF(AND(Database!NE150&gt;1,Database!NE152&gt;1),100*(Database!NE150/(Database!NE152)),0.0001)</f>
        <v>1E-4</v>
      </c>
      <c r="GD172" s="429">
        <f>IF(AND(Database!NG150&gt;1,Database!NG152&gt;1),100*(Database!NG150/(Database!NG152)),0.0001)</f>
        <v>1E-4</v>
      </c>
      <c r="GE172" s="429">
        <f>IF(AND(Database!NI150&gt;1,Database!NI152&gt;1),100*(Database!NI150/(Database!NI152)),0.0001)</f>
        <v>1E-4</v>
      </c>
      <c r="GF172" s="429">
        <f>IF(AND(Database!NK150&gt;1,Database!NK152&gt;1),100*(Database!NK150/(Database!NK152)),0.0001)</f>
        <v>1E-4</v>
      </c>
      <c r="GG172" s="429">
        <f>IF(AND(Database!NM150&gt;1,Database!NM152&gt;1),100*(Database!NM150/(Database!NM152)),0.0001)</f>
        <v>1E-4</v>
      </c>
      <c r="GH172" s="429">
        <f>IF(AND(Database!NO150&gt;1,Database!NO152&gt;1),100*(Database!NO150/(Database!NO152)),0.0001)</f>
        <v>1E-4</v>
      </c>
      <c r="GI172" s="429">
        <f>IF(AND(Database!NQ150&gt;1,Database!NQ152&gt;1),100*(Database!NQ150/(Database!NQ152)),0.0001)</f>
        <v>1E-4</v>
      </c>
      <c r="GJ172" s="429">
        <f>IF(AND(Database!NS150&gt;1,Database!NS152&gt;1),100*(Database!NS150/(Database!NS152)),0.0001)</f>
        <v>1E-4</v>
      </c>
      <c r="GK172" s="429">
        <f>IF(AND(Database!NU150&gt;1,Database!NU152&gt;1),100*(Database!NU150/(Database!NU152)),0.0001)</f>
        <v>1E-4</v>
      </c>
      <c r="GL172" s="429">
        <f>IF(AND(Database!NW150&gt;1,Database!NW152&gt;1),100*(Database!NW150/(Database!NW152)),0.0001)</f>
        <v>1E-4</v>
      </c>
      <c r="GM172" s="429">
        <f>IF(AND(Database!NY150&gt;1,Database!NY152&gt;1),100*(Database!NY150/(Database!NY152)),0.0001)</f>
        <v>1E-4</v>
      </c>
      <c r="GN172" s="429">
        <f>IF(AND(Database!OA150&gt;1,Database!OA152&gt;1),100*(Database!OA150/(Database!OA152)),0.0001)</f>
        <v>1E-4</v>
      </c>
      <c r="GO172" s="429">
        <f>IF(AND(Database!OC150&gt;1,Database!OC152&gt;1),100*(Database!OC150/(Database!OC152)),0.0001)</f>
        <v>1E-4</v>
      </c>
      <c r="GP172" s="429">
        <f>IF(AND(Database!OE150&gt;1,Database!OE152&gt;1),100*(Database!OE150/(Database!OE152)),0.0001)</f>
        <v>1E-4</v>
      </c>
      <c r="GQ172" s="429">
        <f>IF(AND(Database!OG150&gt;1,Database!OG152&gt;1),100*(Database!OG150/(Database!OG152)),0.0001)</f>
        <v>1E-4</v>
      </c>
      <c r="GR172" s="429">
        <f>IF(AND(Database!OI150&gt;1,Database!OI152&gt;1),100*(Database!OI150/(Database!OI152)),0.0001)</f>
        <v>1E-4</v>
      </c>
      <c r="GS172" s="429">
        <f>IF(AND(Database!OK150&gt;1,Database!OK152&gt;1),100*(Database!OK150/(Database!OK152)),0.0001)</f>
        <v>1E-4</v>
      </c>
      <c r="GT172" s="83">
        <f>IF(AND(Database!OM150&gt;1,Database!OM152&gt;1),100*(Database!OM150/(Database!OM152)),0.0001)</f>
        <v>1E-4</v>
      </c>
      <c r="GU172" s="99"/>
      <c r="GV172" s="99"/>
      <c r="GW172" s="99"/>
    </row>
    <row r="173" spans="1:205" ht="18.75" customHeight="1" x14ac:dyDescent="0.4">
      <c r="A173" s="39"/>
      <c r="B173" s="416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  <c r="AG173" s="99"/>
      <c r="AH173" s="99"/>
      <c r="AI173" s="99"/>
      <c r="AJ173" s="99"/>
      <c r="AK173" s="99"/>
      <c r="AL173" s="99"/>
      <c r="AM173" s="99"/>
      <c r="AN173" s="99"/>
      <c r="AO173" s="99"/>
      <c r="AP173" s="99"/>
      <c r="AQ173" s="99"/>
      <c r="AR173" s="99"/>
      <c r="AS173" s="99"/>
      <c r="AT173" s="99"/>
      <c r="AU173" s="99"/>
      <c r="AV173" s="99"/>
      <c r="AW173" s="99"/>
      <c r="AX173" s="99"/>
      <c r="AY173" s="99"/>
      <c r="AZ173" s="99"/>
      <c r="BA173" s="99"/>
      <c r="BB173" s="99"/>
      <c r="BC173" s="99"/>
      <c r="BD173" s="99"/>
      <c r="BE173" s="99"/>
      <c r="BF173" s="99"/>
      <c r="BG173" s="99"/>
      <c r="BH173" s="99"/>
      <c r="BI173" s="99"/>
      <c r="BJ173" s="99"/>
      <c r="BK173" s="99"/>
      <c r="BL173" s="99"/>
      <c r="BM173" s="99"/>
      <c r="BN173" s="99"/>
      <c r="BO173" s="99"/>
      <c r="BP173" s="99"/>
      <c r="BQ173" s="99"/>
      <c r="BR173" s="99"/>
      <c r="BS173" s="99"/>
      <c r="BT173" s="99"/>
      <c r="BU173" s="99"/>
      <c r="BV173" s="99"/>
      <c r="BW173" s="99"/>
      <c r="BX173" s="99"/>
      <c r="BY173" s="99"/>
      <c r="BZ173" s="99"/>
      <c r="CA173" s="99"/>
      <c r="CB173" s="99"/>
      <c r="CC173" s="99"/>
      <c r="CD173" s="99"/>
      <c r="CE173" s="99"/>
      <c r="CF173" s="99"/>
      <c r="CG173" s="99"/>
      <c r="CH173" s="99"/>
      <c r="CI173" s="99"/>
      <c r="CJ173" s="99"/>
      <c r="CK173" s="99"/>
      <c r="CL173" s="99"/>
      <c r="CM173" s="99"/>
      <c r="CN173" s="99"/>
      <c r="CO173" s="99"/>
      <c r="CP173" s="99"/>
      <c r="CQ173" s="99"/>
      <c r="CR173" s="99"/>
      <c r="CS173" s="99"/>
      <c r="CT173" s="99"/>
      <c r="CU173" s="99"/>
      <c r="CV173" s="99"/>
      <c r="CW173" s="99"/>
      <c r="CX173" s="99"/>
      <c r="CY173" s="99"/>
      <c r="CZ173" s="99"/>
      <c r="DA173" s="99"/>
      <c r="DB173" s="99"/>
      <c r="DC173" s="99"/>
      <c r="DD173" s="99"/>
      <c r="DE173" s="99"/>
      <c r="DF173" s="99"/>
      <c r="DG173" s="99"/>
      <c r="DH173" s="99"/>
      <c r="DI173" s="99"/>
      <c r="DJ173" s="99"/>
      <c r="DK173" s="99"/>
      <c r="DL173" s="99"/>
      <c r="DM173" s="99"/>
      <c r="DN173" s="99"/>
      <c r="DO173" s="99"/>
      <c r="DP173" s="99"/>
      <c r="DQ173" s="99"/>
      <c r="DR173" s="99"/>
      <c r="DS173" s="99"/>
      <c r="DT173" s="99"/>
      <c r="DU173" s="99"/>
      <c r="DV173" s="99"/>
      <c r="DW173" s="99"/>
      <c r="DX173" s="99"/>
      <c r="DY173" s="99"/>
      <c r="DZ173" s="99"/>
      <c r="EA173" s="99"/>
      <c r="EB173" s="99"/>
      <c r="EC173" s="99"/>
      <c r="ED173" s="99"/>
      <c r="EE173" s="99"/>
      <c r="EF173" s="99"/>
      <c r="EG173" s="99"/>
      <c r="EH173" s="99"/>
      <c r="EI173" s="99"/>
      <c r="EJ173" s="99"/>
      <c r="EK173" s="99"/>
      <c r="EL173" s="99"/>
      <c r="EM173" s="99"/>
      <c r="EN173" s="99"/>
      <c r="EO173" s="99"/>
      <c r="EP173" s="99"/>
      <c r="EQ173" s="99"/>
      <c r="ER173" s="99"/>
      <c r="ES173" s="99"/>
      <c r="ET173" s="99"/>
      <c r="EU173" s="99"/>
      <c r="EV173" s="99"/>
      <c r="EW173" s="99"/>
      <c r="EX173" s="99"/>
      <c r="EY173" s="99"/>
      <c r="EZ173" s="99"/>
      <c r="FA173" s="99"/>
      <c r="FB173" s="99"/>
      <c r="FC173" s="99"/>
      <c r="FD173" s="99"/>
      <c r="FE173" s="99"/>
      <c r="FF173" s="99"/>
      <c r="FG173" s="99"/>
      <c r="FH173" s="99"/>
      <c r="FI173" s="99"/>
      <c r="FJ173" s="99"/>
      <c r="FK173" s="99"/>
      <c r="FL173" s="99"/>
      <c r="FM173" s="99"/>
      <c r="FN173" s="99"/>
      <c r="FO173" s="99"/>
      <c r="FP173" s="99"/>
      <c r="FQ173" s="99"/>
      <c r="FR173" s="99"/>
      <c r="FS173" s="99"/>
      <c r="FT173" s="99"/>
      <c r="FU173" s="99"/>
      <c r="FV173" s="99"/>
      <c r="FW173" s="99"/>
      <c r="FX173" s="99"/>
      <c r="FY173" s="99"/>
      <c r="FZ173" s="99"/>
      <c r="GA173" s="99"/>
      <c r="GB173" s="99"/>
      <c r="GC173" s="99"/>
      <c r="GD173" s="99"/>
      <c r="GE173" s="99"/>
      <c r="GF173" s="99"/>
      <c r="GG173" s="99"/>
      <c r="GH173" s="99"/>
      <c r="GI173" s="99"/>
      <c r="GJ173" s="99"/>
      <c r="GK173" s="99"/>
      <c r="GL173" s="99"/>
      <c r="GM173" s="99"/>
      <c r="GN173" s="99"/>
      <c r="GO173" s="99"/>
      <c r="GP173" s="99"/>
      <c r="GQ173" s="99"/>
      <c r="GR173" s="99"/>
      <c r="GS173" s="99"/>
      <c r="GT173" s="99"/>
      <c r="GU173" s="99"/>
      <c r="GV173" s="99"/>
      <c r="GW173" s="99"/>
    </row>
    <row r="174" spans="1:205" ht="18.75" customHeight="1" x14ac:dyDescent="0.4">
      <c r="A174" s="297"/>
      <c r="B174" s="297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99"/>
      <c r="AT174" s="99"/>
      <c r="AU174" s="99"/>
      <c r="AV174" s="99"/>
      <c r="AW174" s="99"/>
      <c r="AX174" s="99"/>
      <c r="AY174" s="99"/>
      <c r="AZ174" s="99"/>
      <c r="BA174" s="99"/>
      <c r="BB174" s="99"/>
      <c r="BC174" s="99"/>
      <c r="BD174" s="99"/>
      <c r="BE174" s="99"/>
      <c r="BF174" s="99"/>
      <c r="BG174" s="99"/>
      <c r="BH174" s="99"/>
      <c r="BI174" s="99"/>
      <c r="BJ174" s="99"/>
      <c r="BK174" s="99"/>
      <c r="BL174" s="99"/>
      <c r="BM174" s="99"/>
      <c r="BN174" s="99"/>
      <c r="BO174" s="99"/>
      <c r="BP174" s="99"/>
      <c r="BQ174" s="99"/>
      <c r="BR174" s="99"/>
      <c r="BS174" s="99"/>
      <c r="BT174" s="99"/>
      <c r="BU174" s="99"/>
      <c r="BV174" s="99"/>
      <c r="BW174" s="99"/>
      <c r="BX174" s="99"/>
      <c r="BY174" s="99"/>
      <c r="BZ174" s="99"/>
      <c r="CA174" s="99"/>
      <c r="CB174" s="99"/>
      <c r="CC174" s="99"/>
      <c r="CD174" s="99"/>
      <c r="CE174" s="99"/>
      <c r="CF174" s="99"/>
      <c r="CG174" s="99"/>
      <c r="CH174" s="99"/>
      <c r="CI174" s="99"/>
      <c r="CJ174" s="99"/>
      <c r="CK174" s="99"/>
      <c r="CL174" s="99"/>
      <c r="CM174" s="99"/>
      <c r="CN174" s="99"/>
      <c r="CO174" s="99"/>
      <c r="CP174" s="99"/>
      <c r="CQ174" s="99"/>
      <c r="CR174" s="99"/>
      <c r="CS174" s="99"/>
      <c r="CT174" s="99"/>
      <c r="CU174" s="99"/>
      <c r="CV174" s="99"/>
      <c r="CW174" s="99"/>
      <c r="CX174" s="99"/>
      <c r="CY174" s="99"/>
      <c r="CZ174" s="99"/>
      <c r="DA174" s="99"/>
      <c r="DB174" s="99"/>
      <c r="DC174" s="99"/>
      <c r="DD174" s="99"/>
      <c r="DE174" s="99"/>
      <c r="DF174" s="99"/>
      <c r="DG174" s="99"/>
      <c r="DH174" s="99"/>
      <c r="DI174" s="99"/>
      <c r="DJ174" s="99"/>
      <c r="DK174" s="99"/>
      <c r="DL174" s="99"/>
      <c r="DM174" s="99"/>
      <c r="DN174" s="99"/>
      <c r="DO174" s="99"/>
      <c r="DP174" s="99"/>
      <c r="DQ174" s="99"/>
      <c r="DR174" s="99"/>
      <c r="DS174" s="99"/>
      <c r="DT174" s="99"/>
      <c r="DU174" s="99"/>
      <c r="DV174" s="99"/>
      <c r="DW174" s="99"/>
      <c r="DX174" s="99"/>
      <c r="DY174" s="99"/>
      <c r="DZ174" s="99"/>
      <c r="EA174" s="99"/>
      <c r="EB174" s="99"/>
      <c r="EC174" s="99"/>
      <c r="ED174" s="99"/>
      <c r="EE174" s="99"/>
      <c r="EF174" s="99"/>
      <c r="EG174" s="99"/>
      <c r="EH174" s="99"/>
      <c r="EI174" s="99"/>
      <c r="EJ174" s="99"/>
      <c r="EK174" s="99"/>
      <c r="EL174" s="99"/>
      <c r="EM174" s="99"/>
      <c r="EN174" s="99"/>
      <c r="EO174" s="99"/>
      <c r="EP174" s="99"/>
      <c r="EQ174" s="99"/>
      <c r="ER174" s="99"/>
      <c r="ES174" s="99"/>
      <c r="ET174" s="99"/>
      <c r="EU174" s="99"/>
      <c r="EV174" s="99"/>
      <c r="EW174" s="99"/>
      <c r="EX174" s="99"/>
      <c r="EY174" s="99"/>
      <c r="EZ174" s="99"/>
      <c r="FA174" s="99"/>
      <c r="FB174" s="99"/>
      <c r="FC174" s="99"/>
      <c r="FD174" s="99"/>
      <c r="FE174" s="99"/>
      <c r="FF174" s="99"/>
      <c r="FG174" s="99"/>
      <c r="FH174" s="99"/>
      <c r="FI174" s="99"/>
      <c r="FJ174" s="99"/>
      <c r="FK174" s="99"/>
      <c r="FL174" s="99"/>
      <c r="FM174" s="99"/>
      <c r="FN174" s="99"/>
      <c r="FO174" s="99"/>
      <c r="FP174" s="99"/>
      <c r="FQ174" s="99"/>
      <c r="FR174" s="99"/>
      <c r="FS174" s="99"/>
      <c r="FT174" s="99"/>
      <c r="FU174" s="99"/>
      <c r="FV174" s="99"/>
      <c r="FW174" s="99"/>
      <c r="FX174" s="99"/>
      <c r="FY174" s="99"/>
      <c r="FZ174" s="99"/>
      <c r="GA174" s="99"/>
      <c r="GB174" s="99"/>
      <c r="GC174" s="99"/>
      <c r="GD174" s="99"/>
      <c r="GE174" s="99"/>
      <c r="GF174" s="99"/>
      <c r="GG174" s="99"/>
      <c r="GH174" s="99"/>
      <c r="GI174" s="99"/>
      <c r="GJ174" s="99"/>
      <c r="GK174" s="99"/>
      <c r="GL174" s="99"/>
      <c r="GM174" s="99"/>
      <c r="GN174" s="99"/>
      <c r="GO174" s="99"/>
      <c r="GP174" s="99"/>
      <c r="GQ174" s="99"/>
      <c r="GR174" s="99"/>
      <c r="GS174" s="99"/>
      <c r="GT174" s="99"/>
    </row>
    <row r="175" spans="1:205" ht="18.75" customHeight="1" x14ac:dyDescent="0.4">
      <c r="A175" s="297"/>
      <c r="B175" s="297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  <c r="AG175" s="99"/>
      <c r="AH175" s="99"/>
      <c r="AI175" s="99"/>
      <c r="AJ175" s="99"/>
      <c r="AK175" s="99"/>
      <c r="AL175" s="99"/>
      <c r="AM175" s="99"/>
      <c r="AN175" s="99"/>
      <c r="AO175" s="99"/>
      <c r="AP175" s="99"/>
      <c r="AQ175" s="99"/>
      <c r="AR175" s="99"/>
      <c r="AS175" s="99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9"/>
      <c r="BI175" s="99"/>
      <c r="BJ175" s="99"/>
      <c r="BK175" s="99"/>
      <c r="BL175" s="99"/>
      <c r="BM175" s="99"/>
      <c r="BN175" s="99"/>
      <c r="BO175" s="99"/>
      <c r="BP175" s="99"/>
      <c r="BQ175" s="99"/>
      <c r="BR175" s="99"/>
      <c r="BS175" s="99"/>
      <c r="BT175" s="99"/>
      <c r="BU175" s="99"/>
      <c r="BV175" s="99"/>
      <c r="BW175" s="99"/>
      <c r="BX175" s="99"/>
      <c r="BY175" s="99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9"/>
      <c r="CO175" s="99"/>
      <c r="CP175" s="99"/>
      <c r="CQ175" s="99"/>
      <c r="CR175" s="99"/>
      <c r="CS175" s="99"/>
      <c r="CT175" s="99"/>
      <c r="CU175" s="99"/>
      <c r="CV175" s="99"/>
      <c r="CW175" s="99"/>
      <c r="CX175" s="99"/>
      <c r="CY175" s="99"/>
      <c r="CZ175" s="99"/>
      <c r="DA175" s="99"/>
      <c r="DB175" s="99"/>
      <c r="DC175" s="99"/>
      <c r="DD175" s="99"/>
      <c r="DE175" s="99"/>
      <c r="DF175" s="99"/>
      <c r="DG175" s="99"/>
      <c r="DH175" s="99"/>
      <c r="DI175" s="99"/>
      <c r="DJ175" s="99"/>
      <c r="DK175" s="99"/>
      <c r="DL175" s="99"/>
      <c r="DM175" s="99"/>
      <c r="DN175" s="99"/>
      <c r="DO175" s="99"/>
      <c r="DP175" s="99"/>
      <c r="DQ175" s="99"/>
      <c r="DR175" s="99"/>
      <c r="DS175" s="99"/>
      <c r="DT175" s="99"/>
      <c r="DU175" s="99"/>
      <c r="DV175" s="99"/>
      <c r="DW175" s="99"/>
      <c r="DX175" s="99"/>
      <c r="DY175" s="99"/>
      <c r="DZ175" s="99"/>
      <c r="EA175" s="99"/>
      <c r="EB175" s="99"/>
      <c r="EC175" s="99"/>
      <c r="ED175" s="99"/>
      <c r="EE175" s="99"/>
      <c r="EF175" s="99"/>
      <c r="EG175" s="99"/>
      <c r="EH175" s="99"/>
      <c r="EI175" s="99"/>
      <c r="EJ175" s="99"/>
      <c r="EK175" s="99"/>
      <c r="EL175" s="99"/>
      <c r="EM175" s="99"/>
      <c r="EN175" s="99"/>
      <c r="EO175" s="99"/>
      <c r="EP175" s="99"/>
      <c r="EQ175" s="99"/>
      <c r="ER175" s="99"/>
      <c r="ES175" s="99"/>
      <c r="ET175" s="99"/>
      <c r="EU175" s="99"/>
      <c r="EV175" s="99"/>
      <c r="EW175" s="99"/>
      <c r="EX175" s="99"/>
      <c r="EY175" s="99"/>
      <c r="EZ175" s="99"/>
      <c r="FA175" s="99"/>
      <c r="FB175" s="99"/>
      <c r="FC175" s="99"/>
      <c r="FD175" s="99"/>
      <c r="FE175" s="99"/>
      <c r="FF175" s="99"/>
      <c r="FG175" s="99"/>
      <c r="FH175" s="99"/>
      <c r="FI175" s="99"/>
      <c r="FJ175" s="99"/>
      <c r="FK175" s="99"/>
      <c r="FL175" s="99"/>
      <c r="FM175" s="99"/>
      <c r="FN175" s="99"/>
      <c r="FO175" s="99"/>
      <c r="FP175" s="99"/>
      <c r="FQ175" s="99"/>
      <c r="FR175" s="99"/>
      <c r="FS175" s="99"/>
      <c r="FT175" s="99"/>
      <c r="FU175" s="99"/>
      <c r="FV175" s="99"/>
      <c r="FW175" s="99"/>
      <c r="FX175" s="99"/>
      <c r="FY175" s="99"/>
      <c r="FZ175" s="99"/>
      <c r="GA175" s="99"/>
      <c r="GB175" s="99"/>
      <c r="GC175" s="99"/>
      <c r="GD175" s="99"/>
      <c r="GE175" s="99"/>
      <c r="GF175" s="99"/>
      <c r="GG175" s="99"/>
      <c r="GH175" s="99"/>
      <c r="GI175" s="99"/>
      <c r="GJ175" s="99"/>
      <c r="GK175" s="99"/>
      <c r="GL175" s="99"/>
      <c r="GM175" s="99"/>
      <c r="GN175" s="99"/>
      <c r="GO175" s="99"/>
      <c r="GP175" s="99"/>
      <c r="GQ175" s="99"/>
      <c r="GR175" s="99"/>
      <c r="GS175" s="99"/>
      <c r="GT175" s="99"/>
    </row>
    <row r="176" spans="1:205" ht="18.75" customHeight="1" x14ac:dyDescent="0.4"/>
    <row r="177" spans="1:11" ht="18.75" customHeight="1" x14ac:dyDescent="0.4"/>
    <row r="178" spans="1:11" ht="18.75" customHeight="1" x14ac:dyDescent="0.4">
      <c r="A178" s="442" t="s">
        <v>443</v>
      </c>
      <c r="B178" s="442"/>
      <c r="C178" s="443" t="s">
        <v>239</v>
      </c>
      <c r="D178" s="443"/>
      <c r="E178" s="443"/>
    </row>
    <row r="179" spans="1:11" ht="18.75" customHeight="1" x14ac:dyDescent="0.4">
      <c r="A179" s="442"/>
      <c r="B179" s="442"/>
      <c r="C179" s="444" t="s">
        <v>236</v>
      </c>
      <c r="D179" s="443" t="s">
        <v>240</v>
      </c>
      <c r="E179" s="443" t="s">
        <v>241</v>
      </c>
    </row>
    <row r="180" spans="1:11" ht="18.75" customHeight="1" x14ac:dyDescent="0.4">
      <c r="A180" s="445">
        <v>1</v>
      </c>
      <c r="B180" s="442"/>
      <c r="C180" s="446"/>
      <c r="D180" s="446"/>
      <c r="E180" s="446"/>
      <c r="G180" s="445">
        <v>2</v>
      </c>
      <c r="H180" s="443"/>
      <c r="I180" s="446">
        <v>2.5292262964229644</v>
      </c>
      <c r="J180" s="446">
        <v>5.5363891613838154</v>
      </c>
      <c r="K180" s="446">
        <v>3.9760817369798733</v>
      </c>
    </row>
    <row r="181" spans="1:11" ht="18.75" customHeight="1" x14ac:dyDescent="0.4">
      <c r="A181" s="445">
        <v>2</v>
      </c>
      <c r="B181" s="442"/>
      <c r="C181" s="446">
        <v>38.989884745041117</v>
      </c>
      <c r="D181" s="446">
        <v>46.673773133332844</v>
      </c>
      <c r="E181" s="446">
        <v>41.991069009005479</v>
      </c>
      <c r="G181" s="445">
        <v>3</v>
      </c>
      <c r="H181" s="443"/>
      <c r="I181" s="446">
        <v>105.31975913688083</v>
      </c>
      <c r="J181" s="446">
        <v>109.34726928290965</v>
      </c>
      <c r="K181" s="446">
        <v>107.14025670407311</v>
      </c>
    </row>
    <row r="182" spans="1:11" ht="18.75" customHeight="1" x14ac:dyDescent="0.4">
      <c r="A182" s="445">
        <v>3</v>
      </c>
      <c r="B182" s="442"/>
      <c r="C182" s="446">
        <v>43.960369301340691</v>
      </c>
      <c r="D182" s="446">
        <v>45.499564587261418</v>
      </c>
      <c r="E182" s="446">
        <v>44.53488276649415</v>
      </c>
      <c r="G182" s="445">
        <v>4</v>
      </c>
      <c r="H182" s="443"/>
      <c r="I182" s="446">
        <v>105.33119670337992</v>
      </c>
      <c r="J182" s="446">
        <v>109.46050268392972</v>
      </c>
      <c r="K182" s="446">
        <v>107.19818205832894</v>
      </c>
    </row>
    <row r="183" spans="1:11" ht="18.75" customHeight="1" x14ac:dyDescent="0.4">
      <c r="A183" s="445">
        <v>4</v>
      </c>
      <c r="B183" s="442"/>
      <c r="C183" s="446"/>
      <c r="D183" s="446"/>
      <c r="E183" s="446"/>
      <c r="G183" s="445">
        <v>5</v>
      </c>
      <c r="H183" s="443"/>
      <c r="I183" s="446">
        <v>141.42077073290432</v>
      </c>
      <c r="J183" s="446">
        <v>141.41979522482487</v>
      </c>
      <c r="K183" s="446">
        <v>141.42039217832914</v>
      </c>
    </row>
    <row r="184" spans="1:11" ht="18.75" customHeight="1" x14ac:dyDescent="0.4">
      <c r="A184" s="445">
        <v>5</v>
      </c>
      <c r="B184" s="442"/>
      <c r="C184" s="446">
        <v>141.42077073290432</v>
      </c>
      <c r="D184" s="446">
        <v>141.41979522482487</v>
      </c>
      <c r="E184" s="446">
        <v>141.42039217832914</v>
      </c>
      <c r="G184" s="445">
        <v>6</v>
      </c>
      <c r="H184" s="443"/>
      <c r="I184" s="446">
        <v>141.42077073290432</v>
      </c>
      <c r="J184" s="446">
        <v>141.41979522482487</v>
      </c>
      <c r="K184" s="446">
        <v>141.42039217832914</v>
      </c>
    </row>
    <row r="185" spans="1:11" ht="18.75" customHeight="1" x14ac:dyDescent="0.4">
      <c r="A185" s="445">
        <v>6</v>
      </c>
      <c r="B185" s="442"/>
      <c r="C185" s="446">
        <v>141.42077073290432</v>
      </c>
      <c r="D185" s="446">
        <v>141.41979522482487</v>
      </c>
      <c r="E185" s="446">
        <v>141.42039217832914</v>
      </c>
      <c r="G185" s="445">
        <v>7</v>
      </c>
      <c r="H185" s="443"/>
      <c r="I185" s="446">
        <v>141.42077073290432</v>
      </c>
      <c r="J185" s="446">
        <v>141.41979522482487</v>
      </c>
      <c r="K185" s="446">
        <v>141.42039217832914</v>
      </c>
    </row>
    <row r="186" spans="1:11" ht="18.75" customHeight="1" x14ac:dyDescent="0.4">
      <c r="A186" s="445">
        <v>7</v>
      </c>
      <c r="B186" s="442"/>
      <c r="C186" s="446">
        <v>141.42077073290432</v>
      </c>
      <c r="D186" s="446">
        <v>141.41979522482487</v>
      </c>
      <c r="E186" s="446">
        <v>141.42039217832914</v>
      </c>
      <c r="G186" s="445">
        <v>8</v>
      </c>
      <c r="H186" s="443"/>
      <c r="I186" s="446">
        <v>141.42077073290432</v>
      </c>
      <c r="J186" s="446">
        <v>141.41979522482487</v>
      </c>
      <c r="K186" s="446">
        <v>141.42039217832914</v>
      </c>
    </row>
    <row r="187" spans="1:11" ht="18.75" customHeight="1" x14ac:dyDescent="0.4">
      <c r="A187" s="445">
        <v>8</v>
      </c>
      <c r="B187" s="442"/>
      <c r="C187" s="446">
        <v>141.42077073290432</v>
      </c>
      <c r="D187" s="446">
        <v>141.41979522482487</v>
      </c>
      <c r="E187" s="446">
        <v>141.42039217832914</v>
      </c>
      <c r="G187" s="445">
        <v>9</v>
      </c>
      <c r="H187" s="443"/>
      <c r="I187" s="446">
        <v>141.42077073290432</v>
      </c>
      <c r="J187" s="446">
        <v>141.41979522482487</v>
      </c>
      <c r="K187" s="446">
        <v>141.42039217832914</v>
      </c>
    </row>
    <row r="188" spans="1:11" ht="18.75" customHeight="1" x14ac:dyDescent="0.4">
      <c r="A188" s="445">
        <v>9</v>
      </c>
      <c r="B188" s="442"/>
      <c r="C188" s="446">
        <v>141.42077073290432</v>
      </c>
      <c r="D188" s="446">
        <v>141.41979522482487</v>
      </c>
      <c r="E188" s="446">
        <v>141.42039217832914</v>
      </c>
      <c r="G188" s="445">
        <v>10</v>
      </c>
      <c r="H188" s="443"/>
      <c r="I188" s="446">
        <v>141.42077073290432</v>
      </c>
      <c r="J188" s="446">
        <v>141.41979522482487</v>
      </c>
      <c r="K188" s="446">
        <v>141.42039217832914</v>
      </c>
    </row>
    <row r="189" spans="1:11" ht="18.75" customHeight="1" x14ac:dyDescent="0.4">
      <c r="A189" s="445">
        <v>10</v>
      </c>
      <c r="B189" s="442"/>
      <c r="C189" s="446">
        <v>141.42077073290432</v>
      </c>
      <c r="D189" s="446">
        <v>141.41979522482487</v>
      </c>
      <c r="E189" s="446">
        <v>141.42039217832914</v>
      </c>
      <c r="G189" s="445">
        <v>11</v>
      </c>
      <c r="H189" s="443"/>
      <c r="I189" s="446">
        <v>141.42077073290432</v>
      </c>
      <c r="J189" s="446">
        <v>141.41979522482487</v>
      </c>
      <c r="K189" s="446">
        <v>141.42039217832914</v>
      </c>
    </row>
    <row r="190" spans="1:11" ht="18.75" customHeight="1" x14ac:dyDescent="0.4">
      <c r="A190" s="445">
        <v>11</v>
      </c>
      <c r="B190" s="442"/>
      <c r="C190" s="446">
        <v>141.42077073290432</v>
      </c>
      <c r="D190" s="446">
        <v>141.41979522482487</v>
      </c>
      <c r="E190" s="446">
        <v>141.42039217832914</v>
      </c>
      <c r="G190" s="445">
        <v>12</v>
      </c>
      <c r="H190" s="443"/>
      <c r="I190" s="446">
        <v>141.42077073290432</v>
      </c>
      <c r="J190" s="446">
        <v>141.41979522482487</v>
      </c>
      <c r="K190" s="446">
        <v>141.42039217832914</v>
      </c>
    </row>
    <row r="191" spans="1:11" ht="18.75" customHeight="1" x14ac:dyDescent="0.4">
      <c r="A191" s="445">
        <v>12</v>
      </c>
      <c r="B191" s="442"/>
      <c r="C191" s="446">
        <v>141.42077073290432</v>
      </c>
      <c r="D191" s="446">
        <v>141.41979522482487</v>
      </c>
      <c r="E191" s="446">
        <v>141.42039217832914</v>
      </c>
      <c r="G191" s="445">
        <v>13</v>
      </c>
      <c r="H191" s="443"/>
      <c r="I191" s="446">
        <v>141.42077073290432</v>
      </c>
      <c r="J191" s="446">
        <v>141.41979522482487</v>
      </c>
      <c r="K191" s="446">
        <v>141.42039217832914</v>
      </c>
    </row>
    <row r="192" spans="1:11" ht="18.75" customHeight="1" x14ac:dyDescent="0.4">
      <c r="A192" s="445">
        <v>13</v>
      </c>
      <c r="B192" s="442"/>
      <c r="C192" s="446">
        <v>141.42077073290432</v>
      </c>
      <c r="D192" s="446">
        <v>141.41979522482487</v>
      </c>
      <c r="E192" s="446">
        <v>141.42039217832914</v>
      </c>
      <c r="G192" s="445">
        <v>14</v>
      </c>
      <c r="H192" s="443"/>
      <c r="I192" s="446">
        <v>141.42077073290432</v>
      </c>
      <c r="J192" s="446">
        <v>141.41979522482487</v>
      </c>
      <c r="K192" s="446">
        <v>141.42039217832914</v>
      </c>
    </row>
    <row r="193" spans="1:11" ht="18.75" customHeight="1" x14ac:dyDescent="0.4">
      <c r="A193" s="445">
        <v>14</v>
      </c>
      <c r="B193" s="442"/>
      <c r="C193" s="446">
        <v>141.42077073290432</v>
      </c>
      <c r="D193" s="446">
        <v>141.41979522482487</v>
      </c>
      <c r="E193" s="446">
        <v>141.42039217832914</v>
      </c>
      <c r="G193" s="445">
        <v>15</v>
      </c>
      <c r="H193" s="443"/>
      <c r="I193" s="446">
        <v>141.42077073290432</v>
      </c>
      <c r="J193" s="446">
        <v>141.41979522482487</v>
      </c>
      <c r="K193" s="446">
        <v>141.42039217832914</v>
      </c>
    </row>
    <row r="194" spans="1:11" ht="18.75" customHeight="1" x14ac:dyDescent="0.4">
      <c r="A194" s="445">
        <v>15</v>
      </c>
      <c r="B194" s="442"/>
      <c r="C194" s="446">
        <v>141.42077073290432</v>
      </c>
      <c r="D194" s="446">
        <v>141.41979522482487</v>
      </c>
      <c r="E194" s="446">
        <v>141.42039217832914</v>
      </c>
      <c r="G194" s="445">
        <v>16</v>
      </c>
      <c r="H194" s="443"/>
      <c r="I194" s="446">
        <v>141.42077073290432</v>
      </c>
      <c r="J194" s="446">
        <v>141.41979522482487</v>
      </c>
      <c r="K194" s="446">
        <v>141.42039217832914</v>
      </c>
    </row>
    <row r="195" spans="1:11" ht="18.75" customHeight="1" x14ac:dyDescent="0.4">
      <c r="A195" s="445">
        <v>16</v>
      </c>
      <c r="B195" s="442"/>
      <c r="C195" s="446">
        <v>141.42077073290432</v>
      </c>
      <c r="D195" s="446">
        <v>141.41979522482487</v>
      </c>
      <c r="E195" s="446">
        <v>141.42039217832914</v>
      </c>
      <c r="G195" s="445">
        <v>17</v>
      </c>
      <c r="H195" s="443"/>
      <c r="I195" s="446">
        <v>141.42077073290432</v>
      </c>
      <c r="J195" s="446">
        <v>141.41979522482487</v>
      </c>
      <c r="K195" s="446">
        <v>141.42039217832914</v>
      </c>
    </row>
    <row r="196" spans="1:11" ht="18.75" customHeight="1" x14ac:dyDescent="0.4">
      <c r="A196" s="445">
        <v>17</v>
      </c>
      <c r="B196" s="442"/>
      <c r="C196" s="446">
        <v>141.42077073290432</v>
      </c>
      <c r="D196" s="446">
        <v>141.41979522482487</v>
      </c>
      <c r="E196" s="446">
        <v>141.42039217832914</v>
      </c>
      <c r="G196" s="445">
        <v>18</v>
      </c>
      <c r="H196" s="443"/>
      <c r="I196" s="446">
        <v>141.42077073290432</v>
      </c>
      <c r="J196" s="446">
        <v>141.41979522482487</v>
      </c>
      <c r="K196" s="446">
        <v>141.42039217832914</v>
      </c>
    </row>
    <row r="197" spans="1:11" ht="18.75" customHeight="1" x14ac:dyDescent="0.4">
      <c r="A197" s="445">
        <v>18</v>
      </c>
      <c r="B197" s="442"/>
      <c r="C197" s="446">
        <v>141.42077073290432</v>
      </c>
      <c r="D197" s="446">
        <v>141.41979522482487</v>
      </c>
      <c r="E197" s="446">
        <v>141.42039217832914</v>
      </c>
      <c r="G197" s="445">
        <v>19</v>
      </c>
      <c r="H197" s="443"/>
      <c r="I197" s="446">
        <v>141.42077073290432</v>
      </c>
      <c r="J197" s="446">
        <v>141.41979522482487</v>
      </c>
      <c r="K197" s="446">
        <v>141.42039217832914</v>
      </c>
    </row>
    <row r="198" spans="1:11" ht="18.75" customHeight="1" x14ac:dyDescent="0.4">
      <c r="A198" s="445">
        <v>19</v>
      </c>
      <c r="B198" s="442"/>
      <c r="C198" s="446">
        <v>141.42077073290432</v>
      </c>
      <c r="D198" s="446">
        <v>141.41979522482487</v>
      </c>
      <c r="E198" s="446">
        <v>141.42039217832914</v>
      </c>
      <c r="G198" s="445">
        <v>20</v>
      </c>
      <c r="H198" s="443"/>
      <c r="I198" s="446">
        <v>141.42077073290432</v>
      </c>
      <c r="J198" s="446">
        <v>141.41979522482487</v>
      </c>
      <c r="K198" s="446">
        <v>141.42039217832914</v>
      </c>
    </row>
    <row r="199" spans="1:11" ht="18.75" customHeight="1" x14ac:dyDescent="0.4">
      <c r="A199" s="445">
        <v>20</v>
      </c>
      <c r="B199" s="442"/>
      <c r="C199" s="446">
        <v>141.42077073290432</v>
      </c>
      <c r="D199" s="446">
        <v>141.41979522482487</v>
      </c>
      <c r="E199" s="446">
        <v>141.42039217832914</v>
      </c>
      <c r="G199" s="445">
        <v>21</v>
      </c>
      <c r="H199" s="443"/>
      <c r="I199" s="446">
        <v>141.42077073290432</v>
      </c>
      <c r="J199" s="446">
        <v>141.41979522482487</v>
      </c>
      <c r="K199" s="446">
        <v>141.42039217832914</v>
      </c>
    </row>
    <row r="200" spans="1:11" ht="18.75" customHeight="1" x14ac:dyDescent="0.4">
      <c r="A200" s="445">
        <v>21</v>
      </c>
      <c r="B200" s="442"/>
      <c r="C200" s="446">
        <v>141.42077073290432</v>
      </c>
      <c r="D200" s="446">
        <v>141.41979522482487</v>
      </c>
      <c r="E200" s="446">
        <v>141.42039217832914</v>
      </c>
      <c r="G200" s="445">
        <v>22</v>
      </c>
      <c r="H200" s="443"/>
      <c r="I200" s="446">
        <v>141.42077073290432</v>
      </c>
      <c r="J200" s="446">
        <v>141.41979522482487</v>
      </c>
      <c r="K200" s="446">
        <v>141.42039217832914</v>
      </c>
    </row>
    <row r="201" spans="1:11" ht="18.75" customHeight="1" x14ac:dyDescent="0.4">
      <c r="A201" s="445">
        <v>22</v>
      </c>
      <c r="B201" s="442"/>
      <c r="C201" s="446">
        <v>141.42077073290432</v>
      </c>
      <c r="D201" s="446">
        <v>141.41979522482487</v>
      </c>
      <c r="E201" s="446">
        <v>141.42039217832914</v>
      </c>
      <c r="G201" s="445">
        <v>23</v>
      </c>
      <c r="H201" s="443"/>
      <c r="I201" s="446">
        <v>141.42077073290432</v>
      </c>
      <c r="J201" s="446">
        <v>141.41979522482487</v>
      </c>
      <c r="K201" s="446">
        <v>141.42039217832914</v>
      </c>
    </row>
    <row r="202" spans="1:11" ht="18.75" customHeight="1" x14ac:dyDescent="0.4">
      <c r="A202" s="445">
        <v>23</v>
      </c>
      <c r="B202" s="442"/>
      <c r="C202" s="446">
        <v>141.42077073290432</v>
      </c>
      <c r="D202" s="446">
        <v>141.41979522482487</v>
      </c>
      <c r="E202" s="446">
        <v>141.42039217832914</v>
      </c>
      <c r="G202" s="445">
        <v>24</v>
      </c>
      <c r="H202" s="443"/>
      <c r="I202" s="446">
        <v>141.42077073290432</v>
      </c>
      <c r="J202" s="446">
        <v>141.41979522482487</v>
      </c>
      <c r="K202" s="446">
        <v>141.42039217832914</v>
      </c>
    </row>
    <row r="203" spans="1:11" ht="18.75" customHeight="1" x14ac:dyDescent="0.4">
      <c r="A203" s="445">
        <v>24</v>
      </c>
      <c r="B203" s="442"/>
      <c r="C203" s="446">
        <v>141.42077073290432</v>
      </c>
      <c r="D203" s="446">
        <v>141.41979522482487</v>
      </c>
      <c r="E203" s="446">
        <v>141.42039217832914</v>
      </c>
      <c r="G203" s="445">
        <v>25</v>
      </c>
      <c r="H203" s="443"/>
      <c r="I203" s="446">
        <v>141.42077073290432</v>
      </c>
      <c r="J203" s="446">
        <v>141.41979522482487</v>
      </c>
      <c r="K203" s="446">
        <v>141.42039217832914</v>
      </c>
    </row>
    <row r="204" spans="1:11" ht="18.75" customHeight="1" x14ac:dyDescent="0.4">
      <c r="A204" s="445">
        <v>25</v>
      </c>
      <c r="B204" s="442"/>
      <c r="C204" s="446">
        <v>141.42077073290432</v>
      </c>
      <c r="D204" s="446">
        <v>141.41979522482487</v>
      </c>
      <c r="E204" s="446">
        <v>141.42039217832914</v>
      </c>
      <c r="G204" s="445">
        <v>26</v>
      </c>
      <c r="H204" s="443"/>
      <c r="I204" s="446">
        <v>141.42077073290432</v>
      </c>
      <c r="J204" s="446">
        <v>141.41979522482487</v>
      </c>
      <c r="K204" s="446">
        <v>141.42039217832914</v>
      </c>
    </row>
    <row r="205" spans="1:11" ht="18.75" customHeight="1" x14ac:dyDescent="0.4">
      <c r="A205" s="445">
        <v>26</v>
      </c>
      <c r="B205" s="442"/>
      <c r="C205" s="446">
        <v>141.42077073290432</v>
      </c>
      <c r="D205" s="446">
        <v>141.41979522482487</v>
      </c>
      <c r="E205" s="446">
        <v>141.42039217832914</v>
      </c>
      <c r="G205" s="445">
        <v>27</v>
      </c>
      <c r="H205" s="443"/>
      <c r="I205" s="446">
        <v>141.42077073290432</v>
      </c>
      <c r="J205" s="446">
        <v>141.41979522482487</v>
      </c>
      <c r="K205" s="446">
        <v>141.42039217832914</v>
      </c>
    </row>
    <row r="206" spans="1:11" ht="18.75" customHeight="1" x14ac:dyDescent="0.4">
      <c r="A206" s="445">
        <v>27</v>
      </c>
      <c r="B206" s="442"/>
      <c r="C206" s="446">
        <v>141.42077073290432</v>
      </c>
      <c r="D206" s="446">
        <v>141.41979522482487</v>
      </c>
      <c r="E206" s="446">
        <v>141.42039217832914</v>
      </c>
      <c r="G206" s="445">
        <v>28</v>
      </c>
      <c r="H206" s="443"/>
      <c r="I206" s="446">
        <v>141.42077073290432</v>
      </c>
      <c r="J206" s="446">
        <v>141.41979522482487</v>
      </c>
      <c r="K206" s="446">
        <v>141.42039217832914</v>
      </c>
    </row>
    <row r="207" spans="1:11" ht="18.75" customHeight="1" x14ac:dyDescent="0.4">
      <c r="A207" s="445">
        <v>28</v>
      </c>
      <c r="B207" s="442"/>
      <c r="C207" s="446">
        <v>141.42077073290432</v>
      </c>
      <c r="D207" s="446">
        <v>141.41979522482487</v>
      </c>
      <c r="E207" s="446">
        <v>141.42039217832914</v>
      </c>
      <c r="G207" s="445">
        <v>29</v>
      </c>
      <c r="H207" s="443"/>
      <c r="I207" s="446">
        <v>141.42077073290432</v>
      </c>
      <c r="J207" s="446">
        <v>141.41979522482487</v>
      </c>
      <c r="K207" s="446">
        <v>141.42039217832914</v>
      </c>
    </row>
    <row r="208" spans="1:11" ht="18.75" customHeight="1" x14ac:dyDescent="0.4">
      <c r="A208" s="445">
        <v>29</v>
      </c>
      <c r="B208" s="442"/>
      <c r="C208" s="446">
        <v>141.42077073290432</v>
      </c>
      <c r="D208" s="446">
        <v>141.41979522482487</v>
      </c>
      <c r="E208" s="446">
        <v>141.42039217832914</v>
      </c>
      <c r="G208" s="445">
        <v>30</v>
      </c>
      <c r="H208" s="443"/>
      <c r="I208" s="446">
        <v>141.42077073290432</v>
      </c>
      <c r="J208" s="446">
        <v>141.41979522482487</v>
      </c>
      <c r="K208" s="446">
        <v>141.42039217832914</v>
      </c>
    </row>
    <row r="209" spans="1:11" ht="18.75" customHeight="1" x14ac:dyDescent="0.4">
      <c r="A209" s="445">
        <v>30</v>
      </c>
      <c r="B209" s="442"/>
      <c r="C209" s="446">
        <v>141.42077073290432</v>
      </c>
      <c r="D209" s="446">
        <v>141.41979522482487</v>
      </c>
      <c r="E209" s="446">
        <v>141.42039217832914</v>
      </c>
      <c r="G209" s="445">
        <v>31</v>
      </c>
      <c r="H209" s="443"/>
      <c r="I209" s="446">
        <v>141.42077073290432</v>
      </c>
      <c r="J209" s="446">
        <v>141.41979522482487</v>
      </c>
      <c r="K209" s="446">
        <v>141.42039217832914</v>
      </c>
    </row>
    <row r="210" spans="1:11" ht="18.75" customHeight="1" x14ac:dyDescent="0.4">
      <c r="A210" s="445">
        <v>31</v>
      </c>
      <c r="B210" s="442"/>
      <c r="C210" s="446">
        <v>141.42077073290432</v>
      </c>
      <c r="D210" s="446">
        <v>141.41979522482487</v>
      </c>
      <c r="E210" s="446">
        <v>141.42039217832914</v>
      </c>
      <c r="G210" s="445">
        <v>32</v>
      </c>
      <c r="H210" s="443"/>
      <c r="I210" s="446">
        <v>141.42077073290432</v>
      </c>
      <c r="J210" s="446">
        <v>141.41979522482487</v>
      </c>
      <c r="K210" s="446">
        <v>141.42039217832914</v>
      </c>
    </row>
    <row r="211" spans="1:11" ht="18.75" customHeight="1" x14ac:dyDescent="0.4">
      <c r="A211" s="445">
        <v>32</v>
      </c>
      <c r="B211" s="442"/>
      <c r="C211" s="446">
        <v>141.42077073290432</v>
      </c>
      <c r="D211" s="446">
        <v>141.41979522482487</v>
      </c>
      <c r="E211" s="446">
        <v>141.42039217832914</v>
      </c>
      <c r="G211" s="445">
        <v>33</v>
      </c>
      <c r="H211" s="443"/>
      <c r="I211" s="446">
        <v>141.42077073290432</v>
      </c>
      <c r="J211" s="446">
        <v>141.41979522482487</v>
      </c>
      <c r="K211" s="446">
        <v>141.42039217832914</v>
      </c>
    </row>
    <row r="212" spans="1:11" ht="18.75" customHeight="1" x14ac:dyDescent="0.4">
      <c r="A212" s="445">
        <v>33</v>
      </c>
      <c r="B212" s="442"/>
      <c r="C212" s="446">
        <v>141.42077073290432</v>
      </c>
      <c r="D212" s="446">
        <v>141.41979522482487</v>
      </c>
      <c r="E212" s="446">
        <v>141.42039217832914</v>
      </c>
      <c r="G212" s="445">
        <v>34</v>
      </c>
      <c r="H212" s="443"/>
      <c r="I212" s="446">
        <v>141.42077073290432</v>
      </c>
      <c r="J212" s="446">
        <v>141.41979522482487</v>
      </c>
      <c r="K212" s="446">
        <v>141.42039217832914</v>
      </c>
    </row>
    <row r="213" spans="1:11" ht="18.75" customHeight="1" x14ac:dyDescent="0.4">
      <c r="A213" s="445">
        <v>34</v>
      </c>
      <c r="B213" s="442"/>
      <c r="C213" s="446">
        <v>141.42077073290432</v>
      </c>
      <c r="D213" s="446">
        <v>141.41979522482487</v>
      </c>
      <c r="E213" s="446">
        <v>141.42039217832914</v>
      </c>
      <c r="G213" s="445">
        <v>35</v>
      </c>
      <c r="H213" s="443"/>
      <c r="I213" s="446">
        <v>141.42077073290432</v>
      </c>
      <c r="J213" s="446">
        <v>141.41979522482487</v>
      </c>
      <c r="K213" s="446">
        <v>141.42039217832914</v>
      </c>
    </row>
    <row r="214" spans="1:11" ht="18.75" customHeight="1" x14ac:dyDescent="0.4">
      <c r="A214" s="445">
        <v>35</v>
      </c>
      <c r="B214" s="442"/>
      <c r="C214" s="446">
        <v>141.42077073290432</v>
      </c>
      <c r="D214" s="446">
        <v>141.41979522482487</v>
      </c>
      <c r="E214" s="446">
        <v>141.42039217832914</v>
      </c>
      <c r="G214" s="445">
        <v>36</v>
      </c>
      <c r="H214" s="443"/>
      <c r="I214" s="446">
        <v>141.42077073290432</v>
      </c>
      <c r="J214" s="446">
        <v>141.41979522482487</v>
      </c>
      <c r="K214" s="446">
        <v>141.42039217832914</v>
      </c>
    </row>
    <row r="215" spans="1:11" ht="18.75" customHeight="1" x14ac:dyDescent="0.4">
      <c r="A215" s="445">
        <v>36</v>
      </c>
      <c r="B215" s="442"/>
      <c r="C215" s="446">
        <v>141.42077073290432</v>
      </c>
      <c r="D215" s="446">
        <v>141.41979522482487</v>
      </c>
      <c r="E215" s="446">
        <v>141.42039217832914</v>
      </c>
      <c r="G215" s="445">
        <v>37</v>
      </c>
      <c r="H215" s="443"/>
      <c r="I215" s="446">
        <v>141.42077073290432</v>
      </c>
      <c r="J215" s="446">
        <v>141.41979522482487</v>
      </c>
      <c r="K215" s="446">
        <v>141.42039217832914</v>
      </c>
    </row>
    <row r="216" spans="1:11" ht="18.75" customHeight="1" x14ac:dyDescent="0.4">
      <c r="A216" s="445">
        <v>37</v>
      </c>
      <c r="B216" s="442"/>
      <c r="C216" s="446">
        <v>141.42077073290432</v>
      </c>
      <c r="D216" s="446">
        <v>141.41979522482487</v>
      </c>
      <c r="E216" s="446">
        <v>141.42039217832914</v>
      </c>
      <c r="G216" s="445">
        <v>38</v>
      </c>
      <c r="H216" s="443"/>
      <c r="I216" s="446">
        <v>141.42077073290432</v>
      </c>
      <c r="J216" s="446">
        <v>141.41979522482487</v>
      </c>
      <c r="K216" s="446">
        <v>141.42039217832914</v>
      </c>
    </row>
    <row r="217" spans="1:11" ht="18.75" customHeight="1" x14ac:dyDescent="0.4">
      <c r="A217" s="445">
        <v>38</v>
      </c>
      <c r="B217" s="442"/>
      <c r="C217" s="446">
        <v>141.42077073290432</v>
      </c>
      <c r="D217" s="446">
        <v>141.41979522482487</v>
      </c>
      <c r="E217" s="446">
        <v>141.42039217832914</v>
      </c>
      <c r="G217" s="445">
        <v>39</v>
      </c>
      <c r="H217" s="443"/>
      <c r="I217" s="446">
        <v>141.42077073290432</v>
      </c>
      <c r="J217" s="446">
        <v>141.41979522482487</v>
      </c>
      <c r="K217" s="446">
        <v>141.42039217832914</v>
      </c>
    </row>
    <row r="218" spans="1:11" ht="18.75" customHeight="1" x14ac:dyDescent="0.4">
      <c r="A218" s="445">
        <v>39</v>
      </c>
      <c r="B218" s="442"/>
      <c r="C218" s="446">
        <v>141.42077073290432</v>
      </c>
      <c r="D218" s="446">
        <v>141.41979522482487</v>
      </c>
      <c r="E218" s="446">
        <v>141.42039217832914</v>
      </c>
      <c r="G218" s="445">
        <v>40</v>
      </c>
      <c r="H218" s="443"/>
      <c r="I218" s="446">
        <v>141.42077073290432</v>
      </c>
      <c r="J218" s="446">
        <v>141.41979522482487</v>
      </c>
      <c r="K218" s="446">
        <v>141.42039217832914</v>
      </c>
    </row>
    <row r="219" spans="1:11" ht="18.75" customHeight="1" x14ac:dyDescent="0.4">
      <c r="A219" s="445">
        <v>40</v>
      </c>
      <c r="B219" s="442"/>
      <c r="C219" s="446">
        <v>141.42077073290432</v>
      </c>
      <c r="D219" s="446">
        <v>141.41979522482487</v>
      </c>
      <c r="E219" s="446">
        <v>141.42039217832914</v>
      </c>
      <c r="G219" s="445">
        <v>41</v>
      </c>
      <c r="H219" s="443"/>
      <c r="I219" s="446">
        <v>141.42077073290432</v>
      </c>
      <c r="J219" s="446">
        <v>141.41979522482487</v>
      </c>
      <c r="K219" s="446">
        <v>141.42039217832914</v>
      </c>
    </row>
    <row r="220" spans="1:11" ht="18.75" customHeight="1" x14ac:dyDescent="0.4">
      <c r="A220" s="445">
        <v>41</v>
      </c>
      <c r="B220" s="442"/>
      <c r="C220" s="446">
        <v>141.42077073290432</v>
      </c>
      <c r="D220" s="446">
        <v>141.41979522482487</v>
      </c>
      <c r="E220" s="446">
        <v>141.42039217832914</v>
      </c>
      <c r="G220" s="445">
        <v>42</v>
      </c>
      <c r="H220" s="443"/>
      <c r="I220" s="446">
        <v>141.42077073290432</v>
      </c>
      <c r="J220" s="446">
        <v>141.41979522482487</v>
      </c>
      <c r="K220" s="446">
        <v>141.42039217832914</v>
      </c>
    </row>
    <row r="221" spans="1:11" ht="18.75" customHeight="1" x14ac:dyDescent="0.4">
      <c r="A221" s="445">
        <v>42</v>
      </c>
      <c r="B221" s="442"/>
      <c r="C221" s="446">
        <v>141.42077073290432</v>
      </c>
      <c r="D221" s="446">
        <v>141.41979522482487</v>
      </c>
      <c r="E221" s="446">
        <v>141.42039217832914</v>
      </c>
      <c r="G221" s="445">
        <v>43</v>
      </c>
      <c r="H221" s="443"/>
      <c r="I221" s="446">
        <v>141.42077073290432</v>
      </c>
      <c r="J221" s="446">
        <v>141.41979522482487</v>
      </c>
      <c r="K221" s="446">
        <v>141.42039217832914</v>
      </c>
    </row>
    <row r="222" spans="1:11" ht="18.75" customHeight="1" x14ac:dyDescent="0.4">
      <c r="A222" s="445">
        <v>43</v>
      </c>
      <c r="B222" s="442"/>
      <c r="C222" s="446">
        <v>141.42077073290432</v>
      </c>
      <c r="D222" s="446">
        <v>141.41979522482487</v>
      </c>
      <c r="E222" s="446">
        <v>141.42039217832914</v>
      </c>
      <c r="G222" s="445">
        <v>44</v>
      </c>
      <c r="H222" s="443"/>
      <c r="I222" s="446">
        <v>141.42077073290432</v>
      </c>
      <c r="J222" s="446">
        <v>141.41979522482487</v>
      </c>
      <c r="K222" s="446">
        <v>141.42039217832914</v>
      </c>
    </row>
    <row r="223" spans="1:11" ht="18.75" customHeight="1" x14ac:dyDescent="0.4">
      <c r="A223" s="445">
        <v>44</v>
      </c>
      <c r="B223" s="442"/>
      <c r="C223" s="446">
        <v>141.42077073290432</v>
      </c>
      <c r="D223" s="446">
        <v>141.41979522482487</v>
      </c>
      <c r="E223" s="446">
        <v>141.42039217832914</v>
      </c>
      <c r="G223" s="445">
        <v>45</v>
      </c>
      <c r="H223" s="443"/>
      <c r="I223" s="446">
        <v>141.42077073290432</v>
      </c>
      <c r="J223" s="446">
        <v>141.41979522482487</v>
      </c>
      <c r="K223" s="446">
        <v>141.42039217832914</v>
      </c>
    </row>
    <row r="224" spans="1:11" ht="18.75" customHeight="1" x14ac:dyDescent="0.4">
      <c r="A224" s="445">
        <v>45</v>
      </c>
      <c r="B224" s="442"/>
      <c r="C224" s="446">
        <v>141.42077073290432</v>
      </c>
      <c r="D224" s="446">
        <v>141.41979522482487</v>
      </c>
      <c r="E224" s="446">
        <v>141.42039217832914</v>
      </c>
      <c r="G224" s="445">
        <v>46</v>
      </c>
      <c r="H224" s="443"/>
      <c r="I224" s="446">
        <v>141.42077073290432</v>
      </c>
      <c r="J224" s="446">
        <v>141.41979522482487</v>
      </c>
      <c r="K224" s="446">
        <v>141.42039217832914</v>
      </c>
    </row>
    <row r="225" spans="1:11" ht="18.75" customHeight="1" x14ac:dyDescent="0.4">
      <c r="A225" s="445">
        <v>46</v>
      </c>
      <c r="B225" s="442"/>
      <c r="C225" s="446">
        <v>141.42077073290432</v>
      </c>
      <c r="D225" s="446">
        <v>141.41979522482487</v>
      </c>
      <c r="E225" s="446">
        <v>141.42039217832914</v>
      </c>
      <c r="G225" s="445">
        <v>47</v>
      </c>
      <c r="H225" s="443"/>
      <c r="I225" s="446">
        <v>141.42077073290432</v>
      </c>
      <c r="J225" s="446">
        <v>141.41979522482487</v>
      </c>
      <c r="K225" s="446">
        <v>141.42039217832914</v>
      </c>
    </row>
    <row r="226" spans="1:11" ht="18.75" customHeight="1" x14ac:dyDescent="0.4">
      <c r="A226" s="445">
        <v>47</v>
      </c>
      <c r="B226" s="442"/>
      <c r="C226" s="446">
        <v>141.42077073290432</v>
      </c>
      <c r="D226" s="446">
        <v>141.41979522482487</v>
      </c>
      <c r="E226" s="446">
        <v>141.42039217832914</v>
      </c>
      <c r="G226" s="445">
        <v>49</v>
      </c>
      <c r="H226" s="443"/>
      <c r="I226" s="446">
        <v>141.42077073290432</v>
      </c>
      <c r="J226" s="446">
        <v>141.41979522482487</v>
      </c>
      <c r="K226" s="446">
        <v>141.42039217832914</v>
      </c>
    </row>
    <row r="227" spans="1:11" ht="18.75" customHeight="1" x14ac:dyDescent="0.4">
      <c r="A227" s="445">
        <v>43</v>
      </c>
      <c r="B227" s="442"/>
      <c r="C227" s="446"/>
      <c r="D227" s="446"/>
      <c r="E227" s="446"/>
      <c r="G227" s="445">
        <v>50</v>
      </c>
      <c r="H227" s="443"/>
      <c r="I227" s="446">
        <v>141.42077073290432</v>
      </c>
      <c r="J227" s="446">
        <v>141.41979522482487</v>
      </c>
      <c r="K227" s="446">
        <v>141.42039217832914</v>
      </c>
    </row>
    <row r="228" spans="1:11" ht="18.75" customHeight="1" x14ac:dyDescent="0.4">
      <c r="A228" s="445">
        <v>49</v>
      </c>
      <c r="B228" s="442"/>
      <c r="C228" s="446">
        <v>141.42077073290432</v>
      </c>
      <c r="D228" s="446">
        <v>141.41979522482487</v>
      </c>
      <c r="E228" s="446">
        <v>141.42039217832914</v>
      </c>
      <c r="G228" s="445">
        <v>51</v>
      </c>
      <c r="H228" s="443"/>
      <c r="I228" s="446">
        <v>141.42077073290432</v>
      </c>
      <c r="J228" s="446">
        <v>141.41979522482487</v>
      </c>
      <c r="K228" s="446">
        <v>141.42039217832914</v>
      </c>
    </row>
    <row r="229" spans="1:11" ht="18.75" customHeight="1" x14ac:dyDescent="0.4">
      <c r="A229" s="445">
        <v>50</v>
      </c>
      <c r="B229" s="442"/>
      <c r="C229" s="446">
        <v>141.42077073290432</v>
      </c>
      <c r="D229" s="446">
        <v>141.41979522482487</v>
      </c>
      <c r="E229" s="446">
        <v>141.42039217832914</v>
      </c>
      <c r="G229" s="445">
        <v>52</v>
      </c>
      <c r="H229" s="443"/>
      <c r="I229" s="446">
        <v>141.42077073290432</v>
      </c>
      <c r="J229" s="446">
        <v>141.41979522482487</v>
      </c>
      <c r="K229" s="446">
        <v>141.42039217832914</v>
      </c>
    </row>
    <row r="230" spans="1:11" ht="18.75" customHeight="1" x14ac:dyDescent="0.4">
      <c r="A230" s="445">
        <v>51</v>
      </c>
      <c r="B230" s="442"/>
      <c r="C230" s="446">
        <v>141.42077073290432</v>
      </c>
      <c r="D230" s="446">
        <v>141.41979522482487</v>
      </c>
      <c r="E230" s="446">
        <v>141.42039217832914</v>
      </c>
      <c r="G230" s="445">
        <v>53</v>
      </c>
      <c r="H230" s="443"/>
      <c r="I230" s="446">
        <v>141.42077073290432</v>
      </c>
      <c r="J230" s="446">
        <v>141.41979522482487</v>
      </c>
      <c r="K230" s="446">
        <v>141.42039217832914</v>
      </c>
    </row>
    <row r="231" spans="1:11" ht="18.75" customHeight="1" x14ac:dyDescent="0.4">
      <c r="A231" s="445">
        <v>52</v>
      </c>
      <c r="B231" s="442"/>
      <c r="C231" s="446">
        <v>141.42077073290432</v>
      </c>
      <c r="D231" s="446">
        <v>141.41979522482487</v>
      </c>
      <c r="E231" s="446">
        <v>141.42039217832914</v>
      </c>
      <c r="G231" s="445">
        <v>54</v>
      </c>
      <c r="H231" s="443"/>
      <c r="I231" s="446">
        <v>141.42077073290432</v>
      </c>
      <c r="J231" s="446">
        <v>141.41979522482487</v>
      </c>
      <c r="K231" s="446">
        <v>141.42039217832914</v>
      </c>
    </row>
    <row r="232" spans="1:11" ht="18.75" customHeight="1" x14ac:dyDescent="0.4">
      <c r="A232" s="445">
        <v>53</v>
      </c>
      <c r="B232" s="442"/>
      <c r="C232" s="446">
        <v>141.42077073290432</v>
      </c>
      <c r="D232" s="446">
        <v>141.41979522482487</v>
      </c>
      <c r="E232" s="446">
        <v>141.42039217832914</v>
      </c>
      <c r="G232" s="445">
        <v>55</v>
      </c>
      <c r="H232" s="443"/>
      <c r="I232" s="446">
        <v>141.42077073290432</v>
      </c>
      <c r="J232" s="446">
        <v>141.41979522482487</v>
      </c>
      <c r="K232" s="446">
        <v>141.42039217832914</v>
      </c>
    </row>
    <row r="233" spans="1:11" ht="18.75" customHeight="1" x14ac:dyDescent="0.4">
      <c r="A233" s="445">
        <v>54</v>
      </c>
      <c r="B233" s="442"/>
      <c r="C233" s="446">
        <v>141.42077073290432</v>
      </c>
      <c r="D233" s="446">
        <v>141.41979522482487</v>
      </c>
      <c r="E233" s="446">
        <v>141.42039217832914</v>
      </c>
      <c r="G233" s="445">
        <v>56</v>
      </c>
      <c r="H233" s="443"/>
      <c r="I233" s="446">
        <v>141.42077073290432</v>
      </c>
      <c r="J233" s="446">
        <v>141.41979522482487</v>
      </c>
      <c r="K233" s="446">
        <v>141.42039217832914</v>
      </c>
    </row>
    <row r="234" spans="1:11" ht="18.75" customHeight="1" x14ac:dyDescent="0.4">
      <c r="A234" s="445">
        <v>55</v>
      </c>
      <c r="B234" s="442"/>
      <c r="C234" s="446">
        <v>141.42077073290432</v>
      </c>
      <c r="D234" s="446">
        <v>141.41979522482487</v>
      </c>
      <c r="E234" s="446">
        <v>141.42039217832914</v>
      </c>
      <c r="G234" s="445">
        <v>57</v>
      </c>
      <c r="H234" s="443"/>
      <c r="I234" s="446">
        <v>141.42077073290432</v>
      </c>
      <c r="J234" s="446">
        <v>141.41979522482487</v>
      </c>
      <c r="K234" s="446">
        <v>141.42039217832914</v>
      </c>
    </row>
    <row r="235" spans="1:11" ht="18.75" customHeight="1" x14ac:dyDescent="0.4">
      <c r="A235" s="445">
        <v>56</v>
      </c>
      <c r="B235" s="442"/>
      <c r="C235" s="446">
        <v>141.42077073290432</v>
      </c>
      <c r="D235" s="446">
        <v>141.41979522482487</v>
      </c>
      <c r="E235" s="446">
        <v>141.42039217832914</v>
      </c>
      <c r="G235" s="445">
        <v>58</v>
      </c>
      <c r="H235" s="443"/>
      <c r="I235" s="446">
        <v>141.42077073290432</v>
      </c>
      <c r="J235" s="446">
        <v>141.41979522482487</v>
      </c>
      <c r="K235" s="446">
        <v>141.42039217832914</v>
      </c>
    </row>
    <row r="236" spans="1:11" ht="18.75" customHeight="1" x14ac:dyDescent="0.4">
      <c r="A236" s="445">
        <v>57</v>
      </c>
      <c r="B236" s="442"/>
      <c r="C236" s="446">
        <v>141.42077073290432</v>
      </c>
      <c r="D236" s="446">
        <v>141.41979522482487</v>
      </c>
      <c r="E236" s="446">
        <v>141.42039217832914</v>
      </c>
      <c r="G236" s="445">
        <v>59</v>
      </c>
      <c r="H236" s="443"/>
      <c r="I236" s="446">
        <v>141.42077073290432</v>
      </c>
      <c r="J236" s="446">
        <v>141.41979522482487</v>
      </c>
      <c r="K236" s="446">
        <v>141.42039217832914</v>
      </c>
    </row>
    <row r="237" spans="1:11" ht="18.75" customHeight="1" x14ac:dyDescent="0.4">
      <c r="A237" s="445">
        <v>58</v>
      </c>
      <c r="B237" s="442"/>
      <c r="C237" s="446">
        <v>141.42077073290432</v>
      </c>
      <c r="D237" s="446">
        <v>141.41979522482487</v>
      </c>
      <c r="E237" s="446">
        <v>141.42039217832914</v>
      </c>
      <c r="G237" s="445">
        <v>60</v>
      </c>
      <c r="H237" s="443"/>
      <c r="I237" s="446">
        <v>141.42077073290432</v>
      </c>
      <c r="J237" s="446">
        <v>141.41979522482487</v>
      </c>
      <c r="K237" s="446">
        <v>141.42039217832914</v>
      </c>
    </row>
    <row r="238" spans="1:11" ht="18.75" customHeight="1" x14ac:dyDescent="0.4">
      <c r="A238" s="445">
        <v>59</v>
      </c>
      <c r="B238" s="442"/>
      <c r="C238" s="446">
        <v>141.42077073290432</v>
      </c>
      <c r="D238" s="446">
        <v>141.41979522482487</v>
      </c>
      <c r="E238" s="446">
        <v>141.42039217832914</v>
      </c>
      <c r="G238" s="445">
        <v>61</v>
      </c>
      <c r="H238" s="443"/>
      <c r="I238" s="446">
        <v>141.42077073290432</v>
      </c>
      <c r="J238" s="446">
        <v>141.41979522482487</v>
      </c>
      <c r="K238" s="446">
        <v>141.42039217832914</v>
      </c>
    </row>
    <row r="239" spans="1:11" ht="18.75" customHeight="1" x14ac:dyDescent="0.4">
      <c r="A239" s="445">
        <v>60</v>
      </c>
      <c r="B239" s="442"/>
      <c r="C239" s="446">
        <v>141.42077073290432</v>
      </c>
      <c r="D239" s="446">
        <v>141.41979522482487</v>
      </c>
      <c r="E239" s="446">
        <v>141.42039217832914</v>
      </c>
      <c r="G239" s="445">
        <v>62</v>
      </c>
      <c r="H239" s="443"/>
      <c r="I239" s="446">
        <v>141.42077073290432</v>
      </c>
      <c r="J239" s="446">
        <v>141.41979522482487</v>
      </c>
      <c r="K239" s="446">
        <v>141.42039217832914</v>
      </c>
    </row>
    <row r="240" spans="1:11" ht="18.75" customHeight="1" x14ac:dyDescent="0.4">
      <c r="A240" s="445">
        <v>61</v>
      </c>
      <c r="B240" s="442"/>
      <c r="C240" s="446">
        <v>141.42077073290432</v>
      </c>
      <c r="D240" s="446">
        <v>141.41979522482487</v>
      </c>
      <c r="E240" s="446">
        <v>141.42039217832914</v>
      </c>
      <c r="G240" s="445">
        <v>63</v>
      </c>
      <c r="H240" s="443"/>
      <c r="I240" s="446">
        <v>141.42077073290432</v>
      </c>
      <c r="J240" s="446">
        <v>141.41979522482487</v>
      </c>
      <c r="K240" s="446">
        <v>141.42039217832914</v>
      </c>
    </row>
    <row r="241" spans="1:11" ht="18.75" customHeight="1" x14ac:dyDescent="0.4">
      <c r="A241" s="445">
        <v>62</v>
      </c>
      <c r="B241" s="442"/>
      <c r="C241" s="446">
        <v>141.42077073290432</v>
      </c>
      <c r="D241" s="446">
        <v>141.41979522482487</v>
      </c>
      <c r="E241" s="446">
        <v>141.42039217832914</v>
      </c>
      <c r="G241" s="445">
        <v>64</v>
      </c>
      <c r="H241" s="443"/>
      <c r="I241" s="446">
        <v>141.42077073290432</v>
      </c>
      <c r="J241" s="446">
        <v>141.41979522482487</v>
      </c>
      <c r="K241" s="446">
        <v>141.42039217832914</v>
      </c>
    </row>
    <row r="242" spans="1:11" ht="18.75" customHeight="1" x14ac:dyDescent="0.4">
      <c r="A242" s="445">
        <v>63</v>
      </c>
      <c r="B242" s="442"/>
      <c r="C242" s="446">
        <v>141.42077073290432</v>
      </c>
      <c r="D242" s="446">
        <v>141.41979522482487</v>
      </c>
      <c r="E242" s="446">
        <v>141.42039217832914</v>
      </c>
      <c r="G242" s="445">
        <v>65</v>
      </c>
      <c r="H242" s="443"/>
      <c r="I242" s="446">
        <v>141.42077073290432</v>
      </c>
      <c r="J242" s="446">
        <v>141.41979522482487</v>
      </c>
      <c r="K242" s="446">
        <v>141.42039217832914</v>
      </c>
    </row>
    <row r="243" spans="1:11" ht="18.75" customHeight="1" x14ac:dyDescent="0.4">
      <c r="A243" s="445">
        <v>64</v>
      </c>
      <c r="B243" s="442"/>
      <c r="C243" s="446">
        <v>141.42077073290432</v>
      </c>
      <c r="D243" s="446">
        <v>141.41979522482487</v>
      </c>
      <c r="E243" s="446">
        <v>141.42039217832914</v>
      </c>
      <c r="G243" s="445">
        <v>66</v>
      </c>
      <c r="H243" s="443"/>
      <c r="I243" s="446">
        <v>141.42077073290432</v>
      </c>
      <c r="J243" s="446">
        <v>141.41979522482487</v>
      </c>
      <c r="K243" s="446">
        <v>141.42039217832914</v>
      </c>
    </row>
    <row r="244" spans="1:11" ht="18.75" customHeight="1" x14ac:dyDescent="0.4">
      <c r="A244" s="445">
        <v>65</v>
      </c>
      <c r="B244" s="442"/>
      <c r="C244" s="446">
        <v>141.42077073290432</v>
      </c>
      <c r="D244" s="446">
        <v>141.41979522482487</v>
      </c>
      <c r="E244" s="446">
        <v>141.42039217832914</v>
      </c>
      <c r="G244" s="445">
        <v>67</v>
      </c>
      <c r="H244" s="443"/>
      <c r="I244" s="446">
        <v>141.42077073290432</v>
      </c>
      <c r="J244" s="446">
        <v>141.41979522482487</v>
      </c>
      <c r="K244" s="446">
        <v>141.42039217832914</v>
      </c>
    </row>
    <row r="245" spans="1:11" ht="18.75" customHeight="1" x14ac:dyDescent="0.4">
      <c r="A245" s="445">
        <v>66</v>
      </c>
      <c r="B245" s="442"/>
      <c r="C245" s="446">
        <v>141.42077073290432</v>
      </c>
      <c r="D245" s="446">
        <v>141.41979522482487</v>
      </c>
      <c r="E245" s="446">
        <v>141.42039217832914</v>
      </c>
      <c r="G245" s="445">
        <v>68</v>
      </c>
      <c r="H245" s="443"/>
      <c r="I245" s="446">
        <v>141.42077073290432</v>
      </c>
      <c r="J245" s="446">
        <v>141.41979522482487</v>
      </c>
      <c r="K245" s="446">
        <v>141.42039217832914</v>
      </c>
    </row>
    <row r="246" spans="1:11" ht="18.75" customHeight="1" x14ac:dyDescent="0.4">
      <c r="A246" s="445">
        <v>67</v>
      </c>
      <c r="B246" s="442"/>
      <c r="C246" s="446">
        <v>141.42077073290432</v>
      </c>
      <c r="D246" s="446">
        <v>141.41979522482487</v>
      </c>
      <c r="E246" s="446">
        <v>141.42039217832914</v>
      </c>
      <c r="G246" s="445">
        <v>69</v>
      </c>
      <c r="H246" s="443"/>
      <c r="I246" s="446">
        <v>141.42077073290432</v>
      </c>
      <c r="J246" s="446">
        <v>141.41979522482487</v>
      </c>
      <c r="K246" s="446">
        <v>141.42039217832914</v>
      </c>
    </row>
    <row r="247" spans="1:11" ht="18.75" customHeight="1" x14ac:dyDescent="0.4">
      <c r="A247" s="445">
        <v>68</v>
      </c>
      <c r="B247" s="442"/>
      <c r="C247" s="446">
        <v>141.42077073290432</v>
      </c>
      <c r="D247" s="446">
        <v>141.41979522482487</v>
      </c>
      <c r="E247" s="446">
        <v>141.42039217832914</v>
      </c>
      <c r="G247" s="445">
        <v>70</v>
      </c>
      <c r="H247" s="443"/>
      <c r="I247" s="446">
        <v>141.42077073290432</v>
      </c>
      <c r="J247" s="446">
        <v>141.41979522482487</v>
      </c>
      <c r="K247" s="446">
        <v>141.42039217832914</v>
      </c>
    </row>
    <row r="248" spans="1:11" ht="18.75" customHeight="1" x14ac:dyDescent="0.4">
      <c r="A248" s="445">
        <v>69</v>
      </c>
      <c r="B248" s="442"/>
      <c r="C248" s="446">
        <v>141.42077073290432</v>
      </c>
      <c r="D248" s="446">
        <v>141.41979522482487</v>
      </c>
      <c r="E248" s="446">
        <v>141.42039217832914</v>
      </c>
      <c r="G248" s="445">
        <v>71</v>
      </c>
      <c r="H248" s="443"/>
      <c r="I248" s="446">
        <v>141.42077073290432</v>
      </c>
      <c r="J248" s="446">
        <v>141.41979522482487</v>
      </c>
      <c r="K248" s="446">
        <v>141.42039217832914</v>
      </c>
    </row>
    <row r="249" spans="1:11" ht="18.75" customHeight="1" x14ac:dyDescent="0.4">
      <c r="A249" s="445">
        <v>70</v>
      </c>
      <c r="B249" s="442"/>
      <c r="C249" s="446">
        <v>141.42077073290432</v>
      </c>
      <c r="D249" s="446">
        <v>141.41979522482487</v>
      </c>
      <c r="E249" s="446">
        <v>141.42039217832914</v>
      </c>
      <c r="G249" s="445">
        <v>72</v>
      </c>
      <c r="H249" s="443"/>
      <c r="I249" s="446">
        <v>141.42077073290432</v>
      </c>
      <c r="J249" s="446">
        <v>141.41979522482487</v>
      </c>
      <c r="K249" s="446">
        <v>141.42039217832914</v>
      </c>
    </row>
    <row r="250" spans="1:11" ht="18.75" customHeight="1" x14ac:dyDescent="0.4">
      <c r="A250" s="445">
        <v>71</v>
      </c>
      <c r="B250" s="442"/>
      <c r="C250" s="446">
        <v>141.42077073290432</v>
      </c>
      <c r="D250" s="446">
        <v>141.41979522482487</v>
      </c>
      <c r="E250" s="446">
        <v>141.42039217832914</v>
      </c>
      <c r="G250" s="445">
        <v>73</v>
      </c>
      <c r="H250" s="443"/>
      <c r="I250" s="446">
        <v>141.42077073290432</v>
      </c>
      <c r="J250" s="446">
        <v>141.41979522482487</v>
      </c>
      <c r="K250" s="446">
        <v>141.42039217832914</v>
      </c>
    </row>
    <row r="251" spans="1:11" ht="18.75" customHeight="1" x14ac:dyDescent="0.4">
      <c r="A251" s="445">
        <v>72</v>
      </c>
      <c r="B251" s="442"/>
      <c r="C251" s="446">
        <v>141.42077073290432</v>
      </c>
      <c r="D251" s="446">
        <v>141.41979522482487</v>
      </c>
      <c r="E251" s="446">
        <v>141.42039217832914</v>
      </c>
      <c r="G251" s="445">
        <v>74</v>
      </c>
      <c r="H251" s="443"/>
      <c r="I251" s="446">
        <v>141.42077073290432</v>
      </c>
      <c r="J251" s="446">
        <v>141.41979522482487</v>
      </c>
      <c r="K251" s="446">
        <v>141.42039217832914</v>
      </c>
    </row>
    <row r="252" spans="1:11" ht="18.75" customHeight="1" x14ac:dyDescent="0.4">
      <c r="A252" s="445">
        <v>73</v>
      </c>
      <c r="B252" s="442"/>
      <c r="C252" s="446">
        <v>141.42077073290432</v>
      </c>
      <c r="D252" s="446">
        <v>141.41979522482487</v>
      </c>
      <c r="E252" s="446">
        <v>141.42039217832914</v>
      </c>
      <c r="G252" s="445">
        <v>75</v>
      </c>
      <c r="H252" s="443"/>
      <c r="I252" s="446">
        <v>141.42077073290432</v>
      </c>
      <c r="J252" s="446">
        <v>141.41979522482487</v>
      </c>
      <c r="K252" s="446">
        <v>141.42039217832914</v>
      </c>
    </row>
    <row r="253" spans="1:11" ht="18.75" customHeight="1" x14ac:dyDescent="0.4">
      <c r="A253" s="445">
        <v>74</v>
      </c>
      <c r="B253" s="442"/>
      <c r="C253" s="446">
        <v>141.42077073290432</v>
      </c>
      <c r="D253" s="446">
        <v>141.41979522482487</v>
      </c>
      <c r="E253" s="446">
        <v>141.42039217832914</v>
      </c>
      <c r="G253" s="445">
        <v>76</v>
      </c>
      <c r="H253" s="443"/>
      <c r="I253" s="446">
        <v>141.42077073290432</v>
      </c>
      <c r="J253" s="446">
        <v>141.41979522482487</v>
      </c>
      <c r="K253" s="446">
        <v>141.42039217832914</v>
      </c>
    </row>
    <row r="254" spans="1:11" ht="18.75" customHeight="1" x14ac:dyDescent="0.4">
      <c r="A254" s="445">
        <v>75</v>
      </c>
      <c r="B254" s="442"/>
      <c r="C254" s="446">
        <v>141.42077073290432</v>
      </c>
      <c r="D254" s="446">
        <v>141.41979522482487</v>
      </c>
      <c r="E254" s="446">
        <v>141.42039217832914</v>
      </c>
      <c r="G254" s="445">
        <v>77</v>
      </c>
      <c r="H254" s="443"/>
      <c r="I254" s="446">
        <v>141.42077073290432</v>
      </c>
      <c r="J254" s="446">
        <v>141.41979522482487</v>
      </c>
      <c r="K254" s="446">
        <v>141.42039217832914</v>
      </c>
    </row>
    <row r="255" spans="1:11" ht="18.75" customHeight="1" x14ac:dyDescent="0.4">
      <c r="A255" s="445">
        <v>76</v>
      </c>
      <c r="B255" s="442"/>
      <c r="C255" s="446">
        <v>141.42077073290432</v>
      </c>
      <c r="D255" s="446">
        <v>141.41979522482487</v>
      </c>
      <c r="E255" s="446">
        <v>141.42039217832914</v>
      </c>
      <c r="G255" s="445">
        <v>78</v>
      </c>
      <c r="H255" s="443"/>
      <c r="I255" s="446">
        <v>141.42077073290432</v>
      </c>
      <c r="J255" s="446">
        <v>141.41979522482487</v>
      </c>
      <c r="K255" s="446">
        <v>141.42039217832914</v>
      </c>
    </row>
    <row r="256" spans="1:11" ht="18.75" customHeight="1" x14ac:dyDescent="0.4">
      <c r="A256" s="445">
        <v>77</v>
      </c>
      <c r="B256" s="442"/>
      <c r="C256" s="446">
        <v>141.42077073290432</v>
      </c>
      <c r="D256" s="446">
        <v>141.41979522482487</v>
      </c>
      <c r="E256" s="446">
        <v>141.42039217832914</v>
      </c>
      <c r="G256" s="445">
        <v>79</v>
      </c>
      <c r="H256" s="443"/>
      <c r="I256" s="446">
        <v>141.42077073290432</v>
      </c>
      <c r="J256" s="446">
        <v>141.41979522482487</v>
      </c>
      <c r="K256" s="446">
        <v>141.42039217832914</v>
      </c>
    </row>
    <row r="257" spans="1:11" ht="18.75" customHeight="1" x14ac:dyDescent="0.4">
      <c r="A257" s="445">
        <v>78</v>
      </c>
      <c r="B257" s="442"/>
      <c r="C257" s="446">
        <v>141.42077073290432</v>
      </c>
      <c r="D257" s="446">
        <v>141.41979522482487</v>
      </c>
      <c r="E257" s="446">
        <v>141.42039217832914</v>
      </c>
      <c r="G257" s="445">
        <v>80</v>
      </c>
      <c r="H257" s="443"/>
      <c r="I257" s="446">
        <v>141.42077073290432</v>
      </c>
      <c r="J257" s="446">
        <v>141.41979522482487</v>
      </c>
      <c r="K257" s="446">
        <v>141.42039217832914</v>
      </c>
    </row>
    <row r="258" spans="1:11" ht="18.75" customHeight="1" x14ac:dyDescent="0.4">
      <c r="A258" s="445">
        <v>79</v>
      </c>
      <c r="B258" s="442"/>
      <c r="C258" s="446">
        <v>141.42077073290432</v>
      </c>
      <c r="D258" s="446">
        <v>141.41979522482487</v>
      </c>
      <c r="E258" s="446">
        <v>141.42039217832914</v>
      </c>
      <c r="G258" s="445">
        <v>81</v>
      </c>
      <c r="H258" s="443"/>
      <c r="I258" s="446">
        <v>141.42077073290432</v>
      </c>
      <c r="J258" s="446">
        <v>141.41979522482487</v>
      </c>
      <c r="K258" s="446">
        <v>141.42039217832914</v>
      </c>
    </row>
    <row r="259" spans="1:11" ht="18.75" customHeight="1" x14ac:dyDescent="0.4">
      <c r="A259" s="445">
        <v>80</v>
      </c>
      <c r="B259" s="442"/>
      <c r="C259" s="446">
        <v>141.42077073290432</v>
      </c>
      <c r="D259" s="446">
        <v>141.41979522482487</v>
      </c>
      <c r="E259" s="446">
        <v>141.42039217832914</v>
      </c>
      <c r="G259" s="445">
        <v>82</v>
      </c>
      <c r="H259" s="443"/>
      <c r="I259" s="446">
        <v>141.42077073290432</v>
      </c>
      <c r="J259" s="446">
        <v>141.41979522482487</v>
      </c>
      <c r="K259" s="446">
        <v>141.42039217832914</v>
      </c>
    </row>
    <row r="260" spans="1:11" ht="18.75" customHeight="1" x14ac:dyDescent="0.4">
      <c r="A260" s="445">
        <v>81</v>
      </c>
      <c r="B260" s="442"/>
      <c r="C260" s="446">
        <v>141.42077073290432</v>
      </c>
      <c r="D260" s="446">
        <v>141.41979522482487</v>
      </c>
      <c r="E260" s="446">
        <v>141.42039217832914</v>
      </c>
      <c r="G260" s="445">
        <v>83</v>
      </c>
      <c r="H260" s="443"/>
      <c r="I260" s="446">
        <v>141.42077073290432</v>
      </c>
      <c r="J260" s="446">
        <v>141.41979522482487</v>
      </c>
      <c r="K260" s="446">
        <v>141.42039217832914</v>
      </c>
    </row>
    <row r="261" spans="1:11" ht="18.75" customHeight="1" x14ac:dyDescent="0.4">
      <c r="A261" s="445">
        <v>82</v>
      </c>
      <c r="B261" s="442"/>
      <c r="C261" s="446">
        <v>141.42077073290432</v>
      </c>
      <c r="D261" s="446">
        <v>141.41979522482487</v>
      </c>
      <c r="E261" s="446">
        <v>141.42039217832914</v>
      </c>
      <c r="G261" s="445">
        <v>84</v>
      </c>
      <c r="H261" s="443"/>
      <c r="I261" s="446">
        <v>141.42077073290432</v>
      </c>
      <c r="J261" s="446">
        <v>141.41979522482487</v>
      </c>
      <c r="K261" s="446">
        <v>141.42039217832914</v>
      </c>
    </row>
    <row r="262" spans="1:11" ht="18.75" customHeight="1" x14ac:dyDescent="0.4">
      <c r="A262" s="445">
        <v>83</v>
      </c>
      <c r="B262" s="442"/>
      <c r="C262" s="446">
        <v>141.42077073290432</v>
      </c>
      <c r="D262" s="446">
        <v>141.41979522482487</v>
      </c>
      <c r="E262" s="446">
        <v>141.42039217832914</v>
      </c>
      <c r="G262" s="445">
        <v>85</v>
      </c>
      <c r="H262" s="443"/>
      <c r="I262" s="446">
        <v>141.42077073290432</v>
      </c>
      <c r="J262" s="446">
        <v>141.41979522482487</v>
      </c>
      <c r="K262" s="446">
        <v>141.42039217832914</v>
      </c>
    </row>
    <row r="263" spans="1:11" ht="18.75" customHeight="1" x14ac:dyDescent="0.4">
      <c r="A263" s="445">
        <v>84</v>
      </c>
      <c r="B263" s="442"/>
      <c r="C263" s="446">
        <v>141.42077073290432</v>
      </c>
      <c r="D263" s="446">
        <v>141.41979522482487</v>
      </c>
      <c r="E263" s="446">
        <v>141.42039217832914</v>
      </c>
      <c r="G263" s="445">
        <v>86</v>
      </c>
      <c r="H263" s="443"/>
      <c r="I263" s="446">
        <v>141.42077073290432</v>
      </c>
      <c r="J263" s="446">
        <v>141.41979522482487</v>
      </c>
      <c r="K263" s="446">
        <v>141.42039217832914</v>
      </c>
    </row>
    <row r="264" spans="1:11" ht="18.75" customHeight="1" x14ac:dyDescent="0.4">
      <c r="A264" s="445">
        <v>85</v>
      </c>
      <c r="B264" s="442"/>
      <c r="C264" s="446">
        <v>141.42077073290432</v>
      </c>
      <c r="D264" s="446">
        <v>141.41979522482487</v>
      </c>
      <c r="E264" s="446">
        <v>141.42039217832914</v>
      </c>
      <c r="G264" s="445">
        <v>87</v>
      </c>
      <c r="H264" s="443"/>
      <c r="I264" s="446">
        <v>141.42077073290432</v>
      </c>
      <c r="J264" s="446">
        <v>141.41979522482487</v>
      </c>
      <c r="K264" s="446">
        <v>141.42039217832914</v>
      </c>
    </row>
    <row r="265" spans="1:11" ht="18.75" customHeight="1" x14ac:dyDescent="0.4">
      <c r="A265" s="445">
        <v>86</v>
      </c>
      <c r="B265" s="442"/>
      <c r="C265" s="446">
        <v>141.42077073290432</v>
      </c>
      <c r="D265" s="446">
        <v>141.41979522482487</v>
      </c>
      <c r="E265" s="446">
        <v>141.42039217832914</v>
      </c>
      <c r="G265" s="445">
        <v>88</v>
      </c>
      <c r="H265" s="443"/>
      <c r="I265" s="446">
        <v>141.42077073290432</v>
      </c>
      <c r="J265" s="446">
        <v>141.41979522482487</v>
      </c>
      <c r="K265" s="446">
        <v>141.42039217832914</v>
      </c>
    </row>
    <row r="266" spans="1:11" ht="18.75" customHeight="1" x14ac:dyDescent="0.4">
      <c r="A266" s="445">
        <v>87</v>
      </c>
      <c r="B266" s="442"/>
      <c r="C266" s="446">
        <v>141.42077073290432</v>
      </c>
      <c r="D266" s="446">
        <v>141.41979522482487</v>
      </c>
      <c r="E266" s="446">
        <v>141.42039217832914</v>
      </c>
      <c r="G266" s="445">
        <v>89</v>
      </c>
      <c r="H266" s="443"/>
      <c r="I266" s="446">
        <v>141.42077073290432</v>
      </c>
      <c r="J266" s="446">
        <v>141.41979522482487</v>
      </c>
      <c r="K266" s="446">
        <v>141.42039217832914</v>
      </c>
    </row>
    <row r="267" spans="1:11" ht="18.75" customHeight="1" x14ac:dyDescent="0.4">
      <c r="A267" s="445">
        <v>88</v>
      </c>
      <c r="B267" s="442"/>
      <c r="C267" s="446">
        <v>141.42077073290432</v>
      </c>
      <c r="D267" s="446">
        <v>141.41979522482487</v>
      </c>
      <c r="E267" s="446">
        <v>141.42039217832914</v>
      </c>
      <c r="G267" s="445">
        <v>90</v>
      </c>
      <c r="H267" s="443"/>
      <c r="I267" s="446">
        <v>141.42077073290432</v>
      </c>
      <c r="J267" s="446">
        <v>141.41979522482487</v>
      </c>
      <c r="K267" s="446">
        <v>141.42039217832914</v>
      </c>
    </row>
    <row r="268" spans="1:11" ht="18.75" customHeight="1" x14ac:dyDescent="0.4">
      <c r="A268" s="445">
        <v>89</v>
      </c>
      <c r="B268" s="442"/>
      <c r="C268" s="446">
        <v>141.42077073290432</v>
      </c>
      <c r="D268" s="446">
        <v>141.41979522482487</v>
      </c>
      <c r="E268" s="446">
        <v>141.42039217832914</v>
      </c>
      <c r="G268" s="445">
        <v>91</v>
      </c>
      <c r="H268" s="443"/>
      <c r="I268" s="446">
        <v>141.42077073290432</v>
      </c>
      <c r="J268" s="446">
        <v>141.41979522482487</v>
      </c>
      <c r="K268" s="446">
        <v>141.42039217832914</v>
      </c>
    </row>
    <row r="269" spans="1:11" ht="18.75" customHeight="1" x14ac:dyDescent="0.4">
      <c r="A269" s="445">
        <v>90</v>
      </c>
      <c r="B269" s="442"/>
      <c r="C269" s="446">
        <v>141.42077073290432</v>
      </c>
      <c r="D269" s="446">
        <v>141.41979522482487</v>
      </c>
      <c r="E269" s="446">
        <v>141.42039217832914</v>
      </c>
      <c r="G269" s="445">
        <v>92</v>
      </c>
      <c r="H269" s="443"/>
      <c r="I269" s="446">
        <v>141.42077073290432</v>
      </c>
      <c r="J269" s="446">
        <v>141.41979522482487</v>
      </c>
      <c r="K269" s="446">
        <v>141.42039217832914</v>
      </c>
    </row>
    <row r="270" spans="1:11" ht="18.75" customHeight="1" x14ac:dyDescent="0.4">
      <c r="A270" s="445">
        <v>91</v>
      </c>
      <c r="B270" s="442"/>
      <c r="C270" s="446">
        <v>141.42077073290432</v>
      </c>
      <c r="D270" s="446">
        <v>141.41979522482487</v>
      </c>
      <c r="E270" s="446">
        <v>141.42039217832914</v>
      </c>
      <c r="G270" s="445">
        <v>93</v>
      </c>
      <c r="H270" s="443"/>
      <c r="I270" s="446">
        <v>141.42077073290432</v>
      </c>
      <c r="J270" s="446">
        <v>141.41979522482487</v>
      </c>
      <c r="K270" s="446">
        <v>141.42039217832914</v>
      </c>
    </row>
    <row r="271" spans="1:11" ht="18.75" customHeight="1" x14ac:dyDescent="0.4">
      <c r="A271" s="445">
        <v>92</v>
      </c>
      <c r="B271" s="442"/>
      <c r="C271" s="446">
        <v>141.42077073290432</v>
      </c>
      <c r="D271" s="446">
        <v>141.41979522482487</v>
      </c>
      <c r="E271" s="446">
        <v>141.42039217832914</v>
      </c>
      <c r="G271" s="445">
        <v>94</v>
      </c>
      <c r="H271" s="443"/>
      <c r="I271" s="446">
        <v>141.42077073290432</v>
      </c>
      <c r="J271" s="446">
        <v>141.41979522482487</v>
      </c>
      <c r="K271" s="446">
        <v>141.42039217832914</v>
      </c>
    </row>
    <row r="272" spans="1:11" ht="18.75" customHeight="1" x14ac:dyDescent="0.4">
      <c r="A272" s="445">
        <v>93</v>
      </c>
      <c r="B272" s="442"/>
      <c r="C272" s="446">
        <v>141.42077073290432</v>
      </c>
      <c r="D272" s="446">
        <v>141.41979522482487</v>
      </c>
      <c r="E272" s="446">
        <v>141.42039217832914</v>
      </c>
      <c r="G272" s="445">
        <v>95</v>
      </c>
      <c r="H272" s="443"/>
      <c r="I272" s="446">
        <v>141.42077073290432</v>
      </c>
      <c r="J272" s="446">
        <v>141.41979522482487</v>
      </c>
      <c r="K272" s="446">
        <v>141.42039217832914</v>
      </c>
    </row>
    <row r="273" spans="1:11" ht="18.75" customHeight="1" x14ac:dyDescent="0.4">
      <c r="A273" s="445">
        <v>94</v>
      </c>
      <c r="B273" s="442"/>
      <c r="C273" s="446">
        <v>141.42077073290432</v>
      </c>
      <c r="D273" s="446">
        <v>141.41979522482487</v>
      </c>
      <c r="E273" s="446">
        <v>141.42039217832914</v>
      </c>
      <c r="G273" s="445">
        <v>96</v>
      </c>
      <c r="H273" s="443"/>
      <c r="I273" s="446">
        <v>141.42077073290432</v>
      </c>
      <c r="J273" s="446">
        <v>141.41979522482487</v>
      </c>
      <c r="K273" s="446">
        <v>141.42039217832914</v>
      </c>
    </row>
    <row r="274" spans="1:11" ht="18.75" customHeight="1" x14ac:dyDescent="0.4">
      <c r="A274" s="445">
        <v>95</v>
      </c>
      <c r="B274" s="442"/>
      <c r="C274" s="446">
        <v>141.42077073290432</v>
      </c>
      <c r="D274" s="446">
        <v>141.41979522482487</v>
      </c>
      <c r="E274" s="446">
        <v>141.42039217832914</v>
      </c>
      <c r="G274" s="445">
        <v>97</v>
      </c>
      <c r="H274" s="443"/>
      <c r="I274" s="446">
        <v>141.42077073290432</v>
      </c>
      <c r="J274" s="446">
        <v>141.41979522482487</v>
      </c>
      <c r="K274" s="446">
        <v>141.42039217832914</v>
      </c>
    </row>
    <row r="275" spans="1:11" ht="18.75" customHeight="1" x14ac:dyDescent="0.4">
      <c r="A275" s="445">
        <v>96</v>
      </c>
      <c r="B275" s="442"/>
      <c r="C275" s="446">
        <v>141.42077073290432</v>
      </c>
      <c r="D275" s="446">
        <v>141.41979522482487</v>
      </c>
      <c r="E275" s="446">
        <v>141.42039217832914</v>
      </c>
      <c r="G275" s="445">
        <v>98</v>
      </c>
      <c r="H275" s="443"/>
      <c r="I275" s="446">
        <v>141.42077073290432</v>
      </c>
      <c r="J275" s="446">
        <v>141.41979522482487</v>
      </c>
      <c r="K275" s="446">
        <v>141.42039217832914</v>
      </c>
    </row>
    <row r="276" spans="1:11" ht="18.75" customHeight="1" x14ac:dyDescent="0.4">
      <c r="A276" s="445">
        <v>97</v>
      </c>
      <c r="B276" s="442"/>
      <c r="C276" s="446">
        <v>141.42077073290432</v>
      </c>
      <c r="D276" s="446">
        <v>141.41979522482487</v>
      </c>
      <c r="E276" s="446">
        <v>141.42039217832914</v>
      </c>
      <c r="G276" s="445">
        <v>99</v>
      </c>
      <c r="H276" s="443"/>
      <c r="I276" s="446">
        <v>141.42077073290432</v>
      </c>
      <c r="J276" s="446">
        <v>141.41979522482487</v>
      </c>
      <c r="K276" s="446">
        <v>141.42039217832914</v>
      </c>
    </row>
    <row r="277" spans="1:11" ht="18.75" customHeight="1" x14ac:dyDescent="0.4">
      <c r="A277" s="445">
        <v>98</v>
      </c>
      <c r="B277" s="442"/>
      <c r="C277" s="446">
        <v>141.42077073290432</v>
      </c>
      <c r="D277" s="446">
        <v>141.41979522482487</v>
      </c>
      <c r="E277" s="446">
        <v>141.42039217832914</v>
      </c>
      <c r="G277" s="445">
        <v>100</v>
      </c>
      <c r="H277" s="443"/>
      <c r="I277" s="446">
        <v>141.42077073290432</v>
      </c>
      <c r="J277" s="446">
        <v>141.41979522482487</v>
      </c>
      <c r="K277" s="446">
        <v>141.42039217832914</v>
      </c>
    </row>
    <row r="278" spans="1:11" ht="18.75" customHeight="1" x14ac:dyDescent="0.4">
      <c r="A278" s="445">
        <v>99</v>
      </c>
      <c r="B278" s="442"/>
      <c r="C278" s="446">
        <v>141.42077073290432</v>
      </c>
      <c r="D278" s="446">
        <v>141.41979522482487</v>
      </c>
      <c r="E278" s="446">
        <v>141.42039217832914</v>
      </c>
      <c r="G278" s="445">
        <v>101</v>
      </c>
      <c r="H278" s="443"/>
      <c r="I278" s="446">
        <v>141.42077073290432</v>
      </c>
      <c r="J278" s="446">
        <v>141.41979522482487</v>
      </c>
      <c r="K278" s="446">
        <v>141.42039217832914</v>
      </c>
    </row>
    <row r="279" spans="1:11" ht="18.75" customHeight="1" x14ac:dyDescent="0.4">
      <c r="A279" s="445">
        <v>100</v>
      </c>
      <c r="B279" s="442"/>
      <c r="C279" s="446">
        <v>141.42077073290432</v>
      </c>
      <c r="D279" s="446">
        <v>141.41979522482487</v>
      </c>
      <c r="E279" s="446">
        <v>141.42039217832914</v>
      </c>
      <c r="G279" s="445">
        <v>102</v>
      </c>
      <c r="H279" s="443"/>
      <c r="I279" s="446">
        <v>141.42077073290432</v>
      </c>
      <c r="J279" s="446">
        <v>141.41979522482487</v>
      </c>
      <c r="K279" s="446">
        <v>141.42039217832914</v>
      </c>
    </row>
    <row r="280" spans="1:11" ht="18.75" customHeight="1" x14ac:dyDescent="0.4">
      <c r="A280" s="445">
        <v>101</v>
      </c>
      <c r="B280" s="442"/>
      <c r="C280" s="446">
        <v>141.42077073290432</v>
      </c>
      <c r="D280" s="446">
        <v>141.41979522482487</v>
      </c>
      <c r="E280" s="446">
        <v>141.42039217832914</v>
      </c>
      <c r="G280" s="445">
        <v>103</v>
      </c>
      <c r="H280" s="443"/>
      <c r="I280" s="446">
        <v>141.42077073290432</v>
      </c>
      <c r="J280" s="446">
        <v>141.41979522482487</v>
      </c>
      <c r="K280" s="446">
        <v>141.42039217832914</v>
      </c>
    </row>
    <row r="281" spans="1:11" ht="18.75" customHeight="1" x14ac:dyDescent="0.4">
      <c r="A281" s="445">
        <v>102</v>
      </c>
      <c r="B281" s="442"/>
      <c r="C281" s="446">
        <v>141.42077073290432</v>
      </c>
      <c r="D281" s="446">
        <v>141.41979522482487</v>
      </c>
      <c r="E281" s="446">
        <v>141.42039217832914</v>
      </c>
      <c r="G281" s="445">
        <v>104</v>
      </c>
      <c r="H281" s="443"/>
      <c r="I281" s="446">
        <v>141.42077073290432</v>
      </c>
      <c r="J281" s="446">
        <v>141.41979522482487</v>
      </c>
      <c r="K281" s="446">
        <v>141.42039217832914</v>
      </c>
    </row>
    <row r="282" spans="1:11" ht="18.75" customHeight="1" x14ac:dyDescent="0.4">
      <c r="A282" s="445">
        <v>103</v>
      </c>
      <c r="B282" s="442"/>
      <c r="C282" s="446">
        <v>141.42077073290432</v>
      </c>
      <c r="D282" s="446">
        <v>141.41979522482487</v>
      </c>
      <c r="E282" s="446">
        <v>141.42039217832914</v>
      </c>
      <c r="F282" s="99"/>
      <c r="G282" s="445">
        <v>105</v>
      </c>
      <c r="H282" s="443"/>
      <c r="I282" s="446">
        <v>141.42077073290432</v>
      </c>
      <c r="J282" s="446">
        <v>141.41979522482487</v>
      </c>
      <c r="K282" s="446">
        <v>141.42039217832914</v>
      </c>
    </row>
    <row r="283" spans="1:11" ht="18.75" customHeight="1" x14ac:dyDescent="0.4">
      <c r="A283" s="445">
        <v>104</v>
      </c>
      <c r="B283" s="442"/>
      <c r="C283" s="446">
        <v>141.42077073290432</v>
      </c>
      <c r="D283" s="446">
        <v>141.41979522482487</v>
      </c>
      <c r="E283" s="446">
        <v>141.42039217832914</v>
      </c>
      <c r="G283" s="445">
        <v>106</v>
      </c>
      <c r="H283" s="443"/>
      <c r="I283" s="446">
        <v>141.42077073290432</v>
      </c>
      <c r="J283" s="446">
        <v>141.41979522482487</v>
      </c>
      <c r="K283" s="446">
        <v>141.42039217832914</v>
      </c>
    </row>
    <row r="284" spans="1:11" ht="18.75" customHeight="1" x14ac:dyDescent="0.4">
      <c r="A284" s="445">
        <v>105</v>
      </c>
      <c r="B284" s="442"/>
      <c r="C284" s="446">
        <v>141.42077073290432</v>
      </c>
      <c r="D284" s="446">
        <v>141.41979522482487</v>
      </c>
      <c r="E284" s="446">
        <v>141.42039217832914</v>
      </c>
      <c r="G284" s="445">
        <v>107</v>
      </c>
      <c r="H284" s="443"/>
      <c r="I284" s="446">
        <v>141.42077073290432</v>
      </c>
      <c r="J284" s="446">
        <v>141.41979522482487</v>
      </c>
      <c r="K284" s="446">
        <v>141.42039217832914</v>
      </c>
    </row>
    <row r="285" spans="1:11" ht="18.75" customHeight="1" x14ac:dyDescent="0.4">
      <c r="A285" s="445">
        <v>106</v>
      </c>
      <c r="B285" s="442"/>
      <c r="C285" s="446">
        <v>141.42077073290432</v>
      </c>
      <c r="D285" s="446">
        <v>141.41979522482487</v>
      </c>
      <c r="E285" s="446">
        <v>141.42039217832914</v>
      </c>
      <c r="G285" s="445">
        <v>108</v>
      </c>
      <c r="H285" s="443"/>
      <c r="I285" s="446">
        <v>141.42077073290432</v>
      </c>
      <c r="J285" s="446">
        <v>141.41979522482487</v>
      </c>
      <c r="K285" s="446">
        <v>141.42039217832914</v>
      </c>
    </row>
    <row r="286" spans="1:11" ht="18.75" customHeight="1" x14ac:dyDescent="0.4">
      <c r="A286" s="445">
        <v>107</v>
      </c>
      <c r="B286" s="442"/>
      <c r="C286" s="446">
        <v>141.42077073290432</v>
      </c>
      <c r="D286" s="446">
        <v>141.41979522482487</v>
      </c>
      <c r="E286" s="446">
        <v>141.42039217832914</v>
      </c>
      <c r="G286" s="445">
        <v>109</v>
      </c>
      <c r="H286" s="443"/>
      <c r="I286" s="446">
        <v>141.42077073290432</v>
      </c>
      <c r="J286" s="446">
        <v>141.41979522482487</v>
      </c>
      <c r="K286" s="446">
        <v>141.42039217832914</v>
      </c>
    </row>
    <row r="287" spans="1:11" ht="18.75" customHeight="1" x14ac:dyDescent="0.4">
      <c r="A287" s="445">
        <v>108</v>
      </c>
      <c r="B287" s="442"/>
      <c r="C287" s="446">
        <v>141.42077073290432</v>
      </c>
      <c r="D287" s="446">
        <v>141.41979522482487</v>
      </c>
      <c r="E287" s="446">
        <v>141.42039217832914</v>
      </c>
      <c r="G287" s="445">
        <v>110</v>
      </c>
      <c r="H287" s="443"/>
      <c r="I287" s="446">
        <v>141.42077073290432</v>
      </c>
      <c r="J287" s="446">
        <v>141.41979522482487</v>
      </c>
      <c r="K287" s="446">
        <v>141.42039217832914</v>
      </c>
    </row>
    <row r="288" spans="1:11" ht="18.75" customHeight="1" x14ac:dyDescent="0.4">
      <c r="A288" s="445">
        <v>109</v>
      </c>
      <c r="B288" s="442"/>
      <c r="C288" s="446">
        <v>141.42077073290432</v>
      </c>
      <c r="D288" s="446">
        <v>141.41979522482487</v>
      </c>
      <c r="E288" s="446">
        <v>141.42039217832914</v>
      </c>
      <c r="G288" s="445">
        <v>111</v>
      </c>
      <c r="H288" s="443"/>
      <c r="I288" s="446">
        <v>141.42077073290432</v>
      </c>
      <c r="J288" s="446">
        <v>141.41979522482487</v>
      </c>
      <c r="K288" s="446">
        <v>141.42039217832914</v>
      </c>
    </row>
    <row r="289" spans="1:11" ht="18.75" customHeight="1" x14ac:dyDescent="0.4">
      <c r="A289" s="445">
        <v>110</v>
      </c>
      <c r="B289" s="442"/>
      <c r="C289" s="446">
        <v>141.42077073290432</v>
      </c>
      <c r="D289" s="446">
        <v>141.41979522482487</v>
      </c>
      <c r="E289" s="446">
        <v>141.42039217832914</v>
      </c>
      <c r="G289" s="445">
        <v>112</v>
      </c>
      <c r="H289" s="443"/>
      <c r="I289" s="446">
        <v>141.42077073290432</v>
      </c>
      <c r="J289" s="446">
        <v>141.41979522482487</v>
      </c>
      <c r="K289" s="446">
        <v>141.42039217832914</v>
      </c>
    </row>
    <row r="290" spans="1:11" ht="18.75" customHeight="1" x14ac:dyDescent="0.4">
      <c r="A290" s="445">
        <v>111</v>
      </c>
      <c r="B290" s="442"/>
      <c r="C290" s="446">
        <v>141.42077073290432</v>
      </c>
      <c r="D290" s="446">
        <v>141.41979522482487</v>
      </c>
      <c r="E290" s="446">
        <v>141.42039217832914</v>
      </c>
      <c r="G290" s="445">
        <v>113</v>
      </c>
      <c r="H290" s="443"/>
      <c r="I290" s="446">
        <v>141.42077073290432</v>
      </c>
      <c r="J290" s="446">
        <v>141.41979522482487</v>
      </c>
      <c r="K290" s="446">
        <v>141.42039217832914</v>
      </c>
    </row>
    <row r="291" spans="1:11" ht="18.75" customHeight="1" x14ac:dyDescent="0.4">
      <c r="A291" s="445">
        <v>112</v>
      </c>
      <c r="B291" s="442"/>
      <c r="C291" s="446">
        <v>141.42077073290432</v>
      </c>
      <c r="D291" s="446">
        <v>141.41979522482487</v>
      </c>
      <c r="E291" s="446">
        <v>141.42039217832914</v>
      </c>
      <c r="G291" s="445">
        <v>114</v>
      </c>
      <c r="H291" s="443"/>
      <c r="I291" s="446">
        <v>141.42077073290432</v>
      </c>
      <c r="J291" s="446">
        <v>141.41979522482487</v>
      </c>
      <c r="K291" s="446">
        <v>141.42039217832914</v>
      </c>
    </row>
    <row r="292" spans="1:11" ht="18.75" customHeight="1" x14ac:dyDescent="0.4">
      <c r="A292" s="445">
        <v>113</v>
      </c>
      <c r="B292" s="442"/>
      <c r="C292" s="446">
        <v>141.42077073290432</v>
      </c>
      <c r="D292" s="446">
        <v>141.41979522482487</v>
      </c>
      <c r="E292" s="446">
        <v>141.42039217832914</v>
      </c>
      <c r="G292" s="445">
        <v>115</v>
      </c>
      <c r="H292" s="443"/>
      <c r="I292" s="446">
        <v>141.42077073290432</v>
      </c>
      <c r="J292" s="446">
        <v>141.41979522482487</v>
      </c>
      <c r="K292" s="446">
        <v>141.42039217832914</v>
      </c>
    </row>
    <row r="293" spans="1:11" ht="18.75" customHeight="1" x14ac:dyDescent="0.4">
      <c r="A293" s="445">
        <v>114</v>
      </c>
      <c r="B293" s="442"/>
      <c r="C293" s="446">
        <v>141.42077073290432</v>
      </c>
      <c r="D293" s="446">
        <v>141.41979522482487</v>
      </c>
      <c r="E293" s="446">
        <v>141.42039217832914</v>
      </c>
      <c r="G293" s="445">
        <v>116</v>
      </c>
      <c r="H293" s="443"/>
      <c r="I293" s="446">
        <v>141.42077073290432</v>
      </c>
      <c r="J293" s="446">
        <v>141.41979522482487</v>
      </c>
      <c r="K293" s="446">
        <v>141.42039217832914</v>
      </c>
    </row>
    <row r="294" spans="1:11" ht="18.75" customHeight="1" x14ac:dyDescent="0.4">
      <c r="A294" s="445">
        <v>115</v>
      </c>
      <c r="B294" s="442"/>
      <c r="C294" s="446">
        <v>141.42077073290432</v>
      </c>
      <c r="D294" s="446">
        <v>141.41979522482487</v>
      </c>
      <c r="E294" s="446">
        <v>141.42039217832914</v>
      </c>
      <c r="G294" s="445">
        <v>117</v>
      </c>
      <c r="H294" s="443"/>
      <c r="I294" s="446">
        <v>141.42077073290432</v>
      </c>
      <c r="J294" s="446">
        <v>141.41979522482487</v>
      </c>
      <c r="K294" s="446">
        <v>141.42039217832914</v>
      </c>
    </row>
    <row r="295" spans="1:11" ht="18.75" customHeight="1" x14ac:dyDescent="0.4">
      <c r="A295" s="445">
        <v>116</v>
      </c>
      <c r="B295" s="442"/>
      <c r="C295" s="446">
        <v>141.42077073290432</v>
      </c>
      <c r="D295" s="446">
        <v>141.41979522482487</v>
      </c>
      <c r="E295" s="446">
        <v>141.42039217832914</v>
      </c>
      <c r="G295" s="445">
        <v>118</v>
      </c>
      <c r="H295" s="443"/>
      <c r="I295" s="446">
        <v>141.42077073290432</v>
      </c>
      <c r="J295" s="446">
        <v>141.41979522482487</v>
      </c>
      <c r="K295" s="446">
        <v>141.42039217832914</v>
      </c>
    </row>
    <row r="296" spans="1:11" ht="18.75" customHeight="1" x14ac:dyDescent="0.4">
      <c r="A296" s="445">
        <v>117</v>
      </c>
      <c r="B296" s="442"/>
      <c r="C296" s="446">
        <v>141.42077073290432</v>
      </c>
      <c r="D296" s="446">
        <v>141.41979522482487</v>
      </c>
      <c r="E296" s="446">
        <v>141.42039217832914</v>
      </c>
      <c r="G296" s="445">
        <v>119</v>
      </c>
      <c r="H296" s="443"/>
      <c r="I296" s="446">
        <v>141.42077073290432</v>
      </c>
      <c r="J296" s="446">
        <v>141.41979522482487</v>
      </c>
      <c r="K296" s="446">
        <v>141.42039217832914</v>
      </c>
    </row>
    <row r="297" spans="1:11" ht="18.75" customHeight="1" x14ac:dyDescent="0.4">
      <c r="A297" s="445">
        <v>118</v>
      </c>
      <c r="B297" s="442"/>
      <c r="C297" s="446">
        <v>141.42077073290432</v>
      </c>
      <c r="D297" s="446">
        <v>141.41979522482487</v>
      </c>
      <c r="E297" s="446">
        <v>141.42039217832914</v>
      </c>
      <c r="G297" s="445">
        <v>120</v>
      </c>
      <c r="H297" s="443"/>
      <c r="I297" s="446">
        <v>141.42077073290432</v>
      </c>
      <c r="J297" s="446">
        <v>141.41979522482487</v>
      </c>
      <c r="K297" s="446">
        <v>141.42039217832914</v>
      </c>
    </row>
    <row r="298" spans="1:11" ht="18.75" customHeight="1" x14ac:dyDescent="0.4">
      <c r="A298" s="445">
        <v>119</v>
      </c>
      <c r="B298" s="442"/>
      <c r="C298" s="446">
        <v>141.42077073290432</v>
      </c>
      <c r="D298" s="446">
        <v>141.41979522482487</v>
      </c>
      <c r="E298" s="446">
        <v>141.42039217832914</v>
      </c>
      <c r="G298" s="445">
        <v>121</v>
      </c>
      <c r="H298" s="443"/>
      <c r="I298" s="446">
        <v>141.42077073290432</v>
      </c>
      <c r="J298" s="446">
        <v>141.41979522482487</v>
      </c>
      <c r="K298" s="446">
        <v>141.42039217832914</v>
      </c>
    </row>
    <row r="299" spans="1:11" ht="18.75" customHeight="1" x14ac:dyDescent="0.4">
      <c r="A299" s="445">
        <v>120</v>
      </c>
      <c r="B299" s="442"/>
      <c r="C299" s="446">
        <v>141.42077073290432</v>
      </c>
      <c r="D299" s="446">
        <v>141.41979522482487</v>
      </c>
      <c r="E299" s="446">
        <v>141.42039217832914</v>
      </c>
      <c r="G299" s="445">
        <v>122</v>
      </c>
      <c r="H299" s="443"/>
      <c r="I299" s="446">
        <v>141.42077073290432</v>
      </c>
      <c r="J299" s="446">
        <v>141.41979522482487</v>
      </c>
      <c r="K299" s="446">
        <v>141.42039217832914</v>
      </c>
    </row>
    <row r="300" spans="1:11" ht="18.75" customHeight="1" x14ac:dyDescent="0.4">
      <c r="A300" s="445">
        <v>121</v>
      </c>
      <c r="B300" s="442"/>
      <c r="C300" s="446">
        <v>141.42077073290432</v>
      </c>
      <c r="D300" s="446">
        <v>141.41979522482487</v>
      </c>
      <c r="E300" s="446">
        <v>141.42039217832914</v>
      </c>
      <c r="G300" s="445">
        <v>123</v>
      </c>
      <c r="H300" s="443"/>
      <c r="I300" s="446">
        <v>141.42077073290432</v>
      </c>
      <c r="J300" s="446">
        <v>141.41979522482487</v>
      </c>
      <c r="K300" s="446">
        <v>141.42039217832914</v>
      </c>
    </row>
    <row r="301" spans="1:11" ht="18.75" customHeight="1" x14ac:dyDescent="0.4">
      <c r="A301" s="445">
        <v>122</v>
      </c>
      <c r="B301" s="442"/>
      <c r="C301" s="446">
        <v>141.42077073290432</v>
      </c>
      <c r="D301" s="446">
        <v>141.41979522482487</v>
      </c>
      <c r="E301" s="446">
        <v>141.42039217832914</v>
      </c>
      <c r="G301" s="445">
        <v>124</v>
      </c>
      <c r="H301" s="443"/>
      <c r="I301" s="446">
        <v>141.42077073290432</v>
      </c>
      <c r="J301" s="446">
        <v>141.41979522482487</v>
      </c>
      <c r="K301" s="446">
        <v>141.42039217832914</v>
      </c>
    </row>
    <row r="302" spans="1:11" ht="18.75" customHeight="1" x14ac:dyDescent="0.4">
      <c r="A302" s="445">
        <v>123</v>
      </c>
      <c r="B302" s="442"/>
      <c r="C302" s="446">
        <v>141.42077073290432</v>
      </c>
      <c r="D302" s="446">
        <v>141.41979522482487</v>
      </c>
      <c r="E302" s="446">
        <v>141.42039217832914</v>
      </c>
      <c r="G302" s="445">
        <v>125</v>
      </c>
      <c r="H302" s="443"/>
      <c r="I302" s="446">
        <v>141.42077073290432</v>
      </c>
      <c r="J302" s="446">
        <v>141.41979522482487</v>
      </c>
      <c r="K302" s="446">
        <v>141.42039217832914</v>
      </c>
    </row>
    <row r="303" spans="1:11" ht="18.75" customHeight="1" x14ac:dyDescent="0.4">
      <c r="A303" s="445">
        <v>124</v>
      </c>
      <c r="B303" s="442"/>
      <c r="C303" s="446">
        <v>141.42077073290432</v>
      </c>
      <c r="D303" s="446">
        <v>141.41979522482487</v>
      </c>
      <c r="E303" s="446">
        <v>141.42039217832914</v>
      </c>
      <c r="G303" s="445">
        <v>126</v>
      </c>
      <c r="H303" s="443"/>
      <c r="I303" s="446">
        <v>141.42077073290432</v>
      </c>
      <c r="J303" s="446">
        <v>141.41979522482487</v>
      </c>
      <c r="K303" s="446">
        <v>141.42039217832914</v>
      </c>
    </row>
    <row r="304" spans="1:11" ht="18.75" customHeight="1" x14ac:dyDescent="0.4">
      <c r="A304" s="445">
        <v>125</v>
      </c>
      <c r="B304" s="442"/>
      <c r="C304" s="446">
        <v>141.42077073290432</v>
      </c>
      <c r="D304" s="446">
        <v>141.41979522482487</v>
      </c>
      <c r="E304" s="446">
        <v>141.42039217832914</v>
      </c>
      <c r="G304" s="445">
        <v>127</v>
      </c>
      <c r="H304" s="443"/>
      <c r="I304" s="446">
        <v>141.42077073290432</v>
      </c>
      <c r="J304" s="446">
        <v>141.41979522482487</v>
      </c>
      <c r="K304" s="446">
        <v>141.42039217832914</v>
      </c>
    </row>
    <row r="305" spans="1:11" ht="18.75" customHeight="1" x14ac:dyDescent="0.4">
      <c r="A305" s="445">
        <v>126</v>
      </c>
      <c r="B305" s="442"/>
      <c r="C305" s="446">
        <v>141.42077073290432</v>
      </c>
      <c r="D305" s="446">
        <v>141.41979522482487</v>
      </c>
      <c r="E305" s="446">
        <v>141.42039217832914</v>
      </c>
      <c r="G305" s="445">
        <v>128</v>
      </c>
      <c r="H305" s="443"/>
      <c r="I305" s="446">
        <v>141.42077073290432</v>
      </c>
      <c r="J305" s="446">
        <v>141.41979522482487</v>
      </c>
      <c r="K305" s="446">
        <v>141.42039217832914</v>
      </c>
    </row>
    <row r="306" spans="1:11" ht="18.75" customHeight="1" x14ac:dyDescent="0.4">
      <c r="A306" s="445">
        <v>127</v>
      </c>
      <c r="B306" s="442"/>
      <c r="C306" s="446">
        <v>141.42077073290432</v>
      </c>
      <c r="D306" s="446">
        <v>141.41979522482487</v>
      </c>
      <c r="E306" s="446">
        <v>141.42039217832914</v>
      </c>
      <c r="G306" s="445">
        <v>129</v>
      </c>
      <c r="H306" s="443"/>
      <c r="I306" s="446">
        <v>141.42077073290432</v>
      </c>
      <c r="J306" s="446">
        <v>141.41979522482487</v>
      </c>
      <c r="K306" s="446">
        <v>141.42039217832914</v>
      </c>
    </row>
    <row r="307" spans="1:11" ht="18.75" customHeight="1" x14ac:dyDescent="0.4">
      <c r="A307" s="445">
        <v>128</v>
      </c>
      <c r="B307" s="442"/>
      <c r="C307" s="446">
        <v>141.42077073290432</v>
      </c>
      <c r="D307" s="446">
        <v>141.41979522482487</v>
      </c>
      <c r="E307" s="446">
        <v>141.42039217832914</v>
      </c>
      <c r="G307" s="445">
        <v>130</v>
      </c>
      <c r="H307" s="443"/>
      <c r="I307" s="446">
        <v>141.42077073290432</v>
      </c>
      <c r="J307" s="446">
        <v>141.41979522482487</v>
      </c>
      <c r="K307" s="446">
        <v>141.42039217832914</v>
      </c>
    </row>
    <row r="308" spans="1:11" ht="18.75" customHeight="1" x14ac:dyDescent="0.4">
      <c r="A308" s="445">
        <v>129</v>
      </c>
      <c r="B308" s="442"/>
      <c r="C308" s="446">
        <v>141.42077073290432</v>
      </c>
      <c r="D308" s="446">
        <v>141.41979522482487</v>
      </c>
      <c r="E308" s="446">
        <v>141.42039217832914</v>
      </c>
      <c r="G308" s="445">
        <v>131</v>
      </c>
      <c r="H308" s="443"/>
      <c r="I308" s="446">
        <v>141.42077073290432</v>
      </c>
      <c r="J308" s="446">
        <v>141.41979522482487</v>
      </c>
      <c r="K308" s="446">
        <v>141.42039217832914</v>
      </c>
    </row>
    <row r="309" spans="1:11" ht="18.75" customHeight="1" x14ac:dyDescent="0.4">
      <c r="A309" s="445">
        <v>130</v>
      </c>
      <c r="B309" s="442"/>
      <c r="C309" s="446">
        <v>141.42077073290432</v>
      </c>
      <c r="D309" s="446">
        <v>141.41979522482487</v>
      </c>
      <c r="E309" s="446">
        <v>141.42039217832914</v>
      </c>
      <c r="G309" s="445">
        <v>132</v>
      </c>
      <c r="H309" s="443"/>
      <c r="I309" s="446">
        <v>141.42077073290432</v>
      </c>
      <c r="J309" s="446">
        <v>141.41979522482487</v>
      </c>
      <c r="K309" s="446">
        <v>141.42039217832914</v>
      </c>
    </row>
    <row r="310" spans="1:11" ht="18.75" customHeight="1" x14ac:dyDescent="0.4">
      <c r="A310" s="445">
        <v>131</v>
      </c>
      <c r="B310" s="442"/>
      <c r="C310" s="446">
        <v>141.42077073290432</v>
      </c>
      <c r="D310" s="446">
        <v>141.41979522482487</v>
      </c>
      <c r="E310" s="446">
        <v>141.42039217832914</v>
      </c>
      <c r="G310" s="445">
        <v>133</v>
      </c>
      <c r="H310" s="443"/>
      <c r="I310" s="446">
        <v>141.42077073290432</v>
      </c>
      <c r="J310" s="446">
        <v>141.41979522482487</v>
      </c>
      <c r="K310" s="446">
        <v>141.42039217832914</v>
      </c>
    </row>
    <row r="311" spans="1:11" ht="18.75" customHeight="1" x14ac:dyDescent="0.4">
      <c r="A311" s="445">
        <v>132</v>
      </c>
      <c r="B311" s="442"/>
      <c r="C311" s="446">
        <v>141.42077073290432</v>
      </c>
      <c r="D311" s="446">
        <v>141.41979522482487</v>
      </c>
      <c r="E311" s="446">
        <v>141.42039217832914</v>
      </c>
      <c r="G311" s="445">
        <v>134</v>
      </c>
      <c r="H311" s="443"/>
      <c r="I311" s="446">
        <v>141.42077073290432</v>
      </c>
      <c r="J311" s="446">
        <v>141.41979522482487</v>
      </c>
      <c r="K311" s="446">
        <v>141.42039217832914</v>
      </c>
    </row>
    <row r="312" spans="1:11" ht="18.75" customHeight="1" x14ac:dyDescent="0.4">
      <c r="A312" s="445">
        <v>133</v>
      </c>
      <c r="B312" s="442"/>
      <c r="C312" s="446">
        <v>141.42077073290432</v>
      </c>
      <c r="D312" s="446">
        <v>141.41979522482487</v>
      </c>
      <c r="E312" s="446">
        <v>141.42039217832914</v>
      </c>
      <c r="G312" s="445">
        <v>135</v>
      </c>
      <c r="H312" s="443"/>
      <c r="I312" s="446">
        <v>141.42077073290432</v>
      </c>
      <c r="J312" s="446">
        <v>141.41979522482487</v>
      </c>
      <c r="K312" s="446">
        <v>141.42039217832914</v>
      </c>
    </row>
    <row r="313" spans="1:11" ht="18.75" customHeight="1" x14ac:dyDescent="0.4">
      <c r="A313" s="445">
        <v>134</v>
      </c>
      <c r="B313" s="442"/>
      <c r="C313" s="446">
        <v>141.42077073290432</v>
      </c>
      <c r="D313" s="446">
        <v>141.41979522482487</v>
      </c>
      <c r="E313" s="446">
        <v>141.42039217832914</v>
      </c>
      <c r="G313" s="445">
        <v>136</v>
      </c>
      <c r="H313" s="443"/>
      <c r="I313" s="446">
        <v>141.42077073290432</v>
      </c>
      <c r="J313" s="446">
        <v>141.41979522482487</v>
      </c>
      <c r="K313" s="446">
        <v>141.42039217832914</v>
      </c>
    </row>
    <row r="314" spans="1:11" ht="18.75" customHeight="1" x14ac:dyDescent="0.4">
      <c r="A314" s="445">
        <v>135</v>
      </c>
      <c r="B314" s="442"/>
      <c r="C314" s="446">
        <v>141.42077073290432</v>
      </c>
      <c r="D314" s="446">
        <v>141.41979522482487</v>
      </c>
      <c r="E314" s="446">
        <v>141.42039217832914</v>
      </c>
      <c r="G314" s="445">
        <v>137</v>
      </c>
      <c r="H314" s="443"/>
      <c r="I314" s="446">
        <v>141.42077073290432</v>
      </c>
      <c r="J314" s="446">
        <v>141.41979522482487</v>
      </c>
      <c r="K314" s="446">
        <v>141.42039217832914</v>
      </c>
    </row>
    <row r="315" spans="1:11" ht="18.75" customHeight="1" x14ac:dyDescent="0.4">
      <c r="A315" s="445">
        <v>136</v>
      </c>
      <c r="B315" s="442"/>
      <c r="C315" s="446">
        <v>141.42077073290432</v>
      </c>
      <c r="D315" s="446">
        <v>141.41979522482487</v>
      </c>
      <c r="E315" s="446">
        <v>141.42039217832914</v>
      </c>
      <c r="G315" s="445">
        <v>138</v>
      </c>
      <c r="H315" s="443"/>
      <c r="I315" s="446">
        <v>141.42077073290432</v>
      </c>
      <c r="J315" s="446">
        <v>141.41979522482487</v>
      </c>
      <c r="K315" s="446">
        <v>141.42039217832914</v>
      </c>
    </row>
    <row r="316" spans="1:11" ht="18.75" customHeight="1" x14ac:dyDescent="0.4">
      <c r="A316" s="445">
        <v>137</v>
      </c>
      <c r="B316" s="442"/>
      <c r="C316" s="446">
        <v>141.42077073290432</v>
      </c>
      <c r="D316" s="446">
        <v>141.41979522482487</v>
      </c>
      <c r="E316" s="446">
        <v>141.42039217832914</v>
      </c>
      <c r="G316" s="445">
        <v>139</v>
      </c>
      <c r="H316" s="443"/>
      <c r="I316" s="446">
        <v>141.42077073290432</v>
      </c>
      <c r="J316" s="446">
        <v>141.41979522482487</v>
      </c>
      <c r="K316" s="446">
        <v>141.42039217832914</v>
      </c>
    </row>
    <row r="317" spans="1:11" ht="18.75" customHeight="1" x14ac:dyDescent="0.4">
      <c r="A317" s="445">
        <v>138</v>
      </c>
      <c r="B317" s="442"/>
      <c r="C317" s="446">
        <v>141.42077073290432</v>
      </c>
      <c r="D317" s="446">
        <v>141.41979522482487</v>
      </c>
      <c r="E317" s="446">
        <v>141.42039217832914</v>
      </c>
      <c r="G317" s="445">
        <v>140</v>
      </c>
      <c r="H317" s="443"/>
      <c r="I317" s="446">
        <v>141.42077073290432</v>
      </c>
      <c r="J317" s="446">
        <v>141.41979522482487</v>
      </c>
      <c r="K317" s="446">
        <v>141.42039217832914</v>
      </c>
    </row>
    <row r="318" spans="1:11" ht="18.75" customHeight="1" x14ac:dyDescent="0.4">
      <c r="A318" s="445">
        <v>139</v>
      </c>
      <c r="B318" s="442"/>
      <c r="C318" s="446">
        <v>141.42077073290432</v>
      </c>
      <c r="D318" s="446">
        <v>141.41979522482487</v>
      </c>
      <c r="E318" s="446">
        <v>141.42039217832914</v>
      </c>
      <c r="G318" s="445">
        <v>141</v>
      </c>
      <c r="H318" s="443"/>
      <c r="I318" s="446">
        <v>141.42077073290432</v>
      </c>
      <c r="J318" s="446">
        <v>141.41979522482487</v>
      </c>
      <c r="K318" s="446">
        <v>141.42039217832914</v>
      </c>
    </row>
    <row r="319" spans="1:11" ht="18.75" customHeight="1" x14ac:dyDescent="0.4">
      <c r="A319" s="445">
        <v>140</v>
      </c>
      <c r="B319" s="442"/>
      <c r="C319" s="446">
        <v>141.42077073290432</v>
      </c>
      <c r="D319" s="446">
        <v>141.41979522482487</v>
      </c>
      <c r="E319" s="446">
        <v>141.42039217832914</v>
      </c>
      <c r="G319" s="445">
        <v>142</v>
      </c>
      <c r="H319" s="443"/>
      <c r="I319" s="446">
        <v>141.42077073290432</v>
      </c>
      <c r="J319" s="446">
        <v>141.41979522482487</v>
      </c>
      <c r="K319" s="446">
        <v>141.42039217832914</v>
      </c>
    </row>
    <row r="320" spans="1:11" ht="18.75" customHeight="1" x14ac:dyDescent="0.4">
      <c r="A320" s="445">
        <v>141</v>
      </c>
      <c r="B320" s="442"/>
      <c r="C320" s="446">
        <v>141.42077073290432</v>
      </c>
      <c r="D320" s="446">
        <v>141.41979522482487</v>
      </c>
      <c r="E320" s="446">
        <v>141.42039217832914</v>
      </c>
      <c r="G320" s="445">
        <v>143</v>
      </c>
      <c r="H320" s="443"/>
      <c r="I320" s="446">
        <v>141.42077073290432</v>
      </c>
      <c r="J320" s="446">
        <v>141.41979522482487</v>
      </c>
      <c r="K320" s="446">
        <v>141.42039217832914</v>
      </c>
    </row>
    <row r="321" spans="1:11" ht="18.75" customHeight="1" x14ac:dyDescent="0.4">
      <c r="A321" s="445">
        <v>142</v>
      </c>
      <c r="B321" s="442"/>
      <c r="C321" s="446">
        <v>141.42077073290432</v>
      </c>
      <c r="D321" s="446">
        <v>141.41979522482487</v>
      </c>
      <c r="E321" s="446">
        <v>141.42039217832914</v>
      </c>
      <c r="G321" s="445">
        <v>144</v>
      </c>
      <c r="H321" s="443"/>
      <c r="I321" s="446">
        <v>141.42077073290432</v>
      </c>
      <c r="J321" s="446">
        <v>141.41979522482487</v>
      </c>
      <c r="K321" s="446">
        <v>141.42039217832914</v>
      </c>
    </row>
    <row r="322" spans="1:11" ht="18.75" customHeight="1" x14ac:dyDescent="0.4">
      <c r="A322" s="445">
        <v>143</v>
      </c>
      <c r="B322" s="442"/>
      <c r="C322" s="446">
        <v>141.42077073290432</v>
      </c>
      <c r="D322" s="446">
        <v>141.41979522482487</v>
      </c>
      <c r="E322" s="446">
        <v>141.42039217832914</v>
      </c>
      <c r="G322" s="445">
        <v>145</v>
      </c>
      <c r="H322" s="443"/>
      <c r="I322" s="446">
        <v>141.42077073290432</v>
      </c>
      <c r="J322" s="446">
        <v>141.41979522482487</v>
      </c>
      <c r="K322" s="446">
        <v>141.42039217832914</v>
      </c>
    </row>
    <row r="323" spans="1:11" ht="18.75" customHeight="1" x14ac:dyDescent="0.4">
      <c r="A323" s="445">
        <v>144</v>
      </c>
      <c r="B323" s="442"/>
      <c r="C323" s="446">
        <v>141.42077073290432</v>
      </c>
      <c r="D323" s="446">
        <v>141.41979522482487</v>
      </c>
      <c r="E323" s="446">
        <v>141.42039217832914</v>
      </c>
      <c r="G323" s="445">
        <v>146</v>
      </c>
      <c r="H323" s="443"/>
      <c r="I323" s="446">
        <v>141.42077073290432</v>
      </c>
      <c r="J323" s="446">
        <v>141.41979522482487</v>
      </c>
      <c r="K323" s="446">
        <v>141.42039217832914</v>
      </c>
    </row>
    <row r="324" spans="1:11" ht="18.75" customHeight="1" x14ac:dyDescent="0.4">
      <c r="A324" s="445">
        <v>145</v>
      </c>
      <c r="B324" s="442"/>
      <c r="C324" s="446">
        <v>141.42077073290432</v>
      </c>
      <c r="D324" s="446">
        <v>141.41979522482487</v>
      </c>
      <c r="E324" s="446">
        <v>141.42039217832914</v>
      </c>
      <c r="G324" s="445">
        <v>147</v>
      </c>
      <c r="H324" s="443"/>
      <c r="I324" s="446">
        <v>141.42077073290432</v>
      </c>
      <c r="J324" s="446">
        <v>141.41979522482487</v>
      </c>
      <c r="K324" s="446">
        <v>141.42039217832914</v>
      </c>
    </row>
    <row r="325" spans="1:11" ht="18.75" customHeight="1" x14ac:dyDescent="0.4">
      <c r="A325" s="445">
        <v>146</v>
      </c>
      <c r="B325" s="442"/>
      <c r="C325" s="446">
        <v>141.42077073290432</v>
      </c>
      <c r="D325" s="446">
        <v>141.41979522482487</v>
      </c>
      <c r="E325" s="446">
        <v>141.42039217832914</v>
      </c>
      <c r="G325" s="445">
        <v>149</v>
      </c>
      <c r="H325" s="443"/>
      <c r="I325" s="446">
        <v>141.42077073290432</v>
      </c>
      <c r="J325" s="446">
        <v>141.41979522482487</v>
      </c>
      <c r="K325" s="446">
        <v>141.42039217832914</v>
      </c>
    </row>
    <row r="326" spans="1:11" ht="18.75" customHeight="1" x14ac:dyDescent="0.4">
      <c r="A326" s="445">
        <v>147</v>
      </c>
      <c r="B326" s="442"/>
      <c r="C326" s="446">
        <v>141.42077073290432</v>
      </c>
      <c r="D326" s="446">
        <v>141.41979522482487</v>
      </c>
      <c r="E326" s="446">
        <v>141.42039217832914</v>
      </c>
      <c r="G326" s="445">
        <v>150</v>
      </c>
      <c r="H326" s="443"/>
      <c r="I326" s="446">
        <v>141.42077073290432</v>
      </c>
      <c r="J326" s="446">
        <v>141.41979522482487</v>
      </c>
      <c r="K326" s="446">
        <v>141.42039217832914</v>
      </c>
    </row>
    <row r="327" spans="1:11" ht="18.75" customHeight="1" x14ac:dyDescent="0.4">
      <c r="A327" s="445">
        <v>143</v>
      </c>
      <c r="B327" s="442"/>
      <c r="C327" s="446"/>
      <c r="D327" s="446"/>
      <c r="E327" s="446"/>
      <c r="G327" s="445">
        <v>151</v>
      </c>
      <c r="H327" s="443"/>
      <c r="I327" s="446">
        <v>141.42077073290432</v>
      </c>
      <c r="J327" s="446">
        <v>141.41979522482487</v>
      </c>
      <c r="K327" s="446">
        <v>141.42039217832914</v>
      </c>
    </row>
    <row r="328" spans="1:11" ht="18.75" customHeight="1" x14ac:dyDescent="0.4">
      <c r="A328" s="445">
        <v>149</v>
      </c>
      <c r="B328" s="442"/>
      <c r="C328" s="446">
        <v>141.42077073290432</v>
      </c>
      <c r="D328" s="446">
        <v>141.41979522482487</v>
      </c>
      <c r="E328" s="446">
        <v>141.42039217832914</v>
      </c>
      <c r="G328" s="445">
        <v>152</v>
      </c>
      <c r="H328" s="443"/>
      <c r="I328" s="446">
        <v>141.42077073290432</v>
      </c>
      <c r="J328" s="446">
        <v>141.41979522482487</v>
      </c>
      <c r="K328" s="446">
        <v>141.42039217832914</v>
      </c>
    </row>
    <row r="329" spans="1:11" ht="18.75" customHeight="1" x14ac:dyDescent="0.4">
      <c r="A329" s="445">
        <v>150</v>
      </c>
      <c r="B329" s="442"/>
      <c r="C329" s="446">
        <v>141.42077073290432</v>
      </c>
      <c r="D329" s="446">
        <v>141.41979522482487</v>
      </c>
      <c r="E329" s="446">
        <v>141.42039217832914</v>
      </c>
      <c r="G329" s="445">
        <v>153</v>
      </c>
      <c r="H329" s="443"/>
      <c r="I329" s="446">
        <v>141.42077073290432</v>
      </c>
      <c r="J329" s="446">
        <v>141.41979522482487</v>
      </c>
      <c r="K329" s="446">
        <v>141.42039217832914</v>
      </c>
    </row>
    <row r="330" spans="1:11" ht="18.75" customHeight="1" x14ac:dyDescent="0.4">
      <c r="A330" s="445">
        <v>151</v>
      </c>
      <c r="B330" s="442"/>
      <c r="C330" s="446">
        <v>141.42077073290432</v>
      </c>
      <c r="D330" s="446">
        <v>141.41979522482487</v>
      </c>
      <c r="E330" s="446">
        <v>141.42039217832914</v>
      </c>
      <c r="G330" s="445">
        <v>154</v>
      </c>
      <c r="H330" s="443"/>
      <c r="I330" s="446">
        <v>141.42077073290432</v>
      </c>
      <c r="J330" s="446">
        <v>141.41979522482487</v>
      </c>
      <c r="K330" s="446">
        <v>141.42039217832914</v>
      </c>
    </row>
    <row r="331" spans="1:11" ht="18.75" customHeight="1" x14ac:dyDescent="0.4">
      <c r="A331" s="445">
        <v>152</v>
      </c>
      <c r="B331" s="442"/>
      <c r="C331" s="446">
        <v>141.42077073290432</v>
      </c>
      <c r="D331" s="446">
        <v>141.41979522482487</v>
      </c>
      <c r="E331" s="446">
        <v>141.42039217832914</v>
      </c>
      <c r="G331" s="445">
        <v>155</v>
      </c>
      <c r="H331" s="443"/>
      <c r="I331" s="446">
        <v>141.42077073290432</v>
      </c>
      <c r="J331" s="446">
        <v>141.41979522482487</v>
      </c>
      <c r="K331" s="446">
        <v>141.42039217832914</v>
      </c>
    </row>
    <row r="332" spans="1:11" ht="18.75" customHeight="1" x14ac:dyDescent="0.4">
      <c r="A332" s="445">
        <v>153</v>
      </c>
      <c r="B332" s="442"/>
      <c r="C332" s="446">
        <v>141.42077073290432</v>
      </c>
      <c r="D332" s="446">
        <v>141.41979522482487</v>
      </c>
      <c r="E332" s="446">
        <v>141.42039217832914</v>
      </c>
      <c r="G332" s="445">
        <v>156</v>
      </c>
      <c r="H332" s="443"/>
      <c r="I332" s="446">
        <v>141.42077073290432</v>
      </c>
      <c r="J332" s="446">
        <v>141.41979522482487</v>
      </c>
      <c r="K332" s="446">
        <v>141.42039217832914</v>
      </c>
    </row>
    <row r="333" spans="1:11" ht="18.75" customHeight="1" x14ac:dyDescent="0.4">
      <c r="A333" s="445">
        <v>154</v>
      </c>
      <c r="B333" s="442"/>
      <c r="C333" s="446">
        <v>141.42077073290432</v>
      </c>
      <c r="D333" s="446">
        <v>141.41979522482487</v>
      </c>
      <c r="E333" s="446">
        <v>141.42039217832914</v>
      </c>
      <c r="G333" s="445">
        <v>157</v>
      </c>
      <c r="H333" s="443"/>
      <c r="I333" s="446">
        <v>141.42077073290432</v>
      </c>
      <c r="J333" s="446">
        <v>141.41979522482487</v>
      </c>
      <c r="K333" s="446">
        <v>141.42039217832914</v>
      </c>
    </row>
    <row r="334" spans="1:11" ht="18.75" customHeight="1" x14ac:dyDescent="0.4">
      <c r="A334" s="445">
        <v>155</v>
      </c>
      <c r="B334" s="442"/>
      <c r="C334" s="446">
        <v>141.42077073290432</v>
      </c>
      <c r="D334" s="446">
        <v>141.41979522482487</v>
      </c>
      <c r="E334" s="446">
        <v>141.42039217832914</v>
      </c>
      <c r="G334" s="445">
        <v>158</v>
      </c>
      <c r="H334" s="443"/>
      <c r="I334" s="446">
        <v>141.42077073290432</v>
      </c>
      <c r="J334" s="446">
        <v>141.41979522482487</v>
      </c>
      <c r="K334" s="446">
        <v>141.42039217832914</v>
      </c>
    </row>
    <row r="335" spans="1:11" ht="18.75" customHeight="1" x14ac:dyDescent="0.4">
      <c r="A335" s="445">
        <v>156</v>
      </c>
      <c r="B335" s="442"/>
      <c r="C335" s="446">
        <v>141.42077073290432</v>
      </c>
      <c r="D335" s="446">
        <v>141.41979522482487</v>
      </c>
      <c r="E335" s="446">
        <v>141.42039217832914</v>
      </c>
      <c r="G335" s="445">
        <v>159</v>
      </c>
      <c r="H335" s="443"/>
      <c r="I335" s="446">
        <v>141.42077073290432</v>
      </c>
      <c r="J335" s="446">
        <v>141.41979522482487</v>
      </c>
      <c r="K335" s="446">
        <v>141.42039217832914</v>
      </c>
    </row>
    <row r="336" spans="1:11" ht="18.75" customHeight="1" x14ac:dyDescent="0.4">
      <c r="A336" s="445">
        <v>157</v>
      </c>
      <c r="B336" s="442"/>
      <c r="C336" s="446">
        <v>141.42077073290432</v>
      </c>
      <c r="D336" s="446">
        <v>141.41979522482487</v>
      </c>
      <c r="E336" s="446">
        <v>141.42039217832914</v>
      </c>
      <c r="G336" s="445">
        <v>160</v>
      </c>
      <c r="H336" s="443"/>
      <c r="I336" s="446">
        <v>141.42077073290432</v>
      </c>
      <c r="J336" s="446">
        <v>141.41979522482487</v>
      </c>
      <c r="K336" s="446">
        <v>141.42039217832914</v>
      </c>
    </row>
    <row r="337" spans="1:11" ht="18.75" customHeight="1" x14ac:dyDescent="0.4">
      <c r="A337" s="445">
        <v>158</v>
      </c>
      <c r="B337" s="442"/>
      <c r="C337" s="446">
        <v>141.42077073290432</v>
      </c>
      <c r="D337" s="446">
        <v>141.41979522482487</v>
      </c>
      <c r="E337" s="446">
        <v>141.42039217832914</v>
      </c>
      <c r="G337" s="445">
        <v>161</v>
      </c>
      <c r="H337" s="443"/>
      <c r="I337" s="446">
        <v>141.42077073290432</v>
      </c>
      <c r="J337" s="446">
        <v>141.41979522482487</v>
      </c>
      <c r="K337" s="446">
        <v>141.42039217832914</v>
      </c>
    </row>
    <row r="338" spans="1:11" ht="18.75" customHeight="1" x14ac:dyDescent="0.4">
      <c r="A338" s="445">
        <v>159</v>
      </c>
      <c r="B338" s="442"/>
      <c r="C338" s="446">
        <v>141.42077073290432</v>
      </c>
      <c r="D338" s="446">
        <v>141.41979522482487</v>
      </c>
      <c r="E338" s="446">
        <v>141.42039217832914</v>
      </c>
      <c r="G338" s="445">
        <v>162</v>
      </c>
      <c r="H338" s="443"/>
      <c r="I338" s="446">
        <v>141.42077073290432</v>
      </c>
      <c r="J338" s="446">
        <v>141.41979522482487</v>
      </c>
      <c r="K338" s="446">
        <v>141.42039217832914</v>
      </c>
    </row>
    <row r="339" spans="1:11" ht="18.75" customHeight="1" x14ac:dyDescent="0.4">
      <c r="A339" s="445">
        <v>160</v>
      </c>
      <c r="B339" s="442"/>
      <c r="C339" s="446">
        <v>141.42077073290432</v>
      </c>
      <c r="D339" s="446">
        <v>141.41979522482487</v>
      </c>
      <c r="E339" s="446">
        <v>141.42039217832914</v>
      </c>
      <c r="G339" s="445">
        <v>163</v>
      </c>
      <c r="H339" s="443"/>
      <c r="I339" s="446">
        <v>141.42077073290432</v>
      </c>
      <c r="J339" s="446">
        <v>141.41979522482487</v>
      </c>
      <c r="K339" s="446">
        <v>141.42039217832914</v>
      </c>
    </row>
    <row r="340" spans="1:11" ht="18.75" customHeight="1" x14ac:dyDescent="0.4">
      <c r="A340" s="445">
        <v>161</v>
      </c>
      <c r="B340" s="442"/>
      <c r="C340" s="446">
        <v>141.42077073290432</v>
      </c>
      <c r="D340" s="446">
        <v>141.41979522482487</v>
      </c>
      <c r="E340" s="446">
        <v>141.42039217832914</v>
      </c>
      <c r="G340" s="445">
        <v>164</v>
      </c>
      <c r="H340" s="443"/>
      <c r="I340" s="446">
        <v>141.42077073290432</v>
      </c>
      <c r="J340" s="446">
        <v>141.41979522482487</v>
      </c>
      <c r="K340" s="446">
        <v>141.42039217832914</v>
      </c>
    </row>
    <row r="341" spans="1:11" ht="18.75" customHeight="1" x14ac:dyDescent="0.4">
      <c r="A341" s="445">
        <v>162</v>
      </c>
      <c r="B341" s="442"/>
      <c r="C341" s="446">
        <v>141.42077073290432</v>
      </c>
      <c r="D341" s="446">
        <v>141.41979522482487</v>
      </c>
      <c r="E341" s="446">
        <v>141.42039217832914</v>
      </c>
      <c r="G341" s="445">
        <v>165</v>
      </c>
      <c r="H341" s="443"/>
      <c r="I341" s="446">
        <v>141.42077073290432</v>
      </c>
      <c r="J341" s="446">
        <v>141.41979522482487</v>
      </c>
      <c r="K341" s="446">
        <v>141.42039217832914</v>
      </c>
    </row>
    <row r="342" spans="1:11" ht="18.75" customHeight="1" x14ac:dyDescent="0.4">
      <c r="A342" s="445">
        <v>163</v>
      </c>
      <c r="B342" s="442"/>
      <c r="C342" s="446">
        <v>141.42077073290432</v>
      </c>
      <c r="D342" s="446">
        <v>141.41979522482487</v>
      </c>
      <c r="E342" s="446">
        <v>141.42039217832914</v>
      </c>
      <c r="G342" s="445">
        <v>166</v>
      </c>
      <c r="H342" s="443"/>
      <c r="I342" s="446">
        <v>141.42077073290432</v>
      </c>
      <c r="J342" s="446">
        <v>141.41979522482487</v>
      </c>
      <c r="K342" s="446">
        <v>141.42039217832914</v>
      </c>
    </row>
    <row r="343" spans="1:11" ht="18.75" customHeight="1" x14ac:dyDescent="0.4">
      <c r="A343" s="445">
        <v>164</v>
      </c>
      <c r="B343" s="442"/>
      <c r="C343" s="446">
        <v>141.42077073290432</v>
      </c>
      <c r="D343" s="446">
        <v>141.41979522482487</v>
      </c>
      <c r="E343" s="446">
        <v>141.42039217832914</v>
      </c>
      <c r="G343" s="445">
        <v>167</v>
      </c>
      <c r="H343" s="443"/>
      <c r="I343" s="446">
        <v>141.42077073290432</v>
      </c>
      <c r="J343" s="446">
        <v>141.41979522482487</v>
      </c>
      <c r="K343" s="446">
        <v>141.42039217832914</v>
      </c>
    </row>
    <row r="344" spans="1:11" ht="18.75" customHeight="1" x14ac:dyDescent="0.4">
      <c r="A344" s="445">
        <v>165</v>
      </c>
      <c r="B344" s="442"/>
      <c r="C344" s="446">
        <v>141.42077073290432</v>
      </c>
      <c r="D344" s="446">
        <v>141.41979522482487</v>
      </c>
      <c r="E344" s="446">
        <v>141.42039217832914</v>
      </c>
      <c r="G344" s="445">
        <v>168</v>
      </c>
      <c r="H344" s="443"/>
      <c r="I344" s="446">
        <v>141.42077073290432</v>
      </c>
      <c r="J344" s="446">
        <v>141.41979522482487</v>
      </c>
      <c r="K344" s="446">
        <v>141.42039217832914</v>
      </c>
    </row>
    <row r="345" spans="1:11" ht="18.75" customHeight="1" x14ac:dyDescent="0.4">
      <c r="A345" s="445">
        <v>166</v>
      </c>
      <c r="B345" s="442"/>
      <c r="C345" s="446">
        <v>141.42077073290432</v>
      </c>
      <c r="D345" s="446">
        <v>141.41979522482487</v>
      </c>
      <c r="E345" s="446">
        <v>141.42039217832914</v>
      </c>
      <c r="G345" s="445">
        <v>169</v>
      </c>
      <c r="H345" s="443"/>
      <c r="I345" s="446">
        <v>141.42077073290432</v>
      </c>
      <c r="J345" s="446">
        <v>141.41979522482487</v>
      </c>
      <c r="K345" s="446">
        <v>141.42039217832914</v>
      </c>
    </row>
    <row r="346" spans="1:11" ht="18.75" customHeight="1" x14ac:dyDescent="0.4">
      <c r="A346" s="445">
        <v>167</v>
      </c>
      <c r="B346" s="442"/>
      <c r="C346" s="446">
        <v>141.42077073290432</v>
      </c>
      <c r="D346" s="446">
        <v>141.41979522482487</v>
      </c>
      <c r="E346" s="446">
        <v>141.42039217832914</v>
      </c>
      <c r="G346" s="445">
        <v>170</v>
      </c>
      <c r="H346" s="443"/>
      <c r="I346" s="446">
        <v>141.42077073290432</v>
      </c>
      <c r="J346" s="446">
        <v>141.41979522482487</v>
      </c>
      <c r="K346" s="446">
        <v>141.42039217832914</v>
      </c>
    </row>
    <row r="347" spans="1:11" ht="18.75" customHeight="1" x14ac:dyDescent="0.4">
      <c r="A347" s="445">
        <v>168</v>
      </c>
      <c r="B347" s="442"/>
      <c r="C347" s="446">
        <v>141.42077073290432</v>
      </c>
      <c r="D347" s="446">
        <v>141.41979522482487</v>
      </c>
      <c r="E347" s="446">
        <v>141.42039217832914</v>
      </c>
      <c r="G347" s="445">
        <v>171</v>
      </c>
      <c r="H347" s="443"/>
      <c r="I347" s="446">
        <v>141.42077073290432</v>
      </c>
      <c r="J347" s="446">
        <v>141.41979522482487</v>
      </c>
      <c r="K347" s="446">
        <v>141.42039217832914</v>
      </c>
    </row>
    <row r="348" spans="1:11" ht="18.75" customHeight="1" x14ac:dyDescent="0.4">
      <c r="A348" s="445">
        <v>169</v>
      </c>
      <c r="B348" s="442"/>
      <c r="C348" s="446">
        <v>141.42077073290432</v>
      </c>
      <c r="D348" s="446">
        <v>141.41979522482487</v>
      </c>
      <c r="E348" s="446">
        <v>141.42039217832914</v>
      </c>
      <c r="G348" s="445">
        <v>172</v>
      </c>
      <c r="H348" s="443"/>
      <c r="I348" s="446">
        <v>141.42077073290432</v>
      </c>
      <c r="J348" s="446">
        <v>141.41979522482487</v>
      </c>
      <c r="K348" s="446">
        <v>141.42039217832914</v>
      </c>
    </row>
    <row r="349" spans="1:11" ht="18.75" customHeight="1" x14ac:dyDescent="0.4">
      <c r="A349" s="445">
        <v>170</v>
      </c>
      <c r="B349" s="442"/>
      <c r="C349" s="446">
        <v>141.42077073290432</v>
      </c>
      <c r="D349" s="446">
        <v>141.41979522482487</v>
      </c>
      <c r="E349" s="446">
        <v>141.42039217832914</v>
      </c>
      <c r="G349" s="445">
        <v>173</v>
      </c>
      <c r="H349" s="443"/>
      <c r="I349" s="446">
        <v>141.42077073290432</v>
      </c>
      <c r="J349" s="446">
        <v>141.41979522482487</v>
      </c>
      <c r="K349" s="446">
        <v>141.42039217832914</v>
      </c>
    </row>
    <row r="350" spans="1:11" ht="18.75" customHeight="1" x14ac:dyDescent="0.4">
      <c r="A350" s="445">
        <v>171</v>
      </c>
      <c r="B350" s="442"/>
      <c r="C350" s="446">
        <v>141.42077073290432</v>
      </c>
      <c r="D350" s="446">
        <v>141.41979522482487</v>
      </c>
      <c r="E350" s="446">
        <v>141.42039217832914</v>
      </c>
      <c r="G350" s="445">
        <v>174</v>
      </c>
      <c r="H350" s="443"/>
      <c r="I350" s="446">
        <v>141.42077073290432</v>
      </c>
      <c r="J350" s="446">
        <v>141.41979522482487</v>
      </c>
      <c r="K350" s="446">
        <v>141.42039217832914</v>
      </c>
    </row>
    <row r="351" spans="1:11" ht="18.75" customHeight="1" x14ac:dyDescent="0.4">
      <c r="A351" s="445">
        <v>172</v>
      </c>
      <c r="B351" s="442"/>
      <c r="C351" s="446">
        <v>141.42077073290432</v>
      </c>
      <c r="D351" s="446">
        <v>141.41979522482487</v>
      </c>
      <c r="E351" s="446">
        <v>141.42039217832914</v>
      </c>
      <c r="G351" s="445">
        <v>175</v>
      </c>
      <c r="H351" s="443"/>
      <c r="I351" s="446">
        <v>141.42077073290432</v>
      </c>
      <c r="J351" s="446">
        <v>141.41979522482487</v>
      </c>
      <c r="K351" s="446">
        <v>141.42039217832914</v>
      </c>
    </row>
    <row r="352" spans="1:11" ht="18.75" customHeight="1" x14ac:dyDescent="0.4">
      <c r="A352" s="445">
        <v>173</v>
      </c>
      <c r="B352" s="442"/>
      <c r="C352" s="446">
        <v>141.42077073290432</v>
      </c>
      <c r="D352" s="446">
        <v>141.41979522482487</v>
      </c>
      <c r="E352" s="446">
        <v>141.42039217832914</v>
      </c>
      <c r="G352" s="445">
        <v>176</v>
      </c>
      <c r="H352" s="443"/>
      <c r="I352" s="446">
        <v>141.42077073290432</v>
      </c>
      <c r="J352" s="446">
        <v>141.41979522482487</v>
      </c>
      <c r="K352" s="446">
        <v>141.42039217832914</v>
      </c>
    </row>
    <row r="353" spans="1:11" ht="18.75" customHeight="1" x14ac:dyDescent="0.4">
      <c r="A353" s="445">
        <v>174</v>
      </c>
      <c r="B353" s="442"/>
      <c r="C353" s="446">
        <v>141.42077073290432</v>
      </c>
      <c r="D353" s="446">
        <v>141.41979522482487</v>
      </c>
      <c r="E353" s="446">
        <v>141.42039217832914</v>
      </c>
      <c r="G353" s="445">
        <v>177</v>
      </c>
      <c r="H353" s="443"/>
      <c r="I353" s="446">
        <v>141.42077073290432</v>
      </c>
      <c r="J353" s="446">
        <v>141.41979522482487</v>
      </c>
      <c r="K353" s="446">
        <v>141.42039217832914</v>
      </c>
    </row>
    <row r="354" spans="1:11" ht="18.75" customHeight="1" x14ac:dyDescent="0.4">
      <c r="A354" s="445">
        <v>175</v>
      </c>
      <c r="B354" s="442"/>
      <c r="C354" s="446">
        <v>141.42077073290432</v>
      </c>
      <c r="D354" s="446">
        <v>141.41979522482487</v>
      </c>
      <c r="E354" s="446">
        <v>141.42039217832914</v>
      </c>
      <c r="G354" s="445">
        <v>178</v>
      </c>
      <c r="H354" s="443"/>
      <c r="I354" s="446">
        <v>141.42077073290432</v>
      </c>
      <c r="J354" s="446">
        <v>141.41979522482487</v>
      </c>
      <c r="K354" s="446">
        <v>141.42039217832914</v>
      </c>
    </row>
    <row r="355" spans="1:11" ht="18.75" customHeight="1" x14ac:dyDescent="0.4">
      <c r="A355" s="445">
        <v>176</v>
      </c>
      <c r="B355" s="442"/>
      <c r="C355" s="446">
        <v>141.42077073290432</v>
      </c>
      <c r="D355" s="446">
        <v>141.41979522482487</v>
      </c>
      <c r="E355" s="446">
        <v>141.42039217832914</v>
      </c>
      <c r="G355" s="445">
        <v>179</v>
      </c>
      <c r="H355" s="443"/>
      <c r="I355" s="446">
        <v>141.42077073290432</v>
      </c>
      <c r="J355" s="446">
        <v>141.41979522482487</v>
      </c>
      <c r="K355" s="446">
        <v>141.42039217832914</v>
      </c>
    </row>
    <row r="356" spans="1:11" ht="18.75" customHeight="1" x14ac:dyDescent="0.4">
      <c r="A356" s="445">
        <v>177</v>
      </c>
      <c r="B356" s="442"/>
      <c r="C356" s="446">
        <v>141.42077073290432</v>
      </c>
      <c r="D356" s="446">
        <v>141.41979522482487</v>
      </c>
      <c r="E356" s="446">
        <v>141.42039217832914</v>
      </c>
      <c r="G356" s="445">
        <v>180</v>
      </c>
      <c r="H356" s="443"/>
      <c r="I356" s="446">
        <v>141.42077073290432</v>
      </c>
      <c r="J356" s="446">
        <v>141.41979522482487</v>
      </c>
      <c r="K356" s="446">
        <v>141.42039217832914</v>
      </c>
    </row>
    <row r="357" spans="1:11" ht="18.75" customHeight="1" x14ac:dyDescent="0.4">
      <c r="A357" s="445">
        <v>178</v>
      </c>
      <c r="B357" s="442"/>
      <c r="C357" s="446">
        <v>141.42077073290432</v>
      </c>
      <c r="D357" s="446">
        <v>141.41979522482487</v>
      </c>
      <c r="E357" s="446">
        <v>141.42039217832914</v>
      </c>
      <c r="G357" s="445">
        <v>181</v>
      </c>
      <c r="H357" s="443"/>
      <c r="I357" s="446">
        <v>141.42077073290432</v>
      </c>
      <c r="J357" s="446">
        <v>141.41979522482487</v>
      </c>
      <c r="K357" s="446">
        <v>141.42039217832914</v>
      </c>
    </row>
    <row r="358" spans="1:11" ht="18.75" customHeight="1" x14ac:dyDescent="0.4">
      <c r="A358" s="445">
        <v>179</v>
      </c>
      <c r="B358" s="442"/>
      <c r="C358" s="446">
        <v>141.42077073290432</v>
      </c>
      <c r="D358" s="446">
        <v>141.41979522482487</v>
      </c>
      <c r="E358" s="446">
        <v>141.42039217832914</v>
      </c>
      <c r="G358" s="445">
        <v>182</v>
      </c>
      <c r="H358" s="443"/>
      <c r="I358" s="446">
        <v>141.42077073290432</v>
      </c>
      <c r="J358" s="446">
        <v>141.41979522482487</v>
      </c>
      <c r="K358" s="446">
        <v>141.42039217832914</v>
      </c>
    </row>
    <row r="359" spans="1:11" ht="18.75" customHeight="1" x14ac:dyDescent="0.4">
      <c r="A359" s="445">
        <v>180</v>
      </c>
      <c r="B359" s="442"/>
      <c r="C359" s="446">
        <v>141.42077073290432</v>
      </c>
      <c r="D359" s="446">
        <v>141.41979522482487</v>
      </c>
      <c r="E359" s="446">
        <v>141.42039217832914</v>
      </c>
      <c r="G359" s="445">
        <v>183</v>
      </c>
      <c r="H359" s="443"/>
      <c r="I359" s="446">
        <v>141.42077073290432</v>
      </c>
      <c r="J359" s="446">
        <v>141.41979522482487</v>
      </c>
      <c r="K359" s="446">
        <v>141.42039217832914</v>
      </c>
    </row>
    <row r="360" spans="1:11" ht="18.75" customHeight="1" x14ac:dyDescent="0.4">
      <c r="A360" s="445">
        <v>181</v>
      </c>
      <c r="B360" s="442"/>
      <c r="C360" s="446">
        <v>141.42077073290432</v>
      </c>
      <c r="D360" s="446">
        <v>141.41979522482487</v>
      </c>
      <c r="E360" s="446">
        <v>141.42039217832914</v>
      </c>
      <c r="G360" s="445">
        <v>184</v>
      </c>
      <c r="H360" s="443"/>
      <c r="I360" s="446">
        <v>141.42077073290432</v>
      </c>
      <c r="J360" s="446">
        <v>141.41979522482487</v>
      </c>
      <c r="K360" s="446">
        <v>141.42039217832914</v>
      </c>
    </row>
    <row r="361" spans="1:11" ht="18.75" customHeight="1" x14ac:dyDescent="0.4">
      <c r="A361" s="445">
        <v>182</v>
      </c>
      <c r="B361" s="442"/>
      <c r="C361" s="446">
        <v>141.42077073290432</v>
      </c>
      <c r="D361" s="446">
        <v>141.41979522482487</v>
      </c>
      <c r="E361" s="446">
        <v>141.42039217832914</v>
      </c>
      <c r="G361" s="445">
        <v>185</v>
      </c>
      <c r="H361" s="443"/>
      <c r="I361" s="446">
        <v>141.42077073290432</v>
      </c>
      <c r="J361" s="446">
        <v>141.41979522482487</v>
      </c>
      <c r="K361" s="446">
        <v>141.42039217832914</v>
      </c>
    </row>
    <row r="362" spans="1:11" ht="18.75" customHeight="1" x14ac:dyDescent="0.4">
      <c r="A362" s="445">
        <v>183</v>
      </c>
      <c r="B362" s="442"/>
      <c r="C362" s="446">
        <v>141.42077073290432</v>
      </c>
      <c r="D362" s="446">
        <v>141.41979522482487</v>
      </c>
      <c r="E362" s="446">
        <v>141.42039217832914</v>
      </c>
      <c r="G362" s="445">
        <v>186</v>
      </c>
      <c r="H362" s="443"/>
      <c r="I362" s="446">
        <v>141.42077073290432</v>
      </c>
      <c r="J362" s="446">
        <v>141.41979522482487</v>
      </c>
      <c r="K362" s="446">
        <v>141.42039217832914</v>
      </c>
    </row>
    <row r="363" spans="1:11" ht="18.75" customHeight="1" x14ac:dyDescent="0.4">
      <c r="A363" s="445">
        <v>184</v>
      </c>
      <c r="B363" s="442"/>
      <c r="C363" s="446">
        <v>141.42077073290432</v>
      </c>
      <c r="D363" s="446">
        <v>141.41979522482487</v>
      </c>
      <c r="E363" s="446">
        <v>141.42039217832914</v>
      </c>
      <c r="G363" s="445">
        <v>187</v>
      </c>
      <c r="H363" s="443"/>
      <c r="I363" s="446">
        <v>141.42077073290432</v>
      </c>
      <c r="J363" s="446">
        <v>141.41979522482487</v>
      </c>
      <c r="K363" s="446">
        <v>141.42039217832914</v>
      </c>
    </row>
    <row r="364" spans="1:11" ht="18.75" customHeight="1" x14ac:dyDescent="0.4">
      <c r="A364" s="445">
        <v>185</v>
      </c>
      <c r="B364" s="442"/>
      <c r="C364" s="446">
        <v>141.42077073290432</v>
      </c>
      <c r="D364" s="446">
        <v>141.41979522482487</v>
      </c>
      <c r="E364" s="446">
        <v>141.42039217832914</v>
      </c>
      <c r="G364" s="445">
        <v>188</v>
      </c>
      <c r="H364" s="443"/>
      <c r="I364" s="446">
        <v>141.42077073290432</v>
      </c>
      <c r="J364" s="446">
        <v>141.41979522482487</v>
      </c>
      <c r="K364" s="446">
        <v>141.42039217832914</v>
      </c>
    </row>
    <row r="365" spans="1:11" ht="18.75" customHeight="1" x14ac:dyDescent="0.4">
      <c r="A365" s="445">
        <v>186</v>
      </c>
      <c r="B365" s="442"/>
      <c r="C365" s="446">
        <v>141.42077073290432</v>
      </c>
      <c r="D365" s="446">
        <v>141.41979522482487</v>
      </c>
      <c r="E365" s="446">
        <v>141.42039217832914</v>
      </c>
      <c r="G365" s="445">
        <v>189</v>
      </c>
      <c r="H365" s="443"/>
      <c r="I365" s="446">
        <v>141.42077073290432</v>
      </c>
      <c r="J365" s="446">
        <v>141.41979522482487</v>
      </c>
      <c r="K365" s="446">
        <v>141.42039217832914</v>
      </c>
    </row>
    <row r="366" spans="1:11" ht="18.75" customHeight="1" x14ac:dyDescent="0.4">
      <c r="A366" s="445">
        <v>187</v>
      </c>
      <c r="B366" s="442"/>
      <c r="C366" s="446">
        <v>141.42077073290432</v>
      </c>
      <c r="D366" s="446">
        <v>141.41979522482487</v>
      </c>
      <c r="E366" s="446">
        <v>141.42039217832914</v>
      </c>
      <c r="G366" s="445">
        <v>190</v>
      </c>
      <c r="H366" s="443"/>
      <c r="I366" s="446">
        <v>141.42077073290432</v>
      </c>
      <c r="J366" s="446">
        <v>141.41979522482487</v>
      </c>
      <c r="K366" s="446">
        <v>141.42039217832914</v>
      </c>
    </row>
    <row r="367" spans="1:11" ht="18.75" customHeight="1" x14ac:dyDescent="0.4">
      <c r="A367" s="445">
        <v>188</v>
      </c>
      <c r="B367" s="442"/>
      <c r="C367" s="446">
        <v>141.42077073290432</v>
      </c>
      <c r="D367" s="446">
        <v>141.41979522482487</v>
      </c>
      <c r="E367" s="446">
        <v>141.42039217832914</v>
      </c>
      <c r="G367" s="445">
        <v>191</v>
      </c>
      <c r="H367" s="443"/>
      <c r="I367" s="446">
        <v>141.42077073290432</v>
      </c>
      <c r="J367" s="446">
        <v>141.41979522482487</v>
      </c>
      <c r="K367" s="446">
        <v>141.42039217832914</v>
      </c>
    </row>
    <row r="368" spans="1:11" ht="18.75" customHeight="1" x14ac:dyDescent="0.4">
      <c r="A368" s="445">
        <v>189</v>
      </c>
      <c r="B368" s="442"/>
      <c r="C368" s="446">
        <v>141.42077073290432</v>
      </c>
      <c r="D368" s="446">
        <v>141.41979522482487</v>
      </c>
      <c r="E368" s="446">
        <v>141.42039217832914</v>
      </c>
      <c r="G368" s="445">
        <v>192</v>
      </c>
      <c r="H368" s="443"/>
      <c r="I368" s="446">
        <v>141.42077073290432</v>
      </c>
      <c r="J368" s="446">
        <v>141.41979522482487</v>
      </c>
      <c r="K368" s="446">
        <v>141.42039217832914</v>
      </c>
    </row>
    <row r="369" spans="1:11" ht="18.75" customHeight="1" x14ac:dyDescent="0.4">
      <c r="A369" s="445">
        <v>190</v>
      </c>
      <c r="B369" s="442"/>
      <c r="C369" s="446">
        <v>141.42077073290432</v>
      </c>
      <c r="D369" s="446">
        <v>141.41979522482487</v>
      </c>
      <c r="E369" s="446">
        <v>141.42039217832914</v>
      </c>
      <c r="G369" s="445">
        <v>193</v>
      </c>
      <c r="H369" s="443"/>
      <c r="I369" s="446">
        <v>141.42077073290432</v>
      </c>
      <c r="J369" s="446">
        <v>141.41979522482487</v>
      </c>
      <c r="K369" s="446">
        <v>141.42039217832914</v>
      </c>
    </row>
    <row r="370" spans="1:11" ht="18.75" customHeight="1" x14ac:dyDescent="0.4">
      <c r="A370" s="445">
        <v>191</v>
      </c>
      <c r="B370" s="442"/>
      <c r="C370" s="446">
        <v>141.42077073290432</v>
      </c>
      <c r="D370" s="446">
        <v>141.41979522482487</v>
      </c>
      <c r="E370" s="446">
        <v>141.42039217832914</v>
      </c>
      <c r="G370" s="445">
        <v>194</v>
      </c>
      <c r="H370" s="443"/>
      <c r="I370" s="446">
        <v>141.42077073290432</v>
      </c>
      <c r="J370" s="446">
        <v>141.41979522482487</v>
      </c>
      <c r="K370" s="446">
        <v>141.42039217832914</v>
      </c>
    </row>
    <row r="371" spans="1:11" ht="18.75" customHeight="1" x14ac:dyDescent="0.4">
      <c r="A371" s="445">
        <v>192</v>
      </c>
      <c r="B371" s="442"/>
      <c r="C371" s="446">
        <v>141.42077073290432</v>
      </c>
      <c r="D371" s="446">
        <v>141.41979522482487</v>
      </c>
      <c r="E371" s="446">
        <v>141.42039217832914</v>
      </c>
      <c r="G371" s="445">
        <v>195</v>
      </c>
      <c r="H371" s="443"/>
      <c r="I371" s="446">
        <v>141.42077073290432</v>
      </c>
      <c r="J371" s="446">
        <v>141.41979522482487</v>
      </c>
      <c r="K371" s="446">
        <v>141.42039217832914</v>
      </c>
    </row>
    <row r="372" spans="1:11" ht="18.75" customHeight="1" x14ac:dyDescent="0.4">
      <c r="A372" s="445">
        <v>193</v>
      </c>
      <c r="B372" s="442"/>
      <c r="C372" s="446">
        <v>141.42077073290432</v>
      </c>
      <c r="D372" s="446">
        <v>141.41979522482487</v>
      </c>
      <c r="E372" s="446">
        <v>141.42039217832914</v>
      </c>
      <c r="G372" s="445">
        <v>196</v>
      </c>
      <c r="H372" s="443"/>
      <c r="I372" s="446">
        <v>141.42077073290432</v>
      </c>
      <c r="J372" s="446">
        <v>141.41979522482487</v>
      </c>
      <c r="K372" s="446">
        <v>141.42039217832914</v>
      </c>
    </row>
    <row r="373" spans="1:11" ht="18.75" customHeight="1" x14ac:dyDescent="0.4">
      <c r="A373" s="445">
        <v>194</v>
      </c>
      <c r="B373" s="442"/>
      <c r="C373" s="446">
        <v>141.42077073290432</v>
      </c>
      <c r="D373" s="446">
        <v>141.41979522482487</v>
      </c>
      <c r="E373" s="446">
        <v>141.42039217832914</v>
      </c>
      <c r="G373" s="445">
        <v>197</v>
      </c>
      <c r="H373" s="443"/>
      <c r="I373" s="446">
        <v>141.42077073290432</v>
      </c>
      <c r="J373" s="446">
        <v>141.41979522482487</v>
      </c>
      <c r="K373" s="446">
        <v>141.42039217832914</v>
      </c>
    </row>
    <row r="374" spans="1:11" ht="18.75" customHeight="1" x14ac:dyDescent="0.4">
      <c r="A374" s="445">
        <v>195</v>
      </c>
      <c r="B374" s="442"/>
      <c r="C374" s="446">
        <v>141.42077073290432</v>
      </c>
      <c r="D374" s="446">
        <v>141.41979522482487</v>
      </c>
      <c r="E374" s="446">
        <v>141.42039217832914</v>
      </c>
      <c r="G374" s="445">
        <v>198</v>
      </c>
      <c r="H374" s="443"/>
      <c r="I374" s="446">
        <v>141.42077073290432</v>
      </c>
      <c r="J374" s="446">
        <v>141.41979522482487</v>
      </c>
      <c r="K374" s="446">
        <v>141.42039217832914</v>
      </c>
    </row>
    <row r="375" spans="1:11" ht="18.75" customHeight="1" x14ac:dyDescent="0.4">
      <c r="A375" s="445">
        <v>196</v>
      </c>
      <c r="B375" s="442"/>
      <c r="C375" s="446">
        <v>141.42077073290432</v>
      </c>
      <c r="D375" s="446">
        <v>141.41979522482487</v>
      </c>
      <c r="E375" s="446">
        <v>141.42039217832914</v>
      </c>
      <c r="G375" s="445">
        <v>199</v>
      </c>
      <c r="H375" s="443"/>
      <c r="I375" s="446">
        <v>141.42077073290432</v>
      </c>
      <c r="J375" s="446">
        <v>141.41979522482487</v>
      </c>
      <c r="K375" s="446">
        <v>141.42039217832914</v>
      </c>
    </row>
    <row r="376" spans="1:11" ht="18.75" customHeight="1" x14ac:dyDescent="0.4">
      <c r="A376" s="445">
        <v>197</v>
      </c>
      <c r="B376" s="442"/>
      <c r="C376" s="446">
        <v>141.42077073290432</v>
      </c>
      <c r="D376" s="446">
        <v>141.41979522482487</v>
      </c>
      <c r="E376" s="446">
        <v>141.42039217832914</v>
      </c>
      <c r="G376" s="445">
        <v>200</v>
      </c>
      <c r="H376" s="443"/>
      <c r="I376" s="446">
        <v>141.42077073290432</v>
      </c>
      <c r="J376" s="446">
        <v>141.41979522482487</v>
      </c>
      <c r="K376" s="446">
        <v>141.42039217832914</v>
      </c>
    </row>
    <row r="377" spans="1:11" ht="18.75" customHeight="1" x14ac:dyDescent="0.4">
      <c r="A377" s="445">
        <v>198</v>
      </c>
      <c r="B377" s="442"/>
      <c r="C377" s="446">
        <v>141.42077073290432</v>
      </c>
      <c r="D377" s="446">
        <v>141.41979522482487</v>
      </c>
      <c r="E377" s="446">
        <v>141.42039217832914</v>
      </c>
      <c r="G377" s="445">
        <v>1</v>
      </c>
      <c r="H377" s="443"/>
      <c r="I377" s="446"/>
      <c r="J377" s="446"/>
      <c r="K377" s="446"/>
    </row>
    <row r="378" spans="1:11" ht="18.75" customHeight="1" x14ac:dyDescent="0.4">
      <c r="A378" s="445">
        <v>199</v>
      </c>
      <c r="B378" s="442"/>
      <c r="C378" s="446">
        <v>141.42077073290432</v>
      </c>
      <c r="D378" s="446">
        <v>141.41979522482487</v>
      </c>
      <c r="E378" s="446">
        <v>141.42039217832914</v>
      </c>
      <c r="G378" s="445">
        <v>43</v>
      </c>
      <c r="H378" s="443"/>
      <c r="I378" s="446"/>
      <c r="J378" s="446"/>
      <c r="K378" s="446"/>
    </row>
    <row r="379" spans="1:11" ht="18.75" customHeight="1" x14ac:dyDescent="0.4">
      <c r="A379" s="445">
        <v>200</v>
      </c>
      <c r="B379" s="442"/>
      <c r="C379" s="446">
        <v>141.42077073290432</v>
      </c>
      <c r="D379" s="446">
        <v>141.41979522482487</v>
      </c>
      <c r="E379" s="446">
        <v>141.42039217832914</v>
      </c>
      <c r="G379" s="445">
        <v>143</v>
      </c>
      <c r="H379" s="443"/>
      <c r="I379" s="446"/>
      <c r="J379" s="446"/>
      <c r="K379" s="446"/>
    </row>
  </sheetData>
  <mergeCells count="2">
    <mergeCell ref="O7:S7"/>
    <mergeCell ref="O8:S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AX153"/>
  <sheetViews>
    <sheetView topLeftCell="A20" workbookViewId="0">
      <selection activeCell="A32" sqref="A32"/>
    </sheetView>
  </sheetViews>
  <sheetFormatPr defaultRowHeight="14.6" x14ac:dyDescent="0.4"/>
  <cols>
    <col min="1" max="1" width="26.53515625" bestFit="1" customWidth="1"/>
    <col min="2" max="2" width="4.84375" style="405" bestFit="1" customWidth="1"/>
    <col min="3" max="3" width="2.84375" bestFit="1" customWidth="1"/>
    <col min="4" max="4" width="8.15234375" style="406" bestFit="1" customWidth="1"/>
    <col min="5" max="5" width="12" style="407" bestFit="1" customWidth="1"/>
    <col min="6" max="6" width="6" style="406" bestFit="1" customWidth="1"/>
    <col min="7" max="7" width="12.15234375" style="407" bestFit="1" customWidth="1"/>
    <col min="8" max="8" width="6" style="406" bestFit="1" customWidth="1"/>
    <col min="9" max="9" width="10.84375" style="407" bestFit="1" customWidth="1"/>
    <col min="10" max="10" width="5.53515625" style="406" bestFit="1" customWidth="1"/>
    <col min="11" max="11" width="12.15234375" style="407" bestFit="1" customWidth="1"/>
    <col min="12" max="12" width="5" style="406" bestFit="1" customWidth="1"/>
    <col min="13" max="13" width="10.15234375" style="407" bestFit="1" customWidth="1"/>
    <col min="14" max="14" width="5.53515625" style="406" bestFit="1" customWidth="1"/>
    <col min="15" max="15" width="10.15234375" style="407" bestFit="1" customWidth="1"/>
    <col min="16" max="16" width="7" style="406" bestFit="1" customWidth="1"/>
    <col min="17" max="17" width="11.4609375" style="407" bestFit="1" customWidth="1"/>
    <col min="18" max="18" width="6.84375" style="406" bestFit="1" customWidth="1"/>
    <col min="19" max="19" width="13" style="407" bestFit="1" customWidth="1"/>
    <col min="20" max="20" width="6.4609375" style="406" bestFit="1" customWidth="1"/>
    <col min="21" max="21" width="11.84375" style="407" bestFit="1" customWidth="1"/>
    <col min="22" max="22" width="7" style="406" bestFit="1" customWidth="1"/>
    <col min="23" max="23" width="13.4609375" style="407" bestFit="1" customWidth="1"/>
    <col min="24" max="24" width="28" bestFit="1" customWidth="1"/>
    <col min="25" max="28" width="6.84375" style="408" bestFit="1" customWidth="1"/>
    <col min="29" max="34" width="6.84375" style="5" bestFit="1" customWidth="1"/>
    <col min="35" max="36" width="6.84375" style="409" bestFit="1" customWidth="1"/>
    <col min="37" max="39" width="6.84375" style="408" bestFit="1" customWidth="1"/>
    <col min="40" max="40" width="2.84375" bestFit="1" customWidth="1"/>
    <col min="41" max="41" width="7.53515625" style="408" bestFit="1" customWidth="1"/>
    <col min="42" max="42" width="17.53515625" style="405" bestFit="1" customWidth="1"/>
    <col min="43" max="43" width="6.15234375" style="408" bestFit="1" customWidth="1"/>
    <col min="44" max="44" width="16" style="405" bestFit="1" customWidth="1"/>
    <col min="45" max="45" width="6.4609375" style="405" bestFit="1" customWidth="1"/>
    <col min="46" max="46" width="18.15234375" style="405" bestFit="1" customWidth="1"/>
    <col min="47" max="47" width="7.15234375" style="405" bestFit="1" customWidth="1"/>
    <col min="48" max="48" width="18.84375" style="405" bestFit="1" customWidth="1"/>
    <col min="49" max="49" width="7" style="405" bestFit="1" customWidth="1"/>
    <col min="50" max="50" width="16.84375" style="405" bestFit="1" customWidth="1"/>
  </cols>
  <sheetData>
    <row r="1" spans="1:50" ht="18.75" customHeight="1" x14ac:dyDescent="0.4">
      <c r="A1" s="309" t="s">
        <v>249</v>
      </c>
      <c r="B1" s="26"/>
      <c r="C1" s="28"/>
      <c r="D1" s="310"/>
      <c r="E1" s="311" t="s">
        <v>250</v>
      </c>
      <c r="F1" s="310"/>
      <c r="G1" s="312"/>
      <c r="H1" s="310"/>
      <c r="I1" s="312"/>
      <c r="J1" s="310"/>
      <c r="K1" s="312"/>
      <c r="L1" s="310"/>
      <c r="M1" s="312"/>
      <c r="N1" s="310"/>
      <c r="O1" s="312"/>
      <c r="P1" s="310"/>
      <c r="Q1" s="312"/>
      <c r="R1" s="310"/>
      <c r="S1" s="312"/>
      <c r="T1" s="310"/>
      <c r="U1" s="312"/>
      <c r="V1" s="310"/>
      <c r="W1" s="312"/>
      <c r="Y1" s="12"/>
      <c r="Z1" s="12"/>
      <c r="AA1" s="12"/>
      <c r="AB1" s="12"/>
      <c r="AC1" s="26"/>
      <c r="AD1" s="26"/>
      <c r="AE1" s="26"/>
      <c r="AF1" s="26"/>
      <c r="AG1" s="26"/>
      <c r="AH1" s="26"/>
      <c r="AI1" s="48"/>
      <c r="AJ1" s="26"/>
      <c r="AK1" s="12"/>
      <c r="AL1" s="12"/>
      <c r="AM1" s="12"/>
      <c r="AN1" s="28"/>
      <c r="AO1" s="12"/>
      <c r="AP1" s="26"/>
      <c r="AQ1" s="12"/>
      <c r="AR1" s="26"/>
      <c r="AS1" s="26"/>
      <c r="AT1" s="26"/>
      <c r="AU1" s="26"/>
      <c r="AV1" s="26"/>
      <c r="AW1" s="26"/>
      <c r="AX1" s="26"/>
    </row>
    <row r="2" spans="1:50" ht="18.75" customHeight="1" x14ac:dyDescent="0.4">
      <c r="A2" s="28" t="s">
        <v>251</v>
      </c>
      <c r="B2" s="313"/>
      <c r="C2" s="314"/>
      <c r="D2" s="315"/>
      <c r="E2" s="316">
        <v>1</v>
      </c>
      <c r="F2" s="317"/>
      <c r="G2" s="316">
        <f>E2+1</f>
        <v>2</v>
      </c>
      <c r="H2" s="317"/>
      <c r="I2" s="316">
        <f>G2+1</f>
        <v>3</v>
      </c>
      <c r="J2" s="317"/>
      <c r="K2" s="316">
        <f>I2+1</f>
        <v>4</v>
      </c>
      <c r="L2" s="317"/>
      <c r="M2" s="316">
        <f>K2+1</f>
        <v>5</v>
      </c>
      <c r="N2" s="317"/>
      <c r="O2" s="316">
        <f>M2+1</f>
        <v>6</v>
      </c>
      <c r="P2" s="317"/>
      <c r="Q2" s="316">
        <f>O2+1</f>
        <v>7</v>
      </c>
      <c r="R2" s="317"/>
      <c r="S2" s="316">
        <f>Q2+1</f>
        <v>8</v>
      </c>
      <c r="T2" s="317"/>
      <c r="U2" s="316">
        <f>S2+1</f>
        <v>9</v>
      </c>
      <c r="V2" s="317"/>
      <c r="W2" s="316">
        <f>U2+1</f>
        <v>10</v>
      </c>
      <c r="Y2" s="12"/>
      <c r="Z2" s="31" t="s">
        <v>252</v>
      </c>
      <c r="AA2" s="12"/>
      <c r="AB2" s="12"/>
      <c r="AC2" s="26"/>
      <c r="AD2" s="26"/>
      <c r="AE2" s="26"/>
      <c r="AF2" s="26"/>
      <c r="AG2" s="26"/>
      <c r="AH2" s="26"/>
      <c r="AI2" s="48" t="s">
        <v>253</v>
      </c>
      <c r="AJ2" s="26"/>
      <c r="AK2" s="12"/>
      <c r="AL2" s="12"/>
      <c r="AM2" s="12"/>
      <c r="AN2" s="28"/>
      <c r="AO2" s="12"/>
      <c r="AP2" s="26"/>
      <c r="AQ2" s="12"/>
      <c r="AR2" s="26"/>
      <c r="AS2" s="26"/>
      <c r="AT2" s="26"/>
      <c r="AU2" s="26"/>
      <c r="AV2" s="26"/>
      <c r="AW2" s="26"/>
      <c r="AX2" s="26"/>
    </row>
    <row r="3" spans="1:50" ht="15" customHeight="1" x14ac:dyDescent="0.4">
      <c r="A3" s="28" t="s">
        <v>254</v>
      </c>
      <c r="B3" s="26"/>
      <c r="C3" s="28"/>
      <c r="D3" s="318"/>
      <c r="E3" s="319">
        <f>(E2*1000)+1</f>
        <v>1001</v>
      </c>
      <c r="F3" s="320"/>
      <c r="G3" s="319">
        <f>(G2*1000)+1</f>
        <v>2001</v>
      </c>
      <c r="H3" s="321"/>
      <c r="I3" s="319">
        <f>(I2*1000)+1</f>
        <v>3001</v>
      </c>
      <c r="J3" s="320"/>
      <c r="K3" s="322">
        <f>(K2*1000)+1</f>
        <v>4001</v>
      </c>
      <c r="L3" s="320"/>
      <c r="M3" s="319">
        <f>(M2*1000)+1</f>
        <v>5001</v>
      </c>
      <c r="N3" s="320"/>
      <c r="O3" s="319">
        <f>(O2*1000)+1</f>
        <v>6001</v>
      </c>
      <c r="P3" s="321"/>
      <c r="Q3" s="319">
        <f>(Q2*1000)+1</f>
        <v>7001</v>
      </c>
      <c r="R3" s="320"/>
      <c r="S3" s="322">
        <f>(S2*1000)+1</f>
        <v>8001</v>
      </c>
      <c r="T3" s="321"/>
      <c r="U3" s="319">
        <f>(U2*1000)+1</f>
        <v>9001</v>
      </c>
      <c r="V3" s="320"/>
      <c r="W3" s="322">
        <f>(W2*1000)+1</f>
        <v>10001</v>
      </c>
      <c r="Y3" s="323"/>
      <c r="Z3" s="323"/>
      <c r="AA3" s="323"/>
      <c r="AB3" s="323"/>
      <c r="AC3" s="324"/>
      <c r="AD3" s="324"/>
      <c r="AE3" s="324"/>
      <c r="AF3" s="324"/>
      <c r="AG3" s="324"/>
      <c r="AH3" s="324"/>
      <c r="AI3" s="48" t="s">
        <v>255</v>
      </c>
      <c r="AJ3" s="324"/>
      <c r="AK3" s="323"/>
      <c r="AL3" s="323"/>
      <c r="AM3" s="323"/>
      <c r="AN3" s="28"/>
      <c r="AO3" s="12"/>
      <c r="AP3" s="48" t="s">
        <v>256</v>
      </c>
      <c r="AQ3" s="12"/>
      <c r="AR3" s="26"/>
      <c r="AS3" s="26"/>
      <c r="AT3" s="26"/>
      <c r="AU3" s="26"/>
      <c r="AV3" s="26"/>
      <c r="AW3" s="26"/>
      <c r="AX3" s="26"/>
    </row>
    <row r="4" spans="1:50" ht="15" customHeight="1" x14ac:dyDescent="0.4">
      <c r="A4" s="325" t="s">
        <v>257</v>
      </c>
      <c r="B4" s="26"/>
      <c r="C4" s="28"/>
      <c r="D4" s="326">
        <v>1</v>
      </c>
      <c r="E4" s="327">
        <v>11</v>
      </c>
      <c r="F4" s="327">
        <v>2</v>
      </c>
      <c r="G4" s="327">
        <v>21</v>
      </c>
      <c r="H4" s="326">
        <v>3</v>
      </c>
      <c r="I4" s="327">
        <v>31</v>
      </c>
      <c r="J4" s="327">
        <v>4</v>
      </c>
      <c r="K4" s="328">
        <v>41</v>
      </c>
      <c r="L4" s="327">
        <v>5</v>
      </c>
      <c r="M4" s="327">
        <v>51</v>
      </c>
      <c r="N4" s="327">
        <v>6</v>
      </c>
      <c r="O4" s="327">
        <v>61</v>
      </c>
      <c r="P4" s="326">
        <v>7</v>
      </c>
      <c r="Q4" s="327">
        <v>71</v>
      </c>
      <c r="R4" s="327">
        <v>8</v>
      </c>
      <c r="S4" s="328">
        <v>81</v>
      </c>
      <c r="T4" s="326">
        <v>9</v>
      </c>
      <c r="U4" s="327">
        <v>91</v>
      </c>
      <c r="V4" s="327">
        <v>10</v>
      </c>
      <c r="W4" s="328">
        <v>101</v>
      </c>
      <c r="Y4" s="329"/>
      <c r="Z4" s="330"/>
      <c r="AA4" s="330"/>
      <c r="AB4" s="330"/>
      <c r="AC4" s="331"/>
      <c r="AD4" s="331"/>
      <c r="AE4" s="331"/>
      <c r="AF4" s="331"/>
      <c r="AG4" s="331"/>
      <c r="AH4" s="331"/>
      <c r="AI4" s="48" t="s">
        <v>258</v>
      </c>
      <c r="AJ4" s="112"/>
      <c r="AK4" s="330"/>
      <c r="AL4" s="330"/>
      <c r="AM4" s="330"/>
      <c r="AN4" s="332"/>
      <c r="AO4" s="333">
        <v>12</v>
      </c>
      <c r="AP4" s="334">
        <v>121</v>
      </c>
      <c r="AQ4" s="335">
        <v>34</v>
      </c>
      <c r="AR4" s="336">
        <v>341</v>
      </c>
      <c r="AS4" s="335">
        <v>56</v>
      </c>
      <c r="AT4" s="336">
        <v>561</v>
      </c>
      <c r="AU4" s="335">
        <v>78</v>
      </c>
      <c r="AV4" s="337">
        <v>781</v>
      </c>
      <c r="AW4" s="335">
        <v>910</v>
      </c>
      <c r="AX4" s="336">
        <v>9101</v>
      </c>
    </row>
    <row r="5" spans="1:50" ht="18.75" customHeight="1" x14ac:dyDescent="0.4">
      <c r="A5" s="338" t="s">
        <v>259</v>
      </c>
      <c r="B5" s="339" t="s">
        <v>260</v>
      </c>
      <c r="C5" s="338" t="s">
        <v>94</v>
      </c>
      <c r="D5" s="340"/>
      <c r="E5" s="341" t="s">
        <v>261</v>
      </c>
      <c r="F5" s="342"/>
      <c r="G5" s="341" t="s">
        <v>94</v>
      </c>
      <c r="H5" s="340"/>
      <c r="I5" s="341" t="s">
        <v>262</v>
      </c>
      <c r="J5" s="342"/>
      <c r="K5" s="341" t="s">
        <v>263</v>
      </c>
      <c r="L5" s="340"/>
      <c r="M5" s="341"/>
      <c r="N5" s="342"/>
      <c r="O5" s="341"/>
      <c r="P5" s="340"/>
      <c r="Q5" s="341"/>
      <c r="R5" s="342"/>
      <c r="S5" s="341"/>
      <c r="T5" s="340"/>
      <c r="U5" s="343">
        <f>HLOOKUP($U$3,Database!$D$6:$OM$155,2,0)</f>
        <v>0</v>
      </c>
      <c r="V5" s="342"/>
      <c r="W5" s="344">
        <f>HLOOKUP($W$3,Database!$D$6:$OM$155,2,0)</f>
        <v>0</v>
      </c>
      <c r="X5" s="345" t="s">
        <v>264</v>
      </c>
      <c r="Y5" s="346">
        <v>1</v>
      </c>
      <c r="Z5" s="347">
        <v>2</v>
      </c>
      <c r="AA5" s="347">
        <v>3</v>
      </c>
      <c r="AB5" s="347">
        <v>4</v>
      </c>
      <c r="AC5" s="347">
        <v>5</v>
      </c>
      <c r="AD5" s="347">
        <v>6</v>
      </c>
      <c r="AE5" s="347">
        <v>7</v>
      </c>
      <c r="AF5" s="347">
        <v>8</v>
      </c>
      <c r="AG5" s="347">
        <v>9</v>
      </c>
      <c r="AH5" s="347">
        <v>10</v>
      </c>
      <c r="AI5" s="348" t="s">
        <v>101</v>
      </c>
      <c r="AJ5" s="349" t="s">
        <v>101</v>
      </c>
      <c r="AK5" s="350" t="s">
        <v>265</v>
      </c>
      <c r="AL5" s="350" t="s">
        <v>266</v>
      </c>
      <c r="AM5" s="351" t="s">
        <v>267</v>
      </c>
      <c r="AN5" s="332"/>
      <c r="AO5" s="352"/>
      <c r="AP5" s="39" t="str">
        <f>CONCATENATE(E5," + ",G5)</f>
        <v>sintef + A</v>
      </c>
      <c r="AQ5" s="352"/>
      <c r="AR5" s="39" t="str">
        <f>CONCATENATE(I5," + ",K5)</f>
        <v>B + C</v>
      </c>
      <c r="AS5" s="335"/>
      <c r="AT5" s="353" t="str">
        <f>CONCATENATE(M5," + ",O5)</f>
        <v xml:space="preserve"> + </v>
      </c>
      <c r="AU5" s="354"/>
      <c r="AV5" s="353" t="str">
        <f>CONCATENATE(Q5," + ",S5)</f>
        <v xml:space="preserve"> + </v>
      </c>
      <c r="AW5" s="354"/>
      <c r="AX5" s="353" t="str">
        <f>CONCATENATE(U5," + ",W5)</f>
        <v>0 + 0</v>
      </c>
    </row>
    <row r="6" spans="1:50" ht="18.75" customHeight="1" x14ac:dyDescent="0.4">
      <c r="A6" s="355"/>
      <c r="B6" s="356"/>
      <c r="C6" s="338" t="s">
        <v>60</v>
      </c>
      <c r="D6" s="357" t="s">
        <v>268</v>
      </c>
      <c r="E6" s="358">
        <f>HLOOKUP($E$3,Database!$D$6:$OM$155,3,0)</f>
        <v>0</v>
      </c>
      <c r="F6" s="359" t="s">
        <v>268</v>
      </c>
      <c r="G6" s="358">
        <f>HLOOKUP($G$3,Database!$D$6:$OM$155,3,0)</f>
        <v>0</v>
      </c>
      <c r="H6" s="357" t="s">
        <v>268</v>
      </c>
      <c r="I6" s="358">
        <f>HLOOKUP($I$3,Database!$D$6:$OM$155,3,0)</f>
        <v>0</v>
      </c>
      <c r="J6" s="359" t="s">
        <v>268</v>
      </c>
      <c r="K6" s="358">
        <f>HLOOKUP($K$3,Database!$D$6:$OM$155,3,0)</f>
        <v>0</v>
      </c>
      <c r="L6" s="357" t="s">
        <v>268</v>
      </c>
      <c r="M6" s="358">
        <f>HLOOKUP($M$3,Database!$D$6:$OM$155,3,0)</f>
        <v>0</v>
      </c>
      <c r="N6" s="359" t="s">
        <v>268</v>
      </c>
      <c r="O6" s="358">
        <f>HLOOKUP($O$3,Database!$D$6:$OM$155,3,0)</f>
        <v>0</v>
      </c>
      <c r="P6" s="357" t="s">
        <v>268</v>
      </c>
      <c r="Q6" s="358">
        <f>HLOOKUP($Q$3,Database!$D$6:$OM$155,3,0)</f>
        <v>0</v>
      </c>
      <c r="R6" s="359" t="s">
        <v>268</v>
      </c>
      <c r="S6" s="358">
        <f>HLOOKUP($S$3,Database!$D$6:$OM$155,3,0)</f>
        <v>0</v>
      </c>
      <c r="T6" s="357" t="s">
        <v>268</v>
      </c>
      <c r="U6" s="358">
        <f>HLOOKUP($U$3,Database!$D$6:$OM$155,3,0)</f>
        <v>0</v>
      </c>
      <c r="V6" s="359" t="s">
        <v>268</v>
      </c>
      <c r="W6" s="360">
        <f>HLOOKUP($W$3,Database!$D$6:$OM$155,3,0)</f>
        <v>0</v>
      </c>
      <c r="X6" s="345" t="s">
        <v>269</v>
      </c>
      <c r="Y6" s="361"/>
      <c r="Z6" s="323"/>
      <c r="AA6" s="323"/>
      <c r="AB6" s="323"/>
      <c r="AC6" s="324"/>
      <c r="AD6" s="324"/>
      <c r="AE6" s="324"/>
      <c r="AF6" s="324"/>
      <c r="AG6" s="324"/>
      <c r="AH6" s="324"/>
      <c r="AI6" s="362" t="s">
        <v>270</v>
      </c>
      <c r="AJ6" s="363" t="s">
        <v>270</v>
      </c>
      <c r="AK6" s="323"/>
      <c r="AL6" s="323"/>
      <c r="AM6" s="364"/>
      <c r="AN6" s="332"/>
      <c r="AO6" s="177" t="s">
        <v>268</v>
      </c>
      <c r="AP6" s="26" t="str">
        <f>CONCATENATE(E6," + ",G6)</f>
        <v>0 + 0</v>
      </c>
      <c r="AQ6" s="177" t="s">
        <v>268</v>
      </c>
      <c r="AR6" s="26" t="str">
        <f>CONCATENATE(I6," + ",K6)</f>
        <v>0 + 0</v>
      </c>
      <c r="AS6" s="240" t="s">
        <v>268</v>
      </c>
      <c r="AT6" s="193" t="str">
        <f>CONCATENATE(M6," + ",O6)</f>
        <v>0 + 0</v>
      </c>
      <c r="AU6" s="26" t="s">
        <v>268</v>
      </c>
      <c r="AV6" s="193" t="str">
        <f>CONCATENATE(Q6," + ",S6)</f>
        <v>0 + 0</v>
      </c>
      <c r="AW6" s="26" t="s">
        <v>268</v>
      </c>
      <c r="AX6" s="193" t="str">
        <f>CONCATENATE(U6," + ",W6)</f>
        <v>0 + 0</v>
      </c>
    </row>
    <row r="7" spans="1:50" ht="18.75" customHeight="1" x14ac:dyDescent="0.4">
      <c r="A7" s="355"/>
      <c r="B7" s="356"/>
      <c r="C7" s="355"/>
      <c r="D7" s="365" t="s">
        <v>271</v>
      </c>
      <c r="E7" s="366">
        <f>HLOOKUP($E$3,Database!$D$6:$OM$155,4,0)</f>
        <v>0</v>
      </c>
      <c r="F7" s="367" t="s">
        <v>271</v>
      </c>
      <c r="G7" s="366">
        <f>HLOOKUP($G$3,Database!$D$6:$OM$155,4,0)</f>
        <v>0</v>
      </c>
      <c r="H7" s="365" t="s">
        <v>271</v>
      </c>
      <c r="I7" s="366">
        <f>HLOOKUP($I$3,Database!$D$6:$OM$155,4,0)</f>
        <v>0</v>
      </c>
      <c r="J7" s="367" t="s">
        <v>271</v>
      </c>
      <c r="K7" s="366">
        <f>HLOOKUP($K$3,Database!$D$6:$OM$155,4,0)</f>
        <v>0</v>
      </c>
      <c r="L7" s="365" t="s">
        <v>271</v>
      </c>
      <c r="M7" s="366">
        <f>HLOOKUP($M$3,Database!$D$6:$OM$155,4,0)</f>
        <v>0</v>
      </c>
      <c r="N7" s="367" t="s">
        <v>271</v>
      </c>
      <c r="O7" s="366">
        <f>HLOOKUP($O$3,Database!$D$6:$OM$155,4,0)</f>
        <v>0</v>
      </c>
      <c r="P7" s="365" t="s">
        <v>271</v>
      </c>
      <c r="Q7" s="366">
        <f>HLOOKUP($Q$3,Database!$D$6:$OM$155,4,0)</f>
        <v>0</v>
      </c>
      <c r="R7" s="367" t="s">
        <v>271</v>
      </c>
      <c r="S7" s="366">
        <f>HLOOKUP($S$3,Database!$D$6:$OM$155,4,0)</f>
        <v>0</v>
      </c>
      <c r="T7" s="365" t="s">
        <v>271</v>
      </c>
      <c r="U7" s="366">
        <f>HLOOKUP($U$3,Database!$D$6:$OM$155,4,0)</f>
        <v>0</v>
      </c>
      <c r="V7" s="367" t="s">
        <v>271</v>
      </c>
      <c r="W7" s="368">
        <f>HLOOKUP($W$3,Database!$D$6:$OM$155,4,0)</f>
        <v>0</v>
      </c>
      <c r="X7" s="345" t="s">
        <v>272</v>
      </c>
      <c r="Y7" s="369">
        <f>E7</f>
        <v>0</v>
      </c>
      <c r="Z7" s="370">
        <f>G7</f>
        <v>0</v>
      </c>
      <c r="AA7" s="370">
        <f>I7</f>
        <v>0</v>
      </c>
      <c r="AB7" s="370">
        <f>K7</f>
        <v>0</v>
      </c>
      <c r="AC7" s="370">
        <f>M7</f>
        <v>0</v>
      </c>
      <c r="AD7" s="370">
        <f>O7</f>
        <v>0</v>
      </c>
      <c r="AE7" s="370">
        <f>Q7</f>
        <v>0</v>
      </c>
      <c r="AF7" s="370">
        <f>S7</f>
        <v>0</v>
      </c>
      <c r="AG7" s="370">
        <f>U7</f>
        <v>0</v>
      </c>
      <c r="AH7" s="370">
        <f>W7</f>
        <v>0</v>
      </c>
      <c r="AI7" s="362" t="s">
        <v>273</v>
      </c>
      <c r="AJ7" s="363" t="s">
        <v>274</v>
      </c>
      <c r="AK7" s="323"/>
      <c r="AL7" s="323"/>
      <c r="AM7" s="364"/>
      <c r="AN7" s="332"/>
      <c r="AO7" s="260" t="s">
        <v>271</v>
      </c>
      <c r="AP7" s="26" t="str">
        <f>CONCATENATE(E7," + ",G7)</f>
        <v>0 + 0</v>
      </c>
      <c r="AQ7" s="260" t="s">
        <v>271</v>
      </c>
      <c r="AR7" s="26" t="str">
        <f>CONCATENATE(I7," + ",K7)</f>
        <v>0 + 0</v>
      </c>
      <c r="AS7" s="96" t="s">
        <v>271</v>
      </c>
      <c r="AT7" s="193" t="str">
        <f>CONCATENATE(M7," + ",O7)</f>
        <v>0 + 0</v>
      </c>
      <c r="AU7" s="297" t="s">
        <v>271</v>
      </c>
      <c r="AV7" s="193" t="str">
        <f>CONCATENATE(Q7," + ",S7)</f>
        <v>0 + 0</v>
      </c>
      <c r="AW7" s="297" t="s">
        <v>271</v>
      </c>
      <c r="AX7" s="193" t="str">
        <f>CONCATENATE(U7," + ",W7)</f>
        <v>0 + 0</v>
      </c>
    </row>
    <row r="8" spans="1:50" ht="18.75" customHeight="1" x14ac:dyDescent="0.4">
      <c r="A8" s="371"/>
      <c r="B8" s="356"/>
      <c r="C8" s="355"/>
      <c r="D8" s="372"/>
      <c r="E8" s="373">
        <f>HLOOKUP($E$3,Database!$D$6:$OM$155,5,0)</f>
        <v>0</v>
      </c>
      <c r="F8" s="374"/>
      <c r="G8" s="373">
        <f>HLOOKUP($G$3,Database!$D$6:$OM$155,5,0)</f>
        <v>0</v>
      </c>
      <c r="H8" s="372"/>
      <c r="I8" s="373">
        <f>HLOOKUP($I$3,Database!$D$6:$OM$155,5,0)</f>
        <v>0</v>
      </c>
      <c r="J8" s="374"/>
      <c r="K8" s="373">
        <f>HLOOKUP($K$3,Database!$D$6:$OM$155,5,0)</f>
        <v>0</v>
      </c>
      <c r="L8" s="372"/>
      <c r="M8" s="373">
        <f>HLOOKUP($M$3,Database!$D$6:$OM$155,5,0)</f>
        <v>0</v>
      </c>
      <c r="N8" s="374"/>
      <c r="O8" s="373">
        <f>HLOOKUP($O$3,Database!$D$6:$OM$155,5,0)</f>
        <v>0</v>
      </c>
      <c r="P8" s="372"/>
      <c r="Q8" s="373">
        <f>HLOOKUP($Q$3,Database!$D$6:$OM$155,5,0)</f>
        <v>0</v>
      </c>
      <c r="R8" s="374"/>
      <c r="S8" s="373">
        <f>HLOOKUP($S$3,Database!$D$6:$OM$155,5,0)</f>
        <v>0</v>
      </c>
      <c r="T8" s="372"/>
      <c r="U8" s="373">
        <f>HLOOKUP($U$3,Database!$D$6:$OM$155,5,0)</f>
        <v>0</v>
      </c>
      <c r="V8" s="374"/>
      <c r="W8" s="375">
        <f>HLOOKUP($W$3,Database!$D$6:$OM$155,5,0)</f>
        <v>0</v>
      </c>
      <c r="X8" s="345" t="s">
        <v>275</v>
      </c>
      <c r="Y8" s="376"/>
      <c r="Z8" s="330"/>
      <c r="AA8" s="330"/>
      <c r="AB8" s="330"/>
      <c r="AC8" s="331"/>
      <c r="AD8" s="331"/>
      <c r="AE8" s="331"/>
      <c r="AF8" s="331"/>
      <c r="AG8" s="331"/>
      <c r="AH8" s="331"/>
      <c r="AI8" s="377">
        <f>SUM(AI9:AI80)</f>
        <v>0</v>
      </c>
      <c r="AJ8" s="378">
        <f>SUM(AJ9:AJ80)</f>
        <v>3</v>
      </c>
      <c r="AK8" s="330"/>
      <c r="AL8" s="330"/>
      <c r="AM8" s="379"/>
      <c r="AN8" s="332"/>
      <c r="AO8" s="181"/>
      <c r="AP8" s="55" t="s">
        <v>276</v>
      </c>
      <c r="AQ8" s="181"/>
      <c r="AR8" s="55" t="s">
        <v>277</v>
      </c>
      <c r="AS8" s="243"/>
      <c r="AT8" s="380" t="s">
        <v>278</v>
      </c>
      <c r="AU8" s="112"/>
      <c r="AV8" s="380" t="s">
        <v>279</v>
      </c>
      <c r="AW8" s="112"/>
      <c r="AX8" s="380" t="s">
        <v>280</v>
      </c>
    </row>
    <row r="9" spans="1:50" ht="18.75" customHeight="1" x14ac:dyDescent="0.4">
      <c r="A9" s="355" t="s">
        <v>281</v>
      </c>
      <c r="B9" s="358">
        <v>135</v>
      </c>
      <c r="C9" s="355" t="s">
        <v>60</v>
      </c>
      <c r="D9" s="12">
        <f>HLOOKUP($E$2,Database!$D$6:$OM$155,6,0)</f>
        <v>12.22</v>
      </c>
      <c r="E9" s="26">
        <f>HLOOKUP($E$3,Database!$D$6:$OM$155,6,0)</f>
        <v>26414</v>
      </c>
      <c r="F9" s="12">
        <f>HLOOKUP($G$2,Database!$D$6:$OM$155,6,0)</f>
        <v>12.22</v>
      </c>
      <c r="G9" s="26">
        <f>HLOOKUP($G$3,Database!$D$6:$OM$155,6,0)</f>
        <v>3004</v>
      </c>
      <c r="H9" s="12">
        <f>HLOOKUP($I$2,Database!$D$6:$OM$155,6,0)</f>
        <v>12.22</v>
      </c>
      <c r="I9" s="26">
        <f>HLOOKUP($I$3,Database!$D$6:$OM$155,6,0)</f>
        <v>14631</v>
      </c>
      <c r="J9" s="12">
        <f>HLOOKUP($K$2,Database!$D$6:$OM$155,6,0)</f>
        <v>12.22</v>
      </c>
      <c r="K9" s="26">
        <f>HLOOKUP($K$3,Database!$D$6:$OM$155,6,0)</f>
        <v>23763</v>
      </c>
      <c r="L9" s="12">
        <f>HLOOKUP($M$2,Database!$D$6:$OM$155,6,0)</f>
        <v>0</v>
      </c>
      <c r="M9" s="26">
        <f>HLOOKUP($M$3,Database!$D$6:$OM$155,6,0)</f>
        <v>0</v>
      </c>
      <c r="N9" s="12">
        <f>HLOOKUP($O$2,Database!$D$6:$OM$155,6,0)</f>
        <v>0</v>
      </c>
      <c r="O9" s="26">
        <f>HLOOKUP($O$3,Database!$D$6:$OM$155,6,0)</f>
        <v>0</v>
      </c>
      <c r="P9" s="12">
        <f>HLOOKUP($Q$2,Database!$D$6:$OM$155,6,0)</f>
        <v>0</v>
      </c>
      <c r="Q9" s="26">
        <f>HLOOKUP($Q$3,Database!$D$6:$OM$155,6,0)</f>
        <v>0</v>
      </c>
      <c r="R9" s="12">
        <f>HLOOKUP($S$2,Database!$D$6:$OM$155,6,0)</f>
        <v>0</v>
      </c>
      <c r="S9" s="26">
        <f>HLOOKUP($S$3,Database!$D$6:$OM$155,6,0)</f>
        <v>0</v>
      </c>
      <c r="T9" s="12">
        <f>HLOOKUP($U$2,Database!$D$6:$OM$155,6,0)</f>
        <v>0</v>
      </c>
      <c r="U9" s="26">
        <f>HLOOKUP($U$3,Database!$D$6:$OM$155,6,0)</f>
        <v>0</v>
      </c>
      <c r="V9" s="12">
        <f>HLOOKUP($W$2,Database!$D$6:$OM$155,6,0)</f>
        <v>0</v>
      </c>
      <c r="W9" s="26">
        <f>HLOOKUP($W$3,Database!$D$6:$OM$155,6,0)</f>
        <v>0</v>
      </c>
      <c r="X9" s="345" t="s">
        <v>282</v>
      </c>
      <c r="Y9" s="381">
        <f t="shared" ref="Y9:Y40" si="0">IF(D9&gt;5,D9,"")</f>
        <v>12.22</v>
      </c>
      <c r="Z9" s="382">
        <f t="shared" ref="Z9:Z40" si="1">IF(F9&gt;5,F9,"")</f>
        <v>12.22</v>
      </c>
      <c r="AA9" s="382">
        <f t="shared" ref="AA9:AA40" si="2">IF(H9&gt;5,H9,"")</f>
        <v>12.22</v>
      </c>
      <c r="AB9" s="382">
        <f t="shared" ref="AB9:AB40" si="3">IF(J9&gt;5,J9,"")</f>
        <v>12.22</v>
      </c>
      <c r="AC9" s="324" t="str">
        <f t="shared" ref="AC9:AC40" si="4">IF(L9&gt;5,L9,"")</f>
        <v/>
      </c>
      <c r="AD9" s="324" t="str">
        <f t="shared" ref="AD9:AD40" si="5">IF(N9&gt;5,N9,"")</f>
        <v/>
      </c>
      <c r="AE9" s="324" t="str">
        <f t="shared" ref="AE9:AE40" si="6">IF(P9&gt;5,P9,"")</f>
        <v/>
      </c>
      <c r="AF9" s="324" t="str">
        <f t="shared" ref="AF9:AF40" si="7">IF(R9&gt;5,R9,"")</f>
        <v/>
      </c>
      <c r="AG9" s="324" t="str">
        <f t="shared" ref="AG9:AG40" si="8">IF(T9&gt;5,T9,"")</f>
        <v/>
      </c>
      <c r="AH9" s="324" t="str">
        <f t="shared" ref="AH9:AH40" si="9">IF(V9&gt;5,V9,"")</f>
        <v/>
      </c>
      <c r="AI9" s="362" t="str">
        <f t="shared" ref="AI9:AI40" si="10">IF(AK9&gt;0.5,1,"")</f>
        <v/>
      </c>
      <c r="AJ9" s="363" t="str">
        <f t="shared" ref="AJ9:AJ40" si="11">IF(AK9&gt;0.1,1,"")</f>
        <v/>
      </c>
      <c r="AK9" s="383">
        <f t="shared" ref="AK9:AK40" si="12">AM9-AL9</f>
        <v>0</v>
      </c>
      <c r="AL9" s="382">
        <f t="shared" ref="AL9:AL40" si="13">MIN(Y9:AH9)</f>
        <v>12.22</v>
      </c>
      <c r="AM9" s="384">
        <f t="shared" ref="AM9:AM40" si="14">MAX(Y9:AH9)</f>
        <v>12.22</v>
      </c>
      <c r="AN9" s="332"/>
      <c r="AO9" s="385">
        <f t="shared" ref="AO9:AO40" si="15">(D9+F9)/2</f>
        <v>12.22</v>
      </c>
      <c r="AP9" s="104">
        <f t="shared" ref="AP9:AP40" si="16">(E9+G9)/2</f>
        <v>14709</v>
      </c>
      <c r="AQ9" s="385">
        <f t="shared" ref="AQ9:AQ40" si="17">(H9+J9)/2</f>
        <v>12.22</v>
      </c>
      <c r="AR9" s="104">
        <f t="shared" ref="AR9:AR40" si="18">(I9+K9)/2</f>
        <v>19197</v>
      </c>
      <c r="AS9" s="104">
        <f t="shared" ref="AS9:AS40" si="19">(L9+N9)/2</f>
        <v>0</v>
      </c>
      <c r="AT9" s="104">
        <f t="shared" ref="AT9:AT40" si="20">(M9+O9)/2</f>
        <v>0</v>
      </c>
      <c r="AU9" s="104">
        <f t="shared" ref="AU9:AU40" si="21">(P9+R9)/2</f>
        <v>0</v>
      </c>
      <c r="AV9" s="104">
        <f t="shared" ref="AV9:AV40" si="22">(Q9+S9)/2</f>
        <v>0</v>
      </c>
      <c r="AW9" s="104">
        <f t="shared" ref="AW9:AW40" si="23">(T9+V9)/2</f>
        <v>0</v>
      </c>
      <c r="AX9" s="104">
        <f t="shared" ref="AX9:AX40" si="24">(U9+W9)/2</f>
        <v>0</v>
      </c>
    </row>
    <row r="10" spans="1:50" ht="18.75" customHeight="1" x14ac:dyDescent="0.4">
      <c r="A10" s="355" t="s">
        <v>283</v>
      </c>
      <c r="B10" s="358">
        <v>149</v>
      </c>
      <c r="C10" s="355" t="s">
        <v>60</v>
      </c>
      <c r="D10" s="12">
        <f>HLOOKUP($E$2,Database!$D$6:$OM$155,7,0)</f>
        <v>15.18</v>
      </c>
      <c r="E10" s="26">
        <f>HLOOKUP($E$3,Database!$D$6:$OM$155,7,0)</f>
        <v>17969</v>
      </c>
      <c r="F10" s="12">
        <f>HLOOKUP($G$2,Database!$D$6:$OM$155,7,0)</f>
        <v>15.18</v>
      </c>
      <c r="G10" s="26">
        <f>HLOOKUP($G$3,Database!$D$6:$OM$155,7,0)</f>
        <v>2723</v>
      </c>
      <c r="H10" s="12">
        <f>HLOOKUP($I$2,Database!$D$6:$OM$155,7,0)</f>
        <v>15.17</v>
      </c>
      <c r="I10" s="26">
        <f>HLOOKUP($I$3,Database!$D$6:$OM$155,7,0)</f>
        <v>9497</v>
      </c>
      <c r="J10" s="12">
        <f>HLOOKUP($K$2,Database!$D$6:$OM$155,7,0)</f>
        <v>15.17</v>
      </c>
      <c r="K10" s="26">
        <f>HLOOKUP($K$3,Database!$D$6:$OM$155,7,0)</f>
        <v>12903</v>
      </c>
      <c r="L10" s="12">
        <f>HLOOKUP($M$2,Database!$D$6:$OM$155,7,0)</f>
        <v>0</v>
      </c>
      <c r="M10" s="26">
        <f>HLOOKUP($M$3,Database!$D$6:$OM$155,7,0)</f>
        <v>0</v>
      </c>
      <c r="N10" s="12">
        <f>HLOOKUP($O$2,Database!$D$6:$OM$155,7,0)</f>
        <v>0</v>
      </c>
      <c r="O10" s="26">
        <f>HLOOKUP($O$3,Database!$D$6:$OM$155,7,0)</f>
        <v>0</v>
      </c>
      <c r="P10" s="12">
        <f>HLOOKUP($Q$2,Database!$D$6:$OM$155,7,0)</f>
        <v>0</v>
      </c>
      <c r="Q10" s="26">
        <f>HLOOKUP($Q$3,Database!$D$6:$OM$155,7,0)</f>
        <v>0</v>
      </c>
      <c r="R10" s="12">
        <f>HLOOKUP($S$2,Database!$D$6:$OM$155,7,0)</f>
        <v>0</v>
      </c>
      <c r="S10" s="26">
        <f>HLOOKUP($S$3,Database!$D$6:$OM$155,7,0)</f>
        <v>0</v>
      </c>
      <c r="T10" s="12">
        <f>HLOOKUP($U$2,Database!$D$6:$OM$155,7,0)</f>
        <v>0</v>
      </c>
      <c r="U10" s="26">
        <f>HLOOKUP($U$3,Database!$D$6:$OM$155,7,0)</f>
        <v>0</v>
      </c>
      <c r="V10" s="12">
        <f>HLOOKUP($W$2,Database!$D$6:$OM$155,7,0)</f>
        <v>0</v>
      </c>
      <c r="W10" s="26">
        <f>HLOOKUP($W$3,Database!$D$6:$OM$155,7,0)</f>
        <v>0</v>
      </c>
      <c r="X10" s="345" t="s">
        <v>284</v>
      </c>
      <c r="Y10" s="381">
        <f t="shared" si="0"/>
        <v>15.18</v>
      </c>
      <c r="Z10" s="382">
        <f t="shared" si="1"/>
        <v>15.18</v>
      </c>
      <c r="AA10" s="382">
        <f t="shared" si="2"/>
        <v>15.17</v>
      </c>
      <c r="AB10" s="382">
        <f t="shared" si="3"/>
        <v>15.17</v>
      </c>
      <c r="AC10" s="324" t="str">
        <f t="shared" si="4"/>
        <v/>
      </c>
      <c r="AD10" s="324" t="str">
        <f t="shared" si="5"/>
        <v/>
      </c>
      <c r="AE10" s="324" t="str">
        <f t="shared" si="6"/>
        <v/>
      </c>
      <c r="AF10" s="324" t="str">
        <f t="shared" si="7"/>
        <v/>
      </c>
      <c r="AG10" s="324" t="str">
        <f t="shared" si="8"/>
        <v/>
      </c>
      <c r="AH10" s="324" t="str">
        <f t="shared" si="9"/>
        <v/>
      </c>
      <c r="AI10" s="362" t="str">
        <f t="shared" si="10"/>
        <v/>
      </c>
      <c r="AJ10" s="363" t="str">
        <f t="shared" si="11"/>
        <v/>
      </c>
      <c r="AK10" s="382">
        <f t="shared" si="12"/>
        <v>9.9999999999997868E-3</v>
      </c>
      <c r="AL10" s="382">
        <f t="shared" si="13"/>
        <v>15.17</v>
      </c>
      <c r="AM10" s="384">
        <f t="shared" si="14"/>
        <v>15.18</v>
      </c>
      <c r="AN10" s="332"/>
      <c r="AO10" s="385">
        <f t="shared" si="15"/>
        <v>15.18</v>
      </c>
      <c r="AP10" s="104">
        <f t="shared" si="16"/>
        <v>10346</v>
      </c>
      <c r="AQ10" s="385">
        <f t="shared" si="17"/>
        <v>15.17</v>
      </c>
      <c r="AR10" s="104">
        <f t="shared" si="18"/>
        <v>11200</v>
      </c>
      <c r="AS10" s="104">
        <f t="shared" si="19"/>
        <v>0</v>
      </c>
      <c r="AT10" s="104">
        <f t="shared" si="20"/>
        <v>0</v>
      </c>
      <c r="AU10" s="104">
        <f t="shared" si="21"/>
        <v>0</v>
      </c>
      <c r="AV10" s="104">
        <f t="shared" si="22"/>
        <v>0</v>
      </c>
      <c r="AW10" s="104">
        <f t="shared" si="23"/>
        <v>0</v>
      </c>
      <c r="AX10" s="104">
        <f t="shared" si="24"/>
        <v>0</v>
      </c>
    </row>
    <row r="11" spans="1:50" ht="18.75" customHeight="1" x14ac:dyDescent="0.4">
      <c r="A11" s="355" t="s">
        <v>285</v>
      </c>
      <c r="B11" s="358">
        <v>113</v>
      </c>
      <c r="C11" s="355" t="s">
        <v>60</v>
      </c>
      <c r="D11" s="12">
        <f>HLOOKUP($E$2,Database!$D$6:$OM$155,8,0)</f>
        <v>15.56</v>
      </c>
      <c r="E11" s="26">
        <f>HLOOKUP($E$3,Database!$D$6:$OM$155,8,0)</f>
        <v>37058</v>
      </c>
      <c r="F11" s="12">
        <f>HLOOKUP($G$2,Database!$D$6:$OM$155,8,0)</f>
        <v>15.55</v>
      </c>
      <c r="G11" s="26">
        <f>HLOOKUP($G$3,Database!$D$6:$OM$155,8,0)</f>
        <v>2108</v>
      </c>
      <c r="H11" s="12">
        <f>HLOOKUP($I$2,Database!$D$6:$OM$155,8,0)</f>
        <v>15.55</v>
      </c>
      <c r="I11" s="26">
        <f>HLOOKUP($I$3,Database!$D$6:$OM$155,8,0)</f>
        <v>10892</v>
      </c>
      <c r="J11" s="12">
        <f>HLOOKUP($K$2,Database!$D$6:$OM$155,8,0)</f>
        <v>15.55</v>
      </c>
      <c r="K11" s="26">
        <f>HLOOKUP($K$3,Database!$D$6:$OM$155,8,0)</f>
        <v>14144</v>
      </c>
      <c r="L11" s="12">
        <f>HLOOKUP($M$2,Database!$D$6:$OM$155,8,0)</f>
        <v>0</v>
      </c>
      <c r="M11" s="26">
        <f>HLOOKUP($M$3,Database!$D$6:$OM$155,8,0)</f>
        <v>0</v>
      </c>
      <c r="N11" s="12">
        <f>HLOOKUP($O$2,Database!$D$6:$OM$155,8,0)</f>
        <v>0</v>
      </c>
      <c r="O11" s="26">
        <f>HLOOKUP($O$3,Database!$D$6:$OM$155,8,0)</f>
        <v>0</v>
      </c>
      <c r="P11" s="12">
        <f>HLOOKUP($Q$2,Database!$D$6:$OM$155,8,0)</f>
        <v>0</v>
      </c>
      <c r="Q11" s="26">
        <f>HLOOKUP($Q$3,Database!$D$6:$OM$155,8,0)</f>
        <v>0</v>
      </c>
      <c r="R11" s="12">
        <f>HLOOKUP($S$2,Database!$D$6:$OM$155,8,0)</f>
        <v>0</v>
      </c>
      <c r="S11" s="26">
        <f>HLOOKUP($S$3,Database!$D$6:$OM$155,8,0)</f>
        <v>0</v>
      </c>
      <c r="T11" s="12">
        <f>HLOOKUP($U$2,Database!$D$6:$OM$155,8,0)</f>
        <v>0</v>
      </c>
      <c r="U11" s="26">
        <f>HLOOKUP($U$3,Database!$D$6:$OM$155,8,0)</f>
        <v>0</v>
      </c>
      <c r="V11" s="12">
        <f>HLOOKUP($W$2,Database!$D$6:$OM$155,8,0)</f>
        <v>0</v>
      </c>
      <c r="W11" s="26">
        <f>HLOOKUP($W$3,Database!$D$6:$OM$155,8,0)</f>
        <v>0</v>
      </c>
      <c r="X11" s="345" t="s">
        <v>286</v>
      </c>
      <c r="Y11" s="381">
        <f t="shared" si="0"/>
        <v>15.56</v>
      </c>
      <c r="Z11" s="382">
        <f t="shared" si="1"/>
        <v>15.55</v>
      </c>
      <c r="AA11" s="382">
        <f t="shared" si="2"/>
        <v>15.55</v>
      </c>
      <c r="AB11" s="382">
        <f t="shared" si="3"/>
        <v>15.55</v>
      </c>
      <c r="AC11" s="324" t="str">
        <f t="shared" si="4"/>
        <v/>
      </c>
      <c r="AD11" s="324" t="str">
        <f t="shared" si="5"/>
        <v/>
      </c>
      <c r="AE11" s="324" t="str">
        <f t="shared" si="6"/>
        <v/>
      </c>
      <c r="AF11" s="324" t="str">
        <f t="shared" si="7"/>
        <v/>
      </c>
      <c r="AG11" s="324" t="str">
        <f t="shared" si="8"/>
        <v/>
      </c>
      <c r="AH11" s="324" t="str">
        <f t="shared" si="9"/>
        <v/>
      </c>
      <c r="AI11" s="362" t="str">
        <f t="shared" si="10"/>
        <v/>
      </c>
      <c r="AJ11" s="363" t="str">
        <f t="shared" si="11"/>
        <v/>
      </c>
      <c r="AK11" s="382">
        <f t="shared" si="12"/>
        <v>9.9999999999997868E-3</v>
      </c>
      <c r="AL11" s="382">
        <f t="shared" si="13"/>
        <v>15.55</v>
      </c>
      <c r="AM11" s="384">
        <f t="shared" si="14"/>
        <v>15.56</v>
      </c>
      <c r="AN11" s="332"/>
      <c r="AO11" s="385">
        <f t="shared" si="15"/>
        <v>15.555</v>
      </c>
      <c r="AP11" s="104">
        <f t="shared" si="16"/>
        <v>19583</v>
      </c>
      <c r="AQ11" s="385">
        <f t="shared" si="17"/>
        <v>15.55</v>
      </c>
      <c r="AR11" s="104">
        <f t="shared" si="18"/>
        <v>12518</v>
      </c>
      <c r="AS11" s="104">
        <f t="shared" si="19"/>
        <v>0</v>
      </c>
      <c r="AT11" s="104">
        <f t="shared" si="20"/>
        <v>0</v>
      </c>
      <c r="AU11" s="104">
        <f t="shared" si="21"/>
        <v>0</v>
      </c>
      <c r="AV11" s="104">
        <f t="shared" si="22"/>
        <v>0</v>
      </c>
      <c r="AW11" s="104">
        <f t="shared" si="23"/>
        <v>0</v>
      </c>
      <c r="AX11" s="104">
        <f t="shared" si="24"/>
        <v>0</v>
      </c>
    </row>
    <row r="12" spans="1:50" ht="18.75" customHeight="1" x14ac:dyDescent="0.4">
      <c r="A12" s="355" t="s">
        <v>287</v>
      </c>
      <c r="B12" s="358">
        <v>104</v>
      </c>
      <c r="C12" s="355" t="s">
        <v>60</v>
      </c>
      <c r="D12" s="12">
        <f>HLOOKUP($E$2,Database!$D$6:$OM$155,9,0)</f>
        <v>15.46</v>
      </c>
      <c r="E12" s="26">
        <f>HLOOKUP($E$3,Database!$D$6:$OM$155,9,0)</f>
        <v>33278</v>
      </c>
      <c r="F12" s="12">
        <f>HLOOKUP($G$2,Database!$D$6:$OM$155,9,0)</f>
        <v>15.46</v>
      </c>
      <c r="G12" s="26">
        <f>HLOOKUP($G$3,Database!$D$6:$OM$155,9,0)</f>
        <v>8771</v>
      </c>
      <c r="H12" s="12">
        <f>HLOOKUP($I$2,Database!$D$6:$OM$155,9,0)</f>
        <v>15.46</v>
      </c>
      <c r="I12" s="26">
        <f>HLOOKUP($I$3,Database!$D$6:$OM$155,9,0)</f>
        <v>33691</v>
      </c>
      <c r="J12" s="12">
        <f>HLOOKUP($K$2,Database!$D$6:$OM$155,9,0)</f>
        <v>15.46</v>
      </c>
      <c r="K12" s="26">
        <f>HLOOKUP($K$3,Database!$D$6:$OM$155,9,0)</f>
        <v>41435</v>
      </c>
      <c r="L12" s="12">
        <f>HLOOKUP($M$2,Database!$D$6:$OM$155,9,0)</f>
        <v>0</v>
      </c>
      <c r="M12" s="26">
        <f>HLOOKUP($M$3,Database!$D$6:$OM$155,9,0)</f>
        <v>0</v>
      </c>
      <c r="N12" s="12">
        <f>HLOOKUP($O$2,Database!$D$6:$OM$155,9,0)</f>
        <v>0</v>
      </c>
      <c r="O12" s="26">
        <f>HLOOKUP($O$3,Database!$D$6:$OM$155,9,0)</f>
        <v>0</v>
      </c>
      <c r="P12" s="12">
        <f>HLOOKUP($Q$2,Database!$D$6:$OM$155,9,0)</f>
        <v>0</v>
      </c>
      <c r="Q12" s="26">
        <f>HLOOKUP($Q$3,Database!$D$6:$OM$155,9,0)</f>
        <v>0</v>
      </c>
      <c r="R12" s="12">
        <f>HLOOKUP($S$2,Database!$D$6:$OM$155,9,0)</f>
        <v>0</v>
      </c>
      <c r="S12" s="26">
        <f>HLOOKUP($S$3,Database!$D$6:$OM$155,9,0)</f>
        <v>0</v>
      </c>
      <c r="T12" s="12">
        <f>HLOOKUP($U$2,Database!$D$6:$OM$155,9,0)</f>
        <v>0</v>
      </c>
      <c r="U12" s="26">
        <f>HLOOKUP($U$3,Database!$D$6:$OM$155,9,0)</f>
        <v>0</v>
      </c>
      <c r="V12" s="12">
        <f>HLOOKUP($W$2,Database!$D$6:$OM$155,9,0)</f>
        <v>0</v>
      </c>
      <c r="W12" s="26">
        <f>HLOOKUP($W$3,Database!$D$6:$OM$155,9,0)</f>
        <v>0</v>
      </c>
      <c r="X12" s="345" t="s">
        <v>288</v>
      </c>
      <c r="Y12" s="381">
        <f t="shared" si="0"/>
        <v>15.46</v>
      </c>
      <c r="Z12" s="382">
        <f t="shared" si="1"/>
        <v>15.46</v>
      </c>
      <c r="AA12" s="382">
        <f t="shared" si="2"/>
        <v>15.46</v>
      </c>
      <c r="AB12" s="382">
        <f t="shared" si="3"/>
        <v>15.46</v>
      </c>
      <c r="AC12" s="324" t="str">
        <f t="shared" si="4"/>
        <v/>
      </c>
      <c r="AD12" s="324" t="str">
        <f t="shared" si="5"/>
        <v/>
      </c>
      <c r="AE12" s="324" t="str">
        <f t="shared" si="6"/>
        <v/>
      </c>
      <c r="AF12" s="324" t="str">
        <f t="shared" si="7"/>
        <v/>
      </c>
      <c r="AG12" s="324" t="str">
        <f t="shared" si="8"/>
        <v/>
      </c>
      <c r="AH12" s="324" t="str">
        <f t="shared" si="9"/>
        <v/>
      </c>
      <c r="AI12" s="362" t="str">
        <f t="shared" si="10"/>
        <v/>
      </c>
      <c r="AJ12" s="363" t="str">
        <f t="shared" si="11"/>
        <v/>
      </c>
      <c r="AK12" s="383">
        <f t="shared" si="12"/>
        <v>0</v>
      </c>
      <c r="AL12" s="382">
        <f t="shared" si="13"/>
        <v>15.46</v>
      </c>
      <c r="AM12" s="384">
        <f t="shared" si="14"/>
        <v>15.46</v>
      </c>
      <c r="AN12" s="332"/>
      <c r="AO12" s="385">
        <f t="shared" si="15"/>
        <v>15.46</v>
      </c>
      <c r="AP12" s="385">
        <f t="shared" si="16"/>
        <v>21024.5</v>
      </c>
      <c r="AQ12" s="385">
        <f t="shared" si="17"/>
        <v>15.46</v>
      </c>
      <c r="AR12" s="104">
        <f t="shared" si="18"/>
        <v>37563</v>
      </c>
      <c r="AS12" s="104">
        <f t="shared" si="19"/>
        <v>0</v>
      </c>
      <c r="AT12" s="104">
        <f t="shared" si="20"/>
        <v>0</v>
      </c>
      <c r="AU12" s="104">
        <f t="shared" si="21"/>
        <v>0</v>
      </c>
      <c r="AV12" s="104">
        <f t="shared" si="22"/>
        <v>0</v>
      </c>
      <c r="AW12" s="104">
        <f t="shared" si="23"/>
        <v>0</v>
      </c>
      <c r="AX12" s="104">
        <f t="shared" si="24"/>
        <v>0</v>
      </c>
    </row>
    <row r="13" spans="1:50" ht="18.75" customHeight="1" x14ac:dyDescent="0.4">
      <c r="A13" s="355" t="s">
        <v>289</v>
      </c>
      <c r="B13" s="358">
        <v>163</v>
      </c>
      <c r="C13" s="355" t="s">
        <v>60</v>
      </c>
      <c r="D13" s="12">
        <f>HLOOKUP($E$2,Database!$D$6:$OM$155,10,0)</f>
        <v>15.38</v>
      </c>
      <c r="E13" s="26">
        <f>HLOOKUP($E$3,Database!$D$6:$OM$155,10,0)</f>
        <v>10710</v>
      </c>
      <c r="F13" s="12">
        <f>HLOOKUP($G$2,Database!$D$6:$OM$155,10,0)</f>
        <v>15.37</v>
      </c>
      <c r="G13" s="26">
        <f>HLOOKUP($G$3,Database!$D$6:$OM$155,10,0)</f>
        <v>1912</v>
      </c>
      <c r="H13" s="12">
        <f>HLOOKUP($I$2,Database!$D$6:$OM$155,10,0)</f>
        <v>15.37</v>
      </c>
      <c r="I13" s="26">
        <f>HLOOKUP($I$3,Database!$D$6:$OM$155,10,0)</f>
        <v>6980</v>
      </c>
      <c r="J13" s="12">
        <f>HLOOKUP($K$2,Database!$D$6:$OM$155,10,0)</f>
        <v>15.37</v>
      </c>
      <c r="K13" s="26">
        <f>HLOOKUP($K$3,Database!$D$6:$OM$155,10,0)</f>
        <v>8799</v>
      </c>
      <c r="L13" s="12">
        <f>HLOOKUP($M$2,Database!$D$6:$OM$155,10,0)</f>
        <v>0</v>
      </c>
      <c r="M13" s="26">
        <f>HLOOKUP($M$3,Database!$D$6:$OM$155,10,0)</f>
        <v>0</v>
      </c>
      <c r="N13" s="12">
        <f>HLOOKUP($O$2,Database!$D$6:$OM$155,10,0)</f>
        <v>0</v>
      </c>
      <c r="O13" s="26">
        <f>HLOOKUP($O$3,Database!$D$6:$OM$155,10,0)</f>
        <v>0</v>
      </c>
      <c r="P13" s="12">
        <f>HLOOKUP($Q$2,Database!$D$6:$OM$155,10,0)</f>
        <v>0</v>
      </c>
      <c r="Q13" s="26">
        <f>HLOOKUP($Q$3,Database!$D$6:$OM$155,10,0)</f>
        <v>0</v>
      </c>
      <c r="R13" s="12">
        <f>HLOOKUP($S$2,Database!$D$6:$OM$155,10,0)</f>
        <v>0</v>
      </c>
      <c r="S13" s="26">
        <f>HLOOKUP($S$3,Database!$D$6:$OM$155,10,0)</f>
        <v>0</v>
      </c>
      <c r="T13" s="12">
        <f>HLOOKUP($U$2,Database!$D$6:$OM$155,10,0)</f>
        <v>0</v>
      </c>
      <c r="U13" s="26">
        <f>HLOOKUP($U$3,Database!$D$6:$OM$155,10,0)</f>
        <v>0</v>
      </c>
      <c r="V13" s="12">
        <f>HLOOKUP($W$2,Database!$D$6:$OM$155,10,0)</f>
        <v>0</v>
      </c>
      <c r="W13" s="26">
        <f>HLOOKUP($W$3,Database!$D$6:$OM$155,10,0)</f>
        <v>0</v>
      </c>
      <c r="X13" s="345" t="s">
        <v>290</v>
      </c>
      <c r="Y13" s="381">
        <f t="shared" si="0"/>
        <v>15.38</v>
      </c>
      <c r="Z13" s="382">
        <f t="shared" si="1"/>
        <v>15.37</v>
      </c>
      <c r="AA13" s="382">
        <f t="shared" si="2"/>
        <v>15.37</v>
      </c>
      <c r="AB13" s="382">
        <f t="shared" si="3"/>
        <v>15.37</v>
      </c>
      <c r="AC13" s="324" t="str">
        <f t="shared" si="4"/>
        <v/>
      </c>
      <c r="AD13" s="324" t="str">
        <f t="shared" si="5"/>
        <v/>
      </c>
      <c r="AE13" s="324" t="str">
        <f t="shared" si="6"/>
        <v/>
      </c>
      <c r="AF13" s="324" t="str">
        <f t="shared" si="7"/>
        <v/>
      </c>
      <c r="AG13" s="324" t="str">
        <f t="shared" si="8"/>
        <v/>
      </c>
      <c r="AH13" s="324" t="str">
        <f t="shared" si="9"/>
        <v/>
      </c>
      <c r="AI13" s="362" t="str">
        <f t="shared" si="10"/>
        <v/>
      </c>
      <c r="AJ13" s="363" t="str">
        <f t="shared" si="11"/>
        <v/>
      </c>
      <c r="AK13" s="382">
        <f t="shared" si="12"/>
        <v>1.0000000000001563E-2</v>
      </c>
      <c r="AL13" s="382">
        <f t="shared" si="13"/>
        <v>15.37</v>
      </c>
      <c r="AM13" s="384">
        <f t="shared" si="14"/>
        <v>15.38</v>
      </c>
      <c r="AN13" s="332"/>
      <c r="AO13" s="385">
        <f t="shared" si="15"/>
        <v>15.375</v>
      </c>
      <c r="AP13" s="104">
        <f t="shared" si="16"/>
        <v>6311</v>
      </c>
      <c r="AQ13" s="385">
        <f t="shared" si="17"/>
        <v>15.37</v>
      </c>
      <c r="AR13" s="385">
        <f t="shared" si="18"/>
        <v>7889.5</v>
      </c>
      <c r="AS13" s="104">
        <f t="shared" si="19"/>
        <v>0</v>
      </c>
      <c r="AT13" s="104">
        <f t="shared" si="20"/>
        <v>0</v>
      </c>
      <c r="AU13" s="104">
        <f t="shared" si="21"/>
        <v>0</v>
      </c>
      <c r="AV13" s="104">
        <f t="shared" si="22"/>
        <v>0</v>
      </c>
      <c r="AW13" s="104">
        <f t="shared" si="23"/>
        <v>0</v>
      </c>
      <c r="AX13" s="104">
        <f t="shared" si="24"/>
        <v>0</v>
      </c>
    </row>
    <row r="14" spans="1:50" ht="18.75" customHeight="1" x14ac:dyDescent="0.4">
      <c r="A14" s="355" t="s">
        <v>291</v>
      </c>
      <c r="B14" s="358">
        <v>92</v>
      </c>
      <c r="C14" s="355" t="s">
        <v>60</v>
      </c>
      <c r="D14" s="12">
        <f>HLOOKUP($E$2,Database!$D$6:$OM$155,11,0)</f>
        <v>16.670000000000002</v>
      </c>
      <c r="E14" s="26">
        <f>HLOOKUP($E$3,Database!$D$6:$OM$155,11,0)</f>
        <v>20020</v>
      </c>
      <c r="F14" s="12">
        <f>HLOOKUP($G$2,Database!$D$6:$OM$155,11,0)</f>
        <v>16.66</v>
      </c>
      <c r="G14" s="26">
        <f>HLOOKUP($G$3,Database!$D$6:$OM$155,11,0)</f>
        <v>2352</v>
      </c>
      <c r="H14" s="12">
        <f>HLOOKUP($I$2,Database!$D$6:$OM$155,11,0)</f>
        <v>16.66</v>
      </c>
      <c r="I14" s="26">
        <f>HLOOKUP($I$3,Database!$D$6:$OM$155,11,0)</f>
        <v>11214</v>
      </c>
      <c r="J14" s="12">
        <f>HLOOKUP($K$2,Database!$D$6:$OM$155,11,0)</f>
        <v>16.66</v>
      </c>
      <c r="K14" s="26">
        <f>HLOOKUP($K$3,Database!$D$6:$OM$155,11,0)</f>
        <v>13585</v>
      </c>
      <c r="L14" s="12">
        <f>HLOOKUP($M$2,Database!$D$6:$OM$155,11,0)</f>
        <v>0</v>
      </c>
      <c r="M14" s="26">
        <f>HLOOKUP($M$3,Database!$D$6:$OM$155,11,0)</f>
        <v>0</v>
      </c>
      <c r="N14" s="12">
        <f>HLOOKUP($O$2,Database!$D$6:$OM$155,11,0)</f>
        <v>0</v>
      </c>
      <c r="O14" s="26">
        <f>HLOOKUP($O$3,Database!$D$6:$OM$155,11,0)</f>
        <v>0</v>
      </c>
      <c r="P14" s="12">
        <f>HLOOKUP($Q$2,Database!$D$6:$OM$155,11,0)</f>
        <v>0</v>
      </c>
      <c r="Q14" s="26">
        <f>HLOOKUP($Q$3,Database!$D$6:$OM$155,11,0)</f>
        <v>0</v>
      </c>
      <c r="R14" s="12">
        <f>HLOOKUP($S$2,Database!$D$6:$OM$155,11,0)</f>
        <v>0</v>
      </c>
      <c r="S14" s="26">
        <f>HLOOKUP($S$3,Database!$D$6:$OM$155,11,0)</f>
        <v>0</v>
      </c>
      <c r="T14" s="12">
        <f>HLOOKUP($U$2,Database!$D$6:$OM$155,11,0)</f>
        <v>0</v>
      </c>
      <c r="U14" s="26">
        <f>HLOOKUP($U$3,Database!$D$6:$OM$155,11,0)</f>
        <v>0</v>
      </c>
      <c r="V14" s="12">
        <f>HLOOKUP($W$2,Database!$D$6:$OM$155,11,0)</f>
        <v>0</v>
      </c>
      <c r="W14" s="26">
        <f>HLOOKUP($W$3,Database!$D$6:$OM$155,11,0)</f>
        <v>0</v>
      </c>
      <c r="X14" s="345" t="s">
        <v>292</v>
      </c>
      <c r="Y14" s="381">
        <f t="shared" si="0"/>
        <v>16.670000000000002</v>
      </c>
      <c r="Z14" s="382">
        <f t="shared" si="1"/>
        <v>16.66</v>
      </c>
      <c r="AA14" s="382">
        <f t="shared" si="2"/>
        <v>16.66</v>
      </c>
      <c r="AB14" s="382">
        <f t="shared" si="3"/>
        <v>16.66</v>
      </c>
      <c r="AC14" s="324" t="str">
        <f t="shared" si="4"/>
        <v/>
      </c>
      <c r="AD14" s="324" t="str">
        <f t="shared" si="5"/>
        <v/>
      </c>
      <c r="AE14" s="324" t="str">
        <f t="shared" si="6"/>
        <v/>
      </c>
      <c r="AF14" s="324" t="str">
        <f t="shared" si="7"/>
        <v/>
      </c>
      <c r="AG14" s="324" t="str">
        <f t="shared" si="8"/>
        <v/>
      </c>
      <c r="AH14" s="324" t="str">
        <f t="shared" si="9"/>
        <v/>
      </c>
      <c r="AI14" s="362" t="str">
        <f t="shared" si="10"/>
        <v/>
      </c>
      <c r="AJ14" s="363" t="str">
        <f t="shared" si="11"/>
        <v/>
      </c>
      <c r="AK14" s="382">
        <f t="shared" si="12"/>
        <v>1.0000000000001563E-2</v>
      </c>
      <c r="AL14" s="382">
        <f t="shared" si="13"/>
        <v>16.66</v>
      </c>
      <c r="AM14" s="384">
        <f t="shared" si="14"/>
        <v>16.670000000000002</v>
      </c>
      <c r="AN14" s="332"/>
      <c r="AO14" s="385">
        <f t="shared" si="15"/>
        <v>16.664999999999999</v>
      </c>
      <c r="AP14" s="104">
        <f t="shared" si="16"/>
        <v>11186</v>
      </c>
      <c r="AQ14" s="385">
        <f t="shared" si="17"/>
        <v>16.66</v>
      </c>
      <c r="AR14" s="385">
        <f t="shared" si="18"/>
        <v>12399.5</v>
      </c>
      <c r="AS14" s="104">
        <f t="shared" si="19"/>
        <v>0</v>
      </c>
      <c r="AT14" s="104">
        <f t="shared" si="20"/>
        <v>0</v>
      </c>
      <c r="AU14" s="104">
        <f t="shared" si="21"/>
        <v>0</v>
      </c>
      <c r="AV14" s="104">
        <f t="shared" si="22"/>
        <v>0</v>
      </c>
      <c r="AW14" s="104">
        <f t="shared" si="23"/>
        <v>0</v>
      </c>
      <c r="AX14" s="104">
        <f t="shared" si="24"/>
        <v>0</v>
      </c>
    </row>
    <row r="15" spans="1:50" ht="18.75" customHeight="1" x14ac:dyDescent="0.4">
      <c r="A15" s="355" t="s">
        <v>293</v>
      </c>
      <c r="B15" s="358">
        <v>113</v>
      </c>
      <c r="C15" s="355" t="s">
        <v>60</v>
      </c>
      <c r="D15" s="12">
        <f>HLOOKUP($E$2,Database!$D$6:$OM$155,12,0)</f>
        <v>17.079999999999998</v>
      </c>
      <c r="E15" s="26">
        <f>HLOOKUP($E$3,Database!$D$6:$OM$155,12,0)</f>
        <v>72567</v>
      </c>
      <c r="F15" s="12">
        <f>HLOOKUP($G$2,Database!$D$6:$OM$155,12,0)</f>
        <v>17.059999999999999</v>
      </c>
      <c r="G15" s="26">
        <f>HLOOKUP($G$3,Database!$D$6:$OM$155,12,0)</f>
        <v>7346</v>
      </c>
      <c r="H15" s="12">
        <f>HLOOKUP($I$2,Database!$D$6:$OM$155,12,0)</f>
        <v>17.059999999999999</v>
      </c>
      <c r="I15" s="26">
        <f>HLOOKUP($I$3,Database!$D$6:$OM$155,12,0)</f>
        <v>24627</v>
      </c>
      <c r="J15" s="12">
        <f>HLOOKUP($K$2,Database!$D$6:$OM$155,12,0)</f>
        <v>17.07</v>
      </c>
      <c r="K15" s="26">
        <f>HLOOKUP($K$3,Database!$D$6:$OM$155,12,0)</f>
        <v>29544</v>
      </c>
      <c r="L15" s="12">
        <f>HLOOKUP($M$2,Database!$D$6:$OM$155,12,0)</f>
        <v>0</v>
      </c>
      <c r="M15" s="26">
        <f>HLOOKUP($M$3,Database!$D$6:$OM$155,12,0)</f>
        <v>0</v>
      </c>
      <c r="N15" s="12">
        <f>HLOOKUP($O$2,Database!$D$6:$OM$155,12,0)</f>
        <v>0</v>
      </c>
      <c r="O15" s="26">
        <f>HLOOKUP($O$3,Database!$D$6:$OM$155,12,0)</f>
        <v>0</v>
      </c>
      <c r="P15" s="12">
        <f>HLOOKUP($Q$2,Database!$D$6:$OM$155,12,0)</f>
        <v>0</v>
      </c>
      <c r="Q15" s="26">
        <f>HLOOKUP($Q$3,Database!$D$6:$OM$155,12,0)</f>
        <v>0</v>
      </c>
      <c r="R15" s="12">
        <f>HLOOKUP($S$2,Database!$D$6:$OM$155,12,0)</f>
        <v>0</v>
      </c>
      <c r="S15" s="26">
        <f>HLOOKUP($S$3,Database!$D$6:$OM$155,12,0)</f>
        <v>0</v>
      </c>
      <c r="T15" s="12">
        <f>HLOOKUP($U$2,Database!$D$6:$OM$155,12,0)</f>
        <v>0</v>
      </c>
      <c r="U15" s="26">
        <f>HLOOKUP($U$3,Database!$D$6:$OM$155,12,0)</f>
        <v>0</v>
      </c>
      <c r="V15" s="12">
        <f>HLOOKUP($W$2,Database!$D$6:$OM$155,12,0)</f>
        <v>0</v>
      </c>
      <c r="W15" s="26">
        <f>HLOOKUP($W$3,Database!$D$6:$OM$155,12,0)</f>
        <v>0</v>
      </c>
      <c r="Y15" s="381">
        <f t="shared" si="0"/>
        <v>17.079999999999998</v>
      </c>
      <c r="Z15" s="382">
        <f t="shared" si="1"/>
        <v>17.059999999999999</v>
      </c>
      <c r="AA15" s="382">
        <f t="shared" si="2"/>
        <v>17.059999999999999</v>
      </c>
      <c r="AB15" s="382">
        <f t="shared" si="3"/>
        <v>17.07</v>
      </c>
      <c r="AC15" s="324" t="str">
        <f t="shared" si="4"/>
        <v/>
      </c>
      <c r="AD15" s="324" t="str">
        <f t="shared" si="5"/>
        <v/>
      </c>
      <c r="AE15" s="324" t="str">
        <f t="shared" si="6"/>
        <v/>
      </c>
      <c r="AF15" s="324" t="str">
        <f t="shared" si="7"/>
        <v/>
      </c>
      <c r="AG15" s="324" t="str">
        <f t="shared" si="8"/>
        <v/>
      </c>
      <c r="AH15" s="324" t="str">
        <f t="shared" si="9"/>
        <v/>
      </c>
      <c r="AI15" s="362" t="str">
        <f t="shared" si="10"/>
        <v/>
      </c>
      <c r="AJ15" s="363" t="str">
        <f t="shared" si="11"/>
        <v/>
      </c>
      <c r="AK15" s="382">
        <f t="shared" si="12"/>
        <v>1.9999999999999574E-2</v>
      </c>
      <c r="AL15" s="382">
        <f t="shared" si="13"/>
        <v>17.059999999999999</v>
      </c>
      <c r="AM15" s="384">
        <f t="shared" si="14"/>
        <v>17.079999999999998</v>
      </c>
      <c r="AN15" s="332"/>
      <c r="AO15" s="385">
        <f t="shared" si="15"/>
        <v>17.07</v>
      </c>
      <c r="AP15" s="385">
        <f t="shared" si="16"/>
        <v>39956.5</v>
      </c>
      <c r="AQ15" s="385">
        <f t="shared" si="17"/>
        <v>17.064999999999998</v>
      </c>
      <c r="AR15" s="385">
        <f t="shared" si="18"/>
        <v>27085.5</v>
      </c>
      <c r="AS15" s="104">
        <f t="shared" si="19"/>
        <v>0</v>
      </c>
      <c r="AT15" s="104">
        <f t="shared" si="20"/>
        <v>0</v>
      </c>
      <c r="AU15" s="104">
        <f t="shared" si="21"/>
        <v>0</v>
      </c>
      <c r="AV15" s="104">
        <f t="shared" si="22"/>
        <v>0</v>
      </c>
      <c r="AW15" s="104">
        <f t="shared" si="23"/>
        <v>0</v>
      </c>
      <c r="AX15" s="104">
        <f t="shared" si="24"/>
        <v>0</v>
      </c>
    </row>
    <row r="16" spans="1:50" ht="18.75" customHeight="1" x14ac:dyDescent="0.4">
      <c r="A16" s="355" t="s">
        <v>294</v>
      </c>
      <c r="B16" s="358">
        <v>135</v>
      </c>
      <c r="C16" s="355" t="s">
        <v>60</v>
      </c>
      <c r="D16" s="12">
        <f>HLOOKUP($E$2,Database!$D$6:$OM$155,13,0)</f>
        <v>16.64</v>
      </c>
      <c r="E16" s="26">
        <f>HLOOKUP($E$3,Database!$D$6:$OM$155,13,0)</f>
        <v>22269</v>
      </c>
      <c r="F16" s="12">
        <f>HLOOKUP($G$2,Database!$D$6:$OM$155,13,0)</f>
        <v>16.64</v>
      </c>
      <c r="G16" s="26">
        <f>HLOOKUP($G$3,Database!$D$6:$OM$155,13,0)</f>
        <v>2814</v>
      </c>
      <c r="H16" s="12">
        <f>HLOOKUP($I$2,Database!$D$6:$OM$155,13,0)</f>
        <v>16.63</v>
      </c>
      <c r="I16" s="26">
        <f>HLOOKUP($I$3,Database!$D$6:$OM$155,13,0)</f>
        <v>8961</v>
      </c>
      <c r="J16" s="12">
        <f>HLOOKUP($K$2,Database!$D$6:$OM$155,13,0)</f>
        <v>16.63</v>
      </c>
      <c r="K16" s="26">
        <f>HLOOKUP($K$3,Database!$D$6:$OM$155,13,0)</f>
        <v>11100</v>
      </c>
      <c r="L16" s="12">
        <f>HLOOKUP($M$2,Database!$D$6:$OM$155,13,0)</f>
        <v>0</v>
      </c>
      <c r="M16" s="26">
        <f>HLOOKUP($M$3,Database!$D$6:$OM$155,13,0)</f>
        <v>0</v>
      </c>
      <c r="N16" s="12">
        <f>HLOOKUP($O$2,Database!$D$6:$OM$155,13,0)</f>
        <v>0</v>
      </c>
      <c r="O16" s="26">
        <f>HLOOKUP($O$3,Database!$D$6:$OM$155,13,0)</f>
        <v>0</v>
      </c>
      <c r="P16" s="12">
        <f>HLOOKUP($Q$2,Database!$D$6:$OM$155,13,0)</f>
        <v>0</v>
      </c>
      <c r="Q16" s="26">
        <f>HLOOKUP($Q$3,Database!$D$6:$OM$155,13,0)</f>
        <v>0</v>
      </c>
      <c r="R16" s="12">
        <f>HLOOKUP($S$2,Database!$D$6:$OM$155,13,0)</f>
        <v>0</v>
      </c>
      <c r="S16" s="26">
        <f>HLOOKUP($S$3,Database!$D$6:$OM$155,13,0)</f>
        <v>0</v>
      </c>
      <c r="T16" s="12">
        <f>HLOOKUP($U$2,Database!$D$6:$OM$155,13,0)</f>
        <v>0</v>
      </c>
      <c r="U16" s="26">
        <f>HLOOKUP($U$3,Database!$D$6:$OM$155,13,0)</f>
        <v>0</v>
      </c>
      <c r="V16" s="12">
        <f>HLOOKUP($W$2,Database!$D$6:$OM$155,13,0)</f>
        <v>0</v>
      </c>
      <c r="W16" s="26">
        <f>HLOOKUP($W$3,Database!$D$6:$OM$155,13,0)</f>
        <v>0</v>
      </c>
      <c r="Y16" s="381">
        <f t="shared" si="0"/>
        <v>16.64</v>
      </c>
      <c r="Z16" s="382">
        <f t="shared" si="1"/>
        <v>16.64</v>
      </c>
      <c r="AA16" s="382">
        <f t="shared" si="2"/>
        <v>16.63</v>
      </c>
      <c r="AB16" s="382">
        <f t="shared" si="3"/>
        <v>16.63</v>
      </c>
      <c r="AC16" s="324" t="str">
        <f t="shared" si="4"/>
        <v/>
      </c>
      <c r="AD16" s="324" t="str">
        <f t="shared" si="5"/>
        <v/>
      </c>
      <c r="AE16" s="324" t="str">
        <f t="shared" si="6"/>
        <v/>
      </c>
      <c r="AF16" s="324" t="str">
        <f t="shared" si="7"/>
        <v/>
      </c>
      <c r="AG16" s="324" t="str">
        <f t="shared" si="8"/>
        <v/>
      </c>
      <c r="AH16" s="324" t="str">
        <f t="shared" si="9"/>
        <v/>
      </c>
      <c r="AI16" s="362" t="str">
        <f t="shared" si="10"/>
        <v/>
      </c>
      <c r="AJ16" s="363" t="str">
        <f t="shared" si="11"/>
        <v/>
      </c>
      <c r="AK16" s="382">
        <f t="shared" si="12"/>
        <v>1.0000000000001563E-2</v>
      </c>
      <c r="AL16" s="382">
        <f t="shared" si="13"/>
        <v>16.63</v>
      </c>
      <c r="AM16" s="384">
        <f t="shared" si="14"/>
        <v>16.64</v>
      </c>
      <c r="AN16" s="332"/>
      <c r="AO16" s="385">
        <f t="shared" si="15"/>
        <v>16.64</v>
      </c>
      <c r="AP16" s="385">
        <f t="shared" si="16"/>
        <v>12541.5</v>
      </c>
      <c r="AQ16" s="385">
        <f t="shared" si="17"/>
        <v>16.63</v>
      </c>
      <c r="AR16" s="385">
        <f t="shared" si="18"/>
        <v>10030.5</v>
      </c>
      <c r="AS16" s="104">
        <f t="shared" si="19"/>
        <v>0</v>
      </c>
      <c r="AT16" s="104">
        <f t="shared" si="20"/>
        <v>0</v>
      </c>
      <c r="AU16" s="104">
        <f t="shared" si="21"/>
        <v>0</v>
      </c>
      <c r="AV16" s="104">
        <f t="shared" si="22"/>
        <v>0</v>
      </c>
      <c r="AW16" s="104">
        <f t="shared" si="23"/>
        <v>0</v>
      </c>
      <c r="AX16" s="104">
        <f t="shared" si="24"/>
        <v>0</v>
      </c>
    </row>
    <row r="17" spans="1:50" ht="18.75" customHeight="1" x14ac:dyDescent="0.4">
      <c r="A17" s="355" t="s">
        <v>295</v>
      </c>
      <c r="B17" s="358">
        <v>179</v>
      </c>
      <c r="C17" s="355" t="s">
        <v>60</v>
      </c>
      <c r="D17" s="12">
        <f>HLOOKUP($E$2,Database!$D$6:$OM$155,14,0)</f>
        <v>18.600000000000001</v>
      </c>
      <c r="E17" s="26">
        <f>HLOOKUP($E$3,Database!$D$6:$OM$155,14,0)</f>
        <v>29641</v>
      </c>
      <c r="F17" s="12">
        <f>HLOOKUP($G$2,Database!$D$6:$OM$155,14,0)</f>
        <v>18.600000000000001</v>
      </c>
      <c r="G17" s="26">
        <f>HLOOKUP($G$3,Database!$D$6:$OM$155,14,0)</f>
        <v>7857</v>
      </c>
      <c r="H17" s="12">
        <f>HLOOKUP($I$2,Database!$D$6:$OM$155,14,0)</f>
        <v>18.600000000000001</v>
      </c>
      <c r="I17" s="26">
        <f>HLOOKUP($I$3,Database!$D$6:$OM$155,14,0)</f>
        <v>24363</v>
      </c>
      <c r="J17" s="12">
        <f>HLOOKUP($K$2,Database!$D$6:$OM$155,14,0)</f>
        <v>18.600000000000001</v>
      </c>
      <c r="K17" s="26">
        <f>HLOOKUP($K$3,Database!$D$6:$OM$155,14,0)</f>
        <v>28287</v>
      </c>
      <c r="L17" s="12">
        <f>HLOOKUP($M$2,Database!$D$6:$OM$155,14,0)</f>
        <v>0</v>
      </c>
      <c r="M17" s="26">
        <f>HLOOKUP($M$3,Database!$D$6:$OM$155,14,0)</f>
        <v>0</v>
      </c>
      <c r="N17" s="12">
        <f>HLOOKUP($O$2,Database!$D$6:$OM$155,14,0)</f>
        <v>0</v>
      </c>
      <c r="O17" s="26">
        <f>HLOOKUP($O$3,Database!$D$6:$OM$155,14,0)</f>
        <v>0</v>
      </c>
      <c r="P17" s="12">
        <f>HLOOKUP($Q$2,Database!$D$6:$OM$155,14,0)</f>
        <v>0</v>
      </c>
      <c r="Q17" s="26">
        <f>HLOOKUP($Q$3,Database!$D$6:$OM$155,14,0)</f>
        <v>0</v>
      </c>
      <c r="R17" s="12">
        <f>HLOOKUP($S$2,Database!$D$6:$OM$155,14,0)</f>
        <v>0</v>
      </c>
      <c r="S17" s="26">
        <f>HLOOKUP($S$3,Database!$D$6:$OM$155,14,0)</f>
        <v>0</v>
      </c>
      <c r="T17" s="12">
        <f>HLOOKUP($U$2,Database!$D$6:$OM$155,14,0)</f>
        <v>0</v>
      </c>
      <c r="U17" s="26">
        <f>HLOOKUP($U$3,Database!$D$6:$OM$155,14,0)</f>
        <v>0</v>
      </c>
      <c r="V17" s="12">
        <f>HLOOKUP($W$2,Database!$D$6:$OM$155,14,0)</f>
        <v>0</v>
      </c>
      <c r="W17" s="26">
        <f>HLOOKUP($W$3,Database!$D$6:$OM$155,14,0)</f>
        <v>0</v>
      </c>
      <c r="Y17" s="381">
        <f t="shared" si="0"/>
        <v>18.600000000000001</v>
      </c>
      <c r="Z17" s="382">
        <f t="shared" si="1"/>
        <v>18.600000000000001</v>
      </c>
      <c r="AA17" s="382">
        <f t="shared" si="2"/>
        <v>18.600000000000001</v>
      </c>
      <c r="AB17" s="382">
        <f t="shared" si="3"/>
        <v>18.600000000000001</v>
      </c>
      <c r="AC17" s="324" t="str">
        <f t="shared" si="4"/>
        <v/>
      </c>
      <c r="AD17" s="324" t="str">
        <f t="shared" si="5"/>
        <v/>
      </c>
      <c r="AE17" s="324" t="str">
        <f t="shared" si="6"/>
        <v/>
      </c>
      <c r="AF17" s="324" t="str">
        <f t="shared" si="7"/>
        <v/>
      </c>
      <c r="AG17" s="324" t="str">
        <f t="shared" si="8"/>
        <v/>
      </c>
      <c r="AH17" s="324" t="str">
        <f t="shared" si="9"/>
        <v/>
      </c>
      <c r="AI17" s="362" t="str">
        <f t="shared" si="10"/>
        <v/>
      </c>
      <c r="AJ17" s="363" t="str">
        <f t="shared" si="11"/>
        <v/>
      </c>
      <c r="AK17" s="383">
        <f t="shared" si="12"/>
        <v>0</v>
      </c>
      <c r="AL17" s="382">
        <f t="shared" si="13"/>
        <v>18.600000000000001</v>
      </c>
      <c r="AM17" s="384">
        <f t="shared" si="14"/>
        <v>18.600000000000001</v>
      </c>
      <c r="AN17" s="332"/>
      <c r="AO17" s="385">
        <f t="shared" si="15"/>
        <v>18.600000000000001</v>
      </c>
      <c r="AP17" s="104">
        <f t="shared" si="16"/>
        <v>18749</v>
      </c>
      <c r="AQ17" s="385">
        <f t="shared" si="17"/>
        <v>18.600000000000001</v>
      </c>
      <c r="AR17" s="104">
        <f t="shared" si="18"/>
        <v>26325</v>
      </c>
      <c r="AS17" s="104">
        <f t="shared" si="19"/>
        <v>0</v>
      </c>
      <c r="AT17" s="104">
        <f t="shared" si="20"/>
        <v>0</v>
      </c>
      <c r="AU17" s="104">
        <f t="shared" si="21"/>
        <v>0</v>
      </c>
      <c r="AV17" s="104">
        <f t="shared" si="22"/>
        <v>0</v>
      </c>
      <c r="AW17" s="104">
        <f t="shared" si="23"/>
        <v>0</v>
      </c>
      <c r="AX17" s="104">
        <f t="shared" si="24"/>
        <v>0</v>
      </c>
    </row>
    <row r="18" spans="1:50" ht="18.75" customHeight="1" x14ac:dyDescent="0.4">
      <c r="A18" s="355" t="s">
        <v>296</v>
      </c>
      <c r="B18" s="358">
        <v>180</v>
      </c>
      <c r="C18" s="355" t="s">
        <v>60</v>
      </c>
      <c r="D18" s="12">
        <f>HLOOKUP($E$2,Database!$D$6:$OM$155,15,0)</f>
        <v>19.03</v>
      </c>
      <c r="E18" s="26">
        <f>HLOOKUP($E$3,Database!$D$6:$OM$155,15,0)</f>
        <v>9980</v>
      </c>
      <c r="F18" s="12">
        <f>HLOOKUP($G$2,Database!$D$6:$OM$155,15,0)</f>
        <v>18.97</v>
      </c>
      <c r="G18" s="26">
        <f>HLOOKUP($G$3,Database!$D$6:$OM$155,15,0)</f>
        <v>1031</v>
      </c>
      <c r="H18" s="12">
        <f>HLOOKUP($I$2,Database!$D$6:$OM$155,15,0)</f>
        <v>18.97</v>
      </c>
      <c r="I18" s="26">
        <f>HLOOKUP($I$3,Database!$D$6:$OM$155,15,0)</f>
        <v>2994</v>
      </c>
      <c r="J18" s="12">
        <f>HLOOKUP($K$2,Database!$D$6:$OM$155,15,0)</f>
        <v>18.97</v>
      </c>
      <c r="K18" s="26">
        <f>HLOOKUP($K$3,Database!$D$6:$OM$155,15,0)</f>
        <v>3510</v>
      </c>
      <c r="L18" s="12">
        <f>HLOOKUP($M$2,Database!$D$6:$OM$155,15,0)</f>
        <v>0</v>
      </c>
      <c r="M18" s="26">
        <f>HLOOKUP($M$3,Database!$D$6:$OM$155,15,0)</f>
        <v>0</v>
      </c>
      <c r="N18" s="12">
        <f>HLOOKUP($O$2,Database!$D$6:$OM$155,15,0)</f>
        <v>0</v>
      </c>
      <c r="O18" s="26">
        <f>HLOOKUP($O$3,Database!$D$6:$OM$155,15,0)</f>
        <v>0</v>
      </c>
      <c r="P18" s="12">
        <f>HLOOKUP($Q$2,Database!$D$6:$OM$155,15,0)</f>
        <v>0</v>
      </c>
      <c r="Q18" s="26">
        <f>HLOOKUP($Q$3,Database!$D$6:$OM$155,15,0)</f>
        <v>0</v>
      </c>
      <c r="R18" s="12">
        <f>HLOOKUP($S$2,Database!$D$6:$OM$155,15,0)</f>
        <v>0</v>
      </c>
      <c r="S18" s="26">
        <f>HLOOKUP($S$3,Database!$D$6:$OM$155,15,0)</f>
        <v>0</v>
      </c>
      <c r="T18" s="12">
        <f>HLOOKUP($U$2,Database!$D$6:$OM$155,15,0)</f>
        <v>0</v>
      </c>
      <c r="U18" s="26">
        <f>HLOOKUP($U$3,Database!$D$6:$OM$155,15,0)</f>
        <v>0</v>
      </c>
      <c r="V18" s="12">
        <f>HLOOKUP($W$2,Database!$D$6:$OM$155,15,0)</f>
        <v>0</v>
      </c>
      <c r="W18" s="26">
        <f>HLOOKUP($W$3,Database!$D$6:$OM$155,15,0)</f>
        <v>0</v>
      </c>
      <c r="Y18" s="381">
        <f t="shared" si="0"/>
        <v>19.03</v>
      </c>
      <c r="Z18" s="382">
        <f t="shared" si="1"/>
        <v>18.97</v>
      </c>
      <c r="AA18" s="382">
        <f t="shared" si="2"/>
        <v>18.97</v>
      </c>
      <c r="AB18" s="382">
        <f t="shared" si="3"/>
        <v>18.97</v>
      </c>
      <c r="AC18" s="324" t="str">
        <f t="shared" si="4"/>
        <v/>
      </c>
      <c r="AD18" s="324" t="str">
        <f t="shared" si="5"/>
        <v/>
      </c>
      <c r="AE18" s="324" t="str">
        <f t="shared" si="6"/>
        <v/>
      </c>
      <c r="AF18" s="324" t="str">
        <f t="shared" si="7"/>
        <v/>
      </c>
      <c r="AG18" s="324" t="str">
        <f t="shared" si="8"/>
        <v/>
      </c>
      <c r="AH18" s="324" t="str">
        <f t="shared" si="9"/>
        <v/>
      </c>
      <c r="AI18" s="362" t="str">
        <f t="shared" si="10"/>
        <v/>
      </c>
      <c r="AJ18" s="363" t="str">
        <f t="shared" si="11"/>
        <v/>
      </c>
      <c r="AK18" s="382">
        <f t="shared" si="12"/>
        <v>6.0000000000002274E-2</v>
      </c>
      <c r="AL18" s="382">
        <f t="shared" si="13"/>
        <v>18.97</v>
      </c>
      <c r="AM18" s="384">
        <f t="shared" si="14"/>
        <v>19.03</v>
      </c>
      <c r="AN18" s="332"/>
      <c r="AO18" s="104">
        <f t="shared" si="15"/>
        <v>19</v>
      </c>
      <c r="AP18" s="385">
        <f t="shared" si="16"/>
        <v>5505.5</v>
      </c>
      <c r="AQ18" s="385">
        <f t="shared" si="17"/>
        <v>18.97</v>
      </c>
      <c r="AR18" s="104">
        <f t="shared" si="18"/>
        <v>3252</v>
      </c>
      <c r="AS18" s="104">
        <f t="shared" si="19"/>
        <v>0</v>
      </c>
      <c r="AT18" s="104">
        <f t="shared" si="20"/>
        <v>0</v>
      </c>
      <c r="AU18" s="104">
        <f t="shared" si="21"/>
        <v>0</v>
      </c>
      <c r="AV18" s="104">
        <f t="shared" si="22"/>
        <v>0</v>
      </c>
      <c r="AW18" s="104">
        <f t="shared" si="23"/>
        <v>0</v>
      </c>
      <c r="AX18" s="104">
        <f t="shared" si="24"/>
        <v>0</v>
      </c>
    </row>
    <row r="19" spans="1:50" ht="18.75" customHeight="1" x14ac:dyDescent="0.4">
      <c r="A19" s="355" t="s">
        <v>297</v>
      </c>
      <c r="B19" s="358">
        <v>179</v>
      </c>
      <c r="C19" s="355" t="s">
        <v>60</v>
      </c>
      <c r="D19" s="12">
        <f>HLOOKUP($E$2,Database!$D$6:$OM$155,16,0)</f>
        <v>18.98</v>
      </c>
      <c r="E19" s="26">
        <f>HLOOKUP($E$3,Database!$D$6:$OM$155,16,0)</f>
        <v>27924</v>
      </c>
      <c r="F19" s="12">
        <f>HLOOKUP($G$2,Database!$D$6:$OM$155,16,0)</f>
        <v>18.97</v>
      </c>
      <c r="G19" s="26">
        <f>HLOOKUP($G$3,Database!$D$6:$OM$155,16,0)</f>
        <v>7802</v>
      </c>
      <c r="H19" s="12">
        <f>HLOOKUP($I$2,Database!$D$6:$OM$155,16,0)</f>
        <v>18.97</v>
      </c>
      <c r="I19" s="26">
        <f>HLOOKUP($I$3,Database!$D$6:$OM$155,16,0)</f>
        <v>22412</v>
      </c>
      <c r="J19" s="12">
        <f>HLOOKUP($K$2,Database!$D$6:$OM$155,16,0)</f>
        <v>18.97</v>
      </c>
      <c r="K19" s="26">
        <f>HLOOKUP($K$3,Database!$D$6:$OM$155,16,0)</f>
        <v>26834</v>
      </c>
      <c r="L19" s="12">
        <f>HLOOKUP($M$2,Database!$D$6:$OM$155,16,0)</f>
        <v>0</v>
      </c>
      <c r="M19" s="26">
        <f>HLOOKUP($M$3,Database!$D$6:$OM$155,16,0)</f>
        <v>0</v>
      </c>
      <c r="N19" s="12">
        <f>HLOOKUP($O$2,Database!$D$6:$OM$155,16,0)</f>
        <v>0</v>
      </c>
      <c r="O19" s="26">
        <f>HLOOKUP($O$3,Database!$D$6:$OM$155,16,0)</f>
        <v>0</v>
      </c>
      <c r="P19" s="12">
        <f>HLOOKUP($Q$2,Database!$D$6:$OM$155,16,0)</f>
        <v>0</v>
      </c>
      <c r="Q19" s="26">
        <f>HLOOKUP($Q$3,Database!$D$6:$OM$155,16,0)</f>
        <v>0</v>
      </c>
      <c r="R19" s="12">
        <f>HLOOKUP($S$2,Database!$D$6:$OM$155,16,0)</f>
        <v>0</v>
      </c>
      <c r="S19" s="26">
        <f>HLOOKUP($S$3,Database!$D$6:$OM$155,16,0)</f>
        <v>0</v>
      </c>
      <c r="T19" s="12">
        <f>HLOOKUP($U$2,Database!$D$6:$OM$155,16,0)</f>
        <v>0</v>
      </c>
      <c r="U19" s="26">
        <f>HLOOKUP($U$3,Database!$D$6:$OM$155,16,0)</f>
        <v>0</v>
      </c>
      <c r="V19" s="12">
        <f>HLOOKUP($W$2,Database!$D$6:$OM$155,16,0)</f>
        <v>0</v>
      </c>
      <c r="W19" s="26">
        <f>HLOOKUP($W$3,Database!$D$6:$OM$155,16,0)</f>
        <v>0</v>
      </c>
      <c r="Y19" s="381">
        <f t="shared" si="0"/>
        <v>18.98</v>
      </c>
      <c r="Z19" s="382">
        <f t="shared" si="1"/>
        <v>18.97</v>
      </c>
      <c r="AA19" s="382">
        <f t="shared" si="2"/>
        <v>18.97</v>
      </c>
      <c r="AB19" s="382">
        <f t="shared" si="3"/>
        <v>18.97</v>
      </c>
      <c r="AC19" s="324" t="str">
        <f t="shared" si="4"/>
        <v/>
      </c>
      <c r="AD19" s="324" t="str">
        <f t="shared" si="5"/>
        <v/>
      </c>
      <c r="AE19" s="324" t="str">
        <f t="shared" si="6"/>
        <v/>
      </c>
      <c r="AF19" s="324" t="str">
        <f t="shared" si="7"/>
        <v/>
      </c>
      <c r="AG19" s="324" t="str">
        <f t="shared" si="8"/>
        <v/>
      </c>
      <c r="AH19" s="324" t="str">
        <f t="shared" si="9"/>
        <v/>
      </c>
      <c r="AI19" s="362" t="str">
        <f t="shared" si="10"/>
        <v/>
      </c>
      <c r="AJ19" s="363" t="str">
        <f t="shared" si="11"/>
        <v/>
      </c>
      <c r="AK19" s="382">
        <f t="shared" si="12"/>
        <v>1.0000000000001563E-2</v>
      </c>
      <c r="AL19" s="382">
        <f t="shared" si="13"/>
        <v>18.97</v>
      </c>
      <c r="AM19" s="384">
        <f t="shared" si="14"/>
        <v>18.98</v>
      </c>
      <c r="AN19" s="332"/>
      <c r="AO19" s="385">
        <f t="shared" si="15"/>
        <v>18.975000000000001</v>
      </c>
      <c r="AP19" s="104">
        <f t="shared" si="16"/>
        <v>17863</v>
      </c>
      <c r="AQ19" s="385">
        <f t="shared" si="17"/>
        <v>18.97</v>
      </c>
      <c r="AR19" s="104">
        <f t="shared" si="18"/>
        <v>24623</v>
      </c>
      <c r="AS19" s="104">
        <f t="shared" si="19"/>
        <v>0</v>
      </c>
      <c r="AT19" s="104">
        <f t="shared" si="20"/>
        <v>0</v>
      </c>
      <c r="AU19" s="104">
        <f t="shared" si="21"/>
        <v>0</v>
      </c>
      <c r="AV19" s="104">
        <f t="shared" si="22"/>
        <v>0</v>
      </c>
      <c r="AW19" s="104">
        <f t="shared" si="23"/>
        <v>0</v>
      </c>
      <c r="AX19" s="104">
        <f t="shared" si="24"/>
        <v>0</v>
      </c>
    </row>
    <row r="20" spans="1:50" ht="18.75" customHeight="1" x14ac:dyDescent="0.4">
      <c r="A20" s="355" t="s">
        <v>298</v>
      </c>
      <c r="B20" s="358">
        <v>92</v>
      </c>
      <c r="C20" s="355" t="s">
        <v>60</v>
      </c>
      <c r="D20" s="12">
        <f>HLOOKUP($E$2,Database!$D$6:$OM$155,17,0)</f>
        <v>19.23</v>
      </c>
      <c r="E20" s="26">
        <f>HLOOKUP($E$3,Database!$D$6:$OM$155,17,0)</f>
        <v>22895</v>
      </c>
      <c r="F20" s="12">
        <f>HLOOKUP($G$2,Database!$D$6:$OM$155,17,0)</f>
        <v>19.22</v>
      </c>
      <c r="G20" s="26">
        <f>HLOOKUP($G$3,Database!$D$6:$OM$155,17,0)</f>
        <v>3211</v>
      </c>
      <c r="H20" s="12">
        <f>HLOOKUP($I$2,Database!$D$6:$OM$155,17,0)</f>
        <v>19.22</v>
      </c>
      <c r="I20" s="26">
        <f>HLOOKUP($I$3,Database!$D$6:$OM$155,17,0)</f>
        <v>11882</v>
      </c>
      <c r="J20" s="12">
        <f>HLOOKUP($K$2,Database!$D$6:$OM$155,17,0)</f>
        <v>19.22</v>
      </c>
      <c r="K20" s="26">
        <f>HLOOKUP($K$3,Database!$D$6:$OM$155,17,0)</f>
        <v>13618</v>
      </c>
      <c r="L20" s="12">
        <f>HLOOKUP($M$2,Database!$D$6:$OM$155,17,0)</f>
        <v>0</v>
      </c>
      <c r="M20" s="26">
        <f>HLOOKUP($M$3,Database!$D$6:$OM$155,17,0)</f>
        <v>0</v>
      </c>
      <c r="N20" s="12">
        <f>HLOOKUP($O$2,Database!$D$6:$OM$155,17,0)</f>
        <v>0</v>
      </c>
      <c r="O20" s="26">
        <f>HLOOKUP($O$3,Database!$D$6:$OM$155,17,0)</f>
        <v>0</v>
      </c>
      <c r="P20" s="12">
        <f>HLOOKUP($Q$2,Database!$D$6:$OM$155,17,0)</f>
        <v>0</v>
      </c>
      <c r="Q20" s="26">
        <f>HLOOKUP($Q$3,Database!$D$6:$OM$155,17,0)</f>
        <v>0</v>
      </c>
      <c r="R20" s="12">
        <f>HLOOKUP($S$2,Database!$D$6:$OM$155,17,0)</f>
        <v>0</v>
      </c>
      <c r="S20" s="26">
        <f>HLOOKUP($S$3,Database!$D$6:$OM$155,17,0)</f>
        <v>0</v>
      </c>
      <c r="T20" s="12">
        <f>HLOOKUP($U$2,Database!$D$6:$OM$155,17,0)</f>
        <v>0</v>
      </c>
      <c r="U20" s="26">
        <f>HLOOKUP($U$3,Database!$D$6:$OM$155,17,0)</f>
        <v>0</v>
      </c>
      <c r="V20" s="12">
        <f>HLOOKUP($W$2,Database!$D$6:$OM$155,17,0)</f>
        <v>0</v>
      </c>
      <c r="W20" s="26">
        <f>HLOOKUP($W$3,Database!$D$6:$OM$155,17,0)</f>
        <v>0</v>
      </c>
      <c r="Y20" s="381">
        <f t="shared" si="0"/>
        <v>19.23</v>
      </c>
      <c r="Z20" s="382">
        <f t="shared" si="1"/>
        <v>19.22</v>
      </c>
      <c r="AA20" s="382">
        <f t="shared" si="2"/>
        <v>19.22</v>
      </c>
      <c r="AB20" s="382">
        <f t="shared" si="3"/>
        <v>19.22</v>
      </c>
      <c r="AC20" s="324" t="str">
        <f t="shared" si="4"/>
        <v/>
      </c>
      <c r="AD20" s="324" t="str">
        <f t="shared" si="5"/>
        <v/>
      </c>
      <c r="AE20" s="324" t="str">
        <f t="shared" si="6"/>
        <v/>
      </c>
      <c r="AF20" s="324" t="str">
        <f t="shared" si="7"/>
        <v/>
      </c>
      <c r="AG20" s="324" t="str">
        <f t="shared" si="8"/>
        <v/>
      </c>
      <c r="AH20" s="324" t="str">
        <f t="shared" si="9"/>
        <v/>
      </c>
      <c r="AI20" s="362" t="str">
        <f t="shared" si="10"/>
        <v/>
      </c>
      <c r="AJ20" s="363" t="str">
        <f t="shared" si="11"/>
        <v/>
      </c>
      <c r="AK20" s="382">
        <f t="shared" si="12"/>
        <v>1.0000000000001563E-2</v>
      </c>
      <c r="AL20" s="382">
        <f t="shared" si="13"/>
        <v>19.22</v>
      </c>
      <c r="AM20" s="384">
        <f t="shared" si="14"/>
        <v>19.23</v>
      </c>
      <c r="AN20" s="332"/>
      <c r="AO20" s="385">
        <f t="shared" si="15"/>
        <v>19.225000000000001</v>
      </c>
      <c r="AP20" s="104">
        <f t="shared" si="16"/>
        <v>13053</v>
      </c>
      <c r="AQ20" s="385">
        <f t="shared" si="17"/>
        <v>19.22</v>
      </c>
      <c r="AR20" s="104">
        <f t="shared" si="18"/>
        <v>12750</v>
      </c>
      <c r="AS20" s="104">
        <f t="shared" si="19"/>
        <v>0</v>
      </c>
      <c r="AT20" s="104">
        <f t="shared" si="20"/>
        <v>0</v>
      </c>
      <c r="AU20" s="104">
        <f t="shared" si="21"/>
        <v>0</v>
      </c>
      <c r="AV20" s="104">
        <f t="shared" si="22"/>
        <v>0</v>
      </c>
      <c r="AW20" s="104">
        <f t="shared" si="23"/>
        <v>0</v>
      </c>
      <c r="AX20" s="104">
        <f t="shared" si="24"/>
        <v>0</v>
      </c>
    </row>
    <row r="21" spans="1:50" ht="18.75" customHeight="1" x14ac:dyDescent="0.4">
      <c r="A21" s="355" t="s">
        <v>299</v>
      </c>
      <c r="B21" s="358">
        <v>154</v>
      </c>
      <c r="C21" s="355" t="s">
        <v>60</v>
      </c>
      <c r="D21" s="12">
        <f>HLOOKUP($E$2,Database!$D$6:$OM$155,18,0)</f>
        <v>19.54</v>
      </c>
      <c r="E21" s="26">
        <f>HLOOKUP($E$3,Database!$D$6:$OM$155,18,0)</f>
        <v>223399</v>
      </c>
      <c r="F21" s="12">
        <f>HLOOKUP($G$2,Database!$D$6:$OM$155,18,0)</f>
        <v>19.54</v>
      </c>
      <c r="G21" s="26">
        <f>HLOOKUP($G$3,Database!$D$6:$OM$155,18,0)</f>
        <v>11815</v>
      </c>
      <c r="H21" s="12">
        <f>HLOOKUP($I$2,Database!$D$6:$OM$155,18,0)</f>
        <v>19.54</v>
      </c>
      <c r="I21" s="26">
        <f>HLOOKUP($I$3,Database!$D$6:$OM$155,18,0)</f>
        <v>40797</v>
      </c>
      <c r="J21" s="12">
        <f>HLOOKUP($K$2,Database!$D$6:$OM$155,18,0)</f>
        <v>19.54</v>
      </c>
      <c r="K21" s="26">
        <f>HLOOKUP($K$3,Database!$D$6:$OM$155,18,0)</f>
        <v>47005</v>
      </c>
      <c r="L21" s="12">
        <f>HLOOKUP($M$2,Database!$D$6:$OM$155,18,0)</f>
        <v>0</v>
      </c>
      <c r="M21" s="26">
        <f>HLOOKUP($M$3,Database!$D$6:$OM$155,18,0)</f>
        <v>0</v>
      </c>
      <c r="N21" s="12">
        <f>HLOOKUP($O$2,Database!$D$6:$OM$155,18,0)</f>
        <v>0</v>
      </c>
      <c r="O21" s="26">
        <f>HLOOKUP($O$3,Database!$D$6:$OM$155,18,0)</f>
        <v>0</v>
      </c>
      <c r="P21" s="12">
        <f>HLOOKUP($Q$2,Database!$D$6:$OM$155,18,0)</f>
        <v>0</v>
      </c>
      <c r="Q21" s="26">
        <f>HLOOKUP($Q$3,Database!$D$6:$OM$155,18,0)</f>
        <v>0</v>
      </c>
      <c r="R21" s="12">
        <f>HLOOKUP($S$2,Database!$D$6:$OM$155,18,0)</f>
        <v>0</v>
      </c>
      <c r="S21" s="26">
        <f>HLOOKUP($S$3,Database!$D$6:$OM$155,18,0)</f>
        <v>0</v>
      </c>
      <c r="T21" s="12">
        <f>HLOOKUP($U$2,Database!$D$6:$OM$155,18,0)</f>
        <v>0</v>
      </c>
      <c r="U21" s="26">
        <f>HLOOKUP($U$3,Database!$D$6:$OM$155,18,0)</f>
        <v>0</v>
      </c>
      <c r="V21" s="12">
        <f>HLOOKUP($W$2,Database!$D$6:$OM$155,18,0)</f>
        <v>0</v>
      </c>
      <c r="W21" s="26">
        <f>HLOOKUP($W$3,Database!$D$6:$OM$155,18,0)</f>
        <v>0</v>
      </c>
      <c r="Y21" s="381">
        <f t="shared" si="0"/>
        <v>19.54</v>
      </c>
      <c r="Z21" s="382">
        <f t="shared" si="1"/>
        <v>19.54</v>
      </c>
      <c r="AA21" s="382">
        <f t="shared" si="2"/>
        <v>19.54</v>
      </c>
      <c r="AB21" s="382">
        <f t="shared" si="3"/>
        <v>19.54</v>
      </c>
      <c r="AC21" s="324" t="str">
        <f t="shared" si="4"/>
        <v/>
      </c>
      <c r="AD21" s="324" t="str">
        <f t="shared" si="5"/>
        <v/>
      </c>
      <c r="AE21" s="324" t="str">
        <f t="shared" si="6"/>
        <v/>
      </c>
      <c r="AF21" s="324" t="str">
        <f t="shared" si="7"/>
        <v/>
      </c>
      <c r="AG21" s="324" t="str">
        <f t="shared" si="8"/>
        <v/>
      </c>
      <c r="AH21" s="324" t="str">
        <f t="shared" si="9"/>
        <v/>
      </c>
      <c r="AI21" s="362" t="str">
        <f t="shared" si="10"/>
        <v/>
      </c>
      <c r="AJ21" s="363" t="str">
        <f t="shared" si="11"/>
        <v/>
      </c>
      <c r="AK21" s="383">
        <f t="shared" si="12"/>
        <v>0</v>
      </c>
      <c r="AL21" s="382">
        <f t="shared" si="13"/>
        <v>19.54</v>
      </c>
      <c r="AM21" s="384">
        <f t="shared" si="14"/>
        <v>19.54</v>
      </c>
      <c r="AN21" s="332"/>
      <c r="AO21" s="385">
        <f t="shared" si="15"/>
        <v>19.54</v>
      </c>
      <c r="AP21" s="104">
        <f t="shared" si="16"/>
        <v>117607</v>
      </c>
      <c r="AQ21" s="385">
        <f t="shared" si="17"/>
        <v>19.54</v>
      </c>
      <c r="AR21" s="104">
        <f t="shared" si="18"/>
        <v>43901</v>
      </c>
      <c r="AS21" s="104">
        <f t="shared" si="19"/>
        <v>0</v>
      </c>
      <c r="AT21" s="104">
        <f t="shared" si="20"/>
        <v>0</v>
      </c>
      <c r="AU21" s="104">
        <f t="shared" si="21"/>
        <v>0</v>
      </c>
      <c r="AV21" s="104">
        <f t="shared" si="22"/>
        <v>0</v>
      </c>
      <c r="AW21" s="104">
        <f t="shared" si="23"/>
        <v>0</v>
      </c>
      <c r="AX21" s="104">
        <f t="shared" si="24"/>
        <v>0</v>
      </c>
    </row>
    <row r="22" spans="1:50" ht="18.75" customHeight="1" x14ac:dyDescent="0.4">
      <c r="A22" s="355" t="s">
        <v>300</v>
      </c>
      <c r="B22" s="358">
        <v>156</v>
      </c>
      <c r="C22" s="355" t="s">
        <v>60</v>
      </c>
      <c r="D22" s="12">
        <f>HLOOKUP($E$2,Database!$D$6:$OM$155,19,0)</f>
        <v>19.88</v>
      </c>
      <c r="E22" s="26">
        <f>HLOOKUP($E$3,Database!$D$6:$OM$155,19,0)</f>
        <v>186172</v>
      </c>
      <c r="F22" s="12">
        <f>HLOOKUP($G$2,Database!$D$6:$OM$155,19,0)</f>
        <v>19.87</v>
      </c>
      <c r="G22" s="26">
        <f>HLOOKUP($G$3,Database!$D$6:$OM$155,19,0)</f>
        <v>14146</v>
      </c>
      <c r="H22" s="12">
        <f>HLOOKUP($I$2,Database!$D$6:$OM$155,19,0)</f>
        <v>19.87</v>
      </c>
      <c r="I22" s="26">
        <f>HLOOKUP($I$3,Database!$D$6:$OM$155,19,0)</f>
        <v>49696</v>
      </c>
      <c r="J22" s="12">
        <f>HLOOKUP($K$2,Database!$D$6:$OM$155,19,0)</f>
        <v>19.87</v>
      </c>
      <c r="K22" s="26">
        <f>HLOOKUP($K$3,Database!$D$6:$OM$155,19,0)</f>
        <v>58014</v>
      </c>
      <c r="L22" s="12">
        <f>HLOOKUP($M$2,Database!$D$6:$OM$155,19,0)</f>
        <v>0</v>
      </c>
      <c r="M22" s="26">
        <f>HLOOKUP($M$3,Database!$D$6:$OM$155,19,0)</f>
        <v>0</v>
      </c>
      <c r="N22" s="12">
        <f>HLOOKUP($O$2,Database!$D$6:$OM$155,19,0)</f>
        <v>0</v>
      </c>
      <c r="O22" s="26">
        <f>HLOOKUP($O$3,Database!$D$6:$OM$155,19,0)</f>
        <v>0</v>
      </c>
      <c r="P22" s="12">
        <f>HLOOKUP($Q$2,Database!$D$6:$OM$155,19,0)</f>
        <v>0</v>
      </c>
      <c r="Q22" s="26">
        <f>HLOOKUP($Q$3,Database!$D$6:$OM$155,19,0)</f>
        <v>0</v>
      </c>
      <c r="R22" s="12">
        <f>HLOOKUP($S$2,Database!$D$6:$OM$155,19,0)</f>
        <v>0</v>
      </c>
      <c r="S22" s="26">
        <f>HLOOKUP($S$3,Database!$D$6:$OM$155,19,0)</f>
        <v>0</v>
      </c>
      <c r="T22" s="12">
        <f>HLOOKUP($U$2,Database!$D$6:$OM$155,19,0)</f>
        <v>0</v>
      </c>
      <c r="U22" s="26">
        <f>HLOOKUP($U$3,Database!$D$6:$OM$155,19,0)</f>
        <v>0</v>
      </c>
      <c r="V22" s="12">
        <f>HLOOKUP($W$2,Database!$D$6:$OM$155,19,0)</f>
        <v>0</v>
      </c>
      <c r="W22" s="26">
        <f>HLOOKUP($W$3,Database!$D$6:$OM$155,19,0)</f>
        <v>0</v>
      </c>
      <c r="Y22" s="381">
        <f t="shared" si="0"/>
        <v>19.88</v>
      </c>
      <c r="Z22" s="382">
        <f t="shared" si="1"/>
        <v>19.87</v>
      </c>
      <c r="AA22" s="382">
        <f t="shared" si="2"/>
        <v>19.87</v>
      </c>
      <c r="AB22" s="382">
        <f t="shared" si="3"/>
        <v>19.87</v>
      </c>
      <c r="AC22" s="324" t="str">
        <f t="shared" si="4"/>
        <v/>
      </c>
      <c r="AD22" s="324" t="str">
        <f t="shared" si="5"/>
        <v/>
      </c>
      <c r="AE22" s="324" t="str">
        <f t="shared" si="6"/>
        <v/>
      </c>
      <c r="AF22" s="324" t="str">
        <f t="shared" si="7"/>
        <v/>
      </c>
      <c r="AG22" s="324" t="str">
        <f t="shared" si="8"/>
        <v/>
      </c>
      <c r="AH22" s="324" t="str">
        <f t="shared" si="9"/>
        <v/>
      </c>
      <c r="AI22" s="362" t="str">
        <f t="shared" si="10"/>
        <v/>
      </c>
      <c r="AJ22" s="363" t="str">
        <f t="shared" si="11"/>
        <v/>
      </c>
      <c r="AK22" s="382">
        <f t="shared" si="12"/>
        <v>9.9999999999980105E-3</v>
      </c>
      <c r="AL22" s="382">
        <f t="shared" si="13"/>
        <v>19.87</v>
      </c>
      <c r="AM22" s="384">
        <f t="shared" si="14"/>
        <v>19.88</v>
      </c>
      <c r="AN22" s="332"/>
      <c r="AO22" s="385">
        <f t="shared" si="15"/>
        <v>19.875</v>
      </c>
      <c r="AP22" s="104">
        <f t="shared" si="16"/>
        <v>100159</v>
      </c>
      <c r="AQ22" s="385">
        <f t="shared" si="17"/>
        <v>19.87</v>
      </c>
      <c r="AR22" s="104">
        <f t="shared" si="18"/>
        <v>53855</v>
      </c>
      <c r="AS22" s="104">
        <f t="shared" si="19"/>
        <v>0</v>
      </c>
      <c r="AT22" s="104">
        <f t="shared" si="20"/>
        <v>0</v>
      </c>
      <c r="AU22" s="104">
        <f t="shared" si="21"/>
        <v>0</v>
      </c>
      <c r="AV22" s="104">
        <f t="shared" si="22"/>
        <v>0</v>
      </c>
      <c r="AW22" s="104">
        <f t="shared" si="23"/>
        <v>0</v>
      </c>
      <c r="AX22" s="104">
        <f t="shared" si="24"/>
        <v>0</v>
      </c>
    </row>
    <row r="23" spans="1:50" ht="18.75" customHeight="1" x14ac:dyDescent="0.4">
      <c r="A23" s="355" t="s">
        <v>301</v>
      </c>
      <c r="B23" s="358">
        <v>156</v>
      </c>
      <c r="C23" s="355" t="s">
        <v>60</v>
      </c>
      <c r="D23" s="12">
        <f>HLOOKUP($E$2,Database!$D$6:$OM$155,20,0)</f>
        <v>20.13</v>
      </c>
      <c r="E23" s="26">
        <f>HLOOKUP($E$3,Database!$D$6:$OM$155,20,0)</f>
        <v>540515</v>
      </c>
      <c r="F23" s="12">
        <f>HLOOKUP($G$2,Database!$D$6:$OM$155,20,0)</f>
        <v>20.13</v>
      </c>
      <c r="G23" s="26">
        <f>HLOOKUP($G$3,Database!$D$6:$OM$155,20,0)</f>
        <v>60200</v>
      </c>
      <c r="H23" s="12">
        <f>HLOOKUP($I$2,Database!$D$6:$OM$155,20,0)</f>
        <v>20.12</v>
      </c>
      <c r="I23" s="26">
        <f>HLOOKUP($I$3,Database!$D$6:$OM$155,20,0)</f>
        <v>179836</v>
      </c>
      <c r="J23" s="12">
        <f>HLOOKUP($K$2,Database!$D$6:$OM$155,20,0)</f>
        <v>20.13</v>
      </c>
      <c r="K23" s="26">
        <f>HLOOKUP($K$3,Database!$D$6:$OM$155,20,0)</f>
        <v>207141</v>
      </c>
      <c r="L23" s="12">
        <f>HLOOKUP($M$2,Database!$D$6:$OM$155,20,0)</f>
        <v>0</v>
      </c>
      <c r="M23" s="26">
        <f>HLOOKUP($M$3,Database!$D$6:$OM$155,20,0)</f>
        <v>0</v>
      </c>
      <c r="N23" s="12">
        <f>HLOOKUP($O$2,Database!$D$6:$OM$155,20,0)</f>
        <v>0</v>
      </c>
      <c r="O23" s="26">
        <f>HLOOKUP($O$3,Database!$D$6:$OM$155,20,0)</f>
        <v>0</v>
      </c>
      <c r="P23" s="12">
        <f>HLOOKUP($Q$2,Database!$D$6:$OM$155,20,0)</f>
        <v>0</v>
      </c>
      <c r="Q23" s="26">
        <f>HLOOKUP($Q$3,Database!$D$6:$OM$155,20,0)</f>
        <v>0</v>
      </c>
      <c r="R23" s="12">
        <f>HLOOKUP($S$2,Database!$D$6:$OM$155,20,0)</f>
        <v>0</v>
      </c>
      <c r="S23" s="26">
        <f>HLOOKUP($S$3,Database!$D$6:$OM$155,20,0)</f>
        <v>0</v>
      </c>
      <c r="T23" s="12">
        <f>HLOOKUP($U$2,Database!$D$6:$OM$155,20,0)</f>
        <v>0</v>
      </c>
      <c r="U23" s="26">
        <f>HLOOKUP($U$3,Database!$D$6:$OM$155,20,0)</f>
        <v>0</v>
      </c>
      <c r="V23" s="12">
        <f>HLOOKUP($W$2,Database!$D$6:$OM$155,20,0)</f>
        <v>0</v>
      </c>
      <c r="W23" s="26">
        <f>HLOOKUP($W$3,Database!$D$6:$OM$155,20,0)</f>
        <v>0</v>
      </c>
      <c r="Y23" s="381">
        <f t="shared" si="0"/>
        <v>20.13</v>
      </c>
      <c r="Z23" s="382">
        <f t="shared" si="1"/>
        <v>20.13</v>
      </c>
      <c r="AA23" s="382">
        <f t="shared" si="2"/>
        <v>20.12</v>
      </c>
      <c r="AB23" s="382">
        <f t="shared" si="3"/>
        <v>20.13</v>
      </c>
      <c r="AC23" s="324" t="str">
        <f t="shared" si="4"/>
        <v/>
      </c>
      <c r="AD23" s="324" t="str">
        <f t="shared" si="5"/>
        <v/>
      </c>
      <c r="AE23" s="324" t="str">
        <f t="shared" si="6"/>
        <v/>
      </c>
      <c r="AF23" s="324" t="str">
        <f t="shared" si="7"/>
        <v/>
      </c>
      <c r="AG23" s="324" t="str">
        <f t="shared" si="8"/>
        <v/>
      </c>
      <c r="AH23" s="324" t="str">
        <f t="shared" si="9"/>
        <v/>
      </c>
      <c r="AI23" s="362" t="str">
        <f t="shared" si="10"/>
        <v/>
      </c>
      <c r="AJ23" s="363" t="str">
        <f t="shared" si="11"/>
        <v/>
      </c>
      <c r="AK23" s="382">
        <f t="shared" si="12"/>
        <v>9.9999999999980105E-3</v>
      </c>
      <c r="AL23" s="382">
        <f t="shared" si="13"/>
        <v>20.12</v>
      </c>
      <c r="AM23" s="384">
        <f t="shared" si="14"/>
        <v>20.13</v>
      </c>
      <c r="AN23" s="332"/>
      <c r="AO23" s="385">
        <f t="shared" si="15"/>
        <v>20.13</v>
      </c>
      <c r="AP23" s="385">
        <f t="shared" si="16"/>
        <v>300357.5</v>
      </c>
      <c r="AQ23" s="385">
        <f t="shared" si="17"/>
        <v>20.125</v>
      </c>
      <c r="AR23" s="385">
        <f t="shared" si="18"/>
        <v>193488.5</v>
      </c>
      <c r="AS23" s="104">
        <f t="shared" si="19"/>
        <v>0</v>
      </c>
      <c r="AT23" s="104">
        <f t="shared" si="20"/>
        <v>0</v>
      </c>
      <c r="AU23" s="104">
        <f t="shared" si="21"/>
        <v>0</v>
      </c>
      <c r="AV23" s="104">
        <f t="shared" si="22"/>
        <v>0</v>
      </c>
      <c r="AW23" s="104">
        <f t="shared" si="23"/>
        <v>0</v>
      </c>
      <c r="AX23" s="104">
        <f t="shared" si="24"/>
        <v>0</v>
      </c>
    </row>
    <row r="24" spans="1:50" ht="18.75" customHeight="1" x14ac:dyDescent="0.4">
      <c r="A24" s="338" t="s">
        <v>302</v>
      </c>
      <c r="B24" s="358">
        <v>169</v>
      </c>
      <c r="C24" s="355" t="s">
        <v>60</v>
      </c>
      <c r="D24" s="12">
        <f>HLOOKUP($E$2,Database!$D$6:$OM$155,21,0)</f>
        <v>21.49</v>
      </c>
      <c r="E24" s="26">
        <f>HLOOKUP($E$3,Database!$D$6:$OM$155,21,0)</f>
        <v>8793</v>
      </c>
      <c r="F24" s="12">
        <f>HLOOKUP($G$2,Database!$D$6:$OM$155,21,0)</f>
        <v>21.48</v>
      </c>
      <c r="G24" s="26">
        <f>HLOOKUP($G$3,Database!$D$6:$OM$155,21,0)</f>
        <v>1371</v>
      </c>
      <c r="H24" s="12">
        <f>HLOOKUP($I$2,Database!$D$6:$OM$155,21,0)</f>
        <v>21.48</v>
      </c>
      <c r="I24" s="26">
        <f>HLOOKUP($I$3,Database!$D$6:$OM$155,21,0)</f>
        <v>4155</v>
      </c>
      <c r="J24" s="12">
        <f>HLOOKUP($K$2,Database!$D$6:$OM$155,21,0)</f>
        <v>21.48</v>
      </c>
      <c r="K24" s="26">
        <f>HLOOKUP($K$3,Database!$D$6:$OM$155,21,0)</f>
        <v>4793</v>
      </c>
      <c r="L24" s="12">
        <f>HLOOKUP($M$2,Database!$D$6:$OM$155,21,0)</f>
        <v>0</v>
      </c>
      <c r="M24" s="26">
        <f>HLOOKUP($M$3,Database!$D$6:$OM$155,21,0)</f>
        <v>0</v>
      </c>
      <c r="N24" s="12">
        <f>HLOOKUP($O$2,Database!$D$6:$OM$155,21,0)</f>
        <v>0</v>
      </c>
      <c r="O24" s="26">
        <f>HLOOKUP($O$3,Database!$D$6:$OM$155,21,0)</f>
        <v>0</v>
      </c>
      <c r="P24" s="12">
        <f>HLOOKUP($Q$2,Database!$D$6:$OM$155,21,0)</f>
        <v>0</v>
      </c>
      <c r="Q24" s="26">
        <f>HLOOKUP($Q$3,Database!$D$6:$OM$155,21,0)</f>
        <v>0</v>
      </c>
      <c r="R24" s="12">
        <f>HLOOKUP($S$2,Database!$D$6:$OM$155,21,0)</f>
        <v>0</v>
      </c>
      <c r="S24" s="26">
        <f>HLOOKUP($S$3,Database!$D$6:$OM$155,21,0)</f>
        <v>0</v>
      </c>
      <c r="T24" s="12">
        <f>HLOOKUP($U$2,Database!$D$6:$OM$155,21,0)</f>
        <v>0</v>
      </c>
      <c r="U24" s="26">
        <f>HLOOKUP($U$3,Database!$D$6:$OM$155,21,0)</f>
        <v>0</v>
      </c>
      <c r="V24" s="12">
        <f>HLOOKUP($W$2,Database!$D$6:$OM$155,21,0)</f>
        <v>0</v>
      </c>
      <c r="W24" s="26">
        <f>HLOOKUP($W$3,Database!$D$6:$OM$155,21,0)</f>
        <v>0</v>
      </c>
      <c r="Y24" s="381">
        <f t="shared" si="0"/>
        <v>21.49</v>
      </c>
      <c r="Z24" s="382">
        <f t="shared" si="1"/>
        <v>21.48</v>
      </c>
      <c r="AA24" s="382">
        <f t="shared" si="2"/>
        <v>21.48</v>
      </c>
      <c r="AB24" s="382">
        <f t="shared" si="3"/>
        <v>21.48</v>
      </c>
      <c r="AC24" s="324" t="str">
        <f t="shared" si="4"/>
        <v/>
      </c>
      <c r="AD24" s="324" t="str">
        <f t="shared" si="5"/>
        <v/>
      </c>
      <c r="AE24" s="324" t="str">
        <f t="shared" si="6"/>
        <v/>
      </c>
      <c r="AF24" s="324" t="str">
        <f t="shared" si="7"/>
        <v/>
      </c>
      <c r="AG24" s="324" t="str">
        <f t="shared" si="8"/>
        <v/>
      </c>
      <c r="AH24" s="324" t="str">
        <f t="shared" si="9"/>
        <v/>
      </c>
      <c r="AI24" s="362" t="str">
        <f t="shared" si="10"/>
        <v/>
      </c>
      <c r="AJ24" s="363" t="str">
        <f t="shared" si="11"/>
        <v/>
      </c>
      <c r="AK24" s="382">
        <f t="shared" si="12"/>
        <v>9.9999999999980105E-3</v>
      </c>
      <c r="AL24" s="382">
        <f t="shared" si="13"/>
        <v>21.48</v>
      </c>
      <c r="AM24" s="384">
        <f t="shared" si="14"/>
        <v>21.49</v>
      </c>
      <c r="AN24" s="332"/>
      <c r="AO24" s="385">
        <f t="shared" si="15"/>
        <v>21.484999999999999</v>
      </c>
      <c r="AP24" s="104">
        <f t="shared" si="16"/>
        <v>5082</v>
      </c>
      <c r="AQ24" s="385">
        <f t="shared" si="17"/>
        <v>21.48</v>
      </c>
      <c r="AR24" s="104">
        <f t="shared" si="18"/>
        <v>4474</v>
      </c>
      <c r="AS24" s="104">
        <f t="shared" si="19"/>
        <v>0</v>
      </c>
      <c r="AT24" s="104">
        <f t="shared" si="20"/>
        <v>0</v>
      </c>
      <c r="AU24" s="104">
        <f t="shared" si="21"/>
        <v>0</v>
      </c>
      <c r="AV24" s="104">
        <f t="shared" si="22"/>
        <v>0</v>
      </c>
      <c r="AW24" s="104">
        <f t="shared" si="23"/>
        <v>0</v>
      </c>
      <c r="AX24" s="104">
        <f t="shared" si="24"/>
        <v>0</v>
      </c>
    </row>
    <row r="25" spans="1:50" ht="18.75" customHeight="1" x14ac:dyDescent="0.4">
      <c r="A25" s="355" t="s">
        <v>303</v>
      </c>
      <c r="B25" s="358">
        <v>123</v>
      </c>
      <c r="C25" s="355" t="s">
        <v>60</v>
      </c>
      <c r="D25" s="12">
        <f>HLOOKUP($E$2,Database!$D$6:$OM$155,22,0)</f>
        <v>21.45</v>
      </c>
      <c r="E25" s="26">
        <f>HLOOKUP($E$3,Database!$D$6:$OM$155,22,0)</f>
        <v>26918</v>
      </c>
      <c r="F25" s="12">
        <f>HLOOKUP($G$2,Database!$D$6:$OM$155,22,0)</f>
        <v>21.44</v>
      </c>
      <c r="G25" s="26">
        <f>HLOOKUP($G$3,Database!$D$6:$OM$155,22,0)</f>
        <v>9467</v>
      </c>
      <c r="H25" s="12">
        <f>HLOOKUP($I$2,Database!$D$6:$OM$155,22,0)</f>
        <v>21.44</v>
      </c>
      <c r="I25" s="26">
        <f>HLOOKUP($I$3,Database!$D$6:$OM$155,22,0)</f>
        <v>25879</v>
      </c>
      <c r="J25" s="12">
        <f>HLOOKUP($K$2,Database!$D$6:$OM$155,22,0)</f>
        <v>21.44</v>
      </c>
      <c r="K25" s="26">
        <f>HLOOKUP($K$3,Database!$D$6:$OM$155,22,0)</f>
        <v>30030</v>
      </c>
      <c r="L25" s="12">
        <f>HLOOKUP($M$2,Database!$D$6:$OM$155,22,0)</f>
        <v>0</v>
      </c>
      <c r="M25" s="26">
        <f>HLOOKUP($M$3,Database!$D$6:$OM$155,22,0)</f>
        <v>0</v>
      </c>
      <c r="N25" s="12">
        <f>HLOOKUP($O$2,Database!$D$6:$OM$155,22,0)</f>
        <v>0</v>
      </c>
      <c r="O25" s="26">
        <f>HLOOKUP($O$3,Database!$D$6:$OM$155,22,0)</f>
        <v>0</v>
      </c>
      <c r="P25" s="12">
        <f>HLOOKUP($Q$2,Database!$D$6:$OM$155,22,0)</f>
        <v>0</v>
      </c>
      <c r="Q25" s="26">
        <f>HLOOKUP($Q$3,Database!$D$6:$OM$155,22,0)</f>
        <v>0</v>
      </c>
      <c r="R25" s="12">
        <f>HLOOKUP($S$2,Database!$D$6:$OM$155,22,0)</f>
        <v>0</v>
      </c>
      <c r="S25" s="26">
        <f>HLOOKUP($S$3,Database!$D$6:$OM$155,22,0)</f>
        <v>0</v>
      </c>
      <c r="T25" s="12">
        <f>HLOOKUP($U$2,Database!$D$6:$OM$155,22,0)</f>
        <v>0</v>
      </c>
      <c r="U25" s="26">
        <f>HLOOKUP($U$3,Database!$D$6:$OM$155,22,0)</f>
        <v>0</v>
      </c>
      <c r="V25" s="12">
        <f>HLOOKUP($W$2,Database!$D$6:$OM$155,22,0)</f>
        <v>0</v>
      </c>
      <c r="W25" s="26">
        <f>HLOOKUP($W$3,Database!$D$6:$OM$155,22,0)</f>
        <v>0</v>
      </c>
      <c r="Y25" s="381">
        <f t="shared" si="0"/>
        <v>21.45</v>
      </c>
      <c r="Z25" s="382">
        <f t="shared" si="1"/>
        <v>21.44</v>
      </c>
      <c r="AA25" s="382">
        <f t="shared" si="2"/>
        <v>21.44</v>
      </c>
      <c r="AB25" s="382">
        <f t="shared" si="3"/>
        <v>21.44</v>
      </c>
      <c r="AC25" s="324" t="str">
        <f t="shared" si="4"/>
        <v/>
      </c>
      <c r="AD25" s="324" t="str">
        <f t="shared" si="5"/>
        <v/>
      </c>
      <c r="AE25" s="324" t="str">
        <f t="shared" si="6"/>
        <v/>
      </c>
      <c r="AF25" s="324" t="str">
        <f t="shared" si="7"/>
        <v/>
      </c>
      <c r="AG25" s="324" t="str">
        <f t="shared" si="8"/>
        <v/>
      </c>
      <c r="AH25" s="324" t="str">
        <f t="shared" si="9"/>
        <v/>
      </c>
      <c r="AI25" s="362" t="str">
        <f t="shared" si="10"/>
        <v/>
      </c>
      <c r="AJ25" s="363" t="str">
        <f t="shared" si="11"/>
        <v/>
      </c>
      <c r="AK25" s="382">
        <f t="shared" si="12"/>
        <v>9.9999999999980105E-3</v>
      </c>
      <c r="AL25" s="382">
        <f t="shared" si="13"/>
        <v>21.44</v>
      </c>
      <c r="AM25" s="384">
        <f t="shared" si="14"/>
        <v>21.45</v>
      </c>
      <c r="AN25" s="332"/>
      <c r="AO25" s="385">
        <f t="shared" si="15"/>
        <v>21.445</v>
      </c>
      <c r="AP25" s="385">
        <f t="shared" si="16"/>
        <v>18192.5</v>
      </c>
      <c r="AQ25" s="385">
        <f t="shared" si="17"/>
        <v>21.44</v>
      </c>
      <c r="AR25" s="385">
        <f t="shared" si="18"/>
        <v>27954.5</v>
      </c>
      <c r="AS25" s="104">
        <f t="shared" si="19"/>
        <v>0</v>
      </c>
      <c r="AT25" s="104">
        <f t="shared" si="20"/>
        <v>0</v>
      </c>
      <c r="AU25" s="104">
        <f t="shared" si="21"/>
        <v>0</v>
      </c>
      <c r="AV25" s="104">
        <f t="shared" si="22"/>
        <v>0</v>
      </c>
      <c r="AW25" s="104">
        <f t="shared" si="23"/>
        <v>0</v>
      </c>
      <c r="AX25" s="104">
        <f t="shared" si="24"/>
        <v>0</v>
      </c>
    </row>
    <row r="26" spans="1:50" ht="18.75" customHeight="1" x14ac:dyDescent="0.4">
      <c r="A26" s="355" t="s">
        <v>304</v>
      </c>
      <c r="B26" s="358">
        <v>123</v>
      </c>
      <c r="C26" s="355" t="s">
        <v>60</v>
      </c>
      <c r="D26" s="12">
        <f>HLOOKUP($E$2,Database!$D$6:$OM$155,23,0)</f>
        <v>21.64</v>
      </c>
      <c r="E26" s="26">
        <f>HLOOKUP($E$3,Database!$D$6:$OM$155,23,0)</f>
        <v>53157</v>
      </c>
      <c r="F26" s="12">
        <f>HLOOKUP($G$2,Database!$D$6:$OM$155,23,0)</f>
        <v>21.63</v>
      </c>
      <c r="G26" s="26">
        <f>HLOOKUP($G$3,Database!$D$6:$OM$155,23,0)</f>
        <v>17642</v>
      </c>
      <c r="H26" s="12">
        <f>HLOOKUP($I$2,Database!$D$6:$OM$155,23,0)</f>
        <v>21.63</v>
      </c>
      <c r="I26" s="26">
        <f>HLOOKUP($I$3,Database!$D$6:$OM$155,23,0)</f>
        <v>50712</v>
      </c>
      <c r="J26" s="12">
        <f>HLOOKUP($K$2,Database!$D$6:$OM$155,23,0)</f>
        <v>21.63</v>
      </c>
      <c r="K26" s="26">
        <f>HLOOKUP($K$3,Database!$D$6:$OM$155,23,0)</f>
        <v>56411</v>
      </c>
      <c r="L26" s="12">
        <f>HLOOKUP($M$2,Database!$D$6:$OM$155,23,0)</f>
        <v>0</v>
      </c>
      <c r="M26" s="26">
        <f>HLOOKUP($M$3,Database!$D$6:$OM$155,23,0)</f>
        <v>0</v>
      </c>
      <c r="N26" s="12">
        <f>HLOOKUP($O$2,Database!$D$6:$OM$155,23,0)</f>
        <v>0</v>
      </c>
      <c r="O26" s="26">
        <f>HLOOKUP($O$3,Database!$D$6:$OM$155,23,0)</f>
        <v>0</v>
      </c>
      <c r="P26" s="12">
        <f>HLOOKUP($Q$2,Database!$D$6:$OM$155,23,0)</f>
        <v>0</v>
      </c>
      <c r="Q26" s="26">
        <f>HLOOKUP($Q$3,Database!$D$6:$OM$155,23,0)</f>
        <v>0</v>
      </c>
      <c r="R26" s="12">
        <f>HLOOKUP($S$2,Database!$D$6:$OM$155,23,0)</f>
        <v>0</v>
      </c>
      <c r="S26" s="26">
        <f>HLOOKUP($S$3,Database!$D$6:$OM$155,23,0)</f>
        <v>0</v>
      </c>
      <c r="T26" s="12">
        <f>HLOOKUP($U$2,Database!$D$6:$OM$155,23,0)</f>
        <v>0</v>
      </c>
      <c r="U26" s="26">
        <f>HLOOKUP($U$3,Database!$D$6:$OM$155,23,0)</f>
        <v>0</v>
      </c>
      <c r="V26" s="12">
        <f>HLOOKUP($W$2,Database!$D$6:$OM$155,23,0)</f>
        <v>0</v>
      </c>
      <c r="W26" s="26">
        <f>HLOOKUP($W$3,Database!$D$6:$OM$155,23,0)</f>
        <v>0</v>
      </c>
      <c r="Y26" s="381">
        <f t="shared" si="0"/>
        <v>21.64</v>
      </c>
      <c r="Z26" s="382">
        <f t="shared" si="1"/>
        <v>21.63</v>
      </c>
      <c r="AA26" s="382">
        <f t="shared" si="2"/>
        <v>21.63</v>
      </c>
      <c r="AB26" s="382">
        <f t="shared" si="3"/>
        <v>21.63</v>
      </c>
      <c r="AC26" s="324" t="str">
        <f t="shared" si="4"/>
        <v/>
      </c>
      <c r="AD26" s="324" t="str">
        <f t="shared" si="5"/>
        <v/>
      </c>
      <c r="AE26" s="324" t="str">
        <f t="shared" si="6"/>
        <v/>
      </c>
      <c r="AF26" s="324" t="str">
        <f t="shared" si="7"/>
        <v/>
      </c>
      <c r="AG26" s="324" t="str">
        <f t="shared" si="8"/>
        <v/>
      </c>
      <c r="AH26" s="324" t="str">
        <f t="shared" si="9"/>
        <v/>
      </c>
      <c r="AI26" s="362" t="str">
        <f t="shared" si="10"/>
        <v/>
      </c>
      <c r="AJ26" s="363" t="str">
        <f t="shared" si="11"/>
        <v/>
      </c>
      <c r="AK26" s="382">
        <f t="shared" si="12"/>
        <v>1.0000000000001563E-2</v>
      </c>
      <c r="AL26" s="382">
        <f t="shared" si="13"/>
        <v>21.63</v>
      </c>
      <c r="AM26" s="384">
        <f t="shared" si="14"/>
        <v>21.64</v>
      </c>
      <c r="AN26" s="332"/>
      <c r="AO26" s="385">
        <f t="shared" si="15"/>
        <v>21.634999999999998</v>
      </c>
      <c r="AP26" s="385">
        <f t="shared" si="16"/>
        <v>35399.5</v>
      </c>
      <c r="AQ26" s="385">
        <f t="shared" si="17"/>
        <v>21.63</v>
      </c>
      <c r="AR26" s="385">
        <f t="shared" si="18"/>
        <v>53561.5</v>
      </c>
      <c r="AS26" s="104">
        <f t="shared" si="19"/>
        <v>0</v>
      </c>
      <c r="AT26" s="104">
        <f t="shared" si="20"/>
        <v>0</v>
      </c>
      <c r="AU26" s="104">
        <f t="shared" si="21"/>
        <v>0</v>
      </c>
      <c r="AV26" s="104">
        <f t="shared" si="22"/>
        <v>0</v>
      </c>
      <c r="AW26" s="104">
        <f t="shared" si="23"/>
        <v>0</v>
      </c>
      <c r="AX26" s="104">
        <f t="shared" si="24"/>
        <v>0</v>
      </c>
    </row>
    <row r="27" spans="1:50" ht="18.75" customHeight="1" x14ac:dyDescent="0.4">
      <c r="A27" s="355" t="s">
        <v>305</v>
      </c>
      <c r="B27" s="358">
        <v>123</v>
      </c>
      <c r="C27" s="355" t="s">
        <v>60</v>
      </c>
      <c r="D27" s="12">
        <f>HLOOKUP($E$2,Database!$D$6:$OM$155,24,0)</f>
        <v>21.94</v>
      </c>
      <c r="E27" s="26">
        <f>HLOOKUP($E$3,Database!$D$6:$OM$155,24,0)</f>
        <v>21948</v>
      </c>
      <c r="F27" s="12">
        <f>HLOOKUP($G$2,Database!$D$6:$OM$155,24,0)</f>
        <v>21.93</v>
      </c>
      <c r="G27" s="26">
        <f>HLOOKUP($G$3,Database!$D$6:$OM$155,24,0)</f>
        <v>7168</v>
      </c>
      <c r="H27" s="12">
        <f>HLOOKUP($I$2,Database!$D$6:$OM$155,24,0)</f>
        <v>21.93</v>
      </c>
      <c r="I27" s="26">
        <f>HLOOKUP($I$3,Database!$D$6:$OM$155,24,0)</f>
        <v>19268</v>
      </c>
      <c r="J27" s="12">
        <f>HLOOKUP($K$2,Database!$D$6:$OM$155,24,0)</f>
        <v>21.93</v>
      </c>
      <c r="K27" s="26">
        <f>HLOOKUP($K$3,Database!$D$6:$OM$155,24,0)</f>
        <v>22091</v>
      </c>
      <c r="L27" s="12">
        <f>HLOOKUP($M$2,Database!$D$6:$OM$155,24,0)</f>
        <v>0</v>
      </c>
      <c r="M27" s="26">
        <f>HLOOKUP($M$3,Database!$D$6:$OM$155,24,0)</f>
        <v>0</v>
      </c>
      <c r="N27" s="12">
        <f>HLOOKUP($O$2,Database!$D$6:$OM$155,24,0)</f>
        <v>0</v>
      </c>
      <c r="O27" s="26">
        <f>HLOOKUP($O$3,Database!$D$6:$OM$155,24,0)</f>
        <v>0</v>
      </c>
      <c r="P27" s="12">
        <f>HLOOKUP($Q$2,Database!$D$6:$OM$155,24,0)</f>
        <v>0</v>
      </c>
      <c r="Q27" s="26">
        <f>HLOOKUP($Q$3,Database!$D$6:$OM$155,24,0)</f>
        <v>0</v>
      </c>
      <c r="R27" s="12">
        <f>HLOOKUP($S$2,Database!$D$6:$OM$155,24,0)</f>
        <v>0</v>
      </c>
      <c r="S27" s="26">
        <f>HLOOKUP($S$3,Database!$D$6:$OM$155,24,0)</f>
        <v>0</v>
      </c>
      <c r="T27" s="12">
        <f>HLOOKUP($U$2,Database!$D$6:$OM$155,24,0)</f>
        <v>0</v>
      </c>
      <c r="U27" s="26">
        <f>HLOOKUP($U$3,Database!$D$6:$OM$155,24,0)</f>
        <v>0</v>
      </c>
      <c r="V27" s="12">
        <f>HLOOKUP($W$2,Database!$D$6:$OM$155,24,0)</f>
        <v>0</v>
      </c>
      <c r="W27" s="26">
        <f>HLOOKUP($W$3,Database!$D$6:$OM$155,24,0)</f>
        <v>0</v>
      </c>
      <c r="Y27" s="381">
        <f t="shared" si="0"/>
        <v>21.94</v>
      </c>
      <c r="Z27" s="382">
        <f t="shared" si="1"/>
        <v>21.93</v>
      </c>
      <c r="AA27" s="382">
        <f t="shared" si="2"/>
        <v>21.93</v>
      </c>
      <c r="AB27" s="382">
        <f t="shared" si="3"/>
        <v>21.93</v>
      </c>
      <c r="AC27" s="324" t="str">
        <f t="shared" si="4"/>
        <v/>
      </c>
      <c r="AD27" s="324" t="str">
        <f t="shared" si="5"/>
        <v/>
      </c>
      <c r="AE27" s="324" t="str">
        <f t="shared" si="6"/>
        <v/>
      </c>
      <c r="AF27" s="324" t="str">
        <f t="shared" si="7"/>
        <v/>
      </c>
      <c r="AG27" s="324" t="str">
        <f t="shared" si="8"/>
        <v/>
      </c>
      <c r="AH27" s="324" t="str">
        <f t="shared" si="9"/>
        <v/>
      </c>
      <c r="AI27" s="362" t="str">
        <f t="shared" si="10"/>
        <v/>
      </c>
      <c r="AJ27" s="363" t="str">
        <f t="shared" si="11"/>
        <v/>
      </c>
      <c r="AK27" s="382">
        <f t="shared" si="12"/>
        <v>1.0000000000001563E-2</v>
      </c>
      <c r="AL27" s="382">
        <f t="shared" si="13"/>
        <v>21.93</v>
      </c>
      <c r="AM27" s="384">
        <f t="shared" si="14"/>
        <v>21.94</v>
      </c>
      <c r="AN27" s="332"/>
      <c r="AO27" s="385">
        <f t="shared" si="15"/>
        <v>21.935000000000002</v>
      </c>
      <c r="AP27" s="104">
        <f t="shared" si="16"/>
        <v>14558</v>
      </c>
      <c r="AQ27" s="385">
        <f t="shared" si="17"/>
        <v>21.93</v>
      </c>
      <c r="AR27" s="385">
        <f t="shared" si="18"/>
        <v>20679.5</v>
      </c>
      <c r="AS27" s="104">
        <f t="shared" si="19"/>
        <v>0</v>
      </c>
      <c r="AT27" s="104">
        <f t="shared" si="20"/>
        <v>0</v>
      </c>
      <c r="AU27" s="104">
        <f t="shared" si="21"/>
        <v>0</v>
      </c>
      <c r="AV27" s="104">
        <f t="shared" si="22"/>
        <v>0</v>
      </c>
      <c r="AW27" s="104">
        <f t="shared" si="23"/>
        <v>0</v>
      </c>
      <c r="AX27" s="104">
        <f t="shared" si="24"/>
        <v>0</v>
      </c>
    </row>
    <row r="28" spans="1:50" ht="18.75" customHeight="1" x14ac:dyDescent="0.4">
      <c r="A28" s="355" t="s">
        <v>306</v>
      </c>
      <c r="B28" s="358">
        <v>169</v>
      </c>
      <c r="C28" s="355" t="s">
        <v>60</v>
      </c>
      <c r="D28" s="12">
        <f>HLOOKUP($E$2,Database!$D$6:$OM$155,25,0)</f>
        <v>22.43</v>
      </c>
      <c r="E28" s="26">
        <f>HLOOKUP($E$3,Database!$D$6:$OM$155,25,0)</f>
        <v>31786</v>
      </c>
      <c r="F28" s="12">
        <f>HLOOKUP($G$2,Database!$D$6:$OM$155,25,0)</f>
        <v>22.41</v>
      </c>
      <c r="G28" s="26">
        <f>HLOOKUP($G$3,Database!$D$6:$OM$155,25,0)</f>
        <v>5840</v>
      </c>
      <c r="H28" s="12">
        <f>HLOOKUP($I$2,Database!$D$6:$OM$155,25,0)</f>
        <v>22.42</v>
      </c>
      <c r="I28" s="26">
        <f>HLOOKUP($I$3,Database!$D$6:$OM$155,25,0)</f>
        <v>18760</v>
      </c>
      <c r="J28" s="12">
        <f>HLOOKUP($K$2,Database!$D$6:$OM$155,25,0)</f>
        <v>22.42</v>
      </c>
      <c r="K28" s="26">
        <f>HLOOKUP($K$3,Database!$D$6:$OM$155,25,0)</f>
        <v>19969</v>
      </c>
      <c r="L28" s="12">
        <f>HLOOKUP($M$2,Database!$D$6:$OM$155,25,0)</f>
        <v>0</v>
      </c>
      <c r="M28" s="26">
        <f>HLOOKUP($M$3,Database!$D$6:$OM$155,25,0)</f>
        <v>0</v>
      </c>
      <c r="N28" s="12">
        <f>HLOOKUP($O$2,Database!$D$6:$OM$155,25,0)</f>
        <v>0</v>
      </c>
      <c r="O28" s="26">
        <f>HLOOKUP($O$3,Database!$D$6:$OM$155,25,0)</f>
        <v>0</v>
      </c>
      <c r="P28" s="12">
        <f>HLOOKUP($Q$2,Database!$D$6:$OM$155,25,0)</f>
        <v>0</v>
      </c>
      <c r="Q28" s="26">
        <f>HLOOKUP($Q$3,Database!$D$6:$OM$155,25,0)</f>
        <v>0</v>
      </c>
      <c r="R28" s="12">
        <f>HLOOKUP($S$2,Database!$D$6:$OM$155,25,0)</f>
        <v>0</v>
      </c>
      <c r="S28" s="26">
        <f>HLOOKUP($S$3,Database!$D$6:$OM$155,25,0)</f>
        <v>0</v>
      </c>
      <c r="T28" s="12">
        <f>HLOOKUP($U$2,Database!$D$6:$OM$155,25,0)</f>
        <v>0</v>
      </c>
      <c r="U28" s="26">
        <f>HLOOKUP($U$3,Database!$D$6:$OM$155,25,0)</f>
        <v>0</v>
      </c>
      <c r="V28" s="12">
        <f>HLOOKUP($W$2,Database!$D$6:$OM$155,25,0)</f>
        <v>0</v>
      </c>
      <c r="W28" s="26">
        <f>HLOOKUP($W$3,Database!$D$6:$OM$155,25,0)</f>
        <v>0</v>
      </c>
      <c r="Y28" s="381">
        <f t="shared" si="0"/>
        <v>22.43</v>
      </c>
      <c r="Z28" s="382">
        <f t="shared" si="1"/>
        <v>22.41</v>
      </c>
      <c r="AA28" s="382">
        <f t="shared" si="2"/>
        <v>22.42</v>
      </c>
      <c r="AB28" s="382">
        <f t="shared" si="3"/>
        <v>22.42</v>
      </c>
      <c r="AC28" s="324" t="str">
        <f t="shared" si="4"/>
        <v/>
      </c>
      <c r="AD28" s="324" t="str">
        <f t="shared" si="5"/>
        <v/>
      </c>
      <c r="AE28" s="324" t="str">
        <f t="shared" si="6"/>
        <v/>
      </c>
      <c r="AF28" s="324" t="str">
        <f t="shared" si="7"/>
        <v/>
      </c>
      <c r="AG28" s="324" t="str">
        <f t="shared" si="8"/>
        <v/>
      </c>
      <c r="AH28" s="324" t="str">
        <f t="shared" si="9"/>
        <v/>
      </c>
      <c r="AI28" s="362" t="str">
        <f t="shared" si="10"/>
        <v/>
      </c>
      <c r="AJ28" s="363" t="str">
        <f t="shared" si="11"/>
        <v/>
      </c>
      <c r="AK28" s="382">
        <f t="shared" si="12"/>
        <v>1.9999999999999574E-2</v>
      </c>
      <c r="AL28" s="382">
        <f t="shared" si="13"/>
        <v>22.41</v>
      </c>
      <c r="AM28" s="384">
        <f t="shared" si="14"/>
        <v>22.43</v>
      </c>
      <c r="AN28" s="332"/>
      <c r="AO28" s="385">
        <f t="shared" si="15"/>
        <v>22.42</v>
      </c>
      <c r="AP28" s="104">
        <f t="shared" si="16"/>
        <v>18813</v>
      </c>
      <c r="AQ28" s="385">
        <f t="shared" si="17"/>
        <v>22.42</v>
      </c>
      <c r="AR28" s="385">
        <f t="shared" si="18"/>
        <v>19364.5</v>
      </c>
      <c r="AS28" s="104">
        <f t="shared" si="19"/>
        <v>0</v>
      </c>
      <c r="AT28" s="104">
        <f t="shared" si="20"/>
        <v>0</v>
      </c>
      <c r="AU28" s="104">
        <f t="shared" si="21"/>
        <v>0</v>
      </c>
      <c r="AV28" s="104">
        <f t="shared" si="22"/>
        <v>0</v>
      </c>
      <c r="AW28" s="104">
        <f t="shared" si="23"/>
        <v>0</v>
      </c>
      <c r="AX28" s="104">
        <f t="shared" si="24"/>
        <v>0</v>
      </c>
    </row>
    <row r="29" spans="1:50" ht="18.75" customHeight="1" x14ac:dyDescent="0.4">
      <c r="A29" s="355" t="s">
        <v>307</v>
      </c>
      <c r="B29" s="358">
        <v>193</v>
      </c>
      <c r="C29" s="355" t="s">
        <v>60</v>
      </c>
      <c r="D29" s="12">
        <f>HLOOKUP($E$2,Database!$D$6:$OM$155,26,0)</f>
        <v>23.3</v>
      </c>
      <c r="E29" s="26">
        <f>HLOOKUP($E$3,Database!$D$6:$OM$155,26,0)</f>
        <v>18936</v>
      </c>
      <c r="F29" s="12">
        <f>HLOOKUP($G$2,Database!$D$6:$OM$155,26,0)</f>
        <v>23.29</v>
      </c>
      <c r="G29" s="26">
        <f>HLOOKUP($G$3,Database!$D$6:$OM$155,26,0)</f>
        <v>6172</v>
      </c>
      <c r="H29" s="12">
        <f>HLOOKUP($I$2,Database!$D$6:$OM$155,26,0)</f>
        <v>23.29</v>
      </c>
      <c r="I29" s="26">
        <f>HLOOKUP($I$3,Database!$D$6:$OM$155,26,0)</f>
        <v>16965</v>
      </c>
      <c r="J29" s="12">
        <f>HLOOKUP($K$2,Database!$D$6:$OM$155,26,0)</f>
        <v>23.29</v>
      </c>
      <c r="K29" s="26">
        <f>HLOOKUP($K$3,Database!$D$6:$OM$155,26,0)</f>
        <v>17886</v>
      </c>
      <c r="L29" s="12">
        <f>HLOOKUP($M$2,Database!$D$6:$OM$155,26,0)</f>
        <v>0</v>
      </c>
      <c r="M29" s="26">
        <f>HLOOKUP($M$3,Database!$D$6:$OM$155,26,0)</f>
        <v>0</v>
      </c>
      <c r="N29" s="12">
        <f>HLOOKUP($O$2,Database!$D$6:$OM$155,26,0)</f>
        <v>0</v>
      </c>
      <c r="O29" s="26">
        <f>HLOOKUP($O$3,Database!$D$6:$OM$155,26,0)</f>
        <v>0</v>
      </c>
      <c r="P29" s="12">
        <f>HLOOKUP($Q$2,Database!$D$6:$OM$155,26,0)</f>
        <v>0</v>
      </c>
      <c r="Q29" s="26">
        <f>HLOOKUP($Q$3,Database!$D$6:$OM$155,26,0)</f>
        <v>0</v>
      </c>
      <c r="R29" s="12">
        <f>HLOOKUP($S$2,Database!$D$6:$OM$155,26,0)</f>
        <v>0</v>
      </c>
      <c r="S29" s="26">
        <f>HLOOKUP($S$3,Database!$D$6:$OM$155,26,0)</f>
        <v>0</v>
      </c>
      <c r="T29" s="12">
        <f>HLOOKUP($U$2,Database!$D$6:$OM$155,26,0)</f>
        <v>0</v>
      </c>
      <c r="U29" s="26">
        <f>HLOOKUP($U$3,Database!$D$6:$OM$155,26,0)</f>
        <v>0</v>
      </c>
      <c r="V29" s="12">
        <f>HLOOKUP($W$2,Database!$D$6:$OM$155,26,0)</f>
        <v>0</v>
      </c>
      <c r="W29" s="26">
        <f>HLOOKUP($W$3,Database!$D$6:$OM$155,26,0)</f>
        <v>0</v>
      </c>
      <c r="Y29" s="381">
        <f t="shared" si="0"/>
        <v>23.3</v>
      </c>
      <c r="Z29" s="382">
        <f t="shared" si="1"/>
        <v>23.29</v>
      </c>
      <c r="AA29" s="382">
        <f t="shared" si="2"/>
        <v>23.29</v>
      </c>
      <c r="AB29" s="382">
        <f t="shared" si="3"/>
        <v>23.29</v>
      </c>
      <c r="AC29" s="324" t="str">
        <f t="shared" si="4"/>
        <v/>
      </c>
      <c r="AD29" s="324" t="str">
        <f t="shared" si="5"/>
        <v/>
      </c>
      <c r="AE29" s="324" t="str">
        <f t="shared" si="6"/>
        <v/>
      </c>
      <c r="AF29" s="324" t="str">
        <f t="shared" si="7"/>
        <v/>
      </c>
      <c r="AG29" s="324" t="str">
        <f t="shared" si="8"/>
        <v/>
      </c>
      <c r="AH29" s="324" t="str">
        <f t="shared" si="9"/>
        <v/>
      </c>
      <c r="AI29" s="362" t="str">
        <f t="shared" si="10"/>
        <v/>
      </c>
      <c r="AJ29" s="363" t="str">
        <f t="shared" si="11"/>
        <v/>
      </c>
      <c r="AK29" s="382">
        <f t="shared" si="12"/>
        <v>1.0000000000001563E-2</v>
      </c>
      <c r="AL29" s="382">
        <f t="shared" si="13"/>
        <v>23.29</v>
      </c>
      <c r="AM29" s="384">
        <f t="shared" si="14"/>
        <v>23.3</v>
      </c>
      <c r="AN29" s="332"/>
      <c r="AO29" s="385">
        <f t="shared" si="15"/>
        <v>23.295000000000002</v>
      </c>
      <c r="AP29" s="104">
        <f t="shared" si="16"/>
        <v>12554</v>
      </c>
      <c r="AQ29" s="385">
        <f t="shared" si="17"/>
        <v>23.29</v>
      </c>
      <c r="AR29" s="385">
        <f t="shared" si="18"/>
        <v>17425.5</v>
      </c>
      <c r="AS29" s="104">
        <f t="shared" si="19"/>
        <v>0</v>
      </c>
      <c r="AT29" s="104">
        <f t="shared" si="20"/>
        <v>0</v>
      </c>
      <c r="AU29" s="104">
        <f t="shared" si="21"/>
        <v>0</v>
      </c>
      <c r="AV29" s="104">
        <f t="shared" si="22"/>
        <v>0</v>
      </c>
      <c r="AW29" s="104">
        <f t="shared" si="23"/>
        <v>0</v>
      </c>
      <c r="AX29" s="104">
        <f t="shared" si="24"/>
        <v>0</v>
      </c>
    </row>
    <row r="30" spans="1:50" ht="18.75" customHeight="1" x14ac:dyDescent="0.4">
      <c r="A30" s="355" t="s">
        <v>308</v>
      </c>
      <c r="B30" s="358">
        <v>193</v>
      </c>
      <c r="C30" s="355" t="s">
        <v>60</v>
      </c>
      <c r="D30" s="12">
        <f>HLOOKUP($E$2,Database!$D$6:$OM$155,27,0)</f>
        <v>23.45</v>
      </c>
      <c r="E30" s="26">
        <f>HLOOKUP($E$3,Database!$D$6:$OM$155,27,0)</f>
        <v>15614</v>
      </c>
      <c r="F30" s="12">
        <f>HLOOKUP($G$2,Database!$D$6:$OM$155,27,0)</f>
        <v>23.44</v>
      </c>
      <c r="G30" s="26">
        <f>HLOOKUP($G$3,Database!$D$6:$OM$155,27,0)</f>
        <v>4518</v>
      </c>
      <c r="H30" s="12">
        <f>HLOOKUP($I$2,Database!$D$6:$OM$155,27,0)</f>
        <v>23.44</v>
      </c>
      <c r="I30" s="26">
        <f>HLOOKUP($I$3,Database!$D$6:$OM$155,27,0)</f>
        <v>12764</v>
      </c>
      <c r="J30" s="12">
        <f>HLOOKUP($K$2,Database!$D$6:$OM$155,27,0)</f>
        <v>23.44</v>
      </c>
      <c r="K30" s="26">
        <f>HLOOKUP($K$3,Database!$D$6:$OM$155,27,0)</f>
        <v>14553</v>
      </c>
      <c r="L30" s="12">
        <f>HLOOKUP($M$2,Database!$D$6:$OM$155,27,0)</f>
        <v>0</v>
      </c>
      <c r="M30" s="26">
        <f>HLOOKUP($M$3,Database!$D$6:$OM$155,27,0)</f>
        <v>0</v>
      </c>
      <c r="N30" s="12">
        <f>HLOOKUP($O$2,Database!$D$6:$OM$155,27,0)</f>
        <v>0</v>
      </c>
      <c r="O30" s="26">
        <f>HLOOKUP($O$3,Database!$D$6:$OM$155,27,0)</f>
        <v>0</v>
      </c>
      <c r="P30" s="12">
        <f>HLOOKUP($Q$2,Database!$D$6:$OM$155,27,0)</f>
        <v>0</v>
      </c>
      <c r="Q30" s="26">
        <f>HLOOKUP($Q$3,Database!$D$6:$OM$155,27,0)</f>
        <v>0</v>
      </c>
      <c r="R30" s="12">
        <f>HLOOKUP($S$2,Database!$D$6:$OM$155,27,0)</f>
        <v>0</v>
      </c>
      <c r="S30" s="26">
        <f>HLOOKUP($S$3,Database!$D$6:$OM$155,27,0)</f>
        <v>0</v>
      </c>
      <c r="T30" s="12">
        <f>HLOOKUP($U$2,Database!$D$6:$OM$155,27,0)</f>
        <v>0</v>
      </c>
      <c r="U30" s="26">
        <f>HLOOKUP($U$3,Database!$D$6:$OM$155,27,0)</f>
        <v>0</v>
      </c>
      <c r="V30" s="12">
        <f>HLOOKUP($W$2,Database!$D$6:$OM$155,27,0)</f>
        <v>0</v>
      </c>
      <c r="W30" s="26">
        <f>HLOOKUP($W$3,Database!$D$6:$OM$155,27,0)</f>
        <v>0</v>
      </c>
      <c r="Y30" s="381">
        <f t="shared" si="0"/>
        <v>23.45</v>
      </c>
      <c r="Z30" s="382">
        <f t="shared" si="1"/>
        <v>23.44</v>
      </c>
      <c r="AA30" s="382">
        <f t="shared" si="2"/>
        <v>23.44</v>
      </c>
      <c r="AB30" s="382">
        <f t="shared" si="3"/>
        <v>23.44</v>
      </c>
      <c r="AC30" s="324" t="str">
        <f t="shared" si="4"/>
        <v/>
      </c>
      <c r="AD30" s="324" t="str">
        <f t="shared" si="5"/>
        <v/>
      </c>
      <c r="AE30" s="324" t="str">
        <f t="shared" si="6"/>
        <v/>
      </c>
      <c r="AF30" s="324" t="str">
        <f t="shared" si="7"/>
        <v/>
      </c>
      <c r="AG30" s="324" t="str">
        <f t="shared" si="8"/>
        <v/>
      </c>
      <c r="AH30" s="324" t="str">
        <f t="shared" si="9"/>
        <v/>
      </c>
      <c r="AI30" s="362" t="str">
        <f t="shared" si="10"/>
        <v/>
      </c>
      <c r="AJ30" s="363" t="str">
        <f t="shared" si="11"/>
        <v/>
      </c>
      <c r="AK30" s="382">
        <f t="shared" si="12"/>
        <v>9.9999999999980105E-3</v>
      </c>
      <c r="AL30" s="382">
        <f t="shared" si="13"/>
        <v>23.44</v>
      </c>
      <c r="AM30" s="384">
        <f t="shared" si="14"/>
        <v>23.45</v>
      </c>
      <c r="AN30" s="332"/>
      <c r="AO30" s="385">
        <f t="shared" si="15"/>
        <v>23.445</v>
      </c>
      <c r="AP30" s="104">
        <f t="shared" si="16"/>
        <v>10066</v>
      </c>
      <c r="AQ30" s="385">
        <f t="shared" si="17"/>
        <v>23.44</v>
      </c>
      <c r="AR30" s="385">
        <f t="shared" si="18"/>
        <v>13658.5</v>
      </c>
      <c r="AS30" s="104">
        <f t="shared" si="19"/>
        <v>0</v>
      </c>
      <c r="AT30" s="104">
        <f t="shared" si="20"/>
        <v>0</v>
      </c>
      <c r="AU30" s="104">
        <f t="shared" si="21"/>
        <v>0</v>
      </c>
      <c r="AV30" s="104">
        <f t="shared" si="22"/>
        <v>0</v>
      </c>
      <c r="AW30" s="104">
        <f t="shared" si="23"/>
        <v>0</v>
      </c>
      <c r="AX30" s="104">
        <f t="shared" si="24"/>
        <v>0</v>
      </c>
    </row>
    <row r="31" spans="1:50" ht="18.75" customHeight="1" x14ac:dyDescent="0.4">
      <c r="A31" s="355" t="s">
        <v>309</v>
      </c>
      <c r="B31" s="358">
        <v>106</v>
      </c>
      <c r="C31" s="355" t="s">
        <v>60</v>
      </c>
      <c r="D31" s="12">
        <f>HLOOKUP($E$2,Database!$D$6:$OM$155,28,0)</f>
        <v>23.62</v>
      </c>
      <c r="E31" s="26">
        <f>HLOOKUP($E$3,Database!$D$6:$OM$155,28,0)</f>
        <v>24840</v>
      </c>
      <c r="F31" s="12">
        <f>HLOOKUP($G$2,Database!$D$6:$OM$155,28,0)</f>
        <v>23.61</v>
      </c>
      <c r="G31" s="26">
        <f>HLOOKUP($G$3,Database!$D$6:$OM$155,28,0)</f>
        <v>4701</v>
      </c>
      <c r="H31" s="12">
        <f>HLOOKUP($I$2,Database!$D$6:$OM$155,28,0)</f>
        <v>23.6</v>
      </c>
      <c r="I31" s="26">
        <f>HLOOKUP($I$3,Database!$D$6:$OM$155,28,0)</f>
        <v>12541</v>
      </c>
      <c r="J31" s="12">
        <f>HLOOKUP($K$2,Database!$D$6:$OM$155,28,0)</f>
        <v>23.61</v>
      </c>
      <c r="K31" s="26">
        <f>HLOOKUP($K$3,Database!$D$6:$OM$155,28,0)</f>
        <v>14095</v>
      </c>
      <c r="L31" s="12">
        <f>HLOOKUP($M$2,Database!$D$6:$OM$155,28,0)</f>
        <v>0</v>
      </c>
      <c r="M31" s="26">
        <f>HLOOKUP($M$3,Database!$D$6:$OM$155,28,0)</f>
        <v>0</v>
      </c>
      <c r="N31" s="12">
        <f>HLOOKUP($O$2,Database!$D$6:$OM$155,28,0)</f>
        <v>0</v>
      </c>
      <c r="O31" s="26">
        <f>HLOOKUP($O$3,Database!$D$6:$OM$155,28,0)</f>
        <v>0</v>
      </c>
      <c r="P31" s="12">
        <f>HLOOKUP($Q$2,Database!$D$6:$OM$155,28,0)</f>
        <v>0</v>
      </c>
      <c r="Q31" s="26">
        <f>HLOOKUP($Q$3,Database!$D$6:$OM$155,28,0)</f>
        <v>0</v>
      </c>
      <c r="R31" s="12">
        <f>HLOOKUP($S$2,Database!$D$6:$OM$155,28,0)</f>
        <v>0</v>
      </c>
      <c r="S31" s="26">
        <f>HLOOKUP($S$3,Database!$D$6:$OM$155,28,0)</f>
        <v>0</v>
      </c>
      <c r="T31" s="12">
        <f>HLOOKUP($U$2,Database!$D$6:$OM$155,28,0)</f>
        <v>0</v>
      </c>
      <c r="U31" s="26">
        <f>HLOOKUP($U$3,Database!$D$6:$OM$155,28,0)</f>
        <v>0</v>
      </c>
      <c r="V31" s="12">
        <f>HLOOKUP($W$2,Database!$D$6:$OM$155,28,0)</f>
        <v>0</v>
      </c>
      <c r="W31" s="26">
        <f>HLOOKUP($W$3,Database!$D$6:$OM$155,28,0)</f>
        <v>0</v>
      </c>
      <c r="Y31" s="381">
        <f t="shared" si="0"/>
        <v>23.62</v>
      </c>
      <c r="Z31" s="382">
        <f t="shared" si="1"/>
        <v>23.61</v>
      </c>
      <c r="AA31" s="382">
        <f t="shared" si="2"/>
        <v>23.6</v>
      </c>
      <c r="AB31" s="382">
        <f t="shared" si="3"/>
        <v>23.61</v>
      </c>
      <c r="AC31" s="324" t="str">
        <f t="shared" si="4"/>
        <v/>
      </c>
      <c r="AD31" s="324" t="str">
        <f t="shared" si="5"/>
        <v/>
      </c>
      <c r="AE31" s="324" t="str">
        <f t="shared" si="6"/>
        <v/>
      </c>
      <c r="AF31" s="324" t="str">
        <f t="shared" si="7"/>
        <v/>
      </c>
      <c r="AG31" s="324" t="str">
        <f t="shared" si="8"/>
        <v/>
      </c>
      <c r="AH31" s="324" t="str">
        <f t="shared" si="9"/>
        <v/>
      </c>
      <c r="AI31" s="362" t="str">
        <f t="shared" si="10"/>
        <v/>
      </c>
      <c r="AJ31" s="363" t="str">
        <f t="shared" si="11"/>
        <v/>
      </c>
      <c r="AK31" s="382">
        <f t="shared" si="12"/>
        <v>1.9999999999999574E-2</v>
      </c>
      <c r="AL31" s="382">
        <f t="shared" si="13"/>
        <v>23.6</v>
      </c>
      <c r="AM31" s="384">
        <f t="shared" si="14"/>
        <v>23.62</v>
      </c>
      <c r="AN31" s="332"/>
      <c r="AO31" s="385">
        <f t="shared" si="15"/>
        <v>23.615000000000002</v>
      </c>
      <c r="AP31" s="385">
        <f t="shared" si="16"/>
        <v>14770.5</v>
      </c>
      <c r="AQ31" s="385">
        <f t="shared" si="17"/>
        <v>23.605</v>
      </c>
      <c r="AR31" s="104">
        <f t="shared" si="18"/>
        <v>13318</v>
      </c>
      <c r="AS31" s="104">
        <f t="shared" si="19"/>
        <v>0</v>
      </c>
      <c r="AT31" s="104">
        <f t="shared" si="20"/>
        <v>0</v>
      </c>
      <c r="AU31" s="104">
        <f t="shared" si="21"/>
        <v>0</v>
      </c>
      <c r="AV31" s="104">
        <f t="shared" si="22"/>
        <v>0</v>
      </c>
      <c r="AW31" s="104">
        <f t="shared" si="23"/>
        <v>0</v>
      </c>
      <c r="AX31" s="104">
        <f t="shared" si="24"/>
        <v>0</v>
      </c>
    </row>
    <row r="32" spans="1:50" ht="18.75" customHeight="1" x14ac:dyDescent="0.4">
      <c r="A32" s="355" t="s">
        <v>310</v>
      </c>
      <c r="B32" s="358">
        <v>123</v>
      </c>
      <c r="C32" s="355" t="s">
        <v>60</v>
      </c>
      <c r="D32" s="12">
        <f>HLOOKUP($E$2,Database!$D$6:$OM$155,29,0)</f>
        <v>23.54</v>
      </c>
      <c r="E32" s="26">
        <f>HLOOKUP($E$3,Database!$D$6:$OM$155,29,0)</f>
        <v>66133</v>
      </c>
      <c r="F32" s="12">
        <f>HLOOKUP($G$2,Database!$D$6:$OM$155,29,0)</f>
        <v>23.52</v>
      </c>
      <c r="G32" s="26">
        <f>HLOOKUP($G$3,Database!$D$6:$OM$155,29,0)</f>
        <v>17139</v>
      </c>
      <c r="H32" s="12">
        <f>HLOOKUP($I$2,Database!$D$6:$OM$155,29,0)</f>
        <v>23.53</v>
      </c>
      <c r="I32" s="26">
        <f>HLOOKUP($I$3,Database!$D$6:$OM$155,29,0)</f>
        <v>46189</v>
      </c>
      <c r="J32" s="12">
        <f>HLOOKUP($K$2,Database!$D$6:$OM$155,29,0)</f>
        <v>23.53</v>
      </c>
      <c r="K32" s="26">
        <f>HLOOKUP($K$3,Database!$D$6:$OM$155,29,0)</f>
        <v>50632</v>
      </c>
      <c r="L32" s="12">
        <f>HLOOKUP($M$2,Database!$D$6:$OM$155,29,0)</f>
        <v>0</v>
      </c>
      <c r="M32" s="26">
        <f>HLOOKUP($M$3,Database!$D$6:$OM$155,29,0)</f>
        <v>0</v>
      </c>
      <c r="N32" s="12">
        <f>HLOOKUP($O$2,Database!$D$6:$OM$155,29,0)</f>
        <v>0</v>
      </c>
      <c r="O32" s="26">
        <f>HLOOKUP($O$3,Database!$D$6:$OM$155,29,0)</f>
        <v>0</v>
      </c>
      <c r="P32" s="12">
        <f>HLOOKUP($Q$2,Database!$D$6:$OM$155,29,0)</f>
        <v>0</v>
      </c>
      <c r="Q32" s="26">
        <f>HLOOKUP($Q$3,Database!$D$6:$OM$155,29,0)</f>
        <v>0</v>
      </c>
      <c r="R32" s="12">
        <f>HLOOKUP($S$2,Database!$D$6:$OM$155,29,0)</f>
        <v>0</v>
      </c>
      <c r="S32" s="26">
        <f>HLOOKUP($S$3,Database!$D$6:$OM$155,29,0)</f>
        <v>0</v>
      </c>
      <c r="T32" s="12">
        <f>HLOOKUP($U$2,Database!$D$6:$OM$155,29,0)</f>
        <v>0</v>
      </c>
      <c r="U32" s="26">
        <f>HLOOKUP($U$3,Database!$D$6:$OM$155,29,0)</f>
        <v>0</v>
      </c>
      <c r="V32" s="12">
        <f>HLOOKUP($W$2,Database!$D$6:$OM$155,29,0)</f>
        <v>0</v>
      </c>
      <c r="W32" s="26">
        <f>HLOOKUP($W$3,Database!$D$6:$OM$155,29,0)</f>
        <v>0</v>
      </c>
      <c r="Y32" s="381">
        <f t="shared" si="0"/>
        <v>23.54</v>
      </c>
      <c r="Z32" s="382">
        <f t="shared" si="1"/>
        <v>23.52</v>
      </c>
      <c r="AA32" s="382">
        <f t="shared" si="2"/>
        <v>23.53</v>
      </c>
      <c r="AB32" s="382">
        <f t="shared" si="3"/>
        <v>23.53</v>
      </c>
      <c r="AC32" s="324" t="str">
        <f t="shared" si="4"/>
        <v/>
      </c>
      <c r="AD32" s="324" t="str">
        <f t="shared" si="5"/>
        <v/>
      </c>
      <c r="AE32" s="324" t="str">
        <f t="shared" si="6"/>
        <v/>
      </c>
      <c r="AF32" s="324" t="str">
        <f t="shared" si="7"/>
        <v/>
      </c>
      <c r="AG32" s="324" t="str">
        <f t="shared" si="8"/>
        <v/>
      </c>
      <c r="AH32" s="324" t="str">
        <f t="shared" si="9"/>
        <v/>
      </c>
      <c r="AI32" s="362" t="str">
        <f t="shared" si="10"/>
        <v/>
      </c>
      <c r="AJ32" s="363" t="str">
        <f t="shared" si="11"/>
        <v/>
      </c>
      <c r="AK32" s="382">
        <f t="shared" si="12"/>
        <v>1.9999999999999574E-2</v>
      </c>
      <c r="AL32" s="382">
        <f t="shared" si="13"/>
        <v>23.52</v>
      </c>
      <c r="AM32" s="384">
        <f t="shared" si="14"/>
        <v>23.54</v>
      </c>
      <c r="AN32" s="332"/>
      <c r="AO32" s="385">
        <f t="shared" si="15"/>
        <v>23.53</v>
      </c>
      <c r="AP32" s="104">
        <f t="shared" si="16"/>
        <v>41636</v>
      </c>
      <c r="AQ32" s="385">
        <f t="shared" si="17"/>
        <v>23.53</v>
      </c>
      <c r="AR32" s="385">
        <f t="shared" si="18"/>
        <v>48410.5</v>
      </c>
      <c r="AS32" s="104">
        <f t="shared" si="19"/>
        <v>0</v>
      </c>
      <c r="AT32" s="104">
        <f t="shared" si="20"/>
        <v>0</v>
      </c>
      <c r="AU32" s="104">
        <f t="shared" si="21"/>
        <v>0</v>
      </c>
      <c r="AV32" s="104">
        <f t="shared" si="22"/>
        <v>0</v>
      </c>
      <c r="AW32" s="104">
        <f t="shared" si="23"/>
        <v>0</v>
      </c>
      <c r="AX32" s="104">
        <f t="shared" si="24"/>
        <v>0</v>
      </c>
    </row>
    <row r="33" spans="1:50" ht="18.75" customHeight="1" x14ac:dyDescent="0.4">
      <c r="A33" s="355" t="s">
        <v>311</v>
      </c>
      <c r="B33" s="358">
        <v>106</v>
      </c>
      <c r="C33" s="355" t="s">
        <v>60</v>
      </c>
      <c r="D33" s="12">
        <f>HLOOKUP($E$2,Database!$D$6:$OM$155,30,0)</f>
        <v>23.99</v>
      </c>
      <c r="E33" s="26">
        <f>HLOOKUP($E$3,Database!$D$6:$OM$155,30,0)</f>
        <v>17626</v>
      </c>
      <c r="F33" s="12">
        <f>HLOOKUP($G$2,Database!$D$6:$OM$155,30,0)</f>
        <v>23.99</v>
      </c>
      <c r="G33" s="26">
        <f>HLOOKUP($G$3,Database!$D$6:$OM$155,30,0)</f>
        <v>1865</v>
      </c>
      <c r="H33" s="12">
        <f>HLOOKUP($I$2,Database!$D$6:$OM$155,30,0)</f>
        <v>23.99</v>
      </c>
      <c r="I33" s="26">
        <f>HLOOKUP($I$3,Database!$D$6:$OM$155,30,0)</f>
        <v>4728</v>
      </c>
      <c r="J33" s="12">
        <f>HLOOKUP($K$2,Database!$D$6:$OM$155,30,0)</f>
        <v>23.99</v>
      </c>
      <c r="K33" s="26">
        <f>HLOOKUP($K$3,Database!$D$6:$OM$155,30,0)</f>
        <v>5663</v>
      </c>
      <c r="L33" s="12">
        <f>HLOOKUP($M$2,Database!$D$6:$OM$155,30,0)</f>
        <v>0</v>
      </c>
      <c r="M33" s="26">
        <f>HLOOKUP($M$3,Database!$D$6:$OM$155,30,0)</f>
        <v>0</v>
      </c>
      <c r="N33" s="12">
        <f>HLOOKUP($O$2,Database!$D$6:$OM$155,30,0)</f>
        <v>0</v>
      </c>
      <c r="O33" s="26">
        <f>HLOOKUP($O$3,Database!$D$6:$OM$155,30,0)</f>
        <v>0</v>
      </c>
      <c r="P33" s="12">
        <f>HLOOKUP($Q$2,Database!$D$6:$OM$155,30,0)</f>
        <v>0</v>
      </c>
      <c r="Q33" s="26">
        <f>HLOOKUP($Q$3,Database!$D$6:$OM$155,30,0)</f>
        <v>0</v>
      </c>
      <c r="R33" s="12">
        <f>HLOOKUP($S$2,Database!$D$6:$OM$155,30,0)</f>
        <v>0</v>
      </c>
      <c r="S33" s="26">
        <f>HLOOKUP($S$3,Database!$D$6:$OM$155,30,0)</f>
        <v>0</v>
      </c>
      <c r="T33" s="12">
        <f>HLOOKUP($U$2,Database!$D$6:$OM$155,30,0)</f>
        <v>0</v>
      </c>
      <c r="U33" s="26">
        <f>HLOOKUP($U$3,Database!$D$6:$OM$155,30,0)</f>
        <v>0</v>
      </c>
      <c r="V33" s="12">
        <f>HLOOKUP($W$2,Database!$D$6:$OM$155,30,0)</f>
        <v>0</v>
      </c>
      <c r="W33" s="26">
        <f>HLOOKUP($W$3,Database!$D$6:$OM$155,30,0)</f>
        <v>0</v>
      </c>
      <c r="Y33" s="381">
        <f t="shared" si="0"/>
        <v>23.99</v>
      </c>
      <c r="Z33" s="382">
        <f t="shared" si="1"/>
        <v>23.99</v>
      </c>
      <c r="AA33" s="382">
        <f t="shared" si="2"/>
        <v>23.99</v>
      </c>
      <c r="AB33" s="382">
        <f t="shared" si="3"/>
        <v>23.99</v>
      </c>
      <c r="AC33" s="324" t="str">
        <f t="shared" si="4"/>
        <v/>
      </c>
      <c r="AD33" s="324" t="str">
        <f t="shared" si="5"/>
        <v/>
      </c>
      <c r="AE33" s="324" t="str">
        <f t="shared" si="6"/>
        <v/>
      </c>
      <c r="AF33" s="324" t="str">
        <f t="shared" si="7"/>
        <v/>
      </c>
      <c r="AG33" s="324" t="str">
        <f t="shared" si="8"/>
        <v/>
      </c>
      <c r="AH33" s="324" t="str">
        <f t="shared" si="9"/>
        <v/>
      </c>
      <c r="AI33" s="362" t="str">
        <f t="shared" si="10"/>
        <v/>
      </c>
      <c r="AJ33" s="363" t="str">
        <f t="shared" si="11"/>
        <v/>
      </c>
      <c r="AK33" s="383">
        <f t="shared" si="12"/>
        <v>0</v>
      </c>
      <c r="AL33" s="382">
        <f t="shared" si="13"/>
        <v>23.99</v>
      </c>
      <c r="AM33" s="384">
        <f t="shared" si="14"/>
        <v>23.99</v>
      </c>
      <c r="AN33" s="332"/>
      <c r="AO33" s="385">
        <f t="shared" si="15"/>
        <v>23.99</v>
      </c>
      <c r="AP33" s="385">
        <f t="shared" si="16"/>
        <v>9745.5</v>
      </c>
      <c r="AQ33" s="385">
        <f t="shared" si="17"/>
        <v>23.99</v>
      </c>
      <c r="AR33" s="385">
        <f t="shared" si="18"/>
        <v>5195.5</v>
      </c>
      <c r="AS33" s="104">
        <f t="shared" si="19"/>
        <v>0</v>
      </c>
      <c r="AT33" s="104">
        <f t="shared" si="20"/>
        <v>0</v>
      </c>
      <c r="AU33" s="104">
        <f t="shared" si="21"/>
        <v>0</v>
      </c>
      <c r="AV33" s="104">
        <f t="shared" si="22"/>
        <v>0</v>
      </c>
      <c r="AW33" s="104">
        <f t="shared" si="23"/>
        <v>0</v>
      </c>
      <c r="AX33" s="104">
        <f t="shared" si="24"/>
        <v>0</v>
      </c>
    </row>
    <row r="34" spans="1:50" ht="18.75" customHeight="1" x14ac:dyDescent="0.4">
      <c r="A34" s="355" t="s">
        <v>312</v>
      </c>
      <c r="B34" s="358">
        <v>113</v>
      </c>
      <c r="C34" s="355" t="s">
        <v>60</v>
      </c>
      <c r="D34" s="12">
        <f>HLOOKUP($E$2,Database!$D$6:$OM$155,31,0)</f>
        <v>25.57</v>
      </c>
      <c r="E34" s="26">
        <f>HLOOKUP($E$3,Database!$D$6:$OM$155,31,0)</f>
        <v>63614</v>
      </c>
      <c r="F34" s="12">
        <f>HLOOKUP($G$2,Database!$D$6:$OM$155,31,0)</f>
        <v>25.56</v>
      </c>
      <c r="G34" s="26">
        <f>HLOOKUP($G$3,Database!$D$6:$OM$155,31,0)</f>
        <v>10083</v>
      </c>
      <c r="H34" s="12">
        <f>HLOOKUP($I$2,Database!$D$6:$OM$155,31,0)</f>
        <v>25.56</v>
      </c>
      <c r="I34" s="26">
        <f>HLOOKUP($I$3,Database!$D$6:$OM$155,31,0)</f>
        <v>24112</v>
      </c>
      <c r="J34" s="12">
        <f>HLOOKUP($K$2,Database!$D$6:$OM$155,31,0)</f>
        <v>25.56</v>
      </c>
      <c r="K34" s="26">
        <f>HLOOKUP($K$3,Database!$D$6:$OM$155,31,0)</f>
        <v>28220</v>
      </c>
      <c r="L34" s="12">
        <f>HLOOKUP($M$2,Database!$D$6:$OM$155,31,0)</f>
        <v>0</v>
      </c>
      <c r="M34" s="26">
        <f>HLOOKUP($M$3,Database!$D$6:$OM$155,31,0)</f>
        <v>0</v>
      </c>
      <c r="N34" s="12">
        <f>HLOOKUP($O$2,Database!$D$6:$OM$155,31,0)</f>
        <v>0</v>
      </c>
      <c r="O34" s="26">
        <f>HLOOKUP($O$3,Database!$D$6:$OM$155,31,0)</f>
        <v>0</v>
      </c>
      <c r="P34" s="12">
        <f>HLOOKUP($Q$2,Database!$D$6:$OM$155,31,0)</f>
        <v>0</v>
      </c>
      <c r="Q34" s="26">
        <f>HLOOKUP($Q$3,Database!$D$6:$OM$155,31,0)</f>
        <v>0</v>
      </c>
      <c r="R34" s="12">
        <f>HLOOKUP($S$2,Database!$D$6:$OM$155,31,0)</f>
        <v>0</v>
      </c>
      <c r="S34" s="26">
        <f>HLOOKUP($S$3,Database!$D$6:$OM$155,31,0)</f>
        <v>0</v>
      </c>
      <c r="T34" s="12">
        <f>HLOOKUP($U$2,Database!$D$6:$OM$155,31,0)</f>
        <v>0</v>
      </c>
      <c r="U34" s="26">
        <f>HLOOKUP($U$3,Database!$D$6:$OM$155,31,0)</f>
        <v>0</v>
      </c>
      <c r="V34" s="12">
        <f>HLOOKUP($W$2,Database!$D$6:$OM$155,31,0)</f>
        <v>0</v>
      </c>
      <c r="W34" s="26">
        <f>HLOOKUP($W$3,Database!$D$6:$OM$155,31,0)</f>
        <v>0</v>
      </c>
      <c r="Y34" s="381">
        <f t="shared" si="0"/>
        <v>25.57</v>
      </c>
      <c r="Z34" s="382">
        <f t="shared" si="1"/>
        <v>25.56</v>
      </c>
      <c r="AA34" s="382">
        <f t="shared" si="2"/>
        <v>25.56</v>
      </c>
      <c r="AB34" s="382">
        <f t="shared" si="3"/>
        <v>25.56</v>
      </c>
      <c r="AC34" s="324" t="str">
        <f t="shared" si="4"/>
        <v/>
      </c>
      <c r="AD34" s="324" t="str">
        <f t="shared" si="5"/>
        <v/>
      </c>
      <c r="AE34" s="324" t="str">
        <f t="shared" si="6"/>
        <v/>
      </c>
      <c r="AF34" s="324" t="str">
        <f t="shared" si="7"/>
        <v/>
      </c>
      <c r="AG34" s="324" t="str">
        <f t="shared" si="8"/>
        <v/>
      </c>
      <c r="AH34" s="324" t="str">
        <f t="shared" si="9"/>
        <v/>
      </c>
      <c r="AI34" s="362" t="str">
        <f t="shared" si="10"/>
        <v/>
      </c>
      <c r="AJ34" s="363" t="str">
        <f t="shared" si="11"/>
        <v/>
      </c>
      <c r="AK34" s="382">
        <f t="shared" si="12"/>
        <v>1.0000000000001563E-2</v>
      </c>
      <c r="AL34" s="382">
        <f t="shared" si="13"/>
        <v>25.56</v>
      </c>
      <c r="AM34" s="384">
        <f t="shared" si="14"/>
        <v>25.57</v>
      </c>
      <c r="AN34" s="332"/>
      <c r="AO34" s="385">
        <f t="shared" si="15"/>
        <v>25.564999999999998</v>
      </c>
      <c r="AP34" s="385">
        <f t="shared" si="16"/>
        <v>36848.5</v>
      </c>
      <c r="AQ34" s="385">
        <f t="shared" si="17"/>
        <v>25.56</v>
      </c>
      <c r="AR34" s="104">
        <f t="shared" si="18"/>
        <v>26166</v>
      </c>
      <c r="AS34" s="104">
        <f t="shared" si="19"/>
        <v>0</v>
      </c>
      <c r="AT34" s="104">
        <f t="shared" si="20"/>
        <v>0</v>
      </c>
      <c r="AU34" s="104">
        <f t="shared" si="21"/>
        <v>0</v>
      </c>
      <c r="AV34" s="104">
        <f t="shared" si="22"/>
        <v>0</v>
      </c>
      <c r="AW34" s="104">
        <f t="shared" si="23"/>
        <v>0</v>
      </c>
      <c r="AX34" s="104">
        <f t="shared" si="24"/>
        <v>0</v>
      </c>
    </row>
    <row r="35" spans="1:50" ht="18.75" customHeight="1" x14ac:dyDescent="0.4">
      <c r="A35" s="355" t="s">
        <v>313</v>
      </c>
      <c r="B35" s="358">
        <v>106</v>
      </c>
      <c r="C35" s="355" t="s">
        <v>60</v>
      </c>
      <c r="D35" s="12">
        <f>HLOOKUP($E$2,Database!$D$6:$OM$155,32,0)</f>
        <v>25.75</v>
      </c>
      <c r="E35" s="26">
        <f>HLOOKUP($E$3,Database!$D$6:$OM$155,32,0)</f>
        <v>22991</v>
      </c>
      <c r="F35" s="12">
        <f>HLOOKUP($G$2,Database!$D$6:$OM$155,32,0)</f>
        <v>25.75</v>
      </c>
      <c r="G35" s="26">
        <f>HLOOKUP($G$3,Database!$D$6:$OM$155,32,0)</f>
        <v>4764</v>
      </c>
      <c r="H35" s="12">
        <f>HLOOKUP($I$2,Database!$D$6:$OM$155,32,0)</f>
        <v>25.75</v>
      </c>
      <c r="I35" s="26">
        <f>HLOOKUP($I$3,Database!$D$6:$OM$155,32,0)</f>
        <v>12008</v>
      </c>
      <c r="J35" s="12">
        <f>HLOOKUP($K$2,Database!$D$6:$OM$155,32,0)</f>
        <v>25.75</v>
      </c>
      <c r="K35" s="26">
        <f>HLOOKUP($K$3,Database!$D$6:$OM$155,32,0)</f>
        <v>12949</v>
      </c>
      <c r="L35" s="12">
        <f>HLOOKUP($M$2,Database!$D$6:$OM$155,32,0)</f>
        <v>0</v>
      </c>
      <c r="M35" s="26">
        <f>HLOOKUP($M$3,Database!$D$6:$OM$155,32,0)</f>
        <v>0</v>
      </c>
      <c r="N35" s="12">
        <f>HLOOKUP($O$2,Database!$D$6:$OM$155,32,0)</f>
        <v>0</v>
      </c>
      <c r="O35" s="26">
        <f>HLOOKUP($O$3,Database!$D$6:$OM$155,32,0)</f>
        <v>0</v>
      </c>
      <c r="P35" s="12">
        <f>HLOOKUP($Q$2,Database!$D$6:$OM$155,32,0)</f>
        <v>0</v>
      </c>
      <c r="Q35" s="26">
        <f>HLOOKUP($Q$3,Database!$D$6:$OM$155,32,0)</f>
        <v>0</v>
      </c>
      <c r="R35" s="12">
        <f>HLOOKUP($S$2,Database!$D$6:$OM$155,32,0)</f>
        <v>0</v>
      </c>
      <c r="S35" s="26">
        <f>HLOOKUP($S$3,Database!$D$6:$OM$155,32,0)</f>
        <v>0</v>
      </c>
      <c r="T35" s="12">
        <f>HLOOKUP($U$2,Database!$D$6:$OM$155,32,0)</f>
        <v>0</v>
      </c>
      <c r="U35" s="26">
        <f>HLOOKUP($U$3,Database!$D$6:$OM$155,32,0)</f>
        <v>0</v>
      </c>
      <c r="V35" s="12">
        <f>HLOOKUP($W$2,Database!$D$6:$OM$155,32,0)</f>
        <v>0</v>
      </c>
      <c r="W35" s="26">
        <f>HLOOKUP($W$3,Database!$D$6:$OM$155,32,0)</f>
        <v>0</v>
      </c>
      <c r="Y35" s="381">
        <f t="shared" si="0"/>
        <v>25.75</v>
      </c>
      <c r="Z35" s="382">
        <f t="shared" si="1"/>
        <v>25.75</v>
      </c>
      <c r="AA35" s="382">
        <f t="shared" si="2"/>
        <v>25.75</v>
      </c>
      <c r="AB35" s="382">
        <f t="shared" si="3"/>
        <v>25.75</v>
      </c>
      <c r="AC35" s="324" t="str">
        <f t="shared" si="4"/>
        <v/>
      </c>
      <c r="AD35" s="324" t="str">
        <f t="shared" si="5"/>
        <v/>
      </c>
      <c r="AE35" s="324" t="str">
        <f t="shared" si="6"/>
        <v/>
      </c>
      <c r="AF35" s="324" t="str">
        <f t="shared" si="7"/>
        <v/>
      </c>
      <c r="AG35" s="324" t="str">
        <f t="shared" si="8"/>
        <v/>
      </c>
      <c r="AH35" s="324" t="str">
        <f t="shared" si="9"/>
        <v/>
      </c>
      <c r="AI35" s="362" t="str">
        <f t="shared" si="10"/>
        <v/>
      </c>
      <c r="AJ35" s="363" t="str">
        <f t="shared" si="11"/>
        <v/>
      </c>
      <c r="AK35" s="383">
        <f t="shared" si="12"/>
        <v>0</v>
      </c>
      <c r="AL35" s="382">
        <f t="shared" si="13"/>
        <v>25.75</v>
      </c>
      <c r="AM35" s="384">
        <f t="shared" si="14"/>
        <v>25.75</v>
      </c>
      <c r="AN35" s="332"/>
      <c r="AO35" s="385">
        <f t="shared" si="15"/>
        <v>25.75</v>
      </c>
      <c r="AP35" s="385">
        <f t="shared" si="16"/>
        <v>13877.5</v>
      </c>
      <c r="AQ35" s="385">
        <f t="shared" si="17"/>
        <v>25.75</v>
      </c>
      <c r="AR35" s="385">
        <f t="shared" si="18"/>
        <v>12478.5</v>
      </c>
      <c r="AS35" s="104">
        <f t="shared" si="19"/>
        <v>0</v>
      </c>
      <c r="AT35" s="104">
        <f t="shared" si="20"/>
        <v>0</v>
      </c>
      <c r="AU35" s="104">
        <f t="shared" si="21"/>
        <v>0</v>
      </c>
      <c r="AV35" s="104">
        <f t="shared" si="22"/>
        <v>0</v>
      </c>
      <c r="AW35" s="104">
        <f t="shared" si="23"/>
        <v>0</v>
      </c>
      <c r="AX35" s="104">
        <f t="shared" si="24"/>
        <v>0</v>
      </c>
    </row>
    <row r="36" spans="1:50" ht="18.75" customHeight="1" x14ac:dyDescent="0.4">
      <c r="A36" s="355" t="s">
        <v>314</v>
      </c>
      <c r="B36" s="358">
        <v>92</v>
      </c>
      <c r="C36" s="355" t="s">
        <v>60</v>
      </c>
      <c r="D36" s="12">
        <f>HLOOKUP($E$2,Database!$D$6:$OM$155,33,0)</f>
        <v>26.04</v>
      </c>
      <c r="E36" s="26">
        <f>HLOOKUP($E$3,Database!$D$6:$OM$155,33,0)</f>
        <v>21824</v>
      </c>
      <c r="F36" s="12">
        <f>HLOOKUP($G$2,Database!$D$6:$OM$155,33,0)</f>
        <v>26.03</v>
      </c>
      <c r="G36" s="26">
        <f>HLOOKUP($G$3,Database!$D$6:$OM$155,33,0)</f>
        <v>2940</v>
      </c>
      <c r="H36" s="12">
        <f>HLOOKUP($I$2,Database!$D$6:$OM$155,33,0)</f>
        <v>26.03</v>
      </c>
      <c r="I36" s="26">
        <f>HLOOKUP($I$3,Database!$D$6:$OM$155,33,0)</f>
        <v>8088</v>
      </c>
      <c r="J36" s="12">
        <f>HLOOKUP($K$2,Database!$D$6:$OM$155,33,0)</f>
        <v>26.03</v>
      </c>
      <c r="K36" s="26">
        <f>HLOOKUP($K$3,Database!$D$6:$OM$155,33,0)</f>
        <v>9049</v>
      </c>
      <c r="L36" s="12">
        <f>HLOOKUP($M$2,Database!$D$6:$OM$155,33,0)</f>
        <v>0</v>
      </c>
      <c r="M36" s="26">
        <f>HLOOKUP($M$3,Database!$D$6:$OM$155,33,0)</f>
        <v>0</v>
      </c>
      <c r="N36" s="12">
        <f>HLOOKUP($O$2,Database!$D$6:$OM$155,33,0)</f>
        <v>0</v>
      </c>
      <c r="O36" s="26">
        <f>HLOOKUP($O$3,Database!$D$6:$OM$155,33,0)</f>
        <v>0</v>
      </c>
      <c r="P36" s="12">
        <f>HLOOKUP($Q$2,Database!$D$6:$OM$155,33,0)</f>
        <v>0</v>
      </c>
      <c r="Q36" s="26">
        <f>HLOOKUP($Q$3,Database!$D$6:$OM$155,33,0)</f>
        <v>0</v>
      </c>
      <c r="R36" s="12">
        <f>HLOOKUP($S$2,Database!$D$6:$OM$155,33,0)</f>
        <v>0</v>
      </c>
      <c r="S36" s="26">
        <f>HLOOKUP($S$3,Database!$D$6:$OM$155,33,0)</f>
        <v>0</v>
      </c>
      <c r="T36" s="12">
        <f>HLOOKUP($U$2,Database!$D$6:$OM$155,33,0)</f>
        <v>0</v>
      </c>
      <c r="U36" s="26">
        <f>HLOOKUP($U$3,Database!$D$6:$OM$155,33,0)</f>
        <v>0</v>
      </c>
      <c r="V36" s="12">
        <f>HLOOKUP($W$2,Database!$D$6:$OM$155,33,0)</f>
        <v>0</v>
      </c>
      <c r="W36" s="26">
        <f>HLOOKUP($W$3,Database!$D$6:$OM$155,33,0)</f>
        <v>0</v>
      </c>
      <c r="Y36" s="381">
        <f t="shared" si="0"/>
        <v>26.04</v>
      </c>
      <c r="Z36" s="382">
        <f t="shared" si="1"/>
        <v>26.03</v>
      </c>
      <c r="AA36" s="382">
        <f t="shared" si="2"/>
        <v>26.03</v>
      </c>
      <c r="AB36" s="382">
        <f t="shared" si="3"/>
        <v>26.03</v>
      </c>
      <c r="AC36" s="324" t="str">
        <f t="shared" si="4"/>
        <v/>
      </c>
      <c r="AD36" s="324" t="str">
        <f t="shared" si="5"/>
        <v/>
      </c>
      <c r="AE36" s="324" t="str">
        <f t="shared" si="6"/>
        <v/>
      </c>
      <c r="AF36" s="324" t="str">
        <f t="shared" si="7"/>
        <v/>
      </c>
      <c r="AG36" s="324" t="str">
        <f t="shared" si="8"/>
        <v/>
      </c>
      <c r="AH36" s="324" t="str">
        <f t="shared" si="9"/>
        <v/>
      </c>
      <c r="AI36" s="362" t="str">
        <f t="shared" si="10"/>
        <v/>
      </c>
      <c r="AJ36" s="363" t="str">
        <f t="shared" si="11"/>
        <v/>
      </c>
      <c r="AK36" s="382">
        <f t="shared" si="12"/>
        <v>9.9999999999980105E-3</v>
      </c>
      <c r="AL36" s="382">
        <f t="shared" si="13"/>
        <v>26.03</v>
      </c>
      <c r="AM36" s="384">
        <f t="shared" si="14"/>
        <v>26.04</v>
      </c>
      <c r="AN36" s="332"/>
      <c r="AO36" s="385">
        <f t="shared" si="15"/>
        <v>26.035</v>
      </c>
      <c r="AP36" s="104">
        <f t="shared" si="16"/>
        <v>12382</v>
      </c>
      <c r="AQ36" s="385">
        <f t="shared" si="17"/>
        <v>26.03</v>
      </c>
      <c r="AR36" s="385">
        <f t="shared" si="18"/>
        <v>8568.5</v>
      </c>
      <c r="AS36" s="104">
        <f t="shared" si="19"/>
        <v>0</v>
      </c>
      <c r="AT36" s="104">
        <f t="shared" si="20"/>
        <v>0</v>
      </c>
      <c r="AU36" s="104">
        <f t="shared" si="21"/>
        <v>0</v>
      </c>
      <c r="AV36" s="104">
        <f t="shared" si="22"/>
        <v>0</v>
      </c>
      <c r="AW36" s="104">
        <f t="shared" si="23"/>
        <v>0</v>
      </c>
      <c r="AX36" s="104">
        <f t="shared" si="24"/>
        <v>0</v>
      </c>
    </row>
    <row r="37" spans="1:50" ht="18.75" customHeight="1" x14ac:dyDescent="0.4">
      <c r="A37" s="355" t="s">
        <v>315</v>
      </c>
      <c r="B37" s="358">
        <v>85</v>
      </c>
      <c r="C37" s="355" t="s">
        <v>60</v>
      </c>
      <c r="D37" s="12">
        <f>HLOOKUP($E$2,Database!$D$6:$OM$155,34,0)</f>
        <v>26.6</v>
      </c>
      <c r="E37" s="26">
        <f>HLOOKUP($E$3,Database!$D$6:$OM$155,34,0)</f>
        <v>688248</v>
      </c>
      <c r="F37" s="12">
        <f>HLOOKUP($G$2,Database!$D$6:$OM$155,34,0)</f>
        <v>26.58</v>
      </c>
      <c r="G37" s="26">
        <f>HLOOKUP($G$3,Database!$D$6:$OM$155,34,0)</f>
        <v>139100</v>
      </c>
      <c r="H37" s="12">
        <f>HLOOKUP($I$2,Database!$D$6:$OM$155,34,0)</f>
        <v>26.58</v>
      </c>
      <c r="I37" s="26">
        <f>HLOOKUP($I$3,Database!$D$6:$OM$155,34,0)</f>
        <v>369777</v>
      </c>
      <c r="J37" s="12">
        <f>HLOOKUP($K$2,Database!$D$6:$OM$155,34,0)</f>
        <v>26.59</v>
      </c>
      <c r="K37" s="26">
        <f>HLOOKUP($K$3,Database!$D$6:$OM$155,34,0)</f>
        <v>395475</v>
      </c>
      <c r="L37" s="12">
        <f>HLOOKUP($M$2,Database!$D$6:$OM$155,34,0)</f>
        <v>0</v>
      </c>
      <c r="M37" s="26">
        <f>HLOOKUP($M$3,Database!$D$6:$OM$155,34,0)</f>
        <v>0</v>
      </c>
      <c r="N37" s="12">
        <f>HLOOKUP($O$2,Database!$D$6:$OM$155,34,0)</f>
        <v>0</v>
      </c>
      <c r="O37" s="26">
        <f>HLOOKUP($O$3,Database!$D$6:$OM$155,34,0)</f>
        <v>0</v>
      </c>
      <c r="P37" s="12">
        <f>HLOOKUP($Q$2,Database!$D$6:$OM$155,34,0)</f>
        <v>0</v>
      </c>
      <c r="Q37" s="26">
        <f>HLOOKUP($Q$3,Database!$D$6:$OM$155,34,0)</f>
        <v>0</v>
      </c>
      <c r="R37" s="12">
        <f>HLOOKUP($S$2,Database!$D$6:$OM$155,34,0)</f>
        <v>0</v>
      </c>
      <c r="S37" s="26">
        <f>HLOOKUP($S$3,Database!$D$6:$OM$155,34,0)</f>
        <v>0</v>
      </c>
      <c r="T37" s="12">
        <f>HLOOKUP($U$2,Database!$D$6:$OM$155,34,0)</f>
        <v>0</v>
      </c>
      <c r="U37" s="26">
        <f>HLOOKUP($U$3,Database!$D$6:$OM$155,34,0)</f>
        <v>0</v>
      </c>
      <c r="V37" s="12">
        <f>HLOOKUP($W$2,Database!$D$6:$OM$155,34,0)</f>
        <v>0</v>
      </c>
      <c r="W37" s="26">
        <f>HLOOKUP($W$3,Database!$D$6:$OM$155,34,0)</f>
        <v>0</v>
      </c>
      <c r="Y37" s="381">
        <f t="shared" si="0"/>
        <v>26.6</v>
      </c>
      <c r="Z37" s="382">
        <f t="shared" si="1"/>
        <v>26.58</v>
      </c>
      <c r="AA37" s="382">
        <f t="shared" si="2"/>
        <v>26.58</v>
      </c>
      <c r="AB37" s="382">
        <f t="shared" si="3"/>
        <v>26.59</v>
      </c>
      <c r="AC37" s="324" t="str">
        <f t="shared" si="4"/>
        <v/>
      </c>
      <c r="AD37" s="324" t="str">
        <f t="shared" si="5"/>
        <v/>
      </c>
      <c r="AE37" s="324" t="str">
        <f t="shared" si="6"/>
        <v/>
      </c>
      <c r="AF37" s="324" t="str">
        <f t="shared" si="7"/>
        <v/>
      </c>
      <c r="AG37" s="324" t="str">
        <f t="shared" si="8"/>
        <v/>
      </c>
      <c r="AH37" s="324" t="str">
        <f t="shared" si="9"/>
        <v/>
      </c>
      <c r="AI37" s="362" t="str">
        <f t="shared" si="10"/>
        <v/>
      </c>
      <c r="AJ37" s="363" t="str">
        <f t="shared" si="11"/>
        <v/>
      </c>
      <c r="AK37" s="382">
        <f t="shared" si="12"/>
        <v>2.0000000000003126E-2</v>
      </c>
      <c r="AL37" s="382">
        <f t="shared" si="13"/>
        <v>26.58</v>
      </c>
      <c r="AM37" s="384">
        <f t="shared" si="14"/>
        <v>26.6</v>
      </c>
      <c r="AN37" s="332"/>
      <c r="AO37" s="385">
        <f t="shared" si="15"/>
        <v>26.59</v>
      </c>
      <c r="AP37" s="104">
        <f t="shared" si="16"/>
        <v>413674</v>
      </c>
      <c r="AQ37" s="385">
        <f t="shared" si="17"/>
        <v>26.585000000000001</v>
      </c>
      <c r="AR37" s="104">
        <f t="shared" si="18"/>
        <v>382626</v>
      </c>
      <c r="AS37" s="104">
        <f t="shared" si="19"/>
        <v>0</v>
      </c>
      <c r="AT37" s="104">
        <f t="shared" si="20"/>
        <v>0</v>
      </c>
      <c r="AU37" s="104">
        <f t="shared" si="21"/>
        <v>0</v>
      </c>
      <c r="AV37" s="104">
        <f t="shared" si="22"/>
        <v>0</v>
      </c>
      <c r="AW37" s="104">
        <f t="shared" si="23"/>
        <v>0</v>
      </c>
      <c r="AX37" s="104">
        <f t="shared" si="24"/>
        <v>0</v>
      </c>
    </row>
    <row r="38" spans="1:50" ht="18.75" customHeight="1" x14ac:dyDescent="0.4">
      <c r="A38" s="355" t="s">
        <v>316</v>
      </c>
      <c r="B38" s="358">
        <v>85</v>
      </c>
      <c r="C38" s="355" t="s">
        <v>60</v>
      </c>
      <c r="D38" s="12">
        <f>HLOOKUP($E$2,Database!$D$6:$OM$155,35,0)</f>
        <v>26.72</v>
      </c>
      <c r="E38" s="26">
        <f>HLOOKUP($E$3,Database!$D$6:$OM$155,35,0)</f>
        <v>206453</v>
      </c>
      <c r="F38" s="12">
        <f>HLOOKUP($G$2,Database!$D$6:$OM$155,35,0)</f>
        <v>26.7</v>
      </c>
      <c r="G38" s="26">
        <f>HLOOKUP($G$3,Database!$D$6:$OM$155,35,0)</f>
        <v>51413</v>
      </c>
      <c r="H38" s="12">
        <f>HLOOKUP($I$2,Database!$D$6:$OM$155,35,0)</f>
        <v>26.7</v>
      </c>
      <c r="I38" s="26">
        <f>HLOOKUP($I$3,Database!$D$6:$OM$155,35,0)</f>
        <v>119838</v>
      </c>
      <c r="J38" s="12">
        <f>HLOOKUP($K$2,Database!$D$6:$OM$155,35,0)</f>
        <v>26.7</v>
      </c>
      <c r="K38" s="26">
        <f>HLOOKUP($K$3,Database!$D$6:$OM$155,35,0)</f>
        <v>127089</v>
      </c>
      <c r="L38" s="12">
        <f>HLOOKUP($M$2,Database!$D$6:$OM$155,35,0)</f>
        <v>0</v>
      </c>
      <c r="M38" s="26">
        <f>HLOOKUP($M$3,Database!$D$6:$OM$155,35,0)</f>
        <v>0</v>
      </c>
      <c r="N38" s="12">
        <f>HLOOKUP($O$2,Database!$D$6:$OM$155,35,0)</f>
        <v>0</v>
      </c>
      <c r="O38" s="26">
        <f>HLOOKUP($O$3,Database!$D$6:$OM$155,35,0)</f>
        <v>0</v>
      </c>
      <c r="P38" s="12">
        <f>HLOOKUP($Q$2,Database!$D$6:$OM$155,35,0)</f>
        <v>0</v>
      </c>
      <c r="Q38" s="26">
        <f>HLOOKUP($Q$3,Database!$D$6:$OM$155,35,0)</f>
        <v>0</v>
      </c>
      <c r="R38" s="12">
        <f>HLOOKUP($S$2,Database!$D$6:$OM$155,35,0)</f>
        <v>0</v>
      </c>
      <c r="S38" s="26">
        <f>HLOOKUP($S$3,Database!$D$6:$OM$155,35,0)</f>
        <v>0</v>
      </c>
      <c r="T38" s="12">
        <f>HLOOKUP($U$2,Database!$D$6:$OM$155,35,0)</f>
        <v>0</v>
      </c>
      <c r="U38" s="26">
        <f>HLOOKUP($U$3,Database!$D$6:$OM$155,35,0)</f>
        <v>0</v>
      </c>
      <c r="V38" s="12">
        <f>HLOOKUP($W$2,Database!$D$6:$OM$155,35,0)</f>
        <v>0</v>
      </c>
      <c r="W38" s="26">
        <f>HLOOKUP($W$3,Database!$D$6:$OM$155,35,0)</f>
        <v>0</v>
      </c>
      <c r="Y38" s="381">
        <f t="shared" si="0"/>
        <v>26.72</v>
      </c>
      <c r="Z38" s="382">
        <f t="shared" si="1"/>
        <v>26.7</v>
      </c>
      <c r="AA38" s="382">
        <f t="shared" si="2"/>
        <v>26.7</v>
      </c>
      <c r="AB38" s="382">
        <f t="shared" si="3"/>
        <v>26.7</v>
      </c>
      <c r="AC38" s="324" t="str">
        <f t="shared" si="4"/>
        <v/>
      </c>
      <c r="AD38" s="324" t="str">
        <f t="shared" si="5"/>
        <v/>
      </c>
      <c r="AE38" s="324" t="str">
        <f t="shared" si="6"/>
        <v/>
      </c>
      <c r="AF38" s="324" t="str">
        <f t="shared" si="7"/>
        <v/>
      </c>
      <c r="AG38" s="324" t="str">
        <f t="shared" si="8"/>
        <v/>
      </c>
      <c r="AH38" s="324" t="str">
        <f t="shared" si="9"/>
        <v/>
      </c>
      <c r="AI38" s="362" t="str">
        <f t="shared" si="10"/>
        <v/>
      </c>
      <c r="AJ38" s="363" t="str">
        <f t="shared" si="11"/>
        <v/>
      </c>
      <c r="AK38" s="382">
        <f t="shared" si="12"/>
        <v>1.9999999999999574E-2</v>
      </c>
      <c r="AL38" s="382">
        <f t="shared" si="13"/>
        <v>26.7</v>
      </c>
      <c r="AM38" s="384">
        <f t="shared" si="14"/>
        <v>26.72</v>
      </c>
      <c r="AN38" s="332"/>
      <c r="AO38" s="385">
        <f t="shared" si="15"/>
        <v>26.71</v>
      </c>
      <c r="AP38" s="104">
        <f t="shared" si="16"/>
        <v>128933</v>
      </c>
      <c r="AQ38" s="385">
        <f t="shared" si="17"/>
        <v>26.7</v>
      </c>
      <c r="AR38" s="385">
        <f t="shared" si="18"/>
        <v>123463.5</v>
      </c>
      <c r="AS38" s="104">
        <f t="shared" si="19"/>
        <v>0</v>
      </c>
      <c r="AT38" s="104">
        <f t="shared" si="20"/>
        <v>0</v>
      </c>
      <c r="AU38" s="104">
        <f t="shared" si="21"/>
        <v>0</v>
      </c>
      <c r="AV38" s="104">
        <f t="shared" si="22"/>
        <v>0</v>
      </c>
      <c r="AW38" s="104">
        <f t="shared" si="23"/>
        <v>0</v>
      </c>
      <c r="AX38" s="104">
        <f t="shared" si="24"/>
        <v>0</v>
      </c>
    </row>
    <row r="39" spans="1:50" ht="18.75" customHeight="1" x14ac:dyDescent="0.4">
      <c r="A39" s="355" t="s">
        <v>317</v>
      </c>
      <c r="B39" s="358">
        <v>83</v>
      </c>
      <c r="C39" s="355" t="s">
        <v>60</v>
      </c>
      <c r="D39" s="12">
        <f>HLOOKUP($E$2,Database!$D$6:$OM$155,36,0)</f>
        <v>25.66</v>
      </c>
      <c r="E39" s="26">
        <f>HLOOKUP($E$3,Database!$D$6:$OM$155,36,0)</f>
        <v>117923</v>
      </c>
      <c r="F39" s="12">
        <f>HLOOKUP($G$2,Database!$D$6:$OM$155,36,0)</f>
        <v>25.65</v>
      </c>
      <c r="G39" s="26">
        <f>HLOOKUP($G$3,Database!$D$6:$OM$155,36,0)</f>
        <v>21200</v>
      </c>
      <c r="H39" s="12">
        <f>HLOOKUP($I$2,Database!$D$6:$OM$155,36,0)</f>
        <v>25.65</v>
      </c>
      <c r="I39" s="26">
        <f>HLOOKUP($I$3,Database!$D$6:$OM$155,36,0)</f>
        <v>51418</v>
      </c>
      <c r="J39" s="12">
        <f>HLOOKUP($K$2,Database!$D$6:$OM$155,36,0)</f>
        <v>25.48</v>
      </c>
      <c r="K39" s="26">
        <f>HLOOKUP($K$3,Database!$D$6:$OM$155,36,0)</f>
        <v>56759</v>
      </c>
      <c r="L39" s="12">
        <f>HLOOKUP($M$2,Database!$D$6:$OM$155,36,0)</f>
        <v>0</v>
      </c>
      <c r="M39" s="26">
        <f>HLOOKUP($M$3,Database!$D$6:$OM$155,36,0)</f>
        <v>0</v>
      </c>
      <c r="N39" s="12">
        <f>HLOOKUP($O$2,Database!$D$6:$OM$155,36,0)</f>
        <v>0</v>
      </c>
      <c r="O39" s="26">
        <f>HLOOKUP($O$3,Database!$D$6:$OM$155,36,0)</f>
        <v>0</v>
      </c>
      <c r="P39" s="12">
        <f>HLOOKUP($Q$2,Database!$D$6:$OM$155,36,0)</f>
        <v>0</v>
      </c>
      <c r="Q39" s="26">
        <f>HLOOKUP($Q$3,Database!$D$6:$OM$155,36,0)</f>
        <v>0</v>
      </c>
      <c r="R39" s="12">
        <f>HLOOKUP($S$2,Database!$D$6:$OM$155,36,0)</f>
        <v>0</v>
      </c>
      <c r="S39" s="26">
        <f>HLOOKUP($S$3,Database!$D$6:$OM$155,36,0)</f>
        <v>0</v>
      </c>
      <c r="T39" s="12">
        <f>HLOOKUP($U$2,Database!$D$6:$OM$155,36,0)</f>
        <v>0</v>
      </c>
      <c r="U39" s="26">
        <f>HLOOKUP($U$3,Database!$D$6:$OM$155,36,0)</f>
        <v>0</v>
      </c>
      <c r="V39" s="12">
        <f>HLOOKUP($W$2,Database!$D$6:$OM$155,36,0)</f>
        <v>0</v>
      </c>
      <c r="W39" s="26">
        <f>HLOOKUP($W$3,Database!$D$6:$OM$155,36,0)</f>
        <v>0</v>
      </c>
      <c r="Y39" s="381">
        <f t="shared" si="0"/>
        <v>25.66</v>
      </c>
      <c r="Z39" s="382">
        <f t="shared" si="1"/>
        <v>25.65</v>
      </c>
      <c r="AA39" s="382">
        <f t="shared" si="2"/>
        <v>25.65</v>
      </c>
      <c r="AB39" s="382">
        <f t="shared" si="3"/>
        <v>25.48</v>
      </c>
      <c r="AC39" s="324" t="str">
        <f t="shared" si="4"/>
        <v/>
      </c>
      <c r="AD39" s="324" t="str">
        <f t="shared" si="5"/>
        <v/>
      </c>
      <c r="AE39" s="324" t="str">
        <f t="shared" si="6"/>
        <v/>
      </c>
      <c r="AF39" s="324" t="str">
        <f t="shared" si="7"/>
        <v/>
      </c>
      <c r="AG39" s="324" t="str">
        <f t="shared" si="8"/>
        <v/>
      </c>
      <c r="AH39" s="324" t="str">
        <f t="shared" si="9"/>
        <v/>
      </c>
      <c r="AI39" s="362" t="str">
        <f t="shared" si="10"/>
        <v/>
      </c>
      <c r="AJ39" s="363">
        <f t="shared" si="11"/>
        <v>1</v>
      </c>
      <c r="AK39" s="382">
        <f t="shared" si="12"/>
        <v>0.17999999999999972</v>
      </c>
      <c r="AL39" s="382">
        <f t="shared" si="13"/>
        <v>25.48</v>
      </c>
      <c r="AM39" s="384">
        <f t="shared" si="14"/>
        <v>25.66</v>
      </c>
      <c r="AN39" s="332"/>
      <c r="AO39" s="385">
        <f t="shared" si="15"/>
        <v>25.655000000000001</v>
      </c>
      <c r="AP39" s="385">
        <f t="shared" si="16"/>
        <v>69561.5</v>
      </c>
      <c r="AQ39" s="385">
        <f t="shared" si="17"/>
        <v>25.564999999999998</v>
      </c>
      <c r="AR39" s="385">
        <f t="shared" si="18"/>
        <v>54088.5</v>
      </c>
      <c r="AS39" s="104">
        <f t="shared" si="19"/>
        <v>0</v>
      </c>
      <c r="AT39" s="104">
        <f t="shared" si="20"/>
        <v>0</v>
      </c>
      <c r="AU39" s="104">
        <f t="shared" si="21"/>
        <v>0</v>
      </c>
      <c r="AV39" s="104">
        <f t="shared" si="22"/>
        <v>0</v>
      </c>
      <c r="AW39" s="104">
        <f t="shared" si="23"/>
        <v>0</v>
      </c>
      <c r="AX39" s="104">
        <f t="shared" si="24"/>
        <v>0</v>
      </c>
    </row>
    <row r="40" spans="1:50" ht="18.75" customHeight="1" x14ac:dyDescent="0.4">
      <c r="A40" s="355" t="s">
        <v>318</v>
      </c>
      <c r="B40" s="358">
        <v>85</v>
      </c>
      <c r="C40" s="355" t="s">
        <v>60</v>
      </c>
      <c r="D40" s="12">
        <f>HLOOKUP($E$2,Database!$D$6:$OM$155,37,0)</f>
        <v>28.53</v>
      </c>
      <c r="E40" s="26">
        <f>HLOOKUP($E$3,Database!$D$6:$OM$155,37,0)</f>
        <v>653757</v>
      </c>
      <c r="F40" s="12">
        <f>HLOOKUP($G$2,Database!$D$6:$OM$155,37,0)</f>
        <v>28.51</v>
      </c>
      <c r="G40" s="26">
        <f>HLOOKUP($G$3,Database!$D$6:$OM$155,37,0)</f>
        <v>124564</v>
      </c>
      <c r="H40" s="12">
        <f>HLOOKUP($I$2,Database!$D$6:$OM$155,37,0)</f>
        <v>28.51</v>
      </c>
      <c r="I40" s="26">
        <f>HLOOKUP($I$3,Database!$D$6:$OM$155,37,0)</f>
        <v>334376</v>
      </c>
      <c r="J40" s="12">
        <f>HLOOKUP($K$2,Database!$D$6:$OM$155,37,0)</f>
        <v>28.51</v>
      </c>
      <c r="K40" s="26">
        <f>HLOOKUP($K$3,Database!$D$6:$OM$155,37,0)</f>
        <v>372161</v>
      </c>
      <c r="L40" s="12">
        <f>HLOOKUP($M$2,Database!$D$6:$OM$155,37,0)</f>
        <v>0</v>
      </c>
      <c r="M40" s="26">
        <f>HLOOKUP($M$3,Database!$D$6:$OM$155,37,0)</f>
        <v>0</v>
      </c>
      <c r="N40" s="12">
        <f>HLOOKUP($O$2,Database!$D$6:$OM$155,37,0)</f>
        <v>0</v>
      </c>
      <c r="O40" s="26">
        <f>HLOOKUP($O$3,Database!$D$6:$OM$155,37,0)</f>
        <v>0</v>
      </c>
      <c r="P40" s="12">
        <f>HLOOKUP($Q$2,Database!$D$6:$OM$155,37,0)</f>
        <v>0</v>
      </c>
      <c r="Q40" s="26">
        <f>HLOOKUP($Q$3,Database!$D$6:$OM$155,37,0)</f>
        <v>0</v>
      </c>
      <c r="R40" s="12">
        <f>HLOOKUP($S$2,Database!$D$6:$OM$155,37,0)</f>
        <v>0</v>
      </c>
      <c r="S40" s="26">
        <f>HLOOKUP($S$3,Database!$D$6:$OM$155,37,0)</f>
        <v>0</v>
      </c>
      <c r="T40" s="12">
        <f>HLOOKUP($U$2,Database!$D$6:$OM$155,37,0)</f>
        <v>0</v>
      </c>
      <c r="U40" s="26">
        <f>HLOOKUP($U$3,Database!$D$6:$OM$155,37,0)</f>
        <v>0</v>
      </c>
      <c r="V40" s="12">
        <f>HLOOKUP($W$2,Database!$D$6:$OM$155,37,0)</f>
        <v>0</v>
      </c>
      <c r="W40" s="26">
        <f>HLOOKUP($W$3,Database!$D$6:$OM$155,37,0)</f>
        <v>0</v>
      </c>
      <c r="Y40" s="381">
        <f t="shared" si="0"/>
        <v>28.53</v>
      </c>
      <c r="Z40" s="382">
        <f t="shared" si="1"/>
        <v>28.51</v>
      </c>
      <c r="AA40" s="382">
        <f t="shared" si="2"/>
        <v>28.51</v>
      </c>
      <c r="AB40" s="382">
        <f t="shared" si="3"/>
        <v>28.51</v>
      </c>
      <c r="AC40" s="324" t="str">
        <f t="shared" si="4"/>
        <v/>
      </c>
      <c r="AD40" s="324" t="str">
        <f t="shared" si="5"/>
        <v/>
      </c>
      <c r="AE40" s="324" t="str">
        <f t="shared" si="6"/>
        <v/>
      </c>
      <c r="AF40" s="324" t="str">
        <f t="shared" si="7"/>
        <v/>
      </c>
      <c r="AG40" s="324" t="str">
        <f t="shared" si="8"/>
        <v/>
      </c>
      <c r="AH40" s="324" t="str">
        <f t="shared" si="9"/>
        <v/>
      </c>
      <c r="AI40" s="362" t="str">
        <f t="shared" si="10"/>
        <v/>
      </c>
      <c r="AJ40" s="363" t="str">
        <f t="shared" si="11"/>
        <v/>
      </c>
      <c r="AK40" s="382">
        <f t="shared" si="12"/>
        <v>1.9999999999999574E-2</v>
      </c>
      <c r="AL40" s="382">
        <f t="shared" si="13"/>
        <v>28.51</v>
      </c>
      <c r="AM40" s="384">
        <f t="shared" si="14"/>
        <v>28.53</v>
      </c>
      <c r="AN40" s="332"/>
      <c r="AO40" s="385">
        <f t="shared" si="15"/>
        <v>28.520000000000003</v>
      </c>
      <c r="AP40" s="385">
        <f t="shared" si="16"/>
        <v>389160.5</v>
      </c>
      <c r="AQ40" s="385">
        <f t="shared" si="17"/>
        <v>28.51</v>
      </c>
      <c r="AR40" s="385">
        <f t="shared" si="18"/>
        <v>353268.5</v>
      </c>
      <c r="AS40" s="104">
        <f t="shared" si="19"/>
        <v>0</v>
      </c>
      <c r="AT40" s="104">
        <f t="shared" si="20"/>
        <v>0</v>
      </c>
      <c r="AU40" s="104">
        <f t="shared" si="21"/>
        <v>0</v>
      </c>
      <c r="AV40" s="104">
        <f t="shared" si="22"/>
        <v>0</v>
      </c>
      <c r="AW40" s="104">
        <f t="shared" si="23"/>
        <v>0</v>
      </c>
      <c r="AX40" s="104">
        <f t="shared" si="24"/>
        <v>0</v>
      </c>
    </row>
    <row r="41" spans="1:50" ht="18.75" customHeight="1" x14ac:dyDescent="0.4">
      <c r="A41" s="355" t="s">
        <v>319</v>
      </c>
      <c r="B41" s="358">
        <v>85</v>
      </c>
      <c r="C41" s="355" t="s">
        <v>60</v>
      </c>
      <c r="D41" s="12">
        <f>HLOOKUP($E$2,Database!$D$6:$OM$155,38,0)</f>
        <v>28.71</v>
      </c>
      <c r="E41" s="26">
        <f>HLOOKUP($E$3,Database!$D$6:$OM$155,38,0)</f>
        <v>246248</v>
      </c>
      <c r="F41" s="12">
        <f>HLOOKUP($G$2,Database!$D$6:$OM$155,38,0)</f>
        <v>28.69</v>
      </c>
      <c r="G41" s="26">
        <f>HLOOKUP($G$3,Database!$D$6:$OM$155,38,0)</f>
        <v>24923</v>
      </c>
      <c r="H41" s="12">
        <f>HLOOKUP($I$2,Database!$D$6:$OM$155,38,0)</f>
        <v>28.69</v>
      </c>
      <c r="I41" s="26">
        <f>HLOOKUP($I$3,Database!$D$6:$OM$155,38,0)</f>
        <v>61160</v>
      </c>
      <c r="J41" s="12">
        <f>HLOOKUP($K$2,Database!$D$6:$OM$155,38,0)</f>
        <v>28.69</v>
      </c>
      <c r="K41" s="26">
        <f>HLOOKUP($K$3,Database!$D$6:$OM$155,38,0)</f>
        <v>67967</v>
      </c>
      <c r="L41" s="12">
        <f>HLOOKUP($M$2,Database!$D$6:$OM$155,38,0)</f>
        <v>0</v>
      </c>
      <c r="M41" s="26">
        <f>HLOOKUP($M$3,Database!$D$6:$OM$155,38,0)</f>
        <v>0</v>
      </c>
      <c r="N41" s="12">
        <f>HLOOKUP($O$2,Database!$D$6:$OM$155,38,0)</f>
        <v>0</v>
      </c>
      <c r="O41" s="26">
        <f>HLOOKUP($O$3,Database!$D$6:$OM$155,38,0)</f>
        <v>0</v>
      </c>
      <c r="P41" s="12">
        <f>HLOOKUP($Q$2,Database!$D$6:$OM$155,38,0)</f>
        <v>0</v>
      </c>
      <c r="Q41" s="26">
        <f>HLOOKUP($Q$3,Database!$D$6:$OM$155,38,0)</f>
        <v>0</v>
      </c>
      <c r="R41" s="12">
        <f>HLOOKUP($S$2,Database!$D$6:$OM$155,38,0)</f>
        <v>0</v>
      </c>
      <c r="S41" s="26">
        <f>HLOOKUP($S$3,Database!$D$6:$OM$155,38,0)</f>
        <v>0</v>
      </c>
      <c r="T41" s="12">
        <f>HLOOKUP($U$2,Database!$D$6:$OM$155,38,0)</f>
        <v>0</v>
      </c>
      <c r="U41" s="26">
        <f>HLOOKUP($U$3,Database!$D$6:$OM$155,38,0)</f>
        <v>0</v>
      </c>
      <c r="V41" s="12">
        <f>HLOOKUP($W$2,Database!$D$6:$OM$155,38,0)</f>
        <v>0</v>
      </c>
      <c r="W41" s="26">
        <f>HLOOKUP($W$3,Database!$D$6:$OM$155,38,0)</f>
        <v>0</v>
      </c>
      <c r="Y41" s="381">
        <f t="shared" ref="Y41:Y72" si="25">IF(D41&gt;5,D41,"")</f>
        <v>28.71</v>
      </c>
      <c r="Z41" s="382">
        <f t="shared" ref="Z41:Z72" si="26">IF(F41&gt;5,F41,"")</f>
        <v>28.69</v>
      </c>
      <c r="AA41" s="382">
        <f t="shared" ref="AA41:AA72" si="27">IF(H41&gt;5,H41,"")</f>
        <v>28.69</v>
      </c>
      <c r="AB41" s="382">
        <f t="shared" ref="AB41:AB72" si="28">IF(J41&gt;5,J41,"")</f>
        <v>28.69</v>
      </c>
      <c r="AC41" s="324" t="str">
        <f t="shared" ref="AC41:AC72" si="29">IF(L41&gt;5,L41,"")</f>
        <v/>
      </c>
      <c r="AD41" s="324" t="str">
        <f t="shared" ref="AD41:AD72" si="30">IF(N41&gt;5,N41,"")</f>
        <v/>
      </c>
      <c r="AE41" s="324" t="str">
        <f t="shared" ref="AE41:AE72" si="31">IF(P41&gt;5,P41,"")</f>
        <v/>
      </c>
      <c r="AF41" s="324" t="str">
        <f t="shared" ref="AF41:AF72" si="32">IF(R41&gt;5,R41,"")</f>
        <v/>
      </c>
      <c r="AG41" s="324" t="str">
        <f t="shared" ref="AG41:AG72" si="33">IF(T41&gt;5,T41,"")</f>
        <v/>
      </c>
      <c r="AH41" s="324" t="str">
        <f t="shared" ref="AH41:AH72" si="34">IF(V41&gt;5,V41,"")</f>
        <v/>
      </c>
      <c r="AI41" s="362" t="str">
        <f t="shared" ref="AI41:AI72" si="35">IF(AK41&gt;0.5,1,"")</f>
        <v/>
      </c>
      <c r="AJ41" s="363" t="str">
        <f t="shared" ref="AJ41:AJ72" si="36">IF(AK41&gt;0.1,1,"")</f>
        <v/>
      </c>
      <c r="AK41" s="382">
        <f t="shared" ref="AK41:AK72" si="37">AM41-AL41</f>
        <v>1.9999999999999574E-2</v>
      </c>
      <c r="AL41" s="382">
        <f t="shared" ref="AL41:AL72" si="38">MIN(Y41:AH41)</f>
        <v>28.69</v>
      </c>
      <c r="AM41" s="384">
        <f t="shared" ref="AM41:AM72" si="39">MAX(Y41:AH41)</f>
        <v>28.71</v>
      </c>
      <c r="AN41" s="332"/>
      <c r="AO41" s="385">
        <f t="shared" ref="AO41:AO72" si="40">(D41+F41)/2</f>
        <v>28.700000000000003</v>
      </c>
      <c r="AP41" s="385">
        <f t="shared" ref="AP41:AP72" si="41">(E41+G41)/2</f>
        <v>135585.5</v>
      </c>
      <c r="AQ41" s="385">
        <f t="shared" ref="AQ41:AQ72" si="42">(H41+J41)/2</f>
        <v>28.69</v>
      </c>
      <c r="AR41" s="385">
        <f t="shared" ref="AR41:AR72" si="43">(I41+K41)/2</f>
        <v>64563.5</v>
      </c>
      <c r="AS41" s="104">
        <f t="shared" ref="AS41:AS72" si="44">(L41+N41)/2</f>
        <v>0</v>
      </c>
      <c r="AT41" s="104">
        <f t="shared" ref="AT41:AT72" si="45">(M41+O41)/2</f>
        <v>0</v>
      </c>
      <c r="AU41" s="104">
        <f t="shared" ref="AU41:AU72" si="46">(P41+R41)/2</f>
        <v>0</v>
      </c>
      <c r="AV41" s="104">
        <f t="shared" ref="AV41:AV72" si="47">(Q41+S41)/2</f>
        <v>0</v>
      </c>
      <c r="AW41" s="104">
        <f t="shared" ref="AW41:AW72" si="48">(T41+V41)/2</f>
        <v>0</v>
      </c>
      <c r="AX41" s="104">
        <f t="shared" ref="AX41:AX72" si="49">(U41+W41)/2</f>
        <v>0</v>
      </c>
    </row>
    <row r="42" spans="1:50" ht="18.75" customHeight="1" x14ac:dyDescent="0.4">
      <c r="A42" s="355" t="s">
        <v>320</v>
      </c>
      <c r="B42" s="358">
        <v>198</v>
      </c>
      <c r="C42" s="355" t="s">
        <v>60</v>
      </c>
      <c r="D42" s="12">
        <f>HLOOKUP($E$2,Database!$D$6:$OM$155,39,0)</f>
        <v>29.33</v>
      </c>
      <c r="E42" s="26">
        <f>HLOOKUP($E$3,Database!$D$6:$OM$155,39,0)</f>
        <v>117728</v>
      </c>
      <c r="F42" s="12">
        <f>HLOOKUP($G$2,Database!$D$6:$OM$155,39,0)</f>
        <v>29.32</v>
      </c>
      <c r="G42" s="26">
        <f>HLOOKUP($G$3,Database!$D$6:$OM$155,39,0)</f>
        <v>14588</v>
      </c>
      <c r="H42" s="12">
        <f>HLOOKUP($I$2,Database!$D$6:$OM$155,39,0)</f>
        <v>29.32</v>
      </c>
      <c r="I42" s="26">
        <f>HLOOKUP($I$3,Database!$D$6:$OM$155,39,0)</f>
        <v>39328</v>
      </c>
      <c r="J42" s="12">
        <f>HLOOKUP($K$2,Database!$D$6:$OM$155,39,0)</f>
        <v>29.32</v>
      </c>
      <c r="K42" s="26">
        <f>HLOOKUP($K$3,Database!$D$6:$OM$155,39,0)</f>
        <v>41858</v>
      </c>
      <c r="L42" s="12">
        <f>HLOOKUP($M$2,Database!$D$6:$OM$155,39,0)</f>
        <v>0</v>
      </c>
      <c r="M42" s="26">
        <f>HLOOKUP($M$3,Database!$D$6:$OM$155,39,0)</f>
        <v>0</v>
      </c>
      <c r="N42" s="12">
        <f>HLOOKUP($O$2,Database!$D$6:$OM$155,39,0)</f>
        <v>0</v>
      </c>
      <c r="O42" s="26">
        <f>HLOOKUP($O$3,Database!$D$6:$OM$155,39,0)</f>
        <v>0</v>
      </c>
      <c r="P42" s="12">
        <f>HLOOKUP($Q$2,Database!$D$6:$OM$155,39,0)</f>
        <v>0</v>
      </c>
      <c r="Q42" s="26">
        <f>HLOOKUP($Q$3,Database!$D$6:$OM$155,39,0)</f>
        <v>0</v>
      </c>
      <c r="R42" s="12">
        <f>HLOOKUP($S$2,Database!$D$6:$OM$155,39,0)</f>
        <v>0</v>
      </c>
      <c r="S42" s="26">
        <f>HLOOKUP($S$3,Database!$D$6:$OM$155,39,0)</f>
        <v>0</v>
      </c>
      <c r="T42" s="12">
        <f>HLOOKUP($U$2,Database!$D$6:$OM$155,39,0)</f>
        <v>0</v>
      </c>
      <c r="U42" s="26">
        <f>HLOOKUP($U$3,Database!$D$6:$OM$155,39,0)</f>
        <v>0</v>
      </c>
      <c r="V42" s="12">
        <f>HLOOKUP($W$2,Database!$D$6:$OM$155,39,0)</f>
        <v>0</v>
      </c>
      <c r="W42" s="26">
        <f>HLOOKUP($W$3,Database!$D$6:$OM$155,39,0)</f>
        <v>0</v>
      </c>
      <c r="Y42" s="381">
        <f t="shared" si="25"/>
        <v>29.33</v>
      </c>
      <c r="Z42" s="382">
        <f t="shared" si="26"/>
        <v>29.32</v>
      </c>
      <c r="AA42" s="382">
        <f t="shared" si="27"/>
        <v>29.32</v>
      </c>
      <c r="AB42" s="382">
        <f t="shared" si="28"/>
        <v>29.32</v>
      </c>
      <c r="AC42" s="324" t="str">
        <f t="shared" si="29"/>
        <v/>
      </c>
      <c r="AD42" s="324" t="str">
        <f t="shared" si="30"/>
        <v/>
      </c>
      <c r="AE42" s="324" t="str">
        <f t="shared" si="31"/>
        <v/>
      </c>
      <c r="AF42" s="324" t="str">
        <f t="shared" si="32"/>
        <v/>
      </c>
      <c r="AG42" s="324" t="str">
        <f t="shared" si="33"/>
        <v/>
      </c>
      <c r="AH42" s="324" t="str">
        <f t="shared" si="34"/>
        <v/>
      </c>
      <c r="AI42" s="362" t="str">
        <f t="shared" si="35"/>
        <v/>
      </c>
      <c r="AJ42" s="363" t="str">
        <f t="shared" si="36"/>
        <v/>
      </c>
      <c r="AK42" s="382">
        <f t="shared" si="37"/>
        <v>9.9999999999980105E-3</v>
      </c>
      <c r="AL42" s="382">
        <f t="shared" si="38"/>
        <v>29.32</v>
      </c>
      <c r="AM42" s="384">
        <f t="shared" si="39"/>
        <v>29.33</v>
      </c>
      <c r="AN42" s="332"/>
      <c r="AO42" s="385">
        <f t="shared" si="40"/>
        <v>29.324999999999999</v>
      </c>
      <c r="AP42" s="104">
        <f t="shared" si="41"/>
        <v>66158</v>
      </c>
      <c r="AQ42" s="385">
        <f t="shared" si="42"/>
        <v>29.32</v>
      </c>
      <c r="AR42" s="104">
        <f t="shared" si="43"/>
        <v>40593</v>
      </c>
      <c r="AS42" s="104">
        <f t="shared" si="44"/>
        <v>0</v>
      </c>
      <c r="AT42" s="104">
        <f t="shared" si="45"/>
        <v>0</v>
      </c>
      <c r="AU42" s="104">
        <f t="shared" si="46"/>
        <v>0</v>
      </c>
      <c r="AV42" s="104">
        <f t="shared" si="47"/>
        <v>0</v>
      </c>
      <c r="AW42" s="104">
        <f t="shared" si="48"/>
        <v>0</v>
      </c>
      <c r="AX42" s="104">
        <f t="shared" si="49"/>
        <v>0</v>
      </c>
    </row>
    <row r="43" spans="1:50" ht="18.75" customHeight="1" x14ac:dyDescent="0.4">
      <c r="A43" s="355" t="s">
        <v>321</v>
      </c>
      <c r="B43" s="358">
        <v>225</v>
      </c>
      <c r="C43" s="355" t="s">
        <v>60</v>
      </c>
      <c r="D43" s="12">
        <f>HLOOKUP($E$2,Database!$D$6:$OM$155,40,0)</f>
        <v>29.69</v>
      </c>
      <c r="E43" s="26">
        <f>HLOOKUP($E$3,Database!$D$6:$OM$155,40,0)</f>
        <v>9694</v>
      </c>
      <c r="F43" s="12">
        <f>HLOOKUP($G$2,Database!$D$6:$OM$155,40,0)</f>
        <v>29.68</v>
      </c>
      <c r="G43" s="26">
        <f>HLOOKUP($G$3,Database!$D$6:$OM$155,40,0)</f>
        <v>1333</v>
      </c>
      <c r="H43" s="12">
        <f>HLOOKUP($I$2,Database!$D$6:$OM$155,40,0)</f>
        <v>29.68</v>
      </c>
      <c r="I43" s="26">
        <f>HLOOKUP($I$3,Database!$D$6:$OM$155,40,0)</f>
        <v>3874</v>
      </c>
      <c r="J43" s="12">
        <f>HLOOKUP($K$2,Database!$D$6:$OM$155,40,0)</f>
        <v>29.68</v>
      </c>
      <c r="K43" s="26">
        <f>HLOOKUP($K$3,Database!$D$6:$OM$155,40,0)</f>
        <v>4005</v>
      </c>
      <c r="L43" s="12">
        <f>HLOOKUP($M$2,Database!$D$6:$OM$155,40,0)</f>
        <v>0</v>
      </c>
      <c r="M43" s="26">
        <f>HLOOKUP($M$3,Database!$D$6:$OM$155,40,0)</f>
        <v>0</v>
      </c>
      <c r="N43" s="12">
        <f>HLOOKUP($O$2,Database!$D$6:$OM$155,40,0)</f>
        <v>0</v>
      </c>
      <c r="O43" s="26">
        <f>HLOOKUP($O$3,Database!$D$6:$OM$155,40,0)</f>
        <v>0</v>
      </c>
      <c r="P43" s="12">
        <f>HLOOKUP($Q$2,Database!$D$6:$OM$155,40,0)</f>
        <v>0</v>
      </c>
      <c r="Q43" s="26">
        <f>HLOOKUP($Q$3,Database!$D$6:$OM$155,40,0)</f>
        <v>0</v>
      </c>
      <c r="R43" s="12">
        <f>HLOOKUP($S$2,Database!$D$6:$OM$155,40,0)</f>
        <v>0</v>
      </c>
      <c r="S43" s="26">
        <f>HLOOKUP($S$3,Database!$D$6:$OM$155,40,0)</f>
        <v>0</v>
      </c>
      <c r="T43" s="12">
        <f>HLOOKUP($U$2,Database!$D$6:$OM$155,40,0)</f>
        <v>0</v>
      </c>
      <c r="U43" s="26">
        <f>HLOOKUP($U$3,Database!$D$6:$OM$155,40,0)</f>
        <v>0</v>
      </c>
      <c r="V43" s="12">
        <f>HLOOKUP($W$2,Database!$D$6:$OM$155,40,0)</f>
        <v>0</v>
      </c>
      <c r="W43" s="26">
        <f>HLOOKUP($W$3,Database!$D$6:$OM$155,40,0)</f>
        <v>0</v>
      </c>
      <c r="Y43" s="381">
        <f t="shared" si="25"/>
        <v>29.69</v>
      </c>
      <c r="Z43" s="382">
        <f t="shared" si="26"/>
        <v>29.68</v>
      </c>
      <c r="AA43" s="382">
        <f t="shared" si="27"/>
        <v>29.68</v>
      </c>
      <c r="AB43" s="382">
        <f t="shared" si="28"/>
        <v>29.68</v>
      </c>
      <c r="AC43" s="324" t="str">
        <f t="shared" si="29"/>
        <v/>
      </c>
      <c r="AD43" s="324" t="str">
        <f t="shared" si="30"/>
        <v/>
      </c>
      <c r="AE43" s="324" t="str">
        <f t="shared" si="31"/>
        <v/>
      </c>
      <c r="AF43" s="324" t="str">
        <f t="shared" si="32"/>
        <v/>
      </c>
      <c r="AG43" s="324" t="str">
        <f t="shared" si="33"/>
        <v/>
      </c>
      <c r="AH43" s="386" t="str">
        <f t="shared" si="34"/>
        <v/>
      </c>
      <c r="AI43" s="362" t="str">
        <f t="shared" si="35"/>
        <v/>
      </c>
      <c r="AJ43" s="363" t="str">
        <f t="shared" si="36"/>
        <v/>
      </c>
      <c r="AK43" s="382">
        <f t="shared" si="37"/>
        <v>1.0000000000001563E-2</v>
      </c>
      <c r="AL43" s="382">
        <f t="shared" si="38"/>
        <v>29.68</v>
      </c>
      <c r="AM43" s="384">
        <f t="shared" si="39"/>
        <v>29.69</v>
      </c>
      <c r="AN43" s="332"/>
      <c r="AO43" s="385">
        <f t="shared" si="40"/>
        <v>29.685000000000002</v>
      </c>
      <c r="AP43" s="385">
        <f t="shared" si="41"/>
        <v>5513.5</v>
      </c>
      <c r="AQ43" s="385">
        <f t="shared" si="42"/>
        <v>29.68</v>
      </c>
      <c r="AR43" s="385">
        <f t="shared" si="43"/>
        <v>3939.5</v>
      </c>
      <c r="AS43" s="104">
        <f t="shared" si="44"/>
        <v>0</v>
      </c>
      <c r="AT43" s="104">
        <f t="shared" si="45"/>
        <v>0</v>
      </c>
      <c r="AU43" s="104">
        <f t="shared" si="46"/>
        <v>0</v>
      </c>
      <c r="AV43" s="104">
        <f t="shared" si="47"/>
        <v>0</v>
      </c>
      <c r="AW43" s="104">
        <f t="shared" si="48"/>
        <v>0</v>
      </c>
      <c r="AX43" s="104">
        <f t="shared" si="49"/>
        <v>0</v>
      </c>
    </row>
    <row r="44" spans="1:50" ht="18.75" customHeight="1" x14ac:dyDescent="0.4">
      <c r="A44" s="355" t="s">
        <v>322</v>
      </c>
      <c r="B44" s="358">
        <v>225</v>
      </c>
      <c r="C44" s="355" t="s">
        <v>60</v>
      </c>
      <c r="D44" s="12">
        <f>HLOOKUP($E$2,Database!$D$6:$OM$155,41,0)</f>
        <v>30.37</v>
      </c>
      <c r="E44" s="26">
        <f>HLOOKUP($E$3,Database!$D$6:$OM$155,41,0)</f>
        <v>14329</v>
      </c>
      <c r="F44" s="12">
        <f>HLOOKUP($G$2,Database!$D$6:$OM$155,41,0)</f>
        <v>30.35</v>
      </c>
      <c r="G44" s="26">
        <f>HLOOKUP($G$3,Database!$D$6:$OM$155,41,0)</f>
        <v>1908</v>
      </c>
      <c r="H44" s="12">
        <f>HLOOKUP($I$2,Database!$D$6:$OM$155,41,0)</f>
        <v>30.35</v>
      </c>
      <c r="I44" s="26">
        <f>HLOOKUP($I$3,Database!$D$6:$OM$155,41,0)</f>
        <v>5771</v>
      </c>
      <c r="J44" s="12">
        <f>HLOOKUP($K$2,Database!$D$6:$OM$155,41,0)</f>
        <v>30.36</v>
      </c>
      <c r="K44" s="26">
        <f>HLOOKUP($K$3,Database!$D$6:$OM$155,41,0)</f>
        <v>6705</v>
      </c>
      <c r="L44" s="12">
        <f>HLOOKUP($M$2,Database!$D$6:$OM$155,41,0)</f>
        <v>0</v>
      </c>
      <c r="M44" s="26">
        <f>HLOOKUP($M$3,Database!$D$6:$OM$155,41,0)</f>
        <v>0</v>
      </c>
      <c r="N44" s="12">
        <f>HLOOKUP($O$2,Database!$D$6:$OM$155,41,0)</f>
        <v>0</v>
      </c>
      <c r="O44" s="26">
        <f>HLOOKUP($O$3,Database!$D$6:$OM$155,41,0)</f>
        <v>0</v>
      </c>
      <c r="P44" s="12">
        <f>HLOOKUP($Q$2,Database!$D$6:$OM$155,41,0)</f>
        <v>0</v>
      </c>
      <c r="Q44" s="26">
        <f>HLOOKUP($Q$3,Database!$D$6:$OM$155,41,0)</f>
        <v>0</v>
      </c>
      <c r="R44" s="12">
        <f>HLOOKUP($S$2,Database!$D$6:$OM$155,41,0)</f>
        <v>0</v>
      </c>
      <c r="S44" s="26">
        <f>HLOOKUP($S$3,Database!$D$6:$OM$155,41,0)</f>
        <v>0</v>
      </c>
      <c r="T44" s="12">
        <f>HLOOKUP($U$2,Database!$D$6:$OM$155,41,0)</f>
        <v>0</v>
      </c>
      <c r="U44" s="26">
        <f>HLOOKUP($U$3,Database!$D$6:$OM$155,41,0)</f>
        <v>0</v>
      </c>
      <c r="V44" s="12">
        <f>HLOOKUP($W$2,Database!$D$6:$OM$155,41,0)</f>
        <v>0</v>
      </c>
      <c r="W44" s="26">
        <f>HLOOKUP($W$3,Database!$D$6:$OM$155,41,0)</f>
        <v>0</v>
      </c>
      <c r="Y44" s="381">
        <f t="shared" si="25"/>
        <v>30.37</v>
      </c>
      <c r="Z44" s="382">
        <f t="shared" si="26"/>
        <v>30.35</v>
      </c>
      <c r="AA44" s="382">
        <f t="shared" si="27"/>
        <v>30.35</v>
      </c>
      <c r="AB44" s="382">
        <f t="shared" si="28"/>
        <v>30.36</v>
      </c>
      <c r="AC44" s="324" t="str">
        <f t="shared" si="29"/>
        <v/>
      </c>
      <c r="AD44" s="324" t="str">
        <f t="shared" si="30"/>
        <v/>
      </c>
      <c r="AE44" s="324" t="str">
        <f t="shared" si="31"/>
        <v/>
      </c>
      <c r="AF44" s="324" t="str">
        <f t="shared" si="32"/>
        <v/>
      </c>
      <c r="AG44" s="324" t="str">
        <f t="shared" si="33"/>
        <v/>
      </c>
      <c r="AH44" s="324" t="str">
        <f t="shared" si="34"/>
        <v/>
      </c>
      <c r="AI44" s="362" t="str">
        <f t="shared" si="35"/>
        <v/>
      </c>
      <c r="AJ44" s="363" t="str">
        <f t="shared" si="36"/>
        <v/>
      </c>
      <c r="AK44" s="382">
        <f t="shared" si="37"/>
        <v>1.9999999999999574E-2</v>
      </c>
      <c r="AL44" s="382">
        <f t="shared" si="38"/>
        <v>30.35</v>
      </c>
      <c r="AM44" s="384">
        <f t="shared" si="39"/>
        <v>30.37</v>
      </c>
      <c r="AN44" s="332"/>
      <c r="AO44" s="385">
        <f t="shared" si="40"/>
        <v>30.36</v>
      </c>
      <c r="AP44" s="385">
        <f t="shared" si="41"/>
        <v>8118.5</v>
      </c>
      <c r="AQ44" s="385">
        <f t="shared" si="42"/>
        <v>30.355</v>
      </c>
      <c r="AR44" s="104">
        <f t="shared" si="43"/>
        <v>6238</v>
      </c>
      <c r="AS44" s="104">
        <f t="shared" si="44"/>
        <v>0</v>
      </c>
      <c r="AT44" s="104">
        <f t="shared" si="45"/>
        <v>0</v>
      </c>
      <c r="AU44" s="104">
        <f t="shared" si="46"/>
        <v>0</v>
      </c>
      <c r="AV44" s="104">
        <f t="shared" si="47"/>
        <v>0</v>
      </c>
      <c r="AW44" s="104">
        <f t="shared" si="48"/>
        <v>0</v>
      </c>
      <c r="AX44" s="104">
        <f t="shared" si="49"/>
        <v>0</v>
      </c>
    </row>
    <row r="45" spans="1:50" ht="18.75" customHeight="1" x14ac:dyDescent="0.4">
      <c r="A45" s="355" t="s">
        <v>323</v>
      </c>
      <c r="B45" s="358">
        <v>198</v>
      </c>
      <c r="C45" s="355" t="s">
        <v>60</v>
      </c>
      <c r="D45" s="12">
        <f>HLOOKUP($E$2,Database!$D$6:$OM$155,42,0)</f>
        <v>30.12</v>
      </c>
      <c r="E45" s="26">
        <f>HLOOKUP($E$3,Database!$D$6:$OM$155,42,0)</f>
        <v>41031</v>
      </c>
      <c r="F45" s="12">
        <f>HLOOKUP($G$2,Database!$D$6:$OM$155,42,0)</f>
        <v>30.11</v>
      </c>
      <c r="G45" s="26">
        <f>HLOOKUP($G$3,Database!$D$6:$OM$155,42,0)</f>
        <v>4047</v>
      </c>
      <c r="H45" s="12">
        <f>HLOOKUP($I$2,Database!$D$6:$OM$155,42,0)</f>
        <v>30.11</v>
      </c>
      <c r="I45" s="26">
        <f>HLOOKUP($I$3,Database!$D$6:$OM$155,42,0)</f>
        <v>10700</v>
      </c>
      <c r="J45" s="12">
        <f>HLOOKUP($K$2,Database!$D$6:$OM$155,42,0)</f>
        <v>30.11</v>
      </c>
      <c r="K45" s="26">
        <f>HLOOKUP($K$3,Database!$D$6:$OM$155,42,0)</f>
        <v>11895</v>
      </c>
      <c r="L45" s="12">
        <f>HLOOKUP($M$2,Database!$D$6:$OM$155,42,0)</f>
        <v>0</v>
      </c>
      <c r="M45" s="26">
        <f>HLOOKUP($M$3,Database!$D$6:$OM$155,42,0)</f>
        <v>0</v>
      </c>
      <c r="N45" s="12">
        <f>HLOOKUP($O$2,Database!$D$6:$OM$155,42,0)</f>
        <v>0</v>
      </c>
      <c r="O45" s="26">
        <f>HLOOKUP($O$3,Database!$D$6:$OM$155,42,0)</f>
        <v>0</v>
      </c>
      <c r="P45" s="12">
        <f>HLOOKUP($Q$2,Database!$D$6:$OM$155,42,0)</f>
        <v>0</v>
      </c>
      <c r="Q45" s="26">
        <f>HLOOKUP($Q$3,Database!$D$6:$OM$155,42,0)</f>
        <v>0</v>
      </c>
      <c r="R45" s="12">
        <f>HLOOKUP($S$2,Database!$D$6:$OM$155,42,0)</f>
        <v>0</v>
      </c>
      <c r="S45" s="26">
        <f>HLOOKUP($S$3,Database!$D$6:$OM$155,42,0)</f>
        <v>0</v>
      </c>
      <c r="T45" s="12">
        <f>HLOOKUP($U$2,Database!$D$6:$OM$155,42,0)</f>
        <v>0</v>
      </c>
      <c r="U45" s="26">
        <f>HLOOKUP($U$3,Database!$D$6:$OM$155,42,0)</f>
        <v>0</v>
      </c>
      <c r="V45" s="12">
        <f>HLOOKUP($W$2,Database!$D$6:$OM$155,42,0)</f>
        <v>0</v>
      </c>
      <c r="W45" s="26">
        <f>HLOOKUP($W$3,Database!$D$6:$OM$155,42,0)</f>
        <v>0</v>
      </c>
      <c r="Y45" s="381">
        <f t="shared" si="25"/>
        <v>30.12</v>
      </c>
      <c r="Z45" s="382">
        <f t="shared" si="26"/>
        <v>30.11</v>
      </c>
      <c r="AA45" s="382">
        <f t="shared" si="27"/>
        <v>30.11</v>
      </c>
      <c r="AB45" s="382">
        <f t="shared" si="28"/>
        <v>30.11</v>
      </c>
      <c r="AC45" s="324" t="str">
        <f t="shared" si="29"/>
        <v/>
      </c>
      <c r="AD45" s="324" t="str">
        <f t="shared" si="30"/>
        <v/>
      </c>
      <c r="AE45" s="324" t="str">
        <f t="shared" si="31"/>
        <v/>
      </c>
      <c r="AF45" s="324" t="str">
        <f t="shared" si="32"/>
        <v/>
      </c>
      <c r="AG45" s="324" t="str">
        <f t="shared" si="33"/>
        <v/>
      </c>
      <c r="AH45" s="324" t="str">
        <f t="shared" si="34"/>
        <v/>
      </c>
      <c r="AI45" s="362" t="str">
        <f t="shared" si="35"/>
        <v/>
      </c>
      <c r="AJ45" s="363" t="str">
        <f t="shared" si="36"/>
        <v/>
      </c>
      <c r="AK45" s="382">
        <f t="shared" si="37"/>
        <v>1.0000000000001563E-2</v>
      </c>
      <c r="AL45" s="382">
        <f t="shared" si="38"/>
        <v>30.11</v>
      </c>
      <c r="AM45" s="384">
        <f t="shared" si="39"/>
        <v>30.12</v>
      </c>
      <c r="AN45" s="332"/>
      <c r="AO45" s="385">
        <f t="shared" si="40"/>
        <v>30.115000000000002</v>
      </c>
      <c r="AP45" s="104">
        <f t="shared" si="41"/>
        <v>22539</v>
      </c>
      <c r="AQ45" s="385">
        <f t="shared" si="42"/>
        <v>30.11</v>
      </c>
      <c r="AR45" s="385">
        <f t="shared" si="43"/>
        <v>11297.5</v>
      </c>
      <c r="AS45" s="104">
        <f t="shared" si="44"/>
        <v>0</v>
      </c>
      <c r="AT45" s="104">
        <f t="shared" si="45"/>
        <v>0</v>
      </c>
      <c r="AU45" s="104">
        <f t="shared" si="46"/>
        <v>0</v>
      </c>
      <c r="AV45" s="104">
        <f t="shared" si="47"/>
        <v>0</v>
      </c>
      <c r="AW45" s="104">
        <f t="shared" si="48"/>
        <v>0</v>
      </c>
      <c r="AX45" s="104">
        <f t="shared" si="49"/>
        <v>0</v>
      </c>
    </row>
    <row r="46" spans="1:50" ht="18.75" customHeight="1" x14ac:dyDescent="0.4">
      <c r="A46" s="355" t="s">
        <v>324</v>
      </c>
      <c r="B46" s="358">
        <v>192</v>
      </c>
      <c r="C46" s="355" t="s">
        <v>60</v>
      </c>
      <c r="D46" s="12">
        <f>HLOOKUP($E$2,Database!$D$6:$OM$155,43,0)</f>
        <v>30.19</v>
      </c>
      <c r="E46" s="26">
        <f>HLOOKUP($E$3,Database!$D$6:$OM$155,43,0)</f>
        <v>244375</v>
      </c>
      <c r="F46" s="12">
        <f>HLOOKUP($G$2,Database!$D$6:$OM$155,43,0)</f>
        <v>30.18</v>
      </c>
      <c r="G46" s="26">
        <f>HLOOKUP($G$3,Database!$D$6:$OM$155,43,0)</f>
        <v>54065</v>
      </c>
      <c r="H46" s="12">
        <f>HLOOKUP($I$2,Database!$D$6:$OM$155,43,0)</f>
        <v>30.18</v>
      </c>
      <c r="I46" s="26">
        <f>HLOOKUP($I$3,Database!$D$6:$OM$155,43,0)</f>
        <v>149248</v>
      </c>
      <c r="J46" s="12">
        <f>HLOOKUP($K$2,Database!$D$6:$OM$155,43,0)</f>
        <v>30.18</v>
      </c>
      <c r="K46" s="26">
        <f>HLOOKUP($K$3,Database!$D$6:$OM$155,43,0)</f>
        <v>159678</v>
      </c>
      <c r="L46" s="12">
        <f>HLOOKUP($M$2,Database!$D$6:$OM$155,43,0)</f>
        <v>0</v>
      </c>
      <c r="M46" s="26">
        <f>HLOOKUP($M$3,Database!$D$6:$OM$155,43,0)</f>
        <v>0</v>
      </c>
      <c r="N46" s="12">
        <f>HLOOKUP($O$2,Database!$D$6:$OM$155,43,0)</f>
        <v>0</v>
      </c>
      <c r="O46" s="26">
        <f>HLOOKUP($O$3,Database!$D$6:$OM$155,43,0)</f>
        <v>0</v>
      </c>
      <c r="P46" s="12">
        <f>HLOOKUP($Q$2,Database!$D$6:$OM$155,43,0)</f>
        <v>0</v>
      </c>
      <c r="Q46" s="26">
        <f>HLOOKUP($Q$3,Database!$D$6:$OM$155,43,0)</f>
        <v>0</v>
      </c>
      <c r="R46" s="12">
        <f>HLOOKUP($S$2,Database!$D$6:$OM$155,43,0)</f>
        <v>0</v>
      </c>
      <c r="S46" s="26">
        <f>HLOOKUP($S$3,Database!$D$6:$OM$155,43,0)</f>
        <v>0</v>
      </c>
      <c r="T46" s="12">
        <f>HLOOKUP($U$2,Database!$D$6:$OM$155,43,0)</f>
        <v>0</v>
      </c>
      <c r="U46" s="26">
        <f>HLOOKUP($U$3,Database!$D$6:$OM$155,43,0)</f>
        <v>0</v>
      </c>
      <c r="V46" s="12">
        <f>HLOOKUP($W$2,Database!$D$6:$OM$155,43,0)</f>
        <v>0</v>
      </c>
      <c r="W46" s="26">
        <f>HLOOKUP($W$3,Database!$D$6:$OM$155,43,0)</f>
        <v>0</v>
      </c>
      <c r="Y46" s="381">
        <f t="shared" si="25"/>
        <v>30.19</v>
      </c>
      <c r="Z46" s="382">
        <f t="shared" si="26"/>
        <v>30.18</v>
      </c>
      <c r="AA46" s="382">
        <f t="shared" si="27"/>
        <v>30.18</v>
      </c>
      <c r="AB46" s="382">
        <f t="shared" si="28"/>
        <v>30.18</v>
      </c>
      <c r="AC46" s="324" t="str">
        <f t="shared" si="29"/>
        <v/>
      </c>
      <c r="AD46" s="324" t="str">
        <f t="shared" si="30"/>
        <v/>
      </c>
      <c r="AE46" s="324" t="str">
        <f t="shared" si="31"/>
        <v/>
      </c>
      <c r="AF46" s="324" t="str">
        <f t="shared" si="32"/>
        <v/>
      </c>
      <c r="AG46" s="324" t="str">
        <f t="shared" si="33"/>
        <v/>
      </c>
      <c r="AH46" s="324" t="str">
        <f t="shared" si="34"/>
        <v/>
      </c>
      <c r="AI46" s="362" t="str">
        <f t="shared" si="35"/>
        <v/>
      </c>
      <c r="AJ46" s="363" t="str">
        <f t="shared" si="36"/>
        <v/>
      </c>
      <c r="AK46" s="382">
        <f t="shared" si="37"/>
        <v>1.0000000000001563E-2</v>
      </c>
      <c r="AL46" s="382">
        <f t="shared" si="38"/>
        <v>30.18</v>
      </c>
      <c r="AM46" s="384">
        <f t="shared" si="39"/>
        <v>30.19</v>
      </c>
      <c r="AN46" s="332"/>
      <c r="AO46" s="385">
        <f t="shared" si="40"/>
        <v>30.185000000000002</v>
      </c>
      <c r="AP46" s="104">
        <f t="shared" si="41"/>
        <v>149220</v>
      </c>
      <c r="AQ46" s="385">
        <f t="shared" si="42"/>
        <v>30.18</v>
      </c>
      <c r="AR46" s="104">
        <f t="shared" si="43"/>
        <v>154463</v>
      </c>
      <c r="AS46" s="104">
        <f t="shared" si="44"/>
        <v>0</v>
      </c>
      <c r="AT46" s="104">
        <f t="shared" si="45"/>
        <v>0</v>
      </c>
      <c r="AU46" s="104">
        <f t="shared" si="46"/>
        <v>0</v>
      </c>
      <c r="AV46" s="104">
        <f t="shared" si="47"/>
        <v>0</v>
      </c>
      <c r="AW46" s="104">
        <f t="shared" si="48"/>
        <v>0</v>
      </c>
      <c r="AX46" s="104">
        <f t="shared" si="49"/>
        <v>0</v>
      </c>
    </row>
    <row r="47" spans="1:50" ht="18.75" customHeight="1" x14ac:dyDescent="0.4">
      <c r="A47" s="355" t="s">
        <v>325</v>
      </c>
      <c r="B47" s="358">
        <v>74</v>
      </c>
      <c r="C47" s="355" t="s">
        <v>60</v>
      </c>
      <c r="D47" s="12">
        <f>HLOOKUP($E$2,Database!$D$6:$OM$155,44,0)</f>
        <v>30.62</v>
      </c>
      <c r="E47" s="26">
        <f>HLOOKUP($E$3,Database!$D$6:$OM$155,44,0)</f>
        <v>0</v>
      </c>
      <c r="F47" s="12">
        <f>HLOOKUP($G$2,Database!$D$6:$OM$155,44,0)</f>
        <v>30.6</v>
      </c>
      <c r="G47" s="26">
        <f>HLOOKUP($G$3,Database!$D$6:$OM$155,44,0)</f>
        <v>0</v>
      </c>
      <c r="H47" s="12">
        <f>HLOOKUP($I$2,Database!$D$6:$OM$155,44,0)</f>
        <v>30.61</v>
      </c>
      <c r="I47" s="26">
        <f>HLOOKUP($I$3,Database!$D$6:$OM$155,44,0)</f>
        <v>0</v>
      </c>
      <c r="J47" s="12">
        <f>HLOOKUP($K$2,Database!$D$6:$OM$155,44,0)</f>
        <v>30.6</v>
      </c>
      <c r="K47" s="26">
        <f>HLOOKUP($K$3,Database!$D$6:$OM$155,44,0)</f>
        <v>0</v>
      </c>
      <c r="L47" s="12">
        <f>HLOOKUP($M$2,Database!$D$6:$OM$155,44,0)</f>
        <v>0</v>
      </c>
      <c r="M47" s="26">
        <f>HLOOKUP($M$3,Database!$D$6:$OM$155,44,0)</f>
        <v>0</v>
      </c>
      <c r="N47" s="12">
        <f>HLOOKUP($O$2,Database!$D$6:$OM$155,44,0)</f>
        <v>0</v>
      </c>
      <c r="O47" s="26">
        <f>HLOOKUP($O$3,Database!$D$6:$OM$155,44,0)</f>
        <v>0</v>
      </c>
      <c r="P47" s="12">
        <f>HLOOKUP($Q$2,Database!$D$6:$OM$155,44,0)</f>
        <v>0</v>
      </c>
      <c r="Q47" s="26">
        <f>HLOOKUP($Q$3,Database!$D$6:$OM$155,44,0)</f>
        <v>0</v>
      </c>
      <c r="R47" s="12">
        <f>HLOOKUP($S$2,Database!$D$6:$OM$155,44,0)</f>
        <v>0</v>
      </c>
      <c r="S47" s="26">
        <f>HLOOKUP($S$3,Database!$D$6:$OM$155,44,0)</f>
        <v>0</v>
      </c>
      <c r="T47" s="12">
        <f>HLOOKUP($U$2,Database!$D$6:$OM$155,44,0)</f>
        <v>0</v>
      </c>
      <c r="U47" s="26">
        <f>HLOOKUP($U$3,Database!$D$6:$OM$155,44,0)</f>
        <v>0</v>
      </c>
      <c r="V47" s="12">
        <f>HLOOKUP($W$2,Database!$D$6:$OM$155,44,0)</f>
        <v>0</v>
      </c>
      <c r="W47" s="26">
        <f>HLOOKUP($W$3,Database!$D$6:$OM$155,44,0)</f>
        <v>0</v>
      </c>
      <c r="Y47" s="381">
        <f t="shared" si="25"/>
        <v>30.62</v>
      </c>
      <c r="Z47" s="382">
        <f t="shared" si="26"/>
        <v>30.6</v>
      </c>
      <c r="AA47" s="382">
        <f t="shared" si="27"/>
        <v>30.61</v>
      </c>
      <c r="AB47" s="382">
        <f t="shared" si="28"/>
        <v>30.6</v>
      </c>
      <c r="AC47" s="324" t="str">
        <f t="shared" si="29"/>
        <v/>
      </c>
      <c r="AD47" s="324" t="str">
        <f t="shared" si="30"/>
        <v/>
      </c>
      <c r="AE47" s="324" t="str">
        <f t="shared" si="31"/>
        <v/>
      </c>
      <c r="AF47" s="324" t="str">
        <f t="shared" si="32"/>
        <v/>
      </c>
      <c r="AG47" s="324" t="str">
        <f t="shared" si="33"/>
        <v/>
      </c>
      <c r="AH47" s="324" t="str">
        <f t="shared" si="34"/>
        <v/>
      </c>
      <c r="AI47" s="362" t="str">
        <f t="shared" si="35"/>
        <v/>
      </c>
      <c r="AJ47" s="363" t="str">
        <f t="shared" si="36"/>
        <v/>
      </c>
      <c r="AK47" s="382">
        <f t="shared" si="37"/>
        <v>1.9999999999999574E-2</v>
      </c>
      <c r="AL47" s="382">
        <f t="shared" si="38"/>
        <v>30.6</v>
      </c>
      <c r="AM47" s="384">
        <f t="shared" si="39"/>
        <v>30.62</v>
      </c>
      <c r="AN47" s="332"/>
      <c r="AO47" s="385">
        <f t="shared" si="40"/>
        <v>30.61</v>
      </c>
      <c r="AP47" s="104">
        <f t="shared" si="41"/>
        <v>0</v>
      </c>
      <c r="AQ47" s="385">
        <f t="shared" si="42"/>
        <v>30.605</v>
      </c>
      <c r="AR47" s="104">
        <f t="shared" si="43"/>
        <v>0</v>
      </c>
      <c r="AS47" s="104">
        <f t="shared" si="44"/>
        <v>0</v>
      </c>
      <c r="AT47" s="104">
        <f t="shared" si="45"/>
        <v>0</v>
      </c>
      <c r="AU47" s="104">
        <f t="shared" si="46"/>
        <v>0</v>
      </c>
      <c r="AV47" s="104">
        <f t="shared" si="47"/>
        <v>0</v>
      </c>
      <c r="AW47" s="104">
        <f t="shared" si="48"/>
        <v>0</v>
      </c>
      <c r="AX47" s="104">
        <f t="shared" si="49"/>
        <v>0</v>
      </c>
    </row>
    <row r="48" spans="1:50" ht="18.75" customHeight="1" x14ac:dyDescent="0.4">
      <c r="A48" s="355" t="s">
        <v>326</v>
      </c>
      <c r="B48" s="358">
        <v>192</v>
      </c>
      <c r="C48" s="355" t="s">
        <v>60</v>
      </c>
      <c r="D48" s="12">
        <f>HLOOKUP($E$2,Database!$D$6:$OM$155,45,0)</f>
        <v>30.62</v>
      </c>
      <c r="E48" s="26">
        <f>HLOOKUP($E$3,Database!$D$6:$OM$155,45,0)</f>
        <v>143617</v>
      </c>
      <c r="F48" s="12">
        <f>HLOOKUP($G$2,Database!$D$6:$OM$155,45,0)</f>
        <v>30.6</v>
      </c>
      <c r="G48" s="26">
        <f>HLOOKUP($G$3,Database!$D$6:$OM$155,45,0)</f>
        <v>30014</v>
      </c>
      <c r="H48" s="12">
        <f>HLOOKUP($I$2,Database!$D$6:$OM$155,45,0)</f>
        <v>30.61</v>
      </c>
      <c r="I48" s="26">
        <f>HLOOKUP($I$3,Database!$D$6:$OM$155,45,0)</f>
        <v>80931</v>
      </c>
      <c r="J48" s="12">
        <f>HLOOKUP($K$2,Database!$D$6:$OM$155,45,0)</f>
        <v>30.61</v>
      </c>
      <c r="K48" s="26">
        <f>HLOOKUP($K$3,Database!$D$6:$OM$155,45,0)</f>
        <v>85740</v>
      </c>
      <c r="L48" s="12">
        <f>HLOOKUP($M$2,Database!$D$6:$OM$155,45,0)</f>
        <v>0</v>
      </c>
      <c r="M48" s="26">
        <f>HLOOKUP($M$3,Database!$D$6:$OM$155,45,0)</f>
        <v>0</v>
      </c>
      <c r="N48" s="12">
        <f>HLOOKUP($O$2,Database!$D$6:$OM$155,45,0)</f>
        <v>0</v>
      </c>
      <c r="O48" s="26">
        <f>HLOOKUP($O$3,Database!$D$6:$OM$155,45,0)</f>
        <v>0</v>
      </c>
      <c r="P48" s="12">
        <f>HLOOKUP($Q$2,Database!$D$6:$OM$155,45,0)</f>
        <v>0</v>
      </c>
      <c r="Q48" s="26">
        <f>HLOOKUP($Q$3,Database!$D$6:$OM$155,45,0)</f>
        <v>0</v>
      </c>
      <c r="R48" s="12">
        <f>HLOOKUP($S$2,Database!$D$6:$OM$155,45,0)</f>
        <v>0</v>
      </c>
      <c r="S48" s="26">
        <f>HLOOKUP($S$3,Database!$D$6:$OM$155,45,0)</f>
        <v>0</v>
      </c>
      <c r="T48" s="12">
        <f>HLOOKUP($U$2,Database!$D$6:$OM$155,45,0)</f>
        <v>0</v>
      </c>
      <c r="U48" s="26">
        <f>HLOOKUP($U$3,Database!$D$6:$OM$155,45,0)</f>
        <v>0</v>
      </c>
      <c r="V48" s="12">
        <f>HLOOKUP($W$2,Database!$D$6:$OM$155,45,0)</f>
        <v>0</v>
      </c>
      <c r="W48" s="26">
        <f>HLOOKUP($W$3,Database!$D$6:$OM$155,45,0)</f>
        <v>0</v>
      </c>
      <c r="Y48" s="381">
        <f t="shared" si="25"/>
        <v>30.62</v>
      </c>
      <c r="Z48" s="382">
        <f t="shared" si="26"/>
        <v>30.6</v>
      </c>
      <c r="AA48" s="382">
        <f t="shared" si="27"/>
        <v>30.61</v>
      </c>
      <c r="AB48" s="382">
        <f t="shared" si="28"/>
        <v>30.61</v>
      </c>
      <c r="AC48" s="324" t="str">
        <f t="shared" si="29"/>
        <v/>
      </c>
      <c r="AD48" s="324" t="str">
        <f t="shared" si="30"/>
        <v/>
      </c>
      <c r="AE48" s="324" t="str">
        <f t="shared" si="31"/>
        <v/>
      </c>
      <c r="AF48" s="324" t="str">
        <f t="shared" si="32"/>
        <v/>
      </c>
      <c r="AG48" s="324" t="str">
        <f t="shared" si="33"/>
        <v/>
      </c>
      <c r="AH48" s="324" t="str">
        <f t="shared" si="34"/>
        <v/>
      </c>
      <c r="AI48" s="362" t="str">
        <f t="shared" si="35"/>
        <v/>
      </c>
      <c r="AJ48" s="363" t="str">
        <f t="shared" si="36"/>
        <v/>
      </c>
      <c r="AK48" s="382">
        <f t="shared" si="37"/>
        <v>1.9999999999999574E-2</v>
      </c>
      <c r="AL48" s="382">
        <f t="shared" si="38"/>
        <v>30.6</v>
      </c>
      <c r="AM48" s="384">
        <f t="shared" si="39"/>
        <v>30.62</v>
      </c>
      <c r="AN48" s="332"/>
      <c r="AO48" s="385">
        <f t="shared" si="40"/>
        <v>30.61</v>
      </c>
      <c r="AP48" s="385">
        <f t="shared" si="41"/>
        <v>86815.5</v>
      </c>
      <c r="AQ48" s="385">
        <f t="shared" si="42"/>
        <v>30.61</v>
      </c>
      <c r="AR48" s="385">
        <f t="shared" si="43"/>
        <v>83335.5</v>
      </c>
      <c r="AS48" s="104">
        <f t="shared" si="44"/>
        <v>0</v>
      </c>
      <c r="AT48" s="104">
        <f t="shared" si="45"/>
        <v>0</v>
      </c>
      <c r="AU48" s="104">
        <f t="shared" si="46"/>
        <v>0</v>
      </c>
      <c r="AV48" s="104">
        <f t="shared" si="47"/>
        <v>0</v>
      </c>
      <c r="AW48" s="104">
        <f t="shared" si="48"/>
        <v>0</v>
      </c>
      <c r="AX48" s="104">
        <f t="shared" si="49"/>
        <v>0</v>
      </c>
    </row>
    <row r="49" spans="1:50" ht="18.75" customHeight="1" x14ac:dyDescent="0.4">
      <c r="A49" s="355" t="s">
        <v>327</v>
      </c>
      <c r="B49" s="358">
        <v>212</v>
      </c>
      <c r="C49" s="355" t="s">
        <v>94</v>
      </c>
      <c r="D49" s="12">
        <f>HLOOKUP($E$2,Database!$D$6:$OM$155,46,0)</f>
        <v>31.15</v>
      </c>
      <c r="E49" s="26">
        <f>HLOOKUP($E$3,Database!$D$6:$OM$155,46,0)</f>
        <v>1005101</v>
      </c>
      <c r="F49" s="12">
        <f>HLOOKUP($G$2,Database!$D$6:$OM$155,46,0)</f>
        <v>31.53</v>
      </c>
      <c r="G49" s="26">
        <f>HLOOKUP($G$3,Database!$D$6:$OM$155,46,0)</f>
        <v>167977</v>
      </c>
      <c r="H49" s="12">
        <f>HLOOKUP($I$2,Database!$D$6:$OM$155,46,0)</f>
        <v>31.53</v>
      </c>
      <c r="I49" s="26">
        <f>HLOOKUP($I$3,Database!$D$6:$OM$155,46,0)</f>
        <v>446362</v>
      </c>
      <c r="J49" s="12">
        <f>HLOOKUP($K$2,Database!$D$6:$OM$155,46,0)</f>
        <v>31.53</v>
      </c>
      <c r="K49" s="26">
        <f>HLOOKUP($K$3,Database!$D$6:$OM$155,46,0)</f>
        <v>486750</v>
      </c>
      <c r="L49" s="12">
        <f>HLOOKUP($M$2,Database!$D$6:$OM$155,46,0)</f>
        <v>0</v>
      </c>
      <c r="M49" s="26">
        <f>HLOOKUP($M$3,Database!$D$6:$OM$155,46,0)</f>
        <v>0</v>
      </c>
      <c r="N49" s="12">
        <f>HLOOKUP($O$2,Database!$D$6:$OM$155,46,0)</f>
        <v>0</v>
      </c>
      <c r="O49" s="26">
        <f>HLOOKUP($O$3,Database!$D$6:$OM$155,46,0)</f>
        <v>0</v>
      </c>
      <c r="P49" s="12">
        <f>HLOOKUP($Q$2,Database!$D$6:$OM$155,46,0)</f>
        <v>0</v>
      </c>
      <c r="Q49" s="26">
        <f>HLOOKUP($Q$3,Database!$D$6:$OM$155,46,0)</f>
        <v>0</v>
      </c>
      <c r="R49" s="12">
        <f>HLOOKUP($S$2,Database!$D$6:$OM$155,46,0)</f>
        <v>0</v>
      </c>
      <c r="S49" s="26">
        <f>HLOOKUP($S$3,Database!$D$6:$OM$155,46,0)</f>
        <v>0</v>
      </c>
      <c r="T49" s="12">
        <f>HLOOKUP($U$2,Database!$D$6:$OM$155,46,0)</f>
        <v>0</v>
      </c>
      <c r="U49" s="26">
        <f>HLOOKUP($U$3,Database!$D$6:$OM$155,46,0)</f>
        <v>0</v>
      </c>
      <c r="V49" s="12">
        <f>HLOOKUP($W$2,Database!$D$6:$OM$155,46,0)</f>
        <v>0</v>
      </c>
      <c r="W49" s="26">
        <f>HLOOKUP($W$3,Database!$D$6:$OM$155,46,0)</f>
        <v>0</v>
      </c>
      <c r="Y49" s="381">
        <f t="shared" si="25"/>
        <v>31.15</v>
      </c>
      <c r="Z49" s="382">
        <f t="shared" si="26"/>
        <v>31.53</v>
      </c>
      <c r="AA49" s="382">
        <f t="shared" si="27"/>
        <v>31.53</v>
      </c>
      <c r="AB49" s="382">
        <f t="shared" si="28"/>
        <v>31.53</v>
      </c>
      <c r="AC49" s="324" t="str">
        <f t="shared" si="29"/>
        <v/>
      </c>
      <c r="AD49" s="324" t="str">
        <f t="shared" si="30"/>
        <v/>
      </c>
      <c r="AE49" s="324" t="str">
        <f t="shared" si="31"/>
        <v/>
      </c>
      <c r="AF49" s="324" t="str">
        <f t="shared" si="32"/>
        <v/>
      </c>
      <c r="AG49" s="324" t="str">
        <f t="shared" si="33"/>
        <v/>
      </c>
      <c r="AH49" s="324" t="str">
        <f t="shared" si="34"/>
        <v/>
      </c>
      <c r="AI49" s="362" t="str">
        <f t="shared" si="35"/>
        <v/>
      </c>
      <c r="AJ49" s="363">
        <f t="shared" si="36"/>
        <v>1</v>
      </c>
      <c r="AK49" s="382">
        <f t="shared" si="37"/>
        <v>0.38000000000000256</v>
      </c>
      <c r="AL49" s="382">
        <f t="shared" si="38"/>
        <v>31.15</v>
      </c>
      <c r="AM49" s="384">
        <f t="shared" si="39"/>
        <v>31.53</v>
      </c>
      <c r="AN49" s="332"/>
      <c r="AO49" s="385">
        <f t="shared" si="40"/>
        <v>31.34</v>
      </c>
      <c r="AP49" s="104">
        <f t="shared" si="41"/>
        <v>586539</v>
      </c>
      <c r="AQ49" s="385">
        <f t="shared" si="42"/>
        <v>31.53</v>
      </c>
      <c r="AR49" s="104">
        <f t="shared" si="43"/>
        <v>466556</v>
      </c>
      <c r="AS49" s="104">
        <f t="shared" si="44"/>
        <v>0</v>
      </c>
      <c r="AT49" s="104">
        <f t="shared" si="45"/>
        <v>0</v>
      </c>
      <c r="AU49" s="104">
        <f t="shared" si="46"/>
        <v>0</v>
      </c>
      <c r="AV49" s="104">
        <f t="shared" si="47"/>
        <v>0</v>
      </c>
      <c r="AW49" s="104">
        <f t="shared" si="48"/>
        <v>0</v>
      </c>
      <c r="AX49" s="104">
        <f t="shared" si="49"/>
        <v>0</v>
      </c>
    </row>
    <row r="50" spans="1:50" ht="18.75" customHeight="1" x14ac:dyDescent="0.4">
      <c r="A50" s="355" t="s">
        <v>328</v>
      </c>
      <c r="B50" s="358">
        <v>206</v>
      </c>
      <c r="C50" s="355" t="s">
        <v>94</v>
      </c>
      <c r="D50" s="12">
        <f>HLOOKUP($E$2,Database!$D$6:$OM$155,47,0)</f>
        <v>32.53</v>
      </c>
      <c r="E50" s="26">
        <f>HLOOKUP($E$3,Database!$D$6:$OM$155,47,0)</f>
        <v>2641276</v>
      </c>
      <c r="F50" s="12">
        <f>HLOOKUP($G$2,Database!$D$6:$OM$155,47,0)</f>
        <v>32.520000000000003</v>
      </c>
      <c r="G50" s="26">
        <f>HLOOKUP($G$3,Database!$D$6:$OM$155,47,0)</f>
        <v>752533</v>
      </c>
      <c r="H50" s="12">
        <f>HLOOKUP($I$2,Database!$D$6:$OM$155,47,0)</f>
        <v>32.520000000000003</v>
      </c>
      <c r="I50" s="26">
        <f>HLOOKUP($I$3,Database!$D$6:$OM$155,47,0)</f>
        <v>1932144</v>
      </c>
      <c r="J50" s="12">
        <f>HLOOKUP($K$2,Database!$D$6:$OM$155,47,0)</f>
        <v>32.520000000000003</v>
      </c>
      <c r="K50" s="26">
        <f>HLOOKUP($K$3,Database!$D$6:$OM$155,47,0)</f>
        <v>2077735</v>
      </c>
      <c r="L50" s="12">
        <f>HLOOKUP($M$2,Database!$D$6:$OM$155,47,0)</f>
        <v>0</v>
      </c>
      <c r="M50" s="26">
        <f>HLOOKUP($M$3,Database!$D$6:$OM$155,47,0)</f>
        <v>0</v>
      </c>
      <c r="N50" s="12">
        <f>HLOOKUP($O$2,Database!$D$6:$OM$155,47,0)</f>
        <v>0</v>
      </c>
      <c r="O50" s="26">
        <f>HLOOKUP($O$3,Database!$D$6:$OM$155,47,0)</f>
        <v>0</v>
      </c>
      <c r="P50" s="12">
        <f>HLOOKUP($Q$2,Database!$D$6:$OM$155,47,0)</f>
        <v>0</v>
      </c>
      <c r="Q50" s="26">
        <f>HLOOKUP($Q$3,Database!$D$6:$OM$155,47,0)</f>
        <v>0</v>
      </c>
      <c r="R50" s="12">
        <f>HLOOKUP($S$2,Database!$D$6:$OM$155,47,0)</f>
        <v>0</v>
      </c>
      <c r="S50" s="26">
        <f>HLOOKUP($S$3,Database!$D$6:$OM$155,47,0)</f>
        <v>0</v>
      </c>
      <c r="T50" s="12">
        <f>HLOOKUP($U$2,Database!$D$6:$OM$155,47,0)</f>
        <v>0</v>
      </c>
      <c r="U50" s="26">
        <f>HLOOKUP($U$3,Database!$D$6:$OM$155,47,0)</f>
        <v>0</v>
      </c>
      <c r="V50" s="12">
        <f>HLOOKUP($W$2,Database!$D$6:$OM$155,47,0)</f>
        <v>0</v>
      </c>
      <c r="W50" s="26">
        <f>HLOOKUP($W$3,Database!$D$6:$OM$155,47,0)</f>
        <v>0</v>
      </c>
      <c r="Y50" s="381">
        <f t="shared" si="25"/>
        <v>32.53</v>
      </c>
      <c r="Z50" s="382">
        <f t="shared" si="26"/>
        <v>32.520000000000003</v>
      </c>
      <c r="AA50" s="382">
        <f t="shared" si="27"/>
        <v>32.520000000000003</v>
      </c>
      <c r="AB50" s="382">
        <f t="shared" si="28"/>
        <v>32.520000000000003</v>
      </c>
      <c r="AC50" s="324" t="str">
        <f t="shared" si="29"/>
        <v/>
      </c>
      <c r="AD50" s="324" t="str">
        <f t="shared" si="30"/>
        <v/>
      </c>
      <c r="AE50" s="324" t="str">
        <f t="shared" si="31"/>
        <v/>
      </c>
      <c r="AF50" s="324" t="str">
        <f t="shared" si="32"/>
        <v/>
      </c>
      <c r="AG50" s="324" t="str">
        <f t="shared" si="33"/>
        <v/>
      </c>
      <c r="AH50" s="324" t="str">
        <f t="shared" si="34"/>
        <v/>
      </c>
      <c r="AI50" s="362" t="str">
        <f t="shared" si="35"/>
        <v/>
      </c>
      <c r="AJ50" s="363" t="str">
        <f t="shared" si="36"/>
        <v/>
      </c>
      <c r="AK50" s="382">
        <f t="shared" si="37"/>
        <v>9.9999999999980105E-3</v>
      </c>
      <c r="AL50" s="382">
        <f t="shared" si="38"/>
        <v>32.520000000000003</v>
      </c>
      <c r="AM50" s="384">
        <f t="shared" si="39"/>
        <v>32.53</v>
      </c>
      <c r="AN50" s="332"/>
      <c r="AO50" s="385">
        <f t="shared" si="40"/>
        <v>32.525000000000006</v>
      </c>
      <c r="AP50" s="385">
        <f t="shared" si="41"/>
        <v>1696904.5</v>
      </c>
      <c r="AQ50" s="385">
        <f t="shared" si="42"/>
        <v>32.520000000000003</v>
      </c>
      <c r="AR50" s="385">
        <f t="shared" si="43"/>
        <v>2004939.5</v>
      </c>
      <c r="AS50" s="104">
        <f t="shared" si="44"/>
        <v>0</v>
      </c>
      <c r="AT50" s="104">
        <f t="shared" si="45"/>
        <v>0</v>
      </c>
      <c r="AU50" s="104">
        <f t="shared" si="46"/>
        <v>0</v>
      </c>
      <c r="AV50" s="104">
        <f t="shared" si="47"/>
        <v>0</v>
      </c>
      <c r="AW50" s="104">
        <f t="shared" si="48"/>
        <v>0</v>
      </c>
      <c r="AX50" s="104">
        <f t="shared" si="49"/>
        <v>0</v>
      </c>
    </row>
    <row r="51" spans="1:50" ht="18.75" customHeight="1" x14ac:dyDescent="0.4">
      <c r="A51" s="355" t="s">
        <v>329</v>
      </c>
      <c r="B51" s="358">
        <v>74</v>
      </c>
      <c r="C51" s="355" t="s">
        <v>60</v>
      </c>
      <c r="D51" s="12">
        <f>HLOOKUP($E$2,Database!$D$6:$OM$155,48,0)</f>
        <v>33.770000000000003</v>
      </c>
      <c r="E51" s="26">
        <f>HLOOKUP($E$3,Database!$D$6:$OM$155,48,0)</f>
        <v>0</v>
      </c>
      <c r="F51" s="12">
        <f>HLOOKUP($G$2,Database!$D$6:$OM$155,48,0)</f>
        <v>33.76</v>
      </c>
      <c r="G51" s="26">
        <f>HLOOKUP($G$3,Database!$D$6:$OM$155,48,0)</f>
        <v>0</v>
      </c>
      <c r="H51" s="12">
        <f>HLOOKUP($I$2,Database!$D$6:$OM$155,48,0)</f>
        <v>33.76</v>
      </c>
      <c r="I51" s="26">
        <f>HLOOKUP($I$3,Database!$D$6:$OM$155,48,0)</f>
        <v>0</v>
      </c>
      <c r="J51" s="12">
        <f>HLOOKUP($K$2,Database!$D$6:$OM$155,48,0)</f>
        <v>33.76</v>
      </c>
      <c r="K51" s="26">
        <f>HLOOKUP($K$3,Database!$D$6:$OM$155,48,0)</f>
        <v>0</v>
      </c>
      <c r="L51" s="12">
        <f>HLOOKUP($M$2,Database!$D$6:$OM$155,48,0)</f>
        <v>0</v>
      </c>
      <c r="M51" s="26">
        <f>HLOOKUP($M$3,Database!$D$6:$OM$155,48,0)</f>
        <v>0</v>
      </c>
      <c r="N51" s="12">
        <f>HLOOKUP($O$2,Database!$D$6:$OM$155,48,0)</f>
        <v>0</v>
      </c>
      <c r="O51" s="26">
        <f>HLOOKUP($O$3,Database!$D$6:$OM$155,48,0)</f>
        <v>0</v>
      </c>
      <c r="P51" s="12">
        <f>HLOOKUP($Q$2,Database!$D$6:$OM$155,48,0)</f>
        <v>0</v>
      </c>
      <c r="Q51" s="26">
        <f>HLOOKUP($Q$3,Database!$D$6:$OM$155,48,0)</f>
        <v>0</v>
      </c>
      <c r="R51" s="12">
        <f>HLOOKUP($S$2,Database!$D$6:$OM$155,48,0)</f>
        <v>0</v>
      </c>
      <c r="S51" s="26">
        <f>HLOOKUP($S$3,Database!$D$6:$OM$155,48,0)</f>
        <v>0</v>
      </c>
      <c r="T51" s="12">
        <f>HLOOKUP($U$2,Database!$D$6:$OM$155,48,0)</f>
        <v>0</v>
      </c>
      <c r="U51" s="26">
        <f>HLOOKUP($U$3,Database!$D$6:$OM$155,48,0)</f>
        <v>0</v>
      </c>
      <c r="V51" s="12">
        <f>HLOOKUP($W$2,Database!$D$6:$OM$155,48,0)</f>
        <v>0</v>
      </c>
      <c r="W51" s="26">
        <f>HLOOKUP($W$3,Database!$D$6:$OM$155,48,0)</f>
        <v>0</v>
      </c>
      <c r="Y51" s="381">
        <f t="shared" si="25"/>
        <v>33.770000000000003</v>
      </c>
      <c r="Z51" s="382">
        <f t="shared" si="26"/>
        <v>33.76</v>
      </c>
      <c r="AA51" s="382">
        <f t="shared" si="27"/>
        <v>33.76</v>
      </c>
      <c r="AB51" s="382">
        <f t="shared" si="28"/>
        <v>33.76</v>
      </c>
      <c r="AC51" s="324" t="str">
        <f t="shared" si="29"/>
        <v/>
      </c>
      <c r="AD51" s="324" t="str">
        <f t="shared" si="30"/>
        <v/>
      </c>
      <c r="AE51" s="324" t="str">
        <f t="shared" si="31"/>
        <v/>
      </c>
      <c r="AF51" s="324" t="str">
        <f t="shared" si="32"/>
        <v/>
      </c>
      <c r="AG51" s="324" t="str">
        <f t="shared" si="33"/>
        <v/>
      </c>
      <c r="AH51" s="324" t="str">
        <f t="shared" si="34"/>
        <v/>
      </c>
      <c r="AI51" s="362" t="str">
        <f t="shared" si="35"/>
        <v/>
      </c>
      <c r="AJ51" s="363" t="str">
        <f t="shared" si="36"/>
        <v/>
      </c>
      <c r="AK51" s="382">
        <f t="shared" si="37"/>
        <v>1.0000000000005116E-2</v>
      </c>
      <c r="AL51" s="382">
        <f t="shared" si="38"/>
        <v>33.76</v>
      </c>
      <c r="AM51" s="384">
        <f t="shared" si="39"/>
        <v>33.770000000000003</v>
      </c>
      <c r="AN51" s="332"/>
      <c r="AO51" s="385">
        <f t="shared" si="40"/>
        <v>33.765000000000001</v>
      </c>
      <c r="AP51" s="104">
        <f t="shared" si="41"/>
        <v>0</v>
      </c>
      <c r="AQ51" s="385">
        <f t="shared" si="42"/>
        <v>33.76</v>
      </c>
      <c r="AR51" s="104">
        <f t="shared" si="43"/>
        <v>0</v>
      </c>
      <c r="AS51" s="104">
        <f t="shared" si="44"/>
        <v>0</v>
      </c>
      <c r="AT51" s="104">
        <f t="shared" si="45"/>
        <v>0</v>
      </c>
      <c r="AU51" s="104">
        <f t="shared" si="46"/>
        <v>0</v>
      </c>
      <c r="AV51" s="104">
        <f t="shared" si="47"/>
        <v>0</v>
      </c>
      <c r="AW51" s="104">
        <f t="shared" si="48"/>
        <v>0</v>
      </c>
      <c r="AX51" s="104">
        <f t="shared" si="49"/>
        <v>0</v>
      </c>
    </row>
    <row r="52" spans="1:50" ht="18.75" customHeight="1" x14ac:dyDescent="0.4">
      <c r="A52" s="355" t="s">
        <v>330</v>
      </c>
      <c r="B52" s="358">
        <v>216</v>
      </c>
      <c r="C52" s="355" t="s">
        <v>60</v>
      </c>
      <c r="D52" s="12">
        <f>HLOOKUP($E$2,Database!$D$6:$OM$155,49,0)</f>
        <v>34.93</v>
      </c>
      <c r="E52" s="26">
        <f>HLOOKUP($E$3,Database!$D$6:$OM$155,49,0)</f>
        <v>6858</v>
      </c>
      <c r="F52" s="12">
        <f>HLOOKUP($G$2,Database!$D$6:$OM$155,49,0)</f>
        <v>34.92</v>
      </c>
      <c r="G52" s="26">
        <f>HLOOKUP($G$3,Database!$D$6:$OM$155,49,0)</f>
        <v>3193</v>
      </c>
      <c r="H52" s="12">
        <f>HLOOKUP($I$2,Database!$D$6:$OM$155,49,0)</f>
        <v>34.93</v>
      </c>
      <c r="I52" s="26">
        <f>HLOOKUP($I$3,Database!$D$6:$OM$155,49,0)</f>
        <v>8435</v>
      </c>
      <c r="J52" s="12">
        <f>HLOOKUP($K$2,Database!$D$6:$OM$155,49,0)</f>
        <v>34.93</v>
      </c>
      <c r="K52" s="26">
        <f>HLOOKUP($K$3,Database!$D$6:$OM$155,49,0)</f>
        <v>8941</v>
      </c>
      <c r="L52" s="12">
        <f>HLOOKUP($M$2,Database!$D$6:$OM$155,49,0)</f>
        <v>0</v>
      </c>
      <c r="M52" s="26">
        <f>HLOOKUP($M$3,Database!$D$6:$OM$155,49,0)</f>
        <v>0</v>
      </c>
      <c r="N52" s="12">
        <f>HLOOKUP($O$2,Database!$D$6:$OM$155,49,0)</f>
        <v>0</v>
      </c>
      <c r="O52" s="26">
        <f>HLOOKUP($O$3,Database!$D$6:$OM$155,49,0)</f>
        <v>0</v>
      </c>
      <c r="P52" s="12">
        <f>HLOOKUP($Q$2,Database!$D$6:$OM$155,49,0)</f>
        <v>0</v>
      </c>
      <c r="Q52" s="26">
        <f>HLOOKUP($Q$3,Database!$D$6:$OM$155,49,0)</f>
        <v>0</v>
      </c>
      <c r="R52" s="12">
        <f>HLOOKUP($S$2,Database!$D$6:$OM$155,49,0)</f>
        <v>0</v>
      </c>
      <c r="S52" s="26">
        <f>HLOOKUP($S$3,Database!$D$6:$OM$155,49,0)</f>
        <v>0</v>
      </c>
      <c r="T52" s="12">
        <f>HLOOKUP($U$2,Database!$D$6:$OM$155,49,0)</f>
        <v>0</v>
      </c>
      <c r="U52" s="26">
        <f>HLOOKUP($U$3,Database!$D$6:$OM$155,49,0)</f>
        <v>0</v>
      </c>
      <c r="V52" s="12">
        <f>HLOOKUP($W$2,Database!$D$6:$OM$155,49,0)</f>
        <v>0</v>
      </c>
      <c r="W52" s="26">
        <f>HLOOKUP($W$3,Database!$D$6:$OM$155,49,0)</f>
        <v>0</v>
      </c>
      <c r="Y52" s="381">
        <f t="shared" si="25"/>
        <v>34.93</v>
      </c>
      <c r="Z52" s="382">
        <f t="shared" si="26"/>
        <v>34.92</v>
      </c>
      <c r="AA52" s="382">
        <f t="shared" si="27"/>
        <v>34.93</v>
      </c>
      <c r="AB52" s="382">
        <f t="shared" si="28"/>
        <v>34.93</v>
      </c>
      <c r="AC52" s="324" t="str">
        <f t="shared" si="29"/>
        <v/>
      </c>
      <c r="AD52" s="324" t="str">
        <f t="shared" si="30"/>
        <v/>
      </c>
      <c r="AE52" s="324" t="str">
        <f t="shared" si="31"/>
        <v/>
      </c>
      <c r="AF52" s="324" t="str">
        <f t="shared" si="32"/>
        <v/>
      </c>
      <c r="AG52" s="324" t="str">
        <f t="shared" si="33"/>
        <v/>
      </c>
      <c r="AH52" s="324" t="str">
        <f t="shared" si="34"/>
        <v/>
      </c>
      <c r="AI52" s="362" t="str">
        <f t="shared" si="35"/>
        <v/>
      </c>
      <c r="AJ52" s="363" t="str">
        <f t="shared" si="36"/>
        <v/>
      </c>
      <c r="AK52" s="382">
        <f t="shared" si="37"/>
        <v>9.9999999999980105E-3</v>
      </c>
      <c r="AL52" s="382">
        <f t="shared" si="38"/>
        <v>34.92</v>
      </c>
      <c r="AM52" s="384">
        <f t="shared" si="39"/>
        <v>34.93</v>
      </c>
      <c r="AN52" s="332"/>
      <c r="AO52" s="385">
        <f t="shared" si="40"/>
        <v>34.924999999999997</v>
      </c>
      <c r="AP52" s="385">
        <f t="shared" si="41"/>
        <v>5025.5</v>
      </c>
      <c r="AQ52" s="385">
        <f t="shared" si="42"/>
        <v>34.93</v>
      </c>
      <c r="AR52" s="104">
        <f t="shared" si="43"/>
        <v>8688</v>
      </c>
      <c r="AS52" s="104">
        <f t="shared" si="44"/>
        <v>0</v>
      </c>
      <c r="AT52" s="104">
        <f t="shared" si="45"/>
        <v>0</v>
      </c>
      <c r="AU52" s="104">
        <f t="shared" si="46"/>
        <v>0</v>
      </c>
      <c r="AV52" s="104">
        <f t="shared" si="47"/>
        <v>0</v>
      </c>
      <c r="AW52" s="104">
        <f t="shared" si="48"/>
        <v>0</v>
      </c>
      <c r="AX52" s="104">
        <f t="shared" si="49"/>
        <v>0</v>
      </c>
    </row>
    <row r="53" spans="1:50" ht="18.75" customHeight="1" x14ac:dyDescent="0.4">
      <c r="A53" s="355" t="s">
        <v>331</v>
      </c>
      <c r="B53" s="358">
        <v>92</v>
      </c>
      <c r="C53" s="355" t="s">
        <v>60</v>
      </c>
      <c r="D53" s="12">
        <f>HLOOKUP($E$2,Database!$D$6:$OM$155,50,0)</f>
        <v>35.31</v>
      </c>
      <c r="E53" s="26">
        <f>HLOOKUP($E$3,Database!$D$6:$OM$155,50,0)</f>
        <v>61358</v>
      </c>
      <c r="F53" s="12">
        <f>HLOOKUP($G$2,Database!$D$6:$OM$155,50,0)</f>
        <v>35.299999999999997</v>
      </c>
      <c r="G53" s="26">
        <f>HLOOKUP($G$3,Database!$D$6:$OM$155,50,0)</f>
        <v>1482</v>
      </c>
      <c r="H53" s="12">
        <f>HLOOKUP($I$2,Database!$D$6:$OM$155,50,0)</f>
        <v>35.299999999999997</v>
      </c>
      <c r="I53" s="26">
        <f>HLOOKUP($I$3,Database!$D$6:$OM$155,50,0)</f>
        <v>4397</v>
      </c>
      <c r="J53" s="12">
        <f>HLOOKUP($K$2,Database!$D$6:$OM$155,50,0)</f>
        <v>35.299999999999997</v>
      </c>
      <c r="K53" s="26">
        <f>HLOOKUP($K$3,Database!$D$6:$OM$155,50,0)</f>
        <v>5067</v>
      </c>
      <c r="L53" s="12">
        <f>HLOOKUP($M$2,Database!$D$6:$OM$155,50,0)</f>
        <v>0</v>
      </c>
      <c r="M53" s="26">
        <f>HLOOKUP($M$3,Database!$D$6:$OM$155,50,0)</f>
        <v>0</v>
      </c>
      <c r="N53" s="12">
        <f>HLOOKUP($O$2,Database!$D$6:$OM$155,50,0)</f>
        <v>0</v>
      </c>
      <c r="O53" s="26">
        <f>HLOOKUP($O$3,Database!$D$6:$OM$155,50,0)</f>
        <v>0</v>
      </c>
      <c r="P53" s="12">
        <f>HLOOKUP($Q$2,Database!$D$6:$OM$155,50,0)</f>
        <v>0</v>
      </c>
      <c r="Q53" s="26">
        <f>HLOOKUP($Q$3,Database!$D$6:$OM$155,50,0)</f>
        <v>0</v>
      </c>
      <c r="R53" s="12">
        <f>HLOOKUP($S$2,Database!$D$6:$OM$155,50,0)</f>
        <v>0</v>
      </c>
      <c r="S53" s="26">
        <f>HLOOKUP($S$3,Database!$D$6:$OM$155,50,0)</f>
        <v>0</v>
      </c>
      <c r="T53" s="12">
        <f>HLOOKUP($U$2,Database!$D$6:$OM$155,50,0)</f>
        <v>0</v>
      </c>
      <c r="U53" s="26">
        <f>HLOOKUP($U$3,Database!$D$6:$OM$155,50,0)</f>
        <v>0</v>
      </c>
      <c r="V53" s="12">
        <f>HLOOKUP($W$2,Database!$D$6:$OM$155,50,0)</f>
        <v>0</v>
      </c>
      <c r="W53" s="26">
        <f>HLOOKUP($W$3,Database!$D$6:$OM$155,50,0)</f>
        <v>0</v>
      </c>
      <c r="X53" s="387"/>
      <c r="Y53" s="381">
        <f t="shared" si="25"/>
        <v>35.31</v>
      </c>
      <c r="Z53" s="382">
        <f t="shared" si="26"/>
        <v>35.299999999999997</v>
      </c>
      <c r="AA53" s="382">
        <f t="shared" si="27"/>
        <v>35.299999999999997</v>
      </c>
      <c r="AB53" s="382">
        <f t="shared" si="28"/>
        <v>35.299999999999997</v>
      </c>
      <c r="AC53" s="324" t="str">
        <f t="shared" si="29"/>
        <v/>
      </c>
      <c r="AD53" s="324" t="str">
        <f t="shared" si="30"/>
        <v/>
      </c>
      <c r="AE53" s="324" t="str">
        <f t="shared" si="31"/>
        <v/>
      </c>
      <c r="AF53" s="324" t="str">
        <f t="shared" si="32"/>
        <v/>
      </c>
      <c r="AG53" s="324" t="str">
        <f t="shared" si="33"/>
        <v/>
      </c>
      <c r="AH53" s="324" t="str">
        <f t="shared" si="34"/>
        <v/>
      </c>
      <c r="AI53" s="362" t="str">
        <f t="shared" si="35"/>
        <v/>
      </c>
      <c r="AJ53" s="363" t="str">
        <f t="shared" si="36"/>
        <v/>
      </c>
      <c r="AK53" s="382">
        <f t="shared" si="37"/>
        <v>1.0000000000005116E-2</v>
      </c>
      <c r="AL53" s="382">
        <f t="shared" si="38"/>
        <v>35.299999999999997</v>
      </c>
      <c r="AM53" s="384">
        <f t="shared" si="39"/>
        <v>35.31</v>
      </c>
      <c r="AN53" s="332"/>
      <c r="AO53" s="385">
        <f t="shared" si="40"/>
        <v>35.305</v>
      </c>
      <c r="AP53" s="104">
        <f t="shared" si="41"/>
        <v>31420</v>
      </c>
      <c r="AQ53" s="385">
        <f t="shared" si="42"/>
        <v>35.299999999999997</v>
      </c>
      <c r="AR53" s="104">
        <f t="shared" si="43"/>
        <v>4732</v>
      </c>
      <c r="AS53" s="104">
        <f t="shared" si="44"/>
        <v>0</v>
      </c>
      <c r="AT53" s="104">
        <f t="shared" si="45"/>
        <v>0</v>
      </c>
      <c r="AU53" s="104">
        <f t="shared" si="46"/>
        <v>0</v>
      </c>
      <c r="AV53" s="104">
        <f t="shared" si="47"/>
        <v>0</v>
      </c>
      <c r="AW53" s="104">
        <f t="shared" si="48"/>
        <v>0</v>
      </c>
      <c r="AX53" s="104">
        <f t="shared" si="49"/>
        <v>0</v>
      </c>
    </row>
    <row r="54" spans="1:50" ht="18.75" customHeight="1" x14ac:dyDescent="0.4">
      <c r="A54" s="355" t="s">
        <v>332</v>
      </c>
      <c r="B54" s="358">
        <v>216</v>
      </c>
      <c r="C54" s="355" t="s">
        <v>60</v>
      </c>
      <c r="D54" s="12">
        <f>HLOOKUP($E$2,Database!$D$6:$OM$155,51,0)</f>
        <v>35.39</v>
      </c>
      <c r="E54" s="26">
        <f>HLOOKUP($E$3,Database!$D$6:$OM$155,51,0)</f>
        <v>27340</v>
      </c>
      <c r="F54" s="12">
        <f>HLOOKUP($G$2,Database!$D$6:$OM$155,51,0)</f>
        <v>35.369999999999997</v>
      </c>
      <c r="G54" s="26">
        <f>HLOOKUP($G$3,Database!$D$6:$OM$155,51,0)</f>
        <v>8532</v>
      </c>
      <c r="H54" s="12">
        <f>HLOOKUP($I$2,Database!$D$6:$OM$155,51,0)</f>
        <v>35.380000000000003</v>
      </c>
      <c r="I54" s="26">
        <f>HLOOKUP($I$3,Database!$D$6:$OM$155,51,0)</f>
        <v>23533</v>
      </c>
      <c r="J54" s="12">
        <f>HLOOKUP($K$2,Database!$D$6:$OM$155,51,0)</f>
        <v>35.380000000000003</v>
      </c>
      <c r="K54" s="26">
        <f>HLOOKUP($K$3,Database!$D$6:$OM$155,51,0)</f>
        <v>26693</v>
      </c>
      <c r="L54" s="12">
        <f>HLOOKUP($M$2,Database!$D$6:$OM$155,51,0)</f>
        <v>0</v>
      </c>
      <c r="M54" s="26">
        <f>HLOOKUP($M$3,Database!$D$6:$OM$155,51,0)</f>
        <v>0</v>
      </c>
      <c r="N54" s="12">
        <f>HLOOKUP($O$2,Database!$D$6:$OM$155,51,0)</f>
        <v>0</v>
      </c>
      <c r="O54" s="26">
        <f>HLOOKUP($O$3,Database!$D$6:$OM$155,51,0)</f>
        <v>0</v>
      </c>
      <c r="P54" s="12">
        <f>HLOOKUP($Q$2,Database!$D$6:$OM$155,51,0)</f>
        <v>0</v>
      </c>
      <c r="Q54" s="26">
        <f>HLOOKUP($Q$3,Database!$D$6:$OM$155,51,0)</f>
        <v>0</v>
      </c>
      <c r="R54" s="12">
        <f>HLOOKUP($S$2,Database!$D$6:$OM$155,51,0)</f>
        <v>0</v>
      </c>
      <c r="S54" s="26">
        <f>HLOOKUP($S$3,Database!$D$6:$OM$155,51,0)</f>
        <v>0</v>
      </c>
      <c r="T54" s="12">
        <f>HLOOKUP($U$2,Database!$D$6:$OM$155,51,0)</f>
        <v>0</v>
      </c>
      <c r="U54" s="26">
        <f>HLOOKUP($U$3,Database!$D$6:$OM$155,51,0)</f>
        <v>0</v>
      </c>
      <c r="V54" s="12">
        <f>HLOOKUP($W$2,Database!$D$6:$OM$155,51,0)</f>
        <v>0</v>
      </c>
      <c r="W54" s="26">
        <f>HLOOKUP($W$3,Database!$D$6:$OM$155,51,0)</f>
        <v>0</v>
      </c>
      <c r="Y54" s="381">
        <f t="shared" si="25"/>
        <v>35.39</v>
      </c>
      <c r="Z54" s="382">
        <f t="shared" si="26"/>
        <v>35.369999999999997</v>
      </c>
      <c r="AA54" s="382">
        <f t="shared" si="27"/>
        <v>35.380000000000003</v>
      </c>
      <c r="AB54" s="382">
        <f t="shared" si="28"/>
        <v>35.380000000000003</v>
      </c>
      <c r="AC54" s="324" t="str">
        <f t="shared" si="29"/>
        <v/>
      </c>
      <c r="AD54" s="324" t="str">
        <f t="shared" si="30"/>
        <v/>
      </c>
      <c r="AE54" s="324" t="str">
        <f t="shared" si="31"/>
        <v/>
      </c>
      <c r="AF54" s="324" t="str">
        <f t="shared" si="32"/>
        <v/>
      </c>
      <c r="AG54" s="324" t="str">
        <f t="shared" si="33"/>
        <v/>
      </c>
      <c r="AH54" s="324" t="str">
        <f t="shared" si="34"/>
        <v/>
      </c>
      <c r="AI54" s="362" t="str">
        <f t="shared" si="35"/>
        <v/>
      </c>
      <c r="AJ54" s="363" t="str">
        <f t="shared" si="36"/>
        <v/>
      </c>
      <c r="AK54" s="382">
        <f t="shared" si="37"/>
        <v>2.0000000000003126E-2</v>
      </c>
      <c r="AL54" s="382">
        <f t="shared" si="38"/>
        <v>35.369999999999997</v>
      </c>
      <c r="AM54" s="384">
        <f t="shared" si="39"/>
        <v>35.39</v>
      </c>
      <c r="AN54" s="332"/>
      <c r="AO54" s="385">
        <f t="shared" si="40"/>
        <v>35.379999999999995</v>
      </c>
      <c r="AP54" s="104">
        <f t="shared" si="41"/>
        <v>17936</v>
      </c>
      <c r="AQ54" s="385">
        <f t="shared" si="42"/>
        <v>35.380000000000003</v>
      </c>
      <c r="AR54" s="104">
        <f t="shared" si="43"/>
        <v>25113</v>
      </c>
      <c r="AS54" s="104">
        <f t="shared" si="44"/>
        <v>0</v>
      </c>
      <c r="AT54" s="104">
        <f t="shared" si="45"/>
        <v>0</v>
      </c>
      <c r="AU54" s="104">
        <f t="shared" si="46"/>
        <v>0</v>
      </c>
      <c r="AV54" s="104">
        <f t="shared" si="47"/>
        <v>0</v>
      </c>
      <c r="AW54" s="104">
        <f t="shared" si="48"/>
        <v>0</v>
      </c>
      <c r="AX54" s="104">
        <f t="shared" si="49"/>
        <v>0</v>
      </c>
    </row>
    <row r="55" spans="1:50" ht="18.75" customHeight="1" x14ac:dyDescent="0.4">
      <c r="A55" s="355" t="s">
        <v>333</v>
      </c>
      <c r="B55" s="358">
        <v>219</v>
      </c>
      <c r="C55" s="355" t="s">
        <v>60</v>
      </c>
      <c r="D55" s="12">
        <f>HLOOKUP($E$2,Database!$D$6:$OM$155,52,0)</f>
        <v>35.54</v>
      </c>
      <c r="E55" s="26">
        <f>HLOOKUP($E$3,Database!$D$6:$OM$155,52,0)</f>
        <v>0</v>
      </c>
      <c r="F55" s="12">
        <f>HLOOKUP($G$2,Database!$D$6:$OM$155,52,0)</f>
        <v>35.51</v>
      </c>
      <c r="G55" s="26">
        <f>HLOOKUP($G$3,Database!$D$6:$OM$155,52,0)</f>
        <v>0</v>
      </c>
      <c r="H55" s="12">
        <f>HLOOKUP($I$2,Database!$D$6:$OM$155,52,0)</f>
        <v>35.520000000000003</v>
      </c>
      <c r="I55" s="26">
        <f>HLOOKUP($I$3,Database!$D$6:$OM$155,52,0)</f>
        <v>0</v>
      </c>
      <c r="J55" s="12">
        <f>HLOOKUP($K$2,Database!$D$6:$OM$155,52,0)</f>
        <v>35.51</v>
      </c>
      <c r="K55" s="26">
        <f>HLOOKUP($K$3,Database!$D$6:$OM$155,52,0)</f>
        <v>0</v>
      </c>
      <c r="L55" s="12">
        <f>HLOOKUP($M$2,Database!$D$6:$OM$155,52,0)</f>
        <v>0</v>
      </c>
      <c r="M55" s="26">
        <f>HLOOKUP($M$3,Database!$D$6:$OM$155,52,0)</f>
        <v>0</v>
      </c>
      <c r="N55" s="12">
        <f>HLOOKUP($O$2,Database!$D$6:$OM$155,52,0)</f>
        <v>0</v>
      </c>
      <c r="O55" s="26">
        <f>HLOOKUP($O$3,Database!$D$6:$OM$155,52,0)</f>
        <v>0</v>
      </c>
      <c r="P55" s="12">
        <f>HLOOKUP($Q$2,Database!$D$6:$OM$155,52,0)</f>
        <v>0</v>
      </c>
      <c r="Q55" s="26">
        <f>HLOOKUP($Q$3,Database!$D$6:$OM$155,52,0)</f>
        <v>0</v>
      </c>
      <c r="R55" s="12">
        <f>HLOOKUP($S$2,Database!$D$6:$OM$155,52,0)</f>
        <v>0</v>
      </c>
      <c r="S55" s="26">
        <f>HLOOKUP($S$3,Database!$D$6:$OM$155,52,0)</f>
        <v>0</v>
      </c>
      <c r="T55" s="12">
        <f>HLOOKUP($U$2,Database!$D$6:$OM$155,52,0)</f>
        <v>0</v>
      </c>
      <c r="U55" s="26">
        <f>HLOOKUP($U$3,Database!$D$6:$OM$155,52,0)</f>
        <v>0</v>
      </c>
      <c r="V55" s="12">
        <f>HLOOKUP($W$2,Database!$D$6:$OM$155,52,0)</f>
        <v>0</v>
      </c>
      <c r="W55" s="26">
        <f>HLOOKUP($W$3,Database!$D$6:$OM$155,52,0)</f>
        <v>0</v>
      </c>
      <c r="Y55" s="381">
        <f t="shared" si="25"/>
        <v>35.54</v>
      </c>
      <c r="Z55" s="382">
        <f t="shared" si="26"/>
        <v>35.51</v>
      </c>
      <c r="AA55" s="382">
        <f t="shared" si="27"/>
        <v>35.520000000000003</v>
      </c>
      <c r="AB55" s="382">
        <f t="shared" si="28"/>
        <v>35.51</v>
      </c>
      <c r="AC55" s="324" t="str">
        <f t="shared" si="29"/>
        <v/>
      </c>
      <c r="AD55" s="324" t="str">
        <f t="shared" si="30"/>
        <v/>
      </c>
      <c r="AE55" s="324" t="str">
        <f t="shared" si="31"/>
        <v/>
      </c>
      <c r="AF55" s="324" t="str">
        <f t="shared" si="32"/>
        <v/>
      </c>
      <c r="AG55" s="324" t="str">
        <f t="shared" si="33"/>
        <v/>
      </c>
      <c r="AH55" s="324" t="str">
        <f t="shared" si="34"/>
        <v/>
      </c>
      <c r="AI55" s="362" t="str">
        <f t="shared" si="35"/>
        <v/>
      </c>
      <c r="AJ55" s="363" t="str">
        <f t="shared" si="36"/>
        <v/>
      </c>
      <c r="AK55" s="382">
        <f t="shared" si="37"/>
        <v>3.0000000000001137E-2</v>
      </c>
      <c r="AL55" s="382">
        <f t="shared" si="38"/>
        <v>35.51</v>
      </c>
      <c r="AM55" s="384">
        <f t="shared" si="39"/>
        <v>35.54</v>
      </c>
      <c r="AN55" s="332"/>
      <c r="AO55" s="385">
        <f t="shared" si="40"/>
        <v>35.524999999999999</v>
      </c>
      <c r="AP55" s="104">
        <f t="shared" si="41"/>
        <v>0</v>
      </c>
      <c r="AQ55" s="385">
        <f t="shared" si="42"/>
        <v>35.515000000000001</v>
      </c>
      <c r="AR55" s="104">
        <f t="shared" si="43"/>
        <v>0</v>
      </c>
      <c r="AS55" s="104">
        <f t="shared" si="44"/>
        <v>0</v>
      </c>
      <c r="AT55" s="104">
        <f t="shared" si="45"/>
        <v>0</v>
      </c>
      <c r="AU55" s="104">
        <f t="shared" si="46"/>
        <v>0</v>
      </c>
      <c r="AV55" s="104">
        <f t="shared" si="47"/>
        <v>0</v>
      </c>
      <c r="AW55" s="104">
        <f t="shared" si="48"/>
        <v>0</v>
      </c>
      <c r="AX55" s="104">
        <f t="shared" si="49"/>
        <v>0</v>
      </c>
    </row>
    <row r="56" spans="1:50" ht="18.75" customHeight="1" x14ac:dyDescent="0.4">
      <c r="A56" s="355" t="s">
        <v>334</v>
      </c>
      <c r="B56" s="358">
        <v>216</v>
      </c>
      <c r="C56" s="355" t="s">
        <v>60</v>
      </c>
      <c r="D56" s="12">
        <f>HLOOKUP($E$2,Database!$D$6:$OM$155,53,0)</f>
        <v>35.75</v>
      </c>
      <c r="E56" s="26">
        <f>HLOOKUP($E$3,Database!$D$6:$OM$155,53,0)</f>
        <v>35917</v>
      </c>
      <c r="F56" s="12">
        <f>HLOOKUP($G$2,Database!$D$6:$OM$155,53,0)</f>
        <v>35.729999999999997</v>
      </c>
      <c r="G56" s="26">
        <f>HLOOKUP($G$3,Database!$D$6:$OM$155,53,0)</f>
        <v>22887</v>
      </c>
      <c r="H56" s="12">
        <f>HLOOKUP($I$2,Database!$D$6:$OM$155,53,0)</f>
        <v>35.74</v>
      </c>
      <c r="I56" s="26">
        <f>HLOOKUP($I$3,Database!$D$6:$OM$155,53,0)</f>
        <v>61353</v>
      </c>
      <c r="J56" s="12">
        <f>HLOOKUP($K$2,Database!$D$6:$OM$155,53,0)</f>
        <v>35.74</v>
      </c>
      <c r="K56" s="26">
        <f>HLOOKUP($K$3,Database!$D$6:$OM$155,53,0)</f>
        <v>67209</v>
      </c>
      <c r="L56" s="12">
        <f>HLOOKUP($M$2,Database!$D$6:$OM$155,53,0)</f>
        <v>0</v>
      </c>
      <c r="M56" s="26">
        <f>HLOOKUP($M$3,Database!$D$6:$OM$155,53,0)</f>
        <v>0</v>
      </c>
      <c r="N56" s="12">
        <f>HLOOKUP($O$2,Database!$D$6:$OM$155,53,0)</f>
        <v>0</v>
      </c>
      <c r="O56" s="26">
        <f>HLOOKUP($O$3,Database!$D$6:$OM$155,53,0)</f>
        <v>0</v>
      </c>
      <c r="P56" s="12">
        <f>HLOOKUP($Q$2,Database!$D$6:$OM$155,53,0)</f>
        <v>0</v>
      </c>
      <c r="Q56" s="26">
        <f>HLOOKUP($Q$3,Database!$D$6:$OM$155,53,0)</f>
        <v>0</v>
      </c>
      <c r="R56" s="12">
        <f>HLOOKUP($S$2,Database!$D$6:$OM$155,53,0)</f>
        <v>0</v>
      </c>
      <c r="S56" s="26">
        <f>HLOOKUP($S$3,Database!$D$6:$OM$155,53,0)</f>
        <v>0</v>
      </c>
      <c r="T56" s="12">
        <f>HLOOKUP($U$2,Database!$D$6:$OM$155,53,0)</f>
        <v>0</v>
      </c>
      <c r="U56" s="26">
        <f>HLOOKUP($U$3,Database!$D$6:$OM$155,53,0)</f>
        <v>0</v>
      </c>
      <c r="V56" s="12">
        <f>HLOOKUP($W$2,Database!$D$6:$OM$155,53,0)</f>
        <v>0</v>
      </c>
      <c r="W56" s="26">
        <f>HLOOKUP($W$3,Database!$D$6:$OM$155,53,0)</f>
        <v>0</v>
      </c>
      <c r="Y56" s="381">
        <f t="shared" si="25"/>
        <v>35.75</v>
      </c>
      <c r="Z56" s="382">
        <f t="shared" si="26"/>
        <v>35.729999999999997</v>
      </c>
      <c r="AA56" s="382">
        <f t="shared" si="27"/>
        <v>35.74</v>
      </c>
      <c r="AB56" s="382">
        <f t="shared" si="28"/>
        <v>35.74</v>
      </c>
      <c r="AC56" s="324" t="str">
        <f t="shared" si="29"/>
        <v/>
      </c>
      <c r="AD56" s="324" t="str">
        <f t="shared" si="30"/>
        <v/>
      </c>
      <c r="AE56" s="324" t="str">
        <f t="shared" si="31"/>
        <v/>
      </c>
      <c r="AF56" s="324" t="str">
        <f t="shared" si="32"/>
        <v/>
      </c>
      <c r="AG56" s="324" t="str">
        <f t="shared" si="33"/>
        <v/>
      </c>
      <c r="AH56" s="324" t="str">
        <f t="shared" si="34"/>
        <v/>
      </c>
      <c r="AI56" s="362" t="str">
        <f t="shared" si="35"/>
        <v/>
      </c>
      <c r="AJ56" s="363" t="str">
        <f t="shared" si="36"/>
        <v/>
      </c>
      <c r="AK56" s="382">
        <f t="shared" si="37"/>
        <v>2.0000000000003126E-2</v>
      </c>
      <c r="AL56" s="382">
        <f t="shared" si="38"/>
        <v>35.729999999999997</v>
      </c>
      <c r="AM56" s="384">
        <f t="shared" si="39"/>
        <v>35.75</v>
      </c>
      <c r="AN56" s="332"/>
      <c r="AO56" s="385">
        <f t="shared" si="40"/>
        <v>35.739999999999995</v>
      </c>
      <c r="AP56" s="104">
        <f t="shared" si="41"/>
        <v>29402</v>
      </c>
      <c r="AQ56" s="385">
        <f t="shared" si="42"/>
        <v>35.74</v>
      </c>
      <c r="AR56" s="104">
        <f t="shared" si="43"/>
        <v>64281</v>
      </c>
      <c r="AS56" s="104">
        <f t="shared" si="44"/>
        <v>0</v>
      </c>
      <c r="AT56" s="104">
        <f t="shared" si="45"/>
        <v>0</v>
      </c>
      <c r="AU56" s="104">
        <f t="shared" si="46"/>
        <v>0</v>
      </c>
      <c r="AV56" s="104">
        <f t="shared" si="47"/>
        <v>0</v>
      </c>
      <c r="AW56" s="104">
        <f t="shared" si="48"/>
        <v>0</v>
      </c>
      <c r="AX56" s="104">
        <f t="shared" si="49"/>
        <v>0</v>
      </c>
    </row>
    <row r="57" spans="1:50" ht="18.75" customHeight="1" x14ac:dyDescent="0.4">
      <c r="A57" s="355" t="s">
        <v>335</v>
      </c>
      <c r="B57" s="358">
        <v>216</v>
      </c>
      <c r="C57" s="355" t="s">
        <v>60</v>
      </c>
      <c r="D57" s="12">
        <f>HLOOKUP($E$2,Database!$D$6:$OM$155,54,0)</f>
        <v>36.119999999999997</v>
      </c>
      <c r="E57" s="26">
        <f>HLOOKUP($E$3,Database!$D$6:$OM$155,54,0)</f>
        <v>39619</v>
      </c>
      <c r="F57" s="12">
        <f>HLOOKUP($G$2,Database!$D$6:$OM$155,54,0)</f>
        <v>36.1</v>
      </c>
      <c r="G57" s="26">
        <f>HLOOKUP($G$3,Database!$D$6:$OM$155,54,0)</f>
        <v>25649</v>
      </c>
      <c r="H57" s="12">
        <f>HLOOKUP($I$2,Database!$D$6:$OM$155,54,0)</f>
        <v>36.11</v>
      </c>
      <c r="I57" s="26">
        <f>HLOOKUP($I$3,Database!$D$6:$OM$155,54,0)</f>
        <v>68213</v>
      </c>
      <c r="J57" s="12">
        <f>HLOOKUP($K$2,Database!$D$6:$OM$155,54,0)</f>
        <v>36.11</v>
      </c>
      <c r="K57" s="26">
        <f>HLOOKUP($K$3,Database!$D$6:$OM$155,54,0)</f>
        <v>72192</v>
      </c>
      <c r="L57" s="12">
        <f>HLOOKUP($M$2,Database!$D$6:$OM$155,54,0)</f>
        <v>0</v>
      </c>
      <c r="M57" s="26">
        <f>HLOOKUP($M$3,Database!$D$6:$OM$155,54,0)</f>
        <v>0</v>
      </c>
      <c r="N57" s="12">
        <f>HLOOKUP($O$2,Database!$D$6:$OM$155,54,0)</f>
        <v>0</v>
      </c>
      <c r="O57" s="26">
        <f>HLOOKUP($O$3,Database!$D$6:$OM$155,54,0)</f>
        <v>0</v>
      </c>
      <c r="P57" s="12">
        <f>HLOOKUP($Q$2,Database!$D$6:$OM$155,54,0)</f>
        <v>0</v>
      </c>
      <c r="Q57" s="26">
        <f>HLOOKUP($Q$3,Database!$D$6:$OM$155,54,0)</f>
        <v>0</v>
      </c>
      <c r="R57" s="12">
        <f>HLOOKUP($S$2,Database!$D$6:$OM$155,54,0)</f>
        <v>0</v>
      </c>
      <c r="S57" s="26">
        <f>HLOOKUP($S$3,Database!$D$6:$OM$155,54,0)</f>
        <v>0</v>
      </c>
      <c r="T57" s="12">
        <f>HLOOKUP($U$2,Database!$D$6:$OM$155,54,0)</f>
        <v>0</v>
      </c>
      <c r="U57" s="26">
        <f>HLOOKUP($U$3,Database!$D$6:$OM$155,54,0)</f>
        <v>0</v>
      </c>
      <c r="V57" s="12">
        <f>HLOOKUP($W$2,Database!$D$6:$OM$155,54,0)</f>
        <v>0</v>
      </c>
      <c r="W57" s="26">
        <f>HLOOKUP($W$3,Database!$D$6:$OM$155,54,0)</f>
        <v>0</v>
      </c>
      <c r="Y57" s="381">
        <f t="shared" si="25"/>
        <v>36.119999999999997</v>
      </c>
      <c r="Z57" s="382">
        <f t="shared" si="26"/>
        <v>36.1</v>
      </c>
      <c r="AA57" s="382">
        <f t="shared" si="27"/>
        <v>36.11</v>
      </c>
      <c r="AB57" s="382">
        <f t="shared" si="28"/>
        <v>36.11</v>
      </c>
      <c r="AC57" s="324" t="str">
        <f t="shared" si="29"/>
        <v/>
      </c>
      <c r="AD57" s="324" t="str">
        <f t="shared" si="30"/>
        <v/>
      </c>
      <c r="AE57" s="324" t="str">
        <f t="shared" si="31"/>
        <v/>
      </c>
      <c r="AF57" s="324" t="str">
        <f t="shared" si="32"/>
        <v/>
      </c>
      <c r="AG57" s="324" t="str">
        <f t="shared" si="33"/>
        <v/>
      </c>
      <c r="AH57" s="324" t="str">
        <f t="shared" si="34"/>
        <v/>
      </c>
      <c r="AI57" s="362" t="str">
        <f t="shared" si="35"/>
        <v/>
      </c>
      <c r="AJ57" s="363" t="str">
        <f t="shared" si="36"/>
        <v/>
      </c>
      <c r="AK57" s="382">
        <f t="shared" si="37"/>
        <v>1.9999999999996021E-2</v>
      </c>
      <c r="AL57" s="382">
        <f t="shared" si="38"/>
        <v>36.1</v>
      </c>
      <c r="AM57" s="384">
        <f t="shared" si="39"/>
        <v>36.119999999999997</v>
      </c>
      <c r="AN57" s="332"/>
      <c r="AO57" s="385">
        <f t="shared" si="40"/>
        <v>36.11</v>
      </c>
      <c r="AP57" s="104">
        <f t="shared" si="41"/>
        <v>32634</v>
      </c>
      <c r="AQ57" s="385">
        <f t="shared" si="42"/>
        <v>36.11</v>
      </c>
      <c r="AR57" s="385">
        <f t="shared" si="43"/>
        <v>70202.5</v>
      </c>
      <c r="AS57" s="104">
        <f t="shared" si="44"/>
        <v>0</v>
      </c>
      <c r="AT57" s="104">
        <f t="shared" si="45"/>
        <v>0</v>
      </c>
      <c r="AU57" s="104">
        <f t="shared" si="46"/>
        <v>0</v>
      </c>
      <c r="AV57" s="104">
        <f t="shared" si="47"/>
        <v>0</v>
      </c>
      <c r="AW57" s="104">
        <f t="shared" si="48"/>
        <v>0</v>
      </c>
      <c r="AX57" s="104">
        <f t="shared" si="49"/>
        <v>0</v>
      </c>
    </row>
    <row r="58" spans="1:50" ht="18.75" customHeight="1" x14ac:dyDescent="0.4">
      <c r="A58" s="355" t="s">
        <v>336</v>
      </c>
      <c r="B58" s="358">
        <v>216</v>
      </c>
      <c r="C58" s="355" t="s">
        <v>60</v>
      </c>
      <c r="D58" s="12">
        <f>HLOOKUP($E$2,Database!$D$6:$OM$155,55,0)</f>
        <v>36.22</v>
      </c>
      <c r="E58" s="26">
        <f>HLOOKUP($E$3,Database!$D$6:$OM$155,55,0)</f>
        <v>28156</v>
      </c>
      <c r="F58" s="12">
        <f>HLOOKUP($G$2,Database!$D$6:$OM$155,55,0)</f>
        <v>36.21</v>
      </c>
      <c r="G58" s="26">
        <f>HLOOKUP($G$3,Database!$D$6:$OM$155,55,0)</f>
        <v>21511</v>
      </c>
      <c r="H58" s="12">
        <f>HLOOKUP($I$2,Database!$D$6:$OM$155,55,0)</f>
        <v>36.21</v>
      </c>
      <c r="I58" s="26">
        <f>HLOOKUP($I$3,Database!$D$6:$OM$155,55,0)</f>
        <v>57900</v>
      </c>
      <c r="J58" s="12">
        <f>HLOOKUP($K$2,Database!$D$6:$OM$155,55,0)</f>
        <v>36.21</v>
      </c>
      <c r="K58" s="26">
        <f>HLOOKUP($K$3,Database!$D$6:$OM$155,55,0)</f>
        <v>63642</v>
      </c>
      <c r="L58" s="12">
        <f>HLOOKUP($M$2,Database!$D$6:$OM$155,55,0)</f>
        <v>0</v>
      </c>
      <c r="M58" s="26">
        <f>HLOOKUP($M$3,Database!$D$6:$OM$155,55,0)</f>
        <v>0</v>
      </c>
      <c r="N58" s="12">
        <f>HLOOKUP($O$2,Database!$D$6:$OM$155,55,0)</f>
        <v>0</v>
      </c>
      <c r="O58" s="26">
        <f>HLOOKUP($O$3,Database!$D$6:$OM$155,55,0)</f>
        <v>0</v>
      </c>
      <c r="P58" s="12">
        <f>HLOOKUP($Q$2,Database!$D$6:$OM$155,55,0)</f>
        <v>0</v>
      </c>
      <c r="Q58" s="26">
        <f>HLOOKUP($Q$3,Database!$D$6:$OM$155,55,0)</f>
        <v>0</v>
      </c>
      <c r="R58" s="12">
        <f>HLOOKUP($S$2,Database!$D$6:$OM$155,55,0)</f>
        <v>0</v>
      </c>
      <c r="S58" s="26">
        <f>HLOOKUP($S$3,Database!$D$6:$OM$155,55,0)</f>
        <v>0</v>
      </c>
      <c r="T58" s="12">
        <f>HLOOKUP($U$2,Database!$D$6:$OM$155,55,0)</f>
        <v>0</v>
      </c>
      <c r="U58" s="26">
        <f>HLOOKUP($U$3,Database!$D$6:$OM$155,55,0)</f>
        <v>0</v>
      </c>
      <c r="V58" s="12">
        <f>HLOOKUP($W$2,Database!$D$6:$OM$155,55,0)</f>
        <v>0</v>
      </c>
      <c r="W58" s="26">
        <f>HLOOKUP($W$3,Database!$D$6:$OM$155,55,0)</f>
        <v>0</v>
      </c>
      <c r="Y58" s="381">
        <f t="shared" si="25"/>
        <v>36.22</v>
      </c>
      <c r="Z58" s="382">
        <f t="shared" si="26"/>
        <v>36.21</v>
      </c>
      <c r="AA58" s="382">
        <f t="shared" si="27"/>
        <v>36.21</v>
      </c>
      <c r="AB58" s="382">
        <f t="shared" si="28"/>
        <v>36.21</v>
      </c>
      <c r="AC58" s="324" t="str">
        <f t="shared" si="29"/>
        <v/>
      </c>
      <c r="AD58" s="324" t="str">
        <f t="shared" si="30"/>
        <v/>
      </c>
      <c r="AE58" s="324" t="str">
        <f t="shared" si="31"/>
        <v/>
      </c>
      <c r="AF58" s="324" t="str">
        <f t="shared" si="32"/>
        <v/>
      </c>
      <c r="AG58" s="324" t="str">
        <f t="shared" si="33"/>
        <v/>
      </c>
      <c r="AH58" s="324" t="str">
        <f t="shared" si="34"/>
        <v/>
      </c>
      <c r="AI58" s="362" t="str">
        <f t="shared" si="35"/>
        <v/>
      </c>
      <c r="AJ58" s="363" t="str">
        <f t="shared" si="36"/>
        <v/>
      </c>
      <c r="AK58" s="382">
        <f t="shared" si="37"/>
        <v>9.9999999999980105E-3</v>
      </c>
      <c r="AL58" s="382">
        <f t="shared" si="38"/>
        <v>36.21</v>
      </c>
      <c r="AM58" s="384">
        <f t="shared" si="39"/>
        <v>36.22</v>
      </c>
      <c r="AN58" s="332"/>
      <c r="AO58" s="385">
        <f t="shared" si="40"/>
        <v>36.215000000000003</v>
      </c>
      <c r="AP58" s="385">
        <f t="shared" si="41"/>
        <v>24833.5</v>
      </c>
      <c r="AQ58" s="385">
        <f t="shared" si="42"/>
        <v>36.21</v>
      </c>
      <c r="AR58" s="104">
        <f t="shared" si="43"/>
        <v>60771</v>
      </c>
      <c r="AS58" s="104">
        <f t="shared" si="44"/>
        <v>0</v>
      </c>
      <c r="AT58" s="104">
        <f t="shared" si="45"/>
        <v>0</v>
      </c>
      <c r="AU58" s="104">
        <f t="shared" si="46"/>
        <v>0</v>
      </c>
      <c r="AV58" s="104">
        <f t="shared" si="47"/>
        <v>0</v>
      </c>
      <c r="AW58" s="104">
        <f t="shared" si="48"/>
        <v>0</v>
      </c>
      <c r="AX58" s="104">
        <f t="shared" si="49"/>
        <v>0</v>
      </c>
    </row>
    <row r="59" spans="1:50" ht="18.75" customHeight="1" x14ac:dyDescent="0.4">
      <c r="A59" s="355" t="s">
        <v>337</v>
      </c>
      <c r="B59" s="358">
        <v>191</v>
      </c>
      <c r="C59" s="355" t="s">
        <v>60</v>
      </c>
      <c r="D59" s="12">
        <f>HLOOKUP($E$2,Database!$D$6:$OM$155,56,0)</f>
        <v>36.86</v>
      </c>
      <c r="E59" s="26">
        <f>HLOOKUP($E$3,Database!$D$6:$OM$155,56,0)</f>
        <v>14544</v>
      </c>
      <c r="F59" s="12">
        <f>HLOOKUP($G$2,Database!$D$6:$OM$155,56,0)</f>
        <v>36.840000000000003</v>
      </c>
      <c r="G59" s="26">
        <f>HLOOKUP($G$3,Database!$D$6:$OM$155,56,0)</f>
        <v>6731</v>
      </c>
      <c r="H59" s="12">
        <f>HLOOKUP($I$2,Database!$D$6:$OM$155,56,0)</f>
        <v>36.85</v>
      </c>
      <c r="I59" s="26">
        <f>HLOOKUP($I$3,Database!$D$6:$OM$155,56,0)</f>
        <v>16812</v>
      </c>
      <c r="J59" s="12">
        <f>HLOOKUP($K$2,Database!$D$6:$OM$155,56,0)</f>
        <v>36.840000000000003</v>
      </c>
      <c r="K59" s="26">
        <f>HLOOKUP($K$3,Database!$D$6:$OM$155,56,0)</f>
        <v>18423</v>
      </c>
      <c r="L59" s="12">
        <f>HLOOKUP($M$2,Database!$D$6:$OM$155,56,0)</f>
        <v>0</v>
      </c>
      <c r="M59" s="26">
        <f>HLOOKUP($M$3,Database!$D$6:$OM$155,56,0)</f>
        <v>0</v>
      </c>
      <c r="N59" s="12">
        <f>HLOOKUP($O$2,Database!$D$6:$OM$155,56,0)</f>
        <v>0</v>
      </c>
      <c r="O59" s="26">
        <f>HLOOKUP($O$3,Database!$D$6:$OM$155,56,0)</f>
        <v>0</v>
      </c>
      <c r="P59" s="12">
        <f>HLOOKUP($Q$2,Database!$D$6:$OM$155,56,0)</f>
        <v>0</v>
      </c>
      <c r="Q59" s="26">
        <f>HLOOKUP($Q$3,Database!$D$6:$OM$155,56,0)</f>
        <v>0</v>
      </c>
      <c r="R59" s="12">
        <f>HLOOKUP($S$2,Database!$D$6:$OM$155,56,0)</f>
        <v>0</v>
      </c>
      <c r="S59" s="26">
        <f>HLOOKUP($S$3,Database!$D$6:$OM$155,56,0)</f>
        <v>0</v>
      </c>
      <c r="T59" s="12">
        <f>HLOOKUP($U$2,Database!$D$6:$OM$155,56,0)</f>
        <v>0</v>
      </c>
      <c r="U59" s="26">
        <f>HLOOKUP($U$3,Database!$D$6:$OM$155,56,0)</f>
        <v>0</v>
      </c>
      <c r="V59" s="12">
        <f>HLOOKUP($W$2,Database!$D$6:$OM$155,56,0)</f>
        <v>0</v>
      </c>
      <c r="W59" s="26">
        <f>HLOOKUP($W$3,Database!$D$6:$OM$155,56,0)</f>
        <v>0</v>
      </c>
      <c r="Y59" s="381">
        <f t="shared" si="25"/>
        <v>36.86</v>
      </c>
      <c r="Z59" s="382">
        <f t="shared" si="26"/>
        <v>36.840000000000003</v>
      </c>
      <c r="AA59" s="382">
        <f t="shared" si="27"/>
        <v>36.85</v>
      </c>
      <c r="AB59" s="382">
        <f t="shared" si="28"/>
        <v>36.840000000000003</v>
      </c>
      <c r="AC59" s="324" t="str">
        <f t="shared" si="29"/>
        <v/>
      </c>
      <c r="AD59" s="324" t="str">
        <f t="shared" si="30"/>
        <v/>
      </c>
      <c r="AE59" s="324" t="str">
        <f t="shared" si="31"/>
        <v/>
      </c>
      <c r="AF59" s="324" t="str">
        <f t="shared" si="32"/>
        <v/>
      </c>
      <c r="AG59" s="324" t="str">
        <f t="shared" si="33"/>
        <v/>
      </c>
      <c r="AH59" s="324" t="str">
        <f t="shared" si="34"/>
        <v/>
      </c>
      <c r="AI59" s="362" t="str">
        <f t="shared" si="35"/>
        <v/>
      </c>
      <c r="AJ59" s="363" t="str">
        <f t="shared" si="36"/>
        <v/>
      </c>
      <c r="AK59" s="382">
        <f t="shared" si="37"/>
        <v>1.9999999999996021E-2</v>
      </c>
      <c r="AL59" s="382">
        <f t="shared" si="38"/>
        <v>36.840000000000003</v>
      </c>
      <c r="AM59" s="384">
        <f t="shared" si="39"/>
        <v>36.86</v>
      </c>
      <c r="AN59" s="332"/>
      <c r="AO59" s="385">
        <f t="shared" si="40"/>
        <v>36.85</v>
      </c>
      <c r="AP59" s="385">
        <f t="shared" si="41"/>
        <v>10637.5</v>
      </c>
      <c r="AQ59" s="385">
        <f t="shared" si="42"/>
        <v>36.844999999999999</v>
      </c>
      <c r="AR59" s="385">
        <f t="shared" si="43"/>
        <v>17617.5</v>
      </c>
      <c r="AS59" s="104">
        <f t="shared" si="44"/>
        <v>0</v>
      </c>
      <c r="AT59" s="104">
        <f t="shared" si="45"/>
        <v>0</v>
      </c>
      <c r="AU59" s="104">
        <f t="shared" si="46"/>
        <v>0</v>
      </c>
      <c r="AV59" s="104">
        <f t="shared" si="47"/>
        <v>0</v>
      </c>
      <c r="AW59" s="104">
        <f t="shared" si="48"/>
        <v>0</v>
      </c>
      <c r="AX59" s="104">
        <f t="shared" si="49"/>
        <v>0</v>
      </c>
    </row>
    <row r="60" spans="1:50" ht="18.75" customHeight="1" x14ac:dyDescent="0.4">
      <c r="A60" s="355" t="s">
        <v>338</v>
      </c>
      <c r="B60" s="358">
        <v>191</v>
      </c>
      <c r="C60" s="355" t="s">
        <v>60</v>
      </c>
      <c r="D60" s="12">
        <f>HLOOKUP($E$2,Database!$D$6:$OM$155,57,0)</f>
        <v>37.67</v>
      </c>
      <c r="E60" s="26">
        <f>HLOOKUP($E$3,Database!$D$6:$OM$155,57,0)</f>
        <v>10184</v>
      </c>
      <c r="F60" s="12">
        <f>HLOOKUP($G$2,Database!$D$6:$OM$155,57,0)</f>
        <v>37.659999999999997</v>
      </c>
      <c r="G60" s="26">
        <f>HLOOKUP($G$3,Database!$D$6:$OM$155,57,0)</f>
        <v>4225</v>
      </c>
      <c r="H60" s="12">
        <f>HLOOKUP($I$2,Database!$D$6:$OM$155,57,0)</f>
        <v>37.659999999999997</v>
      </c>
      <c r="I60" s="26">
        <f>HLOOKUP($I$3,Database!$D$6:$OM$155,57,0)</f>
        <v>10721</v>
      </c>
      <c r="J60" s="12">
        <f>HLOOKUP($K$2,Database!$D$6:$OM$155,57,0)</f>
        <v>37.659999999999997</v>
      </c>
      <c r="K60" s="26">
        <f>HLOOKUP($K$3,Database!$D$6:$OM$155,57,0)</f>
        <v>11644</v>
      </c>
      <c r="L60" s="12">
        <f>HLOOKUP($M$2,Database!$D$6:$OM$155,57,0)</f>
        <v>0</v>
      </c>
      <c r="M60" s="26">
        <f>HLOOKUP($M$3,Database!$D$6:$OM$155,57,0)</f>
        <v>0</v>
      </c>
      <c r="N60" s="12">
        <f>HLOOKUP($O$2,Database!$D$6:$OM$155,57,0)</f>
        <v>0</v>
      </c>
      <c r="O60" s="26">
        <f>HLOOKUP($O$3,Database!$D$6:$OM$155,57,0)</f>
        <v>0</v>
      </c>
      <c r="P60" s="12">
        <f>HLOOKUP($Q$2,Database!$D$6:$OM$155,57,0)</f>
        <v>0</v>
      </c>
      <c r="Q60" s="26">
        <f>HLOOKUP($Q$3,Database!$D$6:$OM$155,57,0)</f>
        <v>0</v>
      </c>
      <c r="R60" s="12">
        <f>HLOOKUP($S$2,Database!$D$6:$OM$155,57,0)</f>
        <v>0</v>
      </c>
      <c r="S60" s="26">
        <f>HLOOKUP($S$3,Database!$D$6:$OM$155,57,0)</f>
        <v>0</v>
      </c>
      <c r="T60" s="12">
        <f>HLOOKUP($U$2,Database!$D$6:$OM$155,57,0)</f>
        <v>0</v>
      </c>
      <c r="U60" s="26">
        <f>HLOOKUP($U$3,Database!$D$6:$OM$155,57,0)</f>
        <v>0</v>
      </c>
      <c r="V60" s="12">
        <f>HLOOKUP($W$2,Database!$D$6:$OM$155,57,0)</f>
        <v>0</v>
      </c>
      <c r="W60" s="26">
        <f>HLOOKUP($W$3,Database!$D$6:$OM$155,57,0)</f>
        <v>0</v>
      </c>
      <c r="Y60" s="381">
        <f t="shared" si="25"/>
        <v>37.67</v>
      </c>
      <c r="Z60" s="382">
        <f t="shared" si="26"/>
        <v>37.659999999999997</v>
      </c>
      <c r="AA60" s="382">
        <f t="shared" si="27"/>
        <v>37.659999999999997</v>
      </c>
      <c r="AB60" s="382">
        <f t="shared" si="28"/>
        <v>37.659999999999997</v>
      </c>
      <c r="AC60" s="324" t="str">
        <f t="shared" si="29"/>
        <v/>
      </c>
      <c r="AD60" s="324" t="str">
        <f t="shared" si="30"/>
        <v/>
      </c>
      <c r="AE60" s="324" t="str">
        <f t="shared" si="31"/>
        <v/>
      </c>
      <c r="AF60" s="324" t="str">
        <f t="shared" si="32"/>
        <v/>
      </c>
      <c r="AG60" s="324" t="str">
        <f t="shared" si="33"/>
        <v/>
      </c>
      <c r="AH60" s="324" t="str">
        <f t="shared" si="34"/>
        <v/>
      </c>
      <c r="AI60" s="362" t="str">
        <f t="shared" si="35"/>
        <v/>
      </c>
      <c r="AJ60" s="363" t="str">
        <f t="shared" si="36"/>
        <v/>
      </c>
      <c r="AK60" s="382">
        <f t="shared" si="37"/>
        <v>1.0000000000005116E-2</v>
      </c>
      <c r="AL60" s="382">
        <f t="shared" si="38"/>
        <v>37.659999999999997</v>
      </c>
      <c r="AM60" s="384">
        <f t="shared" si="39"/>
        <v>37.67</v>
      </c>
      <c r="AN60" s="332"/>
      <c r="AO60" s="385">
        <f t="shared" si="40"/>
        <v>37.664999999999999</v>
      </c>
      <c r="AP60" s="385">
        <f t="shared" si="41"/>
        <v>7204.5</v>
      </c>
      <c r="AQ60" s="385">
        <f t="shared" si="42"/>
        <v>37.659999999999997</v>
      </c>
      <c r="AR60" s="385">
        <f t="shared" si="43"/>
        <v>11182.5</v>
      </c>
      <c r="AS60" s="104">
        <f t="shared" si="44"/>
        <v>0</v>
      </c>
      <c r="AT60" s="104">
        <f t="shared" si="45"/>
        <v>0</v>
      </c>
      <c r="AU60" s="104">
        <f t="shared" si="46"/>
        <v>0</v>
      </c>
      <c r="AV60" s="104">
        <f t="shared" si="47"/>
        <v>0</v>
      </c>
      <c r="AW60" s="104">
        <f t="shared" si="48"/>
        <v>0</v>
      </c>
      <c r="AX60" s="104">
        <f t="shared" si="49"/>
        <v>0</v>
      </c>
    </row>
    <row r="61" spans="1:50" ht="18.75" customHeight="1" x14ac:dyDescent="0.4">
      <c r="A61" s="355" t="s">
        <v>339</v>
      </c>
      <c r="B61" s="358">
        <v>92</v>
      </c>
      <c r="C61" s="355" t="s">
        <v>60</v>
      </c>
      <c r="D61" s="12">
        <f>HLOOKUP($E$2,Database!$D$6:$OM$155,58,0)</f>
        <v>38.47</v>
      </c>
      <c r="E61" s="26">
        <f>HLOOKUP($E$3,Database!$D$6:$OM$155,58,0)</f>
        <v>8792</v>
      </c>
      <c r="F61" s="12">
        <f>HLOOKUP($G$2,Database!$D$6:$OM$155,58,0)</f>
        <v>38.46</v>
      </c>
      <c r="G61" s="26">
        <f>HLOOKUP($G$3,Database!$D$6:$OM$155,58,0)</f>
        <v>872</v>
      </c>
      <c r="H61" s="12">
        <f>HLOOKUP($I$2,Database!$D$6:$OM$155,58,0)</f>
        <v>38.46</v>
      </c>
      <c r="I61" s="26">
        <f>HLOOKUP($I$3,Database!$D$6:$OM$155,58,0)</f>
        <v>2586</v>
      </c>
      <c r="J61" s="12">
        <f>HLOOKUP($K$2,Database!$D$6:$OM$155,58,0)</f>
        <v>38.450000000000003</v>
      </c>
      <c r="K61" s="26">
        <f>HLOOKUP($K$3,Database!$D$6:$OM$155,58,0)</f>
        <v>3011</v>
      </c>
      <c r="L61" s="12">
        <f>HLOOKUP($M$2,Database!$D$6:$OM$155,58,0)</f>
        <v>0</v>
      </c>
      <c r="M61" s="26">
        <f>HLOOKUP($M$3,Database!$D$6:$OM$155,58,0)</f>
        <v>0</v>
      </c>
      <c r="N61" s="12">
        <f>HLOOKUP($O$2,Database!$D$6:$OM$155,58,0)</f>
        <v>0</v>
      </c>
      <c r="O61" s="26">
        <f>HLOOKUP($O$3,Database!$D$6:$OM$155,58,0)</f>
        <v>0</v>
      </c>
      <c r="P61" s="12">
        <f>HLOOKUP($Q$2,Database!$D$6:$OM$155,58,0)</f>
        <v>0</v>
      </c>
      <c r="Q61" s="26">
        <f>HLOOKUP($Q$3,Database!$D$6:$OM$155,58,0)</f>
        <v>0</v>
      </c>
      <c r="R61" s="12">
        <f>HLOOKUP($S$2,Database!$D$6:$OM$155,58,0)</f>
        <v>0</v>
      </c>
      <c r="S61" s="26">
        <f>HLOOKUP($S$3,Database!$D$6:$OM$155,58,0)</f>
        <v>0</v>
      </c>
      <c r="T61" s="12">
        <f>HLOOKUP($U$2,Database!$D$6:$OM$155,58,0)</f>
        <v>0</v>
      </c>
      <c r="U61" s="26">
        <f>HLOOKUP($U$3,Database!$D$6:$OM$155,58,0)</f>
        <v>0</v>
      </c>
      <c r="V61" s="12">
        <f>HLOOKUP($W$2,Database!$D$6:$OM$155,58,0)</f>
        <v>0</v>
      </c>
      <c r="W61" s="26">
        <f>HLOOKUP($W$3,Database!$D$6:$OM$155,58,0)</f>
        <v>0</v>
      </c>
      <c r="Y61" s="381">
        <f t="shared" si="25"/>
        <v>38.47</v>
      </c>
      <c r="Z61" s="382">
        <f t="shared" si="26"/>
        <v>38.46</v>
      </c>
      <c r="AA61" s="382">
        <f t="shared" si="27"/>
        <v>38.46</v>
      </c>
      <c r="AB61" s="382">
        <f t="shared" si="28"/>
        <v>38.450000000000003</v>
      </c>
      <c r="AC61" s="324" t="str">
        <f t="shared" si="29"/>
        <v/>
      </c>
      <c r="AD61" s="324" t="str">
        <f t="shared" si="30"/>
        <v/>
      </c>
      <c r="AE61" s="324" t="str">
        <f t="shared" si="31"/>
        <v/>
      </c>
      <c r="AF61" s="324" t="str">
        <f t="shared" si="32"/>
        <v/>
      </c>
      <c r="AG61" s="324" t="str">
        <f t="shared" si="33"/>
        <v/>
      </c>
      <c r="AH61" s="324" t="str">
        <f t="shared" si="34"/>
        <v/>
      </c>
      <c r="AI61" s="362" t="str">
        <f t="shared" si="35"/>
        <v/>
      </c>
      <c r="AJ61" s="363" t="str">
        <f t="shared" si="36"/>
        <v/>
      </c>
      <c r="AK61" s="382">
        <f t="shared" si="37"/>
        <v>1.9999999999996021E-2</v>
      </c>
      <c r="AL61" s="382">
        <f t="shared" si="38"/>
        <v>38.450000000000003</v>
      </c>
      <c r="AM61" s="384">
        <f t="shared" si="39"/>
        <v>38.47</v>
      </c>
      <c r="AN61" s="332"/>
      <c r="AO61" s="385">
        <f t="shared" si="40"/>
        <v>38.465000000000003</v>
      </c>
      <c r="AP61" s="104">
        <f t="shared" si="41"/>
        <v>4832</v>
      </c>
      <c r="AQ61" s="385">
        <f t="shared" si="42"/>
        <v>38.454999999999998</v>
      </c>
      <c r="AR61" s="385">
        <f t="shared" si="43"/>
        <v>2798.5</v>
      </c>
      <c r="AS61" s="104">
        <f t="shared" si="44"/>
        <v>0</v>
      </c>
      <c r="AT61" s="104">
        <f t="shared" si="45"/>
        <v>0</v>
      </c>
      <c r="AU61" s="104">
        <f t="shared" si="46"/>
        <v>0</v>
      </c>
      <c r="AV61" s="104">
        <f t="shared" si="47"/>
        <v>0</v>
      </c>
      <c r="AW61" s="104">
        <f t="shared" si="48"/>
        <v>0</v>
      </c>
      <c r="AX61" s="104">
        <f t="shared" si="49"/>
        <v>0</v>
      </c>
    </row>
    <row r="62" spans="1:50" ht="18.75" customHeight="1" x14ac:dyDescent="0.4">
      <c r="A62" s="355" t="s">
        <v>340</v>
      </c>
      <c r="B62" s="358">
        <v>218</v>
      </c>
      <c r="C62" s="355" t="s">
        <v>60</v>
      </c>
      <c r="D62" s="12">
        <f>HLOOKUP($E$2,Database!$D$6:$OM$155,59,0)</f>
        <v>43.98</v>
      </c>
      <c r="E62" s="26">
        <f>HLOOKUP($E$3,Database!$D$6:$OM$155,59,0)</f>
        <v>15515</v>
      </c>
      <c r="F62" s="12">
        <f>HLOOKUP($G$2,Database!$D$6:$OM$155,59,0)</f>
        <v>43.96</v>
      </c>
      <c r="G62" s="26">
        <f>HLOOKUP($G$3,Database!$D$6:$OM$155,59,0)</f>
        <v>5440</v>
      </c>
      <c r="H62" s="12">
        <f>HLOOKUP($I$2,Database!$D$6:$OM$155,59,0)</f>
        <v>43.96</v>
      </c>
      <c r="I62" s="26">
        <f>HLOOKUP($I$3,Database!$D$6:$OM$155,59,0)</f>
        <v>14468</v>
      </c>
      <c r="J62" s="12">
        <f>HLOOKUP($K$2,Database!$D$6:$OM$155,59,0)</f>
        <v>43.96</v>
      </c>
      <c r="K62" s="26">
        <f>HLOOKUP($K$3,Database!$D$6:$OM$155,59,0)</f>
        <v>16089</v>
      </c>
      <c r="L62" s="12">
        <f>HLOOKUP($M$2,Database!$D$6:$OM$155,59,0)</f>
        <v>0</v>
      </c>
      <c r="M62" s="26">
        <f>HLOOKUP($M$3,Database!$D$6:$OM$155,59,0)</f>
        <v>0</v>
      </c>
      <c r="N62" s="12">
        <f>HLOOKUP($O$2,Database!$D$6:$OM$155,59,0)</f>
        <v>0</v>
      </c>
      <c r="O62" s="26">
        <f>HLOOKUP($O$3,Database!$D$6:$OM$155,59,0)</f>
        <v>0</v>
      </c>
      <c r="P62" s="12">
        <f>HLOOKUP($Q$2,Database!$D$6:$OM$155,59,0)</f>
        <v>0</v>
      </c>
      <c r="Q62" s="26">
        <f>HLOOKUP($Q$3,Database!$D$6:$OM$155,59,0)</f>
        <v>0</v>
      </c>
      <c r="R62" s="12">
        <f>HLOOKUP($S$2,Database!$D$6:$OM$155,59,0)</f>
        <v>0</v>
      </c>
      <c r="S62" s="26">
        <f>HLOOKUP($S$3,Database!$D$6:$OM$155,59,0)</f>
        <v>0</v>
      </c>
      <c r="T62" s="12">
        <f>HLOOKUP($U$2,Database!$D$6:$OM$155,59,0)</f>
        <v>0</v>
      </c>
      <c r="U62" s="26">
        <f>HLOOKUP($U$3,Database!$D$6:$OM$155,59,0)</f>
        <v>0</v>
      </c>
      <c r="V62" s="12">
        <f>HLOOKUP($W$2,Database!$D$6:$OM$155,59,0)</f>
        <v>0</v>
      </c>
      <c r="W62" s="26">
        <f>HLOOKUP($W$3,Database!$D$6:$OM$155,59,0)</f>
        <v>0</v>
      </c>
      <c r="Y62" s="381">
        <f t="shared" si="25"/>
        <v>43.98</v>
      </c>
      <c r="Z62" s="382">
        <f t="shared" si="26"/>
        <v>43.96</v>
      </c>
      <c r="AA62" s="382">
        <f t="shared" si="27"/>
        <v>43.96</v>
      </c>
      <c r="AB62" s="382">
        <f t="shared" si="28"/>
        <v>43.96</v>
      </c>
      <c r="AC62" s="324" t="str">
        <f t="shared" si="29"/>
        <v/>
      </c>
      <c r="AD62" s="324" t="str">
        <f t="shared" si="30"/>
        <v/>
      </c>
      <c r="AE62" s="324" t="str">
        <f t="shared" si="31"/>
        <v/>
      </c>
      <c r="AF62" s="324" t="str">
        <f t="shared" si="32"/>
        <v/>
      </c>
      <c r="AG62" s="324" t="str">
        <f t="shared" si="33"/>
        <v/>
      </c>
      <c r="AH62" s="324" t="str">
        <f t="shared" si="34"/>
        <v/>
      </c>
      <c r="AI62" s="362" t="str">
        <f t="shared" si="35"/>
        <v/>
      </c>
      <c r="AJ62" s="363" t="str">
        <f t="shared" si="36"/>
        <v/>
      </c>
      <c r="AK62" s="382">
        <f t="shared" si="37"/>
        <v>1.9999999999996021E-2</v>
      </c>
      <c r="AL62" s="382">
        <f t="shared" si="38"/>
        <v>43.96</v>
      </c>
      <c r="AM62" s="384">
        <f t="shared" si="39"/>
        <v>43.98</v>
      </c>
      <c r="AN62" s="332"/>
      <c r="AO62" s="385">
        <f t="shared" si="40"/>
        <v>43.97</v>
      </c>
      <c r="AP62" s="385">
        <f t="shared" si="41"/>
        <v>10477.5</v>
      </c>
      <c r="AQ62" s="385">
        <f t="shared" si="42"/>
        <v>43.96</v>
      </c>
      <c r="AR62" s="385">
        <f t="shared" si="43"/>
        <v>15278.5</v>
      </c>
      <c r="AS62" s="104">
        <f t="shared" si="44"/>
        <v>0</v>
      </c>
      <c r="AT62" s="104">
        <f t="shared" si="45"/>
        <v>0</v>
      </c>
      <c r="AU62" s="104">
        <f t="shared" si="46"/>
        <v>0</v>
      </c>
      <c r="AV62" s="104">
        <f t="shared" si="47"/>
        <v>0</v>
      </c>
      <c r="AW62" s="104">
        <f t="shared" si="48"/>
        <v>0</v>
      </c>
      <c r="AX62" s="104">
        <f t="shared" si="49"/>
        <v>0</v>
      </c>
    </row>
    <row r="63" spans="1:50" ht="18.75" customHeight="1" x14ac:dyDescent="0.4">
      <c r="A63" s="355" t="s">
        <v>341</v>
      </c>
      <c r="B63" s="358">
        <v>191</v>
      </c>
      <c r="C63" s="355" t="s">
        <v>60</v>
      </c>
      <c r="D63" s="12">
        <f>HLOOKUP($E$2,Database!$D$6:$OM$155,60,0)</f>
        <v>44.67</v>
      </c>
      <c r="E63" s="26">
        <f>HLOOKUP($E$3,Database!$D$6:$OM$155,60,0)</f>
        <v>24582</v>
      </c>
      <c r="F63" s="12">
        <f>HLOOKUP($G$2,Database!$D$6:$OM$155,60,0)</f>
        <v>44.65</v>
      </c>
      <c r="G63" s="26">
        <f>HLOOKUP($G$3,Database!$D$6:$OM$155,60,0)</f>
        <v>12342</v>
      </c>
      <c r="H63" s="12">
        <f>HLOOKUP($I$2,Database!$D$6:$OM$155,60,0)</f>
        <v>44.66</v>
      </c>
      <c r="I63" s="26">
        <f>HLOOKUP($I$3,Database!$D$6:$OM$155,60,0)</f>
        <v>32001</v>
      </c>
      <c r="J63" s="12">
        <f>HLOOKUP($K$2,Database!$D$6:$OM$155,60,0)</f>
        <v>44.66</v>
      </c>
      <c r="K63" s="26">
        <f>HLOOKUP($K$3,Database!$D$6:$OM$155,60,0)</f>
        <v>33622</v>
      </c>
      <c r="L63" s="12">
        <f>HLOOKUP($M$2,Database!$D$6:$OM$155,60,0)</f>
        <v>0</v>
      </c>
      <c r="M63" s="26">
        <f>HLOOKUP($M$3,Database!$D$6:$OM$155,60,0)</f>
        <v>0</v>
      </c>
      <c r="N63" s="12">
        <f>HLOOKUP($O$2,Database!$D$6:$OM$155,60,0)</f>
        <v>0</v>
      </c>
      <c r="O63" s="26">
        <f>HLOOKUP($O$3,Database!$D$6:$OM$155,60,0)</f>
        <v>0</v>
      </c>
      <c r="P63" s="12">
        <f>HLOOKUP($Q$2,Database!$D$6:$OM$155,60,0)</f>
        <v>0</v>
      </c>
      <c r="Q63" s="26">
        <f>HLOOKUP($Q$3,Database!$D$6:$OM$155,60,0)</f>
        <v>0</v>
      </c>
      <c r="R63" s="12">
        <f>HLOOKUP($S$2,Database!$D$6:$OM$155,60,0)</f>
        <v>0</v>
      </c>
      <c r="S63" s="26">
        <f>HLOOKUP($S$3,Database!$D$6:$OM$155,60,0)</f>
        <v>0</v>
      </c>
      <c r="T63" s="12">
        <f>HLOOKUP($U$2,Database!$D$6:$OM$155,60,0)</f>
        <v>0</v>
      </c>
      <c r="U63" s="26">
        <f>HLOOKUP($U$3,Database!$D$6:$OM$155,60,0)</f>
        <v>0</v>
      </c>
      <c r="V63" s="12">
        <f>HLOOKUP($W$2,Database!$D$6:$OM$155,60,0)</f>
        <v>0</v>
      </c>
      <c r="W63" s="26">
        <f>HLOOKUP($W$3,Database!$D$6:$OM$155,60,0)</f>
        <v>0</v>
      </c>
      <c r="Y63" s="381">
        <f t="shared" si="25"/>
        <v>44.67</v>
      </c>
      <c r="Z63" s="382">
        <f t="shared" si="26"/>
        <v>44.65</v>
      </c>
      <c r="AA63" s="382">
        <f t="shared" si="27"/>
        <v>44.66</v>
      </c>
      <c r="AB63" s="382">
        <f t="shared" si="28"/>
        <v>44.66</v>
      </c>
      <c r="AC63" s="324" t="str">
        <f t="shared" si="29"/>
        <v/>
      </c>
      <c r="AD63" s="324" t="str">
        <f t="shared" si="30"/>
        <v/>
      </c>
      <c r="AE63" s="324" t="str">
        <f t="shared" si="31"/>
        <v/>
      </c>
      <c r="AF63" s="324" t="str">
        <f t="shared" si="32"/>
        <v/>
      </c>
      <c r="AG63" s="324" t="str">
        <f t="shared" si="33"/>
        <v/>
      </c>
      <c r="AH63" s="324" t="str">
        <f t="shared" si="34"/>
        <v/>
      </c>
      <c r="AI63" s="362" t="str">
        <f t="shared" si="35"/>
        <v/>
      </c>
      <c r="AJ63" s="363" t="str">
        <f t="shared" si="36"/>
        <v/>
      </c>
      <c r="AK63" s="382">
        <f t="shared" si="37"/>
        <v>2.0000000000003126E-2</v>
      </c>
      <c r="AL63" s="382">
        <f t="shared" si="38"/>
        <v>44.65</v>
      </c>
      <c r="AM63" s="384">
        <f t="shared" si="39"/>
        <v>44.67</v>
      </c>
      <c r="AN63" s="332"/>
      <c r="AO63" s="385">
        <f t="shared" si="40"/>
        <v>44.66</v>
      </c>
      <c r="AP63" s="104">
        <f t="shared" si="41"/>
        <v>18462</v>
      </c>
      <c r="AQ63" s="385">
        <f t="shared" si="42"/>
        <v>44.66</v>
      </c>
      <c r="AR63" s="385">
        <f t="shared" si="43"/>
        <v>32811.5</v>
      </c>
      <c r="AS63" s="104">
        <f t="shared" si="44"/>
        <v>0</v>
      </c>
      <c r="AT63" s="104">
        <f t="shared" si="45"/>
        <v>0</v>
      </c>
      <c r="AU63" s="104">
        <f t="shared" si="46"/>
        <v>0</v>
      </c>
      <c r="AV63" s="104">
        <f t="shared" si="47"/>
        <v>0</v>
      </c>
      <c r="AW63" s="104">
        <f t="shared" si="48"/>
        <v>0</v>
      </c>
      <c r="AX63" s="104">
        <f t="shared" si="49"/>
        <v>0</v>
      </c>
    </row>
    <row r="64" spans="1:50" ht="18.75" customHeight="1" x14ac:dyDescent="0.4">
      <c r="A64" s="355" t="s">
        <v>342</v>
      </c>
      <c r="B64" s="358">
        <v>231</v>
      </c>
      <c r="C64" s="355" t="s">
        <v>60</v>
      </c>
      <c r="D64" s="12">
        <f>HLOOKUP($E$2,Database!$D$6:$OM$155,61,0)</f>
        <v>45.14</v>
      </c>
      <c r="E64" s="26">
        <f>HLOOKUP($E$3,Database!$D$6:$OM$155,61,0)</f>
        <v>14931</v>
      </c>
      <c r="F64" s="12">
        <f>HLOOKUP($G$2,Database!$D$6:$OM$155,61,0)</f>
        <v>45.12</v>
      </c>
      <c r="G64" s="26">
        <f>HLOOKUP($G$3,Database!$D$6:$OM$155,61,0)</f>
        <v>0</v>
      </c>
      <c r="H64" s="12">
        <f>HLOOKUP($I$2,Database!$D$6:$OM$155,61,0)</f>
        <v>45.13</v>
      </c>
      <c r="I64" s="26">
        <f>HLOOKUP($I$3,Database!$D$6:$OM$155,61,0)</f>
        <v>0</v>
      </c>
      <c r="J64" s="12">
        <f>HLOOKUP($K$2,Database!$D$6:$OM$155,61,0)</f>
        <v>45.13</v>
      </c>
      <c r="K64" s="26">
        <f>HLOOKUP($K$3,Database!$D$6:$OM$155,61,0)</f>
        <v>0</v>
      </c>
      <c r="L64" s="12">
        <f>HLOOKUP($M$2,Database!$D$6:$OM$155,61,0)</f>
        <v>0</v>
      </c>
      <c r="M64" s="26">
        <f>HLOOKUP($M$3,Database!$D$6:$OM$155,61,0)</f>
        <v>0</v>
      </c>
      <c r="N64" s="12">
        <f>HLOOKUP($O$2,Database!$D$6:$OM$155,61,0)</f>
        <v>0</v>
      </c>
      <c r="O64" s="26">
        <f>HLOOKUP($O$3,Database!$D$6:$OM$155,61,0)</f>
        <v>0</v>
      </c>
      <c r="P64" s="12">
        <f>HLOOKUP($Q$2,Database!$D$6:$OM$155,61,0)</f>
        <v>0</v>
      </c>
      <c r="Q64" s="26">
        <f>HLOOKUP($Q$3,Database!$D$6:$OM$155,61,0)</f>
        <v>0</v>
      </c>
      <c r="R64" s="12">
        <f>HLOOKUP($S$2,Database!$D$6:$OM$155,61,0)</f>
        <v>0</v>
      </c>
      <c r="S64" s="26">
        <f>HLOOKUP($S$3,Database!$D$6:$OM$155,61,0)</f>
        <v>0</v>
      </c>
      <c r="T64" s="12">
        <f>HLOOKUP($U$2,Database!$D$6:$OM$155,61,0)</f>
        <v>0</v>
      </c>
      <c r="U64" s="26">
        <f>HLOOKUP($U$3,Database!$D$6:$OM$155,61,0)</f>
        <v>0</v>
      </c>
      <c r="V64" s="12">
        <f>HLOOKUP($W$2,Database!$D$6:$OM$155,61,0)</f>
        <v>0</v>
      </c>
      <c r="W64" s="26">
        <f>HLOOKUP($W$3,Database!$D$6:$OM$155,61,0)</f>
        <v>0</v>
      </c>
      <c r="Y64" s="381">
        <f t="shared" si="25"/>
        <v>45.14</v>
      </c>
      <c r="Z64" s="382">
        <f t="shared" si="26"/>
        <v>45.12</v>
      </c>
      <c r="AA64" s="382">
        <f t="shared" si="27"/>
        <v>45.13</v>
      </c>
      <c r="AB64" s="382">
        <f t="shared" si="28"/>
        <v>45.13</v>
      </c>
      <c r="AC64" s="324" t="str">
        <f t="shared" si="29"/>
        <v/>
      </c>
      <c r="AD64" s="324" t="str">
        <f t="shared" si="30"/>
        <v/>
      </c>
      <c r="AE64" s="324" t="str">
        <f t="shared" si="31"/>
        <v/>
      </c>
      <c r="AF64" s="324" t="str">
        <f t="shared" si="32"/>
        <v/>
      </c>
      <c r="AG64" s="324" t="str">
        <f t="shared" si="33"/>
        <v/>
      </c>
      <c r="AH64" s="324" t="str">
        <f t="shared" si="34"/>
        <v/>
      </c>
      <c r="AI64" s="362" t="str">
        <f t="shared" si="35"/>
        <v/>
      </c>
      <c r="AJ64" s="363" t="str">
        <f t="shared" si="36"/>
        <v/>
      </c>
      <c r="AK64" s="382">
        <f t="shared" si="37"/>
        <v>2.0000000000003126E-2</v>
      </c>
      <c r="AL64" s="382">
        <f t="shared" si="38"/>
        <v>45.12</v>
      </c>
      <c r="AM64" s="384">
        <f t="shared" si="39"/>
        <v>45.14</v>
      </c>
      <c r="AN64" s="332"/>
      <c r="AO64" s="385">
        <f t="shared" si="40"/>
        <v>45.129999999999995</v>
      </c>
      <c r="AP64" s="385">
        <f t="shared" si="41"/>
        <v>7465.5</v>
      </c>
      <c r="AQ64" s="385">
        <f t="shared" si="42"/>
        <v>45.13</v>
      </c>
      <c r="AR64" s="104">
        <f t="shared" si="43"/>
        <v>0</v>
      </c>
      <c r="AS64" s="104">
        <f t="shared" si="44"/>
        <v>0</v>
      </c>
      <c r="AT64" s="104">
        <f t="shared" si="45"/>
        <v>0</v>
      </c>
      <c r="AU64" s="104">
        <f t="shared" si="46"/>
        <v>0</v>
      </c>
      <c r="AV64" s="104">
        <f t="shared" si="47"/>
        <v>0</v>
      </c>
      <c r="AW64" s="104">
        <f t="shared" si="48"/>
        <v>0</v>
      </c>
      <c r="AX64" s="104">
        <f t="shared" si="49"/>
        <v>0</v>
      </c>
    </row>
    <row r="65" spans="1:50" ht="18.75" customHeight="1" x14ac:dyDescent="0.4">
      <c r="A65" s="338" t="s">
        <v>343</v>
      </c>
      <c r="B65" s="358">
        <v>191</v>
      </c>
      <c r="C65" s="355" t="s">
        <v>60</v>
      </c>
      <c r="D65" s="12">
        <f>HLOOKUP($E$2,Database!$D$6:$OM$155,62,0)</f>
        <v>45.15</v>
      </c>
      <c r="E65" s="26">
        <f>HLOOKUP($E$3,Database!$D$6:$OM$155,62,0)</f>
        <v>31738</v>
      </c>
      <c r="F65" s="12">
        <f>HLOOKUP($G$2,Database!$D$6:$OM$155,62,0)</f>
        <v>45.14</v>
      </c>
      <c r="G65" s="26">
        <f>HLOOKUP($G$3,Database!$D$6:$OM$155,62,0)</f>
        <v>9245</v>
      </c>
      <c r="H65" s="12">
        <f>HLOOKUP($I$2,Database!$D$6:$OM$155,62,0)</f>
        <v>45.14</v>
      </c>
      <c r="I65" s="26">
        <f>HLOOKUP($I$3,Database!$D$6:$OM$155,62,0)</f>
        <v>24025</v>
      </c>
      <c r="J65" s="12">
        <f>HLOOKUP($K$2,Database!$D$6:$OM$155,62,0)</f>
        <v>45.14</v>
      </c>
      <c r="K65" s="26">
        <f>HLOOKUP($K$3,Database!$D$6:$OM$155,62,0)</f>
        <v>27059</v>
      </c>
      <c r="L65" s="12">
        <f>HLOOKUP($M$2,Database!$D$6:$OM$155,62,0)</f>
        <v>0</v>
      </c>
      <c r="M65" s="26">
        <f>HLOOKUP($M$3,Database!$D$6:$OM$155,62,0)</f>
        <v>0</v>
      </c>
      <c r="N65" s="12">
        <f>HLOOKUP($O$2,Database!$D$6:$OM$155,62,0)</f>
        <v>0</v>
      </c>
      <c r="O65" s="26">
        <f>HLOOKUP($O$3,Database!$D$6:$OM$155,62,0)</f>
        <v>0</v>
      </c>
      <c r="P65" s="12">
        <f>HLOOKUP($Q$2,Database!$D$6:$OM$155,62,0)</f>
        <v>0</v>
      </c>
      <c r="Q65" s="26">
        <f>HLOOKUP($Q$3,Database!$D$6:$OM$155,62,0)</f>
        <v>0</v>
      </c>
      <c r="R65" s="12">
        <f>HLOOKUP($S$2,Database!$D$6:$OM$155,62,0)</f>
        <v>0</v>
      </c>
      <c r="S65" s="26">
        <f>HLOOKUP($S$3,Database!$D$6:$OM$155,62,0)</f>
        <v>0</v>
      </c>
      <c r="T65" s="12">
        <f>HLOOKUP($U$2,Database!$D$6:$OM$155,62,0)</f>
        <v>0</v>
      </c>
      <c r="U65" s="26">
        <f>HLOOKUP($U$3,Database!$D$6:$OM$155,62,0)</f>
        <v>0</v>
      </c>
      <c r="V65" s="12">
        <f>HLOOKUP($W$2,Database!$D$6:$OM$155,62,0)</f>
        <v>0</v>
      </c>
      <c r="W65" s="26">
        <f>HLOOKUP($W$3,Database!$D$6:$OM$155,62,0)</f>
        <v>0</v>
      </c>
      <c r="Y65" s="381">
        <f t="shared" si="25"/>
        <v>45.15</v>
      </c>
      <c r="Z65" s="382">
        <f t="shared" si="26"/>
        <v>45.14</v>
      </c>
      <c r="AA65" s="382">
        <f t="shared" si="27"/>
        <v>45.14</v>
      </c>
      <c r="AB65" s="382">
        <f t="shared" si="28"/>
        <v>45.14</v>
      </c>
      <c r="AC65" s="324" t="str">
        <f t="shared" si="29"/>
        <v/>
      </c>
      <c r="AD65" s="324" t="str">
        <f t="shared" si="30"/>
        <v/>
      </c>
      <c r="AE65" s="324" t="str">
        <f t="shared" si="31"/>
        <v/>
      </c>
      <c r="AF65" s="324" t="str">
        <f t="shared" si="32"/>
        <v/>
      </c>
      <c r="AG65" s="324" t="str">
        <f t="shared" si="33"/>
        <v/>
      </c>
      <c r="AH65" s="324" t="str">
        <f t="shared" si="34"/>
        <v/>
      </c>
      <c r="AI65" s="362" t="str">
        <f t="shared" si="35"/>
        <v/>
      </c>
      <c r="AJ65" s="363" t="str">
        <f t="shared" si="36"/>
        <v/>
      </c>
      <c r="AK65" s="382">
        <f t="shared" si="37"/>
        <v>9.9999999999980105E-3</v>
      </c>
      <c r="AL65" s="382">
        <f t="shared" si="38"/>
        <v>45.14</v>
      </c>
      <c r="AM65" s="384">
        <f t="shared" si="39"/>
        <v>45.15</v>
      </c>
      <c r="AN65" s="332"/>
      <c r="AO65" s="385">
        <f t="shared" si="40"/>
        <v>45.144999999999996</v>
      </c>
      <c r="AP65" s="385">
        <f t="shared" si="41"/>
        <v>20491.5</v>
      </c>
      <c r="AQ65" s="385">
        <f t="shared" si="42"/>
        <v>45.14</v>
      </c>
      <c r="AR65" s="104">
        <f t="shared" si="43"/>
        <v>25542</v>
      </c>
      <c r="AS65" s="104">
        <f t="shared" si="44"/>
        <v>0</v>
      </c>
      <c r="AT65" s="104">
        <f t="shared" si="45"/>
        <v>0</v>
      </c>
      <c r="AU65" s="104">
        <f t="shared" si="46"/>
        <v>0</v>
      </c>
      <c r="AV65" s="104">
        <f t="shared" si="47"/>
        <v>0</v>
      </c>
      <c r="AW65" s="104">
        <f t="shared" si="48"/>
        <v>0</v>
      </c>
      <c r="AX65" s="104">
        <f t="shared" si="49"/>
        <v>0</v>
      </c>
    </row>
    <row r="66" spans="1:50" ht="18.75" customHeight="1" x14ac:dyDescent="0.4">
      <c r="A66" s="355" t="s">
        <v>344</v>
      </c>
      <c r="B66" s="358">
        <v>231</v>
      </c>
      <c r="C66" s="355" t="s">
        <v>60</v>
      </c>
      <c r="D66" s="12">
        <f>HLOOKUP($E$2,Database!$D$6:$OM$155,63,0)</f>
        <v>46.01</v>
      </c>
      <c r="E66" s="26">
        <f>HLOOKUP($E$3,Database!$D$6:$OM$155,63,0)</f>
        <v>45678</v>
      </c>
      <c r="F66" s="12">
        <f>HLOOKUP($G$2,Database!$D$6:$OM$155,63,0)</f>
        <v>46</v>
      </c>
      <c r="G66" s="26">
        <f>HLOOKUP($G$3,Database!$D$6:$OM$155,63,0)</f>
        <v>7157</v>
      </c>
      <c r="H66" s="12">
        <f>HLOOKUP($I$2,Database!$D$6:$OM$155,63,0)</f>
        <v>46</v>
      </c>
      <c r="I66" s="26">
        <f>HLOOKUP($I$3,Database!$D$6:$OM$155,63,0)</f>
        <v>21171</v>
      </c>
      <c r="J66" s="12">
        <f>HLOOKUP($K$2,Database!$D$6:$OM$155,63,0)</f>
        <v>46</v>
      </c>
      <c r="K66" s="26">
        <f>HLOOKUP($K$3,Database!$D$6:$OM$155,63,0)</f>
        <v>23224</v>
      </c>
      <c r="L66" s="12">
        <f>HLOOKUP($M$2,Database!$D$6:$OM$155,63,0)</f>
        <v>0</v>
      </c>
      <c r="M66" s="26">
        <f>HLOOKUP($M$3,Database!$D$6:$OM$155,63,0)</f>
        <v>0</v>
      </c>
      <c r="N66" s="12">
        <f>HLOOKUP($O$2,Database!$D$6:$OM$155,63,0)</f>
        <v>0</v>
      </c>
      <c r="O66" s="26">
        <f>HLOOKUP($O$3,Database!$D$6:$OM$155,63,0)</f>
        <v>0</v>
      </c>
      <c r="P66" s="12">
        <f>HLOOKUP($Q$2,Database!$D$6:$OM$155,63,0)</f>
        <v>0</v>
      </c>
      <c r="Q66" s="26">
        <f>HLOOKUP($Q$3,Database!$D$6:$OM$155,63,0)</f>
        <v>0</v>
      </c>
      <c r="R66" s="12">
        <f>HLOOKUP($S$2,Database!$D$6:$OM$155,63,0)</f>
        <v>0</v>
      </c>
      <c r="S66" s="26">
        <f>HLOOKUP($S$3,Database!$D$6:$OM$155,63,0)</f>
        <v>0</v>
      </c>
      <c r="T66" s="12">
        <f>HLOOKUP($U$2,Database!$D$6:$OM$155,63,0)</f>
        <v>0</v>
      </c>
      <c r="U66" s="26">
        <f>HLOOKUP($U$3,Database!$D$6:$OM$155,63,0)</f>
        <v>0</v>
      </c>
      <c r="V66" s="12">
        <f>HLOOKUP($W$2,Database!$D$6:$OM$155,63,0)</f>
        <v>0</v>
      </c>
      <c r="W66" s="26">
        <f>HLOOKUP($W$3,Database!$D$6:$OM$155,63,0)</f>
        <v>0</v>
      </c>
      <c r="Y66" s="381">
        <f t="shared" si="25"/>
        <v>46.01</v>
      </c>
      <c r="Z66" s="383">
        <f t="shared" si="26"/>
        <v>46</v>
      </c>
      <c r="AA66" s="383">
        <f t="shared" si="27"/>
        <v>46</v>
      </c>
      <c r="AB66" s="383">
        <f t="shared" si="28"/>
        <v>46</v>
      </c>
      <c r="AC66" s="324" t="str">
        <f t="shared" si="29"/>
        <v/>
      </c>
      <c r="AD66" s="324" t="str">
        <f t="shared" si="30"/>
        <v/>
      </c>
      <c r="AE66" s="324" t="str">
        <f t="shared" si="31"/>
        <v/>
      </c>
      <c r="AF66" s="324" t="str">
        <f t="shared" si="32"/>
        <v/>
      </c>
      <c r="AG66" s="324" t="str">
        <f t="shared" si="33"/>
        <v/>
      </c>
      <c r="AH66" s="324" t="str">
        <f t="shared" si="34"/>
        <v/>
      </c>
      <c r="AI66" s="362" t="str">
        <f t="shared" si="35"/>
        <v/>
      </c>
      <c r="AJ66" s="363" t="str">
        <f t="shared" si="36"/>
        <v/>
      </c>
      <c r="AK66" s="382">
        <f t="shared" si="37"/>
        <v>9.9999999999980105E-3</v>
      </c>
      <c r="AL66" s="383">
        <f t="shared" si="38"/>
        <v>46</v>
      </c>
      <c r="AM66" s="384">
        <f t="shared" si="39"/>
        <v>46.01</v>
      </c>
      <c r="AN66" s="332"/>
      <c r="AO66" s="385">
        <f t="shared" si="40"/>
        <v>46.004999999999995</v>
      </c>
      <c r="AP66" s="385">
        <f t="shared" si="41"/>
        <v>26417.5</v>
      </c>
      <c r="AQ66" s="104">
        <f t="shared" si="42"/>
        <v>46</v>
      </c>
      <c r="AR66" s="385">
        <f t="shared" si="43"/>
        <v>22197.5</v>
      </c>
      <c r="AS66" s="104">
        <f t="shared" si="44"/>
        <v>0</v>
      </c>
      <c r="AT66" s="104">
        <f t="shared" si="45"/>
        <v>0</v>
      </c>
      <c r="AU66" s="104">
        <f t="shared" si="46"/>
        <v>0</v>
      </c>
      <c r="AV66" s="104">
        <f t="shared" si="47"/>
        <v>0</v>
      </c>
      <c r="AW66" s="104">
        <f t="shared" si="48"/>
        <v>0</v>
      </c>
      <c r="AX66" s="104">
        <f t="shared" si="49"/>
        <v>0</v>
      </c>
    </row>
    <row r="67" spans="1:50" ht="18.75" customHeight="1" x14ac:dyDescent="0.4">
      <c r="A67" s="338" t="s">
        <v>87</v>
      </c>
      <c r="B67" s="358">
        <v>218</v>
      </c>
      <c r="C67" s="355" t="s">
        <v>60</v>
      </c>
      <c r="D67" s="12">
        <f>HLOOKUP($E$2,Database!$D$6:$OM$155,64,0)</f>
        <v>46.26</v>
      </c>
      <c r="E67" s="26">
        <f>HLOOKUP($E$3,Database!$D$6:$OM$155,64,0)</f>
        <v>19008</v>
      </c>
      <c r="F67" s="12">
        <f>HLOOKUP($G$2,Database!$D$6:$OM$155,64,0)</f>
        <v>46.25</v>
      </c>
      <c r="G67" s="26">
        <f>HLOOKUP($G$3,Database!$D$6:$OM$155,64,0)</f>
        <v>4924</v>
      </c>
      <c r="H67" s="12">
        <f>HLOOKUP($I$2,Database!$D$6:$OM$155,64,0)</f>
        <v>46.25</v>
      </c>
      <c r="I67" s="26">
        <f>HLOOKUP($I$3,Database!$D$6:$OM$155,64,0)</f>
        <v>13416</v>
      </c>
      <c r="J67" s="12">
        <f>HLOOKUP($K$2,Database!$D$6:$OM$155,64,0)</f>
        <v>46.25</v>
      </c>
      <c r="K67" s="26">
        <f>HLOOKUP($K$3,Database!$D$6:$OM$155,64,0)</f>
        <v>14619</v>
      </c>
      <c r="L67" s="12">
        <f>HLOOKUP($M$2,Database!$D$6:$OM$155,64,0)</f>
        <v>0</v>
      </c>
      <c r="M67" s="26">
        <f>HLOOKUP($M$3,Database!$D$6:$OM$155,64,0)</f>
        <v>0</v>
      </c>
      <c r="N67" s="12">
        <f>HLOOKUP($O$2,Database!$D$6:$OM$155,64,0)</f>
        <v>0</v>
      </c>
      <c r="O67" s="26">
        <f>HLOOKUP($O$3,Database!$D$6:$OM$155,64,0)</f>
        <v>0</v>
      </c>
      <c r="P67" s="12">
        <f>HLOOKUP($Q$2,Database!$D$6:$OM$155,64,0)</f>
        <v>0</v>
      </c>
      <c r="Q67" s="26">
        <f>HLOOKUP($Q$3,Database!$D$6:$OM$155,64,0)</f>
        <v>0</v>
      </c>
      <c r="R67" s="12">
        <f>HLOOKUP($S$2,Database!$D$6:$OM$155,64,0)</f>
        <v>0</v>
      </c>
      <c r="S67" s="26">
        <f>HLOOKUP($S$3,Database!$D$6:$OM$155,64,0)</f>
        <v>0</v>
      </c>
      <c r="T67" s="12">
        <f>HLOOKUP($U$2,Database!$D$6:$OM$155,64,0)</f>
        <v>0</v>
      </c>
      <c r="U67" s="26">
        <f>HLOOKUP($U$3,Database!$D$6:$OM$155,64,0)</f>
        <v>0</v>
      </c>
      <c r="V67" s="12">
        <f>HLOOKUP($W$2,Database!$D$6:$OM$155,64,0)</f>
        <v>0</v>
      </c>
      <c r="W67" s="26">
        <f>HLOOKUP($W$3,Database!$D$6:$OM$155,64,0)</f>
        <v>0</v>
      </c>
      <c r="Y67" s="381">
        <f t="shared" si="25"/>
        <v>46.26</v>
      </c>
      <c r="Z67" s="382">
        <f t="shared" si="26"/>
        <v>46.25</v>
      </c>
      <c r="AA67" s="382">
        <f t="shared" si="27"/>
        <v>46.25</v>
      </c>
      <c r="AB67" s="382">
        <f t="shared" si="28"/>
        <v>46.25</v>
      </c>
      <c r="AC67" s="324" t="str">
        <f t="shared" si="29"/>
        <v/>
      </c>
      <c r="AD67" s="324" t="str">
        <f t="shared" si="30"/>
        <v/>
      </c>
      <c r="AE67" s="324" t="str">
        <f t="shared" si="31"/>
        <v/>
      </c>
      <c r="AF67" s="324" t="str">
        <f t="shared" si="32"/>
        <v/>
      </c>
      <c r="AG67" s="324" t="str">
        <f t="shared" si="33"/>
        <v/>
      </c>
      <c r="AH67" s="324" t="str">
        <f t="shared" si="34"/>
        <v/>
      </c>
      <c r="AI67" s="362" t="str">
        <f t="shared" si="35"/>
        <v/>
      </c>
      <c r="AJ67" s="363" t="str">
        <f t="shared" si="36"/>
        <v/>
      </c>
      <c r="AK67" s="382">
        <f t="shared" si="37"/>
        <v>9.9999999999980105E-3</v>
      </c>
      <c r="AL67" s="382">
        <f t="shared" si="38"/>
        <v>46.25</v>
      </c>
      <c r="AM67" s="384">
        <f t="shared" si="39"/>
        <v>46.26</v>
      </c>
      <c r="AN67" s="332"/>
      <c r="AO67" s="385">
        <f t="shared" si="40"/>
        <v>46.254999999999995</v>
      </c>
      <c r="AP67" s="104">
        <f t="shared" si="41"/>
        <v>11966</v>
      </c>
      <c r="AQ67" s="385">
        <f t="shared" si="42"/>
        <v>46.25</v>
      </c>
      <c r="AR67" s="385">
        <f t="shared" si="43"/>
        <v>14017.5</v>
      </c>
      <c r="AS67" s="104">
        <f t="shared" si="44"/>
        <v>0</v>
      </c>
      <c r="AT67" s="104">
        <f t="shared" si="45"/>
        <v>0</v>
      </c>
      <c r="AU67" s="104">
        <f t="shared" si="46"/>
        <v>0</v>
      </c>
      <c r="AV67" s="104">
        <f t="shared" si="47"/>
        <v>0</v>
      </c>
      <c r="AW67" s="104">
        <f t="shared" si="48"/>
        <v>0</v>
      </c>
      <c r="AX67" s="104">
        <f t="shared" si="49"/>
        <v>0</v>
      </c>
    </row>
    <row r="68" spans="1:50" ht="18.75" customHeight="1" x14ac:dyDescent="0.4">
      <c r="A68" s="355" t="s">
        <v>88</v>
      </c>
      <c r="B68" s="358">
        <v>191</v>
      </c>
      <c r="C68" s="355" t="s">
        <v>60</v>
      </c>
      <c r="D68" s="12">
        <f>HLOOKUP($E$2,Database!$D$6:$OM$155,65,0)</f>
        <v>46.45</v>
      </c>
      <c r="E68" s="26">
        <f>HLOOKUP($E$3,Database!$D$6:$OM$155,65,0)</f>
        <v>10860</v>
      </c>
      <c r="F68" s="12">
        <f>HLOOKUP($G$2,Database!$D$6:$OM$155,65,0)</f>
        <v>46.44</v>
      </c>
      <c r="G68" s="26">
        <f>HLOOKUP($G$3,Database!$D$6:$OM$155,65,0)</f>
        <v>11192</v>
      </c>
      <c r="H68" s="12">
        <f>HLOOKUP($I$2,Database!$D$6:$OM$155,65,0)</f>
        <v>46.45</v>
      </c>
      <c r="I68" s="26">
        <f>HLOOKUP($I$3,Database!$D$6:$OM$155,65,0)</f>
        <v>28121</v>
      </c>
      <c r="J68" s="12">
        <f>HLOOKUP($K$2,Database!$D$6:$OM$155,65,0)</f>
        <v>46.45</v>
      </c>
      <c r="K68" s="26">
        <f>HLOOKUP($K$3,Database!$D$6:$OM$155,65,0)</f>
        <v>30365</v>
      </c>
      <c r="L68" s="12">
        <f>HLOOKUP($M$2,Database!$D$6:$OM$155,65,0)</f>
        <v>0</v>
      </c>
      <c r="M68" s="26">
        <f>HLOOKUP($M$3,Database!$D$6:$OM$155,65,0)</f>
        <v>0</v>
      </c>
      <c r="N68" s="12">
        <f>HLOOKUP($O$2,Database!$D$6:$OM$155,65,0)</f>
        <v>0</v>
      </c>
      <c r="O68" s="26">
        <f>HLOOKUP($O$3,Database!$D$6:$OM$155,65,0)</f>
        <v>0</v>
      </c>
      <c r="P68" s="12">
        <f>HLOOKUP($Q$2,Database!$D$6:$OM$155,65,0)</f>
        <v>0</v>
      </c>
      <c r="Q68" s="26">
        <f>HLOOKUP($Q$3,Database!$D$6:$OM$155,65,0)</f>
        <v>0</v>
      </c>
      <c r="R68" s="12">
        <f>HLOOKUP($S$2,Database!$D$6:$OM$155,65,0)</f>
        <v>0</v>
      </c>
      <c r="S68" s="26">
        <f>HLOOKUP($S$3,Database!$D$6:$OM$155,65,0)</f>
        <v>0</v>
      </c>
      <c r="T68" s="12">
        <f>HLOOKUP($U$2,Database!$D$6:$OM$155,65,0)</f>
        <v>0</v>
      </c>
      <c r="U68" s="26">
        <f>HLOOKUP($U$3,Database!$D$6:$OM$155,65,0)</f>
        <v>0</v>
      </c>
      <c r="V68" s="12">
        <f>HLOOKUP($W$2,Database!$D$6:$OM$155,65,0)</f>
        <v>0</v>
      </c>
      <c r="W68" s="26">
        <f>HLOOKUP($W$3,Database!$D$6:$OM$155,65,0)</f>
        <v>0</v>
      </c>
      <c r="Y68" s="381">
        <f t="shared" si="25"/>
        <v>46.45</v>
      </c>
      <c r="Z68" s="382">
        <f t="shared" si="26"/>
        <v>46.44</v>
      </c>
      <c r="AA68" s="382">
        <f t="shared" si="27"/>
        <v>46.45</v>
      </c>
      <c r="AB68" s="382">
        <f t="shared" si="28"/>
        <v>46.45</v>
      </c>
      <c r="AC68" s="324" t="str">
        <f t="shared" si="29"/>
        <v/>
      </c>
      <c r="AD68" s="324" t="str">
        <f t="shared" si="30"/>
        <v/>
      </c>
      <c r="AE68" s="324" t="str">
        <f t="shared" si="31"/>
        <v/>
      </c>
      <c r="AF68" s="324" t="str">
        <f t="shared" si="32"/>
        <v/>
      </c>
      <c r="AG68" s="324" t="str">
        <f t="shared" si="33"/>
        <v/>
      </c>
      <c r="AH68" s="324" t="str">
        <f t="shared" si="34"/>
        <v/>
      </c>
      <c r="AI68" s="362" t="str">
        <f t="shared" si="35"/>
        <v/>
      </c>
      <c r="AJ68" s="363" t="str">
        <f t="shared" si="36"/>
        <v/>
      </c>
      <c r="AK68" s="382">
        <f t="shared" si="37"/>
        <v>1.0000000000005116E-2</v>
      </c>
      <c r="AL68" s="382">
        <f t="shared" si="38"/>
        <v>46.44</v>
      </c>
      <c r="AM68" s="384">
        <f t="shared" si="39"/>
        <v>46.45</v>
      </c>
      <c r="AN68" s="332"/>
      <c r="AO68" s="385">
        <f t="shared" si="40"/>
        <v>46.445</v>
      </c>
      <c r="AP68" s="104">
        <f t="shared" si="41"/>
        <v>11026</v>
      </c>
      <c r="AQ68" s="385">
        <f t="shared" si="42"/>
        <v>46.45</v>
      </c>
      <c r="AR68" s="104">
        <f t="shared" si="43"/>
        <v>29243</v>
      </c>
      <c r="AS68" s="104">
        <f t="shared" si="44"/>
        <v>0</v>
      </c>
      <c r="AT68" s="104">
        <f t="shared" si="45"/>
        <v>0</v>
      </c>
      <c r="AU68" s="104">
        <f t="shared" si="46"/>
        <v>0</v>
      </c>
      <c r="AV68" s="104">
        <f t="shared" si="47"/>
        <v>0</v>
      </c>
      <c r="AW68" s="104">
        <f t="shared" si="48"/>
        <v>0</v>
      </c>
      <c r="AX68" s="104">
        <f t="shared" si="49"/>
        <v>0</v>
      </c>
    </row>
    <row r="69" spans="1:50" ht="18.75" customHeight="1" x14ac:dyDescent="0.4">
      <c r="A69" s="355" t="s">
        <v>345</v>
      </c>
      <c r="B69" s="358">
        <v>231</v>
      </c>
      <c r="C69" s="355" t="s">
        <v>60</v>
      </c>
      <c r="D69" s="12">
        <f>HLOOKUP($E$2,Database!$D$6:$OM$155,66,0)</f>
        <v>46.72</v>
      </c>
      <c r="E69" s="26">
        <f>HLOOKUP($E$3,Database!$D$6:$OM$155,66,0)</f>
        <v>29288</v>
      </c>
      <c r="F69" s="12">
        <f>HLOOKUP($G$2,Database!$D$6:$OM$155,66,0)</f>
        <v>46.71</v>
      </c>
      <c r="G69" s="26">
        <f>HLOOKUP($G$3,Database!$D$6:$OM$155,66,0)</f>
        <v>0</v>
      </c>
      <c r="H69" s="12">
        <f>HLOOKUP($I$2,Database!$D$6:$OM$155,66,0)</f>
        <v>46.72</v>
      </c>
      <c r="I69" s="26">
        <f>HLOOKUP($I$3,Database!$D$6:$OM$155,66,0)</f>
        <v>0</v>
      </c>
      <c r="J69" s="12">
        <f>HLOOKUP($K$2,Database!$D$6:$OM$155,66,0)</f>
        <v>46.71</v>
      </c>
      <c r="K69" s="26">
        <f>HLOOKUP($K$3,Database!$D$6:$OM$155,66,0)</f>
        <v>0</v>
      </c>
      <c r="L69" s="12">
        <f>HLOOKUP($M$2,Database!$D$6:$OM$155,66,0)</f>
        <v>0</v>
      </c>
      <c r="M69" s="26">
        <f>HLOOKUP($M$3,Database!$D$6:$OM$155,66,0)</f>
        <v>0</v>
      </c>
      <c r="N69" s="12">
        <f>HLOOKUP($O$2,Database!$D$6:$OM$155,66,0)</f>
        <v>0</v>
      </c>
      <c r="O69" s="26">
        <f>HLOOKUP($O$3,Database!$D$6:$OM$155,66,0)</f>
        <v>0</v>
      </c>
      <c r="P69" s="12">
        <f>HLOOKUP($Q$2,Database!$D$6:$OM$155,66,0)</f>
        <v>0</v>
      </c>
      <c r="Q69" s="26">
        <f>HLOOKUP($Q$3,Database!$D$6:$OM$155,66,0)</f>
        <v>0</v>
      </c>
      <c r="R69" s="12">
        <f>HLOOKUP($S$2,Database!$D$6:$OM$155,66,0)</f>
        <v>0</v>
      </c>
      <c r="S69" s="26">
        <f>HLOOKUP($S$3,Database!$D$6:$OM$155,66,0)</f>
        <v>0</v>
      </c>
      <c r="T69" s="12">
        <f>HLOOKUP($U$2,Database!$D$6:$OM$155,66,0)</f>
        <v>0</v>
      </c>
      <c r="U69" s="26">
        <f>HLOOKUP($U$3,Database!$D$6:$OM$155,66,0)</f>
        <v>0</v>
      </c>
      <c r="V69" s="12">
        <f>HLOOKUP($W$2,Database!$D$6:$OM$155,66,0)</f>
        <v>0</v>
      </c>
      <c r="W69" s="26">
        <f>HLOOKUP($W$3,Database!$D$6:$OM$155,66,0)</f>
        <v>0</v>
      </c>
      <c r="Y69" s="381">
        <f t="shared" si="25"/>
        <v>46.72</v>
      </c>
      <c r="Z69" s="382">
        <f t="shared" si="26"/>
        <v>46.71</v>
      </c>
      <c r="AA69" s="382">
        <f t="shared" si="27"/>
        <v>46.72</v>
      </c>
      <c r="AB69" s="382">
        <f t="shared" si="28"/>
        <v>46.71</v>
      </c>
      <c r="AC69" s="324" t="str">
        <f t="shared" si="29"/>
        <v/>
      </c>
      <c r="AD69" s="324" t="str">
        <f t="shared" si="30"/>
        <v/>
      </c>
      <c r="AE69" s="324" t="str">
        <f t="shared" si="31"/>
        <v/>
      </c>
      <c r="AF69" s="324" t="str">
        <f t="shared" si="32"/>
        <v/>
      </c>
      <c r="AG69" s="324" t="str">
        <f t="shared" si="33"/>
        <v/>
      </c>
      <c r="AH69" s="324" t="str">
        <f t="shared" si="34"/>
        <v/>
      </c>
      <c r="AI69" s="362" t="str">
        <f t="shared" si="35"/>
        <v/>
      </c>
      <c r="AJ69" s="363" t="str">
        <f t="shared" si="36"/>
        <v/>
      </c>
      <c r="AK69" s="382">
        <f t="shared" si="37"/>
        <v>9.9999999999980105E-3</v>
      </c>
      <c r="AL69" s="382">
        <f t="shared" si="38"/>
        <v>46.71</v>
      </c>
      <c r="AM69" s="384">
        <f t="shared" si="39"/>
        <v>46.72</v>
      </c>
      <c r="AN69" s="332"/>
      <c r="AO69" s="385">
        <f t="shared" si="40"/>
        <v>46.715000000000003</v>
      </c>
      <c r="AP69" s="104">
        <f t="shared" si="41"/>
        <v>14644</v>
      </c>
      <c r="AQ69" s="385">
        <f t="shared" si="42"/>
        <v>46.715000000000003</v>
      </c>
      <c r="AR69" s="104">
        <f t="shared" si="43"/>
        <v>0</v>
      </c>
      <c r="AS69" s="104">
        <f t="shared" si="44"/>
        <v>0</v>
      </c>
      <c r="AT69" s="104">
        <f t="shared" si="45"/>
        <v>0</v>
      </c>
      <c r="AU69" s="104">
        <f t="shared" si="46"/>
        <v>0</v>
      </c>
      <c r="AV69" s="104">
        <f t="shared" si="47"/>
        <v>0</v>
      </c>
      <c r="AW69" s="104">
        <f t="shared" si="48"/>
        <v>0</v>
      </c>
      <c r="AX69" s="104">
        <f t="shared" si="49"/>
        <v>0</v>
      </c>
    </row>
    <row r="70" spans="1:50" ht="18.75" customHeight="1" x14ac:dyDescent="0.4">
      <c r="A70" s="355" t="s">
        <v>89</v>
      </c>
      <c r="B70" s="358">
        <v>191</v>
      </c>
      <c r="C70" s="355" t="s">
        <v>60</v>
      </c>
      <c r="D70" s="12">
        <f>HLOOKUP($E$2,Database!$D$6:$OM$155,67,0)</f>
        <v>46.8</v>
      </c>
      <c r="E70" s="26">
        <f>HLOOKUP($E$3,Database!$D$6:$OM$155,67,0)</f>
        <v>70008</v>
      </c>
      <c r="F70" s="12">
        <f>HLOOKUP($G$2,Database!$D$6:$OM$155,67,0)</f>
        <v>46.78</v>
      </c>
      <c r="G70" s="26">
        <f>HLOOKUP($G$3,Database!$D$6:$OM$155,67,0)</f>
        <v>34904</v>
      </c>
      <c r="H70" s="12">
        <f>HLOOKUP($I$2,Database!$D$6:$OM$155,67,0)</f>
        <v>46.78</v>
      </c>
      <c r="I70" s="26">
        <f>HLOOKUP($I$3,Database!$D$6:$OM$155,67,0)</f>
        <v>85813</v>
      </c>
      <c r="J70" s="12">
        <f>HLOOKUP($K$2,Database!$D$6:$OM$155,67,0)</f>
        <v>46.79</v>
      </c>
      <c r="K70" s="26">
        <f>HLOOKUP($K$3,Database!$D$6:$OM$155,67,0)</f>
        <v>92777</v>
      </c>
      <c r="L70" s="12">
        <f>HLOOKUP($M$2,Database!$D$6:$OM$155,67,0)</f>
        <v>0</v>
      </c>
      <c r="M70" s="26">
        <f>HLOOKUP($M$3,Database!$D$6:$OM$155,67,0)</f>
        <v>0</v>
      </c>
      <c r="N70" s="12">
        <f>HLOOKUP($O$2,Database!$D$6:$OM$155,67,0)</f>
        <v>0</v>
      </c>
      <c r="O70" s="26">
        <f>HLOOKUP($O$3,Database!$D$6:$OM$155,67,0)</f>
        <v>0</v>
      </c>
      <c r="P70" s="12">
        <f>HLOOKUP($Q$2,Database!$D$6:$OM$155,67,0)</f>
        <v>0</v>
      </c>
      <c r="Q70" s="26">
        <f>HLOOKUP($Q$3,Database!$D$6:$OM$155,67,0)</f>
        <v>0</v>
      </c>
      <c r="R70" s="12">
        <f>HLOOKUP($S$2,Database!$D$6:$OM$155,67,0)</f>
        <v>0</v>
      </c>
      <c r="S70" s="26">
        <f>HLOOKUP($S$3,Database!$D$6:$OM$155,67,0)</f>
        <v>0</v>
      </c>
      <c r="T70" s="12">
        <f>HLOOKUP($U$2,Database!$D$6:$OM$155,67,0)</f>
        <v>0</v>
      </c>
      <c r="U70" s="26">
        <f>HLOOKUP($U$3,Database!$D$6:$OM$155,67,0)</f>
        <v>0</v>
      </c>
      <c r="V70" s="12">
        <f>HLOOKUP($W$2,Database!$D$6:$OM$155,67,0)</f>
        <v>0</v>
      </c>
      <c r="W70" s="26">
        <f>HLOOKUP($W$3,Database!$D$6:$OM$155,67,0)</f>
        <v>0</v>
      </c>
      <c r="Y70" s="381">
        <f t="shared" si="25"/>
        <v>46.8</v>
      </c>
      <c r="Z70" s="382">
        <f t="shared" si="26"/>
        <v>46.78</v>
      </c>
      <c r="AA70" s="382">
        <f t="shared" si="27"/>
        <v>46.78</v>
      </c>
      <c r="AB70" s="382">
        <f t="shared" si="28"/>
        <v>46.79</v>
      </c>
      <c r="AC70" s="324" t="str">
        <f t="shared" si="29"/>
        <v/>
      </c>
      <c r="AD70" s="324" t="str">
        <f t="shared" si="30"/>
        <v/>
      </c>
      <c r="AE70" s="324" t="str">
        <f t="shared" si="31"/>
        <v/>
      </c>
      <c r="AF70" s="324" t="str">
        <f t="shared" si="32"/>
        <v/>
      </c>
      <c r="AG70" s="324" t="str">
        <f t="shared" si="33"/>
        <v/>
      </c>
      <c r="AH70" s="324" t="str">
        <f t="shared" si="34"/>
        <v/>
      </c>
      <c r="AI70" s="362" t="str">
        <f t="shared" si="35"/>
        <v/>
      </c>
      <c r="AJ70" s="363" t="str">
        <f t="shared" si="36"/>
        <v/>
      </c>
      <c r="AK70" s="382">
        <f t="shared" si="37"/>
        <v>1.9999999999996021E-2</v>
      </c>
      <c r="AL70" s="382">
        <f t="shared" si="38"/>
        <v>46.78</v>
      </c>
      <c r="AM70" s="384">
        <f t="shared" si="39"/>
        <v>46.8</v>
      </c>
      <c r="AN70" s="332"/>
      <c r="AO70" s="385">
        <f t="shared" si="40"/>
        <v>46.79</v>
      </c>
      <c r="AP70" s="104">
        <f t="shared" si="41"/>
        <v>52456</v>
      </c>
      <c r="AQ70" s="385">
        <f t="shared" si="42"/>
        <v>46.784999999999997</v>
      </c>
      <c r="AR70" s="104">
        <f t="shared" si="43"/>
        <v>89295</v>
      </c>
      <c r="AS70" s="104">
        <f t="shared" si="44"/>
        <v>0</v>
      </c>
      <c r="AT70" s="104">
        <f t="shared" si="45"/>
        <v>0</v>
      </c>
      <c r="AU70" s="104">
        <f t="shared" si="46"/>
        <v>0</v>
      </c>
      <c r="AV70" s="104">
        <f t="shared" si="47"/>
        <v>0</v>
      </c>
      <c r="AW70" s="104">
        <f t="shared" si="48"/>
        <v>0</v>
      </c>
      <c r="AX70" s="104">
        <f t="shared" si="49"/>
        <v>0</v>
      </c>
    </row>
    <row r="71" spans="1:50" ht="18.75" customHeight="1" x14ac:dyDescent="0.4">
      <c r="A71" s="355" t="s">
        <v>90</v>
      </c>
      <c r="B71" s="358">
        <v>191</v>
      </c>
      <c r="C71" s="355" t="s">
        <v>60</v>
      </c>
      <c r="D71" s="12">
        <f>HLOOKUP($E$2,Database!$D$6:$OM$155,68,0)</f>
        <v>47.64</v>
      </c>
      <c r="E71" s="26">
        <f>HLOOKUP($E$3,Database!$D$6:$OM$155,68,0)</f>
        <v>10976</v>
      </c>
      <c r="F71" s="12">
        <f>HLOOKUP($G$2,Database!$D$6:$OM$155,68,0)</f>
        <v>47.63</v>
      </c>
      <c r="G71" s="26">
        <f>HLOOKUP($G$3,Database!$D$6:$OM$155,68,0)</f>
        <v>5240</v>
      </c>
      <c r="H71" s="12">
        <f>HLOOKUP($I$2,Database!$D$6:$OM$155,68,0)</f>
        <v>47.63</v>
      </c>
      <c r="I71" s="26">
        <f>HLOOKUP($I$3,Database!$D$6:$OM$155,68,0)</f>
        <v>14731</v>
      </c>
      <c r="J71" s="12">
        <f>HLOOKUP($K$2,Database!$D$6:$OM$155,68,0)</f>
        <v>47.63</v>
      </c>
      <c r="K71" s="26">
        <f>HLOOKUP($K$3,Database!$D$6:$OM$155,68,0)</f>
        <v>15899</v>
      </c>
      <c r="L71" s="12">
        <f>HLOOKUP($M$2,Database!$D$6:$OM$155,68,0)</f>
        <v>0</v>
      </c>
      <c r="M71" s="26">
        <f>HLOOKUP($M$3,Database!$D$6:$OM$155,68,0)</f>
        <v>0</v>
      </c>
      <c r="N71" s="12">
        <f>HLOOKUP($O$2,Database!$D$6:$OM$155,68,0)</f>
        <v>0</v>
      </c>
      <c r="O71" s="26">
        <f>HLOOKUP($O$3,Database!$D$6:$OM$155,68,0)</f>
        <v>0</v>
      </c>
      <c r="P71" s="12">
        <f>HLOOKUP($Q$2,Database!$D$6:$OM$155,68,0)</f>
        <v>0</v>
      </c>
      <c r="Q71" s="26">
        <f>HLOOKUP($Q$3,Database!$D$6:$OM$155,68,0)</f>
        <v>0</v>
      </c>
      <c r="R71" s="12">
        <f>HLOOKUP($S$2,Database!$D$6:$OM$155,68,0)</f>
        <v>0</v>
      </c>
      <c r="S71" s="26">
        <f>HLOOKUP($S$3,Database!$D$6:$OM$155,68,0)</f>
        <v>0</v>
      </c>
      <c r="T71" s="12">
        <f>HLOOKUP($U$2,Database!$D$6:$OM$155,68,0)</f>
        <v>0</v>
      </c>
      <c r="U71" s="26">
        <f>HLOOKUP($U$3,Database!$D$6:$OM$155,68,0)</f>
        <v>0</v>
      </c>
      <c r="V71" s="12">
        <f>HLOOKUP($W$2,Database!$D$6:$OM$155,68,0)</f>
        <v>0</v>
      </c>
      <c r="W71" s="26">
        <f>HLOOKUP($W$3,Database!$D$6:$OM$155,68,0)</f>
        <v>0</v>
      </c>
      <c r="Y71" s="381">
        <f t="shared" si="25"/>
        <v>47.64</v>
      </c>
      <c r="Z71" s="382">
        <f t="shared" si="26"/>
        <v>47.63</v>
      </c>
      <c r="AA71" s="382">
        <f t="shared" si="27"/>
        <v>47.63</v>
      </c>
      <c r="AB71" s="382">
        <f t="shared" si="28"/>
        <v>47.63</v>
      </c>
      <c r="AC71" s="324" t="str">
        <f t="shared" si="29"/>
        <v/>
      </c>
      <c r="AD71" s="324" t="str">
        <f t="shared" si="30"/>
        <v/>
      </c>
      <c r="AE71" s="324" t="str">
        <f t="shared" si="31"/>
        <v/>
      </c>
      <c r="AF71" s="324" t="str">
        <f t="shared" si="32"/>
        <v/>
      </c>
      <c r="AG71" s="324" t="str">
        <f t="shared" si="33"/>
        <v/>
      </c>
      <c r="AH71" s="324" t="str">
        <f t="shared" si="34"/>
        <v/>
      </c>
      <c r="AI71" s="362" t="str">
        <f t="shared" si="35"/>
        <v/>
      </c>
      <c r="AJ71" s="363" t="str">
        <f t="shared" si="36"/>
        <v/>
      </c>
      <c r="AK71" s="382">
        <f t="shared" si="37"/>
        <v>9.9999999999980105E-3</v>
      </c>
      <c r="AL71" s="382">
        <f t="shared" si="38"/>
        <v>47.63</v>
      </c>
      <c r="AM71" s="384">
        <f t="shared" si="39"/>
        <v>47.64</v>
      </c>
      <c r="AN71" s="332"/>
      <c r="AO71" s="385">
        <f t="shared" si="40"/>
        <v>47.635000000000005</v>
      </c>
      <c r="AP71" s="104">
        <f t="shared" si="41"/>
        <v>8108</v>
      </c>
      <c r="AQ71" s="385">
        <f t="shared" si="42"/>
        <v>47.63</v>
      </c>
      <c r="AR71" s="104">
        <f t="shared" si="43"/>
        <v>15315</v>
      </c>
      <c r="AS71" s="104">
        <f t="shared" si="44"/>
        <v>0</v>
      </c>
      <c r="AT71" s="104">
        <f t="shared" si="45"/>
        <v>0</v>
      </c>
      <c r="AU71" s="104">
        <f t="shared" si="46"/>
        <v>0</v>
      </c>
      <c r="AV71" s="104">
        <f t="shared" si="47"/>
        <v>0</v>
      </c>
      <c r="AW71" s="104">
        <f t="shared" si="48"/>
        <v>0</v>
      </c>
      <c r="AX71" s="104">
        <f t="shared" si="49"/>
        <v>0</v>
      </c>
    </row>
    <row r="72" spans="1:50" ht="18.75" customHeight="1" x14ac:dyDescent="0.4">
      <c r="A72" s="355" t="s">
        <v>91</v>
      </c>
      <c r="B72" s="358">
        <v>191</v>
      </c>
      <c r="C72" s="355" t="s">
        <v>60</v>
      </c>
      <c r="D72" s="12">
        <f>HLOOKUP($E$2,Database!$D$6:$OM$155,69,0)</f>
        <v>47.79</v>
      </c>
      <c r="E72" s="26">
        <f>HLOOKUP($E$3,Database!$D$6:$OM$155,69,0)</f>
        <v>141141</v>
      </c>
      <c r="F72" s="12">
        <f>HLOOKUP($G$2,Database!$D$6:$OM$155,69,0)</f>
        <v>47.78</v>
      </c>
      <c r="G72" s="26">
        <f>HLOOKUP($G$3,Database!$D$6:$OM$155,69,0)</f>
        <v>73370</v>
      </c>
      <c r="H72" s="12">
        <f>HLOOKUP($I$2,Database!$D$6:$OM$155,69,0)</f>
        <v>47.78</v>
      </c>
      <c r="I72" s="26">
        <f>HLOOKUP($I$3,Database!$D$6:$OM$155,69,0)</f>
        <v>184207</v>
      </c>
      <c r="J72" s="12">
        <f>HLOOKUP($K$2,Database!$D$6:$OM$155,69,0)</f>
        <v>47.78</v>
      </c>
      <c r="K72" s="26">
        <f>HLOOKUP($K$3,Database!$D$6:$OM$155,69,0)</f>
        <v>201195</v>
      </c>
      <c r="L72" s="12">
        <f>HLOOKUP($M$2,Database!$D$6:$OM$155,69,0)</f>
        <v>0</v>
      </c>
      <c r="M72" s="26">
        <f>HLOOKUP($M$3,Database!$D$6:$OM$155,69,0)</f>
        <v>0</v>
      </c>
      <c r="N72" s="12">
        <f>HLOOKUP($O$2,Database!$D$6:$OM$155,69,0)</f>
        <v>0</v>
      </c>
      <c r="O72" s="26">
        <f>HLOOKUP($O$3,Database!$D$6:$OM$155,69,0)</f>
        <v>0</v>
      </c>
      <c r="P72" s="12">
        <f>HLOOKUP($Q$2,Database!$D$6:$OM$155,69,0)</f>
        <v>0</v>
      </c>
      <c r="Q72" s="26">
        <f>HLOOKUP($Q$3,Database!$D$6:$OM$155,69,0)</f>
        <v>0</v>
      </c>
      <c r="R72" s="12">
        <f>HLOOKUP($S$2,Database!$D$6:$OM$155,69,0)</f>
        <v>0</v>
      </c>
      <c r="S72" s="26">
        <f>HLOOKUP($S$3,Database!$D$6:$OM$155,69,0)</f>
        <v>0</v>
      </c>
      <c r="T72" s="12">
        <f>HLOOKUP($U$2,Database!$D$6:$OM$155,69,0)</f>
        <v>0</v>
      </c>
      <c r="U72" s="26">
        <f>HLOOKUP($U$3,Database!$D$6:$OM$155,69,0)</f>
        <v>0</v>
      </c>
      <c r="V72" s="12">
        <f>HLOOKUP($W$2,Database!$D$6:$OM$155,69,0)</f>
        <v>0</v>
      </c>
      <c r="W72" s="26">
        <f>HLOOKUP($W$3,Database!$D$6:$OM$155,69,0)</f>
        <v>0</v>
      </c>
      <c r="Y72" s="381">
        <f t="shared" si="25"/>
        <v>47.79</v>
      </c>
      <c r="Z72" s="382">
        <f t="shared" si="26"/>
        <v>47.78</v>
      </c>
      <c r="AA72" s="382">
        <f t="shared" si="27"/>
        <v>47.78</v>
      </c>
      <c r="AB72" s="382">
        <f t="shared" si="28"/>
        <v>47.78</v>
      </c>
      <c r="AC72" s="324" t="str">
        <f t="shared" si="29"/>
        <v/>
      </c>
      <c r="AD72" s="324" t="str">
        <f t="shared" si="30"/>
        <v/>
      </c>
      <c r="AE72" s="324" t="str">
        <f t="shared" si="31"/>
        <v/>
      </c>
      <c r="AF72" s="324" t="str">
        <f t="shared" si="32"/>
        <v/>
      </c>
      <c r="AG72" s="324" t="str">
        <f t="shared" si="33"/>
        <v/>
      </c>
      <c r="AH72" s="324" t="str">
        <f t="shared" si="34"/>
        <v/>
      </c>
      <c r="AI72" s="362" t="str">
        <f t="shared" si="35"/>
        <v/>
      </c>
      <c r="AJ72" s="363" t="str">
        <f t="shared" si="36"/>
        <v/>
      </c>
      <c r="AK72" s="382">
        <f t="shared" si="37"/>
        <v>9.9999999999980105E-3</v>
      </c>
      <c r="AL72" s="382">
        <f t="shared" si="38"/>
        <v>47.78</v>
      </c>
      <c r="AM72" s="384">
        <f t="shared" si="39"/>
        <v>47.79</v>
      </c>
      <c r="AN72" s="332"/>
      <c r="AO72" s="385">
        <f t="shared" si="40"/>
        <v>47.784999999999997</v>
      </c>
      <c r="AP72" s="385">
        <f t="shared" si="41"/>
        <v>107255.5</v>
      </c>
      <c r="AQ72" s="385">
        <f t="shared" si="42"/>
        <v>47.78</v>
      </c>
      <c r="AR72" s="104">
        <f t="shared" si="43"/>
        <v>192701</v>
      </c>
      <c r="AS72" s="104">
        <f t="shared" si="44"/>
        <v>0</v>
      </c>
      <c r="AT72" s="104">
        <f t="shared" si="45"/>
        <v>0</v>
      </c>
      <c r="AU72" s="104">
        <f t="shared" si="46"/>
        <v>0</v>
      </c>
      <c r="AV72" s="104">
        <f t="shared" si="47"/>
        <v>0</v>
      </c>
      <c r="AW72" s="104">
        <f t="shared" si="48"/>
        <v>0</v>
      </c>
      <c r="AX72" s="104">
        <f t="shared" si="49"/>
        <v>0</v>
      </c>
    </row>
    <row r="73" spans="1:50" ht="18.75" customHeight="1" x14ac:dyDescent="0.4">
      <c r="A73" s="355" t="s">
        <v>346</v>
      </c>
      <c r="B73" s="358">
        <v>231</v>
      </c>
      <c r="C73" s="355" t="s">
        <v>60</v>
      </c>
      <c r="D73" s="12">
        <f>HLOOKUP($E$2,Database!$D$6:$OM$155,70,0)</f>
        <v>47.97</v>
      </c>
      <c r="E73" s="26">
        <f>HLOOKUP($E$3,Database!$D$6:$OM$155,70,0)</f>
        <v>31350</v>
      </c>
      <c r="F73" s="12">
        <f>HLOOKUP($G$2,Database!$D$6:$OM$155,70,0)</f>
        <v>47.95</v>
      </c>
      <c r="G73" s="26">
        <f>HLOOKUP($G$3,Database!$D$6:$OM$155,70,0)</f>
        <v>3722</v>
      </c>
      <c r="H73" s="12">
        <f>HLOOKUP($I$2,Database!$D$6:$OM$155,70,0)</f>
        <v>47.95</v>
      </c>
      <c r="I73" s="26">
        <f>HLOOKUP($I$3,Database!$D$6:$OM$155,70,0)</f>
        <v>10687</v>
      </c>
      <c r="J73" s="12">
        <f>HLOOKUP($K$2,Database!$D$6:$OM$155,70,0)</f>
        <v>47.95</v>
      </c>
      <c r="K73" s="26">
        <f>HLOOKUP($K$3,Database!$D$6:$OM$155,70,0)</f>
        <v>11853</v>
      </c>
      <c r="L73" s="12">
        <f>HLOOKUP($M$2,Database!$D$6:$OM$155,70,0)</f>
        <v>0</v>
      </c>
      <c r="M73" s="26">
        <f>HLOOKUP($M$3,Database!$D$6:$OM$155,70,0)</f>
        <v>0</v>
      </c>
      <c r="N73" s="12">
        <f>HLOOKUP($O$2,Database!$D$6:$OM$155,70,0)</f>
        <v>0</v>
      </c>
      <c r="O73" s="26">
        <f>HLOOKUP($O$3,Database!$D$6:$OM$155,70,0)</f>
        <v>0</v>
      </c>
      <c r="P73" s="12">
        <f>HLOOKUP($Q$2,Database!$D$6:$OM$155,70,0)</f>
        <v>0</v>
      </c>
      <c r="Q73" s="26">
        <f>HLOOKUP($Q$3,Database!$D$6:$OM$155,70,0)</f>
        <v>0</v>
      </c>
      <c r="R73" s="12">
        <f>HLOOKUP($S$2,Database!$D$6:$OM$155,70,0)</f>
        <v>0</v>
      </c>
      <c r="S73" s="26">
        <f>HLOOKUP($S$3,Database!$D$6:$OM$155,70,0)</f>
        <v>0</v>
      </c>
      <c r="T73" s="12">
        <f>HLOOKUP($U$2,Database!$D$6:$OM$155,70,0)</f>
        <v>0</v>
      </c>
      <c r="U73" s="26">
        <f>HLOOKUP($U$3,Database!$D$6:$OM$155,70,0)</f>
        <v>0</v>
      </c>
      <c r="V73" s="12">
        <f>HLOOKUP($W$2,Database!$D$6:$OM$155,70,0)</f>
        <v>0</v>
      </c>
      <c r="W73" s="26">
        <f>HLOOKUP($W$3,Database!$D$6:$OM$155,70,0)</f>
        <v>0</v>
      </c>
      <c r="Y73" s="381">
        <f t="shared" ref="Y73:Y104" si="50">IF(D73&gt;5,D73,"")</f>
        <v>47.97</v>
      </c>
      <c r="Z73" s="382">
        <f t="shared" ref="Z73:Z104" si="51">IF(F73&gt;5,F73,"")</f>
        <v>47.95</v>
      </c>
      <c r="AA73" s="382">
        <f t="shared" ref="AA73:AA104" si="52">IF(H73&gt;5,H73,"")</f>
        <v>47.95</v>
      </c>
      <c r="AB73" s="382">
        <f t="shared" ref="AB73:AB104" si="53">IF(J73&gt;5,J73,"")</f>
        <v>47.95</v>
      </c>
      <c r="AC73" s="324" t="str">
        <f t="shared" ref="AC73:AC104" si="54">IF(L73&gt;5,L73,"")</f>
        <v/>
      </c>
      <c r="AD73" s="324" t="str">
        <f t="shared" ref="AD73:AD104" si="55">IF(N73&gt;5,N73,"")</f>
        <v/>
      </c>
      <c r="AE73" s="324" t="str">
        <f t="shared" ref="AE73:AE104" si="56">IF(P73&gt;5,P73,"")</f>
        <v/>
      </c>
      <c r="AF73" s="324" t="str">
        <f t="shared" ref="AF73:AF104" si="57">IF(R73&gt;5,R73,"")</f>
        <v/>
      </c>
      <c r="AG73" s="324" t="str">
        <f t="shared" ref="AG73:AG104" si="58">IF(T73&gt;5,T73,"")</f>
        <v/>
      </c>
      <c r="AH73" s="324" t="str">
        <f t="shared" ref="AH73:AH104" si="59">IF(V73&gt;5,V73,"")</f>
        <v/>
      </c>
      <c r="AI73" s="362" t="str">
        <f t="shared" ref="AI73:AI104" si="60">IF(AK73&gt;0.5,1,"")</f>
        <v/>
      </c>
      <c r="AJ73" s="363" t="str">
        <f t="shared" ref="AJ73:AJ104" si="61">IF(AK73&gt;0.1,1,"")</f>
        <v/>
      </c>
      <c r="AK73" s="382">
        <f t="shared" ref="AK73:AK104" si="62">AM73-AL73</f>
        <v>1.9999999999996021E-2</v>
      </c>
      <c r="AL73" s="382">
        <f t="shared" ref="AL73:AL104" si="63">MIN(Y73:AH73)</f>
        <v>47.95</v>
      </c>
      <c r="AM73" s="384">
        <f t="shared" ref="AM73:AM104" si="64">MAX(Y73:AH73)</f>
        <v>47.97</v>
      </c>
      <c r="AN73" s="332"/>
      <c r="AO73" s="385">
        <f t="shared" ref="AO73:AO104" si="65">(D73+F73)/2</f>
        <v>47.96</v>
      </c>
      <c r="AP73" s="104">
        <f t="shared" ref="AP73:AP104" si="66">(E73+G73)/2</f>
        <v>17536</v>
      </c>
      <c r="AQ73" s="385">
        <f t="shared" ref="AQ73:AQ104" si="67">(H73+J73)/2</f>
        <v>47.95</v>
      </c>
      <c r="AR73" s="104">
        <f t="shared" ref="AR73:AR104" si="68">(I73+K73)/2</f>
        <v>11270</v>
      </c>
      <c r="AS73" s="104">
        <f t="shared" ref="AS73:AS104" si="69">(L73+N73)/2</f>
        <v>0</v>
      </c>
      <c r="AT73" s="104">
        <f t="shared" ref="AT73:AT104" si="70">(M73+O73)/2</f>
        <v>0</v>
      </c>
      <c r="AU73" s="104">
        <f t="shared" ref="AU73:AU104" si="71">(P73+R73)/2</f>
        <v>0</v>
      </c>
      <c r="AV73" s="104">
        <f t="shared" ref="AV73:AV104" si="72">(Q73+S73)/2</f>
        <v>0</v>
      </c>
      <c r="AW73" s="104">
        <f t="shared" ref="AW73:AW104" si="73">(T73+V73)/2</f>
        <v>0</v>
      </c>
      <c r="AX73" s="104">
        <f t="shared" ref="AX73:AX104" si="74">(U73+W73)/2</f>
        <v>0</v>
      </c>
    </row>
    <row r="74" spans="1:50" ht="18.75" customHeight="1" x14ac:dyDescent="0.4">
      <c r="A74" s="355" t="s">
        <v>92</v>
      </c>
      <c r="B74" s="358">
        <v>191</v>
      </c>
      <c r="C74" s="355" t="s">
        <v>60</v>
      </c>
      <c r="D74" s="12">
        <f>HLOOKUP($E$2,Database!$D$6:$OM$155,71,0)</f>
        <v>48.94</v>
      </c>
      <c r="E74" s="26">
        <f>HLOOKUP($E$3,Database!$D$6:$OM$155,71,0)</f>
        <v>59191</v>
      </c>
      <c r="F74" s="12">
        <f>HLOOKUP($G$2,Database!$D$6:$OM$155,71,0)</f>
        <v>48.93</v>
      </c>
      <c r="G74" s="26">
        <f>HLOOKUP($G$3,Database!$D$6:$OM$155,71,0)</f>
        <v>22542</v>
      </c>
      <c r="H74" s="12">
        <f>HLOOKUP($I$2,Database!$D$6:$OM$155,71,0)</f>
        <v>48.93</v>
      </c>
      <c r="I74" s="26">
        <f>HLOOKUP($I$3,Database!$D$6:$OM$155,71,0)</f>
        <v>56313</v>
      </c>
      <c r="J74" s="12">
        <f>HLOOKUP($K$2,Database!$D$6:$OM$155,71,0)</f>
        <v>48.93</v>
      </c>
      <c r="K74" s="26">
        <f>HLOOKUP($K$3,Database!$D$6:$OM$155,71,0)</f>
        <v>62061</v>
      </c>
      <c r="L74" s="12">
        <f>HLOOKUP($M$2,Database!$D$6:$OM$155,71,0)</f>
        <v>0</v>
      </c>
      <c r="M74" s="26">
        <f>HLOOKUP($M$3,Database!$D$6:$OM$155,71,0)</f>
        <v>0</v>
      </c>
      <c r="N74" s="12">
        <f>HLOOKUP($O$2,Database!$D$6:$OM$155,71,0)</f>
        <v>0</v>
      </c>
      <c r="O74" s="26">
        <f>HLOOKUP($O$3,Database!$D$6:$OM$155,71,0)</f>
        <v>0</v>
      </c>
      <c r="P74" s="12">
        <f>HLOOKUP($Q$2,Database!$D$6:$OM$155,71,0)</f>
        <v>0</v>
      </c>
      <c r="Q74" s="26">
        <f>HLOOKUP($Q$3,Database!$D$6:$OM$155,71,0)</f>
        <v>0</v>
      </c>
      <c r="R74" s="12">
        <f>HLOOKUP($S$2,Database!$D$6:$OM$155,71,0)</f>
        <v>0</v>
      </c>
      <c r="S74" s="26">
        <f>HLOOKUP($S$3,Database!$D$6:$OM$155,71,0)</f>
        <v>0</v>
      </c>
      <c r="T74" s="12">
        <f>HLOOKUP($U$2,Database!$D$6:$OM$155,71,0)</f>
        <v>0</v>
      </c>
      <c r="U74" s="26">
        <f>HLOOKUP($U$3,Database!$D$6:$OM$155,71,0)</f>
        <v>0</v>
      </c>
      <c r="V74" s="12">
        <f>HLOOKUP($W$2,Database!$D$6:$OM$155,71,0)</f>
        <v>0</v>
      </c>
      <c r="W74" s="26">
        <f>HLOOKUP($W$3,Database!$D$6:$OM$155,71,0)</f>
        <v>0</v>
      </c>
      <c r="Y74" s="381">
        <f t="shared" si="50"/>
        <v>48.94</v>
      </c>
      <c r="Z74" s="382">
        <f t="shared" si="51"/>
        <v>48.93</v>
      </c>
      <c r="AA74" s="382">
        <f t="shared" si="52"/>
        <v>48.93</v>
      </c>
      <c r="AB74" s="382">
        <f t="shared" si="53"/>
        <v>48.93</v>
      </c>
      <c r="AC74" s="324" t="str">
        <f t="shared" si="54"/>
        <v/>
      </c>
      <c r="AD74" s="324" t="str">
        <f t="shared" si="55"/>
        <v/>
      </c>
      <c r="AE74" s="324" t="str">
        <f t="shared" si="56"/>
        <v/>
      </c>
      <c r="AF74" s="324" t="str">
        <f t="shared" si="57"/>
        <v/>
      </c>
      <c r="AG74" s="324" t="str">
        <f t="shared" si="58"/>
        <v/>
      </c>
      <c r="AH74" s="324" t="str">
        <f t="shared" si="59"/>
        <v/>
      </c>
      <c r="AI74" s="362" t="str">
        <f t="shared" si="60"/>
        <v/>
      </c>
      <c r="AJ74" s="363" t="str">
        <f t="shared" si="61"/>
        <v/>
      </c>
      <c r="AK74" s="382">
        <f t="shared" si="62"/>
        <v>9.9999999999980105E-3</v>
      </c>
      <c r="AL74" s="382">
        <f t="shared" si="63"/>
        <v>48.93</v>
      </c>
      <c r="AM74" s="384">
        <f t="shared" si="64"/>
        <v>48.94</v>
      </c>
      <c r="AN74" s="332"/>
      <c r="AO74" s="385">
        <f t="shared" si="65"/>
        <v>48.935000000000002</v>
      </c>
      <c r="AP74" s="385">
        <f t="shared" si="66"/>
        <v>40866.5</v>
      </c>
      <c r="AQ74" s="385">
        <f t="shared" si="67"/>
        <v>48.93</v>
      </c>
      <c r="AR74" s="104">
        <f t="shared" si="68"/>
        <v>59187</v>
      </c>
      <c r="AS74" s="104">
        <f t="shared" si="69"/>
        <v>0</v>
      </c>
      <c r="AT74" s="104">
        <f t="shared" si="70"/>
        <v>0</v>
      </c>
      <c r="AU74" s="104">
        <f t="shared" si="71"/>
        <v>0</v>
      </c>
      <c r="AV74" s="104">
        <f t="shared" si="72"/>
        <v>0</v>
      </c>
      <c r="AW74" s="104">
        <f t="shared" si="73"/>
        <v>0</v>
      </c>
      <c r="AX74" s="104">
        <f t="shared" si="74"/>
        <v>0</v>
      </c>
    </row>
    <row r="75" spans="1:50" ht="18.75" customHeight="1" x14ac:dyDescent="0.4">
      <c r="A75" s="355" t="s">
        <v>347</v>
      </c>
      <c r="B75" s="358">
        <v>191</v>
      </c>
      <c r="C75" s="355" t="s">
        <v>60</v>
      </c>
      <c r="D75" s="12">
        <f>HLOOKUP($E$2,Database!$D$6:$OM$155,72,0)</f>
        <v>49.24</v>
      </c>
      <c r="E75" s="26">
        <f>HLOOKUP($E$3,Database!$D$6:$OM$155,72,0)</f>
        <v>32337</v>
      </c>
      <c r="F75" s="12">
        <f>HLOOKUP($G$2,Database!$D$6:$OM$155,72,0)</f>
        <v>49.24</v>
      </c>
      <c r="G75" s="27"/>
      <c r="H75" s="12">
        <f>HLOOKUP($I$2,Database!$D$6:$OM$155,72,0)</f>
        <v>49.24</v>
      </c>
      <c r="I75" s="27"/>
      <c r="J75" s="12">
        <f>HLOOKUP($K$2,Database!$D$6:$OM$155,72,0)</f>
        <v>49.24</v>
      </c>
      <c r="K75" s="27"/>
      <c r="L75" s="12">
        <f>HLOOKUP($M$2,Database!$D$6:$OM$155,72,0)</f>
        <v>0</v>
      </c>
      <c r="M75" s="26">
        <f>HLOOKUP($M$3,Database!$D$6:$OM$155,72,0)</f>
        <v>0</v>
      </c>
      <c r="N75" s="12">
        <f>HLOOKUP($O$2,Database!$D$6:$OM$155,72,0)</f>
        <v>0</v>
      </c>
      <c r="O75" s="26">
        <f>HLOOKUP($O$3,Database!$D$6:$OM$155,72,0)</f>
        <v>0</v>
      </c>
      <c r="P75" s="12">
        <f>HLOOKUP($Q$2,Database!$D$6:$OM$155,72,0)</f>
        <v>0</v>
      </c>
      <c r="Q75" s="26">
        <f>HLOOKUP($Q$3,Database!$D$6:$OM$155,72,0)</f>
        <v>0</v>
      </c>
      <c r="R75" s="12">
        <f>HLOOKUP($S$2,Database!$D$6:$OM$155,72,0)</f>
        <v>0</v>
      </c>
      <c r="S75" s="26">
        <f>HLOOKUP($S$3,Database!$D$6:$OM$155,72,0)</f>
        <v>0</v>
      </c>
      <c r="T75" s="12">
        <f>HLOOKUP($U$2,Database!$D$6:$OM$155,72,0)</f>
        <v>0</v>
      </c>
      <c r="U75" s="26">
        <f>HLOOKUP($U$3,Database!$D$6:$OM$155,72,0)</f>
        <v>0</v>
      </c>
      <c r="V75" s="12">
        <f>HLOOKUP($W$2,Database!$D$6:$OM$155,72,0)</f>
        <v>0</v>
      </c>
      <c r="W75" s="26">
        <f>HLOOKUP($W$3,Database!$D$6:$OM$155,72,0)</f>
        <v>0</v>
      </c>
      <c r="Y75" s="381">
        <f t="shared" si="50"/>
        <v>49.24</v>
      </c>
      <c r="Z75" s="382">
        <f t="shared" si="51"/>
        <v>49.24</v>
      </c>
      <c r="AA75" s="382">
        <f t="shared" si="52"/>
        <v>49.24</v>
      </c>
      <c r="AB75" s="382">
        <f t="shared" si="53"/>
        <v>49.24</v>
      </c>
      <c r="AC75" s="324" t="str">
        <f t="shared" si="54"/>
        <v/>
      </c>
      <c r="AD75" s="324" t="str">
        <f t="shared" si="55"/>
        <v/>
      </c>
      <c r="AE75" s="324" t="str">
        <f t="shared" si="56"/>
        <v/>
      </c>
      <c r="AF75" s="324" t="str">
        <f t="shared" si="57"/>
        <v/>
      </c>
      <c r="AG75" s="324" t="str">
        <f t="shared" si="58"/>
        <v/>
      </c>
      <c r="AH75" s="324" t="str">
        <f t="shared" si="59"/>
        <v/>
      </c>
      <c r="AI75" s="362" t="str">
        <f t="shared" si="60"/>
        <v/>
      </c>
      <c r="AJ75" s="363" t="str">
        <f t="shared" si="61"/>
        <v/>
      </c>
      <c r="AK75" s="383">
        <f t="shared" si="62"/>
        <v>0</v>
      </c>
      <c r="AL75" s="382">
        <f t="shared" si="63"/>
        <v>49.24</v>
      </c>
      <c r="AM75" s="384">
        <f t="shared" si="64"/>
        <v>49.24</v>
      </c>
      <c r="AN75" s="332"/>
      <c r="AO75" s="385">
        <f t="shared" si="65"/>
        <v>49.24</v>
      </c>
      <c r="AP75" s="385">
        <f t="shared" si="66"/>
        <v>16168.5</v>
      </c>
      <c r="AQ75" s="385">
        <f t="shared" si="67"/>
        <v>49.24</v>
      </c>
      <c r="AR75" s="104">
        <f t="shared" si="68"/>
        <v>0</v>
      </c>
      <c r="AS75" s="104">
        <f t="shared" si="69"/>
        <v>0</v>
      </c>
      <c r="AT75" s="104">
        <f t="shared" si="70"/>
        <v>0</v>
      </c>
      <c r="AU75" s="104">
        <f t="shared" si="71"/>
        <v>0</v>
      </c>
      <c r="AV75" s="104">
        <f t="shared" si="72"/>
        <v>0</v>
      </c>
      <c r="AW75" s="104">
        <f t="shared" si="73"/>
        <v>0</v>
      </c>
      <c r="AX75" s="104">
        <f t="shared" si="74"/>
        <v>0</v>
      </c>
    </row>
    <row r="76" spans="1:50" ht="18.75" customHeight="1" x14ac:dyDescent="0.4">
      <c r="A76" s="388" t="s">
        <v>348</v>
      </c>
      <c r="B76" s="389">
        <v>138</v>
      </c>
      <c r="C76" s="388" t="s">
        <v>60</v>
      </c>
      <c r="D76" s="390">
        <f>HLOOKUP($E$2,Database!$D$6:$OM$155,73,0)</f>
        <v>10.89</v>
      </c>
      <c r="E76" s="391">
        <f>HLOOKUP($E$3,Database!$D$6:$OM$155,73,0)</f>
        <v>87488</v>
      </c>
      <c r="F76" s="390">
        <f>HLOOKUP($G$2,Database!$D$6:$OM$155,73,0)</f>
        <v>10.89</v>
      </c>
      <c r="G76" s="391">
        <f>HLOOKUP($G$3,Database!$D$6:$OM$155,73,0)</f>
        <v>3111</v>
      </c>
      <c r="H76" s="390">
        <f>HLOOKUP($I$2,Database!$D$6:$OM$155,73,0)</f>
        <v>10.89</v>
      </c>
      <c r="I76" s="391">
        <f>HLOOKUP($I$3,Database!$D$6:$OM$155,73,0)</f>
        <v>17040</v>
      </c>
      <c r="J76" s="390">
        <f>HLOOKUP($K$2,Database!$D$6:$OM$155,73,0)</f>
        <v>10.89</v>
      </c>
      <c r="K76" s="391">
        <f>HLOOKUP($K$3,Database!$D$6:$OM$155,73,0)</f>
        <v>31846</v>
      </c>
      <c r="L76" s="390">
        <f>HLOOKUP($M$2,Database!$D$6:$OM$155,73,0)</f>
        <v>0</v>
      </c>
      <c r="M76" s="391">
        <f>HLOOKUP($M$3,Database!$D$6:$OM$155,73,0)</f>
        <v>0</v>
      </c>
      <c r="N76" s="390">
        <f>HLOOKUP($O$2,Database!$D$6:$OM$155,73,0)</f>
        <v>0</v>
      </c>
      <c r="O76" s="391">
        <f>HLOOKUP($O$3,Database!$D$6:$OM$155,73,0)</f>
        <v>0</v>
      </c>
      <c r="P76" s="390">
        <f>HLOOKUP($Q$2,Database!$D$6:$OM$155,73,0)</f>
        <v>0</v>
      </c>
      <c r="Q76" s="391">
        <f>HLOOKUP($Q$3,Database!$D$6:$OM$155,73,0)</f>
        <v>0</v>
      </c>
      <c r="R76" s="390">
        <f>HLOOKUP($S$2,Database!$D$6:$OM$155,73,0)</f>
        <v>0</v>
      </c>
      <c r="S76" s="391">
        <f>HLOOKUP($S$3,Database!$D$6:$OM$155,73,0)</f>
        <v>0</v>
      </c>
      <c r="T76" s="390">
        <f>HLOOKUP($U$2,Database!$D$6:$OM$155,73,0)</f>
        <v>0</v>
      </c>
      <c r="U76" s="391">
        <f>HLOOKUP($U$3,Database!$D$6:$OM$155,73,0)</f>
        <v>0</v>
      </c>
      <c r="V76" s="390">
        <f>HLOOKUP($W$2,Database!$D$6:$OM$155,73,0)</f>
        <v>0</v>
      </c>
      <c r="W76" s="391">
        <f>HLOOKUP($W$3,Database!$D$6:$OM$155,73,0)</f>
        <v>0</v>
      </c>
      <c r="X76" s="392"/>
      <c r="Y76" s="393">
        <f t="shared" si="50"/>
        <v>10.89</v>
      </c>
      <c r="Z76" s="394">
        <f t="shared" si="51"/>
        <v>10.89</v>
      </c>
      <c r="AA76" s="394">
        <f t="shared" si="52"/>
        <v>10.89</v>
      </c>
      <c r="AB76" s="394">
        <f t="shared" si="53"/>
        <v>10.89</v>
      </c>
      <c r="AC76" s="395" t="str">
        <f t="shared" si="54"/>
        <v/>
      </c>
      <c r="AD76" s="395" t="str">
        <f t="shared" si="55"/>
        <v/>
      </c>
      <c r="AE76" s="395" t="str">
        <f t="shared" si="56"/>
        <v/>
      </c>
      <c r="AF76" s="395" t="str">
        <f t="shared" si="57"/>
        <v/>
      </c>
      <c r="AG76" s="395" t="str">
        <f t="shared" si="58"/>
        <v/>
      </c>
      <c r="AH76" s="395" t="str">
        <f t="shared" si="59"/>
        <v/>
      </c>
      <c r="AI76" s="396" t="str">
        <f t="shared" si="60"/>
        <v/>
      </c>
      <c r="AJ76" s="397" t="str">
        <f t="shared" si="61"/>
        <v/>
      </c>
      <c r="AK76" s="398">
        <f t="shared" si="62"/>
        <v>0</v>
      </c>
      <c r="AL76" s="394">
        <f t="shared" si="63"/>
        <v>10.89</v>
      </c>
      <c r="AM76" s="399">
        <f t="shared" si="64"/>
        <v>10.89</v>
      </c>
      <c r="AN76" s="400"/>
      <c r="AO76" s="401">
        <f t="shared" si="65"/>
        <v>10.89</v>
      </c>
      <c r="AP76" s="401">
        <f t="shared" si="66"/>
        <v>45299.5</v>
      </c>
      <c r="AQ76" s="401">
        <f t="shared" si="67"/>
        <v>10.89</v>
      </c>
      <c r="AR76" s="402">
        <f t="shared" si="68"/>
        <v>24443</v>
      </c>
      <c r="AS76" s="402">
        <f t="shared" si="69"/>
        <v>0</v>
      </c>
      <c r="AT76" s="402">
        <f t="shared" si="70"/>
        <v>0</v>
      </c>
      <c r="AU76" s="402">
        <f t="shared" si="71"/>
        <v>0</v>
      </c>
      <c r="AV76" s="402">
        <f t="shared" si="72"/>
        <v>0</v>
      </c>
      <c r="AW76" s="402">
        <f t="shared" si="73"/>
        <v>0</v>
      </c>
      <c r="AX76" s="402">
        <f t="shared" si="74"/>
        <v>0</v>
      </c>
    </row>
    <row r="77" spans="1:50" ht="18.75" customHeight="1" x14ac:dyDescent="0.4">
      <c r="A77" s="403" t="s">
        <v>349</v>
      </c>
      <c r="B77" s="404">
        <v>163</v>
      </c>
      <c r="C77" s="403" t="s">
        <v>60</v>
      </c>
      <c r="D77" s="12">
        <f>HLOOKUP($E$2,Database!$D$6:$OM$155,74,0)</f>
        <v>12.96</v>
      </c>
      <c r="E77" s="26">
        <f>HLOOKUP($E$3,Database!$D$6:$OM$155,74,0)</f>
        <v>6258</v>
      </c>
      <c r="F77" s="12">
        <f>HLOOKUP($G$2,Database!$D$6:$OM$155,74,0)</f>
        <v>12.96</v>
      </c>
      <c r="G77" s="26">
        <f>HLOOKUP($G$3,Database!$D$6:$OM$155,74,0)</f>
        <v>1196</v>
      </c>
      <c r="H77" s="12">
        <f>HLOOKUP($I$2,Database!$D$6:$OM$155,74,0)</f>
        <v>12.96</v>
      </c>
      <c r="I77" s="26">
        <f>HLOOKUP($I$3,Database!$D$6:$OM$155,74,0)</f>
        <v>4995</v>
      </c>
      <c r="J77" s="12">
        <f>HLOOKUP($K$2,Database!$D$6:$OM$155,74,0)</f>
        <v>12.96</v>
      </c>
      <c r="K77" s="26">
        <f>HLOOKUP($K$3,Database!$D$6:$OM$155,74,0)</f>
        <v>7132</v>
      </c>
      <c r="L77" s="12">
        <f>HLOOKUP($M$2,Database!$D$6:$OM$155,74,0)</f>
        <v>0</v>
      </c>
      <c r="M77" s="26">
        <f>HLOOKUP($M$3,Database!$D$6:$OM$155,74,0)</f>
        <v>0</v>
      </c>
      <c r="N77" s="12">
        <f>HLOOKUP($O$2,Database!$D$6:$OM$155,74,0)</f>
        <v>0</v>
      </c>
      <c r="O77" s="26">
        <f>HLOOKUP($O$3,Database!$D$6:$OM$155,74,0)</f>
        <v>0</v>
      </c>
      <c r="P77" s="12">
        <f>HLOOKUP($Q$2,Database!$D$6:$OM$155,74,0)</f>
        <v>0</v>
      </c>
      <c r="Q77" s="26">
        <f>HLOOKUP($Q$3,Database!$D$6:$OM$155,74,0)</f>
        <v>0</v>
      </c>
      <c r="R77" s="12">
        <f>HLOOKUP($S$2,Database!$D$6:$OM$155,74,0)</f>
        <v>0</v>
      </c>
      <c r="S77" s="26">
        <f>HLOOKUP($S$3,Database!$D$6:$OM$155,74,0)</f>
        <v>0</v>
      </c>
      <c r="T77" s="12">
        <f>HLOOKUP($U$2,Database!$D$6:$OM$155,74,0)</f>
        <v>0</v>
      </c>
      <c r="U77" s="26">
        <f>HLOOKUP($U$3,Database!$D$6:$OM$155,74,0)</f>
        <v>0</v>
      </c>
      <c r="V77" s="12">
        <f>HLOOKUP($W$2,Database!$D$6:$OM$155,74,0)</f>
        <v>0</v>
      </c>
      <c r="W77" s="26">
        <f>HLOOKUP($W$3,Database!$D$6:$OM$155,74,0)</f>
        <v>0</v>
      </c>
      <c r="Y77" s="381">
        <f t="shared" si="50"/>
        <v>12.96</v>
      </c>
      <c r="Z77" s="382">
        <f t="shared" si="51"/>
        <v>12.96</v>
      </c>
      <c r="AA77" s="382">
        <f t="shared" si="52"/>
        <v>12.96</v>
      </c>
      <c r="AB77" s="382">
        <f t="shared" si="53"/>
        <v>12.96</v>
      </c>
      <c r="AC77" s="324" t="str">
        <f t="shared" si="54"/>
        <v/>
      </c>
      <c r="AD77" s="324" t="str">
        <f t="shared" si="55"/>
        <v/>
      </c>
      <c r="AE77" s="324" t="str">
        <f t="shared" si="56"/>
        <v/>
      </c>
      <c r="AF77" s="324" t="str">
        <f t="shared" si="57"/>
        <v/>
      </c>
      <c r="AG77" s="324" t="str">
        <f t="shared" si="58"/>
        <v/>
      </c>
      <c r="AH77" s="324" t="str">
        <f t="shared" si="59"/>
        <v/>
      </c>
      <c r="AI77" s="362" t="str">
        <f t="shared" si="60"/>
        <v/>
      </c>
      <c r="AJ77" s="363" t="str">
        <f t="shared" si="61"/>
        <v/>
      </c>
      <c r="AK77" s="383">
        <f t="shared" si="62"/>
        <v>0</v>
      </c>
      <c r="AL77" s="382">
        <f t="shared" si="63"/>
        <v>12.96</v>
      </c>
      <c r="AM77" s="384">
        <f t="shared" si="64"/>
        <v>12.96</v>
      </c>
      <c r="AN77" s="332"/>
      <c r="AO77" s="385">
        <f t="shared" si="65"/>
        <v>12.96</v>
      </c>
      <c r="AP77" s="104">
        <f t="shared" si="66"/>
        <v>3727</v>
      </c>
      <c r="AQ77" s="385">
        <f t="shared" si="67"/>
        <v>12.96</v>
      </c>
      <c r="AR77" s="385">
        <f t="shared" si="68"/>
        <v>6063.5</v>
      </c>
      <c r="AS77" s="104">
        <f t="shared" si="69"/>
        <v>0</v>
      </c>
      <c r="AT77" s="104">
        <f t="shared" si="70"/>
        <v>0</v>
      </c>
      <c r="AU77" s="104">
        <f t="shared" si="71"/>
        <v>0</v>
      </c>
      <c r="AV77" s="104">
        <f t="shared" si="72"/>
        <v>0</v>
      </c>
      <c r="AW77" s="104">
        <f t="shared" si="73"/>
        <v>0</v>
      </c>
      <c r="AX77" s="104">
        <f t="shared" si="74"/>
        <v>0</v>
      </c>
    </row>
    <row r="78" spans="1:50" ht="18.75" customHeight="1" x14ac:dyDescent="0.4">
      <c r="A78" s="403" t="s">
        <v>350</v>
      </c>
      <c r="B78" s="404">
        <v>152</v>
      </c>
      <c r="C78" s="403" t="s">
        <v>94</v>
      </c>
      <c r="D78" s="12">
        <f>HLOOKUP($E$2,Database!$D$6:$OM$155,75,0)</f>
        <v>13.01</v>
      </c>
      <c r="E78" s="26">
        <f>HLOOKUP($E$3,Database!$D$6:$OM$155,75,0)</f>
        <v>478308</v>
      </c>
      <c r="F78" s="12">
        <f>HLOOKUP($G$2,Database!$D$6:$OM$155,75,0)</f>
        <v>12.55</v>
      </c>
      <c r="G78" s="26">
        <f>HLOOKUP($G$3,Database!$D$6:$OM$155,75,0)</f>
        <v>34896</v>
      </c>
      <c r="H78" s="12">
        <f>HLOOKUP($I$2,Database!$D$6:$OM$155,75,0)</f>
        <v>12.55</v>
      </c>
      <c r="I78" s="26">
        <f>HLOOKUP($I$3,Database!$D$6:$OM$155,75,0)</f>
        <v>154033</v>
      </c>
      <c r="J78" s="12">
        <f>HLOOKUP($K$2,Database!$D$6:$OM$155,75,0)</f>
        <v>12.55</v>
      </c>
      <c r="K78" s="26">
        <f>HLOOKUP($K$3,Database!$D$6:$OM$155,75,0)</f>
        <v>232498</v>
      </c>
      <c r="L78" s="12">
        <f>HLOOKUP($M$2,Database!$D$6:$OM$155,75,0)</f>
        <v>0</v>
      </c>
      <c r="M78" s="26">
        <f>HLOOKUP($M$3,Database!$D$6:$OM$155,75,0)</f>
        <v>0</v>
      </c>
      <c r="N78" s="12">
        <f>HLOOKUP($O$2,Database!$D$6:$OM$155,75,0)</f>
        <v>0</v>
      </c>
      <c r="O78" s="26">
        <f>HLOOKUP($O$3,Database!$D$6:$OM$155,75,0)</f>
        <v>0</v>
      </c>
      <c r="P78" s="12">
        <f>HLOOKUP($Q$2,Database!$D$6:$OM$155,75,0)</f>
        <v>0</v>
      </c>
      <c r="Q78" s="26">
        <f>HLOOKUP($Q$3,Database!$D$6:$OM$155,75,0)</f>
        <v>0</v>
      </c>
      <c r="R78" s="12">
        <f>HLOOKUP($S$2,Database!$D$6:$OM$155,75,0)</f>
        <v>0</v>
      </c>
      <c r="S78" s="26">
        <f>HLOOKUP($S$3,Database!$D$6:$OM$155,75,0)</f>
        <v>0</v>
      </c>
      <c r="T78" s="12">
        <f>HLOOKUP($U$2,Database!$D$6:$OM$155,75,0)</f>
        <v>0</v>
      </c>
      <c r="U78" s="26">
        <f>HLOOKUP($U$3,Database!$D$6:$OM$155,75,0)</f>
        <v>0</v>
      </c>
      <c r="V78" s="12">
        <f>HLOOKUP($W$2,Database!$D$6:$OM$155,75,0)</f>
        <v>0</v>
      </c>
      <c r="W78" s="26">
        <f>HLOOKUP($W$3,Database!$D$6:$OM$155,75,0)</f>
        <v>0</v>
      </c>
      <c r="Y78" s="381">
        <f t="shared" si="50"/>
        <v>13.01</v>
      </c>
      <c r="Z78" s="382">
        <f t="shared" si="51"/>
        <v>12.55</v>
      </c>
      <c r="AA78" s="382">
        <f t="shared" si="52"/>
        <v>12.55</v>
      </c>
      <c r="AB78" s="382">
        <f t="shared" si="53"/>
        <v>12.55</v>
      </c>
      <c r="AC78" s="324" t="str">
        <f t="shared" si="54"/>
        <v/>
      </c>
      <c r="AD78" s="324" t="str">
        <f t="shared" si="55"/>
        <v/>
      </c>
      <c r="AE78" s="324" t="str">
        <f t="shared" si="56"/>
        <v/>
      </c>
      <c r="AF78" s="324" t="str">
        <f t="shared" si="57"/>
        <v/>
      </c>
      <c r="AG78" s="324" t="str">
        <f t="shared" si="58"/>
        <v/>
      </c>
      <c r="AH78" s="324" t="str">
        <f t="shared" si="59"/>
        <v/>
      </c>
      <c r="AI78" s="362" t="str">
        <f t="shared" si="60"/>
        <v/>
      </c>
      <c r="AJ78" s="363">
        <f t="shared" si="61"/>
        <v>1</v>
      </c>
      <c r="AK78" s="382">
        <f t="shared" si="62"/>
        <v>0.45999999999999908</v>
      </c>
      <c r="AL78" s="382">
        <f t="shared" si="63"/>
        <v>12.55</v>
      </c>
      <c r="AM78" s="384">
        <f t="shared" si="64"/>
        <v>13.01</v>
      </c>
      <c r="AN78" s="332"/>
      <c r="AO78" s="385">
        <f t="shared" si="65"/>
        <v>12.780000000000001</v>
      </c>
      <c r="AP78" s="104">
        <f t="shared" si="66"/>
        <v>256602</v>
      </c>
      <c r="AQ78" s="385">
        <f t="shared" si="67"/>
        <v>12.55</v>
      </c>
      <c r="AR78" s="385">
        <f t="shared" si="68"/>
        <v>193265.5</v>
      </c>
      <c r="AS78" s="104">
        <f t="shared" si="69"/>
        <v>0</v>
      </c>
      <c r="AT78" s="104">
        <f t="shared" si="70"/>
        <v>0</v>
      </c>
      <c r="AU78" s="104">
        <f t="shared" si="71"/>
        <v>0</v>
      </c>
      <c r="AV78" s="104">
        <f t="shared" si="72"/>
        <v>0</v>
      </c>
      <c r="AW78" s="104">
        <f t="shared" si="73"/>
        <v>0</v>
      </c>
      <c r="AX78" s="104">
        <f t="shared" si="74"/>
        <v>0</v>
      </c>
    </row>
    <row r="79" spans="1:50" ht="18.75" customHeight="1" x14ac:dyDescent="0.4">
      <c r="A79" s="403" t="s">
        <v>351</v>
      </c>
      <c r="B79" s="404">
        <v>135</v>
      </c>
      <c r="C79" s="403" t="s">
        <v>60</v>
      </c>
      <c r="D79" s="12">
        <f>HLOOKUP($E$2,Database!$D$6:$OM$155,76,0)</f>
        <v>14.05</v>
      </c>
      <c r="E79" s="26">
        <f>HLOOKUP($E$3,Database!$D$6:$OM$155,76,0)</f>
        <v>18098</v>
      </c>
      <c r="F79" s="12">
        <f>HLOOKUP($G$2,Database!$D$6:$OM$155,76,0)</f>
        <v>14.05</v>
      </c>
      <c r="G79" s="26">
        <f>HLOOKUP($G$3,Database!$D$6:$OM$155,76,0)</f>
        <v>1888</v>
      </c>
      <c r="H79" s="12">
        <f>HLOOKUP($I$2,Database!$D$6:$OM$155,76,0)</f>
        <v>14.05</v>
      </c>
      <c r="I79" s="26">
        <f>HLOOKUP($I$3,Database!$D$6:$OM$155,76,0)</f>
        <v>7613</v>
      </c>
      <c r="J79" s="12">
        <f>HLOOKUP($K$2,Database!$D$6:$OM$155,76,0)</f>
        <v>14.05</v>
      </c>
      <c r="K79" s="26">
        <f>HLOOKUP($K$3,Database!$D$6:$OM$155,76,0)</f>
        <v>11042</v>
      </c>
      <c r="L79" s="12">
        <f>HLOOKUP($M$2,Database!$D$6:$OM$155,76,0)</f>
        <v>0</v>
      </c>
      <c r="M79" s="26">
        <f>HLOOKUP($M$3,Database!$D$6:$OM$155,76,0)</f>
        <v>0</v>
      </c>
      <c r="N79" s="12">
        <f>HLOOKUP($O$2,Database!$D$6:$OM$155,76,0)</f>
        <v>0</v>
      </c>
      <c r="O79" s="26">
        <f>HLOOKUP($O$3,Database!$D$6:$OM$155,76,0)</f>
        <v>0</v>
      </c>
      <c r="P79" s="12">
        <f>HLOOKUP($Q$2,Database!$D$6:$OM$155,76,0)</f>
        <v>0</v>
      </c>
      <c r="Q79" s="26">
        <f>HLOOKUP($Q$3,Database!$D$6:$OM$155,76,0)</f>
        <v>0</v>
      </c>
      <c r="R79" s="12">
        <f>HLOOKUP($S$2,Database!$D$6:$OM$155,76,0)</f>
        <v>0</v>
      </c>
      <c r="S79" s="26">
        <f>HLOOKUP($S$3,Database!$D$6:$OM$155,76,0)</f>
        <v>0</v>
      </c>
      <c r="T79" s="12">
        <f>HLOOKUP($U$2,Database!$D$6:$OM$155,76,0)</f>
        <v>0</v>
      </c>
      <c r="U79" s="26">
        <f>HLOOKUP($U$3,Database!$D$6:$OM$155,76,0)</f>
        <v>0</v>
      </c>
      <c r="V79" s="12">
        <f>HLOOKUP($W$2,Database!$D$6:$OM$155,76,0)</f>
        <v>0</v>
      </c>
      <c r="W79" s="26">
        <f>HLOOKUP($W$3,Database!$D$6:$OM$155,76,0)</f>
        <v>0</v>
      </c>
      <c r="Y79" s="381">
        <f t="shared" si="50"/>
        <v>14.05</v>
      </c>
      <c r="Z79" s="382">
        <f t="shared" si="51"/>
        <v>14.05</v>
      </c>
      <c r="AA79" s="382">
        <f t="shared" si="52"/>
        <v>14.05</v>
      </c>
      <c r="AB79" s="382">
        <f t="shared" si="53"/>
        <v>14.05</v>
      </c>
      <c r="AC79" s="324" t="str">
        <f t="shared" si="54"/>
        <v/>
      </c>
      <c r="AD79" s="324" t="str">
        <f t="shared" si="55"/>
        <v/>
      </c>
      <c r="AE79" s="324" t="str">
        <f t="shared" si="56"/>
        <v/>
      </c>
      <c r="AF79" s="324" t="str">
        <f t="shared" si="57"/>
        <v/>
      </c>
      <c r="AG79" s="324" t="str">
        <f t="shared" si="58"/>
        <v/>
      </c>
      <c r="AH79" s="324" t="str">
        <f t="shared" si="59"/>
        <v/>
      </c>
      <c r="AI79" s="362" t="str">
        <f t="shared" si="60"/>
        <v/>
      </c>
      <c r="AJ79" s="363" t="str">
        <f t="shared" si="61"/>
        <v/>
      </c>
      <c r="AK79" s="383">
        <f t="shared" si="62"/>
        <v>0</v>
      </c>
      <c r="AL79" s="382">
        <f t="shared" si="63"/>
        <v>14.05</v>
      </c>
      <c r="AM79" s="384">
        <f t="shared" si="64"/>
        <v>14.05</v>
      </c>
      <c r="AN79" s="332"/>
      <c r="AO79" s="385">
        <f t="shared" si="65"/>
        <v>14.05</v>
      </c>
      <c r="AP79" s="104">
        <f t="shared" si="66"/>
        <v>9993</v>
      </c>
      <c r="AQ79" s="385">
        <f t="shared" si="67"/>
        <v>14.05</v>
      </c>
      <c r="AR79" s="385">
        <f t="shared" si="68"/>
        <v>9327.5</v>
      </c>
      <c r="AS79" s="104">
        <f t="shared" si="69"/>
        <v>0</v>
      </c>
      <c r="AT79" s="104">
        <f t="shared" si="70"/>
        <v>0</v>
      </c>
      <c r="AU79" s="104">
        <f t="shared" si="71"/>
        <v>0</v>
      </c>
      <c r="AV79" s="104">
        <f t="shared" si="72"/>
        <v>0</v>
      </c>
      <c r="AW79" s="104">
        <f t="shared" si="73"/>
        <v>0</v>
      </c>
      <c r="AX79" s="104">
        <f t="shared" si="74"/>
        <v>0</v>
      </c>
    </row>
    <row r="80" spans="1:50" ht="18.75" customHeight="1" x14ac:dyDescent="0.4">
      <c r="A80" s="403" t="s">
        <v>352</v>
      </c>
      <c r="B80" s="404">
        <v>104</v>
      </c>
      <c r="C80" s="403" t="s">
        <v>60</v>
      </c>
      <c r="D80" s="12">
        <f>HLOOKUP($E$2,Database!$D$6:$OM$155,77,0)</f>
        <v>13.99</v>
      </c>
      <c r="E80" s="26">
        <f>HLOOKUP($E$3,Database!$D$6:$OM$155,77,0)</f>
        <v>67339</v>
      </c>
      <c r="F80" s="12">
        <f>HLOOKUP($G$2,Database!$D$6:$OM$155,77,0)</f>
        <v>13.99</v>
      </c>
      <c r="G80" s="26">
        <f>HLOOKUP($G$3,Database!$D$6:$OM$155,77,0)</f>
        <v>5877</v>
      </c>
      <c r="H80" s="12">
        <f>HLOOKUP($I$2,Database!$D$6:$OM$155,77,0)</f>
        <v>13.99</v>
      </c>
      <c r="I80" s="26">
        <f>HLOOKUP($I$3,Database!$D$6:$OM$155,77,0)</f>
        <v>33534</v>
      </c>
      <c r="J80" s="12">
        <f>HLOOKUP($K$2,Database!$D$6:$OM$155,77,0)</f>
        <v>13.99</v>
      </c>
      <c r="K80" s="26">
        <f>HLOOKUP($K$3,Database!$D$6:$OM$155,77,0)</f>
        <v>47213</v>
      </c>
      <c r="L80" s="12">
        <f>HLOOKUP($M$2,Database!$D$6:$OM$155,77,0)</f>
        <v>0</v>
      </c>
      <c r="M80" s="26">
        <f>HLOOKUP($M$3,Database!$D$6:$OM$155,77,0)</f>
        <v>0</v>
      </c>
      <c r="N80" s="12">
        <f>HLOOKUP($O$2,Database!$D$6:$OM$155,77,0)</f>
        <v>0</v>
      </c>
      <c r="O80" s="26">
        <f>HLOOKUP($O$3,Database!$D$6:$OM$155,77,0)</f>
        <v>0</v>
      </c>
      <c r="P80" s="12">
        <f>HLOOKUP($Q$2,Database!$D$6:$OM$155,77,0)</f>
        <v>0</v>
      </c>
      <c r="Q80" s="26">
        <f>HLOOKUP($Q$3,Database!$D$6:$OM$155,77,0)</f>
        <v>0</v>
      </c>
      <c r="R80" s="12">
        <f>HLOOKUP($S$2,Database!$D$6:$OM$155,77,0)</f>
        <v>0</v>
      </c>
      <c r="S80" s="26">
        <f>HLOOKUP($S$3,Database!$D$6:$OM$155,77,0)</f>
        <v>0</v>
      </c>
      <c r="T80" s="12">
        <f>HLOOKUP($U$2,Database!$D$6:$OM$155,77,0)</f>
        <v>0</v>
      </c>
      <c r="U80" s="26">
        <f>HLOOKUP($U$3,Database!$D$6:$OM$155,77,0)</f>
        <v>0</v>
      </c>
      <c r="V80" s="12">
        <f>HLOOKUP($W$2,Database!$D$6:$OM$155,77,0)</f>
        <v>0</v>
      </c>
      <c r="W80" s="26">
        <f>HLOOKUP($W$3,Database!$D$6:$OM$155,77,0)</f>
        <v>0</v>
      </c>
      <c r="Y80" s="381">
        <f t="shared" si="50"/>
        <v>13.99</v>
      </c>
      <c r="Z80" s="382">
        <f t="shared" si="51"/>
        <v>13.99</v>
      </c>
      <c r="AA80" s="382">
        <f t="shared" si="52"/>
        <v>13.99</v>
      </c>
      <c r="AB80" s="382">
        <f t="shared" si="53"/>
        <v>13.99</v>
      </c>
      <c r="AC80" s="324" t="str">
        <f t="shared" si="54"/>
        <v/>
      </c>
      <c r="AD80" s="324" t="str">
        <f t="shared" si="55"/>
        <v/>
      </c>
      <c r="AE80" s="324" t="str">
        <f t="shared" si="56"/>
        <v/>
      </c>
      <c r="AF80" s="324" t="str">
        <f t="shared" si="57"/>
        <v/>
      </c>
      <c r="AG80" s="324" t="str">
        <f t="shared" si="58"/>
        <v/>
      </c>
      <c r="AH80" s="324" t="str">
        <f t="shared" si="59"/>
        <v/>
      </c>
      <c r="AI80" s="362" t="str">
        <f t="shared" si="60"/>
        <v/>
      </c>
      <c r="AJ80" s="363" t="str">
        <f t="shared" si="61"/>
        <v/>
      </c>
      <c r="AK80" s="383">
        <f t="shared" si="62"/>
        <v>0</v>
      </c>
      <c r="AL80" s="382">
        <f t="shared" si="63"/>
        <v>13.99</v>
      </c>
      <c r="AM80" s="384">
        <f t="shared" si="64"/>
        <v>13.99</v>
      </c>
      <c r="AN80" s="332"/>
      <c r="AO80" s="385">
        <f t="shared" si="65"/>
        <v>13.99</v>
      </c>
      <c r="AP80" s="104">
        <f t="shared" si="66"/>
        <v>36608</v>
      </c>
      <c r="AQ80" s="385">
        <f t="shared" si="67"/>
        <v>13.99</v>
      </c>
      <c r="AR80" s="385">
        <f t="shared" si="68"/>
        <v>40373.5</v>
      </c>
      <c r="AS80" s="104">
        <f t="shared" si="69"/>
        <v>0</v>
      </c>
      <c r="AT80" s="104">
        <f t="shared" si="70"/>
        <v>0</v>
      </c>
      <c r="AU80" s="104">
        <f t="shared" si="71"/>
        <v>0</v>
      </c>
      <c r="AV80" s="104">
        <f t="shared" si="72"/>
        <v>0</v>
      </c>
      <c r="AW80" s="104">
        <f t="shared" si="73"/>
        <v>0</v>
      </c>
      <c r="AX80" s="104">
        <f t="shared" si="74"/>
        <v>0</v>
      </c>
    </row>
    <row r="81" spans="1:50" ht="18.75" customHeight="1" x14ac:dyDescent="0.4">
      <c r="A81" s="403" t="s">
        <v>353</v>
      </c>
      <c r="B81" s="404">
        <v>149</v>
      </c>
      <c r="C81" s="403" t="s">
        <v>60</v>
      </c>
      <c r="D81" s="12">
        <f>HLOOKUP($E$2,Database!$D$6:$OM$155,78,0)</f>
        <v>14.34</v>
      </c>
      <c r="E81" s="26">
        <f>HLOOKUP($E$3,Database!$D$6:$OM$155,78,0)</f>
        <v>16872</v>
      </c>
      <c r="F81" s="12">
        <f>HLOOKUP($G$2,Database!$D$6:$OM$155,78,0)</f>
        <v>14.34</v>
      </c>
      <c r="G81" s="26">
        <f>HLOOKUP($G$3,Database!$D$6:$OM$155,78,0)</f>
        <v>2376</v>
      </c>
      <c r="H81" s="12">
        <f>HLOOKUP($I$2,Database!$D$6:$OM$155,78,0)</f>
        <v>14.34</v>
      </c>
      <c r="I81" s="26">
        <f>HLOOKUP($I$3,Database!$D$6:$OM$155,78,0)</f>
        <v>9151</v>
      </c>
      <c r="J81" s="12">
        <f>HLOOKUP($K$2,Database!$D$6:$OM$155,78,0)</f>
        <v>14.34</v>
      </c>
      <c r="K81" s="26">
        <f>HLOOKUP($K$3,Database!$D$6:$OM$155,78,0)</f>
        <v>12749</v>
      </c>
      <c r="L81" s="12">
        <f>HLOOKUP($M$2,Database!$D$6:$OM$155,78,0)</f>
        <v>0</v>
      </c>
      <c r="M81" s="26">
        <f>HLOOKUP($M$3,Database!$D$6:$OM$155,78,0)</f>
        <v>0</v>
      </c>
      <c r="N81" s="12">
        <f>HLOOKUP($O$2,Database!$D$6:$OM$155,78,0)</f>
        <v>0</v>
      </c>
      <c r="O81" s="26">
        <f>HLOOKUP($O$3,Database!$D$6:$OM$155,78,0)</f>
        <v>0</v>
      </c>
      <c r="P81" s="12">
        <f>HLOOKUP($Q$2,Database!$D$6:$OM$155,78,0)</f>
        <v>0</v>
      </c>
      <c r="Q81" s="26">
        <f>HLOOKUP($Q$3,Database!$D$6:$OM$155,78,0)</f>
        <v>0</v>
      </c>
      <c r="R81" s="12">
        <f>HLOOKUP($S$2,Database!$D$6:$OM$155,78,0)</f>
        <v>0</v>
      </c>
      <c r="S81" s="26">
        <f>HLOOKUP($S$3,Database!$D$6:$OM$155,78,0)</f>
        <v>0</v>
      </c>
      <c r="T81" s="12">
        <f>HLOOKUP($U$2,Database!$D$6:$OM$155,78,0)</f>
        <v>0</v>
      </c>
      <c r="U81" s="26">
        <f>HLOOKUP($U$3,Database!$D$6:$OM$155,78,0)</f>
        <v>0</v>
      </c>
      <c r="V81" s="12">
        <f>HLOOKUP($W$2,Database!$D$6:$OM$155,78,0)</f>
        <v>0</v>
      </c>
      <c r="W81" s="26">
        <f>HLOOKUP($W$3,Database!$D$6:$OM$155,78,0)</f>
        <v>0</v>
      </c>
      <c r="Y81" s="381">
        <f t="shared" si="50"/>
        <v>14.34</v>
      </c>
      <c r="Z81" s="382">
        <f t="shared" si="51"/>
        <v>14.34</v>
      </c>
      <c r="AA81" s="382">
        <f t="shared" si="52"/>
        <v>14.34</v>
      </c>
      <c r="AB81" s="382">
        <f t="shared" si="53"/>
        <v>14.34</v>
      </c>
      <c r="AC81" s="324" t="str">
        <f t="shared" si="54"/>
        <v/>
      </c>
      <c r="AD81" s="324" t="str">
        <f t="shared" si="55"/>
        <v/>
      </c>
      <c r="AE81" s="324" t="str">
        <f t="shared" si="56"/>
        <v/>
      </c>
      <c r="AF81" s="324" t="str">
        <f t="shared" si="57"/>
        <v/>
      </c>
      <c r="AG81" s="324" t="str">
        <f t="shared" si="58"/>
        <v/>
      </c>
      <c r="AH81" s="324" t="str">
        <f t="shared" si="59"/>
        <v/>
      </c>
      <c r="AI81" s="362" t="str">
        <f t="shared" si="60"/>
        <v/>
      </c>
      <c r="AJ81" s="363" t="str">
        <f t="shared" si="61"/>
        <v/>
      </c>
      <c r="AK81" s="383">
        <f t="shared" si="62"/>
        <v>0</v>
      </c>
      <c r="AL81" s="382">
        <f t="shared" si="63"/>
        <v>14.34</v>
      </c>
      <c r="AM81" s="384">
        <f t="shared" si="64"/>
        <v>14.34</v>
      </c>
      <c r="AN81" s="28"/>
      <c r="AO81" s="385">
        <f t="shared" si="65"/>
        <v>14.34</v>
      </c>
      <c r="AP81" s="104">
        <f t="shared" si="66"/>
        <v>9624</v>
      </c>
      <c r="AQ81" s="385">
        <f t="shared" si="67"/>
        <v>14.34</v>
      </c>
      <c r="AR81" s="104">
        <f t="shared" si="68"/>
        <v>10950</v>
      </c>
      <c r="AS81" s="104">
        <f t="shared" si="69"/>
        <v>0</v>
      </c>
      <c r="AT81" s="104">
        <f t="shared" si="70"/>
        <v>0</v>
      </c>
      <c r="AU81" s="104">
        <f t="shared" si="71"/>
        <v>0</v>
      </c>
      <c r="AV81" s="104">
        <f t="shared" si="72"/>
        <v>0</v>
      </c>
      <c r="AW81" s="104">
        <f t="shared" si="73"/>
        <v>0</v>
      </c>
      <c r="AX81" s="104">
        <f t="shared" si="74"/>
        <v>0</v>
      </c>
    </row>
    <row r="82" spans="1:50" ht="18.75" customHeight="1" x14ac:dyDescent="0.4">
      <c r="A82" s="403" t="s">
        <v>354</v>
      </c>
      <c r="B82" s="404">
        <v>128</v>
      </c>
      <c r="C82" s="403" t="s">
        <v>60</v>
      </c>
      <c r="D82" s="12">
        <f>HLOOKUP($E$2,Database!$D$6:$OM$155,79,0)</f>
        <v>14.57</v>
      </c>
      <c r="E82" s="26">
        <f>HLOOKUP($E$3,Database!$D$6:$OM$155,79,0)</f>
        <v>1536594</v>
      </c>
      <c r="F82" s="12">
        <f>HLOOKUP($G$2,Database!$D$6:$OM$155,79,0)</f>
        <v>14.56</v>
      </c>
      <c r="G82" s="26">
        <f>HLOOKUP($G$3,Database!$D$6:$OM$155,79,0)</f>
        <v>11772</v>
      </c>
      <c r="H82" s="12">
        <f>HLOOKUP($I$2,Database!$D$6:$OM$155,79,0)</f>
        <v>14.56</v>
      </c>
      <c r="I82" s="26">
        <f>HLOOKUP($I$3,Database!$D$6:$OM$155,79,0)</f>
        <v>278264</v>
      </c>
      <c r="J82" s="12">
        <f>HLOOKUP($K$2,Database!$D$6:$OM$155,79,0)</f>
        <v>14.56</v>
      </c>
      <c r="K82" s="26">
        <f>HLOOKUP($K$3,Database!$D$6:$OM$155,79,0)</f>
        <v>377219</v>
      </c>
      <c r="L82" s="12">
        <f>HLOOKUP($M$2,Database!$D$6:$OM$155,79,0)</f>
        <v>0</v>
      </c>
      <c r="M82" s="26">
        <f>HLOOKUP($M$3,Database!$D$6:$OM$155,79,0)</f>
        <v>0</v>
      </c>
      <c r="N82" s="12">
        <f>HLOOKUP($O$2,Database!$D$6:$OM$155,79,0)</f>
        <v>0</v>
      </c>
      <c r="O82" s="26">
        <f>HLOOKUP($O$3,Database!$D$6:$OM$155,79,0)</f>
        <v>0</v>
      </c>
      <c r="P82" s="12">
        <f>HLOOKUP($Q$2,Database!$D$6:$OM$155,79,0)</f>
        <v>0</v>
      </c>
      <c r="Q82" s="26">
        <f>HLOOKUP($Q$3,Database!$D$6:$OM$155,79,0)</f>
        <v>0</v>
      </c>
      <c r="R82" s="12">
        <f>HLOOKUP($S$2,Database!$D$6:$OM$155,79,0)</f>
        <v>0</v>
      </c>
      <c r="S82" s="26">
        <f>HLOOKUP($S$3,Database!$D$6:$OM$155,79,0)</f>
        <v>0</v>
      </c>
      <c r="T82" s="12">
        <f>HLOOKUP($U$2,Database!$D$6:$OM$155,79,0)</f>
        <v>0</v>
      </c>
      <c r="U82" s="26">
        <f>HLOOKUP($U$3,Database!$D$6:$OM$155,79,0)</f>
        <v>0</v>
      </c>
      <c r="V82" s="12">
        <f>HLOOKUP($W$2,Database!$D$6:$OM$155,79,0)</f>
        <v>0</v>
      </c>
      <c r="W82" s="26">
        <f>HLOOKUP($W$3,Database!$D$6:$OM$155,79,0)</f>
        <v>0</v>
      </c>
      <c r="Y82" s="381">
        <f t="shared" si="50"/>
        <v>14.57</v>
      </c>
      <c r="Z82" s="382">
        <f t="shared" si="51"/>
        <v>14.56</v>
      </c>
      <c r="AA82" s="382">
        <f t="shared" si="52"/>
        <v>14.56</v>
      </c>
      <c r="AB82" s="382">
        <f t="shared" si="53"/>
        <v>14.56</v>
      </c>
      <c r="AC82" s="324" t="str">
        <f t="shared" si="54"/>
        <v/>
      </c>
      <c r="AD82" s="324" t="str">
        <f t="shared" si="55"/>
        <v/>
      </c>
      <c r="AE82" s="324" t="str">
        <f t="shared" si="56"/>
        <v/>
      </c>
      <c r="AF82" s="324" t="str">
        <f t="shared" si="57"/>
        <v/>
      </c>
      <c r="AG82" s="324" t="str">
        <f t="shared" si="58"/>
        <v/>
      </c>
      <c r="AH82" s="324" t="str">
        <f t="shared" si="59"/>
        <v/>
      </c>
      <c r="AI82" s="362" t="str">
        <f t="shared" si="60"/>
        <v/>
      </c>
      <c r="AJ82" s="363" t="str">
        <f t="shared" si="61"/>
        <v/>
      </c>
      <c r="AK82" s="382">
        <f t="shared" si="62"/>
        <v>9.9999999999997868E-3</v>
      </c>
      <c r="AL82" s="382">
        <f t="shared" si="63"/>
        <v>14.56</v>
      </c>
      <c r="AM82" s="384">
        <f t="shared" si="64"/>
        <v>14.57</v>
      </c>
      <c r="AN82" s="28"/>
      <c r="AO82" s="385">
        <f t="shared" si="65"/>
        <v>14.565000000000001</v>
      </c>
      <c r="AP82" s="104">
        <f t="shared" si="66"/>
        <v>774183</v>
      </c>
      <c r="AQ82" s="385">
        <f t="shared" si="67"/>
        <v>14.56</v>
      </c>
      <c r="AR82" s="385">
        <f t="shared" si="68"/>
        <v>327741.5</v>
      </c>
      <c r="AS82" s="104">
        <f t="shared" si="69"/>
        <v>0</v>
      </c>
      <c r="AT82" s="104">
        <f t="shared" si="70"/>
        <v>0</v>
      </c>
      <c r="AU82" s="104">
        <f t="shared" si="71"/>
        <v>0</v>
      </c>
      <c r="AV82" s="104">
        <f t="shared" si="72"/>
        <v>0</v>
      </c>
      <c r="AW82" s="104">
        <f t="shared" si="73"/>
        <v>0</v>
      </c>
      <c r="AX82" s="104">
        <f t="shared" si="74"/>
        <v>0</v>
      </c>
    </row>
    <row r="83" spans="1:50" ht="18.75" customHeight="1" x14ac:dyDescent="0.4">
      <c r="A83" s="403" t="s">
        <v>355</v>
      </c>
      <c r="B83" s="404">
        <v>149</v>
      </c>
      <c r="C83" s="403" t="s">
        <v>60</v>
      </c>
      <c r="D83" s="12">
        <f>HLOOKUP($E$2,Database!$D$6:$OM$155,80,0)</f>
        <v>14.49</v>
      </c>
      <c r="E83" s="26">
        <f>HLOOKUP($E$3,Database!$D$6:$OM$155,80,0)</f>
        <v>15269</v>
      </c>
      <c r="F83" s="12">
        <f>HLOOKUP($G$2,Database!$D$6:$OM$155,80,0)</f>
        <v>14.48</v>
      </c>
      <c r="G83" s="26">
        <f>HLOOKUP($G$3,Database!$D$6:$OM$155,80,0)</f>
        <v>2278</v>
      </c>
      <c r="H83" s="12">
        <f>HLOOKUP($I$2,Database!$D$6:$OM$155,80,0)</f>
        <v>14.48</v>
      </c>
      <c r="I83" s="26">
        <f>HLOOKUP($I$3,Database!$D$6:$OM$155,80,0)</f>
        <v>8763</v>
      </c>
      <c r="J83" s="12">
        <f>HLOOKUP($K$2,Database!$D$6:$OM$155,80,0)</f>
        <v>14.48</v>
      </c>
      <c r="K83" s="26">
        <f>HLOOKUP($K$3,Database!$D$6:$OM$155,80,0)</f>
        <v>12295</v>
      </c>
      <c r="L83" s="12">
        <f>HLOOKUP($M$2,Database!$D$6:$OM$155,80,0)</f>
        <v>0</v>
      </c>
      <c r="M83" s="26">
        <f>HLOOKUP($M$3,Database!$D$6:$OM$155,80,0)</f>
        <v>0</v>
      </c>
      <c r="N83" s="12">
        <f>HLOOKUP($O$2,Database!$D$6:$OM$155,80,0)</f>
        <v>0</v>
      </c>
      <c r="O83" s="26">
        <f>HLOOKUP($O$3,Database!$D$6:$OM$155,80,0)</f>
        <v>0</v>
      </c>
      <c r="P83" s="12">
        <f>HLOOKUP($Q$2,Database!$D$6:$OM$155,80,0)</f>
        <v>0</v>
      </c>
      <c r="Q83" s="26">
        <f>HLOOKUP($Q$3,Database!$D$6:$OM$155,80,0)</f>
        <v>0</v>
      </c>
      <c r="R83" s="12">
        <f>HLOOKUP($S$2,Database!$D$6:$OM$155,80,0)</f>
        <v>0</v>
      </c>
      <c r="S83" s="26">
        <f>HLOOKUP($S$3,Database!$D$6:$OM$155,80,0)</f>
        <v>0</v>
      </c>
      <c r="T83" s="12">
        <f>HLOOKUP($U$2,Database!$D$6:$OM$155,80,0)</f>
        <v>0</v>
      </c>
      <c r="U83" s="26">
        <f>HLOOKUP($U$3,Database!$D$6:$OM$155,80,0)</f>
        <v>0</v>
      </c>
      <c r="V83" s="12">
        <f>HLOOKUP($W$2,Database!$D$6:$OM$155,80,0)</f>
        <v>0</v>
      </c>
      <c r="W83" s="26">
        <f>HLOOKUP($W$3,Database!$D$6:$OM$155,80,0)</f>
        <v>0</v>
      </c>
      <c r="Y83" s="381">
        <f t="shared" si="50"/>
        <v>14.49</v>
      </c>
      <c r="Z83" s="382">
        <f t="shared" si="51"/>
        <v>14.48</v>
      </c>
      <c r="AA83" s="382">
        <f t="shared" si="52"/>
        <v>14.48</v>
      </c>
      <c r="AB83" s="382">
        <f t="shared" si="53"/>
        <v>14.48</v>
      </c>
      <c r="AC83" s="324" t="str">
        <f t="shared" si="54"/>
        <v/>
      </c>
      <c r="AD83" s="324" t="str">
        <f t="shared" si="55"/>
        <v/>
      </c>
      <c r="AE83" s="324" t="str">
        <f t="shared" si="56"/>
        <v/>
      </c>
      <c r="AF83" s="324" t="str">
        <f t="shared" si="57"/>
        <v/>
      </c>
      <c r="AG83" s="324" t="str">
        <f t="shared" si="58"/>
        <v/>
      </c>
      <c r="AH83" s="324" t="str">
        <f t="shared" si="59"/>
        <v/>
      </c>
      <c r="AI83" s="362" t="str">
        <f t="shared" si="60"/>
        <v/>
      </c>
      <c r="AJ83" s="363" t="str">
        <f t="shared" si="61"/>
        <v/>
      </c>
      <c r="AK83" s="382">
        <f t="shared" si="62"/>
        <v>9.9999999999997868E-3</v>
      </c>
      <c r="AL83" s="382">
        <f t="shared" si="63"/>
        <v>14.48</v>
      </c>
      <c r="AM83" s="384">
        <f t="shared" si="64"/>
        <v>14.49</v>
      </c>
      <c r="AN83" s="28"/>
      <c r="AO83" s="385">
        <f t="shared" si="65"/>
        <v>14.484999999999999</v>
      </c>
      <c r="AP83" s="385">
        <f t="shared" si="66"/>
        <v>8773.5</v>
      </c>
      <c r="AQ83" s="385">
        <f t="shared" si="67"/>
        <v>14.48</v>
      </c>
      <c r="AR83" s="104">
        <f t="shared" si="68"/>
        <v>10529</v>
      </c>
      <c r="AS83" s="104">
        <f t="shared" si="69"/>
        <v>0</v>
      </c>
      <c r="AT83" s="104">
        <f t="shared" si="70"/>
        <v>0</v>
      </c>
      <c r="AU83" s="104">
        <f t="shared" si="71"/>
        <v>0</v>
      </c>
      <c r="AV83" s="104">
        <f t="shared" si="72"/>
        <v>0</v>
      </c>
      <c r="AW83" s="104">
        <f t="shared" si="73"/>
        <v>0</v>
      </c>
      <c r="AX83" s="104">
        <f t="shared" si="74"/>
        <v>0</v>
      </c>
    </row>
    <row r="84" spans="1:50" ht="18.75" customHeight="1" x14ac:dyDescent="0.4">
      <c r="A84" s="403" t="s">
        <v>356</v>
      </c>
      <c r="B84" s="404">
        <v>163</v>
      </c>
      <c r="C84" s="403" t="s">
        <v>60</v>
      </c>
      <c r="D84" s="12">
        <f>HLOOKUP($E$2,Database!$D$6:$OM$155,81,0)</f>
        <v>14.68</v>
      </c>
      <c r="E84" s="26">
        <f>HLOOKUP($E$3,Database!$D$6:$OM$155,81,0)</f>
        <v>12173</v>
      </c>
      <c r="F84" s="12">
        <f>HLOOKUP($G$2,Database!$D$6:$OM$155,81,0)</f>
        <v>14.68</v>
      </c>
      <c r="G84" s="26">
        <f>HLOOKUP($G$3,Database!$D$6:$OM$155,81,0)</f>
        <v>1791</v>
      </c>
      <c r="H84" s="12">
        <f>HLOOKUP($I$2,Database!$D$6:$OM$155,81,0)</f>
        <v>14.68</v>
      </c>
      <c r="I84" s="26">
        <f>HLOOKUP($I$3,Database!$D$6:$OM$155,81,0)</f>
        <v>6719</v>
      </c>
      <c r="J84" s="12">
        <f>HLOOKUP($K$2,Database!$D$6:$OM$155,81,0)</f>
        <v>14.68</v>
      </c>
      <c r="K84" s="26">
        <f>HLOOKUP($K$3,Database!$D$6:$OM$155,81,0)</f>
        <v>8736</v>
      </c>
      <c r="L84" s="12">
        <f>HLOOKUP($M$2,Database!$D$6:$OM$155,81,0)</f>
        <v>0</v>
      </c>
      <c r="M84" s="26">
        <f>HLOOKUP($M$3,Database!$D$6:$OM$155,81,0)</f>
        <v>0</v>
      </c>
      <c r="N84" s="12">
        <f>HLOOKUP($O$2,Database!$D$6:$OM$155,81,0)</f>
        <v>0</v>
      </c>
      <c r="O84" s="26">
        <f>HLOOKUP($O$3,Database!$D$6:$OM$155,81,0)</f>
        <v>0</v>
      </c>
      <c r="P84" s="12">
        <f>HLOOKUP($Q$2,Database!$D$6:$OM$155,81,0)</f>
        <v>0</v>
      </c>
      <c r="Q84" s="26">
        <f>HLOOKUP($Q$3,Database!$D$6:$OM$155,81,0)</f>
        <v>0</v>
      </c>
      <c r="R84" s="12">
        <f>HLOOKUP($S$2,Database!$D$6:$OM$155,81,0)</f>
        <v>0</v>
      </c>
      <c r="S84" s="26">
        <f>HLOOKUP($S$3,Database!$D$6:$OM$155,81,0)</f>
        <v>0</v>
      </c>
      <c r="T84" s="12">
        <f>HLOOKUP($U$2,Database!$D$6:$OM$155,81,0)</f>
        <v>0</v>
      </c>
      <c r="U84" s="26">
        <f>HLOOKUP($U$3,Database!$D$6:$OM$155,81,0)</f>
        <v>0</v>
      </c>
      <c r="V84" s="12">
        <f>HLOOKUP($W$2,Database!$D$6:$OM$155,81,0)</f>
        <v>0</v>
      </c>
      <c r="W84" s="26">
        <f>HLOOKUP($W$3,Database!$D$6:$OM$155,81,0)</f>
        <v>0</v>
      </c>
      <c r="Y84" s="381">
        <f t="shared" si="50"/>
        <v>14.68</v>
      </c>
      <c r="Z84" s="382">
        <f t="shared" si="51"/>
        <v>14.68</v>
      </c>
      <c r="AA84" s="382">
        <f t="shared" si="52"/>
        <v>14.68</v>
      </c>
      <c r="AB84" s="382">
        <f t="shared" si="53"/>
        <v>14.68</v>
      </c>
      <c r="AC84" s="324" t="str">
        <f t="shared" si="54"/>
        <v/>
      </c>
      <c r="AD84" s="324" t="str">
        <f t="shared" si="55"/>
        <v/>
      </c>
      <c r="AE84" s="324" t="str">
        <f t="shared" si="56"/>
        <v/>
      </c>
      <c r="AF84" s="324" t="str">
        <f t="shared" si="57"/>
        <v/>
      </c>
      <c r="AG84" s="324" t="str">
        <f t="shared" si="58"/>
        <v/>
      </c>
      <c r="AH84" s="324" t="str">
        <f t="shared" si="59"/>
        <v/>
      </c>
      <c r="AI84" s="362" t="str">
        <f t="shared" si="60"/>
        <v/>
      </c>
      <c r="AJ84" s="363" t="str">
        <f t="shared" si="61"/>
        <v/>
      </c>
      <c r="AK84" s="383">
        <f t="shared" si="62"/>
        <v>0</v>
      </c>
      <c r="AL84" s="382">
        <f t="shared" si="63"/>
        <v>14.68</v>
      </c>
      <c r="AM84" s="384">
        <f t="shared" si="64"/>
        <v>14.68</v>
      </c>
      <c r="AN84" s="28"/>
      <c r="AO84" s="385">
        <f t="shared" si="65"/>
        <v>14.68</v>
      </c>
      <c r="AP84" s="104">
        <f t="shared" si="66"/>
        <v>6982</v>
      </c>
      <c r="AQ84" s="385">
        <f t="shared" si="67"/>
        <v>14.68</v>
      </c>
      <c r="AR84" s="385">
        <f t="shared" si="68"/>
        <v>7727.5</v>
      </c>
      <c r="AS84" s="104">
        <f t="shared" si="69"/>
        <v>0</v>
      </c>
      <c r="AT84" s="104">
        <f t="shared" si="70"/>
        <v>0</v>
      </c>
      <c r="AU84" s="104">
        <f t="shared" si="71"/>
        <v>0</v>
      </c>
      <c r="AV84" s="104">
        <f t="shared" si="72"/>
        <v>0</v>
      </c>
      <c r="AW84" s="104">
        <f t="shared" si="73"/>
        <v>0</v>
      </c>
      <c r="AX84" s="104">
        <f t="shared" si="74"/>
        <v>0</v>
      </c>
    </row>
    <row r="85" spans="1:50" ht="18.75" customHeight="1" x14ac:dyDescent="0.4">
      <c r="A85" s="403" t="s">
        <v>357</v>
      </c>
      <c r="B85" s="404">
        <v>166</v>
      </c>
      <c r="C85" s="403" t="s">
        <v>94</v>
      </c>
      <c r="D85" s="12">
        <f>HLOOKUP($E$2,Database!$D$6:$OM$155,82,0)</f>
        <v>14.51</v>
      </c>
      <c r="E85" s="26">
        <f>HLOOKUP($E$3,Database!$D$6:$OM$155,82,0)</f>
        <v>468007</v>
      </c>
      <c r="F85" s="12">
        <f>HLOOKUP($G$2,Database!$D$6:$OM$155,82,0)</f>
        <v>14.12</v>
      </c>
      <c r="G85" s="26">
        <f>HLOOKUP($G$3,Database!$D$6:$OM$155,82,0)</f>
        <v>57286</v>
      </c>
      <c r="H85" s="12">
        <f>HLOOKUP($I$2,Database!$D$6:$OM$155,82,0)</f>
        <v>14.11</v>
      </c>
      <c r="I85" s="26">
        <f>HLOOKUP($I$3,Database!$D$6:$OM$155,82,0)</f>
        <v>212041</v>
      </c>
      <c r="J85" s="12">
        <f>HLOOKUP($K$2,Database!$D$6:$OM$155,82,0)</f>
        <v>14.12</v>
      </c>
      <c r="K85" s="26">
        <f>HLOOKUP($K$3,Database!$D$6:$OM$155,82,0)</f>
        <v>292532</v>
      </c>
      <c r="L85" s="12">
        <f>HLOOKUP($M$2,Database!$D$6:$OM$155,82,0)</f>
        <v>0</v>
      </c>
      <c r="M85" s="26">
        <f>HLOOKUP($M$3,Database!$D$6:$OM$155,82,0)</f>
        <v>0</v>
      </c>
      <c r="N85" s="12">
        <f>HLOOKUP($O$2,Database!$D$6:$OM$155,82,0)</f>
        <v>0</v>
      </c>
      <c r="O85" s="26">
        <f>HLOOKUP($O$3,Database!$D$6:$OM$155,82,0)</f>
        <v>0</v>
      </c>
      <c r="P85" s="12">
        <f>HLOOKUP($Q$2,Database!$D$6:$OM$155,82,0)</f>
        <v>0</v>
      </c>
      <c r="Q85" s="26">
        <f>HLOOKUP($Q$3,Database!$D$6:$OM$155,82,0)</f>
        <v>0</v>
      </c>
      <c r="R85" s="12">
        <f>HLOOKUP($S$2,Database!$D$6:$OM$155,82,0)</f>
        <v>0</v>
      </c>
      <c r="S85" s="26">
        <f>HLOOKUP($S$3,Database!$D$6:$OM$155,82,0)</f>
        <v>0</v>
      </c>
      <c r="T85" s="12">
        <f>HLOOKUP($U$2,Database!$D$6:$OM$155,82,0)</f>
        <v>0</v>
      </c>
      <c r="U85" s="26">
        <f>HLOOKUP($U$3,Database!$D$6:$OM$155,82,0)</f>
        <v>0</v>
      </c>
      <c r="V85" s="12">
        <f>HLOOKUP($W$2,Database!$D$6:$OM$155,82,0)</f>
        <v>0</v>
      </c>
      <c r="W85" s="26">
        <f>HLOOKUP($W$3,Database!$D$6:$OM$155,82,0)</f>
        <v>0</v>
      </c>
      <c r="Y85" s="381">
        <f t="shared" si="50"/>
        <v>14.51</v>
      </c>
      <c r="Z85" s="382">
        <f t="shared" si="51"/>
        <v>14.12</v>
      </c>
      <c r="AA85" s="382">
        <f t="shared" si="52"/>
        <v>14.11</v>
      </c>
      <c r="AB85" s="382">
        <f t="shared" si="53"/>
        <v>14.12</v>
      </c>
      <c r="AC85" s="324" t="str">
        <f t="shared" si="54"/>
        <v/>
      </c>
      <c r="AD85" s="324" t="str">
        <f t="shared" si="55"/>
        <v/>
      </c>
      <c r="AE85" s="324" t="str">
        <f t="shared" si="56"/>
        <v/>
      </c>
      <c r="AF85" s="324" t="str">
        <f t="shared" si="57"/>
        <v/>
      </c>
      <c r="AG85" s="324" t="str">
        <f t="shared" si="58"/>
        <v/>
      </c>
      <c r="AH85" s="324" t="str">
        <f t="shared" si="59"/>
        <v/>
      </c>
      <c r="AI85" s="362" t="str">
        <f t="shared" si="60"/>
        <v/>
      </c>
      <c r="AJ85" s="363">
        <f t="shared" si="61"/>
        <v>1</v>
      </c>
      <c r="AK85" s="382">
        <f t="shared" si="62"/>
        <v>0.40000000000000036</v>
      </c>
      <c r="AL85" s="382">
        <f t="shared" si="63"/>
        <v>14.11</v>
      </c>
      <c r="AM85" s="384">
        <f t="shared" si="64"/>
        <v>14.51</v>
      </c>
      <c r="AN85" s="28"/>
      <c r="AO85" s="385">
        <f t="shared" si="65"/>
        <v>14.315</v>
      </c>
      <c r="AP85" s="385">
        <f t="shared" si="66"/>
        <v>262646.5</v>
      </c>
      <c r="AQ85" s="385">
        <f t="shared" si="67"/>
        <v>14.114999999999998</v>
      </c>
      <c r="AR85" s="385">
        <f t="shared" si="68"/>
        <v>252286.5</v>
      </c>
      <c r="AS85" s="104">
        <f t="shared" si="69"/>
        <v>0</v>
      </c>
      <c r="AT85" s="104">
        <f t="shared" si="70"/>
        <v>0</v>
      </c>
      <c r="AU85" s="104">
        <f t="shared" si="71"/>
        <v>0</v>
      </c>
      <c r="AV85" s="104">
        <f t="shared" si="72"/>
        <v>0</v>
      </c>
      <c r="AW85" s="104">
        <f t="shared" si="73"/>
        <v>0</v>
      </c>
      <c r="AX85" s="104">
        <f t="shared" si="74"/>
        <v>0</v>
      </c>
    </row>
    <row r="86" spans="1:50" ht="18.75" customHeight="1" x14ac:dyDescent="0.4">
      <c r="A86" s="403" t="s">
        <v>358</v>
      </c>
      <c r="B86" s="404">
        <v>163</v>
      </c>
      <c r="C86" s="403" t="s">
        <v>60</v>
      </c>
      <c r="D86" s="12">
        <f>HLOOKUP($E$2,Database!$D$6:$OM$155,83,0)</f>
        <v>15.5</v>
      </c>
      <c r="E86" s="26">
        <f>HLOOKUP($E$3,Database!$D$6:$OM$155,83,0)</f>
        <v>10857</v>
      </c>
      <c r="F86" s="12">
        <f>HLOOKUP($G$2,Database!$D$6:$OM$155,83,0)</f>
        <v>15.49</v>
      </c>
      <c r="G86" s="26">
        <f>HLOOKUP($G$3,Database!$D$6:$OM$155,83,0)</f>
        <v>2014</v>
      </c>
      <c r="H86" s="12">
        <f>HLOOKUP($I$2,Database!$D$6:$OM$155,83,0)</f>
        <v>15.49</v>
      </c>
      <c r="I86" s="26">
        <f>HLOOKUP($I$3,Database!$D$6:$OM$155,83,0)</f>
        <v>7191</v>
      </c>
      <c r="J86" s="12">
        <f>HLOOKUP($K$2,Database!$D$6:$OM$155,83,0)</f>
        <v>15.49</v>
      </c>
      <c r="K86" s="26">
        <f>HLOOKUP($K$3,Database!$D$6:$OM$155,83,0)</f>
        <v>9098</v>
      </c>
      <c r="L86" s="12">
        <f>HLOOKUP($M$2,Database!$D$6:$OM$155,83,0)</f>
        <v>0</v>
      </c>
      <c r="M86" s="26">
        <f>HLOOKUP($M$3,Database!$D$6:$OM$155,83,0)</f>
        <v>0</v>
      </c>
      <c r="N86" s="12">
        <f>HLOOKUP($O$2,Database!$D$6:$OM$155,83,0)</f>
        <v>0</v>
      </c>
      <c r="O86" s="26">
        <f>HLOOKUP($O$3,Database!$D$6:$OM$155,83,0)</f>
        <v>0</v>
      </c>
      <c r="P86" s="12">
        <f>HLOOKUP($Q$2,Database!$D$6:$OM$155,83,0)</f>
        <v>0</v>
      </c>
      <c r="Q86" s="26">
        <f>HLOOKUP($Q$3,Database!$D$6:$OM$155,83,0)</f>
        <v>0</v>
      </c>
      <c r="R86" s="12">
        <f>HLOOKUP($S$2,Database!$D$6:$OM$155,83,0)</f>
        <v>0</v>
      </c>
      <c r="S86" s="26">
        <f>HLOOKUP($S$3,Database!$D$6:$OM$155,83,0)</f>
        <v>0</v>
      </c>
      <c r="T86" s="12">
        <f>HLOOKUP($U$2,Database!$D$6:$OM$155,83,0)</f>
        <v>0</v>
      </c>
      <c r="U86" s="26">
        <f>HLOOKUP($U$3,Database!$D$6:$OM$155,83,0)</f>
        <v>0</v>
      </c>
      <c r="V86" s="12">
        <f>HLOOKUP($W$2,Database!$D$6:$OM$155,83,0)</f>
        <v>0</v>
      </c>
      <c r="W86" s="26">
        <f>HLOOKUP($W$3,Database!$D$6:$OM$155,83,0)</f>
        <v>0</v>
      </c>
      <c r="Y86" s="381">
        <f t="shared" si="50"/>
        <v>15.5</v>
      </c>
      <c r="Z86" s="382">
        <f t="shared" si="51"/>
        <v>15.49</v>
      </c>
      <c r="AA86" s="382">
        <f t="shared" si="52"/>
        <v>15.49</v>
      </c>
      <c r="AB86" s="382">
        <f t="shared" si="53"/>
        <v>15.49</v>
      </c>
      <c r="AC86" s="324" t="str">
        <f t="shared" si="54"/>
        <v/>
      </c>
      <c r="AD86" s="324" t="str">
        <f t="shared" si="55"/>
        <v/>
      </c>
      <c r="AE86" s="324" t="str">
        <f t="shared" si="56"/>
        <v/>
      </c>
      <c r="AF86" s="324" t="str">
        <f t="shared" si="57"/>
        <v/>
      </c>
      <c r="AG86" s="324" t="str">
        <f t="shared" si="58"/>
        <v/>
      </c>
      <c r="AH86" s="324" t="str">
        <f t="shared" si="59"/>
        <v/>
      </c>
      <c r="AI86" s="362" t="str">
        <f t="shared" si="60"/>
        <v/>
      </c>
      <c r="AJ86" s="363" t="str">
        <f t="shared" si="61"/>
        <v/>
      </c>
      <c r="AK86" s="382">
        <f t="shared" si="62"/>
        <v>9.9999999999997868E-3</v>
      </c>
      <c r="AL86" s="382">
        <f t="shared" si="63"/>
        <v>15.49</v>
      </c>
      <c r="AM86" s="384">
        <f t="shared" si="64"/>
        <v>15.5</v>
      </c>
      <c r="AN86" s="28"/>
      <c r="AO86" s="385">
        <f t="shared" si="65"/>
        <v>15.495000000000001</v>
      </c>
      <c r="AP86" s="385">
        <f t="shared" si="66"/>
        <v>6435.5</v>
      </c>
      <c r="AQ86" s="385">
        <f t="shared" si="67"/>
        <v>15.49</v>
      </c>
      <c r="AR86" s="385">
        <f t="shared" si="68"/>
        <v>8144.5</v>
      </c>
      <c r="AS86" s="104">
        <f t="shared" si="69"/>
        <v>0</v>
      </c>
      <c r="AT86" s="104">
        <f t="shared" si="70"/>
        <v>0</v>
      </c>
      <c r="AU86" s="104">
        <f t="shared" si="71"/>
        <v>0</v>
      </c>
      <c r="AV86" s="104">
        <f t="shared" si="72"/>
        <v>0</v>
      </c>
      <c r="AW86" s="104">
        <f t="shared" si="73"/>
        <v>0</v>
      </c>
      <c r="AX86" s="104">
        <f t="shared" si="74"/>
        <v>0</v>
      </c>
    </row>
    <row r="87" spans="1:50" ht="18.75" customHeight="1" x14ac:dyDescent="0.4">
      <c r="A87" s="403" t="s">
        <v>359</v>
      </c>
      <c r="B87" s="404">
        <v>177</v>
      </c>
      <c r="C87" s="403" t="s">
        <v>60</v>
      </c>
      <c r="D87" s="12">
        <f>HLOOKUP($E$2,Database!$D$6:$OM$155,84,0)</f>
        <v>15.61</v>
      </c>
      <c r="E87" s="26">
        <f>HLOOKUP($E$3,Database!$D$6:$OM$155,84,0)</f>
        <v>7139</v>
      </c>
      <c r="F87" s="12">
        <f>HLOOKUP($G$2,Database!$D$6:$OM$155,84,0)</f>
        <v>15.61</v>
      </c>
      <c r="G87" s="26">
        <f>HLOOKUP($G$3,Database!$D$6:$OM$155,84,0)</f>
        <v>1387</v>
      </c>
      <c r="H87" s="12">
        <f>HLOOKUP($I$2,Database!$D$6:$OM$155,84,0)</f>
        <v>15.6</v>
      </c>
      <c r="I87" s="26">
        <f>HLOOKUP($I$3,Database!$D$6:$OM$155,84,0)</f>
        <v>4784</v>
      </c>
      <c r="J87" s="12">
        <f>HLOOKUP($K$2,Database!$D$6:$OM$155,84,0)</f>
        <v>15.6</v>
      </c>
      <c r="K87" s="26">
        <f>HLOOKUP($K$3,Database!$D$6:$OM$155,84,0)</f>
        <v>5889</v>
      </c>
      <c r="L87" s="12">
        <f>HLOOKUP($M$2,Database!$D$6:$OM$155,84,0)</f>
        <v>0</v>
      </c>
      <c r="M87" s="26">
        <f>HLOOKUP($M$3,Database!$D$6:$OM$155,84,0)</f>
        <v>0</v>
      </c>
      <c r="N87" s="12">
        <f>HLOOKUP($O$2,Database!$D$6:$OM$155,84,0)</f>
        <v>0</v>
      </c>
      <c r="O87" s="26">
        <f>HLOOKUP($O$3,Database!$D$6:$OM$155,84,0)</f>
        <v>0</v>
      </c>
      <c r="P87" s="12">
        <f>HLOOKUP($Q$2,Database!$D$6:$OM$155,84,0)</f>
        <v>0</v>
      </c>
      <c r="Q87" s="26">
        <f>HLOOKUP($Q$3,Database!$D$6:$OM$155,84,0)</f>
        <v>0</v>
      </c>
      <c r="R87" s="12">
        <f>HLOOKUP($S$2,Database!$D$6:$OM$155,84,0)</f>
        <v>0</v>
      </c>
      <c r="S87" s="26">
        <f>HLOOKUP($S$3,Database!$D$6:$OM$155,84,0)</f>
        <v>0</v>
      </c>
      <c r="T87" s="12">
        <f>HLOOKUP($U$2,Database!$D$6:$OM$155,84,0)</f>
        <v>0</v>
      </c>
      <c r="U87" s="26">
        <f>HLOOKUP($U$3,Database!$D$6:$OM$155,84,0)</f>
        <v>0</v>
      </c>
      <c r="V87" s="12">
        <f>HLOOKUP($W$2,Database!$D$6:$OM$155,84,0)</f>
        <v>0</v>
      </c>
      <c r="W87" s="26">
        <f>HLOOKUP($W$3,Database!$D$6:$OM$155,84,0)</f>
        <v>0</v>
      </c>
      <c r="Y87" s="381">
        <f t="shared" si="50"/>
        <v>15.61</v>
      </c>
      <c r="Z87" s="382">
        <f t="shared" si="51"/>
        <v>15.61</v>
      </c>
      <c r="AA87" s="382">
        <f t="shared" si="52"/>
        <v>15.6</v>
      </c>
      <c r="AB87" s="382">
        <f t="shared" si="53"/>
        <v>15.6</v>
      </c>
      <c r="AC87" s="324" t="str">
        <f t="shared" si="54"/>
        <v/>
      </c>
      <c r="AD87" s="324" t="str">
        <f t="shared" si="55"/>
        <v/>
      </c>
      <c r="AE87" s="324" t="str">
        <f t="shared" si="56"/>
        <v/>
      </c>
      <c r="AF87" s="324" t="str">
        <f t="shared" si="57"/>
        <v/>
      </c>
      <c r="AG87" s="324" t="str">
        <f t="shared" si="58"/>
        <v/>
      </c>
      <c r="AH87" s="324" t="str">
        <f t="shared" si="59"/>
        <v/>
      </c>
      <c r="AI87" s="362" t="str">
        <f t="shared" si="60"/>
        <v/>
      </c>
      <c r="AJ87" s="363" t="str">
        <f t="shared" si="61"/>
        <v/>
      </c>
      <c r="AK87" s="382">
        <f t="shared" si="62"/>
        <v>9.9999999999997868E-3</v>
      </c>
      <c r="AL87" s="382">
        <f t="shared" si="63"/>
        <v>15.6</v>
      </c>
      <c r="AM87" s="384">
        <f t="shared" si="64"/>
        <v>15.61</v>
      </c>
      <c r="AN87" s="28"/>
      <c r="AO87" s="385">
        <f t="shared" si="65"/>
        <v>15.61</v>
      </c>
      <c r="AP87" s="104">
        <f t="shared" si="66"/>
        <v>4263</v>
      </c>
      <c r="AQ87" s="385">
        <f t="shared" si="67"/>
        <v>15.6</v>
      </c>
      <c r="AR87" s="385">
        <f t="shared" si="68"/>
        <v>5336.5</v>
      </c>
      <c r="AS87" s="104">
        <f t="shared" si="69"/>
        <v>0</v>
      </c>
      <c r="AT87" s="104">
        <f t="shared" si="70"/>
        <v>0</v>
      </c>
      <c r="AU87" s="104">
        <f t="shared" si="71"/>
        <v>0</v>
      </c>
      <c r="AV87" s="104">
        <f t="shared" si="72"/>
        <v>0</v>
      </c>
      <c r="AW87" s="104">
        <f t="shared" si="73"/>
        <v>0</v>
      </c>
      <c r="AX87" s="104">
        <f t="shared" si="74"/>
        <v>0</v>
      </c>
    </row>
    <row r="88" spans="1:50" ht="18.75" customHeight="1" x14ac:dyDescent="0.4">
      <c r="A88" s="403" t="s">
        <v>360</v>
      </c>
      <c r="B88" s="404">
        <v>142</v>
      </c>
      <c r="C88" s="403" t="s">
        <v>60</v>
      </c>
      <c r="D88" s="12">
        <f>HLOOKUP($E$2,Database!$D$6:$OM$155,85,0)</f>
        <v>17.93</v>
      </c>
      <c r="E88" s="26">
        <f>HLOOKUP($E$3,Database!$D$6:$OM$155,85,0)</f>
        <v>1557503</v>
      </c>
      <c r="F88" s="12">
        <f>HLOOKUP($G$2,Database!$D$6:$OM$155,85,0)</f>
        <v>17.93</v>
      </c>
      <c r="G88" s="26">
        <f>HLOOKUP($G$3,Database!$D$6:$OM$155,85,0)</f>
        <v>63106</v>
      </c>
      <c r="H88" s="12">
        <f>HLOOKUP($I$2,Database!$D$6:$OM$155,85,0)</f>
        <v>17.93</v>
      </c>
      <c r="I88" s="26">
        <f>HLOOKUP($I$3,Database!$D$6:$OM$155,85,0)</f>
        <v>387203</v>
      </c>
      <c r="J88" s="12">
        <f>HLOOKUP($K$2,Database!$D$6:$OM$155,85,0)</f>
        <v>17.93</v>
      </c>
      <c r="K88" s="26">
        <f>HLOOKUP($K$3,Database!$D$6:$OM$155,85,0)</f>
        <v>467769</v>
      </c>
      <c r="L88" s="12">
        <f>HLOOKUP($M$2,Database!$D$6:$OM$155,85,0)</f>
        <v>0</v>
      </c>
      <c r="M88" s="26">
        <f>HLOOKUP($M$3,Database!$D$6:$OM$155,85,0)</f>
        <v>0</v>
      </c>
      <c r="N88" s="12">
        <f>HLOOKUP($O$2,Database!$D$6:$OM$155,85,0)</f>
        <v>0</v>
      </c>
      <c r="O88" s="26">
        <f>HLOOKUP($O$3,Database!$D$6:$OM$155,85,0)</f>
        <v>0</v>
      </c>
      <c r="P88" s="12">
        <f>HLOOKUP($Q$2,Database!$D$6:$OM$155,85,0)</f>
        <v>0</v>
      </c>
      <c r="Q88" s="26">
        <f>HLOOKUP($Q$3,Database!$D$6:$OM$155,85,0)</f>
        <v>0</v>
      </c>
      <c r="R88" s="12">
        <f>HLOOKUP($S$2,Database!$D$6:$OM$155,85,0)</f>
        <v>0</v>
      </c>
      <c r="S88" s="26">
        <f>HLOOKUP($S$3,Database!$D$6:$OM$155,85,0)</f>
        <v>0</v>
      </c>
      <c r="T88" s="12">
        <f>HLOOKUP($U$2,Database!$D$6:$OM$155,85,0)</f>
        <v>0</v>
      </c>
      <c r="U88" s="26">
        <f>HLOOKUP($U$3,Database!$D$6:$OM$155,85,0)</f>
        <v>0</v>
      </c>
      <c r="V88" s="12">
        <f>HLOOKUP($W$2,Database!$D$6:$OM$155,85,0)</f>
        <v>0</v>
      </c>
      <c r="W88" s="26">
        <f>HLOOKUP($W$3,Database!$D$6:$OM$155,85,0)</f>
        <v>0</v>
      </c>
      <c r="Y88" s="381">
        <f t="shared" si="50"/>
        <v>17.93</v>
      </c>
      <c r="Z88" s="382">
        <f t="shared" si="51"/>
        <v>17.93</v>
      </c>
      <c r="AA88" s="382">
        <f t="shared" si="52"/>
        <v>17.93</v>
      </c>
      <c r="AB88" s="382">
        <f t="shared" si="53"/>
        <v>17.93</v>
      </c>
      <c r="AC88" s="324" t="str">
        <f t="shared" si="54"/>
        <v/>
      </c>
      <c r="AD88" s="324" t="str">
        <f t="shared" si="55"/>
        <v/>
      </c>
      <c r="AE88" s="324" t="str">
        <f t="shared" si="56"/>
        <v/>
      </c>
      <c r="AF88" s="324" t="str">
        <f t="shared" si="57"/>
        <v/>
      </c>
      <c r="AG88" s="324" t="str">
        <f t="shared" si="58"/>
        <v/>
      </c>
      <c r="AH88" s="324" t="str">
        <f t="shared" si="59"/>
        <v/>
      </c>
      <c r="AI88" s="362" t="str">
        <f t="shared" si="60"/>
        <v/>
      </c>
      <c r="AJ88" s="363" t="str">
        <f t="shared" si="61"/>
        <v/>
      </c>
      <c r="AK88" s="383">
        <f t="shared" si="62"/>
        <v>0</v>
      </c>
      <c r="AL88" s="382">
        <f t="shared" si="63"/>
        <v>17.93</v>
      </c>
      <c r="AM88" s="384">
        <f t="shared" si="64"/>
        <v>17.93</v>
      </c>
      <c r="AN88" s="28"/>
      <c r="AO88" s="385">
        <f t="shared" si="65"/>
        <v>17.93</v>
      </c>
      <c r="AP88" s="385">
        <f t="shared" si="66"/>
        <v>810304.5</v>
      </c>
      <c r="AQ88" s="385">
        <f t="shared" si="67"/>
        <v>17.93</v>
      </c>
      <c r="AR88" s="104">
        <f t="shared" si="68"/>
        <v>427486</v>
      </c>
      <c r="AS88" s="104">
        <f t="shared" si="69"/>
        <v>0</v>
      </c>
      <c r="AT88" s="104">
        <f t="shared" si="70"/>
        <v>0</v>
      </c>
      <c r="AU88" s="104">
        <f t="shared" si="71"/>
        <v>0</v>
      </c>
      <c r="AV88" s="104">
        <f t="shared" si="72"/>
        <v>0</v>
      </c>
      <c r="AW88" s="104">
        <f t="shared" si="73"/>
        <v>0</v>
      </c>
      <c r="AX88" s="104">
        <f t="shared" si="74"/>
        <v>0</v>
      </c>
    </row>
    <row r="89" spans="1:50" ht="18.75" customHeight="1" x14ac:dyDescent="0.4">
      <c r="A89" s="403" t="s">
        <v>361</v>
      </c>
      <c r="B89" s="404">
        <v>106</v>
      </c>
      <c r="C89" s="403" t="s">
        <v>60</v>
      </c>
      <c r="D89" s="12">
        <f>HLOOKUP($E$2,Database!$D$6:$OM$155,86,0)</f>
        <v>18.989999999999998</v>
      </c>
      <c r="E89" s="26">
        <f>HLOOKUP($E$3,Database!$D$6:$OM$155,86,0)</f>
        <v>25636</v>
      </c>
      <c r="F89" s="12">
        <f>HLOOKUP($G$2,Database!$D$6:$OM$155,86,0)</f>
        <v>18.989999999999998</v>
      </c>
      <c r="G89" s="26">
        <f>HLOOKUP($G$3,Database!$D$6:$OM$155,86,0)</f>
        <v>4763</v>
      </c>
      <c r="H89" s="12">
        <f>HLOOKUP($I$2,Database!$D$6:$OM$155,86,0)</f>
        <v>18.98</v>
      </c>
      <c r="I89" s="26">
        <f>HLOOKUP($I$3,Database!$D$6:$OM$155,86,0)</f>
        <v>16487</v>
      </c>
      <c r="J89" s="12">
        <f>HLOOKUP($K$2,Database!$D$6:$OM$155,86,0)</f>
        <v>18.98</v>
      </c>
      <c r="K89" s="26">
        <f>HLOOKUP($K$3,Database!$D$6:$OM$155,86,0)</f>
        <v>18744</v>
      </c>
      <c r="L89" s="12">
        <f>HLOOKUP($M$2,Database!$D$6:$OM$155,86,0)</f>
        <v>0</v>
      </c>
      <c r="M89" s="26">
        <f>HLOOKUP($M$3,Database!$D$6:$OM$155,86,0)</f>
        <v>0</v>
      </c>
      <c r="N89" s="12">
        <f>HLOOKUP($O$2,Database!$D$6:$OM$155,86,0)</f>
        <v>0</v>
      </c>
      <c r="O89" s="26">
        <f>HLOOKUP($O$3,Database!$D$6:$OM$155,86,0)</f>
        <v>0</v>
      </c>
      <c r="P89" s="12">
        <f>HLOOKUP($Q$2,Database!$D$6:$OM$155,86,0)</f>
        <v>0</v>
      </c>
      <c r="Q89" s="26">
        <f>HLOOKUP($Q$3,Database!$D$6:$OM$155,86,0)</f>
        <v>0</v>
      </c>
      <c r="R89" s="12">
        <f>HLOOKUP($S$2,Database!$D$6:$OM$155,86,0)</f>
        <v>0</v>
      </c>
      <c r="S89" s="26">
        <f>HLOOKUP($S$3,Database!$D$6:$OM$155,86,0)</f>
        <v>0</v>
      </c>
      <c r="T89" s="12">
        <f>HLOOKUP($U$2,Database!$D$6:$OM$155,86,0)</f>
        <v>0</v>
      </c>
      <c r="U89" s="26">
        <f>HLOOKUP($U$3,Database!$D$6:$OM$155,86,0)</f>
        <v>0</v>
      </c>
      <c r="V89" s="12">
        <f>HLOOKUP($W$2,Database!$D$6:$OM$155,86,0)</f>
        <v>0</v>
      </c>
      <c r="W89" s="26">
        <f>HLOOKUP($W$3,Database!$D$6:$OM$155,86,0)</f>
        <v>0</v>
      </c>
      <c r="Y89" s="381">
        <f t="shared" si="50"/>
        <v>18.989999999999998</v>
      </c>
      <c r="Z89" s="382">
        <f t="shared" si="51"/>
        <v>18.989999999999998</v>
      </c>
      <c r="AA89" s="382">
        <f t="shared" si="52"/>
        <v>18.98</v>
      </c>
      <c r="AB89" s="382">
        <f t="shared" si="53"/>
        <v>18.98</v>
      </c>
      <c r="AC89" s="324" t="str">
        <f t="shared" si="54"/>
        <v/>
      </c>
      <c r="AD89" s="324" t="str">
        <f t="shared" si="55"/>
        <v/>
      </c>
      <c r="AE89" s="324" t="str">
        <f t="shared" si="56"/>
        <v/>
      </c>
      <c r="AF89" s="324" t="str">
        <f t="shared" si="57"/>
        <v/>
      </c>
      <c r="AG89" s="324" t="str">
        <f t="shared" si="58"/>
        <v/>
      </c>
      <c r="AH89" s="324" t="str">
        <f t="shared" si="59"/>
        <v/>
      </c>
      <c r="AI89" s="362" t="str">
        <f t="shared" si="60"/>
        <v/>
      </c>
      <c r="AJ89" s="363" t="str">
        <f t="shared" si="61"/>
        <v/>
      </c>
      <c r="AK89" s="382">
        <f t="shared" si="62"/>
        <v>9.9999999999980105E-3</v>
      </c>
      <c r="AL89" s="382">
        <f t="shared" si="63"/>
        <v>18.98</v>
      </c>
      <c r="AM89" s="384">
        <f t="shared" si="64"/>
        <v>18.989999999999998</v>
      </c>
      <c r="AN89" s="28"/>
      <c r="AO89" s="385">
        <f t="shared" si="65"/>
        <v>18.989999999999998</v>
      </c>
      <c r="AP89" s="385">
        <f t="shared" si="66"/>
        <v>15199.5</v>
      </c>
      <c r="AQ89" s="385">
        <f t="shared" si="67"/>
        <v>18.98</v>
      </c>
      <c r="AR89" s="385">
        <f t="shared" si="68"/>
        <v>17615.5</v>
      </c>
      <c r="AS89" s="104">
        <f t="shared" si="69"/>
        <v>0</v>
      </c>
      <c r="AT89" s="104">
        <f t="shared" si="70"/>
        <v>0</v>
      </c>
      <c r="AU89" s="104">
        <f t="shared" si="71"/>
        <v>0</v>
      </c>
      <c r="AV89" s="104">
        <f t="shared" si="72"/>
        <v>0</v>
      </c>
      <c r="AW89" s="104">
        <f t="shared" si="73"/>
        <v>0</v>
      </c>
      <c r="AX89" s="104">
        <f t="shared" si="74"/>
        <v>0</v>
      </c>
    </row>
    <row r="90" spans="1:50" ht="18.75" customHeight="1" x14ac:dyDescent="0.4">
      <c r="A90" s="403" t="s">
        <v>362</v>
      </c>
      <c r="B90" s="404">
        <v>169</v>
      </c>
      <c r="C90" s="403" t="s">
        <v>60</v>
      </c>
      <c r="D90" s="12">
        <f>HLOOKUP($E$2,Database!$D$6:$OM$155,87,0)</f>
        <v>19.46</v>
      </c>
      <c r="E90" s="26">
        <f>HLOOKUP($E$3,Database!$D$6:$OM$155,87,0)</f>
        <v>16833</v>
      </c>
      <c r="F90" s="12">
        <f>HLOOKUP($G$2,Database!$D$6:$OM$155,87,0)</f>
        <v>19.45</v>
      </c>
      <c r="G90" s="26">
        <f>HLOOKUP($G$3,Database!$D$6:$OM$155,87,0)</f>
        <v>2097</v>
      </c>
      <c r="H90" s="12">
        <f>HLOOKUP($I$2,Database!$D$6:$OM$155,87,0)</f>
        <v>19.45</v>
      </c>
      <c r="I90" s="26">
        <f>HLOOKUP($I$3,Database!$D$6:$OM$155,87,0)</f>
        <v>7522</v>
      </c>
      <c r="J90" s="12">
        <f>HLOOKUP($K$2,Database!$D$6:$OM$155,87,0)</f>
        <v>19.45</v>
      </c>
      <c r="K90" s="26">
        <f>HLOOKUP($K$3,Database!$D$6:$OM$155,87,0)</f>
        <v>8938</v>
      </c>
      <c r="L90" s="12">
        <f>HLOOKUP($M$2,Database!$D$6:$OM$155,87,0)</f>
        <v>0</v>
      </c>
      <c r="M90" s="26">
        <f>HLOOKUP($M$3,Database!$D$6:$OM$155,87,0)</f>
        <v>0</v>
      </c>
      <c r="N90" s="12">
        <f>HLOOKUP($O$2,Database!$D$6:$OM$155,87,0)</f>
        <v>0</v>
      </c>
      <c r="O90" s="26">
        <f>HLOOKUP($O$3,Database!$D$6:$OM$155,87,0)</f>
        <v>0</v>
      </c>
      <c r="P90" s="12">
        <f>HLOOKUP($Q$2,Database!$D$6:$OM$155,87,0)</f>
        <v>0</v>
      </c>
      <c r="Q90" s="26">
        <f>HLOOKUP($Q$3,Database!$D$6:$OM$155,87,0)</f>
        <v>0</v>
      </c>
      <c r="R90" s="12">
        <f>HLOOKUP($S$2,Database!$D$6:$OM$155,87,0)</f>
        <v>0</v>
      </c>
      <c r="S90" s="26">
        <f>HLOOKUP($S$3,Database!$D$6:$OM$155,87,0)</f>
        <v>0</v>
      </c>
      <c r="T90" s="12">
        <f>HLOOKUP($U$2,Database!$D$6:$OM$155,87,0)</f>
        <v>0</v>
      </c>
      <c r="U90" s="26">
        <f>HLOOKUP($U$3,Database!$D$6:$OM$155,87,0)</f>
        <v>0</v>
      </c>
      <c r="V90" s="12">
        <f>HLOOKUP($W$2,Database!$D$6:$OM$155,87,0)</f>
        <v>0</v>
      </c>
      <c r="W90" s="26">
        <f>HLOOKUP($W$3,Database!$D$6:$OM$155,87,0)</f>
        <v>0</v>
      </c>
      <c r="Y90" s="381">
        <f t="shared" si="50"/>
        <v>19.46</v>
      </c>
      <c r="Z90" s="382">
        <f t="shared" si="51"/>
        <v>19.45</v>
      </c>
      <c r="AA90" s="382">
        <f t="shared" si="52"/>
        <v>19.45</v>
      </c>
      <c r="AB90" s="382">
        <f t="shared" si="53"/>
        <v>19.45</v>
      </c>
      <c r="AC90" s="324" t="str">
        <f t="shared" si="54"/>
        <v/>
      </c>
      <c r="AD90" s="324" t="str">
        <f t="shared" si="55"/>
        <v/>
      </c>
      <c r="AE90" s="324" t="str">
        <f t="shared" si="56"/>
        <v/>
      </c>
      <c r="AF90" s="324" t="str">
        <f t="shared" si="57"/>
        <v/>
      </c>
      <c r="AG90" s="324" t="str">
        <f t="shared" si="58"/>
        <v/>
      </c>
      <c r="AH90" s="324" t="str">
        <f t="shared" si="59"/>
        <v/>
      </c>
      <c r="AI90" s="362" t="str">
        <f t="shared" si="60"/>
        <v/>
      </c>
      <c r="AJ90" s="363" t="str">
        <f t="shared" si="61"/>
        <v/>
      </c>
      <c r="AK90" s="382">
        <f t="shared" si="62"/>
        <v>1.0000000000001563E-2</v>
      </c>
      <c r="AL90" s="382">
        <f t="shared" si="63"/>
        <v>19.45</v>
      </c>
      <c r="AM90" s="384">
        <f t="shared" si="64"/>
        <v>19.46</v>
      </c>
      <c r="AN90" s="28"/>
      <c r="AO90" s="385">
        <f t="shared" si="65"/>
        <v>19.454999999999998</v>
      </c>
      <c r="AP90" s="104">
        <f t="shared" si="66"/>
        <v>9465</v>
      </c>
      <c r="AQ90" s="385">
        <f t="shared" si="67"/>
        <v>19.45</v>
      </c>
      <c r="AR90" s="104">
        <f t="shared" si="68"/>
        <v>8230</v>
      </c>
      <c r="AS90" s="104">
        <f t="shared" si="69"/>
        <v>0</v>
      </c>
      <c r="AT90" s="104">
        <f t="shared" si="70"/>
        <v>0</v>
      </c>
      <c r="AU90" s="104">
        <f t="shared" si="71"/>
        <v>0</v>
      </c>
      <c r="AV90" s="104">
        <f t="shared" si="72"/>
        <v>0</v>
      </c>
      <c r="AW90" s="104">
        <f t="shared" si="73"/>
        <v>0</v>
      </c>
      <c r="AX90" s="104">
        <f t="shared" si="74"/>
        <v>0</v>
      </c>
    </row>
    <row r="91" spans="1:50" ht="18.75" customHeight="1" x14ac:dyDescent="0.4">
      <c r="A91" s="403" t="s">
        <v>363</v>
      </c>
      <c r="B91" s="404">
        <v>106</v>
      </c>
      <c r="C91" s="403" t="s">
        <v>60</v>
      </c>
      <c r="D91" s="12">
        <f>HLOOKUP($E$2,Database!$D$6:$OM$155,88,0)</f>
        <v>19.36</v>
      </c>
      <c r="E91" s="26">
        <f>HLOOKUP($E$3,Database!$D$6:$OM$155,88,0)</f>
        <v>14820</v>
      </c>
      <c r="F91" s="12">
        <f>HLOOKUP($G$2,Database!$D$6:$OM$155,88,0)</f>
        <v>19.36</v>
      </c>
      <c r="G91" s="26">
        <f>HLOOKUP($G$3,Database!$D$6:$OM$155,88,0)</f>
        <v>1725</v>
      </c>
      <c r="H91" s="12">
        <f>HLOOKUP($I$2,Database!$D$6:$OM$155,88,0)</f>
        <v>19.36</v>
      </c>
      <c r="I91" s="26">
        <f>HLOOKUP($I$3,Database!$D$6:$OM$155,88,0)</f>
        <v>4977</v>
      </c>
      <c r="J91" s="12">
        <f>HLOOKUP($K$2,Database!$D$6:$OM$155,88,0)</f>
        <v>19.36</v>
      </c>
      <c r="K91" s="26">
        <f>HLOOKUP($K$3,Database!$D$6:$OM$155,88,0)</f>
        <v>5859</v>
      </c>
      <c r="L91" s="12">
        <f>HLOOKUP($M$2,Database!$D$6:$OM$155,88,0)</f>
        <v>0</v>
      </c>
      <c r="M91" s="26">
        <f>HLOOKUP($M$3,Database!$D$6:$OM$155,88,0)</f>
        <v>0</v>
      </c>
      <c r="N91" s="12">
        <f>HLOOKUP($O$2,Database!$D$6:$OM$155,88,0)</f>
        <v>0</v>
      </c>
      <c r="O91" s="26">
        <f>HLOOKUP($O$3,Database!$D$6:$OM$155,88,0)</f>
        <v>0</v>
      </c>
      <c r="P91" s="12">
        <f>HLOOKUP($Q$2,Database!$D$6:$OM$155,88,0)</f>
        <v>0</v>
      </c>
      <c r="Q91" s="26">
        <f>HLOOKUP($Q$3,Database!$D$6:$OM$155,88,0)</f>
        <v>0</v>
      </c>
      <c r="R91" s="12">
        <f>HLOOKUP($S$2,Database!$D$6:$OM$155,88,0)</f>
        <v>0</v>
      </c>
      <c r="S91" s="26">
        <f>HLOOKUP($S$3,Database!$D$6:$OM$155,88,0)</f>
        <v>0</v>
      </c>
      <c r="T91" s="12">
        <f>HLOOKUP($U$2,Database!$D$6:$OM$155,88,0)</f>
        <v>0</v>
      </c>
      <c r="U91" s="26">
        <f>HLOOKUP($U$3,Database!$D$6:$OM$155,88,0)</f>
        <v>0</v>
      </c>
      <c r="V91" s="12">
        <f>HLOOKUP($W$2,Database!$D$6:$OM$155,88,0)</f>
        <v>0</v>
      </c>
      <c r="W91" s="26">
        <f>HLOOKUP($W$3,Database!$D$6:$OM$155,88,0)</f>
        <v>0</v>
      </c>
      <c r="Y91" s="381">
        <f t="shared" si="50"/>
        <v>19.36</v>
      </c>
      <c r="Z91" s="382">
        <f t="shared" si="51"/>
        <v>19.36</v>
      </c>
      <c r="AA91" s="382">
        <f t="shared" si="52"/>
        <v>19.36</v>
      </c>
      <c r="AB91" s="382">
        <f t="shared" si="53"/>
        <v>19.36</v>
      </c>
      <c r="AC91" s="324" t="str">
        <f t="shared" si="54"/>
        <v/>
      </c>
      <c r="AD91" s="324" t="str">
        <f t="shared" si="55"/>
        <v/>
      </c>
      <c r="AE91" s="324" t="str">
        <f t="shared" si="56"/>
        <v/>
      </c>
      <c r="AF91" s="324" t="str">
        <f t="shared" si="57"/>
        <v/>
      </c>
      <c r="AG91" s="324" t="str">
        <f t="shared" si="58"/>
        <v/>
      </c>
      <c r="AH91" s="324" t="str">
        <f t="shared" si="59"/>
        <v/>
      </c>
      <c r="AI91" s="362" t="str">
        <f t="shared" si="60"/>
        <v/>
      </c>
      <c r="AJ91" s="363" t="str">
        <f t="shared" si="61"/>
        <v/>
      </c>
      <c r="AK91" s="383">
        <f t="shared" si="62"/>
        <v>0</v>
      </c>
      <c r="AL91" s="382">
        <f t="shared" si="63"/>
        <v>19.36</v>
      </c>
      <c r="AM91" s="384">
        <f t="shared" si="64"/>
        <v>19.36</v>
      </c>
      <c r="AN91" s="28"/>
      <c r="AO91" s="385">
        <f t="shared" si="65"/>
        <v>19.36</v>
      </c>
      <c r="AP91" s="385">
        <f t="shared" si="66"/>
        <v>8272.5</v>
      </c>
      <c r="AQ91" s="385">
        <f t="shared" si="67"/>
        <v>19.36</v>
      </c>
      <c r="AR91" s="104">
        <f t="shared" si="68"/>
        <v>5418</v>
      </c>
      <c r="AS91" s="104">
        <f t="shared" si="69"/>
        <v>0</v>
      </c>
      <c r="AT91" s="104">
        <f t="shared" si="70"/>
        <v>0</v>
      </c>
      <c r="AU91" s="104">
        <f t="shared" si="71"/>
        <v>0</v>
      </c>
      <c r="AV91" s="104">
        <f t="shared" si="72"/>
        <v>0</v>
      </c>
      <c r="AW91" s="104">
        <f t="shared" si="73"/>
        <v>0</v>
      </c>
      <c r="AX91" s="104">
        <f t="shared" si="74"/>
        <v>0</v>
      </c>
    </row>
    <row r="92" spans="1:50" ht="18.75" customHeight="1" x14ac:dyDescent="0.4">
      <c r="A92" s="403" t="s">
        <v>364</v>
      </c>
      <c r="B92" s="404">
        <v>113</v>
      </c>
      <c r="C92" s="403" t="s">
        <v>60</v>
      </c>
      <c r="D92" s="12">
        <f>HLOOKUP($E$2,Database!$D$6:$OM$155,89,0)</f>
        <v>19.61</v>
      </c>
      <c r="E92" s="26">
        <f>HLOOKUP($E$3,Database!$D$6:$OM$155,89,0)</f>
        <v>46095</v>
      </c>
      <c r="F92" s="12">
        <f>HLOOKUP($G$2,Database!$D$6:$OM$155,89,0)</f>
        <v>19.600000000000001</v>
      </c>
      <c r="G92" s="26">
        <f>HLOOKUP($G$3,Database!$D$6:$OM$155,89,0)</f>
        <v>6187</v>
      </c>
      <c r="H92" s="12">
        <f>HLOOKUP($I$2,Database!$D$6:$OM$155,89,0)</f>
        <v>19.600000000000001</v>
      </c>
      <c r="I92" s="26">
        <f>HLOOKUP($I$3,Database!$D$6:$OM$155,89,0)</f>
        <v>17862</v>
      </c>
      <c r="J92" s="12">
        <f>HLOOKUP($K$2,Database!$D$6:$OM$155,89,0)</f>
        <v>19.600000000000001</v>
      </c>
      <c r="K92" s="26">
        <f>HLOOKUP($K$3,Database!$D$6:$OM$155,89,0)</f>
        <v>20521</v>
      </c>
      <c r="L92" s="12">
        <f>HLOOKUP($M$2,Database!$D$6:$OM$155,89,0)</f>
        <v>0</v>
      </c>
      <c r="M92" s="26">
        <f>HLOOKUP($M$3,Database!$D$6:$OM$155,89,0)</f>
        <v>0</v>
      </c>
      <c r="N92" s="12">
        <f>HLOOKUP($O$2,Database!$D$6:$OM$155,89,0)</f>
        <v>0</v>
      </c>
      <c r="O92" s="26">
        <f>HLOOKUP($O$3,Database!$D$6:$OM$155,89,0)</f>
        <v>0</v>
      </c>
      <c r="P92" s="12">
        <f>HLOOKUP($Q$2,Database!$D$6:$OM$155,89,0)</f>
        <v>0</v>
      </c>
      <c r="Q92" s="26">
        <f>HLOOKUP($Q$3,Database!$D$6:$OM$155,89,0)</f>
        <v>0</v>
      </c>
      <c r="R92" s="12">
        <f>HLOOKUP($S$2,Database!$D$6:$OM$155,89,0)</f>
        <v>0</v>
      </c>
      <c r="S92" s="26">
        <f>HLOOKUP($S$3,Database!$D$6:$OM$155,89,0)</f>
        <v>0</v>
      </c>
      <c r="T92" s="12">
        <f>HLOOKUP($U$2,Database!$D$6:$OM$155,89,0)</f>
        <v>0</v>
      </c>
      <c r="U92" s="26">
        <f>HLOOKUP($U$3,Database!$D$6:$OM$155,89,0)</f>
        <v>0</v>
      </c>
      <c r="V92" s="12">
        <f>HLOOKUP($W$2,Database!$D$6:$OM$155,89,0)</f>
        <v>0</v>
      </c>
      <c r="W92" s="26">
        <f>HLOOKUP($W$3,Database!$D$6:$OM$155,89,0)</f>
        <v>0</v>
      </c>
      <c r="Y92" s="381">
        <f t="shared" si="50"/>
        <v>19.61</v>
      </c>
      <c r="Z92" s="382">
        <f t="shared" si="51"/>
        <v>19.600000000000001</v>
      </c>
      <c r="AA92" s="382">
        <f t="shared" si="52"/>
        <v>19.600000000000001</v>
      </c>
      <c r="AB92" s="382">
        <f t="shared" si="53"/>
        <v>19.600000000000001</v>
      </c>
      <c r="AC92" s="324" t="str">
        <f t="shared" si="54"/>
        <v/>
      </c>
      <c r="AD92" s="324" t="str">
        <f t="shared" si="55"/>
        <v/>
      </c>
      <c r="AE92" s="324" t="str">
        <f t="shared" si="56"/>
        <v/>
      </c>
      <c r="AF92" s="324" t="str">
        <f t="shared" si="57"/>
        <v/>
      </c>
      <c r="AG92" s="324" t="str">
        <f t="shared" si="58"/>
        <v/>
      </c>
      <c r="AH92" s="324" t="str">
        <f t="shared" si="59"/>
        <v/>
      </c>
      <c r="AI92" s="362" t="str">
        <f t="shared" si="60"/>
        <v/>
      </c>
      <c r="AJ92" s="363" t="str">
        <f t="shared" si="61"/>
        <v/>
      </c>
      <c r="AK92" s="382">
        <f t="shared" si="62"/>
        <v>9.9999999999980105E-3</v>
      </c>
      <c r="AL92" s="382">
        <f t="shared" si="63"/>
        <v>19.600000000000001</v>
      </c>
      <c r="AM92" s="384">
        <f t="shared" si="64"/>
        <v>19.61</v>
      </c>
      <c r="AN92" s="28"/>
      <c r="AO92" s="385">
        <f t="shared" si="65"/>
        <v>19.605</v>
      </c>
      <c r="AP92" s="104">
        <f t="shared" si="66"/>
        <v>26141</v>
      </c>
      <c r="AQ92" s="385">
        <f t="shared" si="67"/>
        <v>19.600000000000001</v>
      </c>
      <c r="AR92" s="385">
        <f t="shared" si="68"/>
        <v>19191.5</v>
      </c>
      <c r="AS92" s="104">
        <f t="shared" si="69"/>
        <v>0</v>
      </c>
      <c r="AT92" s="104">
        <f t="shared" si="70"/>
        <v>0</v>
      </c>
      <c r="AU92" s="104">
        <f t="shared" si="71"/>
        <v>0</v>
      </c>
      <c r="AV92" s="104">
        <f t="shared" si="72"/>
        <v>0</v>
      </c>
      <c r="AW92" s="104">
        <f t="shared" si="73"/>
        <v>0</v>
      </c>
      <c r="AX92" s="104">
        <f t="shared" si="74"/>
        <v>0</v>
      </c>
    </row>
    <row r="93" spans="1:50" ht="18.75" customHeight="1" x14ac:dyDescent="0.4">
      <c r="A93" s="403" t="s">
        <v>365</v>
      </c>
      <c r="B93" s="404">
        <v>156</v>
      </c>
      <c r="C93" s="403" t="s">
        <v>60</v>
      </c>
      <c r="D93" s="12">
        <f>HLOOKUP($E$2,Database!$D$6:$OM$155,90,0)</f>
        <v>20.47</v>
      </c>
      <c r="E93" s="26">
        <f>HLOOKUP($E$3,Database!$D$6:$OM$155,90,0)</f>
        <v>797793</v>
      </c>
      <c r="F93" s="12">
        <f>HLOOKUP($G$2,Database!$D$6:$OM$155,90,0)</f>
        <v>20.46</v>
      </c>
      <c r="G93" s="26">
        <f>HLOOKUP($G$3,Database!$D$6:$OM$155,90,0)</f>
        <v>84588</v>
      </c>
      <c r="H93" s="12">
        <f>HLOOKUP($I$2,Database!$D$6:$OM$155,90,0)</f>
        <v>20.47</v>
      </c>
      <c r="I93" s="26">
        <f>HLOOKUP($I$3,Database!$D$6:$OM$155,90,0)</f>
        <v>242398</v>
      </c>
      <c r="J93" s="12">
        <f>HLOOKUP($K$2,Database!$D$6:$OM$155,90,0)</f>
        <v>20.47</v>
      </c>
      <c r="K93" s="26">
        <f>HLOOKUP($K$3,Database!$D$6:$OM$155,90,0)</f>
        <v>279046</v>
      </c>
      <c r="L93" s="12">
        <f>HLOOKUP($M$2,Database!$D$6:$OM$155,90,0)</f>
        <v>0</v>
      </c>
      <c r="M93" s="26">
        <f>HLOOKUP($M$3,Database!$D$6:$OM$155,90,0)</f>
        <v>0</v>
      </c>
      <c r="N93" s="12">
        <f>HLOOKUP($O$2,Database!$D$6:$OM$155,90,0)</f>
        <v>0</v>
      </c>
      <c r="O93" s="26">
        <f>HLOOKUP($O$3,Database!$D$6:$OM$155,90,0)</f>
        <v>0</v>
      </c>
      <c r="P93" s="12">
        <f>HLOOKUP($Q$2,Database!$D$6:$OM$155,90,0)</f>
        <v>0</v>
      </c>
      <c r="Q93" s="26">
        <f>HLOOKUP($Q$3,Database!$D$6:$OM$155,90,0)</f>
        <v>0</v>
      </c>
      <c r="R93" s="12">
        <f>HLOOKUP($S$2,Database!$D$6:$OM$155,90,0)</f>
        <v>0</v>
      </c>
      <c r="S93" s="26">
        <f>HLOOKUP($S$3,Database!$D$6:$OM$155,90,0)</f>
        <v>0</v>
      </c>
      <c r="T93" s="12">
        <f>HLOOKUP($U$2,Database!$D$6:$OM$155,90,0)</f>
        <v>0</v>
      </c>
      <c r="U93" s="26">
        <f>HLOOKUP($U$3,Database!$D$6:$OM$155,90,0)</f>
        <v>0</v>
      </c>
      <c r="V93" s="12">
        <f>HLOOKUP($W$2,Database!$D$6:$OM$155,90,0)</f>
        <v>0</v>
      </c>
      <c r="W93" s="26">
        <f>HLOOKUP($W$3,Database!$D$6:$OM$155,90,0)</f>
        <v>0</v>
      </c>
      <c r="Y93" s="381">
        <f t="shared" si="50"/>
        <v>20.47</v>
      </c>
      <c r="Z93" s="382">
        <f t="shared" si="51"/>
        <v>20.46</v>
      </c>
      <c r="AA93" s="382">
        <f t="shared" si="52"/>
        <v>20.47</v>
      </c>
      <c r="AB93" s="382">
        <f t="shared" si="53"/>
        <v>20.47</v>
      </c>
      <c r="AC93" s="324" t="str">
        <f t="shared" si="54"/>
        <v/>
      </c>
      <c r="AD93" s="324" t="str">
        <f t="shared" si="55"/>
        <v/>
      </c>
      <c r="AE93" s="324" t="str">
        <f t="shared" si="56"/>
        <v/>
      </c>
      <c r="AF93" s="324" t="str">
        <f t="shared" si="57"/>
        <v/>
      </c>
      <c r="AG93" s="324" t="str">
        <f t="shared" si="58"/>
        <v/>
      </c>
      <c r="AH93" s="324" t="str">
        <f t="shared" si="59"/>
        <v/>
      </c>
      <c r="AI93" s="362" t="str">
        <f t="shared" si="60"/>
        <v/>
      </c>
      <c r="AJ93" s="363" t="str">
        <f t="shared" si="61"/>
        <v/>
      </c>
      <c r="AK93" s="382">
        <f t="shared" si="62"/>
        <v>9.9999999999980105E-3</v>
      </c>
      <c r="AL93" s="382">
        <f t="shared" si="63"/>
        <v>20.46</v>
      </c>
      <c r="AM93" s="384">
        <f t="shared" si="64"/>
        <v>20.47</v>
      </c>
      <c r="AN93" s="28"/>
      <c r="AO93" s="385">
        <f t="shared" si="65"/>
        <v>20.465</v>
      </c>
      <c r="AP93" s="385">
        <f t="shared" si="66"/>
        <v>441190.5</v>
      </c>
      <c r="AQ93" s="385">
        <f t="shared" si="67"/>
        <v>20.47</v>
      </c>
      <c r="AR93" s="104">
        <f t="shared" si="68"/>
        <v>260722</v>
      </c>
      <c r="AS93" s="104">
        <f t="shared" si="69"/>
        <v>0</v>
      </c>
      <c r="AT93" s="104">
        <f t="shared" si="70"/>
        <v>0</v>
      </c>
      <c r="AU93" s="104">
        <f t="shared" si="71"/>
        <v>0</v>
      </c>
      <c r="AV93" s="104">
        <f t="shared" si="72"/>
        <v>0</v>
      </c>
      <c r="AW93" s="104">
        <f t="shared" si="73"/>
        <v>0</v>
      </c>
      <c r="AX93" s="104">
        <f t="shared" si="74"/>
        <v>0</v>
      </c>
    </row>
    <row r="94" spans="1:50" ht="18.75" customHeight="1" x14ac:dyDescent="0.4">
      <c r="A94" s="403" t="s">
        <v>366</v>
      </c>
      <c r="B94" s="404">
        <v>156</v>
      </c>
      <c r="C94" s="403" t="s">
        <v>60</v>
      </c>
      <c r="D94" s="12">
        <f>HLOOKUP($E$2,Database!$D$6:$OM$155,91,0)</f>
        <v>20.55</v>
      </c>
      <c r="E94" s="26">
        <f>HLOOKUP($E$3,Database!$D$6:$OM$155,91,0)</f>
        <v>473414</v>
      </c>
      <c r="F94" s="12">
        <f>HLOOKUP($G$2,Database!$D$6:$OM$155,91,0)</f>
        <v>20.54</v>
      </c>
      <c r="G94" s="26">
        <f>HLOOKUP($G$3,Database!$D$6:$OM$155,91,0)</f>
        <v>70587</v>
      </c>
      <c r="H94" s="12">
        <f>HLOOKUP($I$2,Database!$D$6:$OM$155,91,0)</f>
        <v>20.54</v>
      </c>
      <c r="I94" s="26">
        <f>HLOOKUP($I$3,Database!$D$6:$OM$155,91,0)</f>
        <v>208515</v>
      </c>
      <c r="J94" s="12">
        <f>HLOOKUP($K$2,Database!$D$6:$OM$155,91,0)</f>
        <v>20.54</v>
      </c>
      <c r="K94" s="26">
        <f>HLOOKUP($K$3,Database!$D$6:$OM$155,91,0)</f>
        <v>234904</v>
      </c>
      <c r="L94" s="12">
        <f>HLOOKUP($M$2,Database!$D$6:$OM$155,91,0)</f>
        <v>0</v>
      </c>
      <c r="M94" s="26">
        <f>HLOOKUP($M$3,Database!$D$6:$OM$155,91,0)</f>
        <v>0</v>
      </c>
      <c r="N94" s="12">
        <f>HLOOKUP($O$2,Database!$D$6:$OM$155,91,0)</f>
        <v>0</v>
      </c>
      <c r="O94" s="26">
        <f>HLOOKUP($O$3,Database!$D$6:$OM$155,91,0)</f>
        <v>0</v>
      </c>
      <c r="P94" s="12">
        <f>HLOOKUP($Q$2,Database!$D$6:$OM$155,91,0)</f>
        <v>0</v>
      </c>
      <c r="Q94" s="26">
        <f>HLOOKUP($Q$3,Database!$D$6:$OM$155,91,0)</f>
        <v>0</v>
      </c>
      <c r="R94" s="12">
        <f>HLOOKUP($S$2,Database!$D$6:$OM$155,91,0)</f>
        <v>0</v>
      </c>
      <c r="S94" s="26">
        <f>HLOOKUP($S$3,Database!$D$6:$OM$155,91,0)</f>
        <v>0</v>
      </c>
      <c r="T94" s="12">
        <f>HLOOKUP($U$2,Database!$D$6:$OM$155,91,0)</f>
        <v>0</v>
      </c>
      <c r="U94" s="26">
        <f>HLOOKUP($U$3,Database!$D$6:$OM$155,91,0)</f>
        <v>0</v>
      </c>
      <c r="V94" s="12">
        <f>HLOOKUP($W$2,Database!$D$6:$OM$155,91,0)</f>
        <v>0</v>
      </c>
      <c r="W94" s="26">
        <f>HLOOKUP($W$3,Database!$D$6:$OM$155,91,0)</f>
        <v>0</v>
      </c>
      <c r="Y94" s="381">
        <f t="shared" si="50"/>
        <v>20.55</v>
      </c>
      <c r="Z94" s="382">
        <f t="shared" si="51"/>
        <v>20.54</v>
      </c>
      <c r="AA94" s="382">
        <f t="shared" si="52"/>
        <v>20.54</v>
      </c>
      <c r="AB94" s="382">
        <f t="shared" si="53"/>
        <v>20.54</v>
      </c>
      <c r="AC94" s="324" t="str">
        <f t="shared" si="54"/>
        <v/>
      </c>
      <c r="AD94" s="324" t="str">
        <f t="shared" si="55"/>
        <v/>
      </c>
      <c r="AE94" s="324" t="str">
        <f t="shared" si="56"/>
        <v/>
      </c>
      <c r="AF94" s="324" t="str">
        <f t="shared" si="57"/>
        <v/>
      </c>
      <c r="AG94" s="324" t="str">
        <f t="shared" si="58"/>
        <v/>
      </c>
      <c r="AH94" s="324" t="str">
        <f t="shared" si="59"/>
        <v/>
      </c>
      <c r="AI94" s="362" t="str">
        <f t="shared" si="60"/>
        <v/>
      </c>
      <c r="AJ94" s="363" t="str">
        <f t="shared" si="61"/>
        <v/>
      </c>
      <c r="AK94" s="382">
        <f t="shared" si="62"/>
        <v>1.0000000000001563E-2</v>
      </c>
      <c r="AL94" s="382">
        <f t="shared" si="63"/>
        <v>20.54</v>
      </c>
      <c r="AM94" s="384">
        <f t="shared" si="64"/>
        <v>20.55</v>
      </c>
      <c r="AN94" s="28"/>
      <c r="AO94" s="385">
        <f t="shared" si="65"/>
        <v>20.545000000000002</v>
      </c>
      <c r="AP94" s="385">
        <f t="shared" si="66"/>
        <v>272000.5</v>
      </c>
      <c r="AQ94" s="385">
        <f t="shared" si="67"/>
        <v>20.54</v>
      </c>
      <c r="AR94" s="385">
        <f t="shared" si="68"/>
        <v>221709.5</v>
      </c>
      <c r="AS94" s="104">
        <f t="shared" si="69"/>
        <v>0</v>
      </c>
      <c r="AT94" s="104">
        <f t="shared" si="70"/>
        <v>0</v>
      </c>
      <c r="AU94" s="104">
        <f t="shared" si="71"/>
        <v>0</v>
      </c>
      <c r="AV94" s="104">
        <f t="shared" si="72"/>
        <v>0</v>
      </c>
      <c r="AW94" s="104">
        <f t="shared" si="73"/>
        <v>0</v>
      </c>
      <c r="AX94" s="104">
        <f t="shared" si="74"/>
        <v>0</v>
      </c>
    </row>
    <row r="95" spans="1:50" ht="18.75" customHeight="1" x14ac:dyDescent="0.4">
      <c r="A95" s="403" t="s">
        <v>367</v>
      </c>
      <c r="B95" s="404">
        <v>123</v>
      </c>
      <c r="C95" s="403" t="s">
        <v>60</v>
      </c>
      <c r="D95" s="12">
        <f>HLOOKUP($E$2,Database!$D$6:$OM$155,92,0)</f>
        <v>20.61</v>
      </c>
      <c r="E95" s="26">
        <f>HLOOKUP($E$3,Database!$D$6:$OM$155,92,0)</f>
        <v>38370</v>
      </c>
      <c r="F95" s="12">
        <f>HLOOKUP($G$2,Database!$D$6:$OM$155,92,0)</f>
        <v>20.6</v>
      </c>
      <c r="G95" s="26">
        <f>HLOOKUP($G$3,Database!$D$6:$OM$155,92,0)</f>
        <v>11885</v>
      </c>
      <c r="H95" s="12">
        <f>HLOOKUP($I$2,Database!$D$6:$OM$155,92,0)</f>
        <v>20.6</v>
      </c>
      <c r="I95" s="26">
        <f>HLOOKUP($I$3,Database!$D$6:$OM$155,92,0)</f>
        <v>31752</v>
      </c>
      <c r="J95" s="12">
        <f>HLOOKUP($K$2,Database!$D$6:$OM$155,92,0)</f>
        <v>20.6</v>
      </c>
      <c r="K95" s="26">
        <f>HLOOKUP($K$3,Database!$D$6:$OM$155,92,0)</f>
        <v>38489</v>
      </c>
      <c r="L95" s="12">
        <f>HLOOKUP($M$2,Database!$D$6:$OM$155,92,0)</f>
        <v>0</v>
      </c>
      <c r="M95" s="26">
        <f>HLOOKUP($M$3,Database!$D$6:$OM$155,92,0)</f>
        <v>0</v>
      </c>
      <c r="N95" s="12">
        <f>HLOOKUP($O$2,Database!$D$6:$OM$155,92,0)</f>
        <v>0</v>
      </c>
      <c r="O95" s="26">
        <f>HLOOKUP($O$3,Database!$D$6:$OM$155,92,0)</f>
        <v>0</v>
      </c>
      <c r="P95" s="12">
        <f>HLOOKUP($Q$2,Database!$D$6:$OM$155,92,0)</f>
        <v>0</v>
      </c>
      <c r="Q95" s="26">
        <f>HLOOKUP($Q$3,Database!$D$6:$OM$155,92,0)</f>
        <v>0</v>
      </c>
      <c r="R95" s="12">
        <f>HLOOKUP($S$2,Database!$D$6:$OM$155,92,0)</f>
        <v>0</v>
      </c>
      <c r="S95" s="26">
        <f>HLOOKUP($S$3,Database!$D$6:$OM$155,92,0)</f>
        <v>0</v>
      </c>
      <c r="T95" s="12">
        <f>HLOOKUP($U$2,Database!$D$6:$OM$155,92,0)</f>
        <v>0</v>
      </c>
      <c r="U95" s="26">
        <f>HLOOKUP($U$3,Database!$D$6:$OM$155,92,0)</f>
        <v>0</v>
      </c>
      <c r="V95" s="12">
        <f>HLOOKUP($W$2,Database!$D$6:$OM$155,92,0)</f>
        <v>0</v>
      </c>
      <c r="W95" s="26">
        <f>HLOOKUP($W$3,Database!$D$6:$OM$155,92,0)</f>
        <v>0</v>
      </c>
      <c r="Y95" s="381">
        <f t="shared" si="50"/>
        <v>20.61</v>
      </c>
      <c r="Z95" s="382">
        <f t="shared" si="51"/>
        <v>20.6</v>
      </c>
      <c r="AA95" s="382">
        <f t="shared" si="52"/>
        <v>20.6</v>
      </c>
      <c r="AB95" s="382">
        <f t="shared" si="53"/>
        <v>20.6</v>
      </c>
      <c r="AC95" s="324" t="str">
        <f t="shared" si="54"/>
        <v/>
      </c>
      <c r="AD95" s="324" t="str">
        <f t="shared" si="55"/>
        <v/>
      </c>
      <c r="AE95" s="324" t="str">
        <f t="shared" si="56"/>
        <v/>
      </c>
      <c r="AF95" s="324" t="str">
        <f t="shared" si="57"/>
        <v/>
      </c>
      <c r="AG95" s="324" t="str">
        <f t="shared" si="58"/>
        <v/>
      </c>
      <c r="AH95" s="324" t="str">
        <f t="shared" si="59"/>
        <v/>
      </c>
      <c r="AI95" s="362" t="str">
        <f t="shared" si="60"/>
        <v/>
      </c>
      <c r="AJ95" s="363" t="str">
        <f t="shared" si="61"/>
        <v/>
      </c>
      <c r="AK95" s="382">
        <f t="shared" si="62"/>
        <v>9.9999999999980105E-3</v>
      </c>
      <c r="AL95" s="382">
        <f t="shared" si="63"/>
        <v>20.6</v>
      </c>
      <c r="AM95" s="384">
        <f t="shared" si="64"/>
        <v>20.61</v>
      </c>
      <c r="AN95" s="28"/>
      <c r="AO95" s="385">
        <f t="shared" si="65"/>
        <v>20.605</v>
      </c>
      <c r="AP95" s="385">
        <f t="shared" si="66"/>
        <v>25127.5</v>
      </c>
      <c r="AQ95" s="385">
        <f t="shared" si="67"/>
        <v>20.6</v>
      </c>
      <c r="AR95" s="385">
        <f t="shared" si="68"/>
        <v>35120.5</v>
      </c>
      <c r="AS95" s="104">
        <f t="shared" si="69"/>
        <v>0</v>
      </c>
      <c r="AT95" s="104">
        <f t="shared" si="70"/>
        <v>0</v>
      </c>
      <c r="AU95" s="104">
        <f t="shared" si="71"/>
        <v>0</v>
      </c>
      <c r="AV95" s="104">
        <f t="shared" si="72"/>
        <v>0</v>
      </c>
      <c r="AW95" s="104">
        <f t="shared" si="73"/>
        <v>0</v>
      </c>
      <c r="AX95" s="104">
        <f t="shared" si="74"/>
        <v>0</v>
      </c>
    </row>
    <row r="96" spans="1:50" ht="18.75" customHeight="1" x14ac:dyDescent="0.4">
      <c r="A96" s="403" t="s">
        <v>368</v>
      </c>
      <c r="B96" s="404">
        <v>162</v>
      </c>
      <c r="C96" s="403" t="s">
        <v>94</v>
      </c>
      <c r="D96" s="12">
        <f>HLOOKUP($E$2,Database!$D$6:$OM$155,93,0)</f>
        <v>20.14</v>
      </c>
      <c r="E96" s="26">
        <f>HLOOKUP($E$3,Database!$D$6:$OM$155,93,0)</f>
        <v>203716</v>
      </c>
      <c r="F96" s="12">
        <f>HLOOKUP($G$2,Database!$D$6:$OM$155,93,0)</f>
        <v>20.13</v>
      </c>
      <c r="G96" s="26">
        <f>HLOOKUP($G$3,Database!$D$6:$OM$155,93,0)</f>
        <v>28256</v>
      </c>
      <c r="H96" s="12">
        <f>HLOOKUP($I$2,Database!$D$6:$OM$155,93,0)</f>
        <v>20.13</v>
      </c>
      <c r="I96" s="26">
        <f>HLOOKUP($I$3,Database!$D$6:$OM$155,93,0)</f>
        <v>84859</v>
      </c>
      <c r="J96" s="12">
        <f>HLOOKUP($K$2,Database!$D$6:$OM$155,93,0)</f>
        <v>20.13</v>
      </c>
      <c r="K96" s="26">
        <f>HLOOKUP($K$3,Database!$D$6:$OM$155,93,0)</f>
        <v>102967</v>
      </c>
      <c r="L96" s="12">
        <f>HLOOKUP($M$2,Database!$D$6:$OM$155,93,0)</f>
        <v>0</v>
      </c>
      <c r="M96" s="26">
        <f>HLOOKUP($M$3,Database!$D$6:$OM$155,93,0)</f>
        <v>0</v>
      </c>
      <c r="N96" s="12">
        <f>HLOOKUP($O$2,Database!$D$6:$OM$155,93,0)</f>
        <v>0</v>
      </c>
      <c r="O96" s="26">
        <f>HLOOKUP($O$3,Database!$D$6:$OM$155,93,0)</f>
        <v>0</v>
      </c>
      <c r="P96" s="12">
        <f>HLOOKUP($Q$2,Database!$D$6:$OM$155,93,0)</f>
        <v>0</v>
      </c>
      <c r="Q96" s="26">
        <f>HLOOKUP($Q$3,Database!$D$6:$OM$155,93,0)</f>
        <v>0</v>
      </c>
      <c r="R96" s="12">
        <f>HLOOKUP($S$2,Database!$D$6:$OM$155,93,0)</f>
        <v>0</v>
      </c>
      <c r="S96" s="26">
        <f>HLOOKUP($S$3,Database!$D$6:$OM$155,93,0)</f>
        <v>0</v>
      </c>
      <c r="T96" s="12">
        <f>HLOOKUP($U$2,Database!$D$6:$OM$155,93,0)</f>
        <v>0</v>
      </c>
      <c r="U96" s="26">
        <f>HLOOKUP($U$3,Database!$D$6:$OM$155,93,0)</f>
        <v>0</v>
      </c>
      <c r="V96" s="12">
        <f>HLOOKUP($W$2,Database!$D$6:$OM$155,93,0)</f>
        <v>0</v>
      </c>
      <c r="W96" s="26">
        <f>HLOOKUP($W$3,Database!$D$6:$OM$155,93,0)</f>
        <v>0</v>
      </c>
      <c r="Y96" s="381">
        <f t="shared" si="50"/>
        <v>20.14</v>
      </c>
      <c r="Z96" s="382">
        <f t="shared" si="51"/>
        <v>20.13</v>
      </c>
      <c r="AA96" s="382">
        <f t="shared" si="52"/>
        <v>20.13</v>
      </c>
      <c r="AB96" s="382">
        <f t="shared" si="53"/>
        <v>20.13</v>
      </c>
      <c r="AC96" s="324" t="str">
        <f t="shared" si="54"/>
        <v/>
      </c>
      <c r="AD96" s="324" t="str">
        <f t="shared" si="55"/>
        <v/>
      </c>
      <c r="AE96" s="324" t="str">
        <f t="shared" si="56"/>
        <v/>
      </c>
      <c r="AF96" s="324" t="str">
        <f t="shared" si="57"/>
        <v/>
      </c>
      <c r="AG96" s="324" t="str">
        <f t="shared" si="58"/>
        <v/>
      </c>
      <c r="AH96" s="324" t="str">
        <f t="shared" si="59"/>
        <v/>
      </c>
      <c r="AI96" s="362" t="str">
        <f t="shared" si="60"/>
        <v/>
      </c>
      <c r="AJ96" s="363" t="str">
        <f t="shared" si="61"/>
        <v/>
      </c>
      <c r="AK96" s="382">
        <f t="shared" si="62"/>
        <v>1.0000000000001563E-2</v>
      </c>
      <c r="AL96" s="382">
        <f t="shared" si="63"/>
        <v>20.13</v>
      </c>
      <c r="AM96" s="384">
        <f t="shared" si="64"/>
        <v>20.14</v>
      </c>
      <c r="AN96" s="28"/>
      <c r="AO96" s="385">
        <f t="shared" si="65"/>
        <v>20.134999999999998</v>
      </c>
      <c r="AP96" s="104">
        <f t="shared" si="66"/>
        <v>115986</v>
      </c>
      <c r="AQ96" s="385">
        <f t="shared" si="67"/>
        <v>20.13</v>
      </c>
      <c r="AR96" s="104">
        <f t="shared" si="68"/>
        <v>93913</v>
      </c>
      <c r="AS96" s="104">
        <f t="shared" si="69"/>
        <v>0</v>
      </c>
      <c r="AT96" s="104">
        <f t="shared" si="70"/>
        <v>0</v>
      </c>
      <c r="AU96" s="104">
        <f t="shared" si="71"/>
        <v>0</v>
      </c>
      <c r="AV96" s="104">
        <f t="shared" si="72"/>
        <v>0</v>
      </c>
      <c r="AW96" s="104">
        <f t="shared" si="73"/>
        <v>0</v>
      </c>
      <c r="AX96" s="104">
        <f t="shared" si="74"/>
        <v>0</v>
      </c>
    </row>
    <row r="97" spans="1:50" ht="18.75" customHeight="1" x14ac:dyDescent="0.4">
      <c r="A97" s="403" t="s">
        <v>369</v>
      </c>
      <c r="B97" s="404">
        <v>152</v>
      </c>
      <c r="C97" s="403" t="s">
        <v>60</v>
      </c>
      <c r="D97" s="12">
        <f>HLOOKUP($E$2,Database!$D$6:$OM$155,94,0)</f>
        <v>21.12</v>
      </c>
      <c r="E97" s="26">
        <f>HLOOKUP($E$3,Database!$D$6:$OM$155,94,0)</f>
        <v>0</v>
      </c>
      <c r="F97" s="12">
        <f>HLOOKUP($G$2,Database!$D$6:$OM$155,94,0)</f>
        <v>21.1</v>
      </c>
      <c r="G97" s="26">
        <f>HLOOKUP($G$3,Database!$D$6:$OM$155,94,0)</f>
        <v>0</v>
      </c>
      <c r="H97" s="12">
        <f>HLOOKUP($I$2,Database!$D$6:$OM$155,94,0)</f>
        <v>21.1</v>
      </c>
      <c r="I97" s="26">
        <f>HLOOKUP($I$3,Database!$D$6:$OM$155,94,0)</f>
        <v>0</v>
      </c>
      <c r="J97" s="12">
        <f>HLOOKUP($K$2,Database!$D$6:$OM$155,94,0)</f>
        <v>21.1</v>
      </c>
      <c r="K97" s="26">
        <f>HLOOKUP($K$3,Database!$D$6:$OM$155,94,0)</f>
        <v>0</v>
      </c>
      <c r="L97" s="12">
        <f>HLOOKUP($M$2,Database!$D$6:$OM$155,94,0)</f>
        <v>0</v>
      </c>
      <c r="M97" s="26">
        <f>HLOOKUP($M$3,Database!$D$6:$OM$155,94,0)</f>
        <v>0</v>
      </c>
      <c r="N97" s="12">
        <f>HLOOKUP($O$2,Database!$D$6:$OM$155,94,0)</f>
        <v>0</v>
      </c>
      <c r="O97" s="26">
        <f>HLOOKUP($O$3,Database!$D$6:$OM$155,94,0)</f>
        <v>0</v>
      </c>
      <c r="P97" s="12">
        <f>HLOOKUP($Q$2,Database!$D$6:$OM$155,94,0)</f>
        <v>0</v>
      </c>
      <c r="Q97" s="26">
        <f>HLOOKUP($Q$3,Database!$D$6:$OM$155,94,0)</f>
        <v>0</v>
      </c>
      <c r="R97" s="12">
        <f>HLOOKUP($S$2,Database!$D$6:$OM$155,94,0)</f>
        <v>0</v>
      </c>
      <c r="S97" s="26">
        <f>HLOOKUP($S$3,Database!$D$6:$OM$155,94,0)</f>
        <v>0</v>
      </c>
      <c r="T97" s="12">
        <f>HLOOKUP($U$2,Database!$D$6:$OM$155,94,0)</f>
        <v>0</v>
      </c>
      <c r="U97" s="26">
        <f>HLOOKUP($U$3,Database!$D$6:$OM$155,94,0)</f>
        <v>0</v>
      </c>
      <c r="V97" s="12">
        <f>HLOOKUP($W$2,Database!$D$6:$OM$155,94,0)</f>
        <v>0</v>
      </c>
      <c r="W97" s="26">
        <f>HLOOKUP($W$3,Database!$D$6:$OM$155,94,0)</f>
        <v>0</v>
      </c>
      <c r="Y97" s="381">
        <f t="shared" si="50"/>
        <v>21.12</v>
      </c>
      <c r="Z97" s="382">
        <f t="shared" si="51"/>
        <v>21.1</v>
      </c>
      <c r="AA97" s="382">
        <f t="shared" si="52"/>
        <v>21.1</v>
      </c>
      <c r="AB97" s="382">
        <f t="shared" si="53"/>
        <v>21.1</v>
      </c>
      <c r="AC97" s="324" t="str">
        <f t="shared" si="54"/>
        <v/>
      </c>
      <c r="AD97" s="324" t="str">
        <f t="shared" si="55"/>
        <v/>
      </c>
      <c r="AE97" s="324" t="str">
        <f t="shared" si="56"/>
        <v/>
      </c>
      <c r="AF97" s="324" t="str">
        <f t="shared" si="57"/>
        <v/>
      </c>
      <c r="AG97" s="324" t="str">
        <f t="shared" si="58"/>
        <v/>
      </c>
      <c r="AH97" s="324" t="str">
        <f t="shared" si="59"/>
        <v/>
      </c>
      <c r="AI97" s="362" t="str">
        <f t="shared" si="60"/>
        <v/>
      </c>
      <c r="AJ97" s="363" t="str">
        <f t="shared" si="61"/>
        <v/>
      </c>
      <c r="AK97" s="382">
        <f t="shared" si="62"/>
        <v>1.9999999999999574E-2</v>
      </c>
      <c r="AL97" s="382">
        <f t="shared" si="63"/>
        <v>21.1</v>
      </c>
      <c r="AM97" s="384">
        <f t="shared" si="64"/>
        <v>21.12</v>
      </c>
      <c r="AN97" s="28"/>
      <c r="AO97" s="385">
        <f t="shared" si="65"/>
        <v>21.11</v>
      </c>
      <c r="AP97" s="104">
        <f t="shared" si="66"/>
        <v>0</v>
      </c>
      <c r="AQ97" s="385">
        <f t="shared" si="67"/>
        <v>21.1</v>
      </c>
      <c r="AR97" s="104">
        <f t="shared" si="68"/>
        <v>0</v>
      </c>
      <c r="AS97" s="104">
        <f t="shared" si="69"/>
        <v>0</v>
      </c>
      <c r="AT97" s="104">
        <f t="shared" si="70"/>
        <v>0</v>
      </c>
      <c r="AU97" s="104">
        <f t="shared" si="71"/>
        <v>0</v>
      </c>
      <c r="AV97" s="104">
        <f t="shared" si="72"/>
        <v>0</v>
      </c>
      <c r="AW97" s="104">
        <f t="shared" si="73"/>
        <v>0</v>
      </c>
      <c r="AX97" s="104">
        <f t="shared" si="74"/>
        <v>0</v>
      </c>
    </row>
    <row r="98" spans="1:50" ht="18.75" customHeight="1" x14ac:dyDescent="0.4">
      <c r="A98" s="403" t="s">
        <v>370</v>
      </c>
      <c r="B98" s="404">
        <v>106</v>
      </c>
      <c r="C98" s="403" t="s">
        <v>60</v>
      </c>
      <c r="D98" s="12">
        <f>HLOOKUP($E$2,Database!$D$6:$OM$155,95,0)</f>
        <v>21.37</v>
      </c>
      <c r="E98" s="26">
        <f>HLOOKUP($E$3,Database!$D$6:$OM$155,95,0)</f>
        <v>23988</v>
      </c>
      <c r="F98" s="12">
        <f>HLOOKUP($G$2,Database!$D$6:$OM$155,95,0)</f>
        <v>21.36</v>
      </c>
      <c r="G98" s="26">
        <f>HLOOKUP($G$3,Database!$D$6:$OM$155,95,0)</f>
        <v>4866</v>
      </c>
      <c r="H98" s="12">
        <f>HLOOKUP($I$2,Database!$D$6:$OM$155,95,0)</f>
        <v>21.36</v>
      </c>
      <c r="I98" s="26">
        <f>HLOOKUP($I$3,Database!$D$6:$OM$155,95,0)</f>
        <v>14940</v>
      </c>
      <c r="J98" s="12">
        <f>HLOOKUP($K$2,Database!$D$6:$OM$155,95,0)</f>
        <v>21.37</v>
      </c>
      <c r="K98" s="26">
        <f>HLOOKUP($K$3,Database!$D$6:$OM$155,95,0)</f>
        <v>17179</v>
      </c>
      <c r="L98" s="12">
        <f>HLOOKUP($M$2,Database!$D$6:$OM$155,95,0)</f>
        <v>0</v>
      </c>
      <c r="M98" s="26">
        <f>HLOOKUP($M$3,Database!$D$6:$OM$155,95,0)</f>
        <v>0</v>
      </c>
      <c r="N98" s="12">
        <f>HLOOKUP($O$2,Database!$D$6:$OM$155,95,0)</f>
        <v>0</v>
      </c>
      <c r="O98" s="26">
        <f>HLOOKUP($O$3,Database!$D$6:$OM$155,95,0)</f>
        <v>0</v>
      </c>
      <c r="P98" s="12">
        <f>HLOOKUP($Q$2,Database!$D$6:$OM$155,95,0)</f>
        <v>0</v>
      </c>
      <c r="Q98" s="26">
        <f>HLOOKUP($Q$3,Database!$D$6:$OM$155,95,0)</f>
        <v>0</v>
      </c>
      <c r="R98" s="12">
        <f>HLOOKUP($S$2,Database!$D$6:$OM$155,95,0)</f>
        <v>0</v>
      </c>
      <c r="S98" s="26">
        <f>HLOOKUP($S$3,Database!$D$6:$OM$155,95,0)</f>
        <v>0</v>
      </c>
      <c r="T98" s="12">
        <f>HLOOKUP($U$2,Database!$D$6:$OM$155,95,0)</f>
        <v>0</v>
      </c>
      <c r="U98" s="26">
        <f>HLOOKUP($U$3,Database!$D$6:$OM$155,95,0)</f>
        <v>0</v>
      </c>
      <c r="V98" s="12">
        <f>HLOOKUP($W$2,Database!$D$6:$OM$155,95,0)</f>
        <v>0</v>
      </c>
      <c r="W98" s="26">
        <f>HLOOKUP($W$3,Database!$D$6:$OM$155,95,0)</f>
        <v>0</v>
      </c>
      <c r="Y98" s="381">
        <f t="shared" si="50"/>
        <v>21.37</v>
      </c>
      <c r="Z98" s="382">
        <f t="shared" si="51"/>
        <v>21.36</v>
      </c>
      <c r="AA98" s="382">
        <f t="shared" si="52"/>
        <v>21.36</v>
      </c>
      <c r="AB98" s="382">
        <f t="shared" si="53"/>
        <v>21.37</v>
      </c>
      <c r="AC98" s="324" t="str">
        <f t="shared" si="54"/>
        <v/>
      </c>
      <c r="AD98" s="324" t="str">
        <f t="shared" si="55"/>
        <v/>
      </c>
      <c r="AE98" s="324" t="str">
        <f t="shared" si="56"/>
        <v/>
      </c>
      <c r="AF98" s="324" t="str">
        <f t="shared" si="57"/>
        <v/>
      </c>
      <c r="AG98" s="324" t="str">
        <f t="shared" si="58"/>
        <v/>
      </c>
      <c r="AH98" s="324" t="str">
        <f t="shared" si="59"/>
        <v/>
      </c>
      <c r="AI98" s="362" t="str">
        <f t="shared" si="60"/>
        <v/>
      </c>
      <c r="AJ98" s="363" t="str">
        <f t="shared" si="61"/>
        <v/>
      </c>
      <c r="AK98" s="382">
        <f t="shared" si="62"/>
        <v>1.0000000000001563E-2</v>
      </c>
      <c r="AL98" s="382">
        <f t="shared" si="63"/>
        <v>21.36</v>
      </c>
      <c r="AM98" s="384">
        <f t="shared" si="64"/>
        <v>21.37</v>
      </c>
      <c r="AN98" s="28"/>
      <c r="AO98" s="385">
        <f t="shared" si="65"/>
        <v>21.365000000000002</v>
      </c>
      <c r="AP98" s="104">
        <f t="shared" si="66"/>
        <v>14427</v>
      </c>
      <c r="AQ98" s="385">
        <f t="shared" si="67"/>
        <v>21.365000000000002</v>
      </c>
      <c r="AR98" s="385">
        <f t="shared" si="68"/>
        <v>16059.5</v>
      </c>
      <c r="AS98" s="104">
        <f t="shared" si="69"/>
        <v>0</v>
      </c>
      <c r="AT98" s="104">
        <f t="shared" si="70"/>
        <v>0</v>
      </c>
      <c r="AU98" s="104">
        <f t="shared" si="71"/>
        <v>0</v>
      </c>
      <c r="AV98" s="104">
        <f t="shared" si="72"/>
        <v>0</v>
      </c>
      <c r="AW98" s="104">
        <f t="shared" si="73"/>
        <v>0</v>
      </c>
      <c r="AX98" s="104">
        <f t="shared" si="74"/>
        <v>0</v>
      </c>
    </row>
    <row r="99" spans="1:50" ht="18.75" customHeight="1" x14ac:dyDescent="0.4">
      <c r="A99" s="403" t="s">
        <v>371</v>
      </c>
      <c r="B99" s="404">
        <v>169</v>
      </c>
      <c r="C99" s="403" t="s">
        <v>60</v>
      </c>
      <c r="D99" s="12">
        <f>HLOOKUP($E$2,Database!$D$6:$OM$155,96,0)</f>
        <v>21.49</v>
      </c>
      <c r="E99" s="26">
        <f>HLOOKUP($E$3,Database!$D$6:$OM$155,96,0)</f>
        <v>8793</v>
      </c>
      <c r="F99" s="12">
        <f>HLOOKUP($G$2,Database!$D$6:$OM$155,96,0)</f>
        <v>21.48</v>
      </c>
      <c r="G99" s="26">
        <f>HLOOKUP($G$3,Database!$D$6:$OM$155,96,0)</f>
        <v>1331</v>
      </c>
      <c r="H99" s="12">
        <f>HLOOKUP($I$2,Database!$D$6:$OM$155,96,0)</f>
        <v>21.48</v>
      </c>
      <c r="I99" s="26">
        <f>HLOOKUP($I$3,Database!$D$6:$OM$155,96,0)</f>
        <v>4155</v>
      </c>
      <c r="J99" s="12">
        <f>HLOOKUP($K$2,Database!$D$6:$OM$155,96,0)</f>
        <v>21.48</v>
      </c>
      <c r="K99" s="26">
        <f>HLOOKUP($K$3,Database!$D$6:$OM$155,96,0)</f>
        <v>4793</v>
      </c>
      <c r="L99" s="12">
        <f>HLOOKUP($M$2,Database!$D$6:$OM$155,96,0)</f>
        <v>0</v>
      </c>
      <c r="M99" s="26">
        <f>HLOOKUP($M$3,Database!$D$6:$OM$155,96,0)</f>
        <v>0</v>
      </c>
      <c r="N99" s="12">
        <f>HLOOKUP($O$2,Database!$D$6:$OM$155,96,0)</f>
        <v>0</v>
      </c>
      <c r="O99" s="26">
        <f>HLOOKUP($O$3,Database!$D$6:$OM$155,96,0)</f>
        <v>0</v>
      </c>
      <c r="P99" s="12">
        <f>HLOOKUP($Q$2,Database!$D$6:$OM$155,96,0)</f>
        <v>0</v>
      </c>
      <c r="Q99" s="26">
        <f>HLOOKUP($Q$3,Database!$D$6:$OM$155,96,0)</f>
        <v>0</v>
      </c>
      <c r="R99" s="12">
        <f>HLOOKUP($S$2,Database!$D$6:$OM$155,96,0)</f>
        <v>0</v>
      </c>
      <c r="S99" s="26">
        <f>HLOOKUP($S$3,Database!$D$6:$OM$155,96,0)</f>
        <v>0</v>
      </c>
      <c r="T99" s="12">
        <f>HLOOKUP($U$2,Database!$D$6:$OM$155,96,0)</f>
        <v>0</v>
      </c>
      <c r="U99" s="26">
        <f>HLOOKUP($U$3,Database!$D$6:$OM$155,96,0)</f>
        <v>0</v>
      </c>
      <c r="V99" s="12">
        <f>HLOOKUP($W$2,Database!$D$6:$OM$155,96,0)</f>
        <v>0</v>
      </c>
      <c r="W99" s="26">
        <f>HLOOKUP($W$3,Database!$D$6:$OM$155,96,0)</f>
        <v>0</v>
      </c>
      <c r="Y99" s="381">
        <f t="shared" si="50"/>
        <v>21.49</v>
      </c>
      <c r="Z99" s="382">
        <f t="shared" si="51"/>
        <v>21.48</v>
      </c>
      <c r="AA99" s="382">
        <f t="shared" si="52"/>
        <v>21.48</v>
      </c>
      <c r="AB99" s="382">
        <f t="shared" si="53"/>
        <v>21.48</v>
      </c>
      <c r="AC99" s="324" t="str">
        <f t="shared" si="54"/>
        <v/>
      </c>
      <c r="AD99" s="324" t="str">
        <f t="shared" si="55"/>
        <v/>
      </c>
      <c r="AE99" s="324" t="str">
        <f t="shared" si="56"/>
        <v/>
      </c>
      <c r="AF99" s="324" t="str">
        <f t="shared" si="57"/>
        <v/>
      </c>
      <c r="AG99" s="324" t="str">
        <f t="shared" si="58"/>
        <v/>
      </c>
      <c r="AH99" s="324" t="str">
        <f t="shared" si="59"/>
        <v/>
      </c>
      <c r="AI99" s="362" t="str">
        <f t="shared" si="60"/>
        <v/>
      </c>
      <c r="AJ99" s="363" t="str">
        <f t="shared" si="61"/>
        <v/>
      </c>
      <c r="AK99" s="382">
        <f t="shared" si="62"/>
        <v>9.9999999999980105E-3</v>
      </c>
      <c r="AL99" s="382">
        <f t="shared" si="63"/>
        <v>21.48</v>
      </c>
      <c r="AM99" s="384">
        <f t="shared" si="64"/>
        <v>21.49</v>
      </c>
      <c r="AN99" s="28"/>
      <c r="AO99" s="385">
        <f t="shared" si="65"/>
        <v>21.484999999999999</v>
      </c>
      <c r="AP99" s="104">
        <f t="shared" si="66"/>
        <v>5062</v>
      </c>
      <c r="AQ99" s="385">
        <f t="shared" si="67"/>
        <v>21.48</v>
      </c>
      <c r="AR99" s="104">
        <f t="shared" si="68"/>
        <v>4474</v>
      </c>
      <c r="AS99" s="104">
        <f t="shared" si="69"/>
        <v>0</v>
      </c>
      <c r="AT99" s="104">
        <f t="shared" si="70"/>
        <v>0</v>
      </c>
      <c r="AU99" s="104">
        <f t="shared" si="71"/>
        <v>0</v>
      </c>
      <c r="AV99" s="104">
        <f t="shared" si="72"/>
        <v>0</v>
      </c>
      <c r="AW99" s="104">
        <f t="shared" si="73"/>
        <v>0</v>
      </c>
      <c r="AX99" s="104">
        <f t="shared" si="74"/>
        <v>0</v>
      </c>
    </row>
    <row r="100" spans="1:50" ht="18.75" customHeight="1" x14ac:dyDescent="0.4">
      <c r="A100" s="403" t="s">
        <v>372</v>
      </c>
      <c r="B100" s="404">
        <v>156</v>
      </c>
      <c r="C100" s="403" t="s">
        <v>60</v>
      </c>
      <c r="D100" s="12">
        <f>HLOOKUP($E$2,Database!$D$6:$OM$155,97,0)</f>
        <v>21.26</v>
      </c>
      <c r="E100" s="26">
        <f>HLOOKUP($E$3,Database!$D$6:$OM$155,97,0)</f>
        <v>149335</v>
      </c>
      <c r="F100" s="12">
        <f>HLOOKUP($G$2,Database!$D$6:$OM$155,97,0)</f>
        <v>21.26</v>
      </c>
      <c r="G100" s="26">
        <f>HLOOKUP($G$3,Database!$D$6:$OM$155,97,0)</f>
        <v>15395</v>
      </c>
      <c r="H100" s="12">
        <f>HLOOKUP($I$2,Database!$D$6:$OM$155,97,0)</f>
        <v>21.26</v>
      </c>
      <c r="I100" s="26">
        <f>HLOOKUP($I$3,Database!$D$6:$OM$155,97,0)</f>
        <v>46252</v>
      </c>
      <c r="J100" s="12">
        <f>HLOOKUP($K$2,Database!$D$6:$OM$155,97,0)</f>
        <v>21.26</v>
      </c>
      <c r="K100" s="26">
        <f>HLOOKUP($K$3,Database!$D$6:$OM$155,97,0)</f>
        <v>51892</v>
      </c>
      <c r="L100" s="12">
        <f>HLOOKUP($M$2,Database!$D$6:$OM$155,97,0)</f>
        <v>0</v>
      </c>
      <c r="M100" s="26">
        <f>HLOOKUP($M$3,Database!$D$6:$OM$155,97,0)</f>
        <v>0</v>
      </c>
      <c r="N100" s="12">
        <f>HLOOKUP($O$2,Database!$D$6:$OM$155,97,0)</f>
        <v>0</v>
      </c>
      <c r="O100" s="26">
        <f>HLOOKUP($O$3,Database!$D$6:$OM$155,97,0)</f>
        <v>0</v>
      </c>
      <c r="P100" s="12">
        <f>HLOOKUP($Q$2,Database!$D$6:$OM$155,97,0)</f>
        <v>0</v>
      </c>
      <c r="Q100" s="26">
        <f>HLOOKUP($Q$3,Database!$D$6:$OM$155,97,0)</f>
        <v>0</v>
      </c>
      <c r="R100" s="12">
        <f>HLOOKUP($S$2,Database!$D$6:$OM$155,97,0)</f>
        <v>0</v>
      </c>
      <c r="S100" s="26">
        <f>HLOOKUP($S$3,Database!$D$6:$OM$155,97,0)</f>
        <v>0</v>
      </c>
      <c r="T100" s="12">
        <f>HLOOKUP($U$2,Database!$D$6:$OM$155,97,0)</f>
        <v>0</v>
      </c>
      <c r="U100" s="26">
        <f>HLOOKUP($U$3,Database!$D$6:$OM$155,97,0)</f>
        <v>0</v>
      </c>
      <c r="V100" s="12">
        <f>HLOOKUP($W$2,Database!$D$6:$OM$155,97,0)</f>
        <v>0</v>
      </c>
      <c r="W100" s="26">
        <f>HLOOKUP($W$3,Database!$D$6:$OM$155,97,0)</f>
        <v>0</v>
      </c>
      <c r="Y100" s="381">
        <f t="shared" si="50"/>
        <v>21.26</v>
      </c>
      <c r="Z100" s="382">
        <f t="shared" si="51"/>
        <v>21.26</v>
      </c>
      <c r="AA100" s="382">
        <f t="shared" si="52"/>
        <v>21.26</v>
      </c>
      <c r="AB100" s="382">
        <f t="shared" si="53"/>
        <v>21.26</v>
      </c>
      <c r="AC100" s="324" t="str">
        <f t="shared" si="54"/>
        <v/>
      </c>
      <c r="AD100" s="324" t="str">
        <f t="shared" si="55"/>
        <v/>
      </c>
      <c r="AE100" s="324" t="str">
        <f t="shared" si="56"/>
        <v/>
      </c>
      <c r="AF100" s="324" t="str">
        <f t="shared" si="57"/>
        <v/>
      </c>
      <c r="AG100" s="324" t="str">
        <f t="shared" si="58"/>
        <v/>
      </c>
      <c r="AH100" s="324" t="str">
        <f t="shared" si="59"/>
        <v/>
      </c>
      <c r="AI100" s="362" t="str">
        <f t="shared" si="60"/>
        <v/>
      </c>
      <c r="AJ100" s="363" t="str">
        <f t="shared" si="61"/>
        <v/>
      </c>
      <c r="AK100" s="383">
        <f t="shared" si="62"/>
        <v>0</v>
      </c>
      <c r="AL100" s="382">
        <f t="shared" si="63"/>
        <v>21.26</v>
      </c>
      <c r="AM100" s="384">
        <f t="shared" si="64"/>
        <v>21.26</v>
      </c>
      <c r="AN100" s="28"/>
      <c r="AO100" s="385">
        <f t="shared" si="65"/>
        <v>21.26</v>
      </c>
      <c r="AP100" s="104">
        <f t="shared" si="66"/>
        <v>82365</v>
      </c>
      <c r="AQ100" s="385">
        <f t="shared" si="67"/>
        <v>21.26</v>
      </c>
      <c r="AR100" s="104">
        <f t="shared" si="68"/>
        <v>49072</v>
      </c>
      <c r="AS100" s="104">
        <f t="shared" si="69"/>
        <v>0</v>
      </c>
      <c r="AT100" s="104">
        <f t="shared" si="70"/>
        <v>0</v>
      </c>
      <c r="AU100" s="104">
        <f t="shared" si="71"/>
        <v>0</v>
      </c>
      <c r="AV100" s="104">
        <f t="shared" si="72"/>
        <v>0</v>
      </c>
      <c r="AW100" s="104">
        <f t="shared" si="73"/>
        <v>0</v>
      </c>
      <c r="AX100" s="104">
        <f t="shared" si="74"/>
        <v>0</v>
      </c>
    </row>
    <row r="101" spans="1:50" ht="18.75" customHeight="1" x14ac:dyDescent="0.4">
      <c r="A101" s="403" t="s">
        <v>373</v>
      </c>
      <c r="B101" s="404">
        <v>113</v>
      </c>
      <c r="C101" s="403" t="s">
        <v>60</v>
      </c>
      <c r="D101" s="12">
        <f>HLOOKUP($E$2,Database!$D$6:$OM$155,98,0)</f>
        <v>21.58</v>
      </c>
      <c r="E101" s="26">
        <f>HLOOKUP($E$3,Database!$D$6:$OM$155,98,0)</f>
        <v>60328</v>
      </c>
      <c r="F101" s="12">
        <f>HLOOKUP($G$2,Database!$D$6:$OM$155,98,0)</f>
        <v>21.57</v>
      </c>
      <c r="G101" s="26">
        <f>HLOOKUP($G$3,Database!$D$6:$OM$155,98,0)</f>
        <v>11301</v>
      </c>
      <c r="H101" s="12">
        <f>HLOOKUP($I$2,Database!$D$6:$OM$155,98,0)</f>
        <v>21.57</v>
      </c>
      <c r="I101" s="26">
        <f>HLOOKUP($I$3,Database!$D$6:$OM$155,98,0)</f>
        <v>30269</v>
      </c>
      <c r="J101" s="12">
        <f>HLOOKUP($K$2,Database!$D$6:$OM$155,98,0)</f>
        <v>21.57</v>
      </c>
      <c r="K101" s="26">
        <f>HLOOKUP($K$3,Database!$D$6:$OM$155,98,0)</f>
        <v>34472</v>
      </c>
      <c r="L101" s="12">
        <f>HLOOKUP($M$2,Database!$D$6:$OM$155,98,0)</f>
        <v>0</v>
      </c>
      <c r="M101" s="26">
        <f>HLOOKUP($M$3,Database!$D$6:$OM$155,98,0)</f>
        <v>0</v>
      </c>
      <c r="N101" s="12">
        <f>HLOOKUP($O$2,Database!$D$6:$OM$155,98,0)</f>
        <v>0</v>
      </c>
      <c r="O101" s="26">
        <f>HLOOKUP($O$3,Database!$D$6:$OM$155,98,0)</f>
        <v>0</v>
      </c>
      <c r="P101" s="12">
        <f>HLOOKUP($Q$2,Database!$D$6:$OM$155,98,0)</f>
        <v>0</v>
      </c>
      <c r="Q101" s="26">
        <f>HLOOKUP($Q$3,Database!$D$6:$OM$155,98,0)</f>
        <v>0</v>
      </c>
      <c r="R101" s="12">
        <f>HLOOKUP($S$2,Database!$D$6:$OM$155,98,0)</f>
        <v>0</v>
      </c>
      <c r="S101" s="26">
        <f>HLOOKUP($S$3,Database!$D$6:$OM$155,98,0)</f>
        <v>0</v>
      </c>
      <c r="T101" s="12">
        <f>HLOOKUP($U$2,Database!$D$6:$OM$155,98,0)</f>
        <v>0</v>
      </c>
      <c r="U101" s="26">
        <f>HLOOKUP($U$3,Database!$D$6:$OM$155,98,0)</f>
        <v>0</v>
      </c>
      <c r="V101" s="12">
        <f>HLOOKUP($W$2,Database!$D$6:$OM$155,98,0)</f>
        <v>0</v>
      </c>
      <c r="W101" s="26">
        <f>HLOOKUP($W$3,Database!$D$6:$OM$155,98,0)</f>
        <v>0</v>
      </c>
      <c r="Y101" s="381">
        <f t="shared" si="50"/>
        <v>21.58</v>
      </c>
      <c r="Z101" s="382">
        <f t="shared" si="51"/>
        <v>21.57</v>
      </c>
      <c r="AA101" s="382">
        <f t="shared" si="52"/>
        <v>21.57</v>
      </c>
      <c r="AB101" s="382">
        <f t="shared" si="53"/>
        <v>21.57</v>
      </c>
      <c r="AC101" s="324" t="str">
        <f t="shared" si="54"/>
        <v/>
      </c>
      <c r="AD101" s="324" t="str">
        <f t="shared" si="55"/>
        <v/>
      </c>
      <c r="AE101" s="324" t="str">
        <f t="shared" si="56"/>
        <v/>
      </c>
      <c r="AF101" s="324" t="str">
        <f t="shared" si="57"/>
        <v/>
      </c>
      <c r="AG101" s="324" t="str">
        <f t="shared" si="58"/>
        <v/>
      </c>
      <c r="AH101" s="324" t="str">
        <f t="shared" si="59"/>
        <v/>
      </c>
      <c r="AI101" s="362" t="str">
        <f t="shared" si="60"/>
        <v/>
      </c>
      <c r="AJ101" s="363" t="str">
        <f t="shared" si="61"/>
        <v/>
      </c>
      <c r="AK101" s="382">
        <f t="shared" si="62"/>
        <v>9.9999999999980105E-3</v>
      </c>
      <c r="AL101" s="382">
        <f t="shared" si="63"/>
        <v>21.57</v>
      </c>
      <c r="AM101" s="384">
        <f t="shared" si="64"/>
        <v>21.58</v>
      </c>
      <c r="AN101" s="28"/>
      <c r="AO101" s="385">
        <f t="shared" si="65"/>
        <v>21.574999999999999</v>
      </c>
      <c r="AP101" s="385">
        <f t="shared" si="66"/>
        <v>35814.5</v>
      </c>
      <c r="AQ101" s="385">
        <f t="shared" si="67"/>
        <v>21.57</v>
      </c>
      <c r="AR101" s="385">
        <f t="shared" si="68"/>
        <v>32370.5</v>
      </c>
      <c r="AS101" s="104">
        <f t="shared" si="69"/>
        <v>0</v>
      </c>
      <c r="AT101" s="104">
        <f t="shared" si="70"/>
        <v>0</v>
      </c>
      <c r="AU101" s="104">
        <f t="shared" si="71"/>
        <v>0</v>
      </c>
      <c r="AV101" s="104">
        <f t="shared" si="72"/>
        <v>0</v>
      </c>
      <c r="AW101" s="104">
        <f t="shared" si="73"/>
        <v>0</v>
      </c>
      <c r="AX101" s="104">
        <f t="shared" si="74"/>
        <v>0</v>
      </c>
    </row>
    <row r="102" spans="1:50" ht="18.75" customHeight="1" x14ac:dyDescent="0.4">
      <c r="A102" s="403" t="s">
        <v>374</v>
      </c>
      <c r="B102" s="404">
        <v>106</v>
      </c>
      <c r="C102" s="403" t="s">
        <v>60</v>
      </c>
      <c r="D102" s="12">
        <f>HLOOKUP($E$2,Database!$D$6:$OM$155,99,0)</f>
        <v>21.75</v>
      </c>
      <c r="E102" s="26">
        <f>HLOOKUP($E$3,Database!$D$6:$OM$155,99,0)</f>
        <v>19172</v>
      </c>
      <c r="F102" s="12">
        <f>HLOOKUP($G$2,Database!$D$6:$OM$155,99,0)</f>
        <v>21.73</v>
      </c>
      <c r="G102" s="26">
        <f>HLOOKUP($G$3,Database!$D$6:$OM$155,99,0)</f>
        <v>1887</v>
      </c>
      <c r="H102" s="12">
        <f>HLOOKUP($I$2,Database!$D$6:$OM$155,99,0)</f>
        <v>21.73</v>
      </c>
      <c r="I102" s="26">
        <f>HLOOKUP($I$3,Database!$D$6:$OM$155,99,0)</f>
        <v>5392</v>
      </c>
      <c r="J102" s="12">
        <f>HLOOKUP($K$2,Database!$D$6:$OM$155,99,0)</f>
        <v>21.73</v>
      </c>
      <c r="K102" s="26">
        <f>HLOOKUP($K$3,Database!$D$6:$OM$155,99,0)</f>
        <v>6021</v>
      </c>
      <c r="L102" s="12">
        <f>HLOOKUP($M$2,Database!$D$6:$OM$155,99,0)</f>
        <v>0</v>
      </c>
      <c r="M102" s="26">
        <f>HLOOKUP($M$3,Database!$D$6:$OM$155,99,0)</f>
        <v>0</v>
      </c>
      <c r="N102" s="12">
        <f>HLOOKUP($O$2,Database!$D$6:$OM$155,99,0)</f>
        <v>0</v>
      </c>
      <c r="O102" s="26">
        <f>HLOOKUP($O$3,Database!$D$6:$OM$155,99,0)</f>
        <v>0</v>
      </c>
      <c r="P102" s="12">
        <f>HLOOKUP($Q$2,Database!$D$6:$OM$155,99,0)</f>
        <v>0</v>
      </c>
      <c r="Q102" s="26">
        <f>HLOOKUP($Q$3,Database!$D$6:$OM$155,99,0)</f>
        <v>0</v>
      </c>
      <c r="R102" s="12">
        <f>HLOOKUP($S$2,Database!$D$6:$OM$155,99,0)</f>
        <v>0</v>
      </c>
      <c r="S102" s="26">
        <f>HLOOKUP($S$3,Database!$D$6:$OM$155,99,0)</f>
        <v>0</v>
      </c>
      <c r="T102" s="12">
        <f>HLOOKUP($U$2,Database!$D$6:$OM$155,99,0)</f>
        <v>0</v>
      </c>
      <c r="U102" s="26">
        <f>HLOOKUP($U$3,Database!$D$6:$OM$155,99,0)</f>
        <v>0</v>
      </c>
      <c r="V102" s="12">
        <f>HLOOKUP($W$2,Database!$D$6:$OM$155,99,0)</f>
        <v>0</v>
      </c>
      <c r="W102" s="26">
        <f>HLOOKUP($W$3,Database!$D$6:$OM$155,99,0)</f>
        <v>0</v>
      </c>
      <c r="Y102" s="381">
        <f t="shared" si="50"/>
        <v>21.75</v>
      </c>
      <c r="Z102" s="382">
        <f t="shared" si="51"/>
        <v>21.73</v>
      </c>
      <c r="AA102" s="382">
        <f t="shared" si="52"/>
        <v>21.73</v>
      </c>
      <c r="AB102" s="382">
        <f t="shared" si="53"/>
        <v>21.73</v>
      </c>
      <c r="AC102" s="324" t="str">
        <f t="shared" si="54"/>
        <v/>
      </c>
      <c r="AD102" s="324" t="str">
        <f t="shared" si="55"/>
        <v/>
      </c>
      <c r="AE102" s="324" t="str">
        <f t="shared" si="56"/>
        <v/>
      </c>
      <c r="AF102" s="324" t="str">
        <f t="shared" si="57"/>
        <v/>
      </c>
      <c r="AG102" s="324" t="str">
        <f t="shared" si="58"/>
        <v/>
      </c>
      <c r="AH102" s="324" t="str">
        <f t="shared" si="59"/>
        <v/>
      </c>
      <c r="AI102" s="362" t="str">
        <f t="shared" si="60"/>
        <v/>
      </c>
      <c r="AJ102" s="363" t="str">
        <f t="shared" si="61"/>
        <v/>
      </c>
      <c r="AK102" s="382">
        <f t="shared" si="62"/>
        <v>1.9999999999999574E-2</v>
      </c>
      <c r="AL102" s="382">
        <f t="shared" si="63"/>
        <v>21.73</v>
      </c>
      <c r="AM102" s="384">
        <f t="shared" si="64"/>
        <v>21.75</v>
      </c>
      <c r="AN102" s="28"/>
      <c r="AO102" s="385">
        <f t="shared" si="65"/>
        <v>21.740000000000002</v>
      </c>
      <c r="AP102" s="385">
        <f t="shared" si="66"/>
        <v>10529.5</v>
      </c>
      <c r="AQ102" s="385">
        <f t="shared" si="67"/>
        <v>21.73</v>
      </c>
      <c r="AR102" s="385">
        <f t="shared" si="68"/>
        <v>5706.5</v>
      </c>
      <c r="AS102" s="104">
        <f t="shared" si="69"/>
        <v>0</v>
      </c>
      <c r="AT102" s="104">
        <f t="shared" si="70"/>
        <v>0</v>
      </c>
      <c r="AU102" s="104">
        <f t="shared" si="71"/>
        <v>0</v>
      </c>
      <c r="AV102" s="104">
        <f t="shared" si="72"/>
        <v>0</v>
      </c>
      <c r="AW102" s="104">
        <f t="shared" si="73"/>
        <v>0</v>
      </c>
      <c r="AX102" s="104">
        <f t="shared" si="74"/>
        <v>0</v>
      </c>
    </row>
    <row r="103" spans="1:50" ht="18.75" customHeight="1" x14ac:dyDescent="0.4">
      <c r="A103" s="403" t="s">
        <v>375</v>
      </c>
      <c r="B103" s="404">
        <v>188</v>
      </c>
      <c r="C103" s="403" t="s">
        <v>60</v>
      </c>
      <c r="D103" s="12">
        <f>HLOOKUP($E$2,Database!$D$6:$OM$155,100,0)</f>
        <v>22.45</v>
      </c>
      <c r="E103" s="26">
        <f>HLOOKUP($E$3,Database!$D$6:$OM$155,100,0)</f>
        <v>0</v>
      </c>
      <c r="F103" s="12">
        <f>HLOOKUP($G$2,Database!$D$6:$OM$155,100,0)</f>
        <v>22.51</v>
      </c>
      <c r="G103" s="26">
        <f>HLOOKUP($G$3,Database!$D$6:$OM$155,100,0)</f>
        <v>0</v>
      </c>
      <c r="H103" s="12">
        <f>HLOOKUP($I$2,Database!$D$6:$OM$155,100,0)</f>
        <v>22.5</v>
      </c>
      <c r="I103" s="26">
        <f>HLOOKUP($I$3,Database!$D$6:$OM$155,100,0)</f>
        <v>0</v>
      </c>
      <c r="J103" s="12">
        <f>HLOOKUP($K$2,Database!$D$6:$OM$155,100,0)</f>
        <v>22.51</v>
      </c>
      <c r="K103" s="26">
        <f>HLOOKUP($K$3,Database!$D$6:$OM$155,100,0)</f>
        <v>0</v>
      </c>
      <c r="L103" s="12">
        <f>HLOOKUP($M$2,Database!$D$6:$OM$155,100,0)</f>
        <v>0</v>
      </c>
      <c r="M103" s="26">
        <f>HLOOKUP($M$3,Database!$D$6:$OM$155,100,0)</f>
        <v>0</v>
      </c>
      <c r="N103" s="12">
        <f>HLOOKUP($O$2,Database!$D$6:$OM$155,100,0)</f>
        <v>0</v>
      </c>
      <c r="O103" s="26">
        <f>HLOOKUP($O$3,Database!$D$6:$OM$155,100,0)</f>
        <v>0</v>
      </c>
      <c r="P103" s="12">
        <f>HLOOKUP($Q$2,Database!$D$6:$OM$155,100,0)</f>
        <v>0</v>
      </c>
      <c r="Q103" s="26">
        <f>HLOOKUP($Q$3,Database!$D$6:$OM$155,100,0)</f>
        <v>0</v>
      </c>
      <c r="R103" s="12">
        <f>HLOOKUP($S$2,Database!$D$6:$OM$155,100,0)</f>
        <v>0</v>
      </c>
      <c r="S103" s="26">
        <f>HLOOKUP($S$3,Database!$D$6:$OM$155,100,0)</f>
        <v>0</v>
      </c>
      <c r="T103" s="12">
        <f>HLOOKUP($U$2,Database!$D$6:$OM$155,100,0)</f>
        <v>0</v>
      </c>
      <c r="U103" s="26">
        <f>HLOOKUP($U$3,Database!$D$6:$OM$155,100,0)</f>
        <v>0</v>
      </c>
      <c r="V103" s="12">
        <f>HLOOKUP($W$2,Database!$D$6:$OM$155,100,0)</f>
        <v>0</v>
      </c>
      <c r="W103" s="26">
        <f>HLOOKUP($W$3,Database!$D$6:$OM$155,100,0)</f>
        <v>0</v>
      </c>
      <c r="Y103" s="381">
        <f t="shared" si="50"/>
        <v>22.45</v>
      </c>
      <c r="Z103" s="382">
        <f t="shared" si="51"/>
        <v>22.51</v>
      </c>
      <c r="AA103" s="382">
        <f t="shared" si="52"/>
        <v>22.5</v>
      </c>
      <c r="AB103" s="382">
        <f t="shared" si="53"/>
        <v>22.51</v>
      </c>
      <c r="AC103" s="324" t="str">
        <f t="shared" si="54"/>
        <v/>
      </c>
      <c r="AD103" s="324" t="str">
        <f t="shared" si="55"/>
        <v/>
      </c>
      <c r="AE103" s="324" t="str">
        <f t="shared" si="56"/>
        <v/>
      </c>
      <c r="AF103" s="324" t="str">
        <f t="shared" si="57"/>
        <v/>
      </c>
      <c r="AG103" s="324" t="str">
        <f t="shared" si="58"/>
        <v/>
      </c>
      <c r="AH103" s="324" t="str">
        <f t="shared" si="59"/>
        <v/>
      </c>
      <c r="AI103" s="362" t="str">
        <f t="shared" si="60"/>
        <v/>
      </c>
      <c r="AJ103" s="363" t="str">
        <f t="shared" si="61"/>
        <v/>
      </c>
      <c r="AK103" s="382">
        <f t="shared" si="62"/>
        <v>6.0000000000002274E-2</v>
      </c>
      <c r="AL103" s="382">
        <f t="shared" si="63"/>
        <v>22.45</v>
      </c>
      <c r="AM103" s="384">
        <f t="shared" si="64"/>
        <v>22.51</v>
      </c>
      <c r="AN103" s="28"/>
      <c r="AO103" s="385">
        <f t="shared" si="65"/>
        <v>22.48</v>
      </c>
      <c r="AP103" s="104">
        <f t="shared" si="66"/>
        <v>0</v>
      </c>
      <c r="AQ103" s="385">
        <f t="shared" si="67"/>
        <v>22.505000000000003</v>
      </c>
      <c r="AR103" s="104">
        <f t="shared" si="68"/>
        <v>0</v>
      </c>
      <c r="AS103" s="104">
        <f t="shared" si="69"/>
        <v>0</v>
      </c>
      <c r="AT103" s="104">
        <f t="shared" si="70"/>
        <v>0</v>
      </c>
      <c r="AU103" s="104">
        <f t="shared" si="71"/>
        <v>0</v>
      </c>
      <c r="AV103" s="104">
        <f t="shared" si="72"/>
        <v>0</v>
      </c>
      <c r="AW103" s="104">
        <f t="shared" si="73"/>
        <v>0</v>
      </c>
      <c r="AX103" s="104">
        <f t="shared" si="74"/>
        <v>0</v>
      </c>
    </row>
    <row r="104" spans="1:50" ht="18.75" customHeight="1" x14ac:dyDescent="0.4">
      <c r="A104" s="403" t="s">
        <v>376</v>
      </c>
      <c r="B104" s="404">
        <v>74</v>
      </c>
      <c r="C104" s="403" t="s">
        <v>60</v>
      </c>
      <c r="D104" s="12">
        <f>HLOOKUP($E$2,Database!$D$6:$OM$155,101,0)</f>
        <v>22.65</v>
      </c>
      <c r="E104" s="26">
        <f>HLOOKUP($E$3,Database!$D$6:$OM$155,101,0)</f>
        <v>0</v>
      </c>
      <c r="F104" s="12">
        <f>HLOOKUP($G$2,Database!$D$6:$OM$155,101,0)</f>
        <v>22.65</v>
      </c>
      <c r="G104" s="26">
        <f>HLOOKUP($G$3,Database!$D$6:$OM$155,101,0)</f>
        <v>0</v>
      </c>
      <c r="H104" s="12">
        <f>HLOOKUP($I$2,Database!$D$6:$OM$155,101,0)</f>
        <v>22.64</v>
      </c>
      <c r="I104" s="26">
        <f>HLOOKUP($I$3,Database!$D$6:$OM$155,101,0)</f>
        <v>0</v>
      </c>
      <c r="J104" s="12">
        <f>HLOOKUP($K$2,Database!$D$6:$OM$155,101,0)</f>
        <v>22.65</v>
      </c>
      <c r="K104" s="26">
        <f>HLOOKUP($K$3,Database!$D$6:$OM$155,101,0)</f>
        <v>0</v>
      </c>
      <c r="L104" s="12">
        <f>HLOOKUP($M$2,Database!$D$6:$OM$155,101,0)</f>
        <v>0</v>
      </c>
      <c r="M104" s="26">
        <f>HLOOKUP($M$3,Database!$D$6:$OM$155,101,0)</f>
        <v>0</v>
      </c>
      <c r="N104" s="12">
        <f>HLOOKUP($O$2,Database!$D$6:$OM$155,101,0)</f>
        <v>0</v>
      </c>
      <c r="O104" s="26">
        <f>HLOOKUP($O$3,Database!$D$6:$OM$155,101,0)</f>
        <v>0</v>
      </c>
      <c r="P104" s="12">
        <f>HLOOKUP($Q$2,Database!$D$6:$OM$155,101,0)</f>
        <v>0</v>
      </c>
      <c r="Q104" s="26">
        <f>HLOOKUP($Q$3,Database!$D$6:$OM$155,101,0)</f>
        <v>0</v>
      </c>
      <c r="R104" s="12">
        <f>HLOOKUP($S$2,Database!$D$6:$OM$155,101,0)</f>
        <v>0</v>
      </c>
      <c r="S104" s="26">
        <f>HLOOKUP($S$3,Database!$D$6:$OM$155,101,0)</f>
        <v>0</v>
      </c>
      <c r="T104" s="12">
        <f>HLOOKUP($U$2,Database!$D$6:$OM$155,101,0)</f>
        <v>0</v>
      </c>
      <c r="U104" s="26">
        <f>HLOOKUP($U$3,Database!$D$6:$OM$155,101,0)</f>
        <v>0</v>
      </c>
      <c r="V104" s="12">
        <f>HLOOKUP($W$2,Database!$D$6:$OM$155,101,0)</f>
        <v>0</v>
      </c>
      <c r="W104" s="26">
        <f>HLOOKUP($W$3,Database!$D$6:$OM$155,101,0)</f>
        <v>0</v>
      </c>
      <c r="Y104" s="381">
        <f t="shared" si="50"/>
        <v>22.65</v>
      </c>
      <c r="Z104" s="382">
        <f t="shared" si="51"/>
        <v>22.65</v>
      </c>
      <c r="AA104" s="382">
        <f t="shared" si="52"/>
        <v>22.64</v>
      </c>
      <c r="AB104" s="382">
        <f t="shared" si="53"/>
        <v>22.65</v>
      </c>
      <c r="AC104" s="324" t="str">
        <f t="shared" si="54"/>
        <v/>
      </c>
      <c r="AD104" s="324" t="str">
        <f t="shared" si="55"/>
        <v/>
      </c>
      <c r="AE104" s="324" t="str">
        <f t="shared" si="56"/>
        <v/>
      </c>
      <c r="AF104" s="324" t="str">
        <f t="shared" si="57"/>
        <v/>
      </c>
      <c r="AG104" s="324" t="str">
        <f t="shared" si="58"/>
        <v/>
      </c>
      <c r="AH104" s="324" t="str">
        <f t="shared" si="59"/>
        <v/>
      </c>
      <c r="AI104" s="362" t="str">
        <f t="shared" si="60"/>
        <v/>
      </c>
      <c r="AJ104" s="363" t="str">
        <f t="shared" si="61"/>
        <v/>
      </c>
      <c r="AK104" s="382">
        <f t="shared" si="62"/>
        <v>9.9999999999980105E-3</v>
      </c>
      <c r="AL104" s="382">
        <f t="shared" si="63"/>
        <v>22.64</v>
      </c>
      <c r="AM104" s="384">
        <f t="shared" si="64"/>
        <v>22.65</v>
      </c>
      <c r="AN104" s="28"/>
      <c r="AO104" s="385">
        <f t="shared" si="65"/>
        <v>22.65</v>
      </c>
      <c r="AP104" s="104">
        <f t="shared" si="66"/>
        <v>0</v>
      </c>
      <c r="AQ104" s="385">
        <f t="shared" si="67"/>
        <v>22.645</v>
      </c>
      <c r="AR104" s="104">
        <f t="shared" si="68"/>
        <v>0</v>
      </c>
      <c r="AS104" s="104">
        <f t="shared" si="69"/>
        <v>0</v>
      </c>
      <c r="AT104" s="104">
        <f t="shared" si="70"/>
        <v>0</v>
      </c>
      <c r="AU104" s="104">
        <f t="shared" si="71"/>
        <v>0</v>
      </c>
      <c r="AV104" s="104">
        <f t="shared" si="72"/>
        <v>0</v>
      </c>
      <c r="AW104" s="104">
        <f t="shared" si="73"/>
        <v>0</v>
      </c>
      <c r="AX104" s="104">
        <f t="shared" si="74"/>
        <v>0</v>
      </c>
    </row>
    <row r="105" spans="1:50" ht="18.75" customHeight="1" x14ac:dyDescent="0.4">
      <c r="A105" s="403" t="s">
        <v>377</v>
      </c>
      <c r="B105" s="404">
        <v>187</v>
      </c>
      <c r="C105" s="403" t="s">
        <v>60</v>
      </c>
      <c r="D105" s="12">
        <f>HLOOKUP($E$2,Database!$D$6:$OM$155,102,0)</f>
        <v>22.8</v>
      </c>
      <c r="E105" s="26">
        <f>HLOOKUP($E$3,Database!$D$6:$OM$155,102,0)</f>
        <v>0</v>
      </c>
      <c r="F105" s="12">
        <f>HLOOKUP($G$2,Database!$D$6:$OM$155,102,0)</f>
        <v>22.79</v>
      </c>
      <c r="G105" s="26">
        <f>HLOOKUP($G$3,Database!$D$6:$OM$155,102,0)</f>
        <v>0</v>
      </c>
      <c r="H105" s="12">
        <f>HLOOKUP($I$2,Database!$D$6:$OM$155,102,0)</f>
        <v>22.79</v>
      </c>
      <c r="I105" s="26">
        <f>HLOOKUP($I$3,Database!$D$6:$OM$155,102,0)</f>
        <v>0</v>
      </c>
      <c r="J105" s="12">
        <f>HLOOKUP($K$2,Database!$D$6:$OM$155,102,0)</f>
        <v>22.79</v>
      </c>
      <c r="K105" s="26">
        <f>HLOOKUP($K$3,Database!$D$6:$OM$155,102,0)</f>
        <v>0</v>
      </c>
      <c r="L105" s="12">
        <f>HLOOKUP($M$2,Database!$D$6:$OM$155,102,0)</f>
        <v>0</v>
      </c>
      <c r="M105" s="26">
        <f>HLOOKUP($M$3,Database!$D$6:$OM$155,102,0)</f>
        <v>0</v>
      </c>
      <c r="N105" s="12">
        <f>HLOOKUP($O$2,Database!$D$6:$OM$155,102,0)</f>
        <v>0</v>
      </c>
      <c r="O105" s="26">
        <f>HLOOKUP($O$3,Database!$D$6:$OM$155,102,0)</f>
        <v>0</v>
      </c>
      <c r="P105" s="12">
        <f>HLOOKUP($Q$2,Database!$D$6:$OM$155,102,0)</f>
        <v>0</v>
      </c>
      <c r="Q105" s="26">
        <f>HLOOKUP($Q$3,Database!$D$6:$OM$155,102,0)</f>
        <v>0</v>
      </c>
      <c r="R105" s="12">
        <f>HLOOKUP($S$2,Database!$D$6:$OM$155,102,0)</f>
        <v>0</v>
      </c>
      <c r="S105" s="26">
        <f>HLOOKUP($S$3,Database!$D$6:$OM$155,102,0)</f>
        <v>0</v>
      </c>
      <c r="T105" s="12">
        <f>HLOOKUP($U$2,Database!$D$6:$OM$155,102,0)</f>
        <v>0</v>
      </c>
      <c r="U105" s="26">
        <f>HLOOKUP($U$3,Database!$D$6:$OM$155,102,0)</f>
        <v>0</v>
      </c>
      <c r="V105" s="12">
        <f>HLOOKUP($W$2,Database!$D$6:$OM$155,102,0)</f>
        <v>0</v>
      </c>
      <c r="W105" s="26">
        <f>HLOOKUP($W$3,Database!$D$6:$OM$155,102,0)</f>
        <v>0</v>
      </c>
      <c r="Y105" s="381">
        <f t="shared" ref="Y105:Y136" si="75">IF(D105&gt;5,D105,"")</f>
        <v>22.8</v>
      </c>
      <c r="Z105" s="382">
        <f t="shared" ref="Z105:Z136" si="76">IF(F105&gt;5,F105,"")</f>
        <v>22.79</v>
      </c>
      <c r="AA105" s="382">
        <f t="shared" ref="AA105:AA136" si="77">IF(H105&gt;5,H105,"")</f>
        <v>22.79</v>
      </c>
      <c r="AB105" s="382">
        <f t="shared" ref="AB105:AB136" si="78">IF(J105&gt;5,J105,"")</f>
        <v>22.79</v>
      </c>
      <c r="AC105" s="324" t="str">
        <f t="shared" ref="AC105:AC136" si="79">IF(L105&gt;5,L105,"")</f>
        <v/>
      </c>
      <c r="AD105" s="324" t="str">
        <f t="shared" ref="AD105:AD136" si="80">IF(N105&gt;5,N105,"")</f>
        <v/>
      </c>
      <c r="AE105" s="324" t="str">
        <f t="shared" ref="AE105:AE136" si="81">IF(P105&gt;5,P105,"")</f>
        <v/>
      </c>
      <c r="AF105" s="324" t="str">
        <f t="shared" ref="AF105:AF136" si="82">IF(R105&gt;5,R105,"")</f>
        <v/>
      </c>
      <c r="AG105" s="324" t="str">
        <f t="shared" ref="AG105:AG136" si="83">IF(T105&gt;5,T105,"")</f>
        <v/>
      </c>
      <c r="AH105" s="324" t="str">
        <f t="shared" ref="AH105:AH136" si="84">IF(V105&gt;5,V105,"")</f>
        <v/>
      </c>
      <c r="AI105" s="362" t="str">
        <f t="shared" ref="AI105:AI136" si="85">IF(AK105&gt;0.5,1,"")</f>
        <v/>
      </c>
      <c r="AJ105" s="363" t="str">
        <f t="shared" ref="AJ105:AJ136" si="86">IF(AK105&gt;0.1,1,"")</f>
        <v/>
      </c>
      <c r="AK105" s="382">
        <f t="shared" ref="AK105:AK136" si="87">AM105-AL105</f>
        <v>1.0000000000001563E-2</v>
      </c>
      <c r="AL105" s="382">
        <f t="shared" ref="AL105:AL136" si="88">MIN(Y105:AH105)</f>
        <v>22.79</v>
      </c>
      <c r="AM105" s="384">
        <f t="shared" ref="AM105:AM136" si="89">MAX(Y105:AH105)</f>
        <v>22.8</v>
      </c>
      <c r="AN105" s="28"/>
      <c r="AO105" s="385">
        <f t="shared" ref="AO105:AO136" si="90">(D105+F105)/2</f>
        <v>22.795000000000002</v>
      </c>
      <c r="AP105" s="104">
        <f t="shared" ref="AP105:AP136" si="91">(E105+G105)/2</f>
        <v>0</v>
      </c>
      <c r="AQ105" s="385">
        <f t="shared" ref="AQ105:AQ136" si="92">(H105+J105)/2</f>
        <v>22.79</v>
      </c>
      <c r="AR105" s="104">
        <f t="shared" ref="AR105:AR136" si="93">(I105+K105)/2</f>
        <v>0</v>
      </c>
      <c r="AS105" s="104">
        <f t="shared" ref="AS105:AS136" si="94">(L105+N105)/2</f>
        <v>0</v>
      </c>
      <c r="AT105" s="104">
        <f t="shared" ref="AT105:AT136" si="95">(M105+O105)/2</f>
        <v>0</v>
      </c>
      <c r="AU105" s="104">
        <f t="shared" ref="AU105:AU136" si="96">(P105+R105)/2</f>
        <v>0</v>
      </c>
      <c r="AV105" s="104">
        <f t="shared" ref="AV105:AV136" si="97">(Q105+S105)/2</f>
        <v>0</v>
      </c>
      <c r="AW105" s="104">
        <f t="shared" ref="AW105:AW136" si="98">(T105+V105)/2</f>
        <v>0</v>
      </c>
      <c r="AX105" s="104">
        <f t="shared" ref="AX105:AX136" si="99">(U105+W105)/2</f>
        <v>0</v>
      </c>
    </row>
    <row r="106" spans="1:50" ht="18.75" customHeight="1" x14ac:dyDescent="0.4">
      <c r="A106" s="403" t="s">
        <v>378</v>
      </c>
      <c r="B106" s="404">
        <v>170</v>
      </c>
      <c r="C106" s="403" t="s">
        <v>60</v>
      </c>
      <c r="D106" s="12">
        <f>HLOOKUP($E$2,Database!$D$6:$OM$155,103,0)</f>
        <v>22.87</v>
      </c>
      <c r="E106" s="26">
        <f>HLOOKUP($E$3,Database!$D$6:$OM$155,103,0)</f>
        <v>268526</v>
      </c>
      <c r="F106" s="12">
        <f>HLOOKUP($G$2,Database!$D$6:$OM$155,103,0)</f>
        <v>22.86</v>
      </c>
      <c r="G106" s="26">
        <f>HLOOKUP($G$3,Database!$D$6:$OM$155,103,0)</f>
        <v>36195</v>
      </c>
      <c r="H106" s="12">
        <f>HLOOKUP($I$2,Database!$D$6:$OM$155,103,0)</f>
        <v>22.86</v>
      </c>
      <c r="I106" s="26">
        <f>HLOOKUP($I$3,Database!$D$6:$OM$155,103,0)</f>
        <v>98222</v>
      </c>
      <c r="J106" s="12">
        <f>HLOOKUP($K$2,Database!$D$6:$OM$155,103,0)</f>
        <v>22.86</v>
      </c>
      <c r="K106" s="26">
        <f>HLOOKUP($K$3,Database!$D$6:$OM$155,103,0)</f>
        <v>111301</v>
      </c>
      <c r="L106" s="12">
        <f>HLOOKUP($M$2,Database!$D$6:$OM$155,103,0)</f>
        <v>0</v>
      </c>
      <c r="M106" s="26">
        <f>HLOOKUP($M$3,Database!$D$6:$OM$155,103,0)</f>
        <v>0</v>
      </c>
      <c r="N106" s="12">
        <f>HLOOKUP($O$2,Database!$D$6:$OM$155,103,0)</f>
        <v>0</v>
      </c>
      <c r="O106" s="26">
        <f>HLOOKUP($O$3,Database!$D$6:$OM$155,103,0)</f>
        <v>0</v>
      </c>
      <c r="P106" s="12">
        <f>HLOOKUP($Q$2,Database!$D$6:$OM$155,103,0)</f>
        <v>0</v>
      </c>
      <c r="Q106" s="26">
        <f>HLOOKUP($Q$3,Database!$D$6:$OM$155,103,0)</f>
        <v>0</v>
      </c>
      <c r="R106" s="12">
        <f>HLOOKUP($S$2,Database!$D$6:$OM$155,103,0)</f>
        <v>0</v>
      </c>
      <c r="S106" s="26">
        <f>HLOOKUP($S$3,Database!$D$6:$OM$155,103,0)</f>
        <v>0</v>
      </c>
      <c r="T106" s="12">
        <f>HLOOKUP($U$2,Database!$D$6:$OM$155,103,0)</f>
        <v>0</v>
      </c>
      <c r="U106" s="26">
        <f>HLOOKUP($U$3,Database!$D$6:$OM$155,103,0)</f>
        <v>0</v>
      </c>
      <c r="V106" s="12">
        <f>HLOOKUP($W$2,Database!$D$6:$OM$155,103,0)</f>
        <v>0</v>
      </c>
      <c r="W106" s="26">
        <f>HLOOKUP($W$3,Database!$D$6:$OM$155,103,0)</f>
        <v>0</v>
      </c>
      <c r="Y106" s="381">
        <f t="shared" si="75"/>
        <v>22.87</v>
      </c>
      <c r="Z106" s="382">
        <f t="shared" si="76"/>
        <v>22.86</v>
      </c>
      <c r="AA106" s="382">
        <f t="shared" si="77"/>
        <v>22.86</v>
      </c>
      <c r="AB106" s="382">
        <f t="shared" si="78"/>
        <v>22.86</v>
      </c>
      <c r="AC106" s="324" t="str">
        <f t="shared" si="79"/>
        <v/>
      </c>
      <c r="AD106" s="324" t="str">
        <f t="shared" si="80"/>
        <v/>
      </c>
      <c r="AE106" s="324" t="str">
        <f t="shared" si="81"/>
        <v/>
      </c>
      <c r="AF106" s="324" t="str">
        <f t="shared" si="82"/>
        <v/>
      </c>
      <c r="AG106" s="324" t="str">
        <f t="shared" si="83"/>
        <v/>
      </c>
      <c r="AH106" s="324" t="str">
        <f t="shared" si="84"/>
        <v/>
      </c>
      <c r="AI106" s="362" t="str">
        <f t="shared" si="85"/>
        <v/>
      </c>
      <c r="AJ106" s="363" t="str">
        <f t="shared" si="86"/>
        <v/>
      </c>
      <c r="AK106" s="382">
        <f t="shared" si="87"/>
        <v>1.0000000000001563E-2</v>
      </c>
      <c r="AL106" s="382">
        <f t="shared" si="88"/>
        <v>22.86</v>
      </c>
      <c r="AM106" s="384">
        <f t="shared" si="89"/>
        <v>22.87</v>
      </c>
      <c r="AN106" s="28"/>
      <c r="AO106" s="385">
        <f t="shared" si="90"/>
        <v>22.865000000000002</v>
      </c>
      <c r="AP106" s="385">
        <f t="shared" si="91"/>
        <v>152360.5</v>
      </c>
      <c r="AQ106" s="385">
        <f t="shared" si="92"/>
        <v>22.86</v>
      </c>
      <c r="AR106" s="385">
        <f t="shared" si="93"/>
        <v>104761.5</v>
      </c>
      <c r="AS106" s="104">
        <f t="shared" si="94"/>
        <v>0</v>
      </c>
      <c r="AT106" s="104">
        <f t="shared" si="95"/>
        <v>0</v>
      </c>
      <c r="AU106" s="104">
        <f t="shared" si="96"/>
        <v>0</v>
      </c>
      <c r="AV106" s="104">
        <f t="shared" si="97"/>
        <v>0</v>
      </c>
      <c r="AW106" s="104">
        <f t="shared" si="98"/>
        <v>0</v>
      </c>
      <c r="AX106" s="104">
        <f t="shared" si="99"/>
        <v>0</v>
      </c>
    </row>
    <row r="107" spans="1:50" ht="18.75" customHeight="1" x14ac:dyDescent="0.4">
      <c r="A107" s="403" t="s">
        <v>379</v>
      </c>
      <c r="B107" s="404">
        <v>170</v>
      </c>
      <c r="C107" s="403" t="s">
        <v>60</v>
      </c>
      <c r="D107" s="12">
        <f>HLOOKUP($E$2,Database!$D$6:$OM$155,104,0)</f>
        <v>22.97</v>
      </c>
      <c r="E107" s="26">
        <f>HLOOKUP($E$3,Database!$D$6:$OM$155,104,0)</f>
        <v>345382</v>
      </c>
      <c r="F107" s="12">
        <f>HLOOKUP($G$2,Database!$D$6:$OM$155,104,0)</f>
        <v>22.96</v>
      </c>
      <c r="G107" s="26">
        <f>HLOOKUP($G$3,Database!$D$6:$OM$155,104,0)</f>
        <v>45356</v>
      </c>
      <c r="H107" s="12">
        <f>HLOOKUP($I$2,Database!$D$6:$OM$155,104,0)</f>
        <v>22.96</v>
      </c>
      <c r="I107" s="26">
        <f>HLOOKUP($I$3,Database!$D$6:$OM$155,104,0)</f>
        <v>120919</v>
      </c>
      <c r="J107" s="12">
        <f>HLOOKUP($K$2,Database!$D$6:$OM$155,104,0)</f>
        <v>22.96</v>
      </c>
      <c r="K107" s="26">
        <f>HLOOKUP($K$3,Database!$D$6:$OM$155,104,0)</f>
        <v>138625</v>
      </c>
      <c r="L107" s="12">
        <f>HLOOKUP($M$2,Database!$D$6:$OM$155,104,0)</f>
        <v>0</v>
      </c>
      <c r="M107" s="26">
        <f>HLOOKUP($M$3,Database!$D$6:$OM$155,104,0)</f>
        <v>0</v>
      </c>
      <c r="N107" s="12">
        <f>HLOOKUP($O$2,Database!$D$6:$OM$155,104,0)</f>
        <v>0</v>
      </c>
      <c r="O107" s="26">
        <f>HLOOKUP($O$3,Database!$D$6:$OM$155,104,0)</f>
        <v>0</v>
      </c>
      <c r="P107" s="12">
        <f>HLOOKUP($Q$2,Database!$D$6:$OM$155,104,0)</f>
        <v>0</v>
      </c>
      <c r="Q107" s="26">
        <f>HLOOKUP($Q$3,Database!$D$6:$OM$155,104,0)</f>
        <v>0</v>
      </c>
      <c r="R107" s="12">
        <f>HLOOKUP($S$2,Database!$D$6:$OM$155,104,0)</f>
        <v>0</v>
      </c>
      <c r="S107" s="26">
        <f>HLOOKUP($S$3,Database!$D$6:$OM$155,104,0)</f>
        <v>0</v>
      </c>
      <c r="T107" s="12">
        <f>HLOOKUP($U$2,Database!$D$6:$OM$155,104,0)</f>
        <v>0</v>
      </c>
      <c r="U107" s="26">
        <f>HLOOKUP($U$3,Database!$D$6:$OM$155,104,0)</f>
        <v>0</v>
      </c>
      <c r="V107" s="12">
        <f>HLOOKUP($W$2,Database!$D$6:$OM$155,104,0)</f>
        <v>0</v>
      </c>
      <c r="W107" s="26">
        <f>HLOOKUP($W$3,Database!$D$6:$OM$155,104,0)</f>
        <v>0</v>
      </c>
      <c r="Y107" s="381">
        <f t="shared" si="75"/>
        <v>22.97</v>
      </c>
      <c r="Z107" s="382">
        <f t="shared" si="76"/>
        <v>22.96</v>
      </c>
      <c r="AA107" s="382">
        <f t="shared" si="77"/>
        <v>22.96</v>
      </c>
      <c r="AB107" s="382">
        <f t="shared" si="78"/>
        <v>22.96</v>
      </c>
      <c r="AC107" s="324" t="str">
        <f t="shared" si="79"/>
        <v/>
      </c>
      <c r="AD107" s="324" t="str">
        <f t="shared" si="80"/>
        <v/>
      </c>
      <c r="AE107" s="324" t="str">
        <f t="shared" si="81"/>
        <v/>
      </c>
      <c r="AF107" s="324" t="str">
        <f t="shared" si="82"/>
        <v/>
      </c>
      <c r="AG107" s="324" t="str">
        <f t="shared" si="83"/>
        <v/>
      </c>
      <c r="AH107" s="324" t="str">
        <f t="shared" si="84"/>
        <v/>
      </c>
      <c r="AI107" s="362" t="str">
        <f t="shared" si="85"/>
        <v/>
      </c>
      <c r="AJ107" s="363" t="str">
        <f t="shared" si="86"/>
        <v/>
      </c>
      <c r="AK107" s="382">
        <f t="shared" si="87"/>
        <v>9.9999999999980105E-3</v>
      </c>
      <c r="AL107" s="382">
        <f t="shared" si="88"/>
        <v>22.96</v>
      </c>
      <c r="AM107" s="384">
        <f t="shared" si="89"/>
        <v>22.97</v>
      </c>
      <c r="AN107" s="28"/>
      <c r="AO107" s="385">
        <f t="shared" si="90"/>
        <v>22.965</v>
      </c>
      <c r="AP107" s="104">
        <f t="shared" si="91"/>
        <v>195369</v>
      </c>
      <c r="AQ107" s="385">
        <f t="shared" si="92"/>
        <v>22.96</v>
      </c>
      <c r="AR107" s="104">
        <f t="shared" si="93"/>
        <v>129772</v>
      </c>
      <c r="AS107" s="104">
        <f t="shared" si="94"/>
        <v>0</v>
      </c>
      <c r="AT107" s="104">
        <f t="shared" si="95"/>
        <v>0</v>
      </c>
      <c r="AU107" s="104">
        <f t="shared" si="96"/>
        <v>0</v>
      </c>
      <c r="AV107" s="104">
        <f t="shared" si="97"/>
        <v>0</v>
      </c>
      <c r="AW107" s="104">
        <f t="shared" si="98"/>
        <v>0</v>
      </c>
      <c r="AX107" s="104">
        <f t="shared" si="99"/>
        <v>0</v>
      </c>
    </row>
    <row r="108" spans="1:50" ht="18.75" customHeight="1" x14ac:dyDescent="0.4">
      <c r="A108" s="403" t="s">
        <v>380</v>
      </c>
      <c r="B108" s="404">
        <v>83</v>
      </c>
      <c r="C108" s="403" t="s">
        <v>60</v>
      </c>
      <c r="D108" s="12">
        <f>HLOOKUP($E$2,Database!$D$6:$OM$155,105,0)</f>
        <v>23.49</v>
      </c>
      <c r="E108" s="26">
        <f>HLOOKUP($E$3,Database!$D$6:$OM$155,105,0)</f>
        <v>125144</v>
      </c>
      <c r="F108" s="12">
        <f>HLOOKUP($G$2,Database!$D$6:$OM$155,105,0)</f>
        <v>23.48</v>
      </c>
      <c r="G108" s="26">
        <f>HLOOKUP($G$3,Database!$D$6:$OM$155,105,0)</f>
        <v>18500</v>
      </c>
      <c r="H108" s="12">
        <f>HLOOKUP($I$2,Database!$D$6:$OM$155,105,0)</f>
        <v>23.48</v>
      </c>
      <c r="I108" s="26">
        <f>HLOOKUP($I$3,Database!$D$6:$OM$155,105,0)</f>
        <v>50722</v>
      </c>
      <c r="J108" s="12">
        <f>HLOOKUP($K$2,Database!$D$6:$OM$155,105,0)</f>
        <v>23.48</v>
      </c>
      <c r="K108" s="26">
        <f>HLOOKUP($K$3,Database!$D$6:$OM$155,105,0)</f>
        <v>60630</v>
      </c>
      <c r="L108" s="12">
        <f>HLOOKUP($M$2,Database!$D$6:$OM$155,105,0)</f>
        <v>0</v>
      </c>
      <c r="M108" s="26">
        <f>HLOOKUP($M$3,Database!$D$6:$OM$155,105,0)</f>
        <v>0</v>
      </c>
      <c r="N108" s="12">
        <f>HLOOKUP($O$2,Database!$D$6:$OM$155,105,0)</f>
        <v>0</v>
      </c>
      <c r="O108" s="26">
        <f>HLOOKUP($O$3,Database!$D$6:$OM$155,105,0)</f>
        <v>0</v>
      </c>
      <c r="P108" s="12">
        <f>HLOOKUP($Q$2,Database!$D$6:$OM$155,105,0)</f>
        <v>0</v>
      </c>
      <c r="Q108" s="26">
        <f>HLOOKUP($Q$3,Database!$D$6:$OM$155,105,0)</f>
        <v>0</v>
      </c>
      <c r="R108" s="12">
        <f>HLOOKUP($S$2,Database!$D$6:$OM$155,105,0)</f>
        <v>0</v>
      </c>
      <c r="S108" s="26">
        <f>HLOOKUP($S$3,Database!$D$6:$OM$155,105,0)</f>
        <v>0</v>
      </c>
      <c r="T108" s="12">
        <f>HLOOKUP($U$2,Database!$D$6:$OM$155,105,0)</f>
        <v>0</v>
      </c>
      <c r="U108" s="26">
        <f>HLOOKUP($U$3,Database!$D$6:$OM$155,105,0)</f>
        <v>0</v>
      </c>
      <c r="V108" s="12">
        <f>HLOOKUP($W$2,Database!$D$6:$OM$155,105,0)</f>
        <v>0</v>
      </c>
      <c r="W108" s="26">
        <f>HLOOKUP($W$3,Database!$D$6:$OM$155,105,0)</f>
        <v>0</v>
      </c>
      <c r="Y108" s="381">
        <f t="shared" si="75"/>
        <v>23.49</v>
      </c>
      <c r="Z108" s="382">
        <f t="shared" si="76"/>
        <v>23.48</v>
      </c>
      <c r="AA108" s="382">
        <f t="shared" si="77"/>
        <v>23.48</v>
      </c>
      <c r="AB108" s="382">
        <f t="shared" si="78"/>
        <v>23.48</v>
      </c>
      <c r="AC108" s="324" t="str">
        <f t="shared" si="79"/>
        <v/>
      </c>
      <c r="AD108" s="324" t="str">
        <f t="shared" si="80"/>
        <v/>
      </c>
      <c r="AE108" s="324" t="str">
        <f t="shared" si="81"/>
        <v/>
      </c>
      <c r="AF108" s="324" t="str">
        <f t="shared" si="82"/>
        <v/>
      </c>
      <c r="AG108" s="324" t="str">
        <f t="shared" si="83"/>
        <v/>
      </c>
      <c r="AH108" s="324" t="str">
        <f t="shared" si="84"/>
        <v/>
      </c>
      <c r="AI108" s="362" t="str">
        <f t="shared" si="85"/>
        <v/>
      </c>
      <c r="AJ108" s="363" t="str">
        <f t="shared" si="86"/>
        <v/>
      </c>
      <c r="AK108" s="382">
        <f t="shared" si="87"/>
        <v>9.9999999999980105E-3</v>
      </c>
      <c r="AL108" s="382">
        <f t="shared" si="88"/>
        <v>23.48</v>
      </c>
      <c r="AM108" s="384">
        <f t="shared" si="89"/>
        <v>23.49</v>
      </c>
      <c r="AN108" s="28"/>
      <c r="AO108" s="385">
        <f t="shared" si="90"/>
        <v>23.484999999999999</v>
      </c>
      <c r="AP108" s="104">
        <f t="shared" si="91"/>
        <v>71822</v>
      </c>
      <c r="AQ108" s="385">
        <f t="shared" si="92"/>
        <v>23.48</v>
      </c>
      <c r="AR108" s="104">
        <f t="shared" si="93"/>
        <v>55676</v>
      </c>
      <c r="AS108" s="104">
        <f t="shared" si="94"/>
        <v>0</v>
      </c>
      <c r="AT108" s="104">
        <f t="shared" si="95"/>
        <v>0</v>
      </c>
      <c r="AU108" s="104">
        <f t="shared" si="96"/>
        <v>0</v>
      </c>
      <c r="AV108" s="104">
        <f t="shared" si="97"/>
        <v>0</v>
      </c>
      <c r="AW108" s="104">
        <f t="shared" si="98"/>
        <v>0</v>
      </c>
      <c r="AX108" s="104">
        <f t="shared" si="99"/>
        <v>0</v>
      </c>
    </row>
    <row r="109" spans="1:50" ht="18.75" customHeight="1" x14ac:dyDescent="0.4">
      <c r="A109" s="403" t="s">
        <v>381</v>
      </c>
      <c r="B109" s="404">
        <v>106</v>
      </c>
      <c r="C109" s="403" t="s">
        <v>60</v>
      </c>
      <c r="D109" s="12">
        <f>HLOOKUP($E$2,Database!$D$6:$OM$155,106,0)</f>
        <v>27.96</v>
      </c>
      <c r="E109" s="26">
        <f>HLOOKUP($E$3,Database!$D$6:$OM$155,106,0)</f>
        <v>3543</v>
      </c>
      <c r="F109" s="12">
        <f>HLOOKUP($G$2,Database!$D$6:$OM$155,106,0)</f>
        <v>28.15</v>
      </c>
      <c r="G109" s="26">
        <f>HLOOKUP($G$3,Database!$D$6:$OM$155,106,0)</f>
        <v>1455</v>
      </c>
      <c r="H109" s="12">
        <f>HLOOKUP($I$2,Database!$D$6:$OM$155,106,0)</f>
        <v>28.15</v>
      </c>
      <c r="I109" s="26">
        <f>HLOOKUP($I$3,Database!$D$6:$OM$155,106,0)</f>
        <v>3651</v>
      </c>
      <c r="J109" s="12">
        <f>HLOOKUP($K$2,Database!$D$6:$OM$155,106,0)</f>
        <v>28.15</v>
      </c>
      <c r="K109" s="26">
        <f>HLOOKUP($K$3,Database!$D$6:$OM$155,106,0)</f>
        <v>3740</v>
      </c>
      <c r="L109" s="12">
        <f>HLOOKUP($M$2,Database!$D$6:$OM$155,106,0)</f>
        <v>0</v>
      </c>
      <c r="M109" s="26">
        <f>HLOOKUP($M$3,Database!$D$6:$OM$155,106,0)</f>
        <v>0</v>
      </c>
      <c r="N109" s="12">
        <f>HLOOKUP($O$2,Database!$D$6:$OM$155,106,0)</f>
        <v>0</v>
      </c>
      <c r="O109" s="26">
        <f>HLOOKUP($O$3,Database!$D$6:$OM$155,106,0)</f>
        <v>0</v>
      </c>
      <c r="P109" s="12">
        <f>HLOOKUP($Q$2,Database!$D$6:$OM$155,106,0)</f>
        <v>0</v>
      </c>
      <c r="Q109" s="26">
        <f>HLOOKUP($Q$3,Database!$D$6:$OM$155,106,0)</f>
        <v>0</v>
      </c>
      <c r="R109" s="12">
        <f>HLOOKUP($S$2,Database!$D$6:$OM$155,106,0)</f>
        <v>0</v>
      </c>
      <c r="S109" s="26">
        <f>HLOOKUP($S$3,Database!$D$6:$OM$155,106,0)</f>
        <v>0</v>
      </c>
      <c r="T109" s="12">
        <f>HLOOKUP($U$2,Database!$D$6:$OM$155,106,0)</f>
        <v>0</v>
      </c>
      <c r="U109" s="26">
        <f>HLOOKUP($U$3,Database!$D$6:$OM$155,106,0)</f>
        <v>0</v>
      </c>
      <c r="V109" s="12">
        <f>HLOOKUP($W$2,Database!$D$6:$OM$155,106,0)</f>
        <v>0</v>
      </c>
      <c r="W109" s="26">
        <f>HLOOKUP($W$3,Database!$D$6:$OM$155,106,0)</f>
        <v>0</v>
      </c>
      <c r="Y109" s="381">
        <f t="shared" si="75"/>
        <v>27.96</v>
      </c>
      <c r="Z109" s="382">
        <f t="shared" si="76"/>
        <v>28.15</v>
      </c>
      <c r="AA109" s="382">
        <f t="shared" si="77"/>
        <v>28.15</v>
      </c>
      <c r="AB109" s="382">
        <f t="shared" si="78"/>
        <v>28.15</v>
      </c>
      <c r="AC109" s="324" t="str">
        <f t="shared" si="79"/>
        <v/>
      </c>
      <c r="AD109" s="324" t="str">
        <f t="shared" si="80"/>
        <v/>
      </c>
      <c r="AE109" s="324" t="str">
        <f t="shared" si="81"/>
        <v/>
      </c>
      <c r="AF109" s="324" t="str">
        <f t="shared" si="82"/>
        <v/>
      </c>
      <c r="AG109" s="324" t="str">
        <f t="shared" si="83"/>
        <v/>
      </c>
      <c r="AH109" s="324" t="str">
        <f t="shared" si="84"/>
        <v/>
      </c>
      <c r="AI109" s="362" t="str">
        <f t="shared" si="85"/>
        <v/>
      </c>
      <c r="AJ109" s="363">
        <f t="shared" si="86"/>
        <v>1</v>
      </c>
      <c r="AK109" s="382">
        <f t="shared" si="87"/>
        <v>0.18999999999999773</v>
      </c>
      <c r="AL109" s="382">
        <f t="shared" si="88"/>
        <v>27.96</v>
      </c>
      <c r="AM109" s="384">
        <f t="shared" si="89"/>
        <v>28.15</v>
      </c>
      <c r="AN109" s="28"/>
      <c r="AO109" s="385">
        <f t="shared" si="90"/>
        <v>28.055</v>
      </c>
      <c r="AP109" s="104">
        <f t="shared" si="91"/>
        <v>2499</v>
      </c>
      <c r="AQ109" s="385">
        <f t="shared" si="92"/>
        <v>28.15</v>
      </c>
      <c r="AR109" s="385">
        <f t="shared" si="93"/>
        <v>3695.5</v>
      </c>
      <c r="AS109" s="104">
        <f t="shared" si="94"/>
        <v>0</v>
      </c>
      <c r="AT109" s="104">
        <f t="shared" si="95"/>
        <v>0</v>
      </c>
      <c r="AU109" s="104">
        <f t="shared" si="96"/>
        <v>0</v>
      </c>
      <c r="AV109" s="104">
        <f t="shared" si="97"/>
        <v>0</v>
      </c>
      <c r="AW109" s="104">
        <f t="shared" si="98"/>
        <v>0</v>
      </c>
      <c r="AX109" s="104">
        <f t="shared" si="99"/>
        <v>0</v>
      </c>
    </row>
    <row r="110" spans="1:50" ht="18.75" customHeight="1" x14ac:dyDescent="0.4">
      <c r="A110" s="403" t="s">
        <v>382</v>
      </c>
      <c r="B110" s="404">
        <v>186</v>
      </c>
      <c r="C110" s="403" t="s">
        <v>60</v>
      </c>
      <c r="D110" s="12">
        <f>HLOOKUP($E$2,Database!$D$6:$OM$155,107,0)</f>
        <v>26.27</v>
      </c>
      <c r="E110" s="26">
        <f>HLOOKUP($E$3,Database!$D$6:$OM$155,107,0)</f>
        <v>0</v>
      </c>
      <c r="F110" s="12">
        <f>HLOOKUP($G$2,Database!$D$6:$OM$155,107,0)</f>
        <v>26.26</v>
      </c>
      <c r="G110" s="26">
        <f>HLOOKUP($G$3,Database!$D$6:$OM$155,107,0)</f>
        <v>0</v>
      </c>
      <c r="H110" s="12">
        <f>HLOOKUP($I$2,Database!$D$6:$OM$155,107,0)</f>
        <v>26.26</v>
      </c>
      <c r="I110" s="26">
        <f>HLOOKUP($I$3,Database!$D$6:$OM$155,107,0)</f>
        <v>0</v>
      </c>
      <c r="J110" s="12">
        <f>HLOOKUP($K$2,Database!$D$6:$OM$155,107,0)</f>
        <v>26.26</v>
      </c>
      <c r="K110" s="26">
        <f>HLOOKUP($K$3,Database!$D$6:$OM$155,107,0)</f>
        <v>0</v>
      </c>
      <c r="L110" s="12">
        <f>HLOOKUP($M$2,Database!$D$6:$OM$155,107,0)</f>
        <v>0</v>
      </c>
      <c r="M110" s="26">
        <f>HLOOKUP($M$3,Database!$D$6:$OM$155,107,0)</f>
        <v>0</v>
      </c>
      <c r="N110" s="12">
        <f>HLOOKUP($O$2,Database!$D$6:$OM$155,107,0)</f>
        <v>0</v>
      </c>
      <c r="O110" s="26">
        <f>HLOOKUP($O$3,Database!$D$6:$OM$155,107,0)</f>
        <v>0</v>
      </c>
      <c r="P110" s="12">
        <f>HLOOKUP($Q$2,Database!$D$6:$OM$155,107,0)</f>
        <v>0</v>
      </c>
      <c r="Q110" s="26">
        <f>HLOOKUP($Q$3,Database!$D$6:$OM$155,107,0)</f>
        <v>0</v>
      </c>
      <c r="R110" s="12">
        <f>HLOOKUP($S$2,Database!$D$6:$OM$155,107,0)</f>
        <v>0</v>
      </c>
      <c r="S110" s="26">
        <f>HLOOKUP($S$3,Database!$D$6:$OM$155,107,0)</f>
        <v>0</v>
      </c>
      <c r="T110" s="12">
        <f>HLOOKUP($U$2,Database!$D$6:$OM$155,107,0)</f>
        <v>0</v>
      </c>
      <c r="U110" s="26">
        <f>HLOOKUP($U$3,Database!$D$6:$OM$155,107,0)</f>
        <v>0</v>
      </c>
      <c r="V110" s="12">
        <f>HLOOKUP($W$2,Database!$D$6:$OM$155,107,0)</f>
        <v>0</v>
      </c>
      <c r="W110" s="26">
        <f>HLOOKUP($W$3,Database!$D$6:$OM$155,107,0)</f>
        <v>0</v>
      </c>
      <c r="Y110" s="381">
        <f t="shared" si="75"/>
        <v>26.27</v>
      </c>
      <c r="Z110" s="382">
        <f t="shared" si="76"/>
        <v>26.26</v>
      </c>
      <c r="AA110" s="382">
        <f t="shared" si="77"/>
        <v>26.26</v>
      </c>
      <c r="AB110" s="382">
        <f t="shared" si="78"/>
        <v>26.26</v>
      </c>
      <c r="AC110" s="324" t="str">
        <f t="shared" si="79"/>
        <v/>
      </c>
      <c r="AD110" s="324" t="str">
        <f t="shared" si="80"/>
        <v/>
      </c>
      <c r="AE110" s="324" t="str">
        <f t="shared" si="81"/>
        <v/>
      </c>
      <c r="AF110" s="324" t="str">
        <f t="shared" si="82"/>
        <v/>
      </c>
      <c r="AG110" s="324" t="str">
        <f t="shared" si="83"/>
        <v/>
      </c>
      <c r="AH110" s="324" t="str">
        <f t="shared" si="84"/>
        <v/>
      </c>
      <c r="AI110" s="362" t="str">
        <f t="shared" si="85"/>
        <v/>
      </c>
      <c r="AJ110" s="363" t="str">
        <f t="shared" si="86"/>
        <v/>
      </c>
      <c r="AK110" s="382">
        <f t="shared" si="87"/>
        <v>9.9999999999980105E-3</v>
      </c>
      <c r="AL110" s="382">
        <f t="shared" si="88"/>
        <v>26.26</v>
      </c>
      <c r="AM110" s="384">
        <f t="shared" si="89"/>
        <v>26.27</v>
      </c>
      <c r="AN110" s="28"/>
      <c r="AO110" s="385">
        <f t="shared" si="90"/>
        <v>26.265000000000001</v>
      </c>
      <c r="AP110" s="104">
        <f t="shared" si="91"/>
        <v>0</v>
      </c>
      <c r="AQ110" s="385">
        <f t="shared" si="92"/>
        <v>26.26</v>
      </c>
      <c r="AR110" s="104">
        <f t="shared" si="93"/>
        <v>0</v>
      </c>
      <c r="AS110" s="104">
        <f t="shared" si="94"/>
        <v>0</v>
      </c>
      <c r="AT110" s="104">
        <f t="shared" si="95"/>
        <v>0</v>
      </c>
      <c r="AU110" s="104">
        <f t="shared" si="96"/>
        <v>0</v>
      </c>
      <c r="AV110" s="104">
        <f t="shared" si="97"/>
        <v>0</v>
      </c>
      <c r="AW110" s="104">
        <f t="shared" si="98"/>
        <v>0</v>
      </c>
      <c r="AX110" s="104">
        <f t="shared" si="99"/>
        <v>0</v>
      </c>
    </row>
    <row r="111" spans="1:50" ht="18.75" customHeight="1" x14ac:dyDescent="0.4">
      <c r="A111" s="403" t="s">
        <v>383</v>
      </c>
      <c r="B111" s="404">
        <v>180</v>
      </c>
      <c r="C111" s="403" t="s">
        <v>60</v>
      </c>
      <c r="D111" s="12">
        <f>HLOOKUP($E$2,Database!$D$6:$OM$155,108,0)</f>
        <v>26.55</v>
      </c>
      <c r="E111" s="26">
        <f>HLOOKUP($E$3,Database!$D$6:$OM$155,108,0)</f>
        <v>111867</v>
      </c>
      <c r="F111" s="12">
        <f>HLOOKUP($G$2,Database!$D$6:$OM$155,108,0)</f>
        <v>26.54</v>
      </c>
      <c r="G111" s="26">
        <f>HLOOKUP($G$3,Database!$D$6:$OM$155,108,0)</f>
        <v>14613</v>
      </c>
      <c r="H111" s="12">
        <f>HLOOKUP($I$2,Database!$D$6:$OM$155,108,0)</f>
        <v>26.54</v>
      </c>
      <c r="I111" s="26">
        <f>HLOOKUP($I$3,Database!$D$6:$OM$155,108,0)</f>
        <v>39902</v>
      </c>
      <c r="J111" s="12">
        <f>HLOOKUP($K$2,Database!$D$6:$OM$155,108,0)</f>
        <v>26.54</v>
      </c>
      <c r="K111" s="26">
        <f>HLOOKUP($K$3,Database!$D$6:$OM$155,108,0)</f>
        <v>43426</v>
      </c>
      <c r="L111" s="12">
        <f>HLOOKUP($M$2,Database!$D$6:$OM$155,108,0)</f>
        <v>0</v>
      </c>
      <c r="M111" s="26">
        <f>HLOOKUP($M$3,Database!$D$6:$OM$155,108,0)</f>
        <v>0</v>
      </c>
      <c r="N111" s="12">
        <f>HLOOKUP($O$2,Database!$D$6:$OM$155,108,0)</f>
        <v>0</v>
      </c>
      <c r="O111" s="26">
        <f>HLOOKUP($O$3,Database!$D$6:$OM$155,108,0)</f>
        <v>0</v>
      </c>
      <c r="P111" s="12">
        <f>HLOOKUP($Q$2,Database!$D$6:$OM$155,108,0)</f>
        <v>0</v>
      </c>
      <c r="Q111" s="26">
        <f>HLOOKUP($Q$3,Database!$D$6:$OM$155,108,0)</f>
        <v>0</v>
      </c>
      <c r="R111" s="12">
        <f>HLOOKUP($S$2,Database!$D$6:$OM$155,108,0)</f>
        <v>0</v>
      </c>
      <c r="S111" s="26">
        <f>HLOOKUP($S$3,Database!$D$6:$OM$155,108,0)</f>
        <v>0</v>
      </c>
      <c r="T111" s="12">
        <f>HLOOKUP($U$2,Database!$D$6:$OM$155,108,0)</f>
        <v>0</v>
      </c>
      <c r="U111" s="26">
        <f>HLOOKUP($U$3,Database!$D$6:$OM$155,108,0)</f>
        <v>0</v>
      </c>
      <c r="V111" s="12">
        <f>HLOOKUP($W$2,Database!$D$6:$OM$155,108,0)</f>
        <v>0</v>
      </c>
      <c r="W111" s="26">
        <f>HLOOKUP($W$3,Database!$D$6:$OM$155,108,0)</f>
        <v>0</v>
      </c>
      <c r="Y111" s="381">
        <f t="shared" si="75"/>
        <v>26.55</v>
      </c>
      <c r="Z111" s="382">
        <f t="shared" si="76"/>
        <v>26.54</v>
      </c>
      <c r="AA111" s="382">
        <f t="shared" si="77"/>
        <v>26.54</v>
      </c>
      <c r="AB111" s="382">
        <f t="shared" si="78"/>
        <v>26.54</v>
      </c>
      <c r="AC111" s="324" t="str">
        <f t="shared" si="79"/>
        <v/>
      </c>
      <c r="AD111" s="324" t="str">
        <f t="shared" si="80"/>
        <v/>
      </c>
      <c r="AE111" s="324" t="str">
        <f t="shared" si="81"/>
        <v/>
      </c>
      <c r="AF111" s="324" t="str">
        <f t="shared" si="82"/>
        <v/>
      </c>
      <c r="AG111" s="324" t="str">
        <f t="shared" si="83"/>
        <v/>
      </c>
      <c r="AH111" s="324" t="str">
        <f t="shared" si="84"/>
        <v/>
      </c>
      <c r="AI111" s="362" t="str">
        <f t="shared" si="85"/>
        <v/>
      </c>
      <c r="AJ111" s="363" t="str">
        <f t="shared" si="86"/>
        <v/>
      </c>
      <c r="AK111" s="382">
        <f t="shared" si="87"/>
        <v>1.0000000000001563E-2</v>
      </c>
      <c r="AL111" s="382">
        <f t="shared" si="88"/>
        <v>26.54</v>
      </c>
      <c r="AM111" s="384">
        <f t="shared" si="89"/>
        <v>26.55</v>
      </c>
      <c r="AN111" s="28"/>
      <c r="AO111" s="385">
        <f t="shared" si="90"/>
        <v>26.545000000000002</v>
      </c>
      <c r="AP111" s="104">
        <f t="shared" si="91"/>
        <v>63240</v>
      </c>
      <c r="AQ111" s="385">
        <f t="shared" si="92"/>
        <v>26.54</v>
      </c>
      <c r="AR111" s="104">
        <f t="shared" si="93"/>
        <v>41664</v>
      </c>
      <c r="AS111" s="104">
        <f t="shared" si="94"/>
        <v>0</v>
      </c>
      <c r="AT111" s="104">
        <f t="shared" si="95"/>
        <v>0</v>
      </c>
      <c r="AU111" s="104">
        <f t="shared" si="96"/>
        <v>0</v>
      </c>
      <c r="AV111" s="104">
        <f t="shared" si="97"/>
        <v>0</v>
      </c>
      <c r="AW111" s="104">
        <f t="shared" si="98"/>
        <v>0</v>
      </c>
      <c r="AX111" s="104">
        <f t="shared" si="99"/>
        <v>0</v>
      </c>
    </row>
    <row r="112" spans="1:50" ht="18.75" customHeight="1" x14ac:dyDescent="0.4">
      <c r="A112" s="403" t="s">
        <v>384</v>
      </c>
      <c r="B112" s="404">
        <v>186</v>
      </c>
      <c r="C112" s="403" t="s">
        <v>60</v>
      </c>
      <c r="D112" s="12">
        <f>HLOOKUP($E$2,Database!$D$6:$OM$155,109,0)</f>
        <v>26.71</v>
      </c>
      <c r="E112" s="26">
        <f>HLOOKUP($E$3,Database!$D$6:$OM$155,109,0)</f>
        <v>0</v>
      </c>
      <c r="F112" s="12">
        <f>HLOOKUP($G$2,Database!$D$6:$OM$155,109,0)</f>
        <v>26.56</v>
      </c>
      <c r="G112" s="26">
        <f>HLOOKUP($G$3,Database!$D$6:$OM$155,109,0)</f>
        <v>0</v>
      </c>
      <c r="H112" s="12">
        <f>HLOOKUP($I$2,Database!$D$6:$OM$155,109,0)</f>
        <v>26.56</v>
      </c>
      <c r="I112" s="26">
        <f>HLOOKUP($I$3,Database!$D$6:$OM$155,109,0)</f>
        <v>0</v>
      </c>
      <c r="J112" s="12">
        <f>HLOOKUP($K$2,Database!$D$6:$OM$155,109,0)</f>
        <v>26.69</v>
      </c>
      <c r="K112" s="26">
        <f>HLOOKUP($K$3,Database!$D$6:$OM$155,109,0)</f>
        <v>0</v>
      </c>
      <c r="L112" s="12">
        <f>HLOOKUP($M$2,Database!$D$6:$OM$155,109,0)</f>
        <v>0</v>
      </c>
      <c r="M112" s="26">
        <f>HLOOKUP($M$3,Database!$D$6:$OM$155,109,0)</f>
        <v>0</v>
      </c>
      <c r="N112" s="12">
        <f>HLOOKUP($O$2,Database!$D$6:$OM$155,109,0)</f>
        <v>0</v>
      </c>
      <c r="O112" s="26">
        <f>HLOOKUP($O$3,Database!$D$6:$OM$155,109,0)</f>
        <v>0</v>
      </c>
      <c r="P112" s="12">
        <f>HLOOKUP($Q$2,Database!$D$6:$OM$155,109,0)</f>
        <v>0</v>
      </c>
      <c r="Q112" s="26">
        <f>HLOOKUP($Q$3,Database!$D$6:$OM$155,109,0)</f>
        <v>0</v>
      </c>
      <c r="R112" s="12">
        <f>HLOOKUP($S$2,Database!$D$6:$OM$155,109,0)</f>
        <v>0</v>
      </c>
      <c r="S112" s="26">
        <f>HLOOKUP($S$3,Database!$D$6:$OM$155,109,0)</f>
        <v>0</v>
      </c>
      <c r="T112" s="12">
        <f>HLOOKUP($U$2,Database!$D$6:$OM$155,109,0)</f>
        <v>0</v>
      </c>
      <c r="U112" s="26">
        <f>HLOOKUP($U$3,Database!$D$6:$OM$155,109,0)</f>
        <v>0</v>
      </c>
      <c r="V112" s="12">
        <f>HLOOKUP($W$2,Database!$D$6:$OM$155,109,0)</f>
        <v>0</v>
      </c>
      <c r="W112" s="26">
        <f>HLOOKUP($W$3,Database!$D$6:$OM$155,109,0)</f>
        <v>0</v>
      </c>
      <c r="Y112" s="381">
        <f t="shared" si="75"/>
        <v>26.71</v>
      </c>
      <c r="Z112" s="382">
        <f t="shared" si="76"/>
        <v>26.56</v>
      </c>
      <c r="AA112" s="382">
        <f t="shared" si="77"/>
        <v>26.56</v>
      </c>
      <c r="AB112" s="382">
        <f t="shared" si="78"/>
        <v>26.69</v>
      </c>
      <c r="AC112" s="324" t="str">
        <f t="shared" si="79"/>
        <v/>
      </c>
      <c r="AD112" s="324" t="str">
        <f t="shared" si="80"/>
        <v/>
      </c>
      <c r="AE112" s="324" t="str">
        <f t="shared" si="81"/>
        <v/>
      </c>
      <c r="AF112" s="324" t="str">
        <f t="shared" si="82"/>
        <v/>
      </c>
      <c r="AG112" s="324" t="str">
        <f t="shared" si="83"/>
        <v/>
      </c>
      <c r="AH112" s="324" t="str">
        <f t="shared" si="84"/>
        <v/>
      </c>
      <c r="AI112" s="362" t="str">
        <f t="shared" si="85"/>
        <v/>
      </c>
      <c r="AJ112" s="363">
        <f t="shared" si="86"/>
        <v>1</v>
      </c>
      <c r="AK112" s="382">
        <f t="shared" si="87"/>
        <v>0.15000000000000213</v>
      </c>
      <c r="AL112" s="382">
        <f t="shared" si="88"/>
        <v>26.56</v>
      </c>
      <c r="AM112" s="384">
        <f t="shared" si="89"/>
        <v>26.71</v>
      </c>
      <c r="AN112" s="28"/>
      <c r="AO112" s="385">
        <f t="shared" si="90"/>
        <v>26.634999999999998</v>
      </c>
      <c r="AP112" s="104">
        <f t="shared" si="91"/>
        <v>0</v>
      </c>
      <c r="AQ112" s="385">
        <f t="shared" si="92"/>
        <v>26.625</v>
      </c>
      <c r="AR112" s="104">
        <f t="shared" si="93"/>
        <v>0</v>
      </c>
      <c r="AS112" s="104">
        <f t="shared" si="94"/>
        <v>0</v>
      </c>
      <c r="AT112" s="104">
        <f t="shared" si="95"/>
        <v>0</v>
      </c>
      <c r="AU112" s="104">
        <f t="shared" si="96"/>
        <v>0</v>
      </c>
      <c r="AV112" s="104">
        <f t="shared" si="97"/>
        <v>0</v>
      </c>
      <c r="AW112" s="104">
        <f t="shared" si="98"/>
        <v>0</v>
      </c>
      <c r="AX112" s="104">
        <f t="shared" si="99"/>
        <v>0</v>
      </c>
    </row>
    <row r="113" spans="1:50" ht="18.75" customHeight="1" x14ac:dyDescent="0.4">
      <c r="A113" s="403" t="s">
        <v>385</v>
      </c>
      <c r="B113" s="404">
        <v>74</v>
      </c>
      <c r="C113" s="403" t="s">
        <v>60</v>
      </c>
      <c r="D113" s="12">
        <f>HLOOKUP($E$2,Database!$D$6:$OM$155,110,0)</f>
        <v>26.66</v>
      </c>
      <c r="E113" s="26">
        <f>HLOOKUP($E$3,Database!$D$6:$OM$155,110,0)</f>
        <v>0</v>
      </c>
      <c r="F113" s="12">
        <f>HLOOKUP($G$2,Database!$D$6:$OM$155,110,0)</f>
        <v>26.76</v>
      </c>
      <c r="G113" s="26">
        <f>HLOOKUP($G$3,Database!$D$6:$OM$155,110,0)</f>
        <v>0</v>
      </c>
      <c r="H113" s="12">
        <f>HLOOKUP($I$2,Database!$D$6:$OM$155,110,0)</f>
        <v>26.76</v>
      </c>
      <c r="I113" s="26">
        <f>HLOOKUP($I$3,Database!$D$6:$OM$155,110,0)</f>
        <v>0</v>
      </c>
      <c r="J113" s="12">
        <f>HLOOKUP($K$2,Database!$D$6:$OM$155,110,0)</f>
        <v>26.76</v>
      </c>
      <c r="K113" s="26">
        <f>HLOOKUP($K$3,Database!$D$6:$OM$155,110,0)</f>
        <v>0</v>
      </c>
      <c r="L113" s="12">
        <f>HLOOKUP($M$2,Database!$D$6:$OM$155,110,0)</f>
        <v>0</v>
      </c>
      <c r="M113" s="26">
        <f>HLOOKUP($M$3,Database!$D$6:$OM$155,110,0)</f>
        <v>0</v>
      </c>
      <c r="N113" s="12">
        <f>HLOOKUP($O$2,Database!$D$6:$OM$155,110,0)</f>
        <v>0</v>
      </c>
      <c r="O113" s="26">
        <f>HLOOKUP($O$3,Database!$D$6:$OM$155,110,0)</f>
        <v>0</v>
      </c>
      <c r="P113" s="12">
        <f>HLOOKUP($Q$2,Database!$D$6:$OM$155,110,0)</f>
        <v>0</v>
      </c>
      <c r="Q113" s="26">
        <f>HLOOKUP($Q$3,Database!$D$6:$OM$155,110,0)</f>
        <v>0</v>
      </c>
      <c r="R113" s="12">
        <f>HLOOKUP($S$2,Database!$D$6:$OM$155,110,0)</f>
        <v>0</v>
      </c>
      <c r="S113" s="26">
        <f>HLOOKUP($S$3,Database!$D$6:$OM$155,110,0)</f>
        <v>0</v>
      </c>
      <c r="T113" s="12">
        <f>HLOOKUP($U$2,Database!$D$6:$OM$155,110,0)</f>
        <v>0</v>
      </c>
      <c r="U113" s="26">
        <f>HLOOKUP($U$3,Database!$D$6:$OM$155,110,0)</f>
        <v>0</v>
      </c>
      <c r="V113" s="12">
        <f>HLOOKUP($W$2,Database!$D$6:$OM$155,110,0)</f>
        <v>0</v>
      </c>
      <c r="W113" s="26">
        <f>HLOOKUP($W$3,Database!$D$6:$OM$155,110,0)</f>
        <v>0</v>
      </c>
      <c r="Y113" s="381">
        <f t="shared" si="75"/>
        <v>26.66</v>
      </c>
      <c r="Z113" s="382">
        <f t="shared" si="76"/>
        <v>26.76</v>
      </c>
      <c r="AA113" s="382">
        <f t="shared" si="77"/>
        <v>26.76</v>
      </c>
      <c r="AB113" s="382">
        <f t="shared" si="78"/>
        <v>26.76</v>
      </c>
      <c r="AC113" s="324" t="str">
        <f t="shared" si="79"/>
        <v/>
      </c>
      <c r="AD113" s="324" t="str">
        <f t="shared" si="80"/>
        <v/>
      </c>
      <c r="AE113" s="324" t="str">
        <f t="shared" si="81"/>
        <v/>
      </c>
      <c r="AF113" s="324" t="str">
        <f t="shared" si="82"/>
        <v/>
      </c>
      <c r="AG113" s="324" t="str">
        <f t="shared" si="83"/>
        <v/>
      </c>
      <c r="AH113" s="324" t="str">
        <f t="shared" si="84"/>
        <v/>
      </c>
      <c r="AI113" s="362" t="str">
        <f t="shared" si="85"/>
        <v/>
      </c>
      <c r="AJ113" s="363">
        <f t="shared" si="86"/>
        <v>1</v>
      </c>
      <c r="AK113" s="382">
        <f t="shared" si="87"/>
        <v>0.10000000000000142</v>
      </c>
      <c r="AL113" s="382">
        <f t="shared" si="88"/>
        <v>26.66</v>
      </c>
      <c r="AM113" s="384">
        <f t="shared" si="89"/>
        <v>26.76</v>
      </c>
      <c r="AN113" s="28"/>
      <c r="AO113" s="385">
        <f t="shared" si="90"/>
        <v>26.71</v>
      </c>
      <c r="AP113" s="104">
        <f t="shared" si="91"/>
        <v>0</v>
      </c>
      <c r="AQ113" s="385">
        <f t="shared" si="92"/>
        <v>26.76</v>
      </c>
      <c r="AR113" s="104">
        <f t="shared" si="93"/>
        <v>0</v>
      </c>
      <c r="AS113" s="104">
        <f t="shared" si="94"/>
        <v>0</v>
      </c>
      <c r="AT113" s="104">
        <f t="shared" si="95"/>
        <v>0</v>
      </c>
      <c r="AU113" s="104">
        <f t="shared" si="96"/>
        <v>0</v>
      </c>
      <c r="AV113" s="104">
        <f t="shared" si="97"/>
        <v>0</v>
      </c>
      <c r="AW113" s="104">
        <f t="shared" si="98"/>
        <v>0</v>
      </c>
      <c r="AX113" s="104">
        <f t="shared" si="99"/>
        <v>0</v>
      </c>
    </row>
    <row r="114" spans="1:50" ht="18.75" customHeight="1" x14ac:dyDescent="0.4">
      <c r="A114" s="403" t="s">
        <v>386</v>
      </c>
      <c r="B114" s="404">
        <v>225</v>
      </c>
      <c r="C114" s="403" t="s">
        <v>60</v>
      </c>
      <c r="D114" s="12">
        <f>HLOOKUP($E$2,Database!$D$6:$OM$155,111,0)</f>
        <v>27.96</v>
      </c>
      <c r="E114" s="26">
        <f>HLOOKUP($E$3,Database!$D$6:$OM$155,111,0)</f>
        <v>9590</v>
      </c>
      <c r="F114" s="12">
        <f>HLOOKUP($G$2,Database!$D$6:$OM$155,111,0)</f>
        <v>27.96</v>
      </c>
      <c r="G114" s="26">
        <f>HLOOKUP($G$3,Database!$D$6:$OM$155,111,0)</f>
        <v>1620</v>
      </c>
      <c r="H114" s="12">
        <f>HLOOKUP($I$2,Database!$D$6:$OM$155,111,0)</f>
        <v>27.96</v>
      </c>
      <c r="I114" s="26">
        <f>HLOOKUP($I$3,Database!$D$6:$OM$155,111,0)</f>
        <v>3908</v>
      </c>
      <c r="J114" s="12">
        <f>HLOOKUP($K$2,Database!$D$6:$OM$155,111,0)</f>
        <v>27.96</v>
      </c>
      <c r="K114" s="26">
        <f>HLOOKUP($K$3,Database!$D$6:$OM$155,111,0)</f>
        <v>4291</v>
      </c>
      <c r="L114" s="12">
        <f>HLOOKUP($M$2,Database!$D$6:$OM$155,111,0)</f>
        <v>0</v>
      </c>
      <c r="M114" s="26">
        <f>HLOOKUP($M$3,Database!$D$6:$OM$155,111,0)</f>
        <v>0</v>
      </c>
      <c r="N114" s="12">
        <f>HLOOKUP($O$2,Database!$D$6:$OM$155,111,0)</f>
        <v>0</v>
      </c>
      <c r="O114" s="26">
        <f>HLOOKUP($O$3,Database!$D$6:$OM$155,111,0)</f>
        <v>0</v>
      </c>
      <c r="P114" s="12">
        <f>HLOOKUP($Q$2,Database!$D$6:$OM$155,111,0)</f>
        <v>0</v>
      </c>
      <c r="Q114" s="26">
        <f>HLOOKUP($Q$3,Database!$D$6:$OM$155,111,0)</f>
        <v>0</v>
      </c>
      <c r="R114" s="12">
        <f>HLOOKUP($S$2,Database!$D$6:$OM$155,111,0)</f>
        <v>0</v>
      </c>
      <c r="S114" s="26">
        <f>HLOOKUP($S$3,Database!$D$6:$OM$155,111,0)</f>
        <v>0</v>
      </c>
      <c r="T114" s="12">
        <f>HLOOKUP($U$2,Database!$D$6:$OM$155,111,0)</f>
        <v>0</v>
      </c>
      <c r="U114" s="26">
        <f>HLOOKUP($U$3,Database!$D$6:$OM$155,111,0)</f>
        <v>0</v>
      </c>
      <c r="V114" s="12">
        <f>HLOOKUP($W$2,Database!$D$6:$OM$155,111,0)</f>
        <v>0</v>
      </c>
      <c r="W114" s="26">
        <f>HLOOKUP($W$3,Database!$D$6:$OM$155,111,0)</f>
        <v>0</v>
      </c>
      <c r="Y114" s="381">
        <f t="shared" si="75"/>
        <v>27.96</v>
      </c>
      <c r="Z114" s="382">
        <f t="shared" si="76"/>
        <v>27.96</v>
      </c>
      <c r="AA114" s="382">
        <f t="shared" si="77"/>
        <v>27.96</v>
      </c>
      <c r="AB114" s="382">
        <f t="shared" si="78"/>
        <v>27.96</v>
      </c>
      <c r="AC114" s="324" t="str">
        <f t="shared" si="79"/>
        <v/>
      </c>
      <c r="AD114" s="324" t="str">
        <f t="shared" si="80"/>
        <v/>
      </c>
      <c r="AE114" s="324" t="str">
        <f t="shared" si="81"/>
        <v/>
      </c>
      <c r="AF114" s="324" t="str">
        <f t="shared" si="82"/>
        <v/>
      </c>
      <c r="AG114" s="324" t="str">
        <f t="shared" si="83"/>
        <v/>
      </c>
      <c r="AH114" s="324" t="str">
        <f t="shared" si="84"/>
        <v/>
      </c>
      <c r="AI114" s="362" t="str">
        <f t="shared" si="85"/>
        <v/>
      </c>
      <c r="AJ114" s="363" t="str">
        <f t="shared" si="86"/>
        <v/>
      </c>
      <c r="AK114" s="383">
        <f t="shared" si="87"/>
        <v>0</v>
      </c>
      <c r="AL114" s="382">
        <f t="shared" si="88"/>
        <v>27.96</v>
      </c>
      <c r="AM114" s="384">
        <f t="shared" si="89"/>
        <v>27.96</v>
      </c>
      <c r="AN114" s="28"/>
      <c r="AO114" s="385">
        <f t="shared" si="90"/>
        <v>27.96</v>
      </c>
      <c r="AP114" s="104">
        <f t="shared" si="91"/>
        <v>5605</v>
      </c>
      <c r="AQ114" s="385">
        <f t="shared" si="92"/>
        <v>27.96</v>
      </c>
      <c r="AR114" s="385">
        <f t="shared" si="93"/>
        <v>4099.5</v>
      </c>
      <c r="AS114" s="104">
        <f t="shared" si="94"/>
        <v>0</v>
      </c>
      <c r="AT114" s="104">
        <f t="shared" si="95"/>
        <v>0</v>
      </c>
      <c r="AU114" s="104">
        <f t="shared" si="96"/>
        <v>0</v>
      </c>
      <c r="AV114" s="104">
        <f t="shared" si="97"/>
        <v>0</v>
      </c>
      <c r="AW114" s="104">
        <f t="shared" si="98"/>
        <v>0</v>
      </c>
      <c r="AX114" s="104">
        <f t="shared" si="99"/>
        <v>0</v>
      </c>
    </row>
    <row r="115" spans="1:50" ht="18.75" customHeight="1" x14ac:dyDescent="0.4">
      <c r="A115" s="403" t="s">
        <v>387</v>
      </c>
      <c r="B115" s="404">
        <v>194</v>
      </c>
      <c r="C115" s="403" t="s">
        <v>94</v>
      </c>
      <c r="D115" s="12">
        <f>HLOOKUP($E$2,Database!$D$6:$OM$155,112,0)</f>
        <v>28.91</v>
      </c>
      <c r="E115" s="26">
        <f>HLOOKUP($E$3,Database!$D$6:$OM$155,112,0)</f>
        <v>912813</v>
      </c>
      <c r="F115" s="12">
        <f>HLOOKUP($G$2,Database!$D$6:$OM$155,112,0)</f>
        <v>28.89</v>
      </c>
      <c r="G115" s="26">
        <f>HLOOKUP($G$3,Database!$D$6:$OM$155,112,0)</f>
        <v>149639</v>
      </c>
      <c r="H115" s="12">
        <f>HLOOKUP($I$2,Database!$D$6:$OM$155,112,0)</f>
        <v>28.76</v>
      </c>
      <c r="I115" s="26">
        <f>HLOOKUP($I$3,Database!$D$6:$OM$155,112,0)</f>
        <v>402424</v>
      </c>
      <c r="J115" s="12">
        <f>HLOOKUP($K$2,Database!$D$6:$OM$155,112,0)</f>
        <v>28.9</v>
      </c>
      <c r="K115" s="26">
        <f>HLOOKUP($K$3,Database!$D$6:$OM$155,112,0)</f>
        <v>473437</v>
      </c>
      <c r="L115" s="12">
        <f>HLOOKUP($M$2,Database!$D$6:$OM$155,112,0)</f>
        <v>0</v>
      </c>
      <c r="M115" s="26">
        <f>HLOOKUP($M$3,Database!$D$6:$OM$155,112,0)</f>
        <v>0</v>
      </c>
      <c r="N115" s="12">
        <f>HLOOKUP($O$2,Database!$D$6:$OM$155,112,0)</f>
        <v>0</v>
      </c>
      <c r="O115" s="26">
        <f>HLOOKUP($O$3,Database!$D$6:$OM$155,112,0)</f>
        <v>0</v>
      </c>
      <c r="P115" s="12">
        <f>HLOOKUP($Q$2,Database!$D$6:$OM$155,112,0)</f>
        <v>0</v>
      </c>
      <c r="Q115" s="26">
        <f>HLOOKUP($Q$3,Database!$D$6:$OM$155,112,0)</f>
        <v>0</v>
      </c>
      <c r="R115" s="12">
        <f>HLOOKUP($S$2,Database!$D$6:$OM$155,112,0)</f>
        <v>0</v>
      </c>
      <c r="S115" s="26">
        <f>HLOOKUP($S$3,Database!$D$6:$OM$155,112,0)</f>
        <v>0</v>
      </c>
      <c r="T115" s="12">
        <f>HLOOKUP($U$2,Database!$D$6:$OM$155,112,0)</f>
        <v>0</v>
      </c>
      <c r="U115" s="26">
        <f>HLOOKUP($U$3,Database!$D$6:$OM$155,112,0)</f>
        <v>0</v>
      </c>
      <c r="V115" s="12">
        <f>HLOOKUP($W$2,Database!$D$6:$OM$155,112,0)</f>
        <v>0</v>
      </c>
      <c r="W115" s="26">
        <f>HLOOKUP($W$3,Database!$D$6:$OM$155,112,0)</f>
        <v>0</v>
      </c>
      <c r="Y115" s="381">
        <f t="shared" si="75"/>
        <v>28.91</v>
      </c>
      <c r="Z115" s="382">
        <f t="shared" si="76"/>
        <v>28.89</v>
      </c>
      <c r="AA115" s="382">
        <f t="shared" si="77"/>
        <v>28.76</v>
      </c>
      <c r="AB115" s="382">
        <f t="shared" si="78"/>
        <v>28.9</v>
      </c>
      <c r="AC115" s="324" t="str">
        <f t="shared" si="79"/>
        <v/>
      </c>
      <c r="AD115" s="324" t="str">
        <f t="shared" si="80"/>
        <v/>
      </c>
      <c r="AE115" s="324" t="str">
        <f t="shared" si="81"/>
        <v/>
      </c>
      <c r="AF115" s="324" t="str">
        <f t="shared" si="82"/>
        <v/>
      </c>
      <c r="AG115" s="324" t="str">
        <f t="shared" si="83"/>
        <v/>
      </c>
      <c r="AH115" s="324" t="str">
        <f t="shared" si="84"/>
        <v/>
      </c>
      <c r="AI115" s="362" t="str">
        <f t="shared" si="85"/>
        <v/>
      </c>
      <c r="AJ115" s="363">
        <f t="shared" si="86"/>
        <v>1</v>
      </c>
      <c r="AK115" s="382">
        <f t="shared" si="87"/>
        <v>0.14999999999999858</v>
      </c>
      <c r="AL115" s="382">
        <f t="shared" si="88"/>
        <v>28.76</v>
      </c>
      <c r="AM115" s="384">
        <f t="shared" si="89"/>
        <v>28.91</v>
      </c>
      <c r="AN115" s="28"/>
      <c r="AO115" s="385">
        <f t="shared" si="90"/>
        <v>28.9</v>
      </c>
      <c r="AP115" s="104">
        <f t="shared" si="91"/>
        <v>531226</v>
      </c>
      <c r="AQ115" s="385">
        <f t="shared" si="92"/>
        <v>28.83</v>
      </c>
      <c r="AR115" s="385">
        <f t="shared" si="93"/>
        <v>437930.5</v>
      </c>
      <c r="AS115" s="104">
        <f t="shared" si="94"/>
        <v>0</v>
      </c>
      <c r="AT115" s="104">
        <f t="shared" si="95"/>
        <v>0</v>
      </c>
      <c r="AU115" s="104">
        <f t="shared" si="96"/>
        <v>0</v>
      </c>
      <c r="AV115" s="104">
        <f t="shared" si="97"/>
        <v>0</v>
      </c>
      <c r="AW115" s="104">
        <f t="shared" si="98"/>
        <v>0</v>
      </c>
      <c r="AX115" s="104">
        <f t="shared" si="99"/>
        <v>0</v>
      </c>
    </row>
    <row r="116" spans="1:50" ht="18.75" customHeight="1" x14ac:dyDescent="0.4">
      <c r="A116" s="403" t="s">
        <v>388</v>
      </c>
      <c r="B116" s="404">
        <v>225</v>
      </c>
      <c r="C116" s="403" t="s">
        <v>60</v>
      </c>
      <c r="D116" s="12">
        <f>HLOOKUP($E$2,Database!$D$6:$OM$155,113,0)</f>
        <v>29.59</v>
      </c>
      <c r="E116" s="26">
        <f>HLOOKUP($E$3,Database!$D$6:$OM$155,113,0)</f>
        <v>5513</v>
      </c>
      <c r="F116" s="12">
        <f>HLOOKUP($G$2,Database!$D$6:$OM$155,113,0)</f>
        <v>29.58</v>
      </c>
      <c r="G116" s="26">
        <f>HLOOKUP($G$3,Database!$D$6:$OM$155,113,0)</f>
        <v>649</v>
      </c>
      <c r="H116" s="12">
        <f>HLOOKUP($I$2,Database!$D$6:$OM$155,113,0)</f>
        <v>29.58</v>
      </c>
      <c r="I116" s="26">
        <f>HLOOKUP($I$3,Database!$D$6:$OM$155,113,0)</f>
        <v>1887</v>
      </c>
      <c r="J116" s="12">
        <f>HLOOKUP($K$2,Database!$D$6:$OM$155,113,0)</f>
        <v>29.58</v>
      </c>
      <c r="K116" s="26">
        <f>HLOOKUP($K$3,Database!$D$6:$OM$155,113,0)</f>
        <v>2133</v>
      </c>
      <c r="L116" s="12">
        <f>HLOOKUP($M$2,Database!$D$6:$OM$155,113,0)</f>
        <v>0</v>
      </c>
      <c r="M116" s="26">
        <f>HLOOKUP($M$3,Database!$D$6:$OM$155,113,0)</f>
        <v>0</v>
      </c>
      <c r="N116" s="12">
        <f>HLOOKUP($O$2,Database!$D$6:$OM$155,113,0)</f>
        <v>0</v>
      </c>
      <c r="O116" s="26">
        <f>HLOOKUP($O$3,Database!$D$6:$OM$155,113,0)</f>
        <v>0</v>
      </c>
      <c r="P116" s="12">
        <f>HLOOKUP($Q$2,Database!$D$6:$OM$155,113,0)</f>
        <v>0</v>
      </c>
      <c r="Q116" s="26">
        <f>HLOOKUP($Q$3,Database!$D$6:$OM$155,113,0)</f>
        <v>0</v>
      </c>
      <c r="R116" s="12">
        <f>HLOOKUP($S$2,Database!$D$6:$OM$155,113,0)</f>
        <v>0</v>
      </c>
      <c r="S116" s="26">
        <f>HLOOKUP($S$3,Database!$D$6:$OM$155,113,0)</f>
        <v>0</v>
      </c>
      <c r="T116" s="12">
        <f>HLOOKUP($U$2,Database!$D$6:$OM$155,113,0)</f>
        <v>0</v>
      </c>
      <c r="U116" s="26">
        <f>HLOOKUP($U$3,Database!$D$6:$OM$155,113,0)</f>
        <v>0</v>
      </c>
      <c r="V116" s="12">
        <f>HLOOKUP($W$2,Database!$D$6:$OM$155,113,0)</f>
        <v>0</v>
      </c>
      <c r="W116" s="26">
        <f>HLOOKUP($W$3,Database!$D$6:$OM$155,113,0)</f>
        <v>0</v>
      </c>
      <c r="Y116" s="381">
        <f t="shared" si="75"/>
        <v>29.59</v>
      </c>
      <c r="Z116" s="382">
        <f t="shared" si="76"/>
        <v>29.58</v>
      </c>
      <c r="AA116" s="382">
        <f t="shared" si="77"/>
        <v>29.58</v>
      </c>
      <c r="AB116" s="382">
        <f t="shared" si="78"/>
        <v>29.58</v>
      </c>
      <c r="AC116" s="324" t="str">
        <f t="shared" si="79"/>
        <v/>
      </c>
      <c r="AD116" s="324" t="str">
        <f t="shared" si="80"/>
        <v/>
      </c>
      <c r="AE116" s="324" t="str">
        <f t="shared" si="81"/>
        <v/>
      </c>
      <c r="AF116" s="324" t="str">
        <f t="shared" si="82"/>
        <v/>
      </c>
      <c r="AG116" s="324" t="str">
        <f t="shared" si="83"/>
        <v/>
      </c>
      <c r="AH116" s="324" t="str">
        <f t="shared" si="84"/>
        <v/>
      </c>
      <c r="AI116" s="362" t="str">
        <f t="shared" si="85"/>
        <v/>
      </c>
      <c r="AJ116" s="363" t="str">
        <f t="shared" si="86"/>
        <v/>
      </c>
      <c r="AK116" s="382">
        <f t="shared" si="87"/>
        <v>1.0000000000001563E-2</v>
      </c>
      <c r="AL116" s="382">
        <f t="shared" si="88"/>
        <v>29.58</v>
      </c>
      <c r="AM116" s="384">
        <f t="shared" si="89"/>
        <v>29.59</v>
      </c>
      <c r="AN116" s="28"/>
      <c r="AO116" s="385">
        <f t="shared" si="90"/>
        <v>29.585000000000001</v>
      </c>
      <c r="AP116" s="104">
        <f t="shared" si="91"/>
        <v>3081</v>
      </c>
      <c r="AQ116" s="385">
        <f t="shared" si="92"/>
        <v>29.58</v>
      </c>
      <c r="AR116" s="104">
        <f t="shared" si="93"/>
        <v>2010</v>
      </c>
      <c r="AS116" s="104">
        <f t="shared" si="94"/>
        <v>0</v>
      </c>
      <c r="AT116" s="104">
        <f t="shared" si="95"/>
        <v>0</v>
      </c>
      <c r="AU116" s="104">
        <f t="shared" si="96"/>
        <v>0</v>
      </c>
      <c r="AV116" s="104">
        <f t="shared" si="97"/>
        <v>0</v>
      </c>
      <c r="AW116" s="104">
        <f t="shared" si="98"/>
        <v>0</v>
      </c>
      <c r="AX116" s="104">
        <f t="shared" si="99"/>
        <v>0</v>
      </c>
    </row>
    <row r="117" spans="1:50" ht="18.75" customHeight="1" x14ac:dyDescent="0.4">
      <c r="A117" s="403" t="s">
        <v>389</v>
      </c>
      <c r="B117" s="404">
        <v>106</v>
      </c>
      <c r="C117" s="403" t="s">
        <v>60</v>
      </c>
      <c r="D117" s="12">
        <f>HLOOKUP($E$2,Database!$D$6:$OM$155,114,0)</f>
        <v>31.56</v>
      </c>
      <c r="E117" s="26">
        <f>HLOOKUP($E$3,Database!$D$6:$OM$155,114,0)</f>
        <v>11918</v>
      </c>
      <c r="F117" s="12">
        <f>HLOOKUP($G$2,Database!$D$6:$OM$155,114,0)</f>
        <v>31.55</v>
      </c>
      <c r="G117" s="26">
        <f>HLOOKUP($G$3,Database!$D$6:$OM$155,114,0)</f>
        <v>2282</v>
      </c>
      <c r="H117" s="12">
        <f>HLOOKUP($I$2,Database!$D$6:$OM$155,114,0)</f>
        <v>31.56</v>
      </c>
      <c r="I117" s="26">
        <f>HLOOKUP($I$3,Database!$D$6:$OM$155,114,0)</f>
        <v>5893</v>
      </c>
      <c r="J117" s="12">
        <f>HLOOKUP($K$2,Database!$D$6:$OM$155,114,0)</f>
        <v>31.55</v>
      </c>
      <c r="K117" s="26">
        <f>HLOOKUP($K$3,Database!$D$6:$OM$155,114,0)</f>
        <v>7074</v>
      </c>
      <c r="L117" s="12">
        <f>HLOOKUP($M$2,Database!$D$6:$OM$155,114,0)</f>
        <v>0</v>
      </c>
      <c r="M117" s="26">
        <f>HLOOKUP($M$3,Database!$D$6:$OM$155,114,0)</f>
        <v>0</v>
      </c>
      <c r="N117" s="12">
        <f>HLOOKUP($O$2,Database!$D$6:$OM$155,114,0)</f>
        <v>0</v>
      </c>
      <c r="O117" s="26">
        <f>HLOOKUP($O$3,Database!$D$6:$OM$155,114,0)</f>
        <v>0</v>
      </c>
      <c r="P117" s="12">
        <f>HLOOKUP($Q$2,Database!$D$6:$OM$155,114,0)</f>
        <v>0</v>
      </c>
      <c r="Q117" s="26">
        <f>HLOOKUP($Q$3,Database!$D$6:$OM$155,114,0)</f>
        <v>0</v>
      </c>
      <c r="R117" s="12">
        <f>HLOOKUP($S$2,Database!$D$6:$OM$155,114,0)</f>
        <v>0</v>
      </c>
      <c r="S117" s="26">
        <f>HLOOKUP($S$3,Database!$D$6:$OM$155,114,0)</f>
        <v>0</v>
      </c>
      <c r="T117" s="12">
        <f>HLOOKUP($U$2,Database!$D$6:$OM$155,114,0)</f>
        <v>0</v>
      </c>
      <c r="U117" s="26">
        <f>HLOOKUP($U$3,Database!$D$6:$OM$155,114,0)</f>
        <v>0</v>
      </c>
      <c r="V117" s="12">
        <f>HLOOKUP($W$2,Database!$D$6:$OM$155,114,0)</f>
        <v>0</v>
      </c>
      <c r="W117" s="26">
        <f>HLOOKUP($W$3,Database!$D$6:$OM$155,114,0)</f>
        <v>0</v>
      </c>
      <c r="Y117" s="381">
        <f t="shared" si="75"/>
        <v>31.56</v>
      </c>
      <c r="Z117" s="382">
        <f t="shared" si="76"/>
        <v>31.55</v>
      </c>
      <c r="AA117" s="382">
        <f t="shared" si="77"/>
        <v>31.56</v>
      </c>
      <c r="AB117" s="382">
        <f t="shared" si="78"/>
        <v>31.55</v>
      </c>
      <c r="AC117" s="324" t="str">
        <f t="shared" si="79"/>
        <v/>
      </c>
      <c r="AD117" s="324" t="str">
        <f t="shared" si="80"/>
        <v/>
      </c>
      <c r="AE117" s="324" t="str">
        <f t="shared" si="81"/>
        <v/>
      </c>
      <c r="AF117" s="324" t="str">
        <f t="shared" si="82"/>
        <v/>
      </c>
      <c r="AG117" s="324" t="str">
        <f t="shared" si="83"/>
        <v/>
      </c>
      <c r="AH117" s="324" t="str">
        <f t="shared" si="84"/>
        <v/>
      </c>
      <c r="AI117" s="362" t="str">
        <f t="shared" si="85"/>
        <v/>
      </c>
      <c r="AJ117" s="363" t="str">
        <f t="shared" si="86"/>
        <v/>
      </c>
      <c r="AK117" s="382">
        <f t="shared" si="87"/>
        <v>9.9999999999980105E-3</v>
      </c>
      <c r="AL117" s="382">
        <f t="shared" si="88"/>
        <v>31.55</v>
      </c>
      <c r="AM117" s="384">
        <f t="shared" si="89"/>
        <v>31.56</v>
      </c>
      <c r="AN117" s="28"/>
      <c r="AO117" s="385">
        <f t="shared" si="90"/>
        <v>31.555</v>
      </c>
      <c r="AP117" s="104">
        <f t="shared" si="91"/>
        <v>7100</v>
      </c>
      <c r="AQ117" s="385">
        <f t="shared" si="92"/>
        <v>31.555</v>
      </c>
      <c r="AR117" s="385">
        <f t="shared" si="93"/>
        <v>6483.5</v>
      </c>
      <c r="AS117" s="104">
        <f t="shared" si="94"/>
        <v>0</v>
      </c>
      <c r="AT117" s="104">
        <f t="shared" si="95"/>
        <v>0</v>
      </c>
      <c r="AU117" s="104">
        <f t="shared" si="96"/>
        <v>0</v>
      </c>
      <c r="AV117" s="104">
        <f t="shared" si="97"/>
        <v>0</v>
      </c>
      <c r="AW117" s="104">
        <f t="shared" si="98"/>
        <v>0</v>
      </c>
      <c r="AX117" s="104">
        <f t="shared" si="99"/>
        <v>0</v>
      </c>
    </row>
    <row r="118" spans="1:50" ht="18.75" customHeight="1" x14ac:dyDescent="0.4">
      <c r="A118" s="403" t="s">
        <v>390</v>
      </c>
      <c r="B118" s="404">
        <v>92</v>
      </c>
      <c r="C118" s="403" t="s">
        <v>60</v>
      </c>
      <c r="D118" s="12">
        <f>HLOOKUP($E$2,Database!$D$6:$OM$155,115,0)</f>
        <v>30.01</v>
      </c>
      <c r="E118" s="26">
        <f>HLOOKUP($E$3,Database!$D$6:$OM$155,115,0)</f>
        <v>17389</v>
      </c>
      <c r="F118" s="12">
        <f>HLOOKUP($G$2,Database!$D$6:$OM$155,115,0)</f>
        <v>30.01</v>
      </c>
      <c r="G118" s="26">
        <f>HLOOKUP($G$3,Database!$D$6:$OM$155,115,0)</f>
        <v>2409</v>
      </c>
      <c r="H118" s="12">
        <f>HLOOKUP($I$2,Database!$D$6:$OM$155,115,0)</f>
        <v>30</v>
      </c>
      <c r="I118" s="26">
        <f>HLOOKUP($I$3,Database!$D$6:$OM$155,115,0)</f>
        <v>6029</v>
      </c>
      <c r="J118" s="12">
        <f>HLOOKUP($K$2,Database!$D$6:$OM$155,115,0)</f>
        <v>30</v>
      </c>
      <c r="K118" s="26">
        <f>HLOOKUP($K$3,Database!$D$6:$OM$155,115,0)</f>
        <v>6270</v>
      </c>
      <c r="L118" s="12">
        <f>HLOOKUP($M$2,Database!$D$6:$OM$155,115,0)</f>
        <v>0</v>
      </c>
      <c r="M118" s="26">
        <f>HLOOKUP($M$3,Database!$D$6:$OM$155,115,0)</f>
        <v>0</v>
      </c>
      <c r="N118" s="12">
        <f>HLOOKUP($O$2,Database!$D$6:$OM$155,115,0)</f>
        <v>0</v>
      </c>
      <c r="O118" s="26">
        <f>HLOOKUP($O$3,Database!$D$6:$OM$155,115,0)</f>
        <v>0</v>
      </c>
      <c r="P118" s="12">
        <f>HLOOKUP($Q$2,Database!$D$6:$OM$155,115,0)</f>
        <v>0</v>
      </c>
      <c r="Q118" s="26">
        <f>HLOOKUP($Q$3,Database!$D$6:$OM$155,115,0)</f>
        <v>0</v>
      </c>
      <c r="R118" s="12">
        <f>HLOOKUP($S$2,Database!$D$6:$OM$155,115,0)</f>
        <v>0</v>
      </c>
      <c r="S118" s="26">
        <f>HLOOKUP($S$3,Database!$D$6:$OM$155,115,0)</f>
        <v>0</v>
      </c>
      <c r="T118" s="12">
        <f>HLOOKUP($U$2,Database!$D$6:$OM$155,115,0)</f>
        <v>0</v>
      </c>
      <c r="U118" s="26">
        <f>HLOOKUP($U$3,Database!$D$6:$OM$155,115,0)</f>
        <v>0</v>
      </c>
      <c r="V118" s="12">
        <f>HLOOKUP($W$2,Database!$D$6:$OM$155,115,0)</f>
        <v>0</v>
      </c>
      <c r="W118" s="26">
        <f>HLOOKUP($W$3,Database!$D$6:$OM$155,115,0)</f>
        <v>0</v>
      </c>
      <c r="Y118" s="381">
        <f t="shared" si="75"/>
        <v>30.01</v>
      </c>
      <c r="Z118" s="382">
        <f t="shared" si="76"/>
        <v>30.01</v>
      </c>
      <c r="AA118" s="383">
        <f t="shared" si="77"/>
        <v>30</v>
      </c>
      <c r="AB118" s="383">
        <f t="shared" si="78"/>
        <v>30</v>
      </c>
      <c r="AC118" s="324" t="str">
        <f t="shared" si="79"/>
        <v/>
      </c>
      <c r="AD118" s="324" t="str">
        <f t="shared" si="80"/>
        <v/>
      </c>
      <c r="AE118" s="324" t="str">
        <f t="shared" si="81"/>
        <v/>
      </c>
      <c r="AF118" s="324" t="str">
        <f t="shared" si="82"/>
        <v/>
      </c>
      <c r="AG118" s="324" t="str">
        <f t="shared" si="83"/>
        <v/>
      </c>
      <c r="AH118" s="324" t="str">
        <f t="shared" si="84"/>
        <v/>
      </c>
      <c r="AI118" s="362" t="str">
        <f t="shared" si="85"/>
        <v/>
      </c>
      <c r="AJ118" s="363" t="str">
        <f t="shared" si="86"/>
        <v/>
      </c>
      <c r="AK118" s="382">
        <f t="shared" si="87"/>
        <v>1.0000000000001563E-2</v>
      </c>
      <c r="AL118" s="383">
        <f t="shared" si="88"/>
        <v>30</v>
      </c>
      <c r="AM118" s="384">
        <f t="shared" si="89"/>
        <v>30.01</v>
      </c>
      <c r="AN118" s="28"/>
      <c r="AO118" s="385">
        <f t="shared" si="90"/>
        <v>30.01</v>
      </c>
      <c r="AP118" s="104">
        <f t="shared" si="91"/>
        <v>9899</v>
      </c>
      <c r="AQ118" s="104">
        <f t="shared" si="92"/>
        <v>30</v>
      </c>
      <c r="AR118" s="385">
        <f t="shared" si="93"/>
        <v>6149.5</v>
      </c>
      <c r="AS118" s="104">
        <f t="shared" si="94"/>
        <v>0</v>
      </c>
      <c r="AT118" s="104">
        <f t="shared" si="95"/>
        <v>0</v>
      </c>
      <c r="AU118" s="104">
        <f t="shared" si="96"/>
        <v>0</v>
      </c>
      <c r="AV118" s="104">
        <f t="shared" si="97"/>
        <v>0</v>
      </c>
      <c r="AW118" s="104">
        <f t="shared" si="98"/>
        <v>0</v>
      </c>
      <c r="AX118" s="104">
        <f t="shared" si="99"/>
        <v>0</v>
      </c>
    </row>
    <row r="119" spans="1:50" ht="18.75" customHeight="1" x14ac:dyDescent="0.4">
      <c r="A119" s="403" t="s">
        <v>391</v>
      </c>
      <c r="B119" s="404">
        <v>106</v>
      </c>
      <c r="C119" s="403" t="s">
        <v>60</v>
      </c>
      <c r="D119" s="12">
        <f>HLOOKUP($E$2,Database!$D$6:$OM$155,116,0)</f>
        <v>31.94</v>
      </c>
      <c r="E119" s="26">
        <f>HLOOKUP($E$3,Database!$D$6:$OM$155,116,0)</f>
        <v>12867</v>
      </c>
      <c r="F119" s="12">
        <f>HLOOKUP($G$2,Database!$D$6:$OM$155,116,0)</f>
        <v>31.93</v>
      </c>
      <c r="G119" s="26">
        <f>HLOOKUP($G$3,Database!$D$6:$OM$155,116,0)</f>
        <v>1396</v>
      </c>
      <c r="H119" s="12">
        <f>HLOOKUP($I$2,Database!$D$6:$OM$155,116,0)</f>
        <v>31.93</v>
      </c>
      <c r="I119" s="26">
        <f>HLOOKUP($I$3,Database!$D$6:$OM$155,116,0)</f>
        <v>3709</v>
      </c>
      <c r="J119" s="12">
        <f>HLOOKUP($K$2,Database!$D$6:$OM$155,116,0)</f>
        <v>31.93</v>
      </c>
      <c r="K119" s="26">
        <f>HLOOKUP($K$3,Database!$D$6:$OM$155,116,0)</f>
        <v>3885</v>
      </c>
      <c r="L119" s="12">
        <f>HLOOKUP($M$2,Database!$D$6:$OM$155,116,0)</f>
        <v>0</v>
      </c>
      <c r="M119" s="26">
        <f>HLOOKUP($M$3,Database!$D$6:$OM$155,116,0)</f>
        <v>0</v>
      </c>
      <c r="N119" s="12">
        <f>HLOOKUP($O$2,Database!$D$6:$OM$155,116,0)</f>
        <v>0</v>
      </c>
      <c r="O119" s="26">
        <f>HLOOKUP($O$3,Database!$D$6:$OM$155,116,0)</f>
        <v>0</v>
      </c>
      <c r="P119" s="12">
        <f>HLOOKUP($Q$2,Database!$D$6:$OM$155,116,0)</f>
        <v>0</v>
      </c>
      <c r="Q119" s="26">
        <f>HLOOKUP($Q$3,Database!$D$6:$OM$155,116,0)</f>
        <v>0</v>
      </c>
      <c r="R119" s="12">
        <f>HLOOKUP($S$2,Database!$D$6:$OM$155,116,0)</f>
        <v>0</v>
      </c>
      <c r="S119" s="26">
        <f>HLOOKUP($S$3,Database!$D$6:$OM$155,116,0)</f>
        <v>0</v>
      </c>
      <c r="T119" s="12">
        <f>HLOOKUP($U$2,Database!$D$6:$OM$155,116,0)</f>
        <v>0</v>
      </c>
      <c r="U119" s="26">
        <f>HLOOKUP($U$3,Database!$D$6:$OM$155,116,0)</f>
        <v>0</v>
      </c>
      <c r="V119" s="12">
        <f>HLOOKUP($W$2,Database!$D$6:$OM$155,116,0)</f>
        <v>0</v>
      </c>
      <c r="W119" s="26">
        <f>HLOOKUP($W$3,Database!$D$6:$OM$155,116,0)</f>
        <v>0</v>
      </c>
      <c r="Y119" s="381">
        <f t="shared" si="75"/>
        <v>31.94</v>
      </c>
      <c r="Z119" s="382">
        <f t="shared" si="76"/>
        <v>31.93</v>
      </c>
      <c r="AA119" s="382">
        <f t="shared" si="77"/>
        <v>31.93</v>
      </c>
      <c r="AB119" s="382">
        <f t="shared" si="78"/>
        <v>31.93</v>
      </c>
      <c r="AC119" s="324" t="str">
        <f t="shared" si="79"/>
        <v/>
      </c>
      <c r="AD119" s="324" t="str">
        <f t="shared" si="80"/>
        <v/>
      </c>
      <c r="AE119" s="324" t="str">
        <f t="shared" si="81"/>
        <v/>
      </c>
      <c r="AF119" s="324" t="str">
        <f t="shared" si="82"/>
        <v/>
      </c>
      <c r="AG119" s="324" t="str">
        <f t="shared" si="83"/>
        <v/>
      </c>
      <c r="AH119" s="324" t="str">
        <f t="shared" si="84"/>
        <v/>
      </c>
      <c r="AI119" s="362" t="str">
        <f t="shared" si="85"/>
        <v/>
      </c>
      <c r="AJ119" s="363" t="str">
        <f t="shared" si="86"/>
        <v/>
      </c>
      <c r="AK119" s="382">
        <f t="shared" si="87"/>
        <v>1.0000000000001563E-2</v>
      </c>
      <c r="AL119" s="382">
        <f t="shared" si="88"/>
        <v>31.93</v>
      </c>
      <c r="AM119" s="384">
        <f t="shared" si="89"/>
        <v>31.94</v>
      </c>
      <c r="AN119" s="28"/>
      <c r="AO119" s="385">
        <f t="shared" si="90"/>
        <v>31.935000000000002</v>
      </c>
      <c r="AP119" s="385">
        <f t="shared" si="91"/>
        <v>7131.5</v>
      </c>
      <c r="AQ119" s="385">
        <f t="shared" si="92"/>
        <v>31.93</v>
      </c>
      <c r="AR119" s="104">
        <f t="shared" si="93"/>
        <v>3797</v>
      </c>
      <c r="AS119" s="104">
        <f t="shared" si="94"/>
        <v>0</v>
      </c>
      <c r="AT119" s="104">
        <f t="shared" si="95"/>
        <v>0</v>
      </c>
      <c r="AU119" s="104">
        <f t="shared" si="96"/>
        <v>0</v>
      </c>
      <c r="AV119" s="104">
        <f t="shared" si="97"/>
        <v>0</v>
      </c>
      <c r="AW119" s="104">
        <f t="shared" si="98"/>
        <v>0</v>
      </c>
      <c r="AX119" s="104">
        <f t="shared" si="99"/>
        <v>0</v>
      </c>
    </row>
    <row r="120" spans="1:50" ht="18.75" customHeight="1" x14ac:dyDescent="0.4">
      <c r="A120" s="403" t="s">
        <v>392</v>
      </c>
      <c r="B120" s="404">
        <v>74</v>
      </c>
      <c r="C120" s="403" t="s">
        <v>60</v>
      </c>
      <c r="D120" s="12">
        <f>HLOOKUP($E$2,Database!$D$6:$OM$155,117,0)</f>
        <v>30.09</v>
      </c>
      <c r="E120" s="26">
        <f>HLOOKUP($E$3,Database!$D$6:$OM$155,117,0)</f>
        <v>0</v>
      </c>
      <c r="F120" s="12">
        <f>HLOOKUP($G$2,Database!$D$6:$OM$155,117,0)</f>
        <v>30.07</v>
      </c>
      <c r="G120" s="26">
        <f>HLOOKUP($G$3,Database!$D$6:$OM$155,117,0)</f>
        <v>0</v>
      </c>
      <c r="H120" s="12">
        <f>HLOOKUP($I$2,Database!$D$6:$OM$155,117,0)</f>
        <v>30.08</v>
      </c>
      <c r="I120" s="26">
        <f>HLOOKUP($I$3,Database!$D$6:$OM$155,117,0)</f>
        <v>0</v>
      </c>
      <c r="J120" s="12">
        <f>HLOOKUP($K$2,Database!$D$6:$OM$155,117,0)</f>
        <v>30.08</v>
      </c>
      <c r="K120" s="26">
        <f>HLOOKUP($K$3,Database!$D$6:$OM$155,117,0)</f>
        <v>0</v>
      </c>
      <c r="L120" s="12">
        <f>HLOOKUP($M$2,Database!$D$6:$OM$155,117,0)</f>
        <v>0</v>
      </c>
      <c r="M120" s="26">
        <f>HLOOKUP($M$3,Database!$D$6:$OM$155,117,0)</f>
        <v>0</v>
      </c>
      <c r="N120" s="12">
        <f>HLOOKUP($O$2,Database!$D$6:$OM$155,117,0)</f>
        <v>0</v>
      </c>
      <c r="O120" s="26">
        <f>HLOOKUP($O$3,Database!$D$6:$OM$155,117,0)</f>
        <v>0</v>
      </c>
      <c r="P120" s="12">
        <f>HLOOKUP($Q$2,Database!$D$6:$OM$155,117,0)</f>
        <v>0</v>
      </c>
      <c r="Q120" s="26">
        <f>HLOOKUP($Q$3,Database!$D$6:$OM$155,117,0)</f>
        <v>0</v>
      </c>
      <c r="R120" s="12">
        <f>HLOOKUP($S$2,Database!$D$6:$OM$155,117,0)</f>
        <v>0</v>
      </c>
      <c r="S120" s="26">
        <f>HLOOKUP($S$3,Database!$D$6:$OM$155,117,0)</f>
        <v>0</v>
      </c>
      <c r="T120" s="12">
        <f>HLOOKUP($U$2,Database!$D$6:$OM$155,117,0)</f>
        <v>0</v>
      </c>
      <c r="U120" s="26">
        <f>HLOOKUP($U$3,Database!$D$6:$OM$155,117,0)</f>
        <v>0</v>
      </c>
      <c r="V120" s="12">
        <f>HLOOKUP($W$2,Database!$D$6:$OM$155,117,0)</f>
        <v>0</v>
      </c>
      <c r="W120" s="26">
        <f>HLOOKUP($W$3,Database!$D$6:$OM$155,117,0)</f>
        <v>0</v>
      </c>
      <c r="Y120" s="381">
        <f t="shared" si="75"/>
        <v>30.09</v>
      </c>
      <c r="Z120" s="382">
        <f t="shared" si="76"/>
        <v>30.07</v>
      </c>
      <c r="AA120" s="382">
        <f t="shared" si="77"/>
        <v>30.08</v>
      </c>
      <c r="AB120" s="382">
        <f t="shared" si="78"/>
        <v>30.08</v>
      </c>
      <c r="AC120" s="324" t="str">
        <f t="shared" si="79"/>
        <v/>
      </c>
      <c r="AD120" s="324" t="str">
        <f t="shared" si="80"/>
        <v/>
      </c>
      <c r="AE120" s="324" t="str">
        <f t="shared" si="81"/>
        <v/>
      </c>
      <c r="AF120" s="324" t="str">
        <f t="shared" si="82"/>
        <v/>
      </c>
      <c r="AG120" s="324" t="str">
        <f t="shared" si="83"/>
        <v/>
      </c>
      <c r="AH120" s="324" t="str">
        <f t="shared" si="84"/>
        <v/>
      </c>
      <c r="AI120" s="362" t="str">
        <f t="shared" si="85"/>
        <v/>
      </c>
      <c r="AJ120" s="363" t="str">
        <f t="shared" si="86"/>
        <v/>
      </c>
      <c r="AK120" s="382">
        <f t="shared" si="87"/>
        <v>1.9999999999999574E-2</v>
      </c>
      <c r="AL120" s="382">
        <f t="shared" si="88"/>
        <v>30.07</v>
      </c>
      <c r="AM120" s="384">
        <f t="shared" si="89"/>
        <v>30.09</v>
      </c>
      <c r="AN120" s="28"/>
      <c r="AO120" s="385">
        <f t="shared" si="90"/>
        <v>30.08</v>
      </c>
      <c r="AP120" s="104">
        <f t="shared" si="91"/>
        <v>0</v>
      </c>
      <c r="AQ120" s="385">
        <f t="shared" si="92"/>
        <v>30.08</v>
      </c>
      <c r="AR120" s="104">
        <f t="shared" si="93"/>
        <v>0</v>
      </c>
      <c r="AS120" s="104">
        <f t="shared" si="94"/>
        <v>0</v>
      </c>
      <c r="AT120" s="104">
        <f t="shared" si="95"/>
        <v>0</v>
      </c>
      <c r="AU120" s="104">
        <f t="shared" si="96"/>
        <v>0</v>
      </c>
      <c r="AV120" s="104">
        <f t="shared" si="97"/>
        <v>0</v>
      </c>
      <c r="AW120" s="104">
        <f t="shared" si="98"/>
        <v>0</v>
      </c>
      <c r="AX120" s="104">
        <f t="shared" si="99"/>
        <v>0</v>
      </c>
    </row>
    <row r="121" spans="1:50" ht="18.75" customHeight="1" x14ac:dyDescent="0.4">
      <c r="A121" s="403" t="s">
        <v>393</v>
      </c>
      <c r="B121" s="404">
        <v>192</v>
      </c>
      <c r="C121" s="403" t="s">
        <v>60</v>
      </c>
      <c r="D121" s="12">
        <f>HLOOKUP($E$2,Database!$D$6:$OM$155,118,0)</f>
        <v>30.34</v>
      </c>
      <c r="E121" s="26">
        <f>HLOOKUP($E$3,Database!$D$6:$OM$155,118,0)</f>
        <v>27505</v>
      </c>
      <c r="F121" s="12">
        <f>HLOOKUP($G$2,Database!$D$6:$OM$155,118,0)</f>
        <v>30.34</v>
      </c>
      <c r="G121" s="26">
        <f>HLOOKUP($G$3,Database!$D$6:$OM$155,118,0)</f>
        <v>10815</v>
      </c>
      <c r="H121" s="12">
        <f>HLOOKUP($I$2,Database!$D$6:$OM$155,118,0)</f>
        <v>30.34</v>
      </c>
      <c r="I121" s="26">
        <f>HLOOKUP($I$3,Database!$D$6:$OM$155,118,0)</f>
        <v>31127</v>
      </c>
      <c r="J121" s="12">
        <f>HLOOKUP($K$2,Database!$D$6:$OM$155,118,0)</f>
        <v>30.34</v>
      </c>
      <c r="K121" s="26">
        <f>HLOOKUP($K$3,Database!$D$6:$OM$155,118,0)</f>
        <v>33767</v>
      </c>
      <c r="L121" s="12">
        <f>HLOOKUP($M$2,Database!$D$6:$OM$155,118,0)</f>
        <v>0</v>
      </c>
      <c r="M121" s="26">
        <f>HLOOKUP($M$3,Database!$D$6:$OM$155,118,0)</f>
        <v>0</v>
      </c>
      <c r="N121" s="12">
        <f>HLOOKUP($O$2,Database!$D$6:$OM$155,118,0)</f>
        <v>0</v>
      </c>
      <c r="O121" s="26">
        <f>HLOOKUP($O$3,Database!$D$6:$OM$155,118,0)</f>
        <v>0</v>
      </c>
      <c r="P121" s="12">
        <f>HLOOKUP($Q$2,Database!$D$6:$OM$155,118,0)</f>
        <v>0</v>
      </c>
      <c r="Q121" s="26">
        <f>HLOOKUP($Q$3,Database!$D$6:$OM$155,118,0)</f>
        <v>0</v>
      </c>
      <c r="R121" s="12">
        <f>HLOOKUP($S$2,Database!$D$6:$OM$155,118,0)</f>
        <v>0</v>
      </c>
      <c r="S121" s="26">
        <f>HLOOKUP($S$3,Database!$D$6:$OM$155,118,0)</f>
        <v>0</v>
      </c>
      <c r="T121" s="12">
        <f>HLOOKUP($U$2,Database!$D$6:$OM$155,118,0)</f>
        <v>0</v>
      </c>
      <c r="U121" s="26">
        <f>HLOOKUP($U$3,Database!$D$6:$OM$155,118,0)</f>
        <v>0</v>
      </c>
      <c r="V121" s="12">
        <f>HLOOKUP($W$2,Database!$D$6:$OM$155,118,0)</f>
        <v>0</v>
      </c>
      <c r="W121" s="26">
        <f>HLOOKUP($W$3,Database!$D$6:$OM$155,118,0)</f>
        <v>0</v>
      </c>
      <c r="Y121" s="381">
        <f t="shared" si="75"/>
        <v>30.34</v>
      </c>
      <c r="Z121" s="382">
        <f t="shared" si="76"/>
        <v>30.34</v>
      </c>
      <c r="AA121" s="382">
        <f t="shared" si="77"/>
        <v>30.34</v>
      </c>
      <c r="AB121" s="382">
        <f t="shared" si="78"/>
        <v>30.34</v>
      </c>
      <c r="AC121" s="324" t="str">
        <f t="shared" si="79"/>
        <v/>
      </c>
      <c r="AD121" s="324" t="str">
        <f t="shared" si="80"/>
        <v/>
      </c>
      <c r="AE121" s="324" t="str">
        <f t="shared" si="81"/>
        <v/>
      </c>
      <c r="AF121" s="324" t="str">
        <f t="shared" si="82"/>
        <v/>
      </c>
      <c r="AG121" s="324" t="str">
        <f t="shared" si="83"/>
        <v/>
      </c>
      <c r="AH121" s="324" t="str">
        <f t="shared" si="84"/>
        <v/>
      </c>
      <c r="AI121" s="362" t="str">
        <f t="shared" si="85"/>
        <v/>
      </c>
      <c r="AJ121" s="363" t="str">
        <f t="shared" si="86"/>
        <v/>
      </c>
      <c r="AK121" s="383">
        <f t="shared" si="87"/>
        <v>0</v>
      </c>
      <c r="AL121" s="382">
        <f t="shared" si="88"/>
        <v>30.34</v>
      </c>
      <c r="AM121" s="384">
        <f t="shared" si="89"/>
        <v>30.34</v>
      </c>
      <c r="AN121" s="28"/>
      <c r="AO121" s="385">
        <f t="shared" si="90"/>
        <v>30.34</v>
      </c>
      <c r="AP121" s="104">
        <f t="shared" si="91"/>
        <v>19160</v>
      </c>
      <c r="AQ121" s="385">
        <f t="shared" si="92"/>
        <v>30.34</v>
      </c>
      <c r="AR121" s="104">
        <f t="shared" si="93"/>
        <v>32447</v>
      </c>
      <c r="AS121" s="104">
        <f t="shared" si="94"/>
        <v>0</v>
      </c>
      <c r="AT121" s="104">
        <f t="shared" si="95"/>
        <v>0</v>
      </c>
      <c r="AU121" s="104">
        <f t="shared" si="96"/>
        <v>0</v>
      </c>
      <c r="AV121" s="104">
        <f t="shared" si="97"/>
        <v>0</v>
      </c>
      <c r="AW121" s="104">
        <f t="shared" si="98"/>
        <v>0</v>
      </c>
      <c r="AX121" s="104">
        <f t="shared" si="99"/>
        <v>0</v>
      </c>
    </row>
    <row r="122" spans="1:50" ht="18.75" customHeight="1" x14ac:dyDescent="0.4">
      <c r="A122" s="403" t="s">
        <v>394</v>
      </c>
      <c r="B122" s="404">
        <v>206</v>
      </c>
      <c r="C122" s="403" t="s">
        <v>60</v>
      </c>
      <c r="D122" s="12">
        <f>HLOOKUP($E$2,Database!$D$6:$OM$155,119,0)</f>
        <v>31.76</v>
      </c>
      <c r="E122" s="26">
        <f>HLOOKUP($E$3,Database!$D$6:$OM$155,119,0)</f>
        <v>21162</v>
      </c>
      <c r="F122" s="12">
        <f>HLOOKUP($G$2,Database!$D$6:$OM$155,119,0)</f>
        <v>31.75</v>
      </c>
      <c r="G122" s="26">
        <f>HLOOKUP($G$3,Database!$D$6:$OM$155,119,0)</f>
        <v>4855</v>
      </c>
      <c r="H122" s="12">
        <f>HLOOKUP($I$2,Database!$D$6:$OM$155,119,0)</f>
        <v>31.75</v>
      </c>
      <c r="I122" s="26">
        <f>HLOOKUP($I$3,Database!$D$6:$OM$155,119,0)</f>
        <v>13647</v>
      </c>
      <c r="J122" s="12">
        <f>HLOOKUP($K$2,Database!$D$6:$OM$155,119,0)</f>
        <v>31.76</v>
      </c>
      <c r="K122" s="26">
        <f>HLOOKUP($K$3,Database!$D$6:$OM$155,119,0)</f>
        <v>14832</v>
      </c>
      <c r="L122" s="12">
        <f>HLOOKUP($M$2,Database!$D$6:$OM$155,119,0)</f>
        <v>0</v>
      </c>
      <c r="M122" s="26">
        <f>HLOOKUP($M$3,Database!$D$6:$OM$155,119,0)</f>
        <v>0</v>
      </c>
      <c r="N122" s="12">
        <f>HLOOKUP($O$2,Database!$D$6:$OM$155,119,0)</f>
        <v>0</v>
      </c>
      <c r="O122" s="26">
        <f>HLOOKUP($O$3,Database!$D$6:$OM$155,119,0)</f>
        <v>0</v>
      </c>
      <c r="P122" s="12">
        <f>HLOOKUP($Q$2,Database!$D$6:$OM$155,119,0)</f>
        <v>0</v>
      </c>
      <c r="Q122" s="26">
        <f>HLOOKUP($Q$3,Database!$D$6:$OM$155,119,0)</f>
        <v>0</v>
      </c>
      <c r="R122" s="12">
        <f>HLOOKUP($S$2,Database!$D$6:$OM$155,119,0)</f>
        <v>0</v>
      </c>
      <c r="S122" s="26">
        <f>HLOOKUP($S$3,Database!$D$6:$OM$155,119,0)</f>
        <v>0</v>
      </c>
      <c r="T122" s="12">
        <f>HLOOKUP($U$2,Database!$D$6:$OM$155,119,0)</f>
        <v>0</v>
      </c>
      <c r="U122" s="26">
        <f>HLOOKUP($U$3,Database!$D$6:$OM$155,119,0)</f>
        <v>0</v>
      </c>
      <c r="V122" s="12">
        <f>HLOOKUP($W$2,Database!$D$6:$OM$155,119,0)</f>
        <v>0</v>
      </c>
      <c r="W122" s="26">
        <f>HLOOKUP($W$3,Database!$D$6:$OM$155,119,0)</f>
        <v>0</v>
      </c>
      <c r="Y122" s="381">
        <f t="shared" si="75"/>
        <v>31.76</v>
      </c>
      <c r="Z122" s="382">
        <f t="shared" si="76"/>
        <v>31.75</v>
      </c>
      <c r="AA122" s="382">
        <f t="shared" si="77"/>
        <v>31.75</v>
      </c>
      <c r="AB122" s="382">
        <f t="shared" si="78"/>
        <v>31.76</v>
      </c>
      <c r="AC122" s="324" t="str">
        <f t="shared" si="79"/>
        <v/>
      </c>
      <c r="AD122" s="324" t="str">
        <f t="shared" si="80"/>
        <v/>
      </c>
      <c r="AE122" s="324" t="str">
        <f t="shared" si="81"/>
        <v/>
      </c>
      <c r="AF122" s="324" t="str">
        <f t="shared" si="82"/>
        <v/>
      </c>
      <c r="AG122" s="324" t="str">
        <f t="shared" si="83"/>
        <v/>
      </c>
      <c r="AH122" s="324" t="str">
        <f t="shared" si="84"/>
        <v/>
      </c>
      <c r="AI122" s="362" t="str">
        <f t="shared" si="85"/>
        <v/>
      </c>
      <c r="AJ122" s="363" t="str">
        <f t="shared" si="86"/>
        <v/>
      </c>
      <c r="AK122" s="382">
        <f t="shared" si="87"/>
        <v>1.0000000000001563E-2</v>
      </c>
      <c r="AL122" s="382">
        <f t="shared" si="88"/>
        <v>31.75</v>
      </c>
      <c r="AM122" s="384">
        <f t="shared" si="89"/>
        <v>31.76</v>
      </c>
      <c r="AN122" s="28"/>
      <c r="AO122" s="385">
        <f t="shared" si="90"/>
        <v>31.755000000000003</v>
      </c>
      <c r="AP122" s="385">
        <f t="shared" si="91"/>
        <v>13008.5</v>
      </c>
      <c r="AQ122" s="385">
        <f t="shared" si="92"/>
        <v>31.755000000000003</v>
      </c>
      <c r="AR122" s="385">
        <f t="shared" si="93"/>
        <v>14239.5</v>
      </c>
      <c r="AS122" s="104">
        <f t="shared" si="94"/>
        <v>0</v>
      </c>
      <c r="AT122" s="104">
        <f t="shared" si="95"/>
        <v>0</v>
      </c>
      <c r="AU122" s="104">
        <f t="shared" si="96"/>
        <v>0</v>
      </c>
      <c r="AV122" s="104">
        <f t="shared" si="97"/>
        <v>0</v>
      </c>
      <c r="AW122" s="104">
        <f t="shared" si="98"/>
        <v>0</v>
      </c>
      <c r="AX122" s="104">
        <f t="shared" si="99"/>
        <v>0</v>
      </c>
    </row>
    <row r="123" spans="1:50" ht="18.75" customHeight="1" x14ac:dyDescent="0.4">
      <c r="A123" s="403" t="s">
        <v>395</v>
      </c>
      <c r="B123" s="404">
        <v>206</v>
      </c>
      <c r="C123" s="403" t="s">
        <v>60</v>
      </c>
      <c r="D123" s="12">
        <f>HLOOKUP($E$2,Database!$D$6:$OM$155,120,0)</f>
        <v>32.630000000000003</v>
      </c>
      <c r="E123" s="26">
        <f>HLOOKUP($E$3,Database!$D$6:$OM$155,120,0)</f>
        <v>132715</v>
      </c>
      <c r="F123" s="12">
        <f>HLOOKUP($G$2,Database!$D$6:$OM$155,120,0)</f>
        <v>32.619999999999997</v>
      </c>
      <c r="G123" s="26">
        <f>HLOOKUP($G$3,Database!$D$6:$OM$155,120,0)</f>
        <v>35630</v>
      </c>
      <c r="H123" s="12">
        <f>HLOOKUP($I$2,Database!$D$6:$OM$155,120,0)</f>
        <v>32.630000000000003</v>
      </c>
      <c r="I123" s="26">
        <f>HLOOKUP($I$3,Database!$D$6:$OM$155,120,0)</f>
        <v>98926</v>
      </c>
      <c r="J123" s="12">
        <f>HLOOKUP($K$2,Database!$D$6:$OM$155,120,0)</f>
        <v>32.630000000000003</v>
      </c>
      <c r="K123" s="26">
        <f>HLOOKUP($K$3,Database!$D$6:$OM$155,120,0)</f>
        <v>103714</v>
      </c>
      <c r="L123" s="12">
        <f>HLOOKUP($M$2,Database!$D$6:$OM$155,120,0)</f>
        <v>0</v>
      </c>
      <c r="M123" s="26">
        <f>HLOOKUP($M$3,Database!$D$6:$OM$155,120,0)</f>
        <v>0</v>
      </c>
      <c r="N123" s="12">
        <f>HLOOKUP($O$2,Database!$D$6:$OM$155,120,0)</f>
        <v>0</v>
      </c>
      <c r="O123" s="26">
        <f>HLOOKUP($O$3,Database!$D$6:$OM$155,120,0)</f>
        <v>0</v>
      </c>
      <c r="P123" s="12">
        <f>HLOOKUP($Q$2,Database!$D$6:$OM$155,120,0)</f>
        <v>0</v>
      </c>
      <c r="Q123" s="26">
        <f>HLOOKUP($Q$3,Database!$D$6:$OM$155,120,0)</f>
        <v>0</v>
      </c>
      <c r="R123" s="12">
        <f>HLOOKUP($S$2,Database!$D$6:$OM$155,120,0)</f>
        <v>0</v>
      </c>
      <c r="S123" s="26">
        <f>HLOOKUP($S$3,Database!$D$6:$OM$155,120,0)</f>
        <v>0</v>
      </c>
      <c r="T123" s="12">
        <f>HLOOKUP($U$2,Database!$D$6:$OM$155,120,0)</f>
        <v>0</v>
      </c>
      <c r="U123" s="26">
        <f>HLOOKUP($U$3,Database!$D$6:$OM$155,120,0)</f>
        <v>0</v>
      </c>
      <c r="V123" s="12">
        <f>HLOOKUP($W$2,Database!$D$6:$OM$155,120,0)</f>
        <v>0</v>
      </c>
      <c r="W123" s="26">
        <f>HLOOKUP($W$3,Database!$D$6:$OM$155,120,0)</f>
        <v>0</v>
      </c>
      <c r="Y123" s="381">
        <f t="shared" si="75"/>
        <v>32.630000000000003</v>
      </c>
      <c r="Z123" s="382">
        <f t="shared" si="76"/>
        <v>32.619999999999997</v>
      </c>
      <c r="AA123" s="382">
        <f t="shared" si="77"/>
        <v>32.630000000000003</v>
      </c>
      <c r="AB123" s="382">
        <f t="shared" si="78"/>
        <v>32.630000000000003</v>
      </c>
      <c r="AC123" s="324" t="str">
        <f t="shared" si="79"/>
        <v/>
      </c>
      <c r="AD123" s="324" t="str">
        <f t="shared" si="80"/>
        <v/>
      </c>
      <c r="AE123" s="324" t="str">
        <f t="shared" si="81"/>
        <v/>
      </c>
      <c r="AF123" s="324" t="str">
        <f t="shared" si="82"/>
        <v/>
      </c>
      <c r="AG123" s="324" t="str">
        <f t="shared" si="83"/>
        <v/>
      </c>
      <c r="AH123" s="324" t="str">
        <f t="shared" si="84"/>
        <v/>
      </c>
      <c r="AI123" s="362" t="str">
        <f t="shared" si="85"/>
        <v/>
      </c>
      <c r="AJ123" s="363" t="str">
        <f t="shared" si="86"/>
        <v/>
      </c>
      <c r="AK123" s="382">
        <f t="shared" si="87"/>
        <v>1.0000000000005116E-2</v>
      </c>
      <c r="AL123" s="382">
        <f t="shared" si="88"/>
        <v>32.619999999999997</v>
      </c>
      <c r="AM123" s="384">
        <f t="shared" si="89"/>
        <v>32.630000000000003</v>
      </c>
      <c r="AN123" s="28"/>
      <c r="AO123" s="385">
        <f t="shared" si="90"/>
        <v>32.625</v>
      </c>
      <c r="AP123" s="385">
        <f t="shared" si="91"/>
        <v>84172.5</v>
      </c>
      <c r="AQ123" s="385">
        <f t="shared" si="92"/>
        <v>32.630000000000003</v>
      </c>
      <c r="AR123" s="104">
        <f t="shared" si="93"/>
        <v>101320</v>
      </c>
      <c r="AS123" s="104">
        <f t="shared" si="94"/>
        <v>0</v>
      </c>
      <c r="AT123" s="104">
        <f t="shared" si="95"/>
        <v>0</v>
      </c>
      <c r="AU123" s="104">
        <f t="shared" si="96"/>
        <v>0</v>
      </c>
      <c r="AV123" s="104">
        <f t="shared" si="97"/>
        <v>0</v>
      </c>
      <c r="AW123" s="104">
        <f t="shared" si="98"/>
        <v>0</v>
      </c>
      <c r="AX123" s="104">
        <f t="shared" si="99"/>
        <v>0</v>
      </c>
    </row>
    <row r="124" spans="1:50" ht="18.75" customHeight="1" x14ac:dyDescent="0.4">
      <c r="A124" s="403" t="s">
        <v>396</v>
      </c>
      <c r="B124" s="404">
        <v>226</v>
      </c>
      <c r="C124" s="403" t="s">
        <v>94</v>
      </c>
      <c r="D124" s="12">
        <f>HLOOKUP($E$2,Database!$D$6:$OM$155,121,0)</f>
        <v>33.14</v>
      </c>
      <c r="E124" s="26">
        <f>HLOOKUP($E$3,Database!$D$6:$OM$155,121,0)</f>
        <v>840859</v>
      </c>
      <c r="F124" s="12">
        <f>HLOOKUP($G$2,Database!$D$6:$OM$155,121,0)</f>
        <v>33.119999999999997</v>
      </c>
      <c r="G124" s="26">
        <f>HLOOKUP($G$3,Database!$D$6:$OM$155,121,0)</f>
        <v>140546</v>
      </c>
      <c r="H124" s="12">
        <f>HLOOKUP($I$2,Database!$D$6:$OM$155,121,0)</f>
        <v>33.130000000000003</v>
      </c>
      <c r="I124" s="26">
        <f>HLOOKUP($I$3,Database!$D$6:$OM$155,121,0)</f>
        <v>420505</v>
      </c>
      <c r="J124" s="12">
        <f>HLOOKUP($K$2,Database!$D$6:$OM$155,121,0)</f>
        <v>33.130000000000003</v>
      </c>
      <c r="K124" s="26">
        <f>HLOOKUP($K$3,Database!$D$6:$OM$155,121,0)</f>
        <v>452307</v>
      </c>
      <c r="L124" s="12">
        <f>HLOOKUP($M$2,Database!$D$6:$OM$155,121,0)</f>
        <v>0</v>
      </c>
      <c r="M124" s="26">
        <f>HLOOKUP($M$3,Database!$D$6:$OM$155,121,0)</f>
        <v>0</v>
      </c>
      <c r="N124" s="12">
        <f>HLOOKUP($O$2,Database!$D$6:$OM$155,121,0)</f>
        <v>0</v>
      </c>
      <c r="O124" s="26">
        <f>HLOOKUP($O$3,Database!$D$6:$OM$155,121,0)</f>
        <v>0</v>
      </c>
      <c r="P124" s="12">
        <f>HLOOKUP($Q$2,Database!$D$6:$OM$155,121,0)</f>
        <v>0</v>
      </c>
      <c r="Q124" s="26">
        <f>HLOOKUP($Q$3,Database!$D$6:$OM$155,121,0)</f>
        <v>0</v>
      </c>
      <c r="R124" s="12">
        <f>HLOOKUP($S$2,Database!$D$6:$OM$155,121,0)</f>
        <v>0</v>
      </c>
      <c r="S124" s="26">
        <f>HLOOKUP($S$3,Database!$D$6:$OM$155,121,0)</f>
        <v>0</v>
      </c>
      <c r="T124" s="12">
        <f>HLOOKUP($U$2,Database!$D$6:$OM$155,121,0)</f>
        <v>0</v>
      </c>
      <c r="U124" s="26">
        <f>HLOOKUP($U$3,Database!$D$6:$OM$155,121,0)</f>
        <v>0</v>
      </c>
      <c r="V124" s="12">
        <f>HLOOKUP($W$2,Database!$D$6:$OM$155,121,0)</f>
        <v>0</v>
      </c>
      <c r="W124" s="26">
        <f>HLOOKUP($W$3,Database!$D$6:$OM$155,121,0)</f>
        <v>0</v>
      </c>
      <c r="Y124" s="381">
        <f t="shared" si="75"/>
        <v>33.14</v>
      </c>
      <c r="Z124" s="382">
        <f t="shared" si="76"/>
        <v>33.119999999999997</v>
      </c>
      <c r="AA124" s="382">
        <f t="shared" si="77"/>
        <v>33.130000000000003</v>
      </c>
      <c r="AB124" s="382">
        <f t="shared" si="78"/>
        <v>33.130000000000003</v>
      </c>
      <c r="AC124" s="324" t="str">
        <f t="shared" si="79"/>
        <v/>
      </c>
      <c r="AD124" s="324" t="str">
        <f t="shared" si="80"/>
        <v/>
      </c>
      <c r="AE124" s="324" t="str">
        <f t="shared" si="81"/>
        <v/>
      </c>
      <c r="AF124" s="324" t="str">
        <f t="shared" si="82"/>
        <v/>
      </c>
      <c r="AG124" s="324" t="str">
        <f t="shared" si="83"/>
        <v/>
      </c>
      <c r="AH124" s="324" t="str">
        <f t="shared" si="84"/>
        <v/>
      </c>
      <c r="AI124" s="362" t="str">
        <f t="shared" si="85"/>
        <v/>
      </c>
      <c r="AJ124" s="363" t="str">
        <f t="shared" si="86"/>
        <v/>
      </c>
      <c r="AK124" s="382">
        <f t="shared" si="87"/>
        <v>2.0000000000003126E-2</v>
      </c>
      <c r="AL124" s="382">
        <f t="shared" si="88"/>
        <v>33.119999999999997</v>
      </c>
      <c r="AM124" s="384">
        <f t="shared" si="89"/>
        <v>33.14</v>
      </c>
      <c r="AN124" s="28"/>
      <c r="AO124" s="385">
        <f t="shared" si="90"/>
        <v>33.129999999999995</v>
      </c>
      <c r="AP124" s="385">
        <f t="shared" si="91"/>
        <v>490702.5</v>
      </c>
      <c r="AQ124" s="385">
        <f t="shared" si="92"/>
        <v>33.130000000000003</v>
      </c>
      <c r="AR124" s="104">
        <f t="shared" si="93"/>
        <v>436406</v>
      </c>
      <c r="AS124" s="104">
        <f t="shared" si="94"/>
        <v>0</v>
      </c>
      <c r="AT124" s="104">
        <f t="shared" si="95"/>
        <v>0</v>
      </c>
      <c r="AU124" s="104">
        <f t="shared" si="96"/>
        <v>0</v>
      </c>
      <c r="AV124" s="104">
        <f t="shared" si="97"/>
        <v>0</v>
      </c>
      <c r="AW124" s="104">
        <f t="shared" si="98"/>
        <v>0</v>
      </c>
      <c r="AX124" s="104">
        <f t="shared" si="99"/>
        <v>0</v>
      </c>
    </row>
    <row r="125" spans="1:50" ht="18.75" customHeight="1" x14ac:dyDescent="0.4">
      <c r="A125" s="403" t="s">
        <v>397</v>
      </c>
      <c r="B125" s="404">
        <v>74</v>
      </c>
      <c r="C125" s="403" t="s">
        <v>60</v>
      </c>
      <c r="D125" s="12">
        <f>HLOOKUP($E$2,Database!$D$6:$OM$155,122,0)</f>
        <v>33.380000000000003</v>
      </c>
      <c r="E125" s="26">
        <f>HLOOKUP($E$3,Database!$D$6:$OM$155,122,0)</f>
        <v>0</v>
      </c>
      <c r="F125" s="12">
        <f>HLOOKUP($G$2,Database!$D$6:$OM$155,122,0)</f>
        <v>33.369999999999997</v>
      </c>
      <c r="G125" s="26">
        <f>HLOOKUP($G$3,Database!$D$6:$OM$155,122,0)</f>
        <v>0</v>
      </c>
      <c r="H125" s="12">
        <f>HLOOKUP($I$2,Database!$D$6:$OM$155,122,0)</f>
        <v>33.380000000000003</v>
      </c>
      <c r="I125" s="26">
        <f>HLOOKUP($I$3,Database!$D$6:$OM$155,122,0)</f>
        <v>0</v>
      </c>
      <c r="J125" s="12">
        <f>HLOOKUP($K$2,Database!$D$6:$OM$155,122,0)</f>
        <v>33.369999999999997</v>
      </c>
      <c r="K125" s="26">
        <f>HLOOKUP($K$3,Database!$D$6:$OM$155,122,0)</f>
        <v>0</v>
      </c>
      <c r="L125" s="12">
        <f>HLOOKUP($M$2,Database!$D$6:$OM$155,122,0)</f>
        <v>0</v>
      </c>
      <c r="M125" s="26">
        <f>HLOOKUP($M$3,Database!$D$6:$OM$155,122,0)</f>
        <v>0</v>
      </c>
      <c r="N125" s="12">
        <f>HLOOKUP($O$2,Database!$D$6:$OM$155,122,0)</f>
        <v>0</v>
      </c>
      <c r="O125" s="26">
        <f>HLOOKUP($O$3,Database!$D$6:$OM$155,122,0)</f>
        <v>0</v>
      </c>
      <c r="P125" s="12">
        <f>HLOOKUP($Q$2,Database!$D$6:$OM$155,122,0)</f>
        <v>0</v>
      </c>
      <c r="Q125" s="26">
        <f>HLOOKUP($Q$3,Database!$D$6:$OM$155,122,0)</f>
        <v>0</v>
      </c>
      <c r="R125" s="12">
        <f>HLOOKUP($S$2,Database!$D$6:$OM$155,122,0)</f>
        <v>0</v>
      </c>
      <c r="S125" s="26">
        <f>HLOOKUP($S$3,Database!$D$6:$OM$155,122,0)</f>
        <v>0</v>
      </c>
      <c r="T125" s="12">
        <f>HLOOKUP($U$2,Database!$D$6:$OM$155,122,0)</f>
        <v>0</v>
      </c>
      <c r="U125" s="26">
        <f>HLOOKUP($U$3,Database!$D$6:$OM$155,122,0)</f>
        <v>0</v>
      </c>
      <c r="V125" s="12">
        <f>HLOOKUP($W$2,Database!$D$6:$OM$155,122,0)</f>
        <v>0</v>
      </c>
      <c r="W125" s="26">
        <f>HLOOKUP($W$3,Database!$D$6:$OM$155,122,0)</f>
        <v>0</v>
      </c>
      <c r="Y125" s="381">
        <f t="shared" si="75"/>
        <v>33.380000000000003</v>
      </c>
      <c r="Z125" s="382">
        <f t="shared" si="76"/>
        <v>33.369999999999997</v>
      </c>
      <c r="AA125" s="382">
        <f t="shared" si="77"/>
        <v>33.380000000000003</v>
      </c>
      <c r="AB125" s="382">
        <f t="shared" si="78"/>
        <v>33.369999999999997</v>
      </c>
      <c r="AC125" s="324" t="str">
        <f t="shared" si="79"/>
        <v/>
      </c>
      <c r="AD125" s="324" t="str">
        <f t="shared" si="80"/>
        <v/>
      </c>
      <c r="AE125" s="324" t="str">
        <f t="shared" si="81"/>
        <v/>
      </c>
      <c r="AF125" s="324" t="str">
        <f t="shared" si="82"/>
        <v/>
      </c>
      <c r="AG125" s="324" t="str">
        <f t="shared" si="83"/>
        <v/>
      </c>
      <c r="AH125" s="324" t="str">
        <f t="shared" si="84"/>
        <v/>
      </c>
      <c r="AI125" s="362" t="str">
        <f t="shared" si="85"/>
        <v/>
      </c>
      <c r="AJ125" s="363" t="str">
        <f t="shared" si="86"/>
        <v/>
      </c>
      <c r="AK125" s="382">
        <f t="shared" si="87"/>
        <v>1.0000000000005116E-2</v>
      </c>
      <c r="AL125" s="382">
        <f t="shared" si="88"/>
        <v>33.369999999999997</v>
      </c>
      <c r="AM125" s="384">
        <f t="shared" si="89"/>
        <v>33.380000000000003</v>
      </c>
      <c r="AN125" s="28"/>
      <c r="AO125" s="385">
        <f t="shared" si="90"/>
        <v>33.375</v>
      </c>
      <c r="AP125" s="104">
        <f t="shared" si="91"/>
        <v>0</v>
      </c>
      <c r="AQ125" s="385">
        <f t="shared" si="92"/>
        <v>33.375</v>
      </c>
      <c r="AR125" s="104">
        <f t="shared" si="93"/>
        <v>0</v>
      </c>
      <c r="AS125" s="104">
        <f t="shared" si="94"/>
        <v>0</v>
      </c>
      <c r="AT125" s="104">
        <f t="shared" si="95"/>
        <v>0</v>
      </c>
      <c r="AU125" s="104">
        <f t="shared" si="96"/>
        <v>0</v>
      </c>
      <c r="AV125" s="104">
        <f t="shared" si="97"/>
        <v>0</v>
      </c>
      <c r="AW125" s="104">
        <f t="shared" si="98"/>
        <v>0</v>
      </c>
      <c r="AX125" s="104">
        <f t="shared" si="99"/>
        <v>0</v>
      </c>
    </row>
    <row r="126" spans="1:50" ht="18.75" customHeight="1" x14ac:dyDescent="0.4">
      <c r="A126" s="403" t="s">
        <v>398</v>
      </c>
      <c r="B126" s="404">
        <v>74</v>
      </c>
      <c r="C126" s="403" t="s">
        <v>60</v>
      </c>
      <c r="D126" s="12">
        <f>HLOOKUP($E$2,Database!$D$6:$OM$155,123,0)</f>
        <v>33.5</v>
      </c>
      <c r="E126" s="26">
        <f>HLOOKUP($E$3,Database!$D$6:$OM$155,123,0)</f>
        <v>0</v>
      </c>
      <c r="F126" s="12">
        <f>HLOOKUP($G$2,Database!$D$6:$OM$155,123,0)</f>
        <v>33.369999999999997</v>
      </c>
      <c r="G126" s="26">
        <f>HLOOKUP($G$3,Database!$D$6:$OM$155,123,0)</f>
        <v>0</v>
      </c>
      <c r="H126" s="12">
        <f>HLOOKUP($I$2,Database!$D$6:$OM$155,123,0)</f>
        <v>33.49</v>
      </c>
      <c r="I126" s="26">
        <f>HLOOKUP($I$3,Database!$D$6:$OM$155,123,0)</f>
        <v>0</v>
      </c>
      <c r="J126" s="12">
        <f>HLOOKUP($K$2,Database!$D$6:$OM$155,123,0)</f>
        <v>33.5</v>
      </c>
      <c r="K126" s="26">
        <f>HLOOKUP($K$3,Database!$D$6:$OM$155,123,0)</f>
        <v>0</v>
      </c>
      <c r="L126" s="12">
        <f>HLOOKUP($M$2,Database!$D$6:$OM$155,123,0)</f>
        <v>0</v>
      </c>
      <c r="M126" s="26">
        <f>HLOOKUP($M$3,Database!$D$6:$OM$155,123,0)</f>
        <v>0</v>
      </c>
      <c r="N126" s="12">
        <f>HLOOKUP($O$2,Database!$D$6:$OM$155,123,0)</f>
        <v>0</v>
      </c>
      <c r="O126" s="26">
        <f>HLOOKUP($O$3,Database!$D$6:$OM$155,123,0)</f>
        <v>0</v>
      </c>
      <c r="P126" s="12">
        <f>HLOOKUP($Q$2,Database!$D$6:$OM$155,123,0)</f>
        <v>0</v>
      </c>
      <c r="Q126" s="26">
        <f>HLOOKUP($Q$3,Database!$D$6:$OM$155,123,0)</f>
        <v>0</v>
      </c>
      <c r="R126" s="12">
        <f>HLOOKUP($S$2,Database!$D$6:$OM$155,123,0)</f>
        <v>0</v>
      </c>
      <c r="S126" s="26">
        <f>HLOOKUP($S$3,Database!$D$6:$OM$155,123,0)</f>
        <v>0</v>
      </c>
      <c r="T126" s="12">
        <f>HLOOKUP($U$2,Database!$D$6:$OM$155,123,0)</f>
        <v>0</v>
      </c>
      <c r="U126" s="26">
        <f>HLOOKUP($U$3,Database!$D$6:$OM$155,123,0)</f>
        <v>0</v>
      </c>
      <c r="V126" s="12">
        <f>HLOOKUP($W$2,Database!$D$6:$OM$155,123,0)</f>
        <v>0</v>
      </c>
      <c r="W126" s="26">
        <f>HLOOKUP($W$3,Database!$D$6:$OM$155,123,0)</f>
        <v>0</v>
      </c>
      <c r="Y126" s="381">
        <f t="shared" si="75"/>
        <v>33.5</v>
      </c>
      <c r="Z126" s="382">
        <f t="shared" si="76"/>
        <v>33.369999999999997</v>
      </c>
      <c r="AA126" s="382">
        <f t="shared" si="77"/>
        <v>33.49</v>
      </c>
      <c r="AB126" s="382">
        <f t="shared" si="78"/>
        <v>33.5</v>
      </c>
      <c r="AC126" s="324" t="str">
        <f t="shared" si="79"/>
        <v/>
      </c>
      <c r="AD126" s="324" t="str">
        <f t="shared" si="80"/>
        <v/>
      </c>
      <c r="AE126" s="324" t="str">
        <f t="shared" si="81"/>
        <v/>
      </c>
      <c r="AF126" s="324" t="str">
        <f t="shared" si="82"/>
        <v/>
      </c>
      <c r="AG126" s="324" t="str">
        <f t="shared" si="83"/>
        <v/>
      </c>
      <c r="AH126" s="324" t="str">
        <f t="shared" si="84"/>
        <v/>
      </c>
      <c r="AI126" s="362" t="str">
        <f t="shared" si="85"/>
        <v/>
      </c>
      <c r="AJ126" s="363">
        <f t="shared" si="86"/>
        <v>1</v>
      </c>
      <c r="AK126" s="382">
        <f t="shared" si="87"/>
        <v>0.13000000000000256</v>
      </c>
      <c r="AL126" s="382">
        <f t="shared" si="88"/>
        <v>33.369999999999997</v>
      </c>
      <c r="AM126" s="384">
        <f t="shared" si="89"/>
        <v>33.5</v>
      </c>
      <c r="AN126" s="28"/>
      <c r="AO126" s="385">
        <f t="shared" si="90"/>
        <v>33.435000000000002</v>
      </c>
      <c r="AP126" s="104">
        <f t="shared" si="91"/>
        <v>0</v>
      </c>
      <c r="AQ126" s="385">
        <f t="shared" si="92"/>
        <v>33.495000000000005</v>
      </c>
      <c r="AR126" s="104">
        <f t="shared" si="93"/>
        <v>0</v>
      </c>
      <c r="AS126" s="104">
        <f t="shared" si="94"/>
        <v>0</v>
      </c>
      <c r="AT126" s="104">
        <f t="shared" si="95"/>
        <v>0</v>
      </c>
      <c r="AU126" s="104">
        <f t="shared" si="96"/>
        <v>0</v>
      </c>
      <c r="AV126" s="104">
        <f t="shared" si="97"/>
        <v>0</v>
      </c>
      <c r="AW126" s="104">
        <f t="shared" si="98"/>
        <v>0</v>
      </c>
      <c r="AX126" s="104">
        <f t="shared" si="99"/>
        <v>0</v>
      </c>
    </row>
    <row r="127" spans="1:50" ht="18.75" customHeight="1" x14ac:dyDescent="0.4">
      <c r="A127" s="403" t="s">
        <v>399</v>
      </c>
      <c r="B127" s="404">
        <v>290</v>
      </c>
      <c r="C127" s="403" t="s">
        <v>60</v>
      </c>
      <c r="D127" s="12">
        <f>HLOOKUP($E$2,Database!$D$6:$OM$155,124,0)</f>
        <v>33.979999999999997</v>
      </c>
      <c r="E127" s="26">
        <f>HLOOKUP($E$3,Database!$D$6:$OM$155,124,0)</f>
        <v>0</v>
      </c>
      <c r="F127" s="12">
        <f>HLOOKUP($G$2,Database!$D$6:$OM$155,124,0)</f>
        <v>33.97</v>
      </c>
      <c r="G127" s="26">
        <f>HLOOKUP($G$3,Database!$D$6:$OM$155,124,0)</f>
        <v>0</v>
      </c>
      <c r="H127" s="12">
        <f>HLOOKUP($I$2,Database!$D$6:$OM$155,124,0)</f>
        <v>33.97</v>
      </c>
      <c r="I127" s="26">
        <f>HLOOKUP($I$3,Database!$D$6:$OM$155,124,0)</f>
        <v>0</v>
      </c>
      <c r="J127" s="12">
        <f>HLOOKUP($K$2,Database!$D$6:$OM$155,124,0)</f>
        <v>33.96</v>
      </c>
      <c r="K127" s="26">
        <f>HLOOKUP($K$3,Database!$D$6:$OM$155,124,0)</f>
        <v>0</v>
      </c>
      <c r="L127" s="12">
        <f>HLOOKUP($M$2,Database!$D$6:$OM$155,124,0)</f>
        <v>0</v>
      </c>
      <c r="M127" s="26">
        <f>HLOOKUP($M$3,Database!$D$6:$OM$155,124,0)</f>
        <v>0</v>
      </c>
      <c r="N127" s="12">
        <f>HLOOKUP($O$2,Database!$D$6:$OM$155,124,0)</f>
        <v>0</v>
      </c>
      <c r="O127" s="26">
        <f>HLOOKUP($O$3,Database!$D$6:$OM$155,124,0)</f>
        <v>0</v>
      </c>
      <c r="P127" s="12">
        <f>HLOOKUP($Q$2,Database!$D$6:$OM$155,124,0)</f>
        <v>0</v>
      </c>
      <c r="Q127" s="26">
        <f>HLOOKUP($Q$3,Database!$D$6:$OM$155,124,0)</f>
        <v>0</v>
      </c>
      <c r="R127" s="12">
        <f>HLOOKUP($S$2,Database!$D$6:$OM$155,124,0)</f>
        <v>0</v>
      </c>
      <c r="S127" s="26">
        <f>HLOOKUP($S$3,Database!$D$6:$OM$155,124,0)</f>
        <v>0</v>
      </c>
      <c r="T127" s="12">
        <f>HLOOKUP($U$2,Database!$D$6:$OM$155,124,0)</f>
        <v>0</v>
      </c>
      <c r="U127" s="26">
        <f>HLOOKUP($U$3,Database!$D$6:$OM$155,124,0)</f>
        <v>0</v>
      </c>
      <c r="V127" s="12">
        <f>HLOOKUP($W$2,Database!$D$6:$OM$155,124,0)</f>
        <v>0</v>
      </c>
      <c r="W127" s="26">
        <f>HLOOKUP($W$3,Database!$D$6:$OM$155,124,0)</f>
        <v>0</v>
      </c>
      <c r="Y127" s="381">
        <f t="shared" si="75"/>
        <v>33.979999999999997</v>
      </c>
      <c r="Z127" s="382">
        <f t="shared" si="76"/>
        <v>33.97</v>
      </c>
      <c r="AA127" s="382">
        <f t="shared" si="77"/>
        <v>33.97</v>
      </c>
      <c r="AB127" s="382">
        <f t="shared" si="78"/>
        <v>33.96</v>
      </c>
      <c r="AC127" s="324" t="str">
        <f t="shared" si="79"/>
        <v/>
      </c>
      <c r="AD127" s="324" t="str">
        <f t="shared" si="80"/>
        <v/>
      </c>
      <c r="AE127" s="324" t="str">
        <f t="shared" si="81"/>
        <v/>
      </c>
      <c r="AF127" s="324" t="str">
        <f t="shared" si="82"/>
        <v/>
      </c>
      <c r="AG127" s="324" t="str">
        <f t="shared" si="83"/>
        <v/>
      </c>
      <c r="AH127" s="324" t="str">
        <f t="shared" si="84"/>
        <v/>
      </c>
      <c r="AI127" s="362" t="str">
        <f t="shared" si="85"/>
        <v/>
      </c>
      <c r="AJ127" s="363" t="str">
        <f t="shared" si="86"/>
        <v/>
      </c>
      <c r="AK127" s="382">
        <f t="shared" si="87"/>
        <v>1.9999999999996021E-2</v>
      </c>
      <c r="AL127" s="382">
        <f t="shared" si="88"/>
        <v>33.96</v>
      </c>
      <c r="AM127" s="384">
        <f t="shared" si="89"/>
        <v>33.979999999999997</v>
      </c>
      <c r="AN127" s="28"/>
      <c r="AO127" s="385">
        <f t="shared" si="90"/>
        <v>33.974999999999994</v>
      </c>
      <c r="AP127" s="104">
        <f t="shared" si="91"/>
        <v>0</v>
      </c>
      <c r="AQ127" s="385">
        <f t="shared" si="92"/>
        <v>33.965000000000003</v>
      </c>
      <c r="AR127" s="104">
        <f t="shared" si="93"/>
        <v>0</v>
      </c>
      <c r="AS127" s="104">
        <f t="shared" si="94"/>
        <v>0</v>
      </c>
      <c r="AT127" s="104">
        <f t="shared" si="95"/>
        <v>0</v>
      </c>
      <c r="AU127" s="104">
        <f t="shared" si="96"/>
        <v>0</v>
      </c>
      <c r="AV127" s="104">
        <f t="shared" si="97"/>
        <v>0</v>
      </c>
      <c r="AW127" s="104">
        <f t="shared" si="98"/>
        <v>0</v>
      </c>
      <c r="AX127" s="104">
        <f t="shared" si="99"/>
        <v>0</v>
      </c>
    </row>
    <row r="128" spans="1:50" ht="18.75" customHeight="1" x14ac:dyDescent="0.4">
      <c r="A128" s="403" t="s">
        <v>400</v>
      </c>
      <c r="B128" s="404">
        <v>220</v>
      </c>
      <c r="C128" s="403" t="s">
        <v>94</v>
      </c>
      <c r="D128" s="12">
        <f>HLOOKUP($E$2,Database!$D$6:$OM$155,125,0)</f>
        <v>34.53</v>
      </c>
      <c r="E128" s="27">
        <f>HLOOKUP($E$3,Database!$D$6:$OM$155,125,0)</f>
        <v>1968359</v>
      </c>
      <c r="F128" s="12">
        <f>HLOOKUP($G$2,Database!$D$6:$OM$155,125,0)</f>
        <v>34.51</v>
      </c>
      <c r="G128" s="26">
        <f>HLOOKUP($G$3,Database!$D$6:$OM$155,125,0)</f>
        <v>684851</v>
      </c>
      <c r="H128" s="12">
        <f>HLOOKUP($I$2,Database!$D$6:$OM$155,125,0)</f>
        <v>34.520000000000003</v>
      </c>
      <c r="I128" s="26">
        <f>HLOOKUP($I$3,Database!$D$6:$OM$155,125,0)</f>
        <v>1825552</v>
      </c>
      <c r="J128" s="12">
        <f>HLOOKUP($K$2,Database!$D$6:$OM$155,125,0)</f>
        <v>34.520000000000003</v>
      </c>
      <c r="K128" s="26">
        <f>HLOOKUP($K$3,Database!$D$6:$OM$155,125,0)</f>
        <v>1914676</v>
      </c>
      <c r="L128" s="12">
        <f>HLOOKUP($M$2,Database!$D$6:$OM$155,125,0)</f>
        <v>0</v>
      </c>
      <c r="M128" s="26">
        <f>HLOOKUP($M$3,Database!$D$6:$OM$155,125,0)</f>
        <v>0</v>
      </c>
      <c r="N128" s="12">
        <f>HLOOKUP($O$2,Database!$D$6:$OM$155,125,0)</f>
        <v>0</v>
      </c>
      <c r="O128" s="26">
        <f>HLOOKUP($O$3,Database!$D$6:$OM$155,125,0)</f>
        <v>0</v>
      </c>
      <c r="P128" s="12">
        <f>HLOOKUP($Q$2,Database!$D$6:$OM$155,125,0)</f>
        <v>0</v>
      </c>
      <c r="Q128" s="26">
        <f>HLOOKUP($Q$3,Database!$D$6:$OM$155,125,0)</f>
        <v>0</v>
      </c>
      <c r="R128" s="12">
        <f>HLOOKUP($S$2,Database!$D$6:$OM$155,125,0)</f>
        <v>0</v>
      </c>
      <c r="S128" s="26">
        <f>HLOOKUP($S$3,Database!$D$6:$OM$155,125,0)</f>
        <v>0</v>
      </c>
      <c r="T128" s="12">
        <f>HLOOKUP($U$2,Database!$D$6:$OM$155,125,0)</f>
        <v>0</v>
      </c>
      <c r="U128" s="26">
        <f>HLOOKUP($U$3,Database!$D$6:$OM$155,125,0)</f>
        <v>0</v>
      </c>
      <c r="V128" s="12">
        <f>HLOOKUP($W$2,Database!$D$6:$OM$155,125,0)</f>
        <v>0</v>
      </c>
      <c r="W128" s="26">
        <f>HLOOKUP($W$3,Database!$D$6:$OM$155,125,0)</f>
        <v>0</v>
      </c>
      <c r="Y128" s="381">
        <f t="shared" si="75"/>
        <v>34.53</v>
      </c>
      <c r="Z128" s="382">
        <f t="shared" si="76"/>
        <v>34.51</v>
      </c>
      <c r="AA128" s="382">
        <f t="shared" si="77"/>
        <v>34.520000000000003</v>
      </c>
      <c r="AB128" s="382">
        <f t="shared" si="78"/>
        <v>34.520000000000003</v>
      </c>
      <c r="AC128" s="324" t="str">
        <f t="shared" si="79"/>
        <v/>
      </c>
      <c r="AD128" s="324" t="str">
        <f t="shared" si="80"/>
        <v/>
      </c>
      <c r="AE128" s="324" t="str">
        <f t="shared" si="81"/>
        <v/>
      </c>
      <c r="AF128" s="324" t="str">
        <f t="shared" si="82"/>
        <v/>
      </c>
      <c r="AG128" s="324" t="str">
        <f t="shared" si="83"/>
        <v/>
      </c>
      <c r="AH128" s="324" t="str">
        <f t="shared" si="84"/>
        <v/>
      </c>
      <c r="AI128" s="362" t="str">
        <f t="shared" si="85"/>
        <v/>
      </c>
      <c r="AJ128" s="363" t="str">
        <f t="shared" si="86"/>
        <v/>
      </c>
      <c r="AK128" s="382">
        <f t="shared" si="87"/>
        <v>2.0000000000003126E-2</v>
      </c>
      <c r="AL128" s="382">
        <f t="shared" si="88"/>
        <v>34.51</v>
      </c>
      <c r="AM128" s="384">
        <f t="shared" si="89"/>
        <v>34.53</v>
      </c>
      <c r="AN128" s="28"/>
      <c r="AO128" s="385">
        <f t="shared" si="90"/>
        <v>34.519999999999996</v>
      </c>
      <c r="AP128" s="104">
        <f t="shared" si="91"/>
        <v>1326605</v>
      </c>
      <c r="AQ128" s="385">
        <f t="shared" si="92"/>
        <v>34.520000000000003</v>
      </c>
      <c r="AR128" s="104">
        <f t="shared" si="93"/>
        <v>1870114</v>
      </c>
      <c r="AS128" s="104">
        <f t="shared" si="94"/>
        <v>0</v>
      </c>
      <c r="AT128" s="104">
        <f t="shared" si="95"/>
        <v>0</v>
      </c>
      <c r="AU128" s="104">
        <f t="shared" si="96"/>
        <v>0</v>
      </c>
      <c r="AV128" s="104">
        <f t="shared" si="97"/>
        <v>0</v>
      </c>
      <c r="AW128" s="104">
        <f t="shared" si="98"/>
        <v>0</v>
      </c>
      <c r="AX128" s="104">
        <f t="shared" si="99"/>
        <v>0</v>
      </c>
    </row>
    <row r="129" spans="1:50" ht="18.75" customHeight="1" x14ac:dyDescent="0.4">
      <c r="A129" s="403" t="s">
        <v>401</v>
      </c>
      <c r="B129" s="404">
        <v>234</v>
      </c>
      <c r="C129" s="403" t="s">
        <v>94</v>
      </c>
      <c r="D129" s="12">
        <f>HLOOKUP($E$2,Database!$D$6:$OM$155,126,0)</f>
        <v>36.89</v>
      </c>
      <c r="E129" s="27">
        <f>HLOOKUP($E$3,Database!$D$6:$OM$155,126,0)</f>
        <v>1028164</v>
      </c>
      <c r="F129" s="12">
        <f>HLOOKUP($G$2,Database!$D$6:$OM$155,126,0)</f>
        <v>36.89</v>
      </c>
      <c r="G129" s="27">
        <f>HLOOKUP($G$3,Database!$D$6:$OM$155,126,0)</f>
        <v>363726</v>
      </c>
      <c r="H129" s="12">
        <f>HLOOKUP($I$2,Database!$D$6:$OM$155,126,0)</f>
        <v>36.89</v>
      </c>
      <c r="I129" s="27">
        <f>HLOOKUP($I$3,Database!$D$6:$OM$155,126,0)</f>
        <v>912044</v>
      </c>
      <c r="J129" s="12">
        <f>HLOOKUP($K$2,Database!$D$6:$OM$155,126,0)</f>
        <v>36.89</v>
      </c>
      <c r="K129" s="27">
        <f>HLOOKUP($K$3,Database!$D$6:$OM$155,126,0)</f>
        <v>1073060</v>
      </c>
      <c r="L129" s="12">
        <f>HLOOKUP($M$2,Database!$D$6:$OM$155,126,0)</f>
        <v>0</v>
      </c>
      <c r="M129" s="27">
        <f>HLOOKUP($M$3,Database!$D$6:$OM$155,126,0)</f>
        <v>0</v>
      </c>
      <c r="N129" s="12">
        <f>HLOOKUP($O$2,Database!$D$6:$OM$155,126,0)</f>
        <v>0</v>
      </c>
      <c r="O129" s="27">
        <f>HLOOKUP($O$3,Database!$D$6:$OM$155,126,0)</f>
        <v>0</v>
      </c>
      <c r="P129" s="12">
        <f>HLOOKUP($Q$2,Database!$D$6:$OM$155,126,0)</f>
        <v>0</v>
      </c>
      <c r="Q129" s="27">
        <f>HLOOKUP($Q$3,Database!$D$6:$OM$155,126,0)</f>
        <v>0</v>
      </c>
      <c r="R129" s="12">
        <f>HLOOKUP($S$2,Database!$D$6:$OM$155,126,0)</f>
        <v>0</v>
      </c>
      <c r="S129" s="27">
        <f>HLOOKUP($S$3,Database!$D$6:$OM$155,126,0)</f>
        <v>0</v>
      </c>
      <c r="T129" s="12">
        <f>HLOOKUP($U$2,Database!$D$6:$OM$155,126,0)</f>
        <v>0</v>
      </c>
      <c r="U129" s="27">
        <f>HLOOKUP($U$3,Database!$D$6:$OM$155,126,0)</f>
        <v>0</v>
      </c>
      <c r="V129" s="12">
        <f>HLOOKUP($W$2,Database!$D$6:$OM$155,126,0)</f>
        <v>0</v>
      </c>
      <c r="W129" s="27">
        <f>HLOOKUP($W$3,Database!$D$6:$OM$155,126,0)</f>
        <v>0</v>
      </c>
      <c r="Y129" s="381">
        <f t="shared" si="75"/>
        <v>36.89</v>
      </c>
      <c r="Z129" s="382">
        <f t="shared" si="76"/>
        <v>36.89</v>
      </c>
      <c r="AA129" s="382">
        <f t="shared" si="77"/>
        <v>36.89</v>
      </c>
      <c r="AB129" s="382">
        <f t="shared" si="78"/>
        <v>36.89</v>
      </c>
      <c r="AC129" s="324" t="str">
        <f t="shared" si="79"/>
        <v/>
      </c>
      <c r="AD129" s="324" t="str">
        <f t="shared" si="80"/>
        <v/>
      </c>
      <c r="AE129" s="324" t="str">
        <f t="shared" si="81"/>
        <v/>
      </c>
      <c r="AF129" s="324" t="str">
        <f t="shared" si="82"/>
        <v/>
      </c>
      <c r="AG129" s="324" t="str">
        <f t="shared" si="83"/>
        <v/>
      </c>
      <c r="AH129" s="324" t="str">
        <f t="shared" si="84"/>
        <v/>
      </c>
      <c r="AI129" s="362" t="str">
        <f t="shared" si="85"/>
        <v/>
      </c>
      <c r="AJ129" s="363" t="str">
        <f t="shared" si="86"/>
        <v/>
      </c>
      <c r="AK129" s="383">
        <f t="shared" si="87"/>
        <v>0</v>
      </c>
      <c r="AL129" s="382">
        <f t="shared" si="88"/>
        <v>36.89</v>
      </c>
      <c r="AM129" s="384">
        <f t="shared" si="89"/>
        <v>36.89</v>
      </c>
      <c r="AN129" s="28"/>
      <c r="AO129" s="385">
        <f t="shared" si="90"/>
        <v>36.89</v>
      </c>
      <c r="AP129" s="104">
        <f t="shared" si="91"/>
        <v>695945</v>
      </c>
      <c r="AQ129" s="385">
        <f t="shared" si="92"/>
        <v>36.89</v>
      </c>
      <c r="AR129" s="104">
        <f t="shared" si="93"/>
        <v>992552</v>
      </c>
      <c r="AS129" s="104">
        <f t="shared" si="94"/>
        <v>0</v>
      </c>
      <c r="AT129" s="104">
        <f t="shared" si="95"/>
        <v>0</v>
      </c>
      <c r="AU129" s="104">
        <f t="shared" si="96"/>
        <v>0</v>
      </c>
      <c r="AV129" s="104">
        <f t="shared" si="97"/>
        <v>0</v>
      </c>
      <c r="AW129" s="104">
        <f t="shared" si="98"/>
        <v>0</v>
      </c>
      <c r="AX129" s="104">
        <f t="shared" si="99"/>
        <v>0</v>
      </c>
    </row>
    <row r="130" spans="1:50" ht="18.75" customHeight="1" x14ac:dyDescent="0.4">
      <c r="A130" s="403" t="s">
        <v>402</v>
      </c>
      <c r="B130" s="404">
        <v>74</v>
      </c>
      <c r="C130" s="403" t="s">
        <v>60</v>
      </c>
      <c r="D130" s="12">
        <f>HLOOKUP($E$2,Database!$D$6:$OM$155,127,0)</f>
        <v>36.82</v>
      </c>
      <c r="E130" s="27">
        <f>HLOOKUP($E$3,Database!$D$6:$OM$155,127,0)</f>
        <v>0</v>
      </c>
      <c r="F130" s="12">
        <f>HLOOKUP($G$2,Database!$D$6:$OM$155,127,0)</f>
        <v>36.81</v>
      </c>
      <c r="G130" s="27">
        <f>HLOOKUP($G$3,Database!$D$6:$OM$155,127,0)</f>
        <v>0</v>
      </c>
      <c r="H130" s="12">
        <f>HLOOKUP($I$2,Database!$D$6:$OM$155,127,0)</f>
        <v>36.81</v>
      </c>
      <c r="I130" s="27">
        <f>HLOOKUP($I$3,Database!$D$6:$OM$155,127,0)</f>
        <v>0</v>
      </c>
      <c r="J130" s="12">
        <f>HLOOKUP($K$2,Database!$D$6:$OM$155,127,0)</f>
        <v>36.81</v>
      </c>
      <c r="K130" s="27">
        <f>HLOOKUP($K$3,Database!$D$6:$OM$155,127,0)</f>
        <v>0</v>
      </c>
      <c r="L130" s="12">
        <f>HLOOKUP($M$2,Database!$D$6:$OM$155,127,0)</f>
        <v>0</v>
      </c>
      <c r="M130" s="27">
        <f>HLOOKUP($M$3,Database!$D$6:$OM$155,127,0)</f>
        <v>0</v>
      </c>
      <c r="N130" s="12">
        <f>HLOOKUP($O$2,Database!$D$6:$OM$155,127,0)</f>
        <v>0</v>
      </c>
      <c r="O130" s="27">
        <f>HLOOKUP($O$3,Database!$D$6:$OM$155,127,0)</f>
        <v>0</v>
      </c>
      <c r="P130" s="12">
        <f>HLOOKUP($Q$2,Database!$D$6:$OM$155,127,0)</f>
        <v>0</v>
      </c>
      <c r="Q130" s="27">
        <f>HLOOKUP($Q$3,Database!$D$6:$OM$155,127,0)</f>
        <v>0</v>
      </c>
      <c r="R130" s="12">
        <f>HLOOKUP($S$2,Database!$D$6:$OM$155,127,0)</f>
        <v>0</v>
      </c>
      <c r="S130" s="27">
        <f>HLOOKUP($S$3,Database!$D$6:$OM$155,127,0)</f>
        <v>0</v>
      </c>
      <c r="T130" s="12">
        <f>HLOOKUP($U$2,Database!$D$6:$OM$155,127,0)</f>
        <v>0</v>
      </c>
      <c r="U130" s="27">
        <f>HLOOKUP($U$3,Database!$D$6:$OM$155,127,0)</f>
        <v>0</v>
      </c>
      <c r="V130" s="12">
        <f>HLOOKUP($W$2,Database!$D$6:$OM$155,127,0)</f>
        <v>0</v>
      </c>
      <c r="W130" s="27">
        <f>HLOOKUP($W$3,Database!$D$6:$OM$155,127,0)</f>
        <v>0</v>
      </c>
      <c r="Y130" s="381">
        <f t="shared" si="75"/>
        <v>36.82</v>
      </c>
      <c r="Z130" s="382">
        <f t="shared" si="76"/>
        <v>36.81</v>
      </c>
      <c r="AA130" s="382">
        <f t="shared" si="77"/>
        <v>36.81</v>
      </c>
      <c r="AB130" s="382">
        <f t="shared" si="78"/>
        <v>36.81</v>
      </c>
      <c r="AC130" s="324" t="str">
        <f t="shared" si="79"/>
        <v/>
      </c>
      <c r="AD130" s="324" t="str">
        <f t="shared" si="80"/>
        <v/>
      </c>
      <c r="AE130" s="324" t="str">
        <f t="shared" si="81"/>
        <v/>
      </c>
      <c r="AF130" s="324" t="str">
        <f t="shared" si="82"/>
        <v/>
      </c>
      <c r="AG130" s="324" t="str">
        <f t="shared" si="83"/>
        <v/>
      </c>
      <c r="AH130" s="324" t="str">
        <f t="shared" si="84"/>
        <v/>
      </c>
      <c r="AI130" s="362" t="str">
        <f t="shared" si="85"/>
        <v/>
      </c>
      <c r="AJ130" s="363" t="str">
        <f t="shared" si="86"/>
        <v/>
      </c>
      <c r="AK130" s="382">
        <f t="shared" si="87"/>
        <v>9.9999999999980105E-3</v>
      </c>
      <c r="AL130" s="382">
        <f t="shared" si="88"/>
        <v>36.81</v>
      </c>
      <c r="AM130" s="384">
        <f t="shared" si="89"/>
        <v>36.82</v>
      </c>
      <c r="AN130" s="28"/>
      <c r="AO130" s="385">
        <f t="shared" si="90"/>
        <v>36.814999999999998</v>
      </c>
      <c r="AP130" s="104">
        <f t="shared" si="91"/>
        <v>0</v>
      </c>
      <c r="AQ130" s="385">
        <f t="shared" si="92"/>
        <v>36.81</v>
      </c>
      <c r="AR130" s="104">
        <f t="shared" si="93"/>
        <v>0</v>
      </c>
      <c r="AS130" s="104">
        <f t="shared" si="94"/>
        <v>0</v>
      </c>
      <c r="AT130" s="104">
        <f t="shared" si="95"/>
        <v>0</v>
      </c>
      <c r="AU130" s="104">
        <f t="shared" si="96"/>
        <v>0</v>
      </c>
      <c r="AV130" s="104">
        <f t="shared" si="97"/>
        <v>0</v>
      </c>
      <c r="AW130" s="104">
        <f t="shared" si="98"/>
        <v>0</v>
      </c>
      <c r="AX130" s="104">
        <f t="shared" si="99"/>
        <v>0</v>
      </c>
    </row>
    <row r="131" spans="1:50" ht="18.75" customHeight="1" x14ac:dyDescent="0.4">
      <c r="A131" s="403" t="s">
        <v>403</v>
      </c>
      <c r="B131" s="404">
        <v>234</v>
      </c>
      <c r="C131" s="403" t="s">
        <v>60</v>
      </c>
      <c r="D131" s="12">
        <f>HLOOKUP($E$2,Database!$D$6:$OM$155,128,0)</f>
        <v>36.89</v>
      </c>
      <c r="E131" s="27">
        <f>HLOOKUP($E$3,Database!$D$6:$OM$155,128,0)</f>
        <v>24767</v>
      </c>
      <c r="F131" s="12">
        <f>HLOOKUP($G$2,Database!$D$6:$OM$155,128,0)</f>
        <v>36.89</v>
      </c>
      <c r="G131" s="27">
        <f>HLOOKUP($G$3,Database!$D$6:$OM$155,128,0)</f>
        <v>11986</v>
      </c>
      <c r="H131" s="12">
        <f>HLOOKUP($I$2,Database!$D$6:$OM$155,128,0)</f>
        <v>36.89</v>
      </c>
      <c r="I131" s="27">
        <f>HLOOKUP($I$3,Database!$D$6:$OM$155,128,0)</f>
        <v>33371</v>
      </c>
      <c r="J131" s="12">
        <f>HLOOKUP($K$2,Database!$D$6:$OM$155,128,0)</f>
        <v>36.89</v>
      </c>
      <c r="K131" s="27">
        <f>HLOOKUP($K$3,Database!$D$6:$OM$155,128,0)</f>
        <v>32500</v>
      </c>
      <c r="L131" s="12">
        <f>HLOOKUP($M$2,Database!$D$6:$OM$155,128,0)</f>
        <v>0</v>
      </c>
      <c r="M131" s="27">
        <f>HLOOKUP($M$3,Database!$D$6:$OM$155,128,0)</f>
        <v>0</v>
      </c>
      <c r="N131" s="12">
        <f>HLOOKUP($O$2,Database!$D$6:$OM$155,128,0)</f>
        <v>0</v>
      </c>
      <c r="O131" s="27">
        <f>HLOOKUP($O$3,Database!$D$6:$OM$155,128,0)</f>
        <v>0</v>
      </c>
      <c r="P131" s="12">
        <f>HLOOKUP($Q$2,Database!$D$6:$OM$155,128,0)</f>
        <v>0</v>
      </c>
      <c r="Q131" s="27">
        <f>HLOOKUP($Q$3,Database!$D$6:$OM$155,128,0)</f>
        <v>0</v>
      </c>
      <c r="R131" s="12">
        <f>HLOOKUP($S$2,Database!$D$6:$OM$155,128,0)</f>
        <v>0</v>
      </c>
      <c r="S131" s="27">
        <f>HLOOKUP($S$3,Database!$D$6:$OM$155,128,0)</f>
        <v>0</v>
      </c>
      <c r="T131" s="12">
        <f>HLOOKUP($U$2,Database!$D$6:$OM$155,128,0)</f>
        <v>0</v>
      </c>
      <c r="U131" s="27">
        <f>HLOOKUP($U$3,Database!$D$6:$OM$155,128,0)</f>
        <v>0</v>
      </c>
      <c r="V131" s="12">
        <f>HLOOKUP($W$2,Database!$D$6:$OM$155,128,0)</f>
        <v>0</v>
      </c>
      <c r="W131" s="27">
        <f>HLOOKUP($W$3,Database!$D$6:$OM$155,128,0)</f>
        <v>0</v>
      </c>
      <c r="Y131" s="381">
        <f t="shared" si="75"/>
        <v>36.89</v>
      </c>
      <c r="Z131" s="382">
        <f t="shared" si="76"/>
        <v>36.89</v>
      </c>
      <c r="AA131" s="382">
        <f t="shared" si="77"/>
        <v>36.89</v>
      </c>
      <c r="AB131" s="382">
        <f t="shared" si="78"/>
        <v>36.89</v>
      </c>
      <c r="AC131" s="324" t="str">
        <f t="shared" si="79"/>
        <v/>
      </c>
      <c r="AD131" s="324" t="str">
        <f t="shared" si="80"/>
        <v/>
      </c>
      <c r="AE131" s="324" t="str">
        <f t="shared" si="81"/>
        <v/>
      </c>
      <c r="AF131" s="324" t="str">
        <f t="shared" si="82"/>
        <v/>
      </c>
      <c r="AG131" s="324" t="str">
        <f t="shared" si="83"/>
        <v/>
      </c>
      <c r="AH131" s="324" t="str">
        <f t="shared" si="84"/>
        <v/>
      </c>
      <c r="AI131" s="362" t="str">
        <f t="shared" si="85"/>
        <v/>
      </c>
      <c r="AJ131" s="363" t="str">
        <f t="shared" si="86"/>
        <v/>
      </c>
      <c r="AK131" s="383">
        <f t="shared" si="87"/>
        <v>0</v>
      </c>
      <c r="AL131" s="382">
        <f t="shared" si="88"/>
        <v>36.89</v>
      </c>
      <c r="AM131" s="384">
        <f t="shared" si="89"/>
        <v>36.89</v>
      </c>
      <c r="AN131" s="28"/>
      <c r="AO131" s="385">
        <f t="shared" si="90"/>
        <v>36.89</v>
      </c>
      <c r="AP131" s="385">
        <f t="shared" si="91"/>
        <v>18376.5</v>
      </c>
      <c r="AQ131" s="385">
        <f t="shared" si="92"/>
        <v>36.89</v>
      </c>
      <c r="AR131" s="385">
        <f t="shared" si="93"/>
        <v>32935.5</v>
      </c>
      <c r="AS131" s="104">
        <f t="shared" si="94"/>
        <v>0</v>
      </c>
      <c r="AT131" s="104">
        <f t="shared" si="95"/>
        <v>0</v>
      </c>
      <c r="AU131" s="104">
        <f t="shared" si="96"/>
        <v>0</v>
      </c>
      <c r="AV131" s="104">
        <f t="shared" si="97"/>
        <v>0</v>
      </c>
      <c r="AW131" s="104">
        <f t="shared" si="98"/>
        <v>0</v>
      </c>
      <c r="AX131" s="104">
        <f t="shared" si="99"/>
        <v>0</v>
      </c>
    </row>
    <row r="132" spans="1:50" ht="18.75" customHeight="1" x14ac:dyDescent="0.4">
      <c r="A132" s="403" t="s">
        <v>404</v>
      </c>
      <c r="B132" s="404">
        <v>74</v>
      </c>
      <c r="C132" s="403" t="s">
        <v>60</v>
      </c>
      <c r="D132" s="12">
        <f>HLOOKUP($E$2,Database!$D$6:$OM$155,129,0)</f>
        <v>38.840000000000003</v>
      </c>
      <c r="E132" s="27">
        <f>HLOOKUP($E$3,Database!$D$6:$OM$155,129,0)</f>
        <v>0</v>
      </c>
      <c r="F132" s="12">
        <f>HLOOKUP($G$2,Database!$D$6:$OM$155,129,0)</f>
        <v>38.950000000000003</v>
      </c>
      <c r="G132" s="27">
        <f>HLOOKUP($G$3,Database!$D$6:$OM$155,129,0)</f>
        <v>0</v>
      </c>
      <c r="H132" s="12">
        <f>HLOOKUP($I$2,Database!$D$6:$OM$155,129,0)</f>
        <v>38.950000000000003</v>
      </c>
      <c r="I132" s="27">
        <f>HLOOKUP($I$3,Database!$D$6:$OM$155,129,0)</f>
        <v>0</v>
      </c>
      <c r="J132" s="12">
        <f>HLOOKUP($K$2,Database!$D$6:$OM$155,129,0)</f>
        <v>38.950000000000003</v>
      </c>
      <c r="K132" s="27">
        <f>HLOOKUP($K$3,Database!$D$6:$OM$155,129,0)</f>
        <v>0</v>
      </c>
      <c r="L132" s="12">
        <f>HLOOKUP($M$2,Database!$D$6:$OM$155,129,0)</f>
        <v>0</v>
      </c>
      <c r="M132" s="27">
        <f>HLOOKUP($M$3,Database!$D$6:$OM$155,129,0)</f>
        <v>0</v>
      </c>
      <c r="N132" s="12">
        <f>HLOOKUP($O$2,Database!$D$6:$OM$155,129,0)</f>
        <v>0</v>
      </c>
      <c r="O132" s="27">
        <f>HLOOKUP($O$3,Database!$D$6:$OM$155,129,0)</f>
        <v>0</v>
      </c>
      <c r="P132" s="12">
        <f>HLOOKUP($Q$2,Database!$D$6:$OM$155,129,0)</f>
        <v>0</v>
      </c>
      <c r="Q132" s="27">
        <f>HLOOKUP($Q$3,Database!$D$6:$OM$155,129,0)</f>
        <v>0</v>
      </c>
      <c r="R132" s="12">
        <f>HLOOKUP($S$2,Database!$D$6:$OM$155,129,0)</f>
        <v>0</v>
      </c>
      <c r="S132" s="27">
        <f>HLOOKUP($S$3,Database!$D$6:$OM$155,129,0)</f>
        <v>0</v>
      </c>
      <c r="T132" s="12">
        <f>HLOOKUP($U$2,Database!$D$6:$OM$155,129,0)</f>
        <v>0</v>
      </c>
      <c r="U132" s="27">
        <f>HLOOKUP($U$3,Database!$D$6:$OM$155,129,0)</f>
        <v>0</v>
      </c>
      <c r="V132" s="12">
        <f>HLOOKUP($W$2,Database!$D$6:$OM$155,129,0)</f>
        <v>0</v>
      </c>
      <c r="W132" s="27">
        <f>HLOOKUP($W$3,Database!$D$6:$OM$155,129,0)</f>
        <v>0</v>
      </c>
      <c r="Y132" s="381">
        <f t="shared" si="75"/>
        <v>38.840000000000003</v>
      </c>
      <c r="Z132" s="382">
        <f t="shared" si="76"/>
        <v>38.950000000000003</v>
      </c>
      <c r="AA132" s="382">
        <f t="shared" si="77"/>
        <v>38.950000000000003</v>
      </c>
      <c r="AB132" s="382">
        <f t="shared" si="78"/>
        <v>38.950000000000003</v>
      </c>
      <c r="AC132" s="324" t="str">
        <f t="shared" si="79"/>
        <v/>
      </c>
      <c r="AD132" s="324" t="str">
        <f t="shared" si="80"/>
        <v/>
      </c>
      <c r="AE132" s="324" t="str">
        <f t="shared" si="81"/>
        <v/>
      </c>
      <c r="AF132" s="324" t="str">
        <f t="shared" si="82"/>
        <v/>
      </c>
      <c r="AG132" s="324" t="str">
        <f t="shared" si="83"/>
        <v/>
      </c>
      <c r="AH132" s="324" t="str">
        <f t="shared" si="84"/>
        <v/>
      </c>
      <c r="AI132" s="362" t="str">
        <f t="shared" si="85"/>
        <v/>
      </c>
      <c r="AJ132" s="363">
        <f t="shared" si="86"/>
        <v>1</v>
      </c>
      <c r="AK132" s="382">
        <f t="shared" si="87"/>
        <v>0.10999999999999943</v>
      </c>
      <c r="AL132" s="382">
        <f t="shared" si="88"/>
        <v>38.840000000000003</v>
      </c>
      <c r="AM132" s="384">
        <f t="shared" si="89"/>
        <v>38.950000000000003</v>
      </c>
      <c r="AN132" s="28"/>
      <c r="AO132" s="385">
        <f t="shared" si="90"/>
        <v>38.895000000000003</v>
      </c>
      <c r="AP132" s="104">
        <f t="shared" si="91"/>
        <v>0</v>
      </c>
      <c r="AQ132" s="385">
        <f t="shared" si="92"/>
        <v>38.950000000000003</v>
      </c>
      <c r="AR132" s="104">
        <f t="shared" si="93"/>
        <v>0</v>
      </c>
      <c r="AS132" s="104">
        <f t="shared" si="94"/>
        <v>0</v>
      </c>
      <c r="AT132" s="104">
        <f t="shared" si="95"/>
        <v>0</v>
      </c>
      <c r="AU132" s="104">
        <f t="shared" si="96"/>
        <v>0</v>
      </c>
      <c r="AV132" s="104">
        <f t="shared" si="97"/>
        <v>0</v>
      </c>
      <c r="AW132" s="104">
        <f t="shared" si="98"/>
        <v>0</v>
      </c>
      <c r="AX132" s="104">
        <f t="shared" si="99"/>
        <v>0</v>
      </c>
    </row>
    <row r="133" spans="1:50" ht="18.75" customHeight="1" x14ac:dyDescent="0.4">
      <c r="A133" s="403" t="s">
        <v>405</v>
      </c>
      <c r="B133" s="404">
        <v>230</v>
      </c>
      <c r="C133" s="403" t="s">
        <v>94</v>
      </c>
      <c r="D133" s="12">
        <f>HLOOKUP($E$2,Database!$D$6:$OM$155,130,0)</f>
        <v>37.869999999999997</v>
      </c>
      <c r="E133" s="27">
        <f>HLOOKUP($E$3,Database!$D$6:$OM$155,130,0)</f>
        <v>19210</v>
      </c>
      <c r="F133" s="12">
        <f>HLOOKUP($G$2,Database!$D$6:$OM$155,130,0)</f>
        <v>37.97</v>
      </c>
      <c r="G133" s="27">
        <f>HLOOKUP($G$3,Database!$D$6:$OM$155,130,0)</f>
        <v>16799</v>
      </c>
      <c r="H133" s="12">
        <f>HLOOKUP($I$2,Database!$D$6:$OM$155,130,0)</f>
        <v>37.97</v>
      </c>
      <c r="I133" s="27">
        <f>HLOOKUP($I$3,Database!$D$6:$OM$155,130,0)</f>
        <v>44700</v>
      </c>
      <c r="J133" s="12">
        <f>HLOOKUP($K$2,Database!$D$6:$OM$155,130,0)</f>
        <v>37.86</v>
      </c>
      <c r="K133" s="27">
        <f>HLOOKUP($K$3,Database!$D$6:$OM$155,130,0)</f>
        <v>47269</v>
      </c>
      <c r="L133" s="12">
        <f>HLOOKUP($M$2,Database!$D$6:$OM$155,130,0)</f>
        <v>0</v>
      </c>
      <c r="M133" s="27">
        <f>HLOOKUP($M$3,Database!$D$6:$OM$155,130,0)</f>
        <v>0</v>
      </c>
      <c r="N133" s="12">
        <f>HLOOKUP($O$2,Database!$D$6:$OM$155,130,0)</f>
        <v>0</v>
      </c>
      <c r="O133" s="27">
        <f>HLOOKUP($O$3,Database!$D$6:$OM$155,130,0)</f>
        <v>0</v>
      </c>
      <c r="P133" s="12">
        <f>HLOOKUP($Q$2,Database!$D$6:$OM$155,130,0)</f>
        <v>0</v>
      </c>
      <c r="Q133" s="27">
        <f>HLOOKUP($Q$3,Database!$D$6:$OM$155,130,0)</f>
        <v>0</v>
      </c>
      <c r="R133" s="12">
        <f>HLOOKUP($S$2,Database!$D$6:$OM$155,130,0)</f>
        <v>0</v>
      </c>
      <c r="S133" s="27">
        <f>HLOOKUP($S$3,Database!$D$6:$OM$155,130,0)</f>
        <v>0</v>
      </c>
      <c r="T133" s="12">
        <f>HLOOKUP($U$2,Database!$D$6:$OM$155,130,0)</f>
        <v>0</v>
      </c>
      <c r="U133" s="27">
        <f>HLOOKUP($U$3,Database!$D$6:$OM$155,130,0)</f>
        <v>0</v>
      </c>
      <c r="V133" s="12">
        <f>HLOOKUP($W$2,Database!$D$6:$OM$155,130,0)</f>
        <v>0</v>
      </c>
      <c r="W133" s="27">
        <f>HLOOKUP($W$3,Database!$D$6:$OM$155,130,0)</f>
        <v>0</v>
      </c>
      <c r="Y133" s="381">
        <f t="shared" si="75"/>
        <v>37.869999999999997</v>
      </c>
      <c r="Z133" s="382">
        <f t="shared" si="76"/>
        <v>37.97</v>
      </c>
      <c r="AA133" s="382">
        <f t="shared" si="77"/>
        <v>37.97</v>
      </c>
      <c r="AB133" s="382">
        <f t="shared" si="78"/>
        <v>37.86</v>
      </c>
      <c r="AC133" s="324" t="str">
        <f t="shared" si="79"/>
        <v/>
      </c>
      <c r="AD133" s="324" t="str">
        <f t="shared" si="80"/>
        <v/>
      </c>
      <c r="AE133" s="324" t="str">
        <f t="shared" si="81"/>
        <v/>
      </c>
      <c r="AF133" s="324" t="str">
        <f t="shared" si="82"/>
        <v/>
      </c>
      <c r="AG133" s="324" t="str">
        <f t="shared" si="83"/>
        <v/>
      </c>
      <c r="AH133" s="324" t="str">
        <f t="shared" si="84"/>
        <v/>
      </c>
      <c r="AI133" s="362" t="str">
        <f t="shared" si="85"/>
        <v/>
      </c>
      <c r="AJ133" s="363">
        <f t="shared" si="86"/>
        <v>1</v>
      </c>
      <c r="AK133" s="382">
        <f t="shared" si="87"/>
        <v>0.10999999999999943</v>
      </c>
      <c r="AL133" s="382">
        <f t="shared" si="88"/>
        <v>37.86</v>
      </c>
      <c r="AM133" s="384">
        <f t="shared" si="89"/>
        <v>37.97</v>
      </c>
      <c r="AN133" s="28"/>
      <c r="AO133" s="385">
        <f t="shared" si="90"/>
        <v>37.92</v>
      </c>
      <c r="AP133" s="385">
        <f t="shared" si="91"/>
        <v>18004.5</v>
      </c>
      <c r="AQ133" s="385">
        <f t="shared" si="92"/>
        <v>37.914999999999999</v>
      </c>
      <c r="AR133" s="385">
        <f t="shared" si="93"/>
        <v>45984.5</v>
      </c>
      <c r="AS133" s="104">
        <f t="shared" si="94"/>
        <v>0</v>
      </c>
      <c r="AT133" s="104">
        <f t="shared" si="95"/>
        <v>0</v>
      </c>
      <c r="AU133" s="104">
        <f t="shared" si="96"/>
        <v>0</v>
      </c>
      <c r="AV133" s="104">
        <f t="shared" si="97"/>
        <v>0</v>
      </c>
      <c r="AW133" s="104">
        <f t="shared" si="98"/>
        <v>0</v>
      </c>
      <c r="AX133" s="104">
        <f t="shared" si="99"/>
        <v>0</v>
      </c>
    </row>
    <row r="134" spans="1:50" ht="18.75" customHeight="1" x14ac:dyDescent="0.4">
      <c r="A134" s="403" t="s">
        <v>406</v>
      </c>
      <c r="B134" s="404">
        <v>234</v>
      </c>
      <c r="C134" s="403" t="s">
        <v>60</v>
      </c>
      <c r="D134" s="12">
        <f>HLOOKUP($E$2,Database!$D$6:$OM$155,131,0)</f>
        <v>37.92</v>
      </c>
      <c r="E134" s="27">
        <f>HLOOKUP($E$3,Database!$D$6:$OM$155,131,0)</f>
        <v>15918</v>
      </c>
      <c r="F134" s="12">
        <f>HLOOKUP($G$2,Database!$D$6:$OM$155,131,0)</f>
        <v>37.909999999999997</v>
      </c>
      <c r="G134" s="27">
        <f>HLOOKUP($G$3,Database!$D$6:$OM$155,131,0)</f>
        <v>7445</v>
      </c>
      <c r="H134" s="12">
        <f>HLOOKUP($I$2,Database!$D$6:$OM$155,131,0)</f>
        <v>37.909999999999997</v>
      </c>
      <c r="I134" s="27">
        <f>HLOOKUP($I$3,Database!$D$6:$OM$155,131,0)</f>
        <v>20553</v>
      </c>
      <c r="J134" s="12">
        <f>HLOOKUP($K$2,Database!$D$6:$OM$155,131,0)</f>
        <v>37.909999999999997</v>
      </c>
      <c r="K134" s="27">
        <f>HLOOKUP($K$3,Database!$D$6:$OM$155,131,0)</f>
        <v>22579</v>
      </c>
      <c r="L134" s="12">
        <f>HLOOKUP($M$2,Database!$D$6:$OM$155,131,0)</f>
        <v>0</v>
      </c>
      <c r="M134" s="27">
        <f>HLOOKUP($M$3,Database!$D$6:$OM$155,131,0)</f>
        <v>0</v>
      </c>
      <c r="N134" s="12">
        <f>HLOOKUP($O$2,Database!$D$6:$OM$155,131,0)</f>
        <v>0</v>
      </c>
      <c r="O134" s="27">
        <f>HLOOKUP($O$3,Database!$D$6:$OM$155,131,0)</f>
        <v>0</v>
      </c>
      <c r="P134" s="12">
        <f>HLOOKUP($Q$2,Database!$D$6:$OM$155,131,0)</f>
        <v>0</v>
      </c>
      <c r="Q134" s="27">
        <f>HLOOKUP($Q$3,Database!$D$6:$OM$155,131,0)</f>
        <v>0</v>
      </c>
      <c r="R134" s="12">
        <f>HLOOKUP($S$2,Database!$D$6:$OM$155,131,0)</f>
        <v>0</v>
      </c>
      <c r="S134" s="27">
        <f>HLOOKUP($S$3,Database!$D$6:$OM$155,131,0)</f>
        <v>0</v>
      </c>
      <c r="T134" s="12">
        <f>HLOOKUP($U$2,Database!$D$6:$OM$155,131,0)</f>
        <v>0</v>
      </c>
      <c r="U134" s="27">
        <f>HLOOKUP($U$3,Database!$D$6:$OM$155,131,0)</f>
        <v>0</v>
      </c>
      <c r="V134" s="12">
        <f>HLOOKUP($W$2,Database!$D$6:$OM$155,131,0)</f>
        <v>0</v>
      </c>
      <c r="W134" s="27">
        <f>HLOOKUP($W$3,Database!$D$6:$OM$155,131,0)</f>
        <v>0</v>
      </c>
      <c r="Y134" s="381">
        <f t="shared" si="75"/>
        <v>37.92</v>
      </c>
      <c r="Z134" s="382">
        <f t="shared" si="76"/>
        <v>37.909999999999997</v>
      </c>
      <c r="AA134" s="382">
        <f t="shared" si="77"/>
        <v>37.909999999999997</v>
      </c>
      <c r="AB134" s="382">
        <f t="shared" si="78"/>
        <v>37.909999999999997</v>
      </c>
      <c r="AC134" s="324" t="str">
        <f t="shared" si="79"/>
        <v/>
      </c>
      <c r="AD134" s="324" t="str">
        <f t="shared" si="80"/>
        <v/>
      </c>
      <c r="AE134" s="324" t="str">
        <f t="shared" si="81"/>
        <v/>
      </c>
      <c r="AF134" s="324" t="str">
        <f t="shared" si="82"/>
        <v/>
      </c>
      <c r="AG134" s="324" t="str">
        <f t="shared" si="83"/>
        <v/>
      </c>
      <c r="AH134" s="324" t="str">
        <f t="shared" si="84"/>
        <v/>
      </c>
      <c r="AI134" s="362" t="str">
        <f t="shared" si="85"/>
        <v/>
      </c>
      <c r="AJ134" s="363" t="str">
        <f t="shared" si="86"/>
        <v/>
      </c>
      <c r="AK134" s="382">
        <f t="shared" si="87"/>
        <v>1.0000000000005116E-2</v>
      </c>
      <c r="AL134" s="382">
        <f t="shared" si="88"/>
        <v>37.909999999999997</v>
      </c>
      <c r="AM134" s="384">
        <f t="shared" si="89"/>
        <v>37.92</v>
      </c>
      <c r="AN134" s="28"/>
      <c r="AO134" s="385">
        <f t="shared" si="90"/>
        <v>37.914999999999999</v>
      </c>
      <c r="AP134" s="385">
        <f t="shared" si="91"/>
        <v>11681.5</v>
      </c>
      <c r="AQ134" s="385">
        <f t="shared" si="92"/>
        <v>37.909999999999997</v>
      </c>
      <c r="AR134" s="104">
        <f t="shared" si="93"/>
        <v>21566</v>
      </c>
      <c r="AS134" s="104">
        <f t="shared" si="94"/>
        <v>0</v>
      </c>
      <c r="AT134" s="104">
        <f t="shared" si="95"/>
        <v>0</v>
      </c>
      <c r="AU134" s="104">
        <f t="shared" si="96"/>
        <v>0</v>
      </c>
      <c r="AV134" s="104">
        <f t="shared" si="97"/>
        <v>0</v>
      </c>
      <c r="AW134" s="104">
        <f t="shared" si="98"/>
        <v>0</v>
      </c>
      <c r="AX134" s="104">
        <f t="shared" si="99"/>
        <v>0</v>
      </c>
    </row>
    <row r="135" spans="1:50" ht="18.75" customHeight="1" x14ac:dyDescent="0.4">
      <c r="A135" s="403" t="s">
        <v>407</v>
      </c>
      <c r="B135" s="404">
        <v>231</v>
      </c>
      <c r="C135" s="403" t="s">
        <v>60</v>
      </c>
      <c r="D135" s="12">
        <f>HLOOKUP($E$2,Database!$D$6:$OM$155,132,0)</f>
        <v>38.75</v>
      </c>
      <c r="E135" s="27">
        <f>HLOOKUP($E$3,Database!$D$6:$OM$155,132,0)</f>
        <v>10829</v>
      </c>
      <c r="F135" s="12">
        <f>HLOOKUP($G$2,Database!$D$6:$OM$155,132,0)</f>
        <v>38.729999999999997</v>
      </c>
      <c r="G135" s="27">
        <f>HLOOKUP($G$3,Database!$D$6:$OM$155,132,0)</f>
        <v>978</v>
      </c>
      <c r="H135" s="12">
        <f>HLOOKUP($I$2,Database!$D$6:$OM$155,132,0)</f>
        <v>38.729999999999997</v>
      </c>
      <c r="I135" s="27">
        <f>HLOOKUP($I$3,Database!$D$6:$OM$155,132,0)</f>
        <v>2480</v>
      </c>
      <c r="J135" s="12">
        <f>HLOOKUP($K$2,Database!$D$6:$OM$155,132,0)</f>
        <v>38.729999999999997</v>
      </c>
      <c r="K135" s="27">
        <f>HLOOKUP($K$3,Database!$D$6:$OM$155,132,0)</f>
        <v>2704</v>
      </c>
      <c r="L135" s="12">
        <f>HLOOKUP($M$2,Database!$D$6:$OM$155,132,0)</f>
        <v>0</v>
      </c>
      <c r="M135" s="27">
        <f>HLOOKUP($M$3,Database!$D$6:$OM$155,132,0)</f>
        <v>0</v>
      </c>
      <c r="N135" s="12">
        <f>HLOOKUP($O$2,Database!$D$6:$OM$155,132,0)</f>
        <v>0</v>
      </c>
      <c r="O135" s="27">
        <f>HLOOKUP($O$3,Database!$D$6:$OM$155,132,0)</f>
        <v>0</v>
      </c>
      <c r="P135" s="12">
        <f>HLOOKUP($Q$2,Database!$D$6:$OM$155,132,0)</f>
        <v>0</v>
      </c>
      <c r="Q135" s="27">
        <f>HLOOKUP($Q$3,Database!$D$6:$OM$155,132,0)</f>
        <v>0</v>
      </c>
      <c r="R135" s="12">
        <f>HLOOKUP($S$2,Database!$D$6:$OM$155,132,0)</f>
        <v>0</v>
      </c>
      <c r="S135" s="27">
        <f>HLOOKUP($S$3,Database!$D$6:$OM$155,132,0)</f>
        <v>0</v>
      </c>
      <c r="T135" s="12">
        <f>HLOOKUP($U$2,Database!$D$6:$OM$155,132,0)</f>
        <v>0</v>
      </c>
      <c r="U135" s="27">
        <f>HLOOKUP($U$3,Database!$D$6:$OM$155,132,0)</f>
        <v>0</v>
      </c>
      <c r="V135" s="12">
        <f>HLOOKUP($W$2,Database!$D$6:$OM$155,132,0)</f>
        <v>0</v>
      </c>
      <c r="W135" s="27">
        <f>HLOOKUP($W$3,Database!$D$6:$OM$155,132,0)</f>
        <v>0</v>
      </c>
      <c r="Y135" s="381">
        <f t="shared" si="75"/>
        <v>38.75</v>
      </c>
      <c r="Z135" s="382">
        <f t="shared" si="76"/>
        <v>38.729999999999997</v>
      </c>
      <c r="AA135" s="382">
        <f t="shared" si="77"/>
        <v>38.729999999999997</v>
      </c>
      <c r="AB135" s="382">
        <f t="shared" si="78"/>
        <v>38.729999999999997</v>
      </c>
      <c r="AC135" s="324" t="str">
        <f t="shared" si="79"/>
        <v/>
      </c>
      <c r="AD135" s="324" t="str">
        <f t="shared" si="80"/>
        <v/>
      </c>
      <c r="AE135" s="324" t="str">
        <f t="shared" si="81"/>
        <v/>
      </c>
      <c r="AF135" s="324" t="str">
        <f t="shared" si="82"/>
        <v/>
      </c>
      <c r="AG135" s="324" t="str">
        <f t="shared" si="83"/>
        <v/>
      </c>
      <c r="AH135" s="324" t="str">
        <f t="shared" si="84"/>
        <v/>
      </c>
      <c r="AI135" s="362" t="str">
        <f t="shared" si="85"/>
        <v/>
      </c>
      <c r="AJ135" s="363" t="str">
        <f t="shared" si="86"/>
        <v/>
      </c>
      <c r="AK135" s="382">
        <f t="shared" si="87"/>
        <v>2.0000000000003126E-2</v>
      </c>
      <c r="AL135" s="382">
        <f t="shared" si="88"/>
        <v>38.729999999999997</v>
      </c>
      <c r="AM135" s="384">
        <f t="shared" si="89"/>
        <v>38.75</v>
      </c>
      <c r="AN135" s="28"/>
      <c r="AO135" s="385">
        <f t="shared" si="90"/>
        <v>38.739999999999995</v>
      </c>
      <c r="AP135" s="385">
        <f t="shared" si="91"/>
        <v>5903.5</v>
      </c>
      <c r="AQ135" s="385">
        <f t="shared" si="92"/>
        <v>38.729999999999997</v>
      </c>
      <c r="AR135" s="104">
        <f t="shared" si="93"/>
        <v>2592</v>
      </c>
      <c r="AS135" s="104">
        <f t="shared" si="94"/>
        <v>0</v>
      </c>
      <c r="AT135" s="104">
        <f t="shared" si="95"/>
        <v>0</v>
      </c>
      <c r="AU135" s="104">
        <f t="shared" si="96"/>
        <v>0</v>
      </c>
      <c r="AV135" s="104">
        <f t="shared" si="97"/>
        <v>0</v>
      </c>
      <c r="AW135" s="104">
        <f t="shared" si="98"/>
        <v>0</v>
      </c>
      <c r="AX135" s="104">
        <f t="shared" si="99"/>
        <v>0</v>
      </c>
    </row>
    <row r="136" spans="1:50" ht="18.75" customHeight="1" x14ac:dyDescent="0.4">
      <c r="A136" s="403" t="s">
        <v>408</v>
      </c>
      <c r="B136" s="404">
        <v>191</v>
      </c>
      <c r="C136" s="403" t="s">
        <v>60</v>
      </c>
      <c r="D136" s="12">
        <f>HLOOKUP($E$2,Database!$D$6:$OM$155,133,0)</f>
        <v>39.340000000000003</v>
      </c>
      <c r="E136" s="27">
        <f>HLOOKUP($E$3,Database!$D$6:$OM$155,133,0)</f>
        <v>5276</v>
      </c>
      <c r="F136" s="12">
        <f>HLOOKUP($G$2,Database!$D$6:$OM$155,133,0)</f>
        <v>39.299999999999997</v>
      </c>
      <c r="G136" s="27">
        <f>HLOOKUP($G$3,Database!$D$6:$OM$155,133,0)</f>
        <v>1880</v>
      </c>
      <c r="H136" s="12">
        <f>HLOOKUP($I$2,Database!$D$6:$OM$155,133,0)</f>
        <v>39.31</v>
      </c>
      <c r="I136" s="27">
        <f>HLOOKUP($I$3,Database!$D$6:$OM$155,133,0)</f>
        <v>4952</v>
      </c>
      <c r="J136" s="12">
        <f>HLOOKUP($K$2,Database!$D$6:$OM$155,133,0)</f>
        <v>39.31</v>
      </c>
      <c r="K136" s="27">
        <f>HLOOKUP($K$3,Database!$D$6:$OM$155,133,0)</f>
        <v>5317</v>
      </c>
      <c r="L136" s="12">
        <f>HLOOKUP($M$2,Database!$D$6:$OM$155,133,0)</f>
        <v>0</v>
      </c>
      <c r="M136" s="27">
        <f>HLOOKUP($M$3,Database!$D$6:$OM$155,133,0)</f>
        <v>0</v>
      </c>
      <c r="N136" s="12">
        <f>HLOOKUP($O$2,Database!$D$6:$OM$155,133,0)</f>
        <v>0</v>
      </c>
      <c r="O136" s="27">
        <f>HLOOKUP($O$3,Database!$D$6:$OM$155,133,0)</f>
        <v>0</v>
      </c>
      <c r="P136" s="12">
        <f>HLOOKUP($Q$2,Database!$D$6:$OM$155,133,0)</f>
        <v>0</v>
      </c>
      <c r="Q136" s="27">
        <f>HLOOKUP($Q$3,Database!$D$6:$OM$155,133,0)</f>
        <v>0</v>
      </c>
      <c r="R136" s="12">
        <f>HLOOKUP($S$2,Database!$D$6:$OM$155,133,0)</f>
        <v>0</v>
      </c>
      <c r="S136" s="27">
        <f>HLOOKUP($S$3,Database!$D$6:$OM$155,133,0)</f>
        <v>0</v>
      </c>
      <c r="T136" s="12">
        <f>HLOOKUP($U$2,Database!$D$6:$OM$155,133,0)</f>
        <v>0</v>
      </c>
      <c r="U136" s="27">
        <f>HLOOKUP($U$3,Database!$D$6:$OM$155,133,0)</f>
        <v>0</v>
      </c>
      <c r="V136" s="12">
        <f>HLOOKUP($W$2,Database!$D$6:$OM$155,133,0)</f>
        <v>0</v>
      </c>
      <c r="W136" s="27">
        <f>HLOOKUP($W$3,Database!$D$6:$OM$155,133,0)</f>
        <v>0</v>
      </c>
      <c r="Y136" s="381">
        <f t="shared" si="75"/>
        <v>39.340000000000003</v>
      </c>
      <c r="Z136" s="382">
        <f t="shared" si="76"/>
        <v>39.299999999999997</v>
      </c>
      <c r="AA136" s="382">
        <f t="shared" si="77"/>
        <v>39.31</v>
      </c>
      <c r="AB136" s="382">
        <f t="shared" si="78"/>
        <v>39.31</v>
      </c>
      <c r="AC136" s="324" t="str">
        <f t="shared" si="79"/>
        <v/>
      </c>
      <c r="AD136" s="324" t="str">
        <f t="shared" si="80"/>
        <v/>
      </c>
      <c r="AE136" s="324" t="str">
        <f t="shared" si="81"/>
        <v/>
      </c>
      <c r="AF136" s="324" t="str">
        <f t="shared" si="82"/>
        <v/>
      </c>
      <c r="AG136" s="324" t="str">
        <f t="shared" si="83"/>
        <v/>
      </c>
      <c r="AH136" s="324" t="str">
        <f t="shared" si="84"/>
        <v/>
      </c>
      <c r="AI136" s="362" t="str">
        <f t="shared" si="85"/>
        <v/>
      </c>
      <c r="AJ136" s="363" t="str">
        <f t="shared" si="86"/>
        <v/>
      </c>
      <c r="AK136" s="382">
        <f t="shared" si="87"/>
        <v>4.0000000000006253E-2</v>
      </c>
      <c r="AL136" s="382">
        <f t="shared" si="88"/>
        <v>39.299999999999997</v>
      </c>
      <c r="AM136" s="384">
        <f t="shared" si="89"/>
        <v>39.340000000000003</v>
      </c>
      <c r="AN136" s="28"/>
      <c r="AO136" s="385">
        <f t="shared" si="90"/>
        <v>39.32</v>
      </c>
      <c r="AP136" s="104">
        <f t="shared" si="91"/>
        <v>3578</v>
      </c>
      <c r="AQ136" s="385">
        <f t="shared" si="92"/>
        <v>39.31</v>
      </c>
      <c r="AR136" s="385">
        <f t="shared" si="93"/>
        <v>5134.5</v>
      </c>
      <c r="AS136" s="104">
        <f t="shared" si="94"/>
        <v>0</v>
      </c>
      <c r="AT136" s="104">
        <f t="shared" si="95"/>
        <v>0</v>
      </c>
      <c r="AU136" s="104">
        <f t="shared" si="96"/>
        <v>0</v>
      </c>
      <c r="AV136" s="104">
        <f t="shared" si="97"/>
        <v>0</v>
      </c>
      <c r="AW136" s="104">
        <f t="shared" si="98"/>
        <v>0</v>
      </c>
      <c r="AX136" s="104">
        <f t="shared" si="99"/>
        <v>0</v>
      </c>
    </row>
    <row r="137" spans="1:50" ht="18.75" customHeight="1" x14ac:dyDescent="0.4">
      <c r="A137" s="403" t="s">
        <v>409</v>
      </c>
      <c r="B137" s="404">
        <v>231</v>
      </c>
      <c r="C137" s="403" t="s">
        <v>60</v>
      </c>
      <c r="D137" s="12">
        <f>HLOOKUP($E$2,Database!$D$6:$OM$155,134,0)</f>
        <v>40.090000000000003</v>
      </c>
      <c r="E137" s="27">
        <f>HLOOKUP($E$3,Database!$D$6:$OM$155,134,0)</f>
        <v>10959</v>
      </c>
      <c r="F137" s="12">
        <f>HLOOKUP($G$2,Database!$D$6:$OM$155,134,0)</f>
        <v>40.08</v>
      </c>
      <c r="G137" s="27">
        <f>HLOOKUP($G$3,Database!$D$6:$OM$155,134,0)</f>
        <v>2019</v>
      </c>
      <c r="H137" s="12">
        <f>HLOOKUP($I$2,Database!$D$6:$OM$155,134,0)</f>
        <v>40.090000000000003</v>
      </c>
      <c r="I137" s="27">
        <f>HLOOKUP($I$3,Database!$D$6:$OM$155,134,0)</f>
        <v>5350</v>
      </c>
      <c r="J137" s="12">
        <f>HLOOKUP($K$2,Database!$D$6:$OM$155,134,0)</f>
        <v>40.090000000000003</v>
      </c>
      <c r="K137" s="27">
        <f>HLOOKUP($K$3,Database!$D$6:$OM$155,134,0)</f>
        <v>5780</v>
      </c>
      <c r="L137" s="12">
        <f>HLOOKUP($M$2,Database!$D$6:$OM$155,134,0)</f>
        <v>0</v>
      </c>
      <c r="M137" s="27">
        <f>HLOOKUP($M$3,Database!$D$6:$OM$155,134,0)</f>
        <v>0</v>
      </c>
      <c r="N137" s="12">
        <f>HLOOKUP($O$2,Database!$D$6:$OM$155,134,0)</f>
        <v>0</v>
      </c>
      <c r="O137" s="27">
        <f>HLOOKUP($O$3,Database!$D$6:$OM$155,134,0)</f>
        <v>0</v>
      </c>
      <c r="P137" s="12">
        <f>HLOOKUP($Q$2,Database!$D$6:$OM$155,134,0)</f>
        <v>0</v>
      </c>
      <c r="Q137" s="27">
        <f>HLOOKUP($Q$3,Database!$D$6:$OM$155,134,0)</f>
        <v>0</v>
      </c>
      <c r="R137" s="12">
        <f>HLOOKUP($S$2,Database!$D$6:$OM$155,134,0)</f>
        <v>0</v>
      </c>
      <c r="S137" s="27">
        <f>HLOOKUP($S$3,Database!$D$6:$OM$155,134,0)</f>
        <v>0</v>
      </c>
      <c r="T137" s="12">
        <f>HLOOKUP($U$2,Database!$D$6:$OM$155,134,0)</f>
        <v>0</v>
      </c>
      <c r="U137" s="27">
        <f>HLOOKUP($U$3,Database!$D$6:$OM$155,134,0)</f>
        <v>0</v>
      </c>
      <c r="V137" s="12">
        <f>HLOOKUP($W$2,Database!$D$6:$OM$155,134,0)</f>
        <v>0</v>
      </c>
      <c r="W137" s="27">
        <f>HLOOKUP($W$3,Database!$D$6:$OM$155,134,0)</f>
        <v>0</v>
      </c>
      <c r="Y137" s="381">
        <f t="shared" ref="Y137:Y153" si="100">IF(D137&gt;5,D137,"")</f>
        <v>40.090000000000003</v>
      </c>
      <c r="Z137" s="382">
        <f t="shared" ref="Z137:Z153" si="101">IF(F137&gt;5,F137,"")</f>
        <v>40.08</v>
      </c>
      <c r="AA137" s="382">
        <f t="shared" ref="AA137:AA153" si="102">IF(H137&gt;5,H137,"")</f>
        <v>40.090000000000003</v>
      </c>
      <c r="AB137" s="382">
        <f t="shared" ref="AB137:AB153" si="103">IF(J137&gt;5,J137,"")</f>
        <v>40.090000000000003</v>
      </c>
      <c r="AC137" s="324" t="str">
        <f t="shared" ref="AC137:AC153" si="104">IF(L137&gt;5,L137,"")</f>
        <v/>
      </c>
      <c r="AD137" s="324" t="str">
        <f t="shared" ref="AD137:AD153" si="105">IF(N137&gt;5,N137,"")</f>
        <v/>
      </c>
      <c r="AE137" s="324" t="str">
        <f t="shared" ref="AE137:AE153" si="106">IF(P137&gt;5,P137,"")</f>
        <v/>
      </c>
      <c r="AF137" s="324" t="str">
        <f t="shared" ref="AF137:AF153" si="107">IF(R137&gt;5,R137,"")</f>
        <v/>
      </c>
      <c r="AG137" s="324" t="str">
        <f t="shared" ref="AG137:AG153" si="108">IF(T137&gt;5,T137,"")</f>
        <v/>
      </c>
      <c r="AH137" s="324" t="str">
        <f t="shared" ref="AH137:AH153" si="109">IF(V137&gt;5,V137,"")</f>
        <v/>
      </c>
      <c r="AI137" s="362" t="str">
        <f t="shared" ref="AI137:AI153" si="110">IF(AK137&gt;0.5,1,"")</f>
        <v/>
      </c>
      <c r="AJ137" s="363" t="str">
        <f t="shared" ref="AJ137:AJ153" si="111">IF(AK137&gt;0.1,1,"")</f>
        <v/>
      </c>
      <c r="AK137" s="382">
        <f t="shared" ref="AK137:AK153" si="112">AM137-AL137</f>
        <v>1.0000000000005116E-2</v>
      </c>
      <c r="AL137" s="382">
        <f t="shared" ref="AL137:AL153" si="113">MIN(Y137:AH137)</f>
        <v>40.08</v>
      </c>
      <c r="AM137" s="384">
        <f t="shared" ref="AM137:AM153" si="114">MAX(Y137:AH137)</f>
        <v>40.090000000000003</v>
      </c>
      <c r="AN137" s="28"/>
      <c r="AO137" s="385">
        <f t="shared" ref="AO137:AO153" si="115">(D137+F137)/2</f>
        <v>40.085000000000001</v>
      </c>
      <c r="AP137" s="104">
        <f t="shared" ref="AP137:AP153" si="116">(E137+G137)/2</f>
        <v>6489</v>
      </c>
      <c r="AQ137" s="385">
        <f t="shared" ref="AQ137:AQ153" si="117">(H137+J137)/2</f>
        <v>40.090000000000003</v>
      </c>
      <c r="AR137" s="104">
        <f t="shared" ref="AR137:AR153" si="118">(I137+K137)/2</f>
        <v>5565</v>
      </c>
      <c r="AS137" s="104">
        <f t="shared" ref="AS137:AS153" si="119">(L137+N137)/2</f>
        <v>0</v>
      </c>
      <c r="AT137" s="104">
        <f t="shared" ref="AT137:AT153" si="120">(M137+O137)/2</f>
        <v>0</v>
      </c>
      <c r="AU137" s="104">
        <f t="shared" ref="AU137:AU153" si="121">(P137+R137)/2</f>
        <v>0</v>
      </c>
      <c r="AV137" s="104">
        <f t="shared" ref="AV137:AV153" si="122">(Q137+S137)/2</f>
        <v>0</v>
      </c>
      <c r="AW137" s="104">
        <f t="shared" ref="AW137:AW153" si="123">(T137+V137)/2</f>
        <v>0</v>
      </c>
      <c r="AX137" s="104">
        <f t="shared" ref="AX137:AX153" si="124">(U137+W137)/2</f>
        <v>0</v>
      </c>
    </row>
    <row r="138" spans="1:50" ht="18.75" customHeight="1" x14ac:dyDescent="0.4">
      <c r="A138" s="403" t="s">
        <v>410</v>
      </c>
      <c r="B138" s="404">
        <v>106</v>
      </c>
      <c r="C138" s="403" t="s">
        <v>60</v>
      </c>
      <c r="D138" s="12">
        <f>HLOOKUP($E$2,Database!$D$6:$OM$155,135,0)</f>
        <v>40.5</v>
      </c>
      <c r="E138" s="27">
        <f>HLOOKUP($E$3,Database!$D$6:$OM$155,135,0)</f>
        <v>19884</v>
      </c>
      <c r="F138" s="12">
        <f>HLOOKUP($G$2,Database!$D$6:$OM$155,135,0)</f>
        <v>40.5</v>
      </c>
      <c r="G138" s="27">
        <f>HLOOKUP($G$3,Database!$D$6:$OM$155,135,0)</f>
        <v>1110</v>
      </c>
      <c r="H138" s="12">
        <f>HLOOKUP($I$2,Database!$D$6:$OM$155,135,0)</f>
        <v>40.5</v>
      </c>
      <c r="I138" s="27">
        <f>HLOOKUP($I$3,Database!$D$6:$OM$155,135,0)</f>
        <v>2961</v>
      </c>
      <c r="J138" s="12">
        <f>HLOOKUP($K$2,Database!$D$6:$OM$155,135,0)</f>
        <v>40.5</v>
      </c>
      <c r="K138" s="27">
        <f>HLOOKUP($K$3,Database!$D$6:$OM$155,135,0)</f>
        <v>3373</v>
      </c>
      <c r="L138" s="12">
        <f>HLOOKUP($M$2,Database!$D$6:$OM$155,135,0)</f>
        <v>0</v>
      </c>
      <c r="M138" s="27">
        <f>HLOOKUP($M$3,Database!$D$6:$OM$155,135,0)</f>
        <v>0</v>
      </c>
      <c r="N138" s="12">
        <f>HLOOKUP($O$2,Database!$D$6:$OM$155,135,0)</f>
        <v>0</v>
      </c>
      <c r="O138" s="27">
        <f>HLOOKUP($O$3,Database!$D$6:$OM$155,135,0)</f>
        <v>0</v>
      </c>
      <c r="P138" s="12">
        <f>HLOOKUP($Q$2,Database!$D$6:$OM$155,135,0)</f>
        <v>0</v>
      </c>
      <c r="Q138" s="27">
        <f>HLOOKUP($Q$3,Database!$D$6:$OM$155,135,0)</f>
        <v>0</v>
      </c>
      <c r="R138" s="12">
        <f>HLOOKUP($S$2,Database!$D$6:$OM$155,135,0)</f>
        <v>0</v>
      </c>
      <c r="S138" s="27">
        <f>HLOOKUP($S$3,Database!$D$6:$OM$155,135,0)</f>
        <v>0</v>
      </c>
      <c r="T138" s="12">
        <f>HLOOKUP($U$2,Database!$D$6:$OM$155,135,0)</f>
        <v>0</v>
      </c>
      <c r="U138" s="27">
        <f>HLOOKUP($U$3,Database!$D$6:$OM$155,135,0)</f>
        <v>0</v>
      </c>
      <c r="V138" s="12">
        <f>HLOOKUP($W$2,Database!$D$6:$OM$155,135,0)</f>
        <v>0</v>
      </c>
      <c r="W138" s="27">
        <f>HLOOKUP($W$3,Database!$D$6:$OM$155,135,0)</f>
        <v>0</v>
      </c>
      <c r="Y138" s="381">
        <f t="shared" si="100"/>
        <v>40.5</v>
      </c>
      <c r="Z138" s="382">
        <f t="shared" si="101"/>
        <v>40.5</v>
      </c>
      <c r="AA138" s="382">
        <f t="shared" si="102"/>
        <v>40.5</v>
      </c>
      <c r="AB138" s="382">
        <f t="shared" si="103"/>
        <v>40.5</v>
      </c>
      <c r="AC138" s="324" t="str">
        <f t="shared" si="104"/>
        <v/>
      </c>
      <c r="AD138" s="324" t="str">
        <f t="shared" si="105"/>
        <v/>
      </c>
      <c r="AE138" s="324" t="str">
        <f t="shared" si="106"/>
        <v/>
      </c>
      <c r="AF138" s="324" t="str">
        <f t="shared" si="107"/>
        <v/>
      </c>
      <c r="AG138" s="324" t="str">
        <f t="shared" si="108"/>
        <v/>
      </c>
      <c r="AH138" s="324" t="str">
        <f t="shared" si="109"/>
        <v/>
      </c>
      <c r="AI138" s="362" t="str">
        <f t="shared" si="110"/>
        <v/>
      </c>
      <c r="AJ138" s="363" t="str">
        <f t="shared" si="111"/>
        <v/>
      </c>
      <c r="AK138" s="383">
        <f t="shared" si="112"/>
        <v>0</v>
      </c>
      <c r="AL138" s="382">
        <f t="shared" si="113"/>
        <v>40.5</v>
      </c>
      <c r="AM138" s="384">
        <f t="shared" si="114"/>
        <v>40.5</v>
      </c>
      <c r="AN138" s="28"/>
      <c r="AO138" s="385">
        <f t="shared" si="115"/>
        <v>40.5</v>
      </c>
      <c r="AP138" s="104">
        <f t="shared" si="116"/>
        <v>10497</v>
      </c>
      <c r="AQ138" s="385">
        <f t="shared" si="117"/>
        <v>40.5</v>
      </c>
      <c r="AR138" s="104">
        <f t="shared" si="118"/>
        <v>3167</v>
      </c>
      <c r="AS138" s="104">
        <f t="shared" si="119"/>
        <v>0</v>
      </c>
      <c r="AT138" s="104">
        <f t="shared" si="120"/>
        <v>0</v>
      </c>
      <c r="AU138" s="104">
        <f t="shared" si="121"/>
        <v>0</v>
      </c>
      <c r="AV138" s="104">
        <f t="shared" si="122"/>
        <v>0</v>
      </c>
      <c r="AW138" s="104">
        <f t="shared" si="123"/>
        <v>0</v>
      </c>
      <c r="AX138" s="104">
        <f t="shared" si="124"/>
        <v>0</v>
      </c>
    </row>
    <row r="139" spans="1:50" ht="18.75" customHeight="1" x14ac:dyDescent="0.4">
      <c r="A139" s="403" t="s">
        <v>411</v>
      </c>
      <c r="B139" s="404">
        <v>242</v>
      </c>
      <c r="C139" s="403" t="s">
        <v>94</v>
      </c>
      <c r="D139" s="12">
        <f>HLOOKUP($E$2,Database!$D$6:$OM$155,136,0)</f>
        <v>40.75</v>
      </c>
      <c r="E139" s="27">
        <f>HLOOKUP($E$3,Database!$D$6:$OM$155,136,0)</f>
        <v>255380</v>
      </c>
      <c r="F139" s="12">
        <f>HLOOKUP($G$2,Database!$D$6:$OM$155,136,0)</f>
        <v>40.74</v>
      </c>
      <c r="G139" s="27">
        <f>HLOOKUP($G$3,Database!$D$6:$OM$155,136,0)</f>
        <v>249978</v>
      </c>
      <c r="H139" s="12">
        <f>HLOOKUP($I$2,Database!$D$6:$OM$155,136,0)</f>
        <v>40.75</v>
      </c>
      <c r="I139" s="27">
        <f>HLOOKUP($I$3,Database!$D$6:$OM$155,136,0)</f>
        <v>650198</v>
      </c>
      <c r="J139" s="12">
        <f>HLOOKUP($K$2,Database!$D$6:$OM$155,136,0)</f>
        <v>40.75</v>
      </c>
      <c r="K139" s="27">
        <f>HLOOKUP($K$3,Database!$D$6:$OM$155,136,0)</f>
        <v>730196</v>
      </c>
      <c r="L139" s="12">
        <f>HLOOKUP($M$2,Database!$D$6:$OM$155,136,0)</f>
        <v>0</v>
      </c>
      <c r="M139" s="27">
        <f>HLOOKUP($M$3,Database!$D$6:$OM$155,136,0)</f>
        <v>0</v>
      </c>
      <c r="N139" s="12">
        <f>HLOOKUP($O$2,Database!$D$6:$OM$155,136,0)</f>
        <v>0</v>
      </c>
      <c r="O139" s="27">
        <f>HLOOKUP($O$3,Database!$D$6:$OM$155,136,0)</f>
        <v>0</v>
      </c>
      <c r="P139" s="12">
        <f>HLOOKUP($Q$2,Database!$D$6:$OM$155,136,0)</f>
        <v>0</v>
      </c>
      <c r="Q139" s="27">
        <f>HLOOKUP($Q$3,Database!$D$6:$OM$155,136,0)</f>
        <v>0</v>
      </c>
      <c r="R139" s="12">
        <f>HLOOKUP($S$2,Database!$D$6:$OM$155,136,0)</f>
        <v>0</v>
      </c>
      <c r="S139" s="27">
        <f>HLOOKUP($S$3,Database!$D$6:$OM$155,136,0)</f>
        <v>0</v>
      </c>
      <c r="T139" s="12">
        <f>HLOOKUP($U$2,Database!$D$6:$OM$155,136,0)</f>
        <v>0</v>
      </c>
      <c r="U139" s="27">
        <f>HLOOKUP($U$3,Database!$D$6:$OM$155,136,0)</f>
        <v>0</v>
      </c>
      <c r="V139" s="12">
        <f>HLOOKUP($W$2,Database!$D$6:$OM$155,136,0)</f>
        <v>0</v>
      </c>
      <c r="W139" s="27">
        <f>HLOOKUP($W$3,Database!$D$6:$OM$155,136,0)</f>
        <v>0</v>
      </c>
      <c r="Y139" s="381">
        <f t="shared" si="100"/>
        <v>40.75</v>
      </c>
      <c r="Z139" s="382">
        <f t="shared" si="101"/>
        <v>40.74</v>
      </c>
      <c r="AA139" s="382">
        <f t="shared" si="102"/>
        <v>40.75</v>
      </c>
      <c r="AB139" s="382">
        <f t="shared" si="103"/>
        <v>40.75</v>
      </c>
      <c r="AC139" s="324" t="str">
        <f t="shared" si="104"/>
        <v/>
      </c>
      <c r="AD139" s="324" t="str">
        <f t="shared" si="105"/>
        <v/>
      </c>
      <c r="AE139" s="324" t="str">
        <f t="shared" si="106"/>
        <v/>
      </c>
      <c r="AF139" s="324" t="str">
        <f t="shared" si="107"/>
        <v/>
      </c>
      <c r="AG139" s="324" t="str">
        <f t="shared" si="108"/>
        <v/>
      </c>
      <c r="AH139" s="324" t="str">
        <f t="shared" si="109"/>
        <v/>
      </c>
      <c r="AI139" s="362" t="str">
        <f t="shared" si="110"/>
        <v/>
      </c>
      <c r="AJ139" s="363" t="str">
        <f t="shared" si="111"/>
        <v/>
      </c>
      <c r="AK139" s="382">
        <f t="shared" si="112"/>
        <v>9.9999999999980105E-3</v>
      </c>
      <c r="AL139" s="382">
        <f t="shared" si="113"/>
        <v>40.74</v>
      </c>
      <c r="AM139" s="384">
        <f t="shared" si="114"/>
        <v>40.75</v>
      </c>
      <c r="AN139" s="28"/>
      <c r="AO139" s="385">
        <f t="shared" si="115"/>
        <v>40.745000000000005</v>
      </c>
      <c r="AP139" s="104">
        <f t="shared" si="116"/>
        <v>252679</v>
      </c>
      <c r="AQ139" s="385">
        <f t="shared" si="117"/>
        <v>40.75</v>
      </c>
      <c r="AR139" s="104">
        <f t="shared" si="118"/>
        <v>690197</v>
      </c>
      <c r="AS139" s="104">
        <f t="shared" si="119"/>
        <v>0</v>
      </c>
      <c r="AT139" s="104">
        <f t="shared" si="120"/>
        <v>0</v>
      </c>
      <c r="AU139" s="104">
        <f t="shared" si="121"/>
        <v>0</v>
      </c>
      <c r="AV139" s="104">
        <f t="shared" si="122"/>
        <v>0</v>
      </c>
      <c r="AW139" s="104">
        <f t="shared" si="123"/>
        <v>0</v>
      </c>
      <c r="AX139" s="104">
        <f t="shared" si="124"/>
        <v>0</v>
      </c>
    </row>
    <row r="140" spans="1:50" ht="18.75" customHeight="1" x14ac:dyDescent="0.4">
      <c r="A140" s="403" t="s">
        <v>412</v>
      </c>
      <c r="B140" s="404">
        <v>217</v>
      </c>
      <c r="C140" s="403" t="s">
        <v>60</v>
      </c>
      <c r="D140" s="12">
        <f>HLOOKUP($E$2,Database!$D$6:$OM$155,137,0)</f>
        <v>41.83</v>
      </c>
      <c r="E140" s="27">
        <f>HLOOKUP($E$3,Database!$D$6:$OM$155,137,0)</f>
        <v>14871</v>
      </c>
      <c r="F140" s="12">
        <f>HLOOKUP($G$2,Database!$D$6:$OM$155,137,0)</f>
        <v>41.81</v>
      </c>
      <c r="G140" s="27">
        <f>HLOOKUP($G$3,Database!$D$6:$OM$155,137,0)</f>
        <v>2544</v>
      </c>
      <c r="H140" s="12">
        <f>HLOOKUP($I$2,Database!$D$6:$OM$155,137,0)</f>
        <v>41.82</v>
      </c>
      <c r="I140" s="27">
        <f>HLOOKUP($I$3,Database!$D$6:$OM$155,137,0)</f>
        <v>7106</v>
      </c>
      <c r="J140" s="12">
        <f>HLOOKUP($K$2,Database!$D$6:$OM$155,137,0)</f>
        <v>41.82</v>
      </c>
      <c r="K140" s="27">
        <f>HLOOKUP($K$3,Database!$D$6:$OM$155,137,0)</f>
        <v>7956</v>
      </c>
      <c r="L140" s="12">
        <f>HLOOKUP($M$2,Database!$D$6:$OM$155,137,0)</f>
        <v>0</v>
      </c>
      <c r="M140" s="27">
        <f>HLOOKUP($M$3,Database!$D$6:$OM$155,137,0)</f>
        <v>0</v>
      </c>
      <c r="N140" s="12">
        <f>HLOOKUP($O$2,Database!$D$6:$OM$155,137,0)</f>
        <v>0</v>
      </c>
      <c r="O140" s="27">
        <f>HLOOKUP($O$3,Database!$D$6:$OM$155,137,0)</f>
        <v>0</v>
      </c>
      <c r="P140" s="12">
        <f>HLOOKUP($Q$2,Database!$D$6:$OM$155,137,0)</f>
        <v>0</v>
      </c>
      <c r="Q140" s="27">
        <f>HLOOKUP($Q$3,Database!$D$6:$OM$155,137,0)</f>
        <v>0</v>
      </c>
      <c r="R140" s="12">
        <f>HLOOKUP($S$2,Database!$D$6:$OM$155,137,0)</f>
        <v>0</v>
      </c>
      <c r="S140" s="27">
        <f>HLOOKUP($S$3,Database!$D$6:$OM$155,137,0)</f>
        <v>0</v>
      </c>
      <c r="T140" s="12">
        <f>HLOOKUP($U$2,Database!$D$6:$OM$155,137,0)</f>
        <v>0</v>
      </c>
      <c r="U140" s="27">
        <f>HLOOKUP($U$3,Database!$D$6:$OM$155,137,0)</f>
        <v>0</v>
      </c>
      <c r="V140" s="12">
        <f>HLOOKUP($W$2,Database!$D$6:$OM$155,137,0)</f>
        <v>0</v>
      </c>
      <c r="W140" s="27">
        <f>HLOOKUP($W$3,Database!$D$6:$OM$155,137,0)</f>
        <v>0</v>
      </c>
      <c r="Y140" s="381">
        <f t="shared" si="100"/>
        <v>41.83</v>
      </c>
      <c r="Z140" s="382">
        <f t="shared" si="101"/>
        <v>41.81</v>
      </c>
      <c r="AA140" s="382">
        <f t="shared" si="102"/>
        <v>41.82</v>
      </c>
      <c r="AB140" s="382">
        <f t="shared" si="103"/>
        <v>41.82</v>
      </c>
      <c r="AC140" s="324" t="str">
        <f t="shared" si="104"/>
        <v/>
      </c>
      <c r="AD140" s="324" t="str">
        <f t="shared" si="105"/>
        <v/>
      </c>
      <c r="AE140" s="324" t="str">
        <f t="shared" si="106"/>
        <v/>
      </c>
      <c r="AF140" s="324" t="str">
        <f t="shared" si="107"/>
        <v/>
      </c>
      <c r="AG140" s="324" t="str">
        <f t="shared" si="108"/>
        <v/>
      </c>
      <c r="AH140" s="324" t="str">
        <f t="shared" si="109"/>
        <v/>
      </c>
      <c r="AI140" s="362" t="str">
        <f t="shared" si="110"/>
        <v/>
      </c>
      <c r="AJ140" s="363" t="str">
        <f t="shared" si="111"/>
        <v/>
      </c>
      <c r="AK140" s="382">
        <f t="shared" si="112"/>
        <v>1.9999999999996021E-2</v>
      </c>
      <c r="AL140" s="382">
        <f t="shared" si="113"/>
        <v>41.81</v>
      </c>
      <c r="AM140" s="384">
        <f t="shared" si="114"/>
        <v>41.83</v>
      </c>
      <c r="AN140" s="28"/>
      <c r="AO140" s="385">
        <f t="shared" si="115"/>
        <v>41.82</v>
      </c>
      <c r="AP140" s="385">
        <f t="shared" si="116"/>
        <v>8707.5</v>
      </c>
      <c r="AQ140" s="385">
        <f t="shared" si="117"/>
        <v>41.82</v>
      </c>
      <c r="AR140" s="104">
        <f t="shared" si="118"/>
        <v>7531</v>
      </c>
      <c r="AS140" s="104">
        <f t="shared" si="119"/>
        <v>0</v>
      </c>
      <c r="AT140" s="104">
        <f t="shared" si="120"/>
        <v>0</v>
      </c>
      <c r="AU140" s="104">
        <f t="shared" si="121"/>
        <v>0</v>
      </c>
      <c r="AV140" s="104">
        <f t="shared" si="122"/>
        <v>0</v>
      </c>
      <c r="AW140" s="104">
        <f t="shared" si="123"/>
        <v>0</v>
      </c>
      <c r="AX140" s="104">
        <f t="shared" si="124"/>
        <v>0</v>
      </c>
    </row>
    <row r="141" spans="1:50" ht="18.75" customHeight="1" x14ac:dyDescent="0.4">
      <c r="A141" s="403" t="s">
        <v>413</v>
      </c>
      <c r="B141" s="404">
        <v>217</v>
      </c>
      <c r="C141" s="403" t="s">
        <v>60</v>
      </c>
      <c r="D141" s="12">
        <f>HLOOKUP($E$2,Database!$D$6:$OM$155,138,0)</f>
        <v>42.29</v>
      </c>
      <c r="E141" s="27">
        <f>HLOOKUP($E$3,Database!$D$6:$OM$155,138,0)</f>
        <v>8560</v>
      </c>
      <c r="F141" s="12">
        <f>HLOOKUP($G$2,Database!$D$6:$OM$155,138,0)</f>
        <v>42.28</v>
      </c>
      <c r="G141" s="27">
        <f>HLOOKUP($G$3,Database!$D$6:$OM$155,138,0)</f>
        <v>1459</v>
      </c>
      <c r="H141" s="12">
        <f>HLOOKUP($I$2,Database!$D$6:$OM$155,138,0)</f>
        <v>42.28</v>
      </c>
      <c r="I141" s="27">
        <f>HLOOKUP($I$3,Database!$D$6:$OM$155,138,0)</f>
        <v>4172</v>
      </c>
      <c r="J141" s="12">
        <f>HLOOKUP($K$2,Database!$D$6:$OM$155,138,0)</f>
        <v>42.28</v>
      </c>
      <c r="K141" s="27">
        <f>HLOOKUP($K$3,Database!$D$6:$OM$155,138,0)</f>
        <v>4638</v>
      </c>
      <c r="L141" s="12">
        <f>HLOOKUP($M$2,Database!$D$6:$OM$155,138,0)</f>
        <v>0</v>
      </c>
      <c r="M141" s="27">
        <f>HLOOKUP($M$3,Database!$D$6:$OM$155,138,0)</f>
        <v>0</v>
      </c>
      <c r="N141" s="12">
        <f>HLOOKUP($O$2,Database!$D$6:$OM$155,138,0)</f>
        <v>0</v>
      </c>
      <c r="O141" s="27">
        <f>HLOOKUP($O$3,Database!$D$6:$OM$155,138,0)</f>
        <v>0</v>
      </c>
      <c r="P141" s="12">
        <f>HLOOKUP($Q$2,Database!$D$6:$OM$155,138,0)</f>
        <v>0</v>
      </c>
      <c r="Q141" s="27">
        <f>HLOOKUP($Q$3,Database!$D$6:$OM$155,138,0)</f>
        <v>0</v>
      </c>
      <c r="R141" s="12">
        <f>HLOOKUP($S$2,Database!$D$6:$OM$155,138,0)</f>
        <v>0</v>
      </c>
      <c r="S141" s="27">
        <f>HLOOKUP($S$3,Database!$D$6:$OM$155,138,0)</f>
        <v>0</v>
      </c>
      <c r="T141" s="12">
        <f>HLOOKUP($U$2,Database!$D$6:$OM$155,138,0)</f>
        <v>0</v>
      </c>
      <c r="U141" s="27">
        <f>HLOOKUP($U$3,Database!$D$6:$OM$155,138,0)</f>
        <v>0</v>
      </c>
      <c r="V141" s="12">
        <f>HLOOKUP($W$2,Database!$D$6:$OM$155,138,0)</f>
        <v>0</v>
      </c>
      <c r="W141" s="27">
        <f>HLOOKUP($W$3,Database!$D$6:$OM$155,138,0)</f>
        <v>0</v>
      </c>
      <c r="Y141" s="381">
        <f t="shared" si="100"/>
        <v>42.29</v>
      </c>
      <c r="Z141" s="382">
        <f t="shared" si="101"/>
        <v>42.28</v>
      </c>
      <c r="AA141" s="382">
        <f t="shared" si="102"/>
        <v>42.28</v>
      </c>
      <c r="AB141" s="382">
        <f t="shared" si="103"/>
        <v>42.28</v>
      </c>
      <c r="AC141" s="324" t="str">
        <f t="shared" si="104"/>
        <v/>
      </c>
      <c r="AD141" s="324" t="str">
        <f t="shared" si="105"/>
        <v/>
      </c>
      <c r="AE141" s="324" t="str">
        <f t="shared" si="106"/>
        <v/>
      </c>
      <c r="AF141" s="324" t="str">
        <f t="shared" si="107"/>
        <v/>
      </c>
      <c r="AG141" s="324" t="str">
        <f t="shared" si="108"/>
        <v/>
      </c>
      <c r="AH141" s="324" t="str">
        <f t="shared" si="109"/>
        <v/>
      </c>
      <c r="AI141" s="362" t="str">
        <f t="shared" si="110"/>
        <v/>
      </c>
      <c r="AJ141" s="363" t="str">
        <f t="shared" si="111"/>
        <v/>
      </c>
      <c r="AK141" s="382">
        <f t="shared" si="112"/>
        <v>9.9999999999980105E-3</v>
      </c>
      <c r="AL141" s="382">
        <f t="shared" si="113"/>
        <v>42.28</v>
      </c>
      <c r="AM141" s="384">
        <f t="shared" si="114"/>
        <v>42.29</v>
      </c>
      <c r="AN141" s="28"/>
      <c r="AO141" s="385">
        <f t="shared" si="115"/>
        <v>42.284999999999997</v>
      </c>
      <c r="AP141" s="385">
        <f t="shared" si="116"/>
        <v>5009.5</v>
      </c>
      <c r="AQ141" s="385">
        <f t="shared" si="117"/>
        <v>42.28</v>
      </c>
      <c r="AR141" s="104">
        <f t="shared" si="118"/>
        <v>4405</v>
      </c>
      <c r="AS141" s="104">
        <f t="shared" si="119"/>
        <v>0</v>
      </c>
      <c r="AT141" s="104">
        <f t="shared" si="120"/>
        <v>0</v>
      </c>
      <c r="AU141" s="104">
        <f t="shared" si="121"/>
        <v>0</v>
      </c>
      <c r="AV141" s="104">
        <f t="shared" si="122"/>
        <v>0</v>
      </c>
      <c r="AW141" s="104">
        <f t="shared" si="123"/>
        <v>0</v>
      </c>
      <c r="AX141" s="104">
        <f t="shared" si="124"/>
        <v>0</v>
      </c>
    </row>
    <row r="142" spans="1:50" ht="18.75" customHeight="1" x14ac:dyDescent="0.4">
      <c r="A142" s="403" t="s">
        <v>414</v>
      </c>
      <c r="B142" s="404">
        <v>191</v>
      </c>
      <c r="C142" s="403" t="s">
        <v>60</v>
      </c>
      <c r="D142" s="12">
        <f>HLOOKUP($E$2,Database!$D$6:$OM$155,139,0)</f>
        <v>43.15</v>
      </c>
      <c r="E142" s="27">
        <f>HLOOKUP($E$3,Database!$D$6:$OM$155,139,0)</f>
        <v>6150</v>
      </c>
      <c r="F142" s="12">
        <f>HLOOKUP($G$2,Database!$D$6:$OM$155,139,0)</f>
        <v>43.14</v>
      </c>
      <c r="G142" s="27">
        <f>HLOOKUP($G$3,Database!$D$6:$OM$155,139,0)</f>
        <v>2254</v>
      </c>
      <c r="H142" s="12">
        <f>HLOOKUP($I$2,Database!$D$6:$OM$155,139,0)</f>
        <v>43.14</v>
      </c>
      <c r="I142" s="27">
        <f>HLOOKUP($I$3,Database!$D$6:$OM$155,139,0)</f>
        <v>5631</v>
      </c>
      <c r="J142" s="12">
        <f>HLOOKUP($K$2,Database!$D$6:$OM$155,139,0)</f>
        <v>43.14</v>
      </c>
      <c r="K142" s="27">
        <f>HLOOKUP($K$3,Database!$D$6:$OM$155,139,0)</f>
        <v>6513</v>
      </c>
      <c r="L142" s="12">
        <f>HLOOKUP($M$2,Database!$D$6:$OM$155,139,0)</f>
        <v>0</v>
      </c>
      <c r="M142" s="27">
        <f>HLOOKUP($M$3,Database!$D$6:$OM$155,139,0)</f>
        <v>0</v>
      </c>
      <c r="N142" s="12">
        <f>HLOOKUP($O$2,Database!$D$6:$OM$155,139,0)</f>
        <v>0</v>
      </c>
      <c r="O142" s="27">
        <f>HLOOKUP($O$3,Database!$D$6:$OM$155,139,0)</f>
        <v>0</v>
      </c>
      <c r="P142" s="12">
        <f>HLOOKUP($Q$2,Database!$D$6:$OM$155,139,0)</f>
        <v>0</v>
      </c>
      <c r="Q142" s="27">
        <f>HLOOKUP($Q$3,Database!$D$6:$OM$155,139,0)</f>
        <v>0</v>
      </c>
      <c r="R142" s="12">
        <f>HLOOKUP($S$2,Database!$D$6:$OM$155,139,0)</f>
        <v>0</v>
      </c>
      <c r="S142" s="27">
        <f>HLOOKUP($S$3,Database!$D$6:$OM$155,139,0)</f>
        <v>0</v>
      </c>
      <c r="T142" s="12">
        <f>HLOOKUP($U$2,Database!$D$6:$OM$155,139,0)</f>
        <v>0</v>
      </c>
      <c r="U142" s="27">
        <f>HLOOKUP($U$3,Database!$D$6:$OM$155,139,0)</f>
        <v>0</v>
      </c>
      <c r="V142" s="12">
        <f>HLOOKUP($W$2,Database!$D$6:$OM$155,139,0)</f>
        <v>0</v>
      </c>
      <c r="W142" s="27">
        <f>HLOOKUP($W$3,Database!$D$6:$OM$155,139,0)</f>
        <v>0</v>
      </c>
      <c r="Y142" s="381">
        <f t="shared" si="100"/>
        <v>43.15</v>
      </c>
      <c r="Z142" s="382">
        <f t="shared" si="101"/>
        <v>43.14</v>
      </c>
      <c r="AA142" s="382">
        <f t="shared" si="102"/>
        <v>43.14</v>
      </c>
      <c r="AB142" s="382">
        <f t="shared" si="103"/>
        <v>43.14</v>
      </c>
      <c r="AC142" s="324" t="str">
        <f t="shared" si="104"/>
        <v/>
      </c>
      <c r="AD142" s="324" t="str">
        <f t="shared" si="105"/>
        <v/>
      </c>
      <c r="AE142" s="324" t="str">
        <f t="shared" si="106"/>
        <v/>
      </c>
      <c r="AF142" s="324" t="str">
        <f t="shared" si="107"/>
        <v/>
      </c>
      <c r="AG142" s="324" t="str">
        <f t="shared" si="108"/>
        <v/>
      </c>
      <c r="AH142" s="324" t="str">
        <f t="shared" si="109"/>
        <v/>
      </c>
      <c r="AI142" s="362" t="str">
        <f t="shared" si="110"/>
        <v/>
      </c>
      <c r="AJ142" s="363" t="str">
        <f t="shared" si="111"/>
        <v/>
      </c>
      <c r="AK142" s="382">
        <f t="shared" si="112"/>
        <v>9.9999999999980105E-3</v>
      </c>
      <c r="AL142" s="382">
        <f t="shared" si="113"/>
        <v>43.14</v>
      </c>
      <c r="AM142" s="384">
        <f t="shared" si="114"/>
        <v>43.15</v>
      </c>
      <c r="AN142" s="28"/>
      <c r="AO142" s="385">
        <f t="shared" si="115"/>
        <v>43.144999999999996</v>
      </c>
      <c r="AP142" s="104">
        <f t="shared" si="116"/>
        <v>4202</v>
      </c>
      <c r="AQ142" s="385">
        <f t="shared" si="117"/>
        <v>43.14</v>
      </c>
      <c r="AR142" s="104">
        <f t="shared" si="118"/>
        <v>6072</v>
      </c>
      <c r="AS142" s="104">
        <f t="shared" si="119"/>
        <v>0</v>
      </c>
      <c r="AT142" s="104">
        <f t="shared" si="120"/>
        <v>0</v>
      </c>
      <c r="AU142" s="104">
        <f t="shared" si="121"/>
        <v>0</v>
      </c>
      <c r="AV142" s="104">
        <f t="shared" si="122"/>
        <v>0</v>
      </c>
      <c r="AW142" s="104">
        <f t="shared" si="123"/>
        <v>0</v>
      </c>
      <c r="AX142" s="104">
        <f t="shared" si="124"/>
        <v>0</v>
      </c>
    </row>
    <row r="143" spans="1:50" ht="18.75" customHeight="1" x14ac:dyDescent="0.4">
      <c r="A143" s="403" t="s">
        <v>415</v>
      </c>
      <c r="B143" s="404">
        <v>191</v>
      </c>
      <c r="C143" s="403" t="s">
        <v>60</v>
      </c>
      <c r="D143" s="12">
        <f>HLOOKUP($E$2,Database!$D$6:$OM$155,140,0)</f>
        <v>43.53</v>
      </c>
      <c r="E143" s="27">
        <f>HLOOKUP($E$3,Database!$D$6:$OM$155,140,0)</f>
        <v>0</v>
      </c>
      <c r="F143" s="12">
        <f>HLOOKUP($G$2,Database!$D$6:$OM$155,140,0)</f>
        <v>43.46</v>
      </c>
      <c r="G143" s="27">
        <f>HLOOKUP($G$3,Database!$D$6:$OM$155,140,0)</f>
        <v>0</v>
      </c>
      <c r="H143" s="12">
        <f>HLOOKUP($I$2,Database!$D$6:$OM$155,140,0)</f>
        <v>43.32</v>
      </c>
      <c r="I143" s="27">
        <f>HLOOKUP($I$3,Database!$D$6:$OM$155,140,0)</f>
        <v>0</v>
      </c>
      <c r="J143" s="12">
        <f>HLOOKUP($K$2,Database!$D$6:$OM$155,140,0)</f>
        <v>43.61</v>
      </c>
      <c r="K143" s="27">
        <f>HLOOKUP($K$3,Database!$D$6:$OM$155,140,0)</f>
        <v>0</v>
      </c>
      <c r="L143" s="12">
        <f>HLOOKUP($M$2,Database!$D$6:$OM$155,140,0)</f>
        <v>0</v>
      </c>
      <c r="M143" s="27">
        <f>HLOOKUP($M$3,Database!$D$6:$OM$155,140,0)</f>
        <v>0</v>
      </c>
      <c r="N143" s="12">
        <f>HLOOKUP($O$2,Database!$D$6:$OM$155,140,0)</f>
        <v>0</v>
      </c>
      <c r="O143" s="27">
        <f>HLOOKUP($O$3,Database!$D$6:$OM$155,140,0)</f>
        <v>0</v>
      </c>
      <c r="P143" s="12">
        <f>HLOOKUP($Q$2,Database!$D$6:$OM$155,140,0)</f>
        <v>0</v>
      </c>
      <c r="Q143" s="27">
        <f>HLOOKUP($Q$3,Database!$D$6:$OM$155,140,0)</f>
        <v>0</v>
      </c>
      <c r="R143" s="12">
        <f>HLOOKUP($S$2,Database!$D$6:$OM$155,140,0)</f>
        <v>0</v>
      </c>
      <c r="S143" s="27">
        <f>HLOOKUP($S$3,Database!$D$6:$OM$155,140,0)</f>
        <v>0</v>
      </c>
      <c r="T143" s="12">
        <f>HLOOKUP($U$2,Database!$D$6:$OM$155,140,0)</f>
        <v>0</v>
      </c>
      <c r="U143" s="27">
        <f>HLOOKUP($U$3,Database!$D$6:$OM$155,140,0)</f>
        <v>0</v>
      </c>
      <c r="V143" s="12">
        <f>HLOOKUP($W$2,Database!$D$6:$OM$155,140,0)</f>
        <v>0</v>
      </c>
      <c r="W143" s="27">
        <f>HLOOKUP($W$3,Database!$D$6:$OM$155,140,0)</f>
        <v>0</v>
      </c>
      <c r="Y143" s="381">
        <f t="shared" si="100"/>
        <v>43.53</v>
      </c>
      <c r="Z143" s="382">
        <f t="shared" si="101"/>
        <v>43.46</v>
      </c>
      <c r="AA143" s="382">
        <f t="shared" si="102"/>
        <v>43.32</v>
      </c>
      <c r="AB143" s="382">
        <f t="shared" si="103"/>
        <v>43.61</v>
      </c>
      <c r="AC143" s="324" t="str">
        <f t="shared" si="104"/>
        <v/>
      </c>
      <c r="AD143" s="324" t="str">
        <f t="shared" si="105"/>
        <v/>
      </c>
      <c r="AE143" s="324" t="str">
        <f t="shared" si="106"/>
        <v/>
      </c>
      <c r="AF143" s="324" t="str">
        <f t="shared" si="107"/>
        <v/>
      </c>
      <c r="AG143" s="324" t="str">
        <f t="shared" si="108"/>
        <v/>
      </c>
      <c r="AH143" s="324" t="str">
        <f t="shared" si="109"/>
        <v/>
      </c>
      <c r="AI143" s="362" t="str">
        <f t="shared" si="110"/>
        <v/>
      </c>
      <c r="AJ143" s="363">
        <f t="shared" si="111"/>
        <v>1</v>
      </c>
      <c r="AK143" s="382">
        <f t="shared" si="112"/>
        <v>0.28999999999999915</v>
      </c>
      <c r="AL143" s="382">
        <f t="shared" si="113"/>
        <v>43.32</v>
      </c>
      <c r="AM143" s="384">
        <f t="shared" si="114"/>
        <v>43.61</v>
      </c>
      <c r="AN143" s="28"/>
      <c r="AO143" s="385">
        <f t="shared" si="115"/>
        <v>43.495000000000005</v>
      </c>
      <c r="AP143" s="104">
        <f t="shared" si="116"/>
        <v>0</v>
      </c>
      <c r="AQ143" s="385">
        <f t="shared" si="117"/>
        <v>43.465000000000003</v>
      </c>
      <c r="AR143" s="104">
        <f t="shared" si="118"/>
        <v>0</v>
      </c>
      <c r="AS143" s="104">
        <f t="shared" si="119"/>
        <v>0</v>
      </c>
      <c r="AT143" s="104">
        <f t="shared" si="120"/>
        <v>0</v>
      </c>
      <c r="AU143" s="104">
        <f t="shared" si="121"/>
        <v>0</v>
      </c>
      <c r="AV143" s="104">
        <f t="shared" si="122"/>
        <v>0</v>
      </c>
      <c r="AW143" s="104">
        <f t="shared" si="123"/>
        <v>0</v>
      </c>
      <c r="AX143" s="104">
        <f t="shared" si="124"/>
        <v>0</v>
      </c>
    </row>
    <row r="144" spans="1:50" ht="18.75" customHeight="1" x14ac:dyDescent="0.4">
      <c r="A144" s="403" t="s">
        <v>416</v>
      </c>
      <c r="B144" s="404">
        <v>252</v>
      </c>
      <c r="C144" s="403" t="s">
        <v>60</v>
      </c>
      <c r="D144" s="12">
        <f>HLOOKUP($E$2,Database!$D$6:$OM$155,141,0)</f>
        <v>44.13</v>
      </c>
      <c r="E144" s="27">
        <f>HLOOKUP($E$3,Database!$D$6:$OM$155,141,0)</f>
        <v>13755</v>
      </c>
      <c r="F144" s="12">
        <f>HLOOKUP($G$2,Database!$D$6:$OM$155,141,0)</f>
        <v>44.12</v>
      </c>
      <c r="G144" s="27">
        <f>HLOOKUP($G$3,Database!$D$6:$OM$155,141,0)</f>
        <v>11738</v>
      </c>
      <c r="H144" s="12">
        <f>HLOOKUP($I$2,Database!$D$6:$OM$155,141,0)</f>
        <v>44.12</v>
      </c>
      <c r="I144" s="27">
        <f>HLOOKUP($I$3,Database!$D$6:$OM$155,141,0)</f>
        <v>32582</v>
      </c>
      <c r="J144" s="12">
        <f>HLOOKUP($K$2,Database!$D$6:$OM$155,141,0)</f>
        <v>44.12</v>
      </c>
      <c r="K144" s="27">
        <f>HLOOKUP($K$3,Database!$D$6:$OM$155,141,0)</f>
        <v>35699</v>
      </c>
      <c r="L144" s="12">
        <f>HLOOKUP($M$2,Database!$D$6:$OM$155,141,0)</f>
        <v>0</v>
      </c>
      <c r="M144" s="27">
        <f>HLOOKUP($M$3,Database!$D$6:$OM$155,141,0)</f>
        <v>0</v>
      </c>
      <c r="N144" s="12">
        <f>HLOOKUP($O$2,Database!$D$6:$OM$155,141,0)</f>
        <v>0</v>
      </c>
      <c r="O144" s="27">
        <f>HLOOKUP($O$3,Database!$D$6:$OM$155,141,0)</f>
        <v>0</v>
      </c>
      <c r="P144" s="12">
        <f>HLOOKUP($Q$2,Database!$D$6:$OM$155,141,0)</f>
        <v>0</v>
      </c>
      <c r="Q144" s="27">
        <f>HLOOKUP($Q$3,Database!$D$6:$OM$155,141,0)</f>
        <v>0</v>
      </c>
      <c r="R144" s="12">
        <f>HLOOKUP($S$2,Database!$D$6:$OM$155,141,0)</f>
        <v>0</v>
      </c>
      <c r="S144" s="27">
        <f>HLOOKUP($S$3,Database!$D$6:$OM$155,141,0)</f>
        <v>0</v>
      </c>
      <c r="T144" s="12">
        <f>HLOOKUP($U$2,Database!$D$6:$OM$155,141,0)</f>
        <v>0</v>
      </c>
      <c r="U144" s="27">
        <f>HLOOKUP($U$3,Database!$D$6:$OM$155,141,0)</f>
        <v>0</v>
      </c>
      <c r="V144" s="12">
        <f>HLOOKUP($W$2,Database!$D$6:$OM$155,141,0)</f>
        <v>0</v>
      </c>
      <c r="W144" s="27">
        <f>HLOOKUP($W$3,Database!$D$6:$OM$155,141,0)</f>
        <v>0</v>
      </c>
      <c r="Y144" s="381">
        <f t="shared" si="100"/>
        <v>44.13</v>
      </c>
      <c r="Z144" s="382">
        <f t="shared" si="101"/>
        <v>44.12</v>
      </c>
      <c r="AA144" s="382">
        <f t="shared" si="102"/>
        <v>44.12</v>
      </c>
      <c r="AB144" s="382">
        <f t="shared" si="103"/>
        <v>44.12</v>
      </c>
      <c r="AC144" s="324" t="str">
        <f t="shared" si="104"/>
        <v/>
      </c>
      <c r="AD144" s="324" t="str">
        <f t="shared" si="105"/>
        <v/>
      </c>
      <c r="AE144" s="324" t="str">
        <f t="shared" si="106"/>
        <v/>
      </c>
      <c r="AF144" s="324" t="str">
        <f t="shared" si="107"/>
        <v/>
      </c>
      <c r="AG144" s="324" t="str">
        <f t="shared" si="108"/>
        <v/>
      </c>
      <c r="AH144" s="324" t="str">
        <f t="shared" si="109"/>
        <v/>
      </c>
      <c r="AI144" s="362" t="str">
        <f t="shared" si="110"/>
        <v/>
      </c>
      <c r="AJ144" s="363" t="str">
        <f t="shared" si="111"/>
        <v/>
      </c>
      <c r="AK144" s="382">
        <f t="shared" si="112"/>
        <v>1.0000000000005116E-2</v>
      </c>
      <c r="AL144" s="382">
        <f t="shared" si="113"/>
        <v>44.12</v>
      </c>
      <c r="AM144" s="384">
        <f t="shared" si="114"/>
        <v>44.13</v>
      </c>
      <c r="AN144" s="28"/>
      <c r="AO144" s="385">
        <f t="shared" si="115"/>
        <v>44.125</v>
      </c>
      <c r="AP144" s="385">
        <f t="shared" si="116"/>
        <v>12746.5</v>
      </c>
      <c r="AQ144" s="385">
        <f t="shared" si="117"/>
        <v>44.12</v>
      </c>
      <c r="AR144" s="385">
        <f t="shared" si="118"/>
        <v>34140.5</v>
      </c>
      <c r="AS144" s="104">
        <f t="shared" si="119"/>
        <v>0</v>
      </c>
      <c r="AT144" s="104">
        <f t="shared" si="120"/>
        <v>0</v>
      </c>
      <c r="AU144" s="104">
        <f t="shared" si="121"/>
        <v>0</v>
      </c>
      <c r="AV144" s="104">
        <f t="shared" si="122"/>
        <v>0</v>
      </c>
      <c r="AW144" s="104">
        <f t="shared" si="123"/>
        <v>0</v>
      </c>
      <c r="AX144" s="104">
        <f t="shared" si="124"/>
        <v>0</v>
      </c>
    </row>
    <row r="145" spans="1:50" ht="18.75" customHeight="1" x14ac:dyDescent="0.4">
      <c r="A145" s="403" t="s">
        <v>417</v>
      </c>
      <c r="B145" s="404">
        <v>252</v>
      </c>
      <c r="C145" s="403" t="s">
        <v>60</v>
      </c>
      <c r="D145" s="12">
        <f>HLOOKUP($E$2,Database!$D$6:$OM$155,142,0)</f>
        <v>44.29</v>
      </c>
      <c r="E145" s="27">
        <f>HLOOKUP($E$3,Database!$D$6:$OM$155,142,0)</f>
        <v>3890</v>
      </c>
      <c r="F145" s="12">
        <f>HLOOKUP($G$2,Database!$D$6:$OM$155,142,0)</f>
        <v>44.28</v>
      </c>
      <c r="G145" s="27">
        <f>HLOOKUP($G$3,Database!$D$6:$OM$155,142,0)</f>
        <v>6107</v>
      </c>
      <c r="H145" s="12">
        <f>HLOOKUP($I$2,Database!$D$6:$OM$155,142,0)</f>
        <v>44.28</v>
      </c>
      <c r="I145" s="27">
        <f>HLOOKUP($I$3,Database!$D$6:$OM$155,142,0)</f>
        <v>17653</v>
      </c>
      <c r="J145" s="12">
        <f>HLOOKUP($K$2,Database!$D$6:$OM$155,142,0)</f>
        <v>44.28</v>
      </c>
      <c r="K145" s="27">
        <f>HLOOKUP($K$3,Database!$D$6:$OM$155,142,0)</f>
        <v>20033</v>
      </c>
      <c r="L145" s="12">
        <f>HLOOKUP($M$2,Database!$D$6:$OM$155,142,0)</f>
        <v>0</v>
      </c>
      <c r="M145" s="27">
        <f>HLOOKUP($M$3,Database!$D$6:$OM$155,142,0)</f>
        <v>0</v>
      </c>
      <c r="N145" s="12">
        <f>HLOOKUP($O$2,Database!$D$6:$OM$155,142,0)</f>
        <v>0</v>
      </c>
      <c r="O145" s="27">
        <f>HLOOKUP($O$3,Database!$D$6:$OM$155,142,0)</f>
        <v>0</v>
      </c>
      <c r="P145" s="12">
        <f>HLOOKUP($Q$2,Database!$D$6:$OM$155,142,0)</f>
        <v>0</v>
      </c>
      <c r="Q145" s="27">
        <f>HLOOKUP($Q$3,Database!$D$6:$OM$155,142,0)</f>
        <v>0</v>
      </c>
      <c r="R145" s="12">
        <f>HLOOKUP($S$2,Database!$D$6:$OM$155,142,0)</f>
        <v>0</v>
      </c>
      <c r="S145" s="27">
        <f>HLOOKUP($S$3,Database!$D$6:$OM$155,142,0)</f>
        <v>0</v>
      </c>
      <c r="T145" s="12">
        <f>HLOOKUP($U$2,Database!$D$6:$OM$155,142,0)</f>
        <v>0</v>
      </c>
      <c r="U145" s="27">
        <f>HLOOKUP($U$3,Database!$D$6:$OM$155,142,0)</f>
        <v>0</v>
      </c>
      <c r="V145" s="12">
        <f>HLOOKUP($W$2,Database!$D$6:$OM$155,142,0)</f>
        <v>0</v>
      </c>
      <c r="W145" s="27">
        <f>HLOOKUP($W$3,Database!$D$6:$OM$155,142,0)</f>
        <v>0</v>
      </c>
      <c r="Y145" s="381">
        <f t="shared" si="100"/>
        <v>44.29</v>
      </c>
      <c r="Z145" s="382">
        <f t="shared" si="101"/>
        <v>44.28</v>
      </c>
      <c r="AA145" s="382">
        <f t="shared" si="102"/>
        <v>44.28</v>
      </c>
      <c r="AB145" s="382">
        <f t="shared" si="103"/>
        <v>44.28</v>
      </c>
      <c r="AC145" s="324" t="str">
        <f t="shared" si="104"/>
        <v/>
      </c>
      <c r="AD145" s="324" t="str">
        <f t="shared" si="105"/>
        <v/>
      </c>
      <c r="AE145" s="324" t="str">
        <f t="shared" si="106"/>
        <v/>
      </c>
      <c r="AF145" s="324" t="str">
        <f t="shared" si="107"/>
        <v/>
      </c>
      <c r="AG145" s="324" t="str">
        <f t="shared" si="108"/>
        <v/>
      </c>
      <c r="AH145" s="324" t="str">
        <f t="shared" si="109"/>
        <v/>
      </c>
      <c r="AI145" s="362" t="str">
        <f t="shared" si="110"/>
        <v/>
      </c>
      <c r="AJ145" s="363" t="str">
        <f t="shared" si="111"/>
        <v/>
      </c>
      <c r="AK145" s="382">
        <f t="shared" si="112"/>
        <v>9.9999999999980105E-3</v>
      </c>
      <c r="AL145" s="382">
        <f t="shared" si="113"/>
        <v>44.28</v>
      </c>
      <c r="AM145" s="384">
        <f t="shared" si="114"/>
        <v>44.29</v>
      </c>
      <c r="AN145" s="28"/>
      <c r="AO145" s="385">
        <f t="shared" si="115"/>
        <v>44.284999999999997</v>
      </c>
      <c r="AP145" s="385">
        <f t="shared" si="116"/>
        <v>4998.5</v>
      </c>
      <c r="AQ145" s="385">
        <f t="shared" si="117"/>
        <v>44.28</v>
      </c>
      <c r="AR145" s="104">
        <f t="shared" si="118"/>
        <v>18843</v>
      </c>
      <c r="AS145" s="104">
        <f t="shared" si="119"/>
        <v>0</v>
      </c>
      <c r="AT145" s="104">
        <f t="shared" si="120"/>
        <v>0</v>
      </c>
      <c r="AU145" s="104">
        <f t="shared" si="121"/>
        <v>0</v>
      </c>
      <c r="AV145" s="104">
        <f t="shared" si="122"/>
        <v>0</v>
      </c>
      <c r="AW145" s="104">
        <f t="shared" si="123"/>
        <v>0</v>
      </c>
      <c r="AX145" s="104">
        <f t="shared" si="124"/>
        <v>0</v>
      </c>
    </row>
    <row r="146" spans="1:50" ht="18.75" customHeight="1" x14ac:dyDescent="0.4">
      <c r="A146" s="403" t="s">
        <v>418</v>
      </c>
      <c r="B146" s="404">
        <v>218</v>
      </c>
      <c r="C146" s="403" t="s">
        <v>60</v>
      </c>
      <c r="D146" s="12">
        <f>HLOOKUP($E$2,Database!$D$6:$OM$155,143,0)</f>
        <v>45.34</v>
      </c>
      <c r="E146" s="27">
        <f>HLOOKUP($E$3,Database!$D$6:$OM$155,143,0)</f>
        <v>10624</v>
      </c>
      <c r="F146" s="12">
        <f>HLOOKUP($G$2,Database!$D$6:$OM$155,143,0)</f>
        <v>45.33</v>
      </c>
      <c r="G146" s="27">
        <f>HLOOKUP($G$3,Database!$D$6:$OM$155,143,0)</f>
        <v>4344</v>
      </c>
      <c r="H146" s="12">
        <f>HLOOKUP($I$2,Database!$D$6:$OM$155,143,0)</f>
        <v>45.33</v>
      </c>
      <c r="I146" s="27">
        <f>HLOOKUP($I$3,Database!$D$6:$OM$155,143,0)</f>
        <v>11740</v>
      </c>
      <c r="J146" s="12">
        <f>HLOOKUP($K$2,Database!$D$6:$OM$155,143,0)</f>
        <v>45.33</v>
      </c>
      <c r="K146" s="27">
        <f>HLOOKUP($K$3,Database!$D$6:$OM$155,143,0)</f>
        <v>12824</v>
      </c>
      <c r="L146" s="12">
        <f>HLOOKUP($M$2,Database!$D$6:$OM$155,143,0)</f>
        <v>0</v>
      </c>
      <c r="M146" s="27">
        <f>HLOOKUP($M$3,Database!$D$6:$OM$155,143,0)</f>
        <v>0</v>
      </c>
      <c r="N146" s="12">
        <f>HLOOKUP($O$2,Database!$D$6:$OM$155,143,0)</f>
        <v>0</v>
      </c>
      <c r="O146" s="27">
        <f>HLOOKUP($O$3,Database!$D$6:$OM$155,143,0)</f>
        <v>0</v>
      </c>
      <c r="P146" s="12">
        <f>HLOOKUP($Q$2,Database!$D$6:$OM$155,143,0)</f>
        <v>0</v>
      </c>
      <c r="Q146" s="27">
        <f>HLOOKUP($Q$3,Database!$D$6:$OM$155,143,0)</f>
        <v>0</v>
      </c>
      <c r="R146" s="12">
        <f>HLOOKUP($S$2,Database!$D$6:$OM$155,143,0)</f>
        <v>0</v>
      </c>
      <c r="S146" s="27">
        <f>HLOOKUP($S$3,Database!$D$6:$OM$155,143,0)</f>
        <v>0</v>
      </c>
      <c r="T146" s="12">
        <f>HLOOKUP($U$2,Database!$D$6:$OM$155,143,0)</f>
        <v>0</v>
      </c>
      <c r="U146" s="27">
        <f>HLOOKUP($U$3,Database!$D$6:$OM$155,143,0)</f>
        <v>0</v>
      </c>
      <c r="V146" s="12">
        <f>HLOOKUP($W$2,Database!$D$6:$OM$155,143,0)</f>
        <v>0</v>
      </c>
      <c r="W146" s="27">
        <f>HLOOKUP($W$3,Database!$D$6:$OM$155,143,0)</f>
        <v>0</v>
      </c>
      <c r="Y146" s="381">
        <f t="shared" si="100"/>
        <v>45.34</v>
      </c>
      <c r="Z146" s="382">
        <f t="shared" si="101"/>
        <v>45.33</v>
      </c>
      <c r="AA146" s="382">
        <f t="shared" si="102"/>
        <v>45.33</v>
      </c>
      <c r="AB146" s="382">
        <f t="shared" si="103"/>
        <v>45.33</v>
      </c>
      <c r="AC146" s="324" t="str">
        <f t="shared" si="104"/>
        <v/>
      </c>
      <c r="AD146" s="324" t="str">
        <f t="shared" si="105"/>
        <v/>
      </c>
      <c r="AE146" s="324" t="str">
        <f t="shared" si="106"/>
        <v/>
      </c>
      <c r="AF146" s="324" t="str">
        <f t="shared" si="107"/>
        <v/>
      </c>
      <c r="AG146" s="324" t="str">
        <f t="shared" si="108"/>
        <v/>
      </c>
      <c r="AH146" s="324" t="str">
        <f t="shared" si="109"/>
        <v/>
      </c>
      <c r="AI146" s="362" t="str">
        <f t="shared" si="110"/>
        <v/>
      </c>
      <c r="AJ146" s="363" t="str">
        <f t="shared" si="111"/>
        <v/>
      </c>
      <c r="AK146" s="382">
        <f t="shared" si="112"/>
        <v>1.0000000000005116E-2</v>
      </c>
      <c r="AL146" s="382">
        <f t="shared" si="113"/>
        <v>45.33</v>
      </c>
      <c r="AM146" s="384">
        <f t="shared" si="114"/>
        <v>45.34</v>
      </c>
      <c r="AN146" s="28"/>
      <c r="AO146" s="385">
        <f t="shared" si="115"/>
        <v>45.335000000000001</v>
      </c>
      <c r="AP146" s="104">
        <f t="shared" si="116"/>
        <v>7484</v>
      </c>
      <c r="AQ146" s="385">
        <f t="shared" si="117"/>
        <v>45.33</v>
      </c>
      <c r="AR146" s="104">
        <f t="shared" si="118"/>
        <v>12282</v>
      </c>
      <c r="AS146" s="104">
        <f t="shared" si="119"/>
        <v>0</v>
      </c>
      <c r="AT146" s="104">
        <f t="shared" si="120"/>
        <v>0</v>
      </c>
      <c r="AU146" s="104">
        <f t="shared" si="121"/>
        <v>0</v>
      </c>
      <c r="AV146" s="104">
        <f t="shared" si="122"/>
        <v>0</v>
      </c>
      <c r="AW146" s="104">
        <f t="shared" si="123"/>
        <v>0</v>
      </c>
      <c r="AX146" s="104">
        <f t="shared" si="124"/>
        <v>0</v>
      </c>
    </row>
    <row r="147" spans="1:50" ht="18.75" customHeight="1" x14ac:dyDescent="0.4">
      <c r="A147" s="403" t="s">
        <v>419</v>
      </c>
      <c r="B147" s="404">
        <v>217</v>
      </c>
      <c r="C147" s="403" t="s">
        <v>60</v>
      </c>
      <c r="D147" s="12">
        <f>HLOOKUP($E$2,Database!$D$6:$OM$155,144,0)</f>
        <v>45.69</v>
      </c>
      <c r="E147" s="27">
        <f>HLOOKUP($E$3,Database!$D$6:$OM$155,144,0)</f>
        <v>7974</v>
      </c>
      <c r="F147" s="12">
        <f>HLOOKUP($G$2,Database!$D$6:$OM$155,144,0)</f>
        <v>45.67</v>
      </c>
      <c r="G147" s="27">
        <f>HLOOKUP($G$3,Database!$D$6:$OM$155,144,0)</f>
        <v>2612</v>
      </c>
      <c r="H147" s="12">
        <f>HLOOKUP($I$2,Database!$D$6:$OM$155,144,0)</f>
        <v>45.68</v>
      </c>
      <c r="I147" s="27">
        <f>HLOOKUP($I$3,Database!$D$6:$OM$155,144,0)</f>
        <v>7175</v>
      </c>
      <c r="J147" s="12">
        <f>HLOOKUP($K$2,Database!$D$6:$OM$155,144,0)</f>
        <v>45.68</v>
      </c>
      <c r="K147" s="27">
        <f>HLOOKUP($K$3,Database!$D$6:$OM$155,144,0)</f>
        <v>7830</v>
      </c>
      <c r="L147" s="12">
        <f>HLOOKUP($M$2,Database!$D$6:$OM$155,144,0)</f>
        <v>0</v>
      </c>
      <c r="M147" s="27">
        <f>HLOOKUP($M$3,Database!$D$6:$OM$155,144,0)</f>
        <v>0</v>
      </c>
      <c r="N147" s="12">
        <f>HLOOKUP($O$2,Database!$D$6:$OM$155,144,0)</f>
        <v>0</v>
      </c>
      <c r="O147" s="27">
        <f>HLOOKUP($O$3,Database!$D$6:$OM$155,144,0)</f>
        <v>0</v>
      </c>
      <c r="P147" s="12">
        <f>HLOOKUP($Q$2,Database!$D$6:$OM$155,144,0)</f>
        <v>0</v>
      </c>
      <c r="Q147" s="27">
        <f>HLOOKUP($Q$3,Database!$D$6:$OM$155,144,0)</f>
        <v>0</v>
      </c>
      <c r="R147" s="12">
        <f>HLOOKUP($S$2,Database!$D$6:$OM$155,144,0)</f>
        <v>0</v>
      </c>
      <c r="S147" s="27">
        <f>HLOOKUP($S$3,Database!$D$6:$OM$155,144,0)</f>
        <v>0</v>
      </c>
      <c r="T147" s="12">
        <f>HLOOKUP($U$2,Database!$D$6:$OM$155,144,0)</f>
        <v>0</v>
      </c>
      <c r="U147" s="27">
        <f>HLOOKUP($U$3,Database!$D$6:$OM$155,144,0)</f>
        <v>0</v>
      </c>
      <c r="V147" s="12">
        <f>HLOOKUP($W$2,Database!$D$6:$OM$155,144,0)</f>
        <v>0</v>
      </c>
      <c r="W147" s="27">
        <f>HLOOKUP($W$3,Database!$D$6:$OM$155,144,0)</f>
        <v>0</v>
      </c>
      <c r="Y147" s="381">
        <f t="shared" si="100"/>
        <v>45.69</v>
      </c>
      <c r="Z147" s="382">
        <f t="shared" si="101"/>
        <v>45.67</v>
      </c>
      <c r="AA147" s="382">
        <f t="shared" si="102"/>
        <v>45.68</v>
      </c>
      <c r="AB147" s="382">
        <f t="shared" si="103"/>
        <v>45.68</v>
      </c>
      <c r="AC147" s="324" t="str">
        <f t="shared" si="104"/>
        <v/>
      </c>
      <c r="AD147" s="324" t="str">
        <f t="shared" si="105"/>
        <v/>
      </c>
      <c r="AE147" s="324" t="str">
        <f t="shared" si="106"/>
        <v/>
      </c>
      <c r="AF147" s="324" t="str">
        <f t="shared" si="107"/>
        <v/>
      </c>
      <c r="AG147" s="324" t="str">
        <f t="shared" si="108"/>
        <v/>
      </c>
      <c r="AH147" s="324" t="str">
        <f t="shared" si="109"/>
        <v/>
      </c>
      <c r="AI147" s="362" t="str">
        <f t="shared" si="110"/>
        <v/>
      </c>
      <c r="AJ147" s="363" t="str">
        <f t="shared" si="111"/>
        <v/>
      </c>
      <c r="AK147" s="382">
        <f t="shared" si="112"/>
        <v>1.9999999999996021E-2</v>
      </c>
      <c r="AL147" s="382">
        <f t="shared" si="113"/>
        <v>45.67</v>
      </c>
      <c r="AM147" s="384">
        <f t="shared" si="114"/>
        <v>45.69</v>
      </c>
      <c r="AN147" s="28"/>
      <c r="AO147" s="385">
        <f t="shared" si="115"/>
        <v>45.68</v>
      </c>
      <c r="AP147" s="104">
        <f t="shared" si="116"/>
        <v>5293</v>
      </c>
      <c r="AQ147" s="385">
        <f t="shared" si="117"/>
        <v>45.68</v>
      </c>
      <c r="AR147" s="385">
        <f t="shared" si="118"/>
        <v>7502.5</v>
      </c>
      <c r="AS147" s="104">
        <f t="shared" si="119"/>
        <v>0</v>
      </c>
      <c r="AT147" s="104">
        <f t="shared" si="120"/>
        <v>0</v>
      </c>
      <c r="AU147" s="104">
        <f t="shared" si="121"/>
        <v>0</v>
      </c>
      <c r="AV147" s="104">
        <f t="shared" si="122"/>
        <v>0</v>
      </c>
      <c r="AW147" s="104">
        <f t="shared" si="123"/>
        <v>0</v>
      </c>
      <c r="AX147" s="104">
        <f t="shared" si="124"/>
        <v>0</v>
      </c>
    </row>
    <row r="148" spans="1:50" ht="18.75" customHeight="1" x14ac:dyDescent="0.4">
      <c r="A148" s="403" t="s">
        <v>420</v>
      </c>
      <c r="B148" s="404">
        <v>217</v>
      </c>
      <c r="C148" s="403" t="s">
        <v>60</v>
      </c>
      <c r="D148" s="12">
        <f>HLOOKUP($E$2,Database!$D$6:$OM$155,145,0)</f>
        <v>46.05</v>
      </c>
      <c r="E148" s="27">
        <f>HLOOKUP($E$3,Database!$D$6:$OM$155,145,0)</f>
        <v>11590</v>
      </c>
      <c r="F148" s="12">
        <f>HLOOKUP($G$2,Database!$D$6:$OM$155,145,0)</f>
        <v>46.04</v>
      </c>
      <c r="G148" s="27">
        <f>HLOOKUP($G$3,Database!$D$6:$OM$155,145,0)</f>
        <v>4380</v>
      </c>
      <c r="H148" s="12">
        <f>HLOOKUP($I$2,Database!$D$6:$OM$155,145,0)</f>
        <v>46.04</v>
      </c>
      <c r="I148" s="27">
        <f>HLOOKUP($I$3,Database!$D$6:$OM$155,145,0)</f>
        <v>11658</v>
      </c>
      <c r="J148" s="12">
        <f>HLOOKUP($K$2,Database!$D$6:$OM$155,145,0)</f>
        <v>46.04</v>
      </c>
      <c r="K148" s="27">
        <f>HLOOKUP($K$3,Database!$D$6:$OM$155,145,0)</f>
        <v>12899</v>
      </c>
      <c r="L148" s="12">
        <f>HLOOKUP($M$2,Database!$D$6:$OM$155,145,0)</f>
        <v>0</v>
      </c>
      <c r="M148" s="27">
        <f>HLOOKUP($M$3,Database!$D$6:$OM$155,145,0)</f>
        <v>0</v>
      </c>
      <c r="N148" s="12">
        <f>HLOOKUP($O$2,Database!$D$6:$OM$155,145,0)</f>
        <v>0</v>
      </c>
      <c r="O148" s="27">
        <f>HLOOKUP($O$3,Database!$D$6:$OM$155,145,0)</f>
        <v>0</v>
      </c>
      <c r="P148" s="12">
        <f>HLOOKUP($Q$2,Database!$D$6:$OM$155,145,0)</f>
        <v>0</v>
      </c>
      <c r="Q148" s="27">
        <f>HLOOKUP($Q$3,Database!$D$6:$OM$155,145,0)</f>
        <v>0</v>
      </c>
      <c r="R148" s="12">
        <f>HLOOKUP($S$2,Database!$D$6:$OM$155,145,0)</f>
        <v>0</v>
      </c>
      <c r="S148" s="27">
        <f>HLOOKUP($S$3,Database!$D$6:$OM$155,145,0)</f>
        <v>0</v>
      </c>
      <c r="T148" s="12">
        <f>HLOOKUP($U$2,Database!$D$6:$OM$155,145,0)</f>
        <v>0</v>
      </c>
      <c r="U148" s="27">
        <f>HLOOKUP($U$3,Database!$D$6:$OM$155,145,0)</f>
        <v>0</v>
      </c>
      <c r="V148" s="12">
        <f>HLOOKUP($W$2,Database!$D$6:$OM$155,145,0)</f>
        <v>0</v>
      </c>
      <c r="W148" s="27">
        <f>HLOOKUP($W$3,Database!$D$6:$OM$155,145,0)</f>
        <v>0</v>
      </c>
      <c r="Y148" s="381">
        <f t="shared" si="100"/>
        <v>46.05</v>
      </c>
      <c r="Z148" s="382">
        <f t="shared" si="101"/>
        <v>46.04</v>
      </c>
      <c r="AA148" s="382">
        <f t="shared" si="102"/>
        <v>46.04</v>
      </c>
      <c r="AB148" s="382">
        <f t="shared" si="103"/>
        <v>46.04</v>
      </c>
      <c r="AC148" s="324" t="str">
        <f t="shared" si="104"/>
        <v/>
      </c>
      <c r="AD148" s="324" t="str">
        <f t="shared" si="105"/>
        <v/>
      </c>
      <c r="AE148" s="324" t="str">
        <f t="shared" si="106"/>
        <v/>
      </c>
      <c r="AF148" s="324" t="str">
        <f t="shared" si="107"/>
        <v/>
      </c>
      <c r="AG148" s="324" t="str">
        <f t="shared" si="108"/>
        <v/>
      </c>
      <c r="AH148" s="324" t="str">
        <f t="shared" si="109"/>
        <v/>
      </c>
      <c r="AI148" s="362" t="str">
        <f t="shared" si="110"/>
        <v/>
      </c>
      <c r="AJ148" s="363" t="str">
        <f t="shared" si="111"/>
        <v/>
      </c>
      <c r="AK148" s="382">
        <f t="shared" si="112"/>
        <v>9.9999999999980105E-3</v>
      </c>
      <c r="AL148" s="382">
        <f t="shared" si="113"/>
        <v>46.04</v>
      </c>
      <c r="AM148" s="384">
        <f t="shared" si="114"/>
        <v>46.05</v>
      </c>
      <c r="AN148" s="28"/>
      <c r="AO148" s="385">
        <f t="shared" si="115"/>
        <v>46.045000000000002</v>
      </c>
      <c r="AP148" s="104">
        <f t="shared" si="116"/>
        <v>7985</v>
      </c>
      <c r="AQ148" s="385">
        <f t="shared" si="117"/>
        <v>46.04</v>
      </c>
      <c r="AR148" s="385">
        <f t="shared" si="118"/>
        <v>12278.5</v>
      </c>
      <c r="AS148" s="104">
        <f t="shared" si="119"/>
        <v>0</v>
      </c>
      <c r="AT148" s="104">
        <f t="shared" si="120"/>
        <v>0</v>
      </c>
      <c r="AU148" s="104">
        <f t="shared" si="121"/>
        <v>0</v>
      </c>
      <c r="AV148" s="104">
        <f t="shared" si="122"/>
        <v>0</v>
      </c>
      <c r="AW148" s="104">
        <f t="shared" si="123"/>
        <v>0</v>
      </c>
      <c r="AX148" s="104">
        <f t="shared" si="124"/>
        <v>0</v>
      </c>
    </row>
    <row r="149" spans="1:50" ht="18.75" customHeight="1" x14ac:dyDescent="0.4">
      <c r="A149" s="403" t="s">
        <v>421</v>
      </c>
      <c r="B149" s="404">
        <v>177</v>
      </c>
      <c r="C149" s="403" t="s">
        <v>60</v>
      </c>
      <c r="D149" s="12">
        <f>HLOOKUP($E$2,Database!$D$6:$OM$155,146,0)</f>
        <v>46.45</v>
      </c>
      <c r="E149" s="27">
        <f>HLOOKUP($E$3,Database!$D$6:$OM$155,146,0)</f>
        <v>7182</v>
      </c>
      <c r="F149" s="12">
        <f>HLOOKUP($G$2,Database!$D$6:$OM$155,146,0)</f>
        <v>46.44</v>
      </c>
      <c r="G149" s="27">
        <f>HLOOKUP($G$3,Database!$D$6:$OM$155,146,0)</f>
        <v>9078</v>
      </c>
      <c r="H149" s="12">
        <f>HLOOKUP($I$2,Database!$D$6:$OM$155,146,0)</f>
        <v>46.45</v>
      </c>
      <c r="I149" s="27">
        <f>HLOOKUP($I$3,Database!$D$6:$OM$155,146,0)</f>
        <v>22521</v>
      </c>
      <c r="J149" s="12">
        <f>HLOOKUP($K$2,Database!$D$6:$OM$155,146,0)</f>
        <v>46.45</v>
      </c>
      <c r="K149" s="27">
        <f>HLOOKUP($K$3,Database!$D$6:$OM$155,146,0)</f>
        <v>24265</v>
      </c>
      <c r="L149" s="12">
        <f>HLOOKUP($M$2,Database!$D$6:$OM$155,146,0)</f>
        <v>0</v>
      </c>
      <c r="M149" s="27">
        <f>HLOOKUP($M$3,Database!$D$6:$OM$155,146,0)</f>
        <v>0</v>
      </c>
      <c r="N149" s="12">
        <f>HLOOKUP($O$2,Database!$D$6:$OM$155,146,0)</f>
        <v>0</v>
      </c>
      <c r="O149" s="27">
        <f>HLOOKUP($O$3,Database!$D$6:$OM$155,146,0)</f>
        <v>0</v>
      </c>
      <c r="P149" s="12">
        <f>HLOOKUP($Q$2,Database!$D$6:$OM$155,146,0)</f>
        <v>0</v>
      </c>
      <c r="Q149" s="27">
        <f>HLOOKUP($Q$3,Database!$D$6:$OM$155,146,0)</f>
        <v>0</v>
      </c>
      <c r="R149" s="12">
        <f>HLOOKUP($S$2,Database!$D$6:$OM$155,146,0)</f>
        <v>0</v>
      </c>
      <c r="S149" s="27">
        <f>HLOOKUP($S$3,Database!$D$6:$OM$155,146,0)</f>
        <v>0</v>
      </c>
      <c r="T149" s="12">
        <f>HLOOKUP($U$2,Database!$D$6:$OM$155,146,0)</f>
        <v>0</v>
      </c>
      <c r="U149" s="27">
        <f>HLOOKUP($U$3,Database!$D$6:$OM$155,146,0)</f>
        <v>0</v>
      </c>
      <c r="V149" s="12">
        <f>HLOOKUP($W$2,Database!$D$6:$OM$155,146,0)</f>
        <v>0</v>
      </c>
      <c r="W149" s="27">
        <f>HLOOKUP($W$3,Database!$D$6:$OM$155,146,0)</f>
        <v>0</v>
      </c>
      <c r="Y149" s="381">
        <f t="shared" si="100"/>
        <v>46.45</v>
      </c>
      <c r="Z149" s="382">
        <f t="shared" si="101"/>
        <v>46.44</v>
      </c>
      <c r="AA149" s="382">
        <f t="shared" si="102"/>
        <v>46.45</v>
      </c>
      <c r="AB149" s="382">
        <f t="shared" si="103"/>
        <v>46.45</v>
      </c>
      <c r="AC149" s="324" t="str">
        <f t="shared" si="104"/>
        <v/>
      </c>
      <c r="AD149" s="324" t="str">
        <f t="shared" si="105"/>
        <v/>
      </c>
      <c r="AE149" s="324" t="str">
        <f t="shared" si="106"/>
        <v/>
      </c>
      <c r="AF149" s="324" t="str">
        <f t="shared" si="107"/>
        <v/>
      </c>
      <c r="AG149" s="324" t="str">
        <f t="shared" si="108"/>
        <v/>
      </c>
      <c r="AH149" s="324" t="str">
        <f t="shared" si="109"/>
        <v/>
      </c>
      <c r="AI149" s="362" t="str">
        <f t="shared" si="110"/>
        <v/>
      </c>
      <c r="AJ149" s="363" t="str">
        <f t="shared" si="111"/>
        <v/>
      </c>
      <c r="AK149" s="382">
        <f t="shared" si="112"/>
        <v>1.0000000000005116E-2</v>
      </c>
      <c r="AL149" s="382">
        <f t="shared" si="113"/>
        <v>46.44</v>
      </c>
      <c r="AM149" s="384">
        <f t="shared" si="114"/>
        <v>46.45</v>
      </c>
      <c r="AN149" s="28"/>
      <c r="AO149" s="385">
        <f t="shared" si="115"/>
        <v>46.445</v>
      </c>
      <c r="AP149" s="104">
        <f t="shared" si="116"/>
        <v>8130</v>
      </c>
      <c r="AQ149" s="385">
        <f t="shared" si="117"/>
        <v>46.45</v>
      </c>
      <c r="AR149" s="104">
        <f t="shared" si="118"/>
        <v>23393</v>
      </c>
      <c r="AS149" s="104">
        <f t="shared" si="119"/>
        <v>0</v>
      </c>
      <c r="AT149" s="104">
        <f t="shared" si="120"/>
        <v>0</v>
      </c>
      <c r="AU149" s="104">
        <f t="shared" si="121"/>
        <v>0</v>
      </c>
      <c r="AV149" s="104">
        <f t="shared" si="122"/>
        <v>0</v>
      </c>
      <c r="AW149" s="104">
        <f t="shared" si="123"/>
        <v>0</v>
      </c>
      <c r="AX149" s="104">
        <f t="shared" si="124"/>
        <v>0</v>
      </c>
    </row>
    <row r="150" spans="1:50" ht="18.75" customHeight="1" x14ac:dyDescent="0.4">
      <c r="A150" s="403" t="s">
        <v>422</v>
      </c>
      <c r="B150" s="404">
        <v>217</v>
      </c>
      <c r="C150" s="403" t="s">
        <v>60</v>
      </c>
      <c r="D150" s="12">
        <f>HLOOKUP($E$2,Database!$D$6:$OM$155,147,0)</f>
        <v>46.78</v>
      </c>
      <c r="E150" s="27">
        <f>HLOOKUP($E$3,Database!$D$6:$OM$155,147,0)</f>
        <v>15937</v>
      </c>
      <c r="F150" s="12">
        <f>HLOOKUP($G$2,Database!$D$6:$OM$155,147,0)</f>
        <v>46.76</v>
      </c>
      <c r="G150" s="27">
        <f>HLOOKUP($G$3,Database!$D$6:$OM$155,147,0)</f>
        <v>3594</v>
      </c>
      <c r="H150" s="12">
        <f>HLOOKUP($I$2,Database!$D$6:$OM$155,147,0)</f>
        <v>46.76</v>
      </c>
      <c r="I150" s="27">
        <f>HLOOKUP($I$3,Database!$D$6:$OM$155,147,0)</f>
        <v>9867</v>
      </c>
      <c r="J150" s="12">
        <f>HLOOKUP($K$2,Database!$D$6:$OM$155,147,0)</f>
        <v>46.76</v>
      </c>
      <c r="K150" s="27">
        <f>HLOOKUP($K$3,Database!$D$6:$OM$155,147,0)</f>
        <v>10902</v>
      </c>
      <c r="L150" s="12">
        <f>HLOOKUP($M$2,Database!$D$6:$OM$155,147,0)</f>
        <v>0</v>
      </c>
      <c r="M150" s="27">
        <f>HLOOKUP($M$3,Database!$D$6:$OM$155,147,0)</f>
        <v>0</v>
      </c>
      <c r="N150" s="12">
        <f>HLOOKUP($O$2,Database!$D$6:$OM$155,147,0)</f>
        <v>0</v>
      </c>
      <c r="O150" s="27">
        <f>HLOOKUP($O$3,Database!$D$6:$OM$155,147,0)</f>
        <v>0</v>
      </c>
      <c r="P150" s="12">
        <f>HLOOKUP($Q$2,Database!$D$6:$OM$155,147,0)</f>
        <v>0</v>
      </c>
      <c r="Q150" s="27">
        <f>HLOOKUP($Q$3,Database!$D$6:$OM$155,147,0)</f>
        <v>0</v>
      </c>
      <c r="R150" s="12">
        <f>HLOOKUP($S$2,Database!$D$6:$OM$155,147,0)</f>
        <v>0</v>
      </c>
      <c r="S150" s="27">
        <f>HLOOKUP($S$3,Database!$D$6:$OM$155,147,0)</f>
        <v>0</v>
      </c>
      <c r="T150" s="12">
        <f>HLOOKUP($U$2,Database!$D$6:$OM$155,147,0)</f>
        <v>0</v>
      </c>
      <c r="U150" s="27">
        <f>HLOOKUP($U$3,Database!$D$6:$OM$155,147,0)</f>
        <v>0</v>
      </c>
      <c r="V150" s="12">
        <f>HLOOKUP($W$2,Database!$D$6:$OM$155,147,0)</f>
        <v>0</v>
      </c>
      <c r="W150" s="27">
        <f>HLOOKUP($W$3,Database!$D$6:$OM$155,147,0)</f>
        <v>0</v>
      </c>
      <c r="Y150" s="381">
        <f t="shared" si="100"/>
        <v>46.78</v>
      </c>
      <c r="Z150" s="382">
        <f t="shared" si="101"/>
        <v>46.76</v>
      </c>
      <c r="AA150" s="382">
        <f t="shared" si="102"/>
        <v>46.76</v>
      </c>
      <c r="AB150" s="382">
        <f t="shared" si="103"/>
        <v>46.76</v>
      </c>
      <c r="AC150" s="324" t="str">
        <f t="shared" si="104"/>
        <v/>
      </c>
      <c r="AD150" s="324" t="str">
        <f t="shared" si="105"/>
        <v/>
      </c>
      <c r="AE150" s="324" t="str">
        <f t="shared" si="106"/>
        <v/>
      </c>
      <c r="AF150" s="324" t="str">
        <f t="shared" si="107"/>
        <v/>
      </c>
      <c r="AG150" s="324" t="str">
        <f t="shared" si="108"/>
        <v/>
      </c>
      <c r="AH150" s="324" t="str">
        <f t="shared" si="109"/>
        <v/>
      </c>
      <c r="AI150" s="362" t="str">
        <f t="shared" si="110"/>
        <v/>
      </c>
      <c r="AJ150" s="363" t="str">
        <f t="shared" si="111"/>
        <v/>
      </c>
      <c r="AK150" s="382">
        <f t="shared" si="112"/>
        <v>2.0000000000003126E-2</v>
      </c>
      <c r="AL150" s="382">
        <f t="shared" si="113"/>
        <v>46.76</v>
      </c>
      <c r="AM150" s="384">
        <f t="shared" si="114"/>
        <v>46.78</v>
      </c>
      <c r="AN150" s="28"/>
      <c r="AO150" s="385">
        <f t="shared" si="115"/>
        <v>46.769999999999996</v>
      </c>
      <c r="AP150" s="385">
        <f t="shared" si="116"/>
        <v>9765.5</v>
      </c>
      <c r="AQ150" s="385">
        <f t="shared" si="117"/>
        <v>46.76</v>
      </c>
      <c r="AR150" s="385">
        <f t="shared" si="118"/>
        <v>10384.5</v>
      </c>
      <c r="AS150" s="104">
        <f t="shared" si="119"/>
        <v>0</v>
      </c>
      <c r="AT150" s="104">
        <f t="shared" si="120"/>
        <v>0</v>
      </c>
      <c r="AU150" s="104">
        <f t="shared" si="121"/>
        <v>0</v>
      </c>
      <c r="AV150" s="104">
        <f t="shared" si="122"/>
        <v>0</v>
      </c>
      <c r="AW150" s="104">
        <f t="shared" si="123"/>
        <v>0</v>
      </c>
      <c r="AX150" s="104">
        <f t="shared" si="124"/>
        <v>0</v>
      </c>
    </row>
    <row r="151" spans="1:50" ht="18.75" customHeight="1" x14ac:dyDescent="0.4">
      <c r="A151" s="403" t="s">
        <v>423</v>
      </c>
      <c r="B151" s="404">
        <v>191</v>
      </c>
      <c r="C151" s="403" t="s">
        <v>60</v>
      </c>
      <c r="D151" s="12">
        <f>HLOOKUP($E$2,Database!$D$6:$OM$155,148,0)</f>
        <v>46.88</v>
      </c>
      <c r="E151" s="27">
        <f>HLOOKUP($E$3,Database!$D$6:$OM$155,148,0)</f>
        <v>19032</v>
      </c>
      <c r="F151" s="12">
        <f>HLOOKUP($G$2,Database!$D$6:$OM$155,148,0)</f>
        <v>46.86</v>
      </c>
      <c r="G151" s="27">
        <f>HLOOKUP($G$3,Database!$D$6:$OM$155,148,0)</f>
        <v>13814</v>
      </c>
      <c r="H151" s="12">
        <f>HLOOKUP($I$2,Database!$D$6:$OM$155,148,0)</f>
        <v>46.86</v>
      </c>
      <c r="I151" s="27">
        <f>HLOOKUP($I$3,Database!$D$6:$OM$155,148,0)</f>
        <v>34721</v>
      </c>
      <c r="J151" s="12">
        <f>HLOOKUP($K$2,Database!$D$6:$OM$155,148,0)</f>
        <v>46.86</v>
      </c>
      <c r="K151" s="27">
        <f>HLOOKUP($K$3,Database!$D$6:$OM$155,148,0)</f>
        <v>34326</v>
      </c>
      <c r="L151" s="12">
        <f>HLOOKUP($M$2,Database!$D$6:$OM$155,148,0)</f>
        <v>0</v>
      </c>
      <c r="M151" s="27">
        <f>HLOOKUP($M$3,Database!$D$6:$OM$155,148,0)</f>
        <v>0</v>
      </c>
      <c r="N151" s="12">
        <f>HLOOKUP($O$2,Database!$D$6:$OM$155,148,0)</f>
        <v>0</v>
      </c>
      <c r="O151" s="27">
        <f>HLOOKUP($O$3,Database!$D$6:$OM$155,148,0)</f>
        <v>0</v>
      </c>
      <c r="P151" s="12">
        <f>HLOOKUP($Q$2,Database!$D$6:$OM$155,148,0)</f>
        <v>0</v>
      </c>
      <c r="Q151" s="27">
        <f>HLOOKUP($Q$3,Database!$D$6:$OM$155,148,0)</f>
        <v>0</v>
      </c>
      <c r="R151" s="12">
        <f>HLOOKUP($S$2,Database!$D$6:$OM$155,148,0)</f>
        <v>0</v>
      </c>
      <c r="S151" s="27">
        <f>HLOOKUP($S$3,Database!$D$6:$OM$155,148,0)</f>
        <v>0</v>
      </c>
      <c r="T151" s="12">
        <f>HLOOKUP($U$2,Database!$D$6:$OM$155,148,0)</f>
        <v>0</v>
      </c>
      <c r="U151" s="27">
        <f>HLOOKUP($U$3,Database!$D$6:$OM$155,148,0)</f>
        <v>0</v>
      </c>
      <c r="V151" s="12">
        <f>HLOOKUP($W$2,Database!$D$6:$OM$155,148,0)</f>
        <v>0</v>
      </c>
      <c r="W151" s="27">
        <f>HLOOKUP($W$3,Database!$D$6:$OM$155,148,0)</f>
        <v>0</v>
      </c>
      <c r="Y151" s="381">
        <f t="shared" si="100"/>
        <v>46.88</v>
      </c>
      <c r="Z151" s="382">
        <f t="shared" si="101"/>
        <v>46.86</v>
      </c>
      <c r="AA151" s="382">
        <f t="shared" si="102"/>
        <v>46.86</v>
      </c>
      <c r="AB151" s="382">
        <f t="shared" si="103"/>
        <v>46.86</v>
      </c>
      <c r="AC151" s="324" t="str">
        <f t="shared" si="104"/>
        <v/>
      </c>
      <c r="AD151" s="324" t="str">
        <f t="shared" si="105"/>
        <v/>
      </c>
      <c r="AE151" s="324" t="str">
        <f t="shared" si="106"/>
        <v/>
      </c>
      <c r="AF151" s="324" t="str">
        <f t="shared" si="107"/>
        <v/>
      </c>
      <c r="AG151" s="324" t="str">
        <f t="shared" si="108"/>
        <v/>
      </c>
      <c r="AH151" s="324" t="str">
        <f t="shared" si="109"/>
        <v/>
      </c>
      <c r="AI151" s="362" t="str">
        <f t="shared" si="110"/>
        <v/>
      </c>
      <c r="AJ151" s="363" t="str">
        <f t="shared" si="111"/>
        <v/>
      </c>
      <c r="AK151" s="382">
        <f t="shared" si="112"/>
        <v>2.0000000000003126E-2</v>
      </c>
      <c r="AL151" s="382">
        <f t="shared" si="113"/>
        <v>46.86</v>
      </c>
      <c r="AM151" s="384">
        <f t="shared" si="114"/>
        <v>46.88</v>
      </c>
      <c r="AN151" s="28"/>
      <c r="AO151" s="385">
        <f t="shared" si="115"/>
        <v>46.870000000000005</v>
      </c>
      <c r="AP151" s="104">
        <f t="shared" si="116"/>
        <v>16423</v>
      </c>
      <c r="AQ151" s="385">
        <f t="shared" si="117"/>
        <v>46.86</v>
      </c>
      <c r="AR151" s="385">
        <f t="shared" si="118"/>
        <v>34523.5</v>
      </c>
      <c r="AS151" s="104">
        <f t="shared" si="119"/>
        <v>0</v>
      </c>
      <c r="AT151" s="104">
        <f t="shared" si="120"/>
        <v>0</v>
      </c>
      <c r="AU151" s="104">
        <f t="shared" si="121"/>
        <v>0</v>
      </c>
      <c r="AV151" s="104">
        <f t="shared" si="122"/>
        <v>0</v>
      </c>
      <c r="AW151" s="104">
        <f t="shared" si="123"/>
        <v>0</v>
      </c>
      <c r="AX151" s="104">
        <f t="shared" si="124"/>
        <v>0</v>
      </c>
    </row>
    <row r="152" spans="1:50" ht="18.75" customHeight="1" x14ac:dyDescent="0.4">
      <c r="A152" s="403" t="s">
        <v>424</v>
      </c>
      <c r="B152" s="404">
        <v>191</v>
      </c>
      <c r="C152" s="403" t="s">
        <v>60</v>
      </c>
      <c r="D152" s="12">
        <f>HLOOKUP($E$2,Database!$D$6:$OM$155,149,0)</f>
        <v>48.24</v>
      </c>
      <c r="E152" s="27">
        <f>HLOOKUP($E$3,Database!$D$6:$OM$155,149,0)</f>
        <v>14691</v>
      </c>
      <c r="F152" s="12">
        <f>HLOOKUP($G$2,Database!$D$6:$OM$155,149,0)</f>
        <v>48.22</v>
      </c>
      <c r="G152" s="27">
        <f>HLOOKUP($G$3,Database!$D$6:$OM$155,149,0)</f>
        <v>7697</v>
      </c>
      <c r="H152" s="12">
        <f>HLOOKUP($I$2,Database!$D$6:$OM$155,149,0)</f>
        <v>48.23</v>
      </c>
      <c r="I152" s="27">
        <f>HLOOKUP($I$3,Database!$D$6:$OM$155,149,0)</f>
        <v>21271</v>
      </c>
      <c r="J152" s="12">
        <f>HLOOKUP($K$2,Database!$D$6:$OM$155,149,0)</f>
        <v>48.23</v>
      </c>
      <c r="K152" s="27">
        <f>HLOOKUP($K$3,Database!$D$6:$OM$155,149,0)</f>
        <v>22241</v>
      </c>
      <c r="L152" s="12">
        <f>HLOOKUP($M$2,Database!$D$6:$OM$155,149,0)</f>
        <v>0</v>
      </c>
      <c r="M152" s="27">
        <f>HLOOKUP($M$3,Database!$D$6:$OM$155,149,0)</f>
        <v>0</v>
      </c>
      <c r="N152" s="12">
        <f>HLOOKUP($O$2,Database!$D$6:$OM$155,149,0)</f>
        <v>0</v>
      </c>
      <c r="O152" s="27">
        <f>HLOOKUP($O$3,Database!$D$6:$OM$155,149,0)</f>
        <v>0</v>
      </c>
      <c r="P152" s="12">
        <f>HLOOKUP($Q$2,Database!$D$6:$OM$155,149,0)</f>
        <v>0</v>
      </c>
      <c r="Q152" s="27">
        <f>HLOOKUP($Q$3,Database!$D$6:$OM$155,149,0)</f>
        <v>0</v>
      </c>
      <c r="R152" s="12">
        <f>HLOOKUP($S$2,Database!$D$6:$OM$155,149,0)</f>
        <v>0</v>
      </c>
      <c r="S152" s="27">
        <f>HLOOKUP($S$3,Database!$D$6:$OM$155,149,0)</f>
        <v>0</v>
      </c>
      <c r="T152" s="12">
        <f>HLOOKUP($U$2,Database!$D$6:$OM$155,149,0)</f>
        <v>0</v>
      </c>
      <c r="U152" s="27">
        <f>HLOOKUP($U$3,Database!$D$6:$OM$155,149,0)</f>
        <v>0</v>
      </c>
      <c r="V152" s="12">
        <f>HLOOKUP($W$2,Database!$D$6:$OM$155,149,0)</f>
        <v>0</v>
      </c>
      <c r="W152" s="27">
        <f>HLOOKUP($W$3,Database!$D$6:$OM$155,149,0)</f>
        <v>0</v>
      </c>
      <c r="Y152" s="381">
        <f t="shared" si="100"/>
        <v>48.24</v>
      </c>
      <c r="Z152" s="382">
        <f t="shared" si="101"/>
        <v>48.22</v>
      </c>
      <c r="AA152" s="382">
        <f t="shared" si="102"/>
        <v>48.23</v>
      </c>
      <c r="AB152" s="382">
        <f t="shared" si="103"/>
        <v>48.23</v>
      </c>
      <c r="AC152" s="324" t="str">
        <f t="shared" si="104"/>
        <v/>
      </c>
      <c r="AD152" s="324" t="str">
        <f t="shared" si="105"/>
        <v/>
      </c>
      <c r="AE152" s="324" t="str">
        <f t="shared" si="106"/>
        <v/>
      </c>
      <c r="AF152" s="324" t="str">
        <f t="shared" si="107"/>
        <v/>
      </c>
      <c r="AG152" s="324" t="str">
        <f t="shared" si="108"/>
        <v/>
      </c>
      <c r="AH152" s="324" t="str">
        <f t="shared" si="109"/>
        <v/>
      </c>
      <c r="AI152" s="362" t="str">
        <f t="shared" si="110"/>
        <v/>
      </c>
      <c r="AJ152" s="363" t="str">
        <f t="shared" si="111"/>
        <v/>
      </c>
      <c r="AK152" s="382">
        <f t="shared" si="112"/>
        <v>2.0000000000003126E-2</v>
      </c>
      <c r="AL152" s="382">
        <f t="shared" si="113"/>
        <v>48.22</v>
      </c>
      <c r="AM152" s="384">
        <f t="shared" si="114"/>
        <v>48.24</v>
      </c>
      <c r="AN152" s="28"/>
      <c r="AO152" s="385">
        <f t="shared" si="115"/>
        <v>48.230000000000004</v>
      </c>
      <c r="AP152" s="104">
        <f t="shared" si="116"/>
        <v>11194</v>
      </c>
      <c r="AQ152" s="385">
        <f t="shared" si="117"/>
        <v>48.23</v>
      </c>
      <c r="AR152" s="104">
        <f t="shared" si="118"/>
        <v>21756</v>
      </c>
      <c r="AS152" s="104">
        <f t="shared" si="119"/>
        <v>0</v>
      </c>
      <c r="AT152" s="104">
        <f t="shared" si="120"/>
        <v>0</v>
      </c>
      <c r="AU152" s="104">
        <f t="shared" si="121"/>
        <v>0</v>
      </c>
      <c r="AV152" s="104">
        <f t="shared" si="122"/>
        <v>0</v>
      </c>
      <c r="AW152" s="104">
        <f t="shared" si="123"/>
        <v>0</v>
      </c>
      <c r="AX152" s="104">
        <f t="shared" si="124"/>
        <v>0</v>
      </c>
    </row>
    <row r="153" spans="1:50" ht="18.75" customHeight="1" x14ac:dyDescent="0.4">
      <c r="A153" s="403" t="s">
        <v>425</v>
      </c>
      <c r="B153" s="404">
        <v>191</v>
      </c>
      <c r="C153" s="403" t="s">
        <v>60</v>
      </c>
      <c r="D153" s="12">
        <f>HLOOKUP($E$2,Database!$D$6:$OM$155,150,0)</f>
        <v>49.84</v>
      </c>
      <c r="E153" s="27">
        <f>HLOOKUP($E$3,Database!$D$6:$OM$155,150,0)</f>
        <v>48332</v>
      </c>
      <c r="F153" s="12">
        <f>HLOOKUP($G$2,Database!$D$6:$OM$155,150,0)</f>
        <v>49.83</v>
      </c>
      <c r="G153" s="27">
        <f>HLOOKUP($G$3,Database!$D$6:$OM$155,150,0)</f>
        <v>14536</v>
      </c>
      <c r="H153" s="12">
        <f>HLOOKUP($I$2,Database!$D$6:$OM$155,150,0)</f>
        <v>49.83</v>
      </c>
      <c r="I153" s="27">
        <f>HLOOKUP($I$3,Database!$D$6:$OM$155,150,0)</f>
        <v>40687</v>
      </c>
      <c r="J153" s="12">
        <f>HLOOKUP($K$2,Database!$D$6:$OM$155,150,0)</f>
        <v>49.83</v>
      </c>
      <c r="K153" s="27">
        <f>HLOOKUP($K$3,Database!$D$6:$OM$155,150,0)</f>
        <v>45031</v>
      </c>
      <c r="L153" s="12">
        <f>HLOOKUP($M$2,Database!$D$6:$OM$155,150,0)</f>
        <v>0</v>
      </c>
      <c r="M153" s="27">
        <f>HLOOKUP($M$3,Database!$D$6:$OM$155,150,0)</f>
        <v>0</v>
      </c>
      <c r="N153" s="12">
        <f>HLOOKUP($O$2,Database!$D$6:$OM$155,150,0)</f>
        <v>0</v>
      </c>
      <c r="O153" s="27">
        <f>HLOOKUP($O$3,Database!$D$6:$OM$155,150,0)</f>
        <v>0</v>
      </c>
      <c r="P153" s="12">
        <f>HLOOKUP($Q$2,Database!$D$6:$OM$155,150,0)</f>
        <v>0</v>
      </c>
      <c r="Q153" s="27">
        <f>HLOOKUP($Q$3,Database!$D$6:$OM$155,150,0)</f>
        <v>0</v>
      </c>
      <c r="R153" s="12">
        <f>HLOOKUP($S$2,Database!$D$6:$OM$155,150,0)</f>
        <v>0</v>
      </c>
      <c r="S153" s="27">
        <f>HLOOKUP($S$3,Database!$D$6:$OM$155,150,0)</f>
        <v>0</v>
      </c>
      <c r="T153" s="12">
        <f>HLOOKUP($U$2,Database!$D$6:$OM$155,150,0)</f>
        <v>0</v>
      </c>
      <c r="U153" s="27">
        <f>HLOOKUP($U$3,Database!$D$6:$OM$155,150,0)</f>
        <v>0</v>
      </c>
      <c r="V153" s="12">
        <f>HLOOKUP($W$2,Database!$D$6:$OM$155,150,0)</f>
        <v>0</v>
      </c>
      <c r="W153" s="27">
        <f>HLOOKUP($W$3,Database!$D$6:$OM$155,150,0)</f>
        <v>0</v>
      </c>
      <c r="Y153" s="381">
        <f t="shared" si="100"/>
        <v>49.84</v>
      </c>
      <c r="Z153" s="382">
        <f t="shared" si="101"/>
        <v>49.83</v>
      </c>
      <c r="AA153" s="382">
        <f t="shared" si="102"/>
        <v>49.83</v>
      </c>
      <c r="AB153" s="382">
        <f t="shared" si="103"/>
        <v>49.83</v>
      </c>
      <c r="AC153" s="324" t="str">
        <f t="shared" si="104"/>
        <v/>
      </c>
      <c r="AD153" s="324" t="str">
        <f t="shared" si="105"/>
        <v/>
      </c>
      <c r="AE153" s="324" t="str">
        <f t="shared" si="106"/>
        <v/>
      </c>
      <c r="AF153" s="324" t="str">
        <f t="shared" si="107"/>
        <v/>
      </c>
      <c r="AG153" s="324" t="str">
        <f t="shared" si="108"/>
        <v/>
      </c>
      <c r="AH153" s="324" t="str">
        <f t="shared" si="109"/>
        <v/>
      </c>
      <c r="AI153" s="362" t="str">
        <f t="shared" si="110"/>
        <v/>
      </c>
      <c r="AJ153" s="363" t="str">
        <f t="shared" si="111"/>
        <v/>
      </c>
      <c r="AK153" s="382">
        <f t="shared" si="112"/>
        <v>1.0000000000005116E-2</v>
      </c>
      <c r="AL153" s="382">
        <f t="shared" si="113"/>
        <v>49.83</v>
      </c>
      <c r="AM153" s="384">
        <f t="shared" si="114"/>
        <v>49.84</v>
      </c>
      <c r="AN153" s="28"/>
      <c r="AO153" s="385">
        <f t="shared" si="115"/>
        <v>49.835000000000001</v>
      </c>
      <c r="AP153" s="104">
        <f t="shared" si="116"/>
        <v>31434</v>
      </c>
      <c r="AQ153" s="385">
        <f t="shared" si="117"/>
        <v>49.83</v>
      </c>
      <c r="AR153" s="104">
        <f t="shared" si="118"/>
        <v>42859</v>
      </c>
      <c r="AS153" s="104">
        <f t="shared" si="119"/>
        <v>0</v>
      </c>
      <c r="AT153" s="104">
        <f t="shared" si="120"/>
        <v>0</v>
      </c>
      <c r="AU153" s="104">
        <f t="shared" si="121"/>
        <v>0</v>
      </c>
      <c r="AV153" s="104">
        <f t="shared" si="122"/>
        <v>0</v>
      </c>
      <c r="AW153" s="104">
        <f t="shared" si="123"/>
        <v>0</v>
      </c>
      <c r="AX153" s="104">
        <f t="shared" si="124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AT261"/>
  <sheetViews>
    <sheetView tabSelected="1" topLeftCell="W1" workbookViewId="0">
      <selection activeCell="AI9" sqref="AI9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08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08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3" t="s">
        <v>10</v>
      </c>
      <c r="F3" s="744"/>
      <c r="G3" s="745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46" t="s">
        <v>12</v>
      </c>
      <c r="B4" s="747"/>
      <c r="C4" s="748" t="s">
        <v>243</v>
      </c>
      <c r="D4" s="747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-2</v>
      </c>
      <c r="G5" s="34">
        <v>6</v>
      </c>
      <c r="H5" s="35">
        <v>60</v>
      </c>
      <c r="J5" s="36" t="s">
        <v>19</v>
      </c>
      <c r="K5" s="37"/>
      <c r="L5" s="38"/>
      <c r="O5" s="749" t="s">
        <v>20</v>
      </c>
      <c r="P5" s="750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25</v>
      </c>
      <c r="G6" s="51">
        <v>25</v>
      </c>
      <c r="H6" s="305"/>
      <c r="J6" s="751" t="s">
        <v>25</v>
      </c>
      <c r="K6" s="752"/>
      <c r="L6" s="753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248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41" t="s">
        <v>27</v>
      </c>
      <c r="AN6" s="742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0</v>
      </c>
      <c r="G7" s="51">
        <v>5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248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46.666666666666664</v>
      </c>
      <c r="AJ8" s="43">
        <f>IF($F$5&gt;AH8,$F$7,IF($F$6&lt;AH8,$F$8,$F$7+(($F$8-$F$7)/2)+(SIN(RADIANS(AI8-90))*(($F$8-$F$7)/2))))</f>
        <v>15.687918106563323</v>
      </c>
      <c r="AK8" s="47">
        <f t="shared" ref="AK8:AK39" si="1">(AH8-G$5)/(G$6-G$5)*180</f>
        <v>-9.473684210526315</v>
      </c>
      <c r="AL8" s="45">
        <f t="shared" ref="AL8:AL39" si="2">IF($G$5&gt;AH8,$G$7,IF($G$6&lt;AH8,$G$8,$G$7+(($G$8-$G$7)/2)+(SIN(RADIANS(AK8-90))*(($G$8-$G$7)/2))))</f>
        <v>5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53.333333333333329</v>
      </c>
      <c r="AJ9" s="100">
        <f t="shared" ref="AJ8:AJ39" si="3">IF($F$5&gt;AH9,$F$7,IF($F$6&lt;AH9,$F$8,$F$7+(($F$8-$F$7)/2)+(SIN(RADIANS(AI9-90))*(($F$8-$F$7)/2))))</f>
        <v>20.14207041486069</v>
      </c>
      <c r="AK9" s="109">
        <f t="shared" si="1"/>
        <v>0</v>
      </c>
      <c r="AL9" s="81">
        <f t="shared" si="2"/>
        <v>5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60</v>
      </c>
      <c r="AJ10" s="100">
        <f t="shared" si="3"/>
        <v>25.000000000000004</v>
      </c>
      <c r="AK10" s="109">
        <f t="shared" si="1"/>
        <v>9.473684210526315</v>
      </c>
      <c r="AL10" s="81">
        <f t="shared" si="2"/>
        <v>5.6478380883706905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>IF(Q$34&gt;1,Q11/Q$34*R$34,0.0001)</f>
        <v>8095.6739599743278</v>
      </c>
      <c r="T11" s="123">
        <f t="shared" ref="T11:T42" si="4">IF(R11&gt;1,100*S11/R11,0.0001)</f>
        <v>55.332335178554629</v>
      </c>
      <c r="U11" s="28"/>
      <c r="V11" s="28"/>
      <c r="W11" s="98" t="s">
        <v>60</v>
      </c>
      <c r="X11" s="89">
        <f t="shared" ref="X11:X42" si="5">IF(R11&gt;1,T11,"")</f>
        <v>55.332335178554629</v>
      </c>
      <c r="Y11" s="43"/>
      <c r="Z11" s="100">
        <f>X11</f>
        <v>55.332335178554629</v>
      </c>
      <c r="AA11" s="47"/>
      <c r="AB11" s="45"/>
      <c r="AC11" s="43">
        <f t="shared" ref="AC11:AC42" si="6">IF(Q11&lt;AC$9,X11,"")</f>
        <v>55.332335178554629</v>
      </c>
      <c r="AD11" s="45" t="str">
        <f t="shared" ref="AD11:AD42" si="7">IF(Q11&gt;AC$9,X11,"")</f>
        <v/>
      </c>
      <c r="AE11" s="78"/>
      <c r="AF11" s="52"/>
      <c r="AH11" s="61">
        <f>8*$H$5/60</f>
        <v>8</v>
      </c>
      <c r="AI11" s="109">
        <f t="shared" si="0"/>
        <v>66.666666666666657</v>
      </c>
      <c r="AJ11" s="100">
        <f t="shared" si="3"/>
        <v>30.196011698042152</v>
      </c>
      <c r="AK11" s="109">
        <f t="shared" si="1"/>
        <v>18.94736842105263</v>
      </c>
      <c r="AL11" s="81">
        <f t="shared" si="2"/>
        <v>7.5736810192198547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ref="S12:S42" si="8">IF(Q$34&gt;1,Q12/Q$34*R$34,0.0001)</f>
        <v>7338.3888791644786</v>
      </c>
      <c r="T12" s="126">
        <f t="shared" si="4"/>
        <v>77.270599970142968</v>
      </c>
      <c r="U12" s="127"/>
      <c r="V12" s="28"/>
      <c r="W12" s="59" t="s">
        <v>60</v>
      </c>
      <c r="X12" s="52">
        <f t="shared" si="5"/>
        <v>77.270599970142968</v>
      </c>
      <c r="Y12" s="100"/>
      <c r="Z12" s="100">
        <f>X12</f>
        <v>77.270599970142968</v>
      </c>
      <c r="AA12" s="109"/>
      <c r="AB12" s="81"/>
      <c r="AC12" s="100">
        <f t="shared" si="6"/>
        <v>77.270599970142968</v>
      </c>
      <c r="AD12" s="81" t="str">
        <f t="shared" si="7"/>
        <v/>
      </c>
      <c r="AE12" s="97"/>
      <c r="AF12" s="52"/>
      <c r="AH12" s="61">
        <f>9*$H$5/60</f>
        <v>9</v>
      </c>
      <c r="AI12" s="109">
        <f t="shared" si="0"/>
        <v>73.333333333333329</v>
      </c>
      <c r="AJ12" s="100">
        <f t="shared" si="3"/>
        <v>35.659838364445484</v>
      </c>
      <c r="AK12" s="109">
        <f t="shared" si="1"/>
        <v>28.421052631578945</v>
      </c>
      <c r="AL12" s="81">
        <f t="shared" si="2"/>
        <v>10.724996817691768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8"/>
        <v>5680.9855884240615</v>
      </c>
      <c r="T13" s="126">
        <f t="shared" si="4"/>
        <v>52.157414509952822</v>
      </c>
      <c r="U13" s="127"/>
      <c r="V13" s="28"/>
      <c r="W13" s="59" t="s">
        <v>60</v>
      </c>
      <c r="X13" s="52">
        <f t="shared" si="5"/>
        <v>52.157414509952822</v>
      </c>
      <c r="Y13" s="100"/>
      <c r="Z13" s="100"/>
      <c r="AA13" s="109"/>
      <c r="AB13" s="81"/>
      <c r="AC13" s="100">
        <f t="shared" si="6"/>
        <v>52.157414509952822</v>
      </c>
      <c r="AD13" s="81" t="str">
        <f t="shared" si="7"/>
        <v/>
      </c>
      <c r="AE13" s="97"/>
      <c r="AF13" s="52"/>
      <c r="AH13" s="61">
        <f>10*$H$5/60</f>
        <v>10</v>
      </c>
      <c r="AI13" s="109">
        <f t="shared" si="0"/>
        <v>80</v>
      </c>
      <c r="AJ13" s="100">
        <f t="shared" si="3"/>
        <v>41.317591116653482</v>
      </c>
      <c r="AK13" s="109">
        <f t="shared" si="1"/>
        <v>37.89473684210526</v>
      </c>
      <c r="AL13" s="81">
        <f t="shared" si="2"/>
        <v>15.015825803671305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8"/>
        <v>23637.535387128773</v>
      </c>
      <c r="T14" s="126">
        <f t="shared" si="4"/>
        <v>70.159791597544668</v>
      </c>
      <c r="U14" s="127"/>
      <c r="V14" s="28"/>
      <c r="W14" s="59" t="s">
        <v>60</v>
      </c>
      <c r="X14" s="52">
        <f t="shared" si="5"/>
        <v>70.159791597544668</v>
      </c>
      <c r="Y14" s="100"/>
      <c r="Z14" s="100"/>
      <c r="AA14" s="109"/>
      <c r="AB14" s="81"/>
      <c r="AC14" s="100" t="str">
        <f t="shared" si="6"/>
        <v/>
      </c>
      <c r="AD14" s="81">
        <f t="shared" si="7"/>
        <v>70.159791597544668</v>
      </c>
      <c r="AE14" s="97"/>
      <c r="AF14" s="52"/>
      <c r="AH14" s="129">
        <f>11*$H$5/60</f>
        <v>11</v>
      </c>
      <c r="AI14" s="109">
        <f t="shared" si="0"/>
        <v>86.666666666666657</v>
      </c>
      <c r="AJ14" s="100">
        <f t="shared" si="3"/>
        <v>47.092758554476198</v>
      </c>
      <c r="AK14" s="109">
        <f t="shared" si="1"/>
        <v>47.368421052631575</v>
      </c>
      <c r="AL14" s="81">
        <f t="shared" si="2"/>
        <v>20.3291253477773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8"/>
        <v>5152.7725071474415</v>
      </c>
      <c r="T15" s="126">
        <f t="shared" si="4"/>
        <v>73.821955689791423</v>
      </c>
      <c r="U15" s="127"/>
      <c r="V15" s="28"/>
      <c r="W15" s="59" t="s">
        <v>60</v>
      </c>
      <c r="X15" s="52">
        <f t="shared" si="5"/>
        <v>73.821955689791423</v>
      </c>
      <c r="Y15" s="100"/>
      <c r="Z15" s="100">
        <f>X15</f>
        <v>73.821955689791423</v>
      </c>
      <c r="AA15" s="109"/>
      <c r="AB15" s="81"/>
      <c r="AC15" s="100">
        <f t="shared" si="6"/>
        <v>73.821955689791423</v>
      </c>
      <c r="AD15" s="81" t="str">
        <f t="shared" si="7"/>
        <v/>
      </c>
      <c r="AE15" s="97"/>
      <c r="AF15" s="52"/>
      <c r="AH15" s="129">
        <f>12*$H$5/60</f>
        <v>12</v>
      </c>
      <c r="AI15" s="109">
        <f t="shared" si="0"/>
        <v>93.333333333333329</v>
      </c>
      <c r="AJ15" s="100">
        <f t="shared" si="3"/>
        <v>52.907241445523788</v>
      </c>
      <c r="AK15" s="109">
        <f t="shared" si="1"/>
        <v>56.84210526315789</v>
      </c>
      <c r="AL15" s="81">
        <f t="shared" si="2"/>
        <v>26.519962489184721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8"/>
        <v>6338.5569753194468</v>
      </c>
      <c r="T16" s="126">
        <f t="shared" si="4"/>
        <v>56.523604202955653</v>
      </c>
      <c r="U16" s="127"/>
      <c r="V16" s="28"/>
      <c r="W16" s="59" t="s">
        <v>60</v>
      </c>
      <c r="X16" s="52">
        <f t="shared" si="5"/>
        <v>56.523604202955653</v>
      </c>
      <c r="Y16" s="100"/>
      <c r="Z16" s="100"/>
      <c r="AA16" s="109"/>
      <c r="AB16" s="81"/>
      <c r="AC16" s="100">
        <f t="shared" si="6"/>
        <v>56.523604202955653</v>
      </c>
      <c r="AD16" s="81" t="str">
        <f t="shared" si="7"/>
        <v/>
      </c>
      <c r="AE16" s="97"/>
      <c r="AF16" s="52"/>
      <c r="AH16" s="129">
        <f>13*$H$5/60</f>
        <v>13</v>
      </c>
      <c r="AI16" s="109">
        <f t="shared" si="0"/>
        <v>100</v>
      </c>
      <c r="AJ16" s="100">
        <f t="shared" si="3"/>
        <v>58.682408883346518</v>
      </c>
      <c r="AK16" s="109">
        <f t="shared" si="1"/>
        <v>66.315789473684205</v>
      </c>
      <c r="AL16" s="81">
        <f t="shared" si="2"/>
        <v>33.419467328983949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8"/>
        <v>19797.210689071708</v>
      </c>
      <c r="T17" s="126">
        <f t="shared" si="4"/>
        <v>80.388235225856619</v>
      </c>
      <c r="U17" s="130"/>
      <c r="V17" s="28"/>
      <c r="W17" s="59" t="s">
        <v>60</v>
      </c>
      <c r="X17" s="52">
        <f t="shared" si="5"/>
        <v>80.388235225856619</v>
      </c>
      <c r="Y17" s="100"/>
      <c r="Z17" s="100"/>
      <c r="AA17" s="109"/>
      <c r="AB17" s="81"/>
      <c r="AC17" s="100">
        <f t="shared" si="6"/>
        <v>80.388235225856619</v>
      </c>
      <c r="AD17" s="81" t="str">
        <f t="shared" si="7"/>
        <v/>
      </c>
      <c r="AE17" s="97"/>
      <c r="AF17" s="52"/>
      <c r="AH17" s="129">
        <f>14*$H$5/60</f>
        <v>14</v>
      </c>
      <c r="AI17" s="109">
        <f t="shared" si="0"/>
        <v>106.66666666666666</v>
      </c>
      <c r="AJ17" s="100">
        <f t="shared" si="3"/>
        <v>64.340161635554509</v>
      </c>
      <c r="AK17" s="109">
        <f t="shared" si="1"/>
        <v>75.78947368421052</v>
      </c>
      <c r="AL17" s="81">
        <f t="shared" si="2"/>
        <v>40.839439360812037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8"/>
        <v>7583.6306669000523</v>
      </c>
      <c r="T18" s="126">
        <f t="shared" si="4"/>
        <v>84.629289888405893</v>
      </c>
      <c r="U18" s="130"/>
      <c r="V18" s="28"/>
      <c r="W18" s="59" t="s">
        <v>60</v>
      </c>
      <c r="X18" s="52">
        <f t="shared" si="5"/>
        <v>84.629289888405893</v>
      </c>
      <c r="Y18" s="100"/>
      <c r="Z18" s="100">
        <f>X18</f>
        <v>84.629289888405893</v>
      </c>
      <c r="AA18" s="109"/>
      <c r="AB18" s="81"/>
      <c r="AC18" s="100">
        <f t="shared" si="6"/>
        <v>84.629289888405893</v>
      </c>
      <c r="AD18" s="81" t="str">
        <f t="shared" si="7"/>
        <v/>
      </c>
      <c r="AE18" s="97"/>
      <c r="AF18" s="52"/>
      <c r="AH18" s="129">
        <f>15*$H$5/60</f>
        <v>15</v>
      </c>
      <c r="AI18" s="109">
        <f t="shared" si="0"/>
        <v>113.33333333333334</v>
      </c>
      <c r="AJ18" s="100">
        <f t="shared" si="3"/>
        <v>69.803988301957844</v>
      </c>
      <c r="AK18" s="109">
        <f t="shared" si="1"/>
        <v>85.263157894736835</v>
      </c>
      <c r="AL18" s="81">
        <f t="shared" si="2"/>
        <v>48.577481090064211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8"/>
        <v>21174.337650971469</v>
      </c>
      <c r="T19" s="126">
        <f t="shared" si="4"/>
        <v>86.911864922101003</v>
      </c>
      <c r="U19" s="130"/>
      <c r="V19" s="28"/>
      <c r="W19" s="59" t="s">
        <v>60</v>
      </c>
      <c r="X19" s="52">
        <f t="shared" si="5"/>
        <v>86.911864922101003</v>
      </c>
      <c r="Y19" s="100"/>
      <c r="Z19" s="100">
        <f>X19</f>
        <v>86.911864922101003</v>
      </c>
      <c r="AA19" s="109"/>
      <c r="AB19" s="81"/>
      <c r="AC19" s="100" t="str">
        <f t="shared" si="6"/>
        <v/>
      </c>
      <c r="AD19" s="81">
        <f t="shared" si="7"/>
        <v>86.911864922101003</v>
      </c>
      <c r="AE19" s="97"/>
      <c r="AF19" s="52"/>
      <c r="AH19" s="129">
        <f>16*$H$5/60</f>
        <v>16</v>
      </c>
      <c r="AI19" s="109">
        <f t="shared" si="0"/>
        <v>120</v>
      </c>
      <c r="AJ19" s="100">
        <f t="shared" si="3"/>
        <v>75</v>
      </c>
      <c r="AK19" s="109">
        <f t="shared" si="1"/>
        <v>94.73684210526315</v>
      </c>
      <c r="AL19" s="81">
        <f t="shared" si="2"/>
        <v>56.422518909935782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8"/>
        <v>2778.5086061030397</v>
      </c>
      <c r="T20" s="126">
        <f t="shared" si="4"/>
        <v>92.802558654076151</v>
      </c>
      <c r="U20" s="130"/>
      <c r="V20" s="28"/>
      <c r="W20" s="59" t="s">
        <v>60</v>
      </c>
      <c r="X20" s="52">
        <f t="shared" si="5"/>
        <v>92.802558654076151</v>
      </c>
      <c r="Y20" s="100"/>
      <c r="Z20" s="100">
        <f>X20</f>
        <v>92.802558654076151</v>
      </c>
      <c r="AA20" s="109"/>
      <c r="AB20" s="81"/>
      <c r="AC20" s="100">
        <f t="shared" si="6"/>
        <v>92.802558654076151</v>
      </c>
      <c r="AD20" s="81" t="str">
        <f t="shared" si="7"/>
        <v/>
      </c>
      <c r="AE20" s="97"/>
      <c r="AF20" s="52"/>
      <c r="AH20" s="129">
        <f>17*$H$5/60</f>
        <v>17</v>
      </c>
      <c r="AI20" s="109">
        <f t="shared" si="0"/>
        <v>126.66666666666667</v>
      </c>
      <c r="AJ20" s="100">
        <f t="shared" si="3"/>
        <v>79.857929585139317</v>
      </c>
      <c r="AK20" s="109">
        <f t="shared" si="1"/>
        <v>104.21052631578948</v>
      </c>
      <c r="AL20" s="81">
        <f t="shared" si="2"/>
        <v>64.160560639187963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8"/>
        <v>21026.114592449969</v>
      </c>
      <c r="T21" s="126">
        <f t="shared" si="4"/>
        <v>93.816324256871169</v>
      </c>
      <c r="U21" s="130"/>
      <c r="V21" s="28"/>
      <c r="W21" s="59" t="s">
        <v>60</v>
      </c>
      <c r="X21" s="52">
        <f t="shared" si="5"/>
        <v>93.816324256871169</v>
      </c>
      <c r="Y21" s="100"/>
      <c r="Z21" s="100">
        <f>X21</f>
        <v>93.816324256871169</v>
      </c>
      <c r="AA21" s="109"/>
      <c r="AB21" s="81"/>
      <c r="AC21" s="100" t="str">
        <f t="shared" si="6"/>
        <v/>
      </c>
      <c r="AD21" s="81">
        <f t="shared" si="7"/>
        <v>93.816324256871169</v>
      </c>
      <c r="AE21" s="97"/>
      <c r="AF21" s="52"/>
      <c r="AH21" s="129">
        <f>18*$H$5/60</f>
        <v>18</v>
      </c>
      <c r="AI21" s="109">
        <f t="shared" si="0"/>
        <v>133.33333333333331</v>
      </c>
      <c r="AJ21" s="100">
        <f t="shared" si="3"/>
        <v>84.31208189343667</v>
      </c>
      <c r="AK21" s="109">
        <f t="shared" si="1"/>
        <v>113.68421052631578</v>
      </c>
      <c r="AL21" s="81">
        <f t="shared" si="2"/>
        <v>71.580532671016044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8"/>
        <v>8653.5316529552474</v>
      </c>
      <c r="T22" s="126">
        <f t="shared" si="4"/>
        <v>72.828914769864056</v>
      </c>
      <c r="U22" s="28"/>
      <c r="V22" s="28"/>
      <c r="W22" s="59" t="s">
        <v>60</v>
      </c>
      <c r="X22" s="52">
        <f t="shared" si="5"/>
        <v>72.828914769864056</v>
      </c>
      <c r="Y22" s="100"/>
      <c r="Z22" s="100"/>
      <c r="AA22" s="109"/>
      <c r="AB22" s="81"/>
      <c r="AC22" s="100">
        <f t="shared" si="6"/>
        <v>72.828914769864056</v>
      </c>
      <c r="AD22" s="81" t="str">
        <f t="shared" si="7"/>
        <v/>
      </c>
      <c r="AE22" s="97"/>
      <c r="AF22" s="52"/>
      <c r="AH22" s="129">
        <f>19*$H$5/60</f>
        <v>19</v>
      </c>
      <c r="AI22" s="109">
        <f t="shared" si="0"/>
        <v>140</v>
      </c>
      <c r="AJ22" s="100">
        <f t="shared" si="3"/>
        <v>88.302222155948897</v>
      </c>
      <c r="AK22" s="109">
        <f t="shared" si="1"/>
        <v>123.15789473684211</v>
      </c>
      <c r="AL22" s="81">
        <f t="shared" si="2"/>
        <v>78.480037510815279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8"/>
        <v>31841.007935118734</v>
      </c>
      <c r="T23" s="126">
        <f t="shared" si="4"/>
        <v>78.04742489672951</v>
      </c>
      <c r="U23" s="28"/>
      <c r="V23" s="28"/>
      <c r="W23" s="59" t="s">
        <v>60</v>
      </c>
      <c r="X23" s="52">
        <f t="shared" si="5"/>
        <v>78.04742489672951</v>
      </c>
      <c r="Y23" s="100">
        <f>X23</f>
        <v>78.04742489672951</v>
      </c>
      <c r="Z23" s="100"/>
      <c r="AA23" s="109"/>
      <c r="AB23" s="81"/>
      <c r="AC23" s="100" t="str">
        <f t="shared" si="6"/>
        <v/>
      </c>
      <c r="AD23" s="81">
        <f t="shared" si="7"/>
        <v>78.04742489672951</v>
      </c>
      <c r="AE23" s="97"/>
      <c r="AF23" s="52"/>
      <c r="AH23" s="129">
        <f>20*$H$5/60</f>
        <v>20</v>
      </c>
      <c r="AI23" s="109">
        <f t="shared" si="0"/>
        <v>146.66666666666666</v>
      </c>
      <c r="AJ23" s="100">
        <f t="shared" si="3"/>
        <v>91.774390570646815</v>
      </c>
      <c r="AK23" s="109">
        <f t="shared" si="1"/>
        <v>132.63157894736841</v>
      </c>
      <c r="AL23" s="81">
        <f t="shared" si="2"/>
        <v>84.670874652222693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8"/>
        <v>38122.970651729971</v>
      </c>
      <c r="T24" s="126">
        <f t="shared" si="4"/>
        <v>76.712352406088968</v>
      </c>
      <c r="U24" s="127"/>
      <c r="V24" s="28"/>
      <c r="W24" s="59" t="s">
        <v>60</v>
      </c>
      <c r="X24" s="52">
        <f t="shared" si="5"/>
        <v>76.712352406088968</v>
      </c>
      <c r="Y24" s="100">
        <f>X24</f>
        <v>76.712352406088968</v>
      </c>
      <c r="Z24" s="100"/>
      <c r="AA24" s="109"/>
      <c r="AB24" s="81"/>
      <c r="AC24" s="100" t="str">
        <f t="shared" si="6"/>
        <v/>
      </c>
      <c r="AD24" s="81">
        <f t="shared" si="7"/>
        <v>76.712352406088968</v>
      </c>
      <c r="AE24" s="97"/>
      <c r="AF24" s="52"/>
      <c r="AH24" s="129">
        <f>21*$H$5/60</f>
        <v>21</v>
      </c>
      <c r="AI24" s="109">
        <f t="shared" si="0"/>
        <v>153.33333333333334</v>
      </c>
      <c r="AJ24" s="100">
        <f t="shared" si="3"/>
        <v>94.68163201617061</v>
      </c>
      <c r="AK24" s="109">
        <f t="shared" si="1"/>
        <v>142.10526315789474</v>
      </c>
      <c r="AL24" s="81">
        <f t="shared" si="2"/>
        <v>89.984174196328695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8"/>
        <v>162236.87496353345</v>
      </c>
      <c r="T25" s="126">
        <f t="shared" si="4"/>
        <v>90.213791990220784</v>
      </c>
      <c r="U25" s="127"/>
      <c r="V25" s="28"/>
      <c r="W25" s="59" t="s">
        <v>60</v>
      </c>
      <c r="X25" s="52">
        <f t="shared" si="5"/>
        <v>90.213791990220784</v>
      </c>
      <c r="Y25" s="100">
        <f>X25</f>
        <v>90.213791990220784</v>
      </c>
      <c r="Z25" s="100"/>
      <c r="AA25" s="109"/>
      <c r="AB25" s="81"/>
      <c r="AC25" s="100" t="str">
        <f t="shared" si="6"/>
        <v/>
      </c>
      <c r="AD25" s="81">
        <f t="shared" si="7"/>
        <v>90.213791990220784</v>
      </c>
      <c r="AE25" s="97"/>
      <c r="AF25" s="52"/>
      <c r="AH25" s="129">
        <f>22*$H$5/60</f>
        <v>22</v>
      </c>
      <c r="AI25" s="109">
        <f t="shared" si="0"/>
        <v>160</v>
      </c>
      <c r="AJ25" s="100">
        <f t="shared" si="3"/>
        <v>96.984631039295408</v>
      </c>
      <c r="AK25" s="109">
        <f t="shared" si="1"/>
        <v>151.57894736842104</v>
      </c>
      <c r="AL25" s="81">
        <f t="shared" si="2"/>
        <v>94.275003182308225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8"/>
        <v>3694.7966042359535</v>
      </c>
      <c r="T26" s="126">
        <f t="shared" si="4"/>
        <v>88.924105998458572</v>
      </c>
      <c r="U26" s="127"/>
      <c r="V26" s="28"/>
      <c r="W26" s="59" t="s">
        <v>60</v>
      </c>
      <c r="X26" s="52">
        <f t="shared" si="5"/>
        <v>88.924105998458572</v>
      </c>
      <c r="Y26" s="100"/>
      <c r="Z26" s="100"/>
      <c r="AA26" s="109"/>
      <c r="AB26" s="81"/>
      <c r="AC26" s="100">
        <f t="shared" si="6"/>
        <v>88.924105998458572</v>
      </c>
      <c r="AD26" s="81" t="str">
        <f t="shared" si="7"/>
        <v/>
      </c>
      <c r="AE26" s="97"/>
      <c r="AF26" s="52"/>
      <c r="AH26" s="129">
        <f>23*$H$5/60</f>
        <v>23</v>
      </c>
      <c r="AI26" s="109">
        <f t="shared" si="0"/>
        <v>166.66666666666666</v>
      </c>
      <c r="AJ26" s="100">
        <f t="shared" si="3"/>
        <v>98.652243528991193</v>
      </c>
      <c r="AK26" s="109">
        <f t="shared" si="1"/>
        <v>161.05263157894737</v>
      </c>
      <c r="AL26" s="81">
        <f t="shared" si="2"/>
        <v>97.426318980780138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8"/>
        <v>25513.230818600852</v>
      </c>
      <c r="T27" s="126">
        <f t="shared" si="4"/>
        <v>98.586617792808269</v>
      </c>
      <c r="U27" s="127"/>
      <c r="V27" s="28"/>
      <c r="W27" s="59" t="s">
        <v>60</v>
      </c>
      <c r="X27" s="52">
        <f t="shared" si="5"/>
        <v>98.586617792808269</v>
      </c>
      <c r="Y27" s="100"/>
      <c r="Z27" s="100">
        <f>X27</f>
        <v>98.586617792808269</v>
      </c>
      <c r="AA27" s="109"/>
      <c r="AB27" s="81"/>
      <c r="AC27" s="100" t="str">
        <f t="shared" si="6"/>
        <v/>
      </c>
      <c r="AD27" s="81">
        <f t="shared" si="7"/>
        <v>98.586617792808269</v>
      </c>
      <c r="AE27" s="97"/>
      <c r="AF27" s="52"/>
      <c r="AH27" s="129">
        <f>24*$H$5/60</f>
        <v>24</v>
      </c>
      <c r="AI27" s="109">
        <f t="shared" si="0"/>
        <v>173.33333333333331</v>
      </c>
      <c r="AJ27" s="100">
        <f t="shared" si="3"/>
        <v>99.661917887097147</v>
      </c>
      <c r="AK27" s="109">
        <f t="shared" si="1"/>
        <v>170.52631578947367</v>
      </c>
      <c r="AL27" s="81">
        <f t="shared" si="2"/>
        <v>99.35216191162931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8"/>
        <v>47544.567244296632</v>
      </c>
      <c r="T28" s="126">
        <f t="shared" si="4"/>
        <v>93.754076440086436</v>
      </c>
      <c r="U28" s="130"/>
      <c r="V28" s="28"/>
      <c r="W28" s="59" t="s">
        <v>60</v>
      </c>
      <c r="X28" s="52">
        <f t="shared" si="5"/>
        <v>93.754076440086436</v>
      </c>
      <c r="Y28" s="100"/>
      <c r="Z28" s="100">
        <f>X28</f>
        <v>93.754076440086436</v>
      </c>
      <c r="AA28" s="109"/>
      <c r="AB28" s="81"/>
      <c r="AC28" s="100" t="str">
        <f t="shared" si="6"/>
        <v/>
      </c>
      <c r="AD28" s="81">
        <f t="shared" si="7"/>
        <v>93.754076440086436</v>
      </c>
      <c r="AE28" s="97"/>
      <c r="AF28" s="52"/>
      <c r="AH28" s="129">
        <f>25*$H$5/60</f>
        <v>25</v>
      </c>
      <c r="AI28" s="109">
        <f t="shared" si="0"/>
        <v>180</v>
      </c>
      <c r="AJ28" s="100">
        <f t="shared" si="3"/>
        <v>100</v>
      </c>
      <c r="AK28" s="109">
        <f t="shared" si="1"/>
        <v>180</v>
      </c>
      <c r="AL28" s="81">
        <f t="shared" si="2"/>
        <v>100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8"/>
        <v>19317.506972402123</v>
      </c>
      <c r="T29" s="126">
        <f t="shared" si="4"/>
        <v>100.25693882292984</v>
      </c>
      <c r="U29" s="130"/>
      <c r="V29" s="28"/>
      <c r="W29" s="59" t="s">
        <v>60</v>
      </c>
      <c r="X29" s="52">
        <f t="shared" si="5"/>
        <v>100.25693882292984</v>
      </c>
      <c r="Y29" s="100"/>
      <c r="Z29" s="100">
        <f>X29</f>
        <v>100.25693882292984</v>
      </c>
      <c r="AA29" s="109"/>
      <c r="AB29" s="81"/>
      <c r="AC29" s="100">
        <f t="shared" si="6"/>
        <v>100.25693882292984</v>
      </c>
      <c r="AD29" s="81" t="str">
        <f t="shared" si="7"/>
        <v/>
      </c>
      <c r="AE29" s="97"/>
      <c r="AF29" s="52"/>
      <c r="AH29" s="129">
        <f>26*$H$5/60</f>
        <v>26</v>
      </c>
      <c r="AI29" s="109">
        <f t="shared" si="0"/>
        <v>186.66666666666666</v>
      </c>
      <c r="AJ29" s="100">
        <f t="shared" si="3"/>
        <v>100</v>
      </c>
      <c r="AK29" s="109">
        <f t="shared" si="1"/>
        <v>189.4736842105263</v>
      </c>
      <c r="AL29" s="81">
        <f t="shared" si="2"/>
        <v>100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8"/>
        <v>15738.593850282981</v>
      </c>
      <c r="T30" s="126">
        <f t="shared" si="4"/>
        <v>83.894423508971116</v>
      </c>
      <c r="U30" s="130"/>
      <c r="V30" s="28"/>
      <c r="W30" s="59" t="s">
        <v>60</v>
      </c>
      <c r="X30" s="52">
        <f t="shared" si="5"/>
        <v>83.894423508971116</v>
      </c>
      <c r="Y30" s="100"/>
      <c r="Z30" s="100"/>
      <c r="AA30" s="109"/>
      <c r="AB30" s="81"/>
      <c r="AC30" s="100">
        <f t="shared" si="6"/>
        <v>83.894423508971116</v>
      </c>
      <c r="AD30" s="81" t="str">
        <f t="shared" si="7"/>
        <v/>
      </c>
      <c r="AE30" s="97"/>
      <c r="AF30" s="52"/>
      <c r="AH30" s="129">
        <f>27*$H$5/60</f>
        <v>27</v>
      </c>
      <c r="AI30" s="109">
        <f t="shared" si="0"/>
        <v>193.33333333333334</v>
      </c>
      <c r="AJ30" s="100">
        <f t="shared" si="3"/>
        <v>100</v>
      </c>
      <c r="AK30" s="109">
        <f t="shared" si="1"/>
        <v>198.94736842105266</v>
      </c>
      <c r="AL30" s="81">
        <f t="shared" si="2"/>
        <v>100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248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8"/>
        <v>16633.322130812765</v>
      </c>
      <c r="T31" s="126">
        <f t="shared" si="4"/>
        <v>98.044928563588357</v>
      </c>
      <c r="U31" s="130"/>
      <c r="V31" s="28"/>
      <c r="W31" s="59" t="s">
        <v>60</v>
      </c>
      <c r="X31" s="52">
        <f t="shared" si="5"/>
        <v>98.044928563588357</v>
      </c>
      <c r="Y31" s="100"/>
      <c r="Z31" s="100">
        <f>X31</f>
        <v>98.044928563588357</v>
      </c>
      <c r="AA31" s="109"/>
      <c r="AB31" s="81"/>
      <c r="AC31" s="100">
        <f t="shared" si="6"/>
        <v>98.044928563588357</v>
      </c>
      <c r="AD31" s="81" t="str">
        <f t="shared" si="7"/>
        <v/>
      </c>
      <c r="AE31" s="97"/>
      <c r="AF31" s="52"/>
      <c r="AH31" s="129">
        <f>28*$H$5/60</f>
        <v>28</v>
      </c>
      <c r="AI31" s="109">
        <f t="shared" si="0"/>
        <v>200</v>
      </c>
      <c r="AJ31" s="100">
        <f t="shared" si="3"/>
        <v>100</v>
      </c>
      <c r="AK31" s="109">
        <f t="shared" si="1"/>
        <v>208.42105263157896</v>
      </c>
      <c r="AL31" s="81">
        <f t="shared" si="2"/>
        <v>100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8"/>
        <v>12175.850516366183</v>
      </c>
      <c r="T32" s="126">
        <f t="shared" si="4"/>
        <v>95.392122503652331</v>
      </c>
      <c r="U32" s="130"/>
      <c r="V32" s="28"/>
      <c r="W32" s="59" t="s">
        <v>60</v>
      </c>
      <c r="X32" s="52">
        <f t="shared" si="5"/>
        <v>95.392122503652331</v>
      </c>
      <c r="Y32" s="100"/>
      <c r="Z32" s="100">
        <f>X32</f>
        <v>95.392122503652331</v>
      </c>
      <c r="AA32" s="109"/>
      <c r="AB32" s="81"/>
      <c r="AC32" s="100">
        <f t="shared" si="6"/>
        <v>95.392122503652331</v>
      </c>
      <c r="AD32" s="81" t="str">
        <f t="shared" si="7"/>
        <v/>
      </c>
      <c r="AE32" s="97"/>
      <c r="AF32" s="52"/>
      <c r="AH32" s="129">
        <f>29*$H$5/60</f>
        <v>29</v>
      </c>
      <c r="AI32" s="109">
        <f t="shared" si="0"/>
        <v>206.66666666666666</v>
      </c>
      <c r="AJ32" s="100">
        <f t="shared" si="3"/>
        <v>100</v>
      </c>
      <c r="AK32" s="109">
        <f t="shared" si="1"/>
        <v>217.89473684210526</v>
      </c>
      <c r="AL32" s="81">
        <f t="shared" si="2"/>
        <v>100</v>
      </c>
      <c r="AM32" s="109">
        <v>118</v>
      </c>
      <c r="AN32" s="81">
        <v>85</v>
      </c>
      <c r="AO32" s="59"/>
      <c r="AP32" s="100"/>
      <c r="AR32" s="99"/>
      <c r="AT32" s="100"/>
    </row>
    <row r="33" spans="1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8"/>
        <v>12669.02905653772</v>
      </c>
      <c r="T33" s="126">
        <f t="shared" si="4"/>
        <v>101.02088395293613</v>
      </c>
      <c r="U33" s="28"/>
      <c r="V33" s="28"/>
      <c r="W33" s="59" t="s">
        <v>60</v>
      </c>
      <c r="X33" s="52">
        <f t="shared" si="5"/>
        <v>101.02088395293613</v>
      </c>
      <c r="Y33" s="100"/>
      <c r="Z33" s="100"/>
      <c r="AA33" s="109"/>
      <c r="AB33" s="81"/>
      <c r="AC33" s="100">
        <f t="shared" si="6"/>
        <v>101.02088395293613</v>
      </c>
      <c r="AD33" s="81" t="str">
        <f t="shared" si="7"/>
        <v/>
      </c>
      <c r="AE33" s="97"/>
      <c r="AF33" s="52"/>
      <c r="AH33" s="129">
        <f>30*$H$5/60</f>
        <v>30</v>
      </c>
      <c r="AI33" s="109">
        <f t="shared" si="0"/>
        <v>213.33333333333331</v>
      </c>
      <c r="AJ33" s="100">
        <f t="shared" si="3"/>
        <v>100</v>
      </c>
      <c r="AK33" s="109">
        <f t="shared" si="1"/>
        <v>227.36842105263156</v>
      </c>
      <c r="AL33" s="81">
        <f t="shared" si="2"/>
        <v>100</v>
      </c>
      <c r="AM33" s="109">
        <v>118</v>
      </c>
      <c r="AN33" s="81">
        <v>85</v>
      </c>
      <c r="AO33" s="59"/>
      <c r="AP33" s="100"/>
      <c r="AR33" s="99"/>
      <c r="AT33" s="100"/>
    </row>
    <row r="34" spans="1:46" s="728" customFormat="1" ht="18.75" customHeight="1" x14ac:dyDescent="0.4">
      <c r="A34" s="708"/>
      <c r="B34" s="709"/>
      <c r="C34" s="709"/>
      <c r="D34" s="709"/>
      <c r="E34" s="709"/>
      <c r="F34" s="710"/>
      <c r="G34" s="708"/>
      <c r="H34" s="708"/>
      <c r="I34" s="711">
        <v>11</v>
      </c>
      <c r="J34" s="712">
        <f>IF(J$8=1,O30,0.001)</f>
        <v>22.41</v>
      </c>
      <c r="K34" s="713">
        <f>IF(J$8=1,T30,0.001)</f>
        <v>83.894423508971116</v>
      </c>
      <c r="L34" s="714" t="str">
        <f>P30</f>
        <v>20_n-C15</v>
      </c>
      <c r="M34" s="715"/>
      <c r="N34" s="715"/>
      <c r="O34" s="716">
        <f>HLOOKUP($P$172,'Data sheet'!$D$4:$AX$153,29,0)</f>
        <v>23.52</v>
      </c>
      <c r="P34" s="717" t="str">
        <f>'Data sheet'!A32</f>
        <v>24_BS10</v>
      </c>
      <c r="Q34" s="718">
        <f>HLOOKUP(P$171,'Data sheet'!$D$4:$AX$153,29,0)</f>
        <v>17139</v>
      </c>
      <c r="R34" s="719">
        <f>HLOOKUP(Q$171,'Data sheet'!$D$4:$AX$153,29,0)</f>
        <v>46189</v>
      </c>
      <c r="S34" s="720">
        <f t="shared" si="8"/>
        <v>46189</v>
      </c>
      <c r="T34" s="721">
        <f t="shared" si="4"/>
        <v>100</v>
      </c>
      <c r="U34" s="722"/>
      <c r="V34" s="722"/>
      <c r="W34" s="723" t="s">
        <v>60</v>
      </c>
      <c r="X34" s="724">
        <f t="shared" si="5"/>
        <v>100</v>
      </c>
      <c r="Y34" s="715"/>
      <c r="Z34" s="715">
        <f>X34</f>
        <v>100</v>
      </c>
      <c r="AA34" s="725"/>
      <c r="AB34" s="726"/>
      <c r="AC34" s="715" t="str">
        <f t="shared" si="6"/>
        <v/>
      </c>
      <c r="AD34" s="726">
        <f t="shared" si="7"/>
        <v>100</v>
      </c>
      <c r="AE34" s="727"/>
      <c r="AF34" s="724"/>
      <c r="AH34" s="729">
        <f>31*$H$5/60</f>
        <v>31</v>
      </c>
      <c r="AI34" s="725">
        <f t="shared" si="0"/>
        <v>220.00000000000003</v>
      </c>
      <c r="AJ34" s="715">
        <f t="shared" si="3"/>
        <v>100</v>
      </c>
      <c r="AK34" s="725">
        <f t="shared" si="1"/>
        <v>236.84210526315792</v>
      </c>
      <c r="AL34" s="726">
        <f t="shared" si="2"/>
        <v>100</v>
      </c>
      <c r="AM34" s="725">
        <v>118</v>
      </c>
      <c r="AN34" s="726">
        <v>85</v>
      </c>
      <c r="AO34" s="723"/>
      <c r="AP34" s="715"/>
      <c r="AR34" s="730"/>
      <c r="AT34" s="715"/>
    </row>
    <row r="35" spans="1:46" ht="18.75" customHeight="1" x14ac:dyDescent="0.4">
      <c r="C35" s="69"/>
      <c r="I35" s="93"/>
      <c r="J35" s="150">
        <f>IF(J$8=1,O39,0.001)</f>
        <v>26.58</v>
      </c>
      <c r="K35" s="151">
        <f>IF(J$8=1,T39,0.001)</f>
        <v>101.37720567379181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8"/>
        <v>5026.1091662290683</v>
      </c>
      <c r="T35" s="126">
        <f t="shared" si="4"/>
        <v>106.30518541093629</v>
      </c>
      <c r="U35" s="28"/>
      <c r="V35" s="28"/>
      <c r="W35" s="59" t="s">
        <v>60</v>
      </c>
      <c r="X35" s="52">
        <f t="shared" si="5"/>
        <v>106.30518541093629</v>
      </c>
      <c r="Y35" s="100"/>
      <c r="Z35" s="100"/>
      <c r="AA35" s="109"/>
      <c r="AB35" s="81"/>
      <c r="AC35" s="100">
        <f t="shared" si="6"/>
        <v>106.30518541093629</v>
      </c>
      <c r="AD35" s="81" t="str">
        <f t="shared" si="7"/>
        <v/>
      </c>
      <c r="AE35" s="97"/>
      <c r="AF35" s="52"/>
      <c r="AH35" s="129">
        <f>32*$H$5/60</f>
        <v>32</v>
      </c>
      <c r="AI35" s="109">
        <f t="shared" si="0"/>
        <v>226.66666666666669</v>
      </c>
      <c r="AJ35" s="100">
        <f t="shared" si="3"/>
        <v>100</v>
      </c>
      <c r="AK35" s="109">
        <f t="shared" si="1"/>
        <v>246.31578947368422</v>
      </c>
      <c r="AL35" s="81">
        <f t="shared" si="2"/>
        <v>100</v>
      </c>
      <c r="AM35" s="109">
        <v>118</v>
      </c>
      <c r="AN35" s="81">
        <v>85</v>
      </c>
      <c r="AO35" s="59"/>
      <c r="AP35" s="100"/>
      <c r="AR35" s="69"/>
      <c r="AT35" s="117"/>
    </row>
    <row r="36" spans="1:46" ht="18.75" customHeight="1" x14ac:dyDescent="0.4">
      <c r="I36" s="93"/>
      <c r="J36" s="150">
        <f>IF(J$8=1,O42,0.001)</f>
        <v>28.51</v>
      </c>
      <c r="K36" s="151">
        <f>IF(J$8=1,T42,0.001)</f>
        <v>100.39464044653165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8"/>
        <v>27173.32907404166</v>
      </c>
      <c r="T36" s="126">
        <f t="shared" si="4"/>
        <v>112.6962884623493</v>
      </c>
      <c r="U36" s="28"/>
      <c r="V36" s="28"/>
      <c r="W36" s="59" t="s">
        <v>60</v>
      </c>
      <c r="X36" s="52">
        <f t="shared" si="5"/>
        <v>112.6962884623493</v>
      </c>
      <c r="Y36" s="100"/>
      <c r="Z36" s="100"/>
      <c r="AA36" s="109"/>
      <c r="AB36" s="81"/>
      <c r="AC36" s="100" t="str">
        <f t="shared" si="6"/>
        <v/>
      </c>
      <c r="AD36" s="81">
        <f t="shared" si="7"/>
        <v>112.6962884623493</v>
      </c>
      <c r="AE36" s="97"/>
      <c r="AF36" s="52"/>
      <c r="AH36" s="129">
        <f>33*$H$5/60</f>
        <v>33</v>
      </c>
      <c r="AI36" s="109">
        <f t="shared" si="0"/>
        <v>233.33333333333334</v>
      </c>
      <c r="AJ36" s="100">
        <f t="shared" si="3"/>
        <v>100</v>
      </c>
      <c r="AK36" s="109">
        <f t="shared" si="1"/>
        <v>255.78947368421052</v>
      </c>
      <c r="AL36" s="81">
        <f t="shared" si="2"/>
        <v>100</v>
      </c>
      <c r="AM36" s="109">
        <v>118</v>
      </c>
      <c r="AN36" s="81">
        <v>85</v>
      </c>
      <c r="AO36" s="59"/>
      <c r="AP36" s="100"/>
      <c r="AR36" s="69"/>
      <c r="AT36" s="117"/>
    </row>
    <row r="37" spans="1:46" ht="18.75" customHeight="1" x14ac:dyDescent="0.4">
      <c r="I37" s="93"/>
      <c r="J37" s="152">
        <f>IF(J$8=1,O46,0.001)</f>
        <v>30.35</v>
      </c>
      <c r="K37" s="169">
        <f>IF(J$8=1,T46,0.001)</f>
        <v>89.100548403151578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8"/>
        <v>12838.81183266235</v>
      </c>
      <c r="T37" s="126">
        <f t="shared" si="4"/>
        <v>106.91881939259119</v>
      </c>
      <c r="U37" s="28"/>
      <c r="V37" s="28"/>
      <c r="W37" s="59" t="s">
        <v>60</v>
      </c>
      <c r="X37" s="52">
        <f t="shared" si="5"/>
        <v>106.91881939259119</v>
      </c>
      <c r="Y37" s="100"/>
      <c r="Z37" s="100"/>
      <c r="AA37" s="109"/>
      <c r="AB37" s="81"/>
      <c r="AC37" s="100">
        <f t="shared" si="6"/>
        <v>106.91881939259119</v>
      </c>
      <c r="AD37" s="81" t="str">
        <f t="shared" si="7"/>
        <v/>
      </c>
      <c r="AE37" s="97"/>
      <c r="AF37" s="52"/>
      <c r="AH37" s="129">
        <f>34*$H$5/60</f>
        <v>34</v>
      </c>
      <c r="AI37" s="109">
        <f t="shared" si="0"/>
        <v>240</v>
      </c>
      <c r="AJ37" s="100">
        <f t="shared" si="3"/>
        <v>100</v>
      </c>
      <c r="AK37" s="109">
        <f t="shared" si="1"/>
        <v>265.26315789473682</v>
      </c>
      <c r="AL37" s="81">
        <f t="shared" si="2"/>
        <v>100</v>
      </c>
      <c r="AM37" s="109">
        <v>118</v>
      </c>
      <c r="AN37" s="81">
        <v>85</v>
      </c>
      <c r="AO37" s="59"/>
      <c r="AP37" s="100"/>
      <c r="AR37" s="69"/>
      <c r="AT37" s="117"/>
    </row>
    <row r="38" spans="1:46" ht="18.75" customHeight="1" x14ac:dyDescent="0.4">
      <c r="I38" s="93">
        <v>12</v>
      </c>
      <c r="J38" s="155">
        <f>IF(J$9=1,O13,0.001)</f>
        <v>15.55</v>
      </c>
      <c r="K38" s="156">
        <f>IF(J$9=1,T13,0.001)</f>
        <v>52.157414509952822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8"/>
        <v>7923.1962191493094</v>
      </c>
      <c r="T38" s="126">
        <f t="shared" si="4"/>
        <v>97.962366705604722</v>
      </c>
      <c r="U38" s="28"/>
      <c r="V38" s="28"/>
      <c r="W38" s="59" t="s">
        <v>60</v>
      </c>
      <c r="X38" s="52">
        <f t="shared" si="5"/>
        <v>97.962366705604722</v>
      </c>
      <c r="Y38" s="100"/>
      <c r="Z38" s="100"/>
      <c r="AA38" s="109"/>
      <c r="AB38" s="81"/>
      <c r="AC38" s="100">
        <f t="shared" si="6"/>
        <v>97.962366705604722</v>
      </c>
      <c r="AD38" s="81" t="str">
        <f t="shared" si="7"/>
        <v/>
      </c>
      <c r="AE38" s="97"/>
      <c r="AF38" s="52"/>
      <c r="AH38" s="129">
        <f>35*$H$5/60</f>
        <v>35</v>
      </c>
      <c r="AI38" s="109">
        <f t="shared" si="0"/>
        <v>246.66666666666669</v>
      </c>
      <c r="AJ38" s="100">
        <f t="shared" si="3"/>
        <v>100</v>
      </c>
      <c r="AK38" s="109">
        <f t="shared" si="1"/>
        <v>274.73684210526318</v>
      </c>
      <c r="AL38" s="81">
        <f t="shared" si="2"/>
        <v>100</v>
      </c>
      <c r="AM38" s="109">
        <v>118</v>
      </c>
      <c r="AN38" s="81">
        <v>85</v>
      </c>
      <c r="AO38" s="59"/>
      <c r="AP38" s="100"/>
      <c r="AR38" s="69"/>
      <c r="AT38" s="117"/>
    </row>
    <row r="39" spans="1:46" ht="18.75" customHeight="1" x14ac:dyDescent="0.4">
      <c r="I39" s="93"/>
      <c r="J39" s="158">
        <f>IF(J$9=1,O17,0.001)</f>
        <v>17.059999999999999</v>
      </c>
      <c r="K39" s="159">
        <f>IF(J$9=1,T17,0.001)</f>
        <v>80.388235225856619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8"/>
        <v>374869.58982437715</v>
      </c>
      <c r="T39" s="126">
        <f t="shared" si="4"/>
        <v>101.37720567379181</v>
      </c>
      <c r="U39" s="28"/>
      <c r="V39" s="28"/>
      <c r="W39" s="59" t="s">
        <v>60</v>
      </c>
      <c r="X39" s="52">
        <f t="shared" si="5"/>
        <v>101.37720567379181</v>
      </c>
      <c r="Y39" s="100"/>
      <c r="Z39" s="100"/>
      <c r="AA39" s="109"/>
      <c r="AB39" s="81"/>
      <c r="AC39" s="100" t="str">
        <f t="shared" si="6"/>
        <v/>
      </c>
      <c r="AD39" s="81">
        <f t="shared" si="7"/>
        <v>101.37720567379181</v>
      </c>
      <c r="AE39" s="97"/>
      <c r="AF39" s="52"/>
      <c r="AH39" s="129">
        <f>36*$H$5/60</f>
        <v>36</v>
      </c>
      <c r="AI39" s="109">
        <f t="shared" si="0"/>
        <v>253.33333333333334</v>
      </c>
      <c r="AJ39" s="100">
        <f t="shared" si="3"/>
        <v>100</v>
      </c>
      <c r="AK39" s="109">
        <f t="shared" si="1"/>
        <v>284.21052631578948</v>
      </c>
      <c r="AL39" s="81">
        <f t="shared" si="2"/>
        <v>100</v>
      </c>
      <c r="AM39" s="109">
        <v>118</v>
      </c>
      <c r="AN39" s="81">
        <v>85</v>
      </c>
      <c r="AO39" s="59"/>
      <c r="AP39" s="100"/>
      <c r="AR39" s="69"/>
      <c r="AT39" s="117"/>
    </row>
    <row r="40" spans="1:46" ht="18.75" customHeight="1" x14ac:dyDescent="0.4">
      <c r="I40" s="93"/>
      <c r="J40" s="158">
        <f>IF(J$9=1,O36,0.001)</f>
        <v>25.56</v>
      </c>
      <c r="K40" s="159">
        <f>IF(J$9=1,T36,0.001)</f>
        <v>112.6962884623493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8"/>
        <v>138556.22014119843</v>
      </c>
      <c r="T40" s="126">
        <f t="shared" si="4"/>
        <v>115.61960324871779</v>
      </c>
      <c r="U40" s="28"/>
      <c r="V40" s="28"/>
      <c r="W40" s="59" t="s">
        <v>60</v>
      </c>
      <c r="X40" s="52">
        <f t="shared" si="5"/>
        <v>115.61960324871779</v>
      </c>
      <c r="Y40" s="100"/>
      <c r="Z40" s="100"/>
      <c r="AA40" s="109"/>
      <c r="AB40" s="81"/>
      <c r="AC40" s="100" t="str">
        <f t="shared" si="6"/>
        <v/>
      </c>
      <c r="AD40" s="81">
        <f t="shared" si="7"/>
        <v>115.61960324871779</v>
      </c>
      <c r="AE40" s="97"/>
      <c r="AF40" s="52"/>
      <c r="AH40" s="129">
        <f>37*$H$5/60</f>
        <v>37</v>
      </c>
      <c r="AI40" s="109">
        <f t="shared" ref="AI40:AI63" si="9">(AH40-F$5)/(F$6-F$5)*180</f>
        <v>260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293.68421052631578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59"/>
      <c r="AP40" s="100"/>
      <c r="AR40" s="69"/>
      <c r="AT40" s="117"/>
    </row>
    <row r="41" spans="1:46" ht="18.75" customHeight="1" x14ac:dyDescent="0.4">
      <c r="I41" s="93"/>
      <c r="J41" s="158">
        <f>IF(J$9=1,O40,0.001)</f>
        <v>26.7</v>
      </c>
      <c r="K41" s="159">
        <f>IF(J$9=1,T40,0.001)</f>
        <v>115.61960324871779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8"/>
        <v>57133.251648287529</v>
      </c>
      <c r="T41" s="126">
        <f t="shared" si="4"/>
        <v>111.11527412246204</v>
      </c>
      <c r="U41" s="28"/>
      <c r="V41" s="28"/>
      <c r="W41" s="59" t="s">
        <v>60</v>
      </c>
      <c r="X41" s="52">
        <f t="shared" si="5"/>
        <v>111.11527412246204</v>
      </c>
      <c r="Y41" s="100"/>
      <c r="Z41" s="100"/>
      <c r="AA41" s="109"/>
      <c r="AB41" s="81"/>
      <c r="AC41" s="100" t="str">
        <f t="shared" si="6"/>
        <v/>
      </c>
      <c r="AD41" s="81">
        <f t="shared" si="7"/>
        <v>111.11527412246204</v>
      </c>
      <c r="AE41" s="97"/>
      <c r="AF41" s="52"/>
      <c r="AH41" s="129">
        <f>38*$H$5/60</f>
        <v>38</v>
      </c>
      <c r="AI41" s="109">
        <f t="shared" si="9"/>
        <v>266.66666666666663</v>
      </c>
      <c r="AJ41" s="100">
        <f t="shared" si="10"/>
        <v>100</v>
      </c>
      <c r="AK41" s="109">
        <f t="shared" si="11"/>
        <v>303.15789473684208</v>
      </c>
      <c r="AL41" s="81">
        <f t="shared" si="12"/>
        <v>100</v>
      </c>
      <c r="AM41" s="109">
        <v>118</v>
      </c>
      <c r="AN41" s="81">
        <v>85</v>
      </c>
      <c r="AO41" s="59"/>
      <c r="AP41" s="100"/>
      <c r="AR41" s="69"/>
      <c r="AT41" s="117"/>
    </row>
    <row r="42" spans="1:46" ht="18.75" customHeight="1" x14ac:dyDescent="0.4">
      <c r="I42" s="93"/>
      <c r="J42" s="158">
        <f>IF(J$9=1,O43,0.001)</f>
        <v>28.69</v>
      </c>
      <c r="K42" s="159">
        <f>IF(J$9=1,T43,0.001)</f>
        <v>109.82113346606103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8"/>
        <v>335695.58293949469</v>
      </c>
      <c r="T42" s="126">
        <f t="shared" si="4"/>
        <v>100.39464044653165</v>
      </c>
      <c r="U42" s="28"/>
      <c r="V42" s="28"/>
      <c r="W42" s="59" t="s">
        <v>60</v>
      </c>
      <c r="X42" s="52">
        <f t="shared" si="5"/>
        <v>100.39464044653165</v>
      </c>
      <c r="Y42" s="100"/>
      <c r="Z42" s="100"/>
      <c r="AA42" s="109"/>
      <c r="AB42" s="81"/>
      <c r="AC42" s="100" t="str">
        <f t="shared" si="6"/>
        <v/>
      </c>
      <c r="AD42" s="81">
        <f t="shared" si="7"/>
        <v>100.39464044653165</v>
      </c>
      <c r="AE42" s="97"/>
      <c r="AF42" s="52"/>
      <c r="AH42" s="129">
        <f>39*$H$5/60</f>
        <v>39</v>
      </c>
      <c r="AI42" s="109">
        <f t="shared" si="9"/>
        <v>273.33333333333337</v>
      </c>
      <c r="AJ42" s="100">
        <f t="shared" si="10"/>
        <v>100</v>
      </c>
      <c r="AK42" s="109">
        <f t="shared" si="11"/>
        <v>312.63157894736844</v>
      </c>
      <c r="AL42" s="81">
        <f t="shared" si="12"/>
        <v>100</v>
      </c>
      <c r="AM42" s="109">
        <v>118</v>
      </c>
      <c r="AN42" s="81">
        <v>85</v>
      </c>
      <c r="AO42" s="59"/>
      <c r="AP42" s="100"/>
      <c r="AR42" s="69"/>
      <c r="AT42" s="117"/>
    </row>
    <row r="43" spans="1:46" ht="18.75" customHeight="1" x14ac:dyDescent="0.4">
      <c r="I43" s="93"/>
      <c r="J43" s="158">
        <f>IF(J$9=1,O94,0.001)</f>
        <v>19.600000000000001</v>
      </c>
      <c r="K43" s="159">
        <f>IF(J$9=1,T94,0.001)</f>
        <v>93.347590422789324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IF(Q$34&gt;1,Q43/Q$34*R$34,0.0001)</f>
        <v>67166.605227842927</v>
      </c>
      <c r="T43" s="126">
        <f t="shared" ref="T43:T74" si="14">IF(R43&gt;1,100*S43/R43,0.0001)</f>
        <v>109.82113346606103</v>
      </c>
      <c r="U43" s="28"/>
      <c r="V43" s="28"/>
      <c r="W43" s="59" t="s">
        <v>60</v>
      </c>
      <c r="X43" s="52">
        <f t="shared" ref="X43:X74" si="15">IF(R43&gt;1,T43,"")</f>
        <v>109.82113346606103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109.82113346606103</v>
      </c>
      <c r="AE43" s="97"/>
      <c r="AF43" s="52"/>
      <c r="AH43" s="129">
        <f>40*$H$5/60</f>
        <v>40</v>
      </c>
      <c r="AI43" s="109">
        <f t="shared" si="9"/>
        <v>280</v>
      </c>
      <c r="AJ43" s="100">
        <f t="shared" si="10"/>
        <v>100</v>
      </c>
      <c r="AK43" s="109">
        <f t="shared" si="11"/>
        <v>322.10526315789474</v>
      </c>
      <c r="AL43" s="81">
        <f t="shared" si="12"/>
        <v>100</v>
      </c>
      <c r="AM43" s="109">
        <v>118</v>
      </c>
      <c r="AN43" s="81">
        <v>85</v>
      </c>
      <c r="AO43" s="59"/>
      <c r="AP43" s="100"/>
      <c r="AR43" s="69"/>
      <c r="AT43" s="117"/>
    </row>
    <row r="44" spans="1:46" ht="18.75" customHeight="1" x14ac:dyDescent="0.4">
      <c r="I44" s="93"/>
      <c r="J44" s="161">
        <f>IF(J$9=1,O103,0.001)</f>
        <v>21.57</v>
      </c>
      <c r="K44" s="162">
        <f>IF(J$9=1,T103,0.001)</f>
        <v>100.61712008694639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39314.145049302759</v>
      </c>
      <c r="T44" s="126">
        <f t="shared" si="14"/>
        <v>99.964770772230366</v>
      </c>
      <c r="U44" s="28"/>
      <c r="V44" s="28"/>
      <c r="W44" s="59" t="s">
        <v>60</v>
      </c>
      <c r="X44" s="52">
        <f t="shared" si="15"/>
        <v>99.964770772230366</v>
      </c>
      <c r="Y44" s="100">
        <f t="shared" ref="Y44:Y54" si="18">X44</f>
        <v>99.964770772230366</v>
      </c>
      <c r="Z44" s="100"/>
      <c r="AA44" s="109"/>
      <c r="AB44" s="81"/>
      <c r="AC44" s="100" t="str">
        <f t="shared" si="16"/>
        <v/>
      </c>
      <c r="AD44" s="81">
        <f t="shared" si="17"/>
        <v>99.964770772230366</v>
      </c>
      <c r="AE44" s="97"/>
      <c r="AF44" s="52"/>
      <c r="AH44" s="129">
        <f>41*$H$5/60</f>
        <v>41</v>
      </c>
      <c r="AI44" s="109">
        <f t="shared" si="9"/>
        <v>286.66666666666669</v>
      </c>
      <c r="AJ44" s="100">
        <f t="shared" si="10"/>
        <v>100</v>
      </c>
      <c r="AK44" s="109">
        <f t="shared" si="11"/>
        <v>331.57894736842104</v>
      </c>
      <c r="AL44" s="81">
        <f t="shared" si="12"/>
        <v>100</v>
      </c>
      <c r="AM44" s="109">
        <v>118</v>
      </c>
      <c r="AN44" s="81">
        <v>85</v>
      </c>
      <c r="AO44" s="59"/>
      <c r="AP44" s="100"/>
      <c r="AR44" s="69"/>
      <c r="AT44" s="117"/>
    </row>
    <row r="45" spans="1:46" ht="18.75" customHeight="1" x14ac:dyDescent="0.4">
      <c r="I45" s="93">
        <v>13</v>
      </c>
      <c r="J45" s="148">
        <f>IF(J$10=1,O26,0.001)</f>
        <v>21.48</v>
      </c>
      <c r="K45" s="165">
        <f>IF(J$10=1,T26,0.001)</f>
        <v>88.924105998458572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3592.3879456210984</v>
      </c>
      <c r="T45" s="126">
        <f t="shared" si="14"/>
        <v>92.730716200854374</v>
      </c>
      <c r="U45" s="28"/>
      <c r="V45" s="28"/>
      <c r="W45" s="59" t="s">
        <v>60</v>
      </c>
      <c r="X45" s="52">
        <f t="shared" si="15"/>
        <v>92.730716200854374</v>
      </c>
      <c r="Y45" s="100">
        <f t="shared" si="18"/>
        <v>92.730716200854374</v>
      </c>
      <c r="Z45" s="100"/>
      <c r="AA45" s="109"/>
      <c r="AB45" s="81"/>
      <c r="AC45" s="100">
        <f t="shared" si="16"/>
        <v>92.730716200854374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293.33333333333331</v>
      </c>
      <c r="AJ45" s="100">
        <f t="shared" si="10"/>
        <v>100</v>
      </c>
      <c r="AK45" s="109">
        <f t="shared" si="11"/>
        <v>341.05263157894734</v>
      </c>
      <c r="AL45" s="81">
        <f t="shared" si="12"/>
        <v>100</v>
      </c>
      <c r="AM45" s="109">
        <v>118</v>
      </c>
      <c r="AN45" s="81">
        <v>85</v>
      </c>
      <c r="AO45" s="59"/>
      <c r="AP45" s="100"/>
      <c r="AR45" s="69"/>
      <c r="AT45" s="117"/>
    </row>
    <row r="46" spans="1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92.730716200854374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5141.9926483458776</v>
      </c>
      <c r="T46" s="126">
        <f t="shared" si="14"/>
        <v>89.100548403151578</v>
      </c>
      <c r="U46" s="28"/>
      <c r="V46" s="28"/>
      <c r="W46" s="59" t="s">
        <v>60</v>
      </c>
      <c r="X46" s="52">
        <f t="shared" si="15"/>
        <v>89.100548403151578</v>
      </c>
      <c r="Y46" s="100">
        <f t="shared" si="18"/>
        <v>89.100548403151578</v>
      </c>
      <c r="Z46" s="100"/>
      <c r="AA46" s="109"/>
      <c r="AB46" s="81"/>
      <c r="AC46" s="100">
        <f t="shared" si="16"/>
        <v>89.100548403151578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300</v>
      </c>
      <c r="AJ46" s="100">
        <f t="shared" si="10"/>
        <v>100</v>
      </c>
      <c r="AK46" s="109">
        <f t="shared" si="11"/>
        <v>350.5263157894737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1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75.130829257109312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10906.522142482057</v>
      </c>
      <c r="T47" s="126">
        <f t="shared" si="14"/>
        <v>101.93011348114072</v>
      </c>
      <c r="U47" s="28"/>
      <c r="V47" s="28"/>
      <c r="W47" s="59" t="s">
        <v>60</v>
      </c>
      <c r="X47" s="52">
        <f t="shared" si="15"/>
        <v>101.93011348114072</v>
      </c>
      <c r="Y47" s="100">
        <f t="shared" si="18"/>
        <v>101.93011348114072</v>
      </c>
      <c r="Z47" s="100"/>
      <c r="AA47" s="109"/>
      <c r="AB47" s="81"/>
      <c r="AC47" s="100">
        <f t="shared" si="16"/>
        <v>101.93011348114072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306.66666666666669</v>
      </c>
      <c r="AJ47" s="100">
        <f t="shared" si="10"/>
        <v>100</v>
      </c>
      <c r="AK47" s="109">
        <f t="shared" si="11"/>
        <v>360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1:46" ht="18.75" customHeight="1" x14ac:dyDescent="0.4">
      <c r="I48" s="93"/>
      <c r="J48" s="150">
        <f>IF(J$10=1,O101,0.001)</f>
        <v>21.48</v>
      </c>
      <c r="K48" s="151">
        <f>IF(J$10=1,T101,0.001)</f>
        <v>86.329675480633355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145703.26652663515</v>
      </c>
      <c r="T48" s="126">
        <f t="shared" si="14"/>
        <v>97.624937370440577</v>
      </c>
      <c r="U48" s="28"/>
      <c r="V48" s="28"/>
      <c r="W48" s="59" t="s">
        <v>60</v>
      </c>
      <c r="X48" s="52">
        <f t="shared" si="15"/>
        <v>97.624937370440577</v>
      </c>
      <c r="Y48" s="100">
        <f t="shared" si="18"/>
        <v>97.624937370440577</v>
      </c>
      <c r="Z48" s="100"/>
      <c r="AA48" s="109"/>
      <c r="AB48" s="81"/>
      <c r="AC48" s="100" t="str">
        <f t="shared" si="16"/>
        <v/>
      </c>
      <c r="AD48" s="81">
        <f t="shared" si="17"/>
        <v>97.624937370440577</v>
      </c>
      <c r="AE48" s="81"/>
      <c r="AF48" s="52"/>
      <c r="AH48" s="129">
        <f>45*$H$5/60</f>
        <v>45</v>
      </c>
      <c r="AI48" s="109">
        <f t="shared" si="9"/>
        <v>313.33333333333331</v>
      </c>
      <c r="AJ48" s="100">
        <f t="shared" si="10"/>
        <v>100</v>
      </c>
      <c r="AK48" s="109">
        <f t="shared" si="11"/>
        <v>369.47368421052636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111.71552749829306</v>
      </c>
      <c r="L49" s="731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320</v>
      </c>
      <c r="AJ49" s="100">
        <f t="shared" si="10"/>
        <v>100</v>
      </c>
      <c r="AK49" s="109">
        <f t="shared" si="11"/>
        <v>378.9473684210526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92.688505063789492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80886.670517533115</v>
      </c>
      <c r="T50" s="126">
        <f t="shared" si="14"/>
        <v>99.945225584180491</v>
      </c>
      <c r="U50" s="28"/>
      <c r="V50" s="28"/>
      <c r="W50" s="59" t="s">
        <v>60</v>
      </c>
      <c r="X50" s="52">
        <f t="shared" si="15"/>
        <v>99.945225584180491</v>
      </c>
      <c r="Y50" s="100">
        <f t="shared" si="18"/>
        <v>99.945225584180491</v>
      </c>
      <c r="Z50" s="100"/>
      <c r="AA50" s="109"/>
      <c r="AB50" s="81"/>
      <c r="AC50" s="100" t="str">
        <f t="shared" si="16"/>
        <v/>
      </c>
      <c r="AD50" s="81">
        <f t="shared" si="17"/>
        <v>99.945225584180491</v>
      </c>
      <c r="AE50" s="81"/>
      <c r="AF50" s="52"/>
      <c r="AH50" s="129">
        <f>47*$H$5/60</f>
        <v>47</v>
      </c>
      <c r="AI50" s="109">
        <f t="shared" si="9"/>
        <v>326.66666666666669</v>
      </c>
      <c r="AJ50" s="100">
        <f t="shared" si="10"/>
        <v>100</v>
      </c>
      <c r="AK50" s="109">
        <f t="shared" si="11"/>
        <v>388.42105263157896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111.11527412246204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452692.08547756576</v>
      </c>
      <c r="T51" s="126">
        <f t="shared" si="14"/>
        <v>101.41815062159542</v>
      </c>
      <c r="U51" s="28"/>
      <c r="V51" s="28"/>
      <c r="W51" s="171" t="s">
        <v>94</v>
      </c>
      <c r="X51" s="52">
        <f t="shared" si="15"/>
        <v>101.41815062159542</v>
      </c>
      <c r="Y51" s="100">
        <f t="shared" si="18"/>
        <v>101.41815062159542</v>
      </c>
      <c r="Z51" s="100"/>
      <c r="AA51" s="109"/>
      <c r="AB51" s="81"/>
      <c r="AC51" s="100" t="str">
        <f t="shared" si="16"/>
        <v/>
      </c>
      <c r="AD51" s="81">
        <f t="shared" si="17"/>
        <v>101.41815062159542</v>
      </c>
      <c r="AE51" s="81"/>
      <c r="AF51" s="52">
        <f>X51</f>
        <v>101.41815062159542</v>
      </c>
      <c r="AH51" s="129">
        <f>48*$H$5/60</f>
        <v>48</v>
      </c>
      <c r="AI51" s="109">
        <f t="shared" si="9"/>
        <v>333.33333333333331</v>
      </c>
      <c r="AJ51" s="100">
        <f t="shared" si="10"/>
        <v>100</v>
      </c>
      <c r="AK51" s="109">
        <f t="shared" si="11"/>
        <v>397.89473684210532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98.294323877670536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2028049.8708792813</v>
      </c>
      <c r="T52" s="126">
        <f t="shared" si="14"/>
        <v>104.9637020263128</v>
      </c>
      <c r="U52" s="28"/>
      <c r="V52" s="28"/>
      <c r="W52" s="171" t="s">
        <v>94</v>
      </c>
      <c r="X52" s="52">
        <f t="shared" si="15"/>
        <v>104.9637020263128</v>
      </c>
      <c r="Y52" s="100">
        <f t="shared" si="18"/>
        <v>104.9637020263128</v>
      </c>
      <c r="Z52" s="100"/>
      <c r="AA52" s="109"/>
      <c r="AB52" s="81"/>
      <c r="AC52" s="100" t="str">
        <f t="shared" si="16"/>
        <v/>
      </c>
      <c r="AD52" s="81">
        <f t="shared" si="17"/>
        <v>104.9637020263128</v>
      </c>
      <c r="AE52" s="81"/>
      <c r="AF52" s="52">
        <f>X52</f>
        <v>104.9637020263128</v>
      </c>
      <c r="AH52" s="129">
        <f>49*$H$5/60</f>
        <v>49</v>
      </c>
      <c r="AI52" s="109">
        <f t="shared" si="9"/>
        <v>340</v>
      </c>
      <c r="AJ52" s="100">
        <f t="shared" si="10"/>
        <v>100</v>
      </c>
      <c r="AK52" s="109">
        <f t="shared" si="11"/>
        <v>407.36842105263156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92.802558654076151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346.66666666666663</v>
      </c>
      <c r="AJ53" s="100">
        <f t="shared" si="10"/>
        <v>100</v>
      </c>
      <c r="AK53" s="109">
        <f t="shared" si="11"/>
        <v>416.84210526315792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49.202084406784948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8605.0222883482111</v>
      </c>
      <c r="T54" s="126">
        <f t="shared" si="14"/>
        <v>102.01567621041151</v>
      </c>
      <c r="U54" s="28"/>
      <c r="V54" s="28"/>
      <c r="W54" s="59" t="s">
        <v>60</v>
      </c>
      <c r="X54" s="52">
        <f t="shared" si="15"/>
        <v>102.01567621041151</v>
      </c>
      <c r="Y54" s="100">
        <f t="shared" si="18"/>
        <v>102.01567621041151</v>
      </c>
      <c r="Z54" s="100"/>
      <c r="AA54" s="109"/>
      <c r="AB54" s="81"/>
      <c r="AC54" s="100">
        <f t="shared" si="16"/>
        <v>102.01567621041151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353.33333333333337</v>
      </c>
      <c r="AJ54" s="100">
        <f t="shared" si="10"/>
        <v>100</v>
      </c>
      <c r="AK54" s="109">
        <f t="shared" si="11"/>
        <v>426.31578947368416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61.054117094935236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3993.9376859793456</v>
      </c>
      <c r="T55" s="126">
        <f t="shared" si="14"/>
        <v>90.833242801440662</v>
      </c>
      <c r="U55" s="28"/>
      <c r="V55" s="28"/>
      <c r="W55" s="59" t="s">
        <v>60</v>
      </c>
      <c r="X55" s="52">
        <f t="shared" si="15"/>
        <v>90.833242801440662</v>
      </c>
      <c r="Y55" s="100"/>
      <c r="Z55" s="100"/>
      <c r="AA55" s="109"/>
      <c r="AB55" s="81"/>
      <c r="AC55" s="100">
        <f t="shared" si="16"/>
        <v>90.833242801440662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360</v>
      </c>
      <c r="AJ55" s="100">
        <f t="shared" si="10"/>
        <v>100</v>
      </c>
      <c r="AK55" s="109">
        <f t="shared" si="11"/>
        <v>435.78947368421052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72.808441681841856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22993.438823735341</v>
      </c>
      <c r="T56" s="126">
        <f t="shared" si="14"/>
        <v>97.707214650640978</v>
      </c>
      <c r="U56" s="28"/>
      <c r="V56" s="28"/>
      <c r="W56" s="59" t="s">
        <v>60</v>
      </c>
      <c r="X56" s="52">
        <f t="shared" si="15"/>
        <v>97.707214650640978</v>
      </c>
      <c r="Y56" s="100">
        <f>X56</f>
        <v>97.707214650640978</v>
      </c>
      <c r="Z56" s="100"/>
      <c r="AA56" s="109"/>
      <c r="AB56" s="81"/>
      <c r="AC56" s="100" t="str">
        <f t="shared" si="16"/>
        <v/>
      </c>
      <c r="AD56" s="81">
        <f t="shared" si="17"/>
        <v>97.707214650640978</v>
      </c>
      <c r="AE56" s="81"/>
      <c r="AF56" s="52"/>
      <c r="AH56" s="129">
        <f>53*$H$5/60</f>
        <v>53</v>
      </c>
      <c r="AI56" s="109">
        <f t="shared" si="9"/>
        <v>366.66666666666669</v>
      </c>
      <c r="AJ56" s="100">
        <f t="shared" si="10"/>
        <v>100</v>
      </c>
      <c r="AK56" s="109">
        <f t="shared" si="11"/>
        <v>445.26315789473688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55.332335178554629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373.33333333333331</v>
      </c>
      <c r="AJ57" s="100">
        <f t="shared" si="10"/>
        <v>100</v>
      </c>
      <c r="AK57" s="109">
        <f t="shared" si="11"/>
        <v>454.73684210526312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77.270599970142968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61679.657097847019</v>
      </c>
      <c r="T58" s="126">
        <f t="shared" si="14"/>
        <v>100.53242237192478</v>
      </c>
      <c r="U58" s="28"/>
      <c r="V58" s="28"/>
      <c r="W58" s="59" t="s">
        <v>60</v>
      </c>
      <c r="X58" s="52">
        <f t="shared" si="15"/>
        <v>100.53242237192478</v>
      </c>
      <c r="Y58" s="100">
        <f>X58</f>
        <v>100.53242237192478</v>
      </c>
      <c r="Z58" s="100"/>
      <c r="AA58" s="109"/>
      <c r="AB58" s="81"/>
      <c r="AC58" s="100" t="str">
        <f t="shared" si="16"/>
        <v/>
      </c>
      <c r="AD58" s="81">
        <f t="shared" si="17"/>
        <v>100.53242237192478</v>
      </c>
      <c r="AE58" s="81"/>
      <c r="AF58" s="52"/>
      <c r="AH58" s="129">
        <f>55*$H$5/60</f>
        <v>55</v>
      </c>
      <c r="AI58" s="109">
        <f t="shared" si="9"/>
        <v>380</v>
      </c>
      <c r="AJ58" s="100">
        <f t="shared" si="10"/>
        <v>100</v>
      </c>
      <c r="AK58" s="109">
        <f t="shared" si="11"/>
        <v>464.21052631578948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73.821955689791423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69123.149600326738</v>
      </c>
      <c r="T59" s="126">
        <f t="shared" si="14"/>
        <v>101.33427587164725</v>
      </c>
      <c r="U59" s="28"/>
      <c r="V59" s="28"/>
      <c r="W59" s="59" t="s">
        <v>60</v>
      </c>
      <c r="X59" s="52">
        <f t="shared" si="15"/>
        <v>101.33427587164725</v>
      </c>
      <c r="Y59" s="100">
        <f>X59</f>
        <v>101.33427587164725</v>
      </c>
      <c r="Z59" s="100"/>
      <c r="AA59" s="109"/>
      <c r="AB59" s="81"/>
      <c r="AC59" s="100" t="str">
        <f t="shared" si="16"/>
        <v/>
      </c>
      <c r="AD59" s="81">
        <f t="shared" si="17"/>
        <v>101.33427587164725</v>
      </c>
      <c r="AE59" s="81"/>
      <c r="AF59" s="52"/>
      <c r="AH59" s="129">
        <f>56*$H$5/60</f>
        <v>56</v>
      </c>
      <c r="AI59" s="109">
        <f t="shared" si="9"/>
        <v>386.66666666666669</v>
      </c>
      <c r="AJ59" s="100">
        <f t="shared" si="10"/>
        <v>100</v>
      </c>
      <c r="AK59" s="109">
        <f t="shared" si="11"/>
        <v>473.68421052631584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84.629289888405893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57971.385670109106</v>
      </c>
      <c r="T60" s="126">
        <f t="shared" si="14"/>
        <v>100.12329131279638</v>
      </c>
      <c r="U60" s="28"/>
      <c r="V60" s="28"/>
      <c r="W60" s="59" t="s">
        <v>60</v>
      </c>
      <c r="X60" s="52">
        <f t="shared" si="15"/>
        <v>100.12329131279638</v>
      </c>
      <c r="Y60" s="100">
        <f>X60</f>
        <v>100.12329131279638</v>
      </c>
      <c r="Z60" s="100"/>
      <c r="AA60" s="109"/>
      <c r="AB60" s="81"/>
      <c r="AC60" s="100" t="str">
        <f t="shared" si="16"/>
        <v/>
      </c>
      <c r="AD60" s="81">
        <f t="shared" si="17"/>
        <v>100.12329131279638</v>
      </c>
      <c r="AE60" s="81"/>
      <c r="AF60" s="52"/>
      <c r="AH60" s="129">
        <f>57*$H$5/60</f>
        <v>57</v>
      </c>
      <c r="AI60" s="109">
        <f t="shared" si="9"/>
        <v>393.33333333333331</v>
      </c>
      <c r="AJ60" s="100">
        <f t="shared" si="10"/>
        <v>100</v>
      </c>
      <c r="AK60" s="109">
        <f t="shared" si="11"/>
        <v>483.15789473684208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64.528083717067915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18139.80739833129</v>
      </c>
      <c r="T61" s="126">
        <f t="shared" si="14"/>
        <v>107.89797405621752</v>
      </c>
      <c r="U61" s="28"/>
      <c r="V61" s="28"/>
      <c r="W61" s="59" t="s">
        <v>60</v>
      </c>
      <c r="X61" s="52">
        <f t="shared" si="15"/>
        <v>107.89797405621752</v>
      </c>
      <c r="Y61" s="100"/>
      <c r="Z61" s="100">
        <f>X61</f>
        <v>107.89797405621752</v>
      </c>
      <c r="AA61" s="109"/>
      <c r="AB61" s="81"/>
      <c r="AC61" s="100">
        <f t="shared" si="16"/>
        <v>107.89797405621752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400</v>
      </c>
      <c r="AJ61" s="100">
        <f t="shared" si="10"/>
        <v>100</v>
      </c>
      <c r="AK61" s="109">
        <f t="shared" si="11"/>
        <v>492.63157894736844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66.834274981453561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11386.225859151642</v>
      </c>
      <c r="T62" s="126">
        <f t="shared" si="14"/>
        <v>106.20488629000691</v>
      </c>
      <c r="U62" s="28"/>
      <c r="V62" s="28"/>
      <c r="W62" s="59" t="s">
        <v>60</v>
      </c>
      <c r="X62" s="52">
        <f t="shared" si="15"/>
        <v>106.20488629000691</v>
      </c>
      <c r="Y62" s="100"/>
      <c r="Z62" s="100">
        <f>X62</f>
        <v>106.20488629000691</v>
      </c>
      <c r="AA62" s="109"/>
      <c r="AB62" s="81"/>
      <c r="AC62" s="100">
        <f t="shared" si="16"/>
        <v>106.20488629000691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406.66666666666663</v>
      </c>
      <c r="AJ62" s="100">
        <f t="shared" si="10"/>
        <v>100</v>
      </c>
      <c r="AK62" s="109">
        <f t="shared" si="11"/>
        <v>502.10526315789468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69.973075381147723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2350.0092187408836</v>
      </c>
      <c r="T63" s="126">
        <f t="shared" si="14"/>
        <v>90.874293068092939</v>
      </c>
      <c r="U63" s="28"/>
      <c r="V63" s="28"/>
      <c r="W63" s="59" t="s">
        <v>60</v>
      </c>
      <c r="X63" s="52">
        <f t="shared" si="15"/>
        <v>90.874293068092939</v>
      </c>
      <c r="Y63" s="100"/>
      <c r="Z63" s="100"/>
      <c r="AA63" s="109"/>
      <c r="AB63" s="81"/>
      <c r="AC63" s="100">
        <f t="shared" si="16"/>
        <v>90.874293068092939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413.33333333333331</v>
      </c>
      <c r="AJ63" s="107">
        <f t="shared" si="10"/>
        <v>100</v>
      </c>
      <c r="AK63" s="80">
        <f t="shared" si="11"/>
        <v>511.57894736842104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70.057395726241211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14660.607970126614</v>
      </c>
      <c r="T64" s="126">
        <f t="shared" si="14"/>
        <v>101.33126880098571</v>
      </c>
      <c r="U64" s="28"/>
      <c r="V64" s="28"/>
      <c r="W64" s="59" t="s">
        <v>60</v>
      </c>
      <c r="X64" s="52">
        <f t="shared" si="15"/>
        <v>101.33126880098571</v>
      </c>
      <c r="Y64" s="100"/>
      <c r="Z64" s="100">
        <f>X64</f>
        <v>101.33126880098571</v>
      </c>
      <c r="AA64" s="109"/>
      <c r="AB64" s="81"/>
      <c r="AC64" s="100">
        <f t="shared" si="16"/>
        <v>101.33126880098571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71.836311629708888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33261.254332224751</v>
      </c>
      <c r="T65" s="126">
        <f t="shared" si="14"/>
        <v>103.93817172033609</v>
      </c>
      <c r="U65" s="28"/>
      <c r="V65" s="28"/>
      <c r="W65" s="59" t="s">
        <v>60</v>
      </c>
      <c r="X65" s="52">
        <f t="shared" si="15"/>
        <v>103.93817172033609</v>
      </c>
      <c r="Y65" s="100"/>
      <c r="Z65" s="100">
        <f>X65</f>
        <v>103.93817172033609</v>
      </c>
      <c r="AA65" s="109"/>
      <c r="AB65" s="81"/>
      <c r="AC65" s="100" t="str">
        <f t="shared" si="16"/>
        <v/>
      </c>
      <c r="AD65" s="81">
        <f t="shared" si="17"/>
        <v>103.93817172033609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75.478499604885471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78.133696476634782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24914.948655114069</v>
      </c>
      <c r="T67" s="126">
        <f t="shared" si="14"/>
        <v>103.70426079131765</v>
      </c>
      <c r="U67" s="28"/>
      <c r="V67" s="28"/>
      <c r="W67" s="59" t="s">
        <v>60</v>
      </c>
      <c r="X67" s="52">
        <f t="shared" si="15"/>
        <v>103.70426079131765</v>
      </c>
      <c r="Y67" s="100"/>
      <c r="Z67" s="100">
        <f>X67</f>
        <v>103.70426079131765</v>
      </c>
      <c r="AA67" s="109"/>
      <c r="AB67" s="81"/>
      <c r="AC67" s="100" t="str">
        <f t="shared" si="16"/>
        <v/>
      </c>
      <c r="AD67" s="81">
        <f t="shared" si="17"/>
        <v>103.70426079131765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86.911864922101003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19287.862360697822</v>
      </c>
      <c r="T68" s="126">
        <f t="shared" si="14"/>
        <v>91.105107745018287</v>
      </c>
      <c r="U68" s="28"/>
      <c r="V68" s="28"/>
      <c r="W68" s="59" t="s">
        <v>60</v>
      </c>
      <c r="X68" s="52">
        <f t="shared" si="15"/>
        <v>91.105107745018287</v>
      </c>
      <c r="Y68" s="100">
        <f>X68</f>
        <v>91.105107745018287</v>
      </c>
      <c r="Z68" s="100"/>
      <c r="AA68" s="109"/>
      <c r="AB68" s="81"/>
      <c r="AC68" s="100">
        <f t="shared" si="16"/>
        <v>91.105107745018287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93.816324256871169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13270.006184724896</v>
      </c>
      <c r="T69" s="126">
        <f t="shared" si="14"/>
        <v>98.911793267180201</v>
      </c>
      <c r="U69" s="28"/>
      <c r="V69" s="28"/>
      <c r="W69" s="59" t="s">
        <v>60</v>
      </c>
      <c r="X69" s="52">
        <f t="shared" si="15"/>
        <v>98.911793267180201</v>
      </c>
      <c r="Y69" s="100"/>
      <c r="Z69" s="100">
        <f>X69</f>
        <v>98.911793267180201</v>
      </c>
      <c r="AA69" s="109"/>
      <c r="AB69" s="81"/>
      <c r="AC69" s="100">
        <f t="shared" si="16"/>
        <v>98.911793267180201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98.586617792808269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30162.044926775194</v>
      </c>
      <c r="T70" s="126">
        <f t="shared" si="14"/>
        <v>107.25808088892713</v>
      </c>
      <c r="U70" s="28"/>
      <c r="V70" s="28"/>
      <c r="W70" s="59" t="s">
        <v>60</v>
      </c>
      <c r="X70" s="52">
        <f t="shared" si="15"/>
        <v>107.25808088892713</v>
      </c>
      <c r="Y70" s="100"/>
      <c r="Z70" s="100">
        <f>X70</f>
        <v>107.25808088892713</v>
      </c>
      <c r="AA70" s="109"/>
      <c r="AB70" s="81"/>
      <c r="AC70" s="100" t="str">
        <f t="shared" si="16"/>
        <v/>
      </c>
      <c r="AD70" s="81">
        <f t="shared" si="17"/>
        <v>107.25808088892713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93.754076440086436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100.25693882292984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94065.047902444712</v>
      </c>
      <c r="T72" s="126">
        <f t="shared" si="14"/>
        <v>109.61631443073277</v>
      </c>
      <c r="U72" s="28"/>
      <c r="V72" s="28"/>
      <c r="W72" s="59" t="s">
        <v>60</v>
      </c>
      <c r="X72" s="52">
        <f t="shared" si="15"/>
        <v>109.61631443073277</v>
      </c>
      <c r="Y72" s="100"/>
      <c r="Z72" s="100">
        <f>X72</f>
        <v>109.61631443073277</v>
      </c>
      <c r="AA72" s="109"/>
      <c r="AB72" s="81"/>
      <c r="AC72" s="100" t="str">
        <f t="shared" si="16"/>
        <v/>
      </c>
      <c r="AD72" s="81">
        <f t="shared" si="17"/>
        <v>109.61631443073277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98.044928563588357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14121.615030048426</v>
      </c>
      <c r="T73" s="126">
        <f t="shared" si="14"/>
        <v>95.863247777125977</v>
      </c>
      <c r="U73" s="28"/>
      <c r="V73" s="28"/>
      <c r="W73" s="59" t="s">
        <v>60</v>
      </c>
      <c r="X73" s="52">
        <f t="shared" si="15"/>
        <v>95.863247777125977</v>
      </c>
      <c r="Y73" s="100">
        <f>X73</f>
        <v>95.863247777125977</v>
      </c>
      <c r="Z73" s="100">
        <f>X73</f>
        <v>95.863247777125977</v>
      </c>
      <c r="AA73" s="109"/>
      <c r="AB73" s="81"/>
      <c r="AC73" s="100">
        <f t="shared" si="16"/>
        <v>95.863247777125977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95.392122503652331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197729.56006768189</v>
      </c>
      <c r="T74" s="126">
        <f t="shared" si="14"/>
        <v>107.34095884938243</v>
      </c>
      <c r="U74" s="28"/>
      <c r="V74" s="28"/>
      <c r="W74" s="59" t="s">
        <v>60</v>
      </c>
      <c r="X74" s="52">
        <f t="shared" si="15"/>
        <v>107.34095884938243</v>
      </c>
      <c r="Y74" s="100"/>
      <c r="Z74" s="100">
        <f>X74</f>
        <v>107.34095884938243</v>
      </c>
      <c r="AA74" s="109"/>
      <c r="AB74" s="81"/>
      <c r="AC74" s="100" t="str">
        <f t="shared" si="16"/>
        <v/>
      </c>
      <c r="AD74" s="81">
        <f t="shared" si="17"/>
        <v>107.34095884938243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100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IF(Q$34&gt;1,Q75/Q$34*R$34,0.0001)</f>
        <v>10030.658614855009</v>
      </c>
      <c r="T75" s="126">
        <f t="shared" ref="T75:T106" si="25">IF(R75&gt;1,100*S75/R75,0.0001)</f>
        <v>93.858506735800589</v>
      </c>
      <c r="U75" s="28"/>
      <c r="V75" s="28"/>
      <c r="W75" s="59" t="s">
        <v>60</v>
      </c>
      <c r="X75" s="52">
        <f t="shared" ref="X75:X106" si="26">IF(R75&gt;1,T75,"")</f>
        <v>93.858506735800589</v>
      </c>
      <c r="Y75" s="100">
        <f>X75</f>
        <v>93.858506735800589</v>
      </c>
      <c r="Z75" s="100"/>
      <c r="AA75" s="109"/>
      <c r="AB75" s="81"/>
      <c r="AC75" s="100">
        <f t="shared" ref="AC75:AC106" si="27">IF(Q75&lt;AC$9,X75,"")</f>
        <v>93.858506735800589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100.87445031540091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60749.894276212144</v>
      </c>
      <c r="T76" s="126">
        <f t="shared" si="25"/>
        <v>107.8789875805092</v>
      </c>
      <c r="U76" s="28"/>
      <c r="V76" s="28"/>
      <c r="W76" s="59" t="s">
        <v>60</v>
      </c>
      <c r="X76" s="52">
        <f t="shared" si="26"/>
        <v>107.8789875805092</v>
      </c>
      <c r="Y76" s="100"/>
      <c r="Z76" s="100">
        <f>X76</f>
        <v>107.8789875805092</v>
      </c>
      <c r="AA76" s="109"/>
      <c r="AB76" s="81"/>
      <c r="AC76" s="100" t="str">
        <f t="shared" si="27"/>
        <v/>
      </c>
      <c r="AD76" s="81">
        <f t="shared" si="28"/>
        <v>107.8789875805092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8384.0351829161555</v>
      </c>
      <c r="T78" s="123">
        <f t="shared" si="25"/>
        <v>49.202084406784948</v>
      </c>
      <c r="U78" s="210"/>
      <c r="V78" s="210"/>
      <c r="W78" s="98" t="s">
        <v>60</v>
      </c>
      <c r="X78" s="89">
        <f t="shared" si="26"/>
        <v>49.202084406784948</v>
      </c>
      <c r="Y78" s="43"/>
      <c r="Z78" s="43"/>
      <c r="AA78" s="47"/>
      <c r="AB78" s="45">
        <f>X78</f>
        <v>49.202084406784948</v>
      </c>
      <c r="AC78" s="43">
        <f t="shared" si="27"/>
        <v>49.202084406784948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107.89797405621752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3223.1777816675421</v>
      </c>
      <c r="T79" s="126">
        <f t="shared" si="25"/>
        <v>64.528083717067915</v>
      </c>
      <c r="U79" s="28"/>
      <c r="V79" s="28"/>
      <c r="W79" s="59" t="s">
        <v>60</v>
      </c>
      <c r="X79" s="52">
        <f t="shared" si="26"/>
        <v>64.528083717067915</v>
      </c>
      <c r="Y79" s="100"/>
      <c r="Z79" s="100"/>
      <c r="AA79" s="109"/>
      <c r="AB79" s="81">
        <f>X79</f>
        <v>64.528083717067915</v>
      </c>
      <c r="AC79" s="100">
        <f t="shared" si="27"/>
        <v>64.528083717067915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106.20488629000691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94043.488184841597</v>
      </c>
      <c r="T80" s="126">
        <f t="shared" si="25"/>
        <v>61.054117094935236</v>
      </c>
      <c r="U80" s="28"/>
      <c r="V80" s="28"/>
      <c r="W80" s="171" t="s">
        <v>94</v>
      </c>
      <c r="X80" s="52">
        <f t="shared" si="26"/>
        <v>61.054117094935236</v>
      </c>
      <c r="Y80" s="100"/>
      <c r="Z80" s="100"/>
      <c r="AA80" s="109"/>
      <c r="AB80" s="81">
        <f>X80</f>
        <v>61.054117094935236</v>
      </c>
      <c r="AC80" s="100" t="str">
        <f t="shared" si="27"/>
        <v/>
      </c>
      <c r="AD80" s="81">
        <f t="shared" si="28"/>
        <v>61.054117094935236</v>
      </c>
      <c r="AE80" s="97"/>
      <c r="AF80" s="52">
        <f>X80</f>
        <v>61.054117094935236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5088.0933543380597</v>
      </c>
      <c r="T81" s="126">
        <f t="shared" si="25"/>
        <v>66.834274981453561</v>
      </c>
      <c r="U81" s="212"/>
      <c r="V81" s="28"/>
      <c r="W81" s="59" t="s">
        <v>60</v>
      </c>
      <c r="X81" s="52">
        <f t="shared" si="26"/>
        <v>66.834274981453561</v>
      </c>
      <c r="Y81" s="109"/>
      <c r="Z81" s="100"/>
      <c r="AA81" s="109"/>
      <c r="AB81" s="81">
        <f>X81</f>
        <v>66.834274981453561</v>
      </c>
      <c r="AC81" s="100">
        <f t="shared" si="27"/>
        <v>66.834274981453561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102.31287634763595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15838.307544197445</v>
      </c>
      <c r="T82" s="126">
        <f t="shared" si="25"/>
        <v>47.230594453979378</v>
      </c>
      <c r="U82" s="28"/>
      <c r="V82" s="128"/>
      <c r="W82" s="59" t="s">
        <v>60</v>
      </c>
      <c r="X82" s="52">
        <f t="shared" si="26"/>
        <v>47.230594453979378</v>
      </c>
      <c r="Y82" s="100"/>
      <c r="Z82" s="81"/>
      <c r="AA82" s="109"/>
      <c r="AB82" s="81"/>
      <c r="AC82" s="109">
        <f t="shared" si="27"/>
        <v>47.230594453979378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103.93817172033609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6403.2361281288286</v>
      </c>
      <c r="T83" s="126">
        <f t="shared" si="25"/>
        <v>69.973075381147723</v>
      </c>
      <c r="U83" s="28"/>
      <c r="V83" s="28"/>
      <c r="W83" s="59" t="s">
        <v>60</v>
      </c>
      <c r="X83" s="52">
        <f t="shared" si="26"/>
        <v>69.973075381147723</v>
      </c>
      <c r="Y83" s="99"/>
      <c r="Z83" s="99"/>
      <c r="AA83" s="109"/>
      <c r="AB83" s="81">
        <f>X83</f>
        <v>69.973075381147723</v>
      </c>
      <c r="AC83" s="109">
        <f t="shared" si="27"/>
        <v>69.973075381147723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103.70426079131765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31725.124453001921</v>
      </c>
      <c r="T84" s="126">
        <f t="shared" si="25"/>
        <v>11.401088338053762</v>
      </c>
      <c r="U84" s="28"/>
      <c r="V84" s="28"/>
      <c r="W84" s="59" t="s">
        <v>60</v>
      </c>
      <c r="X84" s="52">
        <f t="shared" si="26"/>
        <v>11.401088338053762</v>
      </c>
      <c r="Y84" s="100"/>
      <c r="Z84" s="100"/>
      <c r="AA84" s="109">
        <f>X84</f>
        <v>11.401088338053762</v>
      </c>
      <c r="AB84" s="81"/>
      <c r="AC84" s="109" t="str">
        <f t="shared" si="27"/>
        <v/>
      </c>
      <c r="AD84" s="81">
        <f t="shared" si="28"/>
        <v>11.401088338053762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107.25808088892713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6139.1295874905181</v>
      </c>
      <c r="T85" s="126">
        <f t="shared" si="25"/>
        <v>70.057395726241211</v>
      </c>
      <c r="U85" s="28"/>
      <c r="V85" s="28"/>
      <c r="W85" s="59" t="s">
        <v>60</v>
      </c>
      <c r="X85" s="52">
        <f t="shared" si="26"/>
        <v>70.057395726241211</v>
      </c>
      <c r="Y85" s="100"/>
      <c r="Z85" s="100"/>
      <c r="AA85" s="109"/>
      <c r="AB85" s="81">
        <f>X85</f>
        <v>70.057395726241211</v>
      </c>
      <c r="AC85" s="109">
        <f t="shared" si="27"/>
        <v>70.057395726241211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109.61631443073277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4826.6817784001396</v>
      </c>
      <c r="T86" s="126">
        <f t="shared" si="25"/>
        <v>71.836311629708888</v>
      </c>
      <c r="U86" s="28"/>
      <c r="V86" s="28"/>
      <c r="W86" s="59" t="s">
        <v>60</v>
      </c>
      <c r="X86" s="52">
        <f t="shared" si="26"/>
        <v>71.836311629708888</v>
      </c>
      <c r="AA86" s="109"/>
      <c r="AB86" s="81">
        <f>X86</f>
        <v>71.836311629708888</v>
      </c>
      <c r="AC86" s="109">
        <f t="shared" si="27"/>
        <v>71.836311629708888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95.863247777125977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154383.74782659431</v>
      </c>
      <c r="T87" s="126">
        <f t="shared" si="25"/>
        <v>72.808441681841856</v>
      </c>
      <c r="U87" s="28"/>
      <c r="V87" s="28"/>
      <c r="W87" s="171" t="s">
        <v>94</v>
      </c>
      <c r="X87" s="52">
        <f t="shared" si="26"/>
        <v>72.808441681841856</v>
      </c>
      <c r="AA87" s="109"/>
      <c r="AB87" s="81">
        <f>X87</f>
        <v>72.808441681841856</v>
      </c>
      <c r="AC87" s="109" t="str">
        <f t="shared" si="27"/>
        <v/>
      </c>
      <c r="AD87" s="81">
        <f t="shared" si="28"/>
        <v>72.808441681841856</v>
      </c>
      <c r="AE87" s="97"/>
      <c r="AF87" s="52">
        <f>X87</f>
        <v>72.808441681841856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107.34095884938243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5427.658906587315</v>
      </c>
      <c r="T88" s="126">
        <f t="shared" si="25"/>
        <v>75.478499604885471</v>
      </c>
      <c r="U88" s="28"/>
      <c r="V88" s="28"/>
      <c r="W88" s="59" t="s">
        <v>60</v>
      </c>
      <c r="X88" s="52">
        <f t="shared" si="26"/>
        <v>75.478499604885471</v>
      </c>
      <c r="AA88" s="109"/>
      <c r="AB88" s="81">
        <f>X88</f>
        <v>75.478499604885471</v>
      </c>
      <c r="AC88" s="109">
        <f t="shared" si="27"/>
        <v>75.478499604885471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107.8789875805092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3737.9160394422083</v>
      </c>
      <c r="T89" s="126">
        <f t="shared" si="25"/>
        <v>78.133696476634782</v>
      </c>
      <c r="U89" s="28"/>
      <c r="V89" s="28"/>
      <c r="W89" s="59" t="s">
        <v>60</v>
      </c>
      <c r="X89" s="52">
        <f t="shared" si="26"/>
        <v>78.133696476634782</v>
      </c>
      <c r="AA89" s="109"/>
      <c r="AB89" s="81">
        <f>X89</f>
        <v>78.133696476634782</v>
      </c>
      <c r="AC89" s="109">
        <f t="shared" si="27"/>
        <v>78.133696476634782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170068.44238286949</v>
      </c>
      <c r="T90" s="126">
        <f t="shared" si="25"/>
        <v>43.922294605896518</v>
      </c>
      <c r="U90" s="28"/>
      <c r="V90" s="28"/>
      <c r="W90" s="59" t="s">
        <v>60</v>
      </c>
      <c r="X90" s="52">
        <f t="shared" si="26"/>
        <v>43.922294605896518</v>
      </c>
      <c r="AA90" s="109">
        <f>X90</f>
        <v>43.922294605896518</v>
      </c>
      <c r="AB90" s="81"/>
      <c r="AC90" s="109" t="str">
        <f t="shared" si="27"/>
        <v/>
      </c>
      <c r="AD90" s="81">
        <f t="shared" si="28"/>
        <v>43.922294605896518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107.87516310923702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12836.116867961957</v>
      </c>
      <c r="T91" s="126">
        <f t="shared" si="25"/>
        <v>77.855988766676504</v>
      </c>
      <c r="U91" s="28"/>
      <c r="V91" s="28"/>
      <c r="W91" s="59" t="s">
        <v>60</v>
      </c>
      <c r="X91" s="52">
        <f t="shared" si="26"/>
        <v>77.855988766676504</v>
      </c>
      <c r="AA91" s="109"/>
      <c r="AB91" s="81"/>
      <c r="AC91" s="109">
        <f t="shared" si="27"/>
        <v>77.855988766676504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5651.3409767197618</v>
      </c>
      <c r="T92" s="126">
        <f t="shared" si="25"/>
        <v>75.130829257109312</v>
      </c>
      <c r="U92" s="28"/>
      <c r="V92" s="28"/>
      <c r="W92" s="59" t="s">
        <v>60</v>
      </c>
      <c r="X92" s="52">
        <f t="shared" si="26"/>
        <v>75.130829257109312</v>
      </c>
      <c r="Y92" s="100"/>
      <c r="Z92" s="100"/>
      <c r="AA92" s="109"/>
      <c r="AB92" s="81"/>
      <c r="AC92" s="109">
        <f t="shared" si="27"/>
        <v>75.130829257109312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108.63145308888942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4648.8141081743388</v>
      </c>
      <c r="T93" s="126">
        <f t="shared" si="25"/>
        <v>93.405949531330904</v>
      </c>
      <c r="U93" s="28"/>
      <c r="V93" s="28"/>
      <c r="W93" s="59" t="s">
        <v>60</v>
      </c>
      <c r="X93" s="52">
        <f t="shared" si="26"/>
        <v>93.405949531330904</v>
      </c>
      <c r="Y93" s="99"/>
      <c r="Z93" s="99"/>
      <c r="AA93" s="109"/>
      <c r="AB93" s="81"/>
      <c r="AC93" s="109">
        <f t="shared" si="27"/>
        <v>93.405949531330904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107.22111221220639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16673.746601318628</v>
      </c>
      <c r="T94" s="126">
        <f t="shared" si="25"/>
        <v>93.347590422789324</v>
      </c>
      <c r="U94" s="28"/>
      <c r="V94" s="28"/>
      <c r="W94" s="59" t="s">
        <v>60</v>
      </c>
      <c r="X94" s="52">
        <f t="shared" si="26"/>
        <v>93.347590422789324</v>
      </c>
      <c r="Y94" s="100"/>
      <c r="Z94" s="100"/>
      <c r="AA94" s="109"/>
      <c r="AB94" s="81"/>
      <c r="AC94" s="109">
        <f t="shared" si="27"/>
        <v>93.347590422789324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97.518420849555369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227961.67407666723</v>
      </c>
      <c r="T95" s="126">
        <f t="shared" si="25"/>
        <v>94.044370859770808</v>
      </c>
      <c r="U95" s="28"/>
      <c r="V95" s="28"/>
      <c r="W95" s="59" t="s">
        <v>60</v>
      </c>
      <c r="X95" s="52">
        <f t="shared" si="26"/>
        <v>94.044370859770808</v>
      </c>
      <c r="Y95" s="100"/>
      <c r="Z95" s="100"/>
      <c r="AA95" s="109">
        <f>X95</f>
        <v>94.044370859770808</v>
      </c>
      <c r="AB95" s="81"/>
      <c r="AC95" s="109" t="str">
        <f t="shared" si="27"/>
        <v/>
      </c>
      <c r="AD95" s="81">
        <f t="shared" si="28"/>
        <v>94.044370859770808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96.281384434542801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190229.47330649398</v>
      </c>
      <c r="T96" s="126">
        <f t="shared" si="25"/>
        <v>91.23059410905401</v>
      </c>
      <c r="U96" s="28"/>
      <c r="V96" s="28"/>
      <c r="W96" s="59" t="s">
        <v>60</v>
      </c>
      <c r="X96" s="52">
        <f t="shared" si="26"/>
        <v>91.23059410905401</v>
      </c>
      <c r="AA96" s="109">
        <f>X96</f>
        <v>91.23059410905401</v>
      </c>
      <c r="AB96" s="81"/>
      <c r="AC96" s="109" t="str">
        <f t="shared" si="27"/>
        <v/>
      </c>
      <c r="AD96" s="81">
        <f t="shared" si="28"/>
        <v>91.23059410905401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101.33126880098571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32029.655464146097</v>
      </c>
      <c r="T97" s="126">
        <f t="shared" si="25"/>
        <v>100.87445031540091</v>
      </c>
      <c r="U97" s="28"/>
      <c r="V97" s="28"/>
      <c r="W97" s="59" t="s">
        <v>60</v>
      </c>
      <c r="X97" s="52">
        <f t="shared" si="26"/>
        <v>100.87445031540091</v>
      </c>
      <c r="AA97" s="109"/>
      <c r="AB97" s="81">
        <f>X97</f>
        <v>100.87445031540091</v>
      </c>
      <c r="AC97" s="109" t="str">
        <f t="shared" si="27"/>
        <v/>
      </c>
      <c r="AD97" s="81">
        <f t="shared" si="28"/>
        <v>100.87445031540091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98.911793267180201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76148.92257424588</v>
      </c>
      <c r="T98" s="126">
        <f t="shared" si="25"/>
        <v>89.735823630075629</v>
      </c>
      <c r="U98" s="28"/>
      <c r="V98" s="28"/>
      <c r="W98" s="171" t="s">
        <v>94</v>
      </c>
      <c r="X98" s="52">
        <f t="shared" si="26"/>
        <v>89.735823630075629</v>
      </c>
      <c r="AA98" s="109">
        <f>X98</f>
        <v>89.735823630075629</v>
      </c>
      <c r="AB98" s="81"/>
      <c r="AC98" s="109" t="str">
        <f t="shared" si="27"/>
        <v/>
      </c>
      <c r="AD98" s="81">
        <f t="shared" si="28"/>
        <v>89.735823630075629</v>
      </c>
      <c r="AE98" s="97"/>
      <c r="AF98" s="52">
        <f>X98</f>
        <v>89.735823630075629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96.481708384386508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94.246248750487879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13113.698232102224</v>
      </c>
      <c r="T100" s="126">
        <f t="shared" si="25"/>
        <v>87.775757912330818</v>
      </c>
      <c r="U100" s="28"/>
      <c r="V100" s="28"/>
      <c r="W100" s="59" t="s">
        <v>60</v>
      </c>
      <c r="X100" s="52">
        <f t="shared" si="26"/>
        <v>87.775757912330818</v>
      </c>
      <c r="AA100" s="109"/>
      <c r="AB100" s="81"/>
      <c r="AC100" s="109">
        <f t="shared" si="27"/>
        <v>87.775757912330818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99.718284995725412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3586.998016220316</v>
      </c>
      <c r="T101" s="126">
        <f t="shared" si="25"/>
        <v>86.329675480633355</v>
      </c>
      <c r="U101" s="28"/>
      <c r="V101" s="28"/>
      <c r="W101" s="59" t="s">
        <v>60</v>
      </c>
      <c r="X101" s="52">
        <f t="shared" si="26"/>
        <v>86.329675480633355</v>
      </c>
      <c r="AA101" s="109"/>
      <c r="AB101" s="81"/>
      <c r="AC101" s="109">
        <f t="shared" si="27"/>
        <v>86.329675480633355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98.107983239318287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41488.981562518231</v>
      </c>
      <c r="T102" s="126">
        <f t="shared" si="25"/>
        <v>89.702027074544304</v>
      </c>
      <c r="U102" s="28"/>
      <c r="V102" s="28"/>
      <c r="W102" s="59" t="s">
        <v>60</v>
      </c>
      <c r="X102" s="52">
        <f t="shared" si="26"/>
        <v>89.702027074544304</v>
      </c>
      <c r="AA102" s="109">
        <f>X102</f>
        <v>89.702027074544304</v>
      </c>
      <c r="AB102" s="81"/>
      <c r="AC102" s="109" t="str">
        <f t="shared" si="27"/>
        <v/>
      </c>
      <c r="AD102" s="81">
        <f t="shared" si="28"/>
        <v>89.702027074544304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101.25189044186169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30455.796079117801</v>
      </c>
      <c r="T103" s="126">
        <f t="shared" si="25"/>
        <v>100.61712008694639</v>
      </c>
      <c r="U103" s="28"/>
      <c r="V103" s="28"/>
      <c r="W103" s="59" t="s">
        <v>60</v>
      </c>
      <c r="X103" s="52">
        <f t="shared" si="26"/>
        <v>100.61712008694639</v>
      </c>
      <c r="AA103" s="109"/>
      <c r="AB103" s="81"/>
      <c r="AC103" s="109" t="str">
        <f t="shared" si="27"/>
        <v/>
      </c>
      <c r="AD103" s="81">
        <f t="shared" si="28"/>
        <v>100.61712008694639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98.162593829988552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5085.3983896376685</v>
      </c>
      <c r="T104" s="126">
        <f t="shared" si="25"/>
        <v>94.313768353814325</v>
      </c>
      <c r="U104" s="28"/>
      <c r="V104" s="28"/>
      <c r="W104" s="59" t="s">
        <v>60</v>
      </c>
      <c r="X104" s="52">
        <f t="shared" si="26"/>
        <v>94.313768353814325</v>
      </c>
      <c r="AA104" s="109"/>
      <c r="AB104" s="81"/>
      <c r="AC104" s="109">
        <f t="shared" si="27"/>
        <v>94.313768353814325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56.523604202955653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72.828914769864056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97.962366705604722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IF(Q$34&gt;1,Q107/Q$34*R$34,0.0001)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90.833242801440662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97544.247330649392</v>
      </c>
      <c r="T108" s="126">
        <f t="shared" si="34"/>
        <v>99.309978752875509</v>
      </c>
      <c r="U108" s="28"/>
      <c r="V108" s="28"/>
      <c r="W108" s="59" t="s">
        <v>60</v>
      </c>
      <c r="X108" s="52">
        <f t="shared" si="35"/>
        <v>99.309978752875509</v>
      </c>
      <c r="AA108" s="109">
        <f>X108</f>
        <v>99.309978752875509</v>
      </c>
      <c r="AB108" s="81"/>
      <c r="AC108" s="109" t="str">
        <f t="shared" si="36"/>
        <v/>
      </c>
      <c r="AD108" s="81">
        <f t="shared" si="37"/>
        <v>99.309978752875509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90.874293068092939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122232.81895093061</v>
      </c>
      <c r="T109" s="126">
        <f t="shared" si="34"/>
        <v>101.08652813117095</v>
      </c>
      <c r="U109" s="28"/>
      <c r="V109" s="28"/>
      <c r="W109" s="59" t="s">
        <v>60</v>
      </c>
      <c r="X109" s="52">
        <f t="shared" si="35"/>
        <v>101.08652813117095</v>
      </c>
      <c r="AA109" s="109">
        <f>X109</f>
        <v>101.08652813117095</v>
      </c>
      <c r="AB109" s="81"/>
      <c r="AC109" s="109" t="str">
        <f t="shared" si="36"/>
        <v/>
      </c>
      <c r="AD109" s="81">
        <f t="shared" si="37"/>
        <v>101.08652813117095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107.68236794230766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49856.846957232046</v>
      </c>
      <c r="T110" s="126">
        <f t="shared" si="34"/>
        <v>98.294323877670536</v>
      </c>
      <c r="U110" s="28"/>
      <c r="V110" s="28"/>
      <c r="W110" s="59" t="s">
        <v>60</v>
      </c>
      <c r="X110" s="52">
        <f t="shared" si="35"/>
        <v>98.294323877670536</v>
      </c>
      <c r="AA110" s="109"/>
      <c r="AB110" s="81"/>
      <c r="AC110" s="109" t="str">
        <f t="shared" si="36"/>
        <v/>
      </c>
      <c r="AD110" s="81">
        <f t="shared" si="37"/>
        <v>98.294323877670536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101.02088395293613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3921.1736390687906</v>
      </c>
      <c r="T111" s="126">
        <f t="shared" si="34"/>
        <v>107.39999011418215</v>
      </c>
      <c r="U111" s="28"/>
      <c r="V111" s="28"/>
      <c r="W111" s="59" t="s">
        <v>60</v>
      </c>
      <c r="X111" s="52">
        <f t="shared" si="35"/>
        <v>107.39999011418215</v>
      </c>
      <c r="AA111" s="109"/>
      <c r="AB111" s="81"/>
      <c r="AC111" s="109">
        <f t="shared" si="36"/>
        <v>107.39999011418215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106.30518541093629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106.91881939259119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39381.519166812534</v>
      </c>
      <c r="T113" s="126">
        <f t="shared" si="34"/>
        <v>98.695602142279924</v>
      </c>
      <c r="U113" s="28"/>
      <c r="V113" s="28"/>
      <c r="W113" s="59" t="s">
        <v>60</v>
      </c>
      <c r="X113" s="52">
        <f t="shared" si="35"/>
        <v>98.695602142279924</v>
      </c>
      <c r="AA113" s="109">
        <f>X113</f>
        <v>98.695602142279924</v>
      </c>
      <c r="AB113" s="81"/>
      <c r="AC113" s="109" t="str">
        <f t="shared" si="36"/>
        <v/>
      </c>
      <c r="AD113" s="81">
        <f t="shared" si="37"/>
        <v>98.695602142279924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77.855988766676504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93.405949531330904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87.775757912330818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4365.8428146332926</v>
      </c>
      <c r="T116" s="126">
        <f t="shared" si="34"/>
        <v>111.71552749829306</v>
      </c>
      <c r="U116" s="28"/>
      <c r="V116" s="28"/>
      <c r="W116" s="59" t="s">
        <v>60</v>
      </c>
      <c r="X116" s="52">
        <f t="shared" si="35"/>
        <v>111.71552749829306</v>
      </c>
      <c r="AA116" s="109"/>
      <c r="AB116" s="81"/>
      <c r="AC116" s="109">
        <f t="shared" si="36"/>
        <v>111.71552749829306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94.313768353814325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403271.82280179707</v>
      </c>
      <c r="T117" s="126">
        <f t="shared" si="34"/>
        <v>100.21067898579535</v>
      </c>
      <c r="U117" s="28"/>
      <c r="V117" s="28"/>
      <c r="W117" s="171" t="s">
        <v>94</v>
      </c>
      <c r="X117" s="52">
        <f t="shared" si="35"/>
        <v>100.21067898579535</v>
      </c>
      <c r="AA117" s="109">
        <f>X117</f>
        <v>100.21067898579535</v>
      </c>
      <c r="AB117" s="81"/>
      <c r="AC117" s="109" t="str">
        <f t="shared" si="36"/>
        <v/>
      </c>
      <c r="AD117" s="81">
        <f t="shared" si="37"/>
        <v>100.21067898579535</v>
      </c>
      <c r="AE117" s="97"/>
      <c r="AF117" s="52">
        <f>X117</f>
        <v>100.21067898579535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107.39999011418215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1749.0320905537078</v>
      </c>
      <c r="T118" s="126">
        <f t="shared" si="34"/>
        <v>92.688505063789492</v>
      </c>
      <c r="U118" s="28"/>
      <c r="V118" s="28"/>
      <c r="W118" s="59" t="s">
        <v>60</v>
      </c>
      <c r="X118" s="52">
        <f t="shared" si="35"/>
        <v>92.688505063789492</v>
      </c>
      <c r="AA118" s="109"/>
      <c r="AB118" s="81"/>
      <c r="AC118" s="109">
        <f t="shared" si="36"/>
        <v>92.688505063789492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104.35956976568951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6149.909446292083</v>
      </c>
      <c r="T119" s="126">
        <f t="shared" si="34"/>
        <v>104.35956976568951</v>
      </c>
      <c r="U119" s="28"/>
      <c r="V119" s="28"/>
      <c r="W119" s="59" t="s">
        <v>60</v>
      </c>
      <c r="X119" s="52">
        <f t="shared" si="35"/>
        <v>104.35956976568951</v>
      </c>
      <c r="AA119" s="109"/>
      <c r="AB119" s="81"/>
      <c r="AC119" s="109">
        <f t="shared" si="36"/>
        <v>104.35956976568951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101.43355949705382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6492.1699632417294</v>
      </c>
      <c r="T120" s="126">
        <f t="shared" si="34"/>
        <v>107.68236794230766</v>
      </c>
      <c r="U120" s="28"/>
      <c r="V120" s="28"/>
      <c r="W120" s="59" t="s">
        <v>60</v>
      </c>
      <c r="X120" s="52">
        <f t="shared" si="35"/>
        <v>107.68236794230766</v>
      </c>
      <c r="AA120" s="109"/>
      <c r="AB120" s="81"/>
      <c r="AC120" s="109">
        <f t="shared" si="36"/>
        <v>107.68236794230766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101.02704550604265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3762.170721745726</v>
      </c>
      <c r="T121" s="126">
        <f t="shared" si="34"/>
        <v>101.43355949705382</v>
      </c>
      <c r="U121" s="28"/>
      <c r="V121" s="28"/>
      <c r="W121" s="59" t="s">
        <v>60</v>
      </c>
      <c r="X121" s="52">
        <f t="shared" si="35"/>
        <v>101.43355949705382</v>
      </c>
      <c r="AA121" s="109"/>
      <c r="AB121" s="81"/>
      <c r="AC121" s="109">
        <f t="shared" si="36"/>
        <v>101.43355949705382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70.159791597544668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47.230594453979378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29146.043234727815</v>
      </c>
      <c r="T123" s="126">
        <f t="shared" si="34"/>
        <v>93.635889211063756</v>
      </c>
      <c r="U123" s="28"/>
      <c r="V123" s="28"/>
      <c r="W123" s="59" t="s">
        <v>60</v>
      </c>
      <c r="X123" s="52">
        <f t="shared" si="35"/>
        <v>93.635889211063756</v>
      </c>
      <c r="AA123" s="109">
        <f>X123</f>
        <v>93.635889211063756</v>
      </c>
      <c r="AB123" s="81"/>
      <c r="AC123" s="109" t="str">
        <f t="shared" si="36"/>
        <v/>
      </c>
      <c r="AD123" s="81">
        <f t="shared" si="37"/>
        <v>93.635889211063756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13084.053620397925</v>
      </c>
      <c r="T124" s="126">
        <f t="shared" si="34"/>
        <v>95.874944093192084</v>
      </c>
      <c r="U124" s="28"/>
      <c r="V124" s="28"/>
      <c r="W124" s="59" t="s">
        <v>60</v>
      </c>
      <c r="X124" s="52">
        <f t="shared" si="35"/>
        <v>95.874944093192084</v>
      </c>
      <c r="AA124" s="109">
        <f>X124</f>
        <v>95.874944093192084</v>
      </c>
      <c r="AB124" s="81"/>
      <c r="AC124" s="109">
        <f t="shared" si="36"/>
        <v>95.874944093192084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96021.592274928524</v>
      </c>
      <c r="T125" s="126">
        <f t="shared" si="34"/>
        <v>97.064060282361083</v>
      </c>
      <c r="U125" s="28"/>
      <c r="V125" s="28"/>
      <c r="W125" s="59" t="s">
        <v>60</v>
      </c>
      <c r="X125" s="52">
        <f t="shared" si="35"/>
        <v>97.064060282361083</v>
      </c>
      <c r="AA125" s="109">
        <f>X125</f>
        <v>97.064060282361083</v>
      </c>
      <c r="AB125" s="81"/>
      <c r="AC125" s="109" t="str">
        <f t="shared" si="36"/>
        <v/>
      </c>
      <c r="AD125" s="81">
        <f t="shared" si="37"/>
        <v>97.064060282361083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78.04742489672951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378766.50878114236</v>
      </c>
      <c r="T126" s="126">
        <f t="shared" si="34"/>
        <v>90.074198590062522</v>
      </c>
      <c r="U126" s="28"/>
      <c r="V126" s="28"/>
      <c r="W126" s="171" t="s">
        <v>94</v>
      </c>
      <c r="X126" s="52">
        <f t="shared" si="35"/>
        <v>90.074198590062522</v>
      </c>
      <c r="AA126" s="109">
        <f>X126</f>
        <v>90.074198590062522</v>
      </c>
      <c r="AB126" s="81"/>
      <c r="AC126" s="109" t="str">
        <f t="shared" si="36"/>
        <v/>
      </c>
      <c r="AD126" s="81">
        <f t="shared" si="37"/>
        <v>90.074198590062522</v>
      </c>
      <c r="AE126" s="81"/>
      <c r="AF126" s="52">
        <f>X126</f>
        <v>90.074198590062522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97.707214650640978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11.401088338053762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97.088870091426642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1845649.270027423</v>
      </c>
      <c r="T130" s="126">
        <f t="shared" si="34"/>
        <v>101.10088729477017</v>
      </c>
      <c r="U130" s="28"/>
      <c r="V130" s="28"/>
      <c r="W130" s="171" t="s">
        <v>94</v>
      </c>
      <c r="X130" s="52">
        <f t="shared" si="35"/>
        <v>101.10088729477017</v>
      </c>
      <c r="AA130" s="109">
        <f>X130</f>
        <v>101.10088729477017</v>
      </c>
      <c r="AB130" s="81"/>
      <c r="AC130" s="109" t="str">
        <f t="shared" si="36"/>
        <v/>
      </c>
      <c r="AD130" s="81">
        <f t="shared" si="37"/>
        <v>101.10088729477017</v>
      </c>
      <c r="AE130" s="97"/>
      <c r="AF130" s="52">
        <f>X130</f>
        <v>101.10088729477017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93.231458818826013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980228.73061438825</v>
      </c>
      <c r="T131" s="126">
        <f t="shared" si="34"/>
        <v>107.47603521479098</v>
      </c>
      <c r="U131" s="28"/>
      <c r="V131" s="28"/>
      <c r="W131" s="171" t="s">
        <v>94</v>
      </c>
      <c r="X131" s="52">
        <f t="shared" si="35"/>
        <v>107.47603521479098</v>
      </c>
      <c r="AA131" s="109">
        <f>X131</f>
        <v>107.47603521479098</v>
      </c>
      <c r="AB131" s="81"/>
      <c r="AC131" s="109" t="str">
        <f t="shared" si="36"/>
        <v/>
      </c>
      <c r="AD131" s="81">
        <f t="shared" si="37"/>
        <v>107.47603521479098</v>
      </c>
      <c r="AE131" s="81"/>
      <c r="AF131" s="52">
        <f>X131</f>
        <v>107.47603521479098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76.712352406088968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90.213791990220784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32301.846898885582</v>
      </c>
      <c r="T133" s="126">
        <f t="shared" si="34"/>
        <v>96.796161034687557</v>
      </c>
      <c r="U133" s="28"/>
      <c r="V133" s="28"/>
      <c r="W133" s="59" t="s">
        <v>60</v>
      </c>
      <c r="X133" s="52">
        <f t="shared" si="35"/>
        <v>96.796161034687557</v>
      </c>
      <c r="AA133" s="109">
        <f>X133</f>
        <v>96.796161034687557</v>
      </c>
      <c r="AB133" s="81"/>
      <c r="AC133" s="109" t="str">
        <f t="shared" si="36"/>
        <v/>
      </c>
      <c r="AD133" s="81">
        <f t="shared" si="37"/>
        <v>96.796161034687557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97.624937370440577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99.945225584180491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45272.71200186709</v>
      </c>
      <c r="T135" s="126">
        <f t="shared" si="34"/>
        <v>101.28123490350579</v>
      </c>
      <c r="U135" s="28"/>
      <c r="V135" s="28"/>
      <c r="W135" s="171" t="s">
        <v>94</v>
      </c>
      <c r="X135" s="52">
        <f t="shared" si="35"/>
        <v>101.28123490350579</v>
      </c>
      <c r="AA135" s="109">
        <f>X135</f>
        <v>101.28123490350579</v>
      </c>
      <c r="AB135" s="81"/>
      <c r="AC135" s="109" t="str">
        <f t="shared" si="36"/>
        <v/>
      </c>
      <c r="AD135" s="81">
        <f t="shared" si="37"/>
        <v>101.28123490350579</v>
      </c>
      <c r="AE135" s="97"/>
      <c r="AF135" s="52">
        <f>X135</f>
        <v>101.28123490350579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104.9637020263128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20064.012194410407</v>
      </c>
      <c r="T136" s="126">
        <f t="shared" si="34"/>
        <v>97.620844618354525</v>
      </c>
      <c r="U136" s="28"/>
      <c r="V136" s="28"/>
      <c r="W136" s="59" t="s">
        <v>60</v>
      </c>
      <c r="X136" s="52">
        <f t="shared" si="35"/>
        <v>97.620844618354525</v>
      </c>
      <c r="AA136" s="109">
        <f>X136</f>
        <v>97.620844618354525</v>
      </c>
      <c r="AB136" s="81"/>
      <c r="AC136" s="109">
        <f t="shared" si="36"/>
        <v>97.620844618354525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102.01567621041151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2635.675476982321</v>
      </c>
      <c r="T137" s="126">
        <f t="shared" si="34"/>
        <v>106.2772369750936</v>
      </c>
      <c r="U137" s="28"/>
      <c r="V137" s="28"/>
      <c r="W137" s="59" t="s">
        <v>60</v>
      </c>
      <c r="X137" s="52">
        <f t="shared" si="35"/>
        <v>106.2772369750936</v>
      </c>
      <c r="AA137" s="109">
        <f>X137</f>
        <v>106.2772369750936</v>
      </c>
      <c r="AB137" s="81"/>
      <c r="AC137" s="109">
        <f t="shared" si="36"/>
        <v>106.2772369750936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5066.5336367349319</v>
      </c>
      <c r="T138" s="126">
        <f t="shared" si="34"/>
        <v>102.31287634763595</v>
      </c>
      <c r="U138" s="28"/>
      <c r="V138" s="28"/>
      <c r="W138" s="59" t="s">
        <v>60</v>
      </c>
      <c r="X138" s="52">
        <f t="shared" si="35"/>
        <v>102.31287634763595</v>
      </c>
      <c r="AA138" s="109"/>
      <c r="AB138" s="81">
        <f>X138</f>
        <v>102.31287634763595</v>
      </c>
      <c r="AC138" s="109">
        <f t="shared" si="36"/>
        <v>102.31287634763595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100.53242237192478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IF(Q$34&gt;1,Q139/Q$34*R$34,0.0001)</f>
        <v>5441.1337300892701</v>
      </c>
      <c r="T139" s="126">
        <f t="shared" ref="T139:T155" si="43">IF(R139&gt;1,100*S139/R139,0.0001)</f>
        <v>101.70343420727608</v>
      </c>
      <c r="U139" s="28"/>
      <c r="V139" s="28"/>
      <c r="W139" s="59" t="s">
        <v>60</v>
      </c>
      <c r="X139" s="52">
        <f t="shared" ref="X139:X155" si="44">IF(R139&gt;1,T139,"")</f>
        <v>101.70343420727608</v>
      </c>
      <c r="AA139" s="109">
        <f>X139</f>
        <v>101.70343420727608</v>
      </c>
      <c r="AB139" s="81"/>
      <c r="AC139" s="109">
        <f t="shared" ref="AC139:AC155" si="45">IF(Q139&lt;AC$9,X139,"")</f>
        <v>101.70343420727608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101.33427587164725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2991.4108174339226</v>
      </c>
      <c r="T140" s="126">
        <f t="shared" si="43"/>
        <v>101.02704550604265</v>
      </c>
      <c r="U140" s="28"/>
      <c r="V140" s="28"/>
      <c r="W140" s="59" t="s">
        <v>60</v>
      </c>
      <c r="X140" s="52">
        <f t="shared" si="44"/>
        <v>101.02704550604265</v>
      </c>
      <c r="AA140" s="109"/>
      <c r="AB140" s="81"/>
      <c r="AC140" s="109">
        <f t="shared" si="45"/>
        <v>101.02704550604265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100.12329131279638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673681.8858743218</v>
      </c>
      <c r="T141" s="126">
        <f t="shared" si="43"/>
        <v>103.61180530766347</v>
      </c>
      <c r="U141" s="28"/>
      <c r="V141" s="28"/>
      <c r="W141" s="171" t="s">
        <v>94</v>
      </c>
      <c r="X141" s="52">
        <f t="shared" si="44"/>
        <v>103.61180530766347</v>
      </c>
      <c r="AA141" s="109">
        <f>X141</f>
        <v>103.61180530766347</v>
      </c>
      <c r="AB141" s="81"/>
      <c r="AC141" s="109" t="str">
        <f t="shared" si="45"/>
        <v/>
      </c>
      <c r="AD141" s="81">
        <f t="shared" si="46"/>
        <v>103.61180530766347</v>
      </c>
      <c r="AE141" s="97"/>
      <c r="AF141" s="52">
        <f>X141</f>
        <v>103.61180530766347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43.922294605896518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6855.9901977945046</v>
      </c>
      <c r="T142" s="126">
        <f t="shared" si="43"/>
        <v>96.481708384386508</v>
      </c>
      <c r="U142" s="28"/>
      <c r="V142" s="28"/>
      <c r="W142" s="59" t="s">
        <v>60</v>
      </c>
      <c r="X142" s="52">
        <f t="shared" si="44"/>
        <v>96.481708384386508</v>
      </c>
      <c r="AA142" s="109"/>
      <c r="AB142" s="81">
        <f>X142</f>
        <v>96.481708384386508</v>
      </c>
      <c r="AC142" s="109">
        <f t="shared" si="45"/>
        <v>96.481708384386508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94.044370859770808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3931.9534978703546</v>
      </c>
      <c r="T143" s="126">
        <f t="shared" si="43"/>
        <v>94.246248750487879</v>
      </c>
      <c r="U143" s="28"/>
      <c r="V143" s="28"/>
      <c r="W143" s="59" t="s">
        <v>60</v>
      </c>
      <c r="X143" s="52">
        <f t="shared" si="44"/>
        <v>94.246248750487879</v>
      </c>
      <c r="AA143" s="109"/>
      <c r="AB143" s="81">
        <f>X143</f>
        <v>94.246248750487879</v>
      </c>
      <c r="AC143" s="109">
        <f t="shared" si="45"/>
        <v>94.246248750487879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91.23059410905401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6074.4504346811364</v>
      </c>
      <c r="T144" s="126">
        <f t="shared" si="43"/>
        <v>107.87516310923702</v>
      </c>
      <c r="U144" s="28"/>
      <c r="V144" s="28"/>
      <c r="W144" s="59" t="s">
        <v>60</v>
      </c>
      <c r="X144" s="52">
        <f t="shared" si="44"/>
        <v>107.87516310923702</v>
      </c>
      <c r="AA144" s="109"/>
      <c r="AB144" s="81">
        <f>X144</f>
        <v>107.87516310923702</v>
      </c>
      <c r="AC144" s="109">
        <f t="shared" si="45"/>
        <v>107.87516310923702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89.702027074544304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99.309978752875509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31633.495653188631</v>
      </c>
      <c r="T146" s="126">
        <f t="shared" si="43"/>
        <v>97.088870091426642</v>
      </c>
      <c r="U146" s="28"/>
      <c r="V146" s="28"/>
      <c r="W146" s="59" t="s">
        <v>60</v>
      </c>
      <c r="X146" s="52">
        <f t="shared" si="44"/>
        <v>97.088870091426642</v>
      </c>
      <c r="AA146" s="109">
        <f>X146</f>
        <v>97.088870091426642</v>
      </c>
      <c r="AB146" s="81"/>
      <c r="AC146" s="109" t="str">
        <f t="shared" si="45"/>
        <v/>
      </c>
      <c r="AD146" s="81">
        <f t="shared" si="46"/>
        <v>97.088870091426642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101.08652813117095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16458.149425287356</v>
      </c>
      <c r="T147" s="126">
        <f t="shared" si="43"/>
        <v>93.231458818826013</v>
      </c>
      <c r="U147" s="28"/>
      <c r="V147" s="28"/>
      <c r="W147" s="59" t="s">
        <v>60</v>
      </c>
      <c r="X147" s="52">
        <f t="shared" si="44"/>
        <v>93.231458818826013</v>
      </c>
      <c r="AA147" s="109">
        <f>X147</f>
        <v>93.231458818826013</v>
      </c>
      <c r="AB147" s="81"/>
      <c r="AC147" s="109">
        <f t="shared" si="45"/>
        <v>93.231458818826013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98.695602142279924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11706.926658498163</v>
      </c>
      <c r="T148" s="126">
        <f t="shared" si="43"/>
        <v>99.718284995725412</v>
      </c>
      <c r="U148" s="28"/>
      <c r="V148" s="28"/>
      <c r="W148" s="59" t="s">
        <v>60</v>
      </c>
      <c r="X148" s="52">
        <f t="shared" si="44"/>
        <v>99.718284995725412</v>
      </c>
      <c r="AA148" s="109"/>
      <c r="AB148" s="81">
        <f t="shared" ref="AB148:AB155" si="47">X148</f>
        <v>99.718284995725412</v>
      </c>
      <c r="AC148" s="109">
        <f t="shared" si="45"/>
        <v>99.718284995725412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100.21067898579535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7039.2477974210869</v>
      </c>
      <c r="T149" s="126">
        <f t="shared" si="43"/>
        <v>98.107983239318287</v>
      </c>
      <c r="U149" s="28"/>
      <c r="V149" s="28"/>
      <c r="W149" s="59" t="s">
        <v>60</v>
      </c>
      <c r="X149" s="52">
        <f t="shared" si="44"/>
        <v>98.107983239318287</v>
      </c>
      <c r="AA149" s="109"/>
      <c r="AB149" s="81">
        <f t="shared" si="47"/>
        <v>98.107983239318287</v>
      </c>
      <c r="AC149" s="109">
        <f t="shared" si="45"/>
        <v>98.107983239318287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93.635889211063756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11803.945387712234</v>
      </c>
      <c r="T150" s="126">
        <f t="shared" si="43"/>
        <v>101.25189044186169</v>
      </c>
      <c r="U150" s="28"/>
      <c r="V150" s="28"/>
      <c r="W150" s="59" t="s">
        <v>60</v>
      </c>
      <c r="X150" s="52">
        <f t="shared" si="44"/>
        <v>101.25189044186169</v>
      </c>
      <c r="AA150" s="109"/>
      <c r="AB150" s="81">
        <f t="shared" si="47"/>
        <v>101.25189044186169</v>
      </c>
      <c r="AC150" s="109">
        <f t="shared" si="45"/>
        <v>101.25189044186169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95.874944093192084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24464.889550148782</v>
      </c>
      <c r="T151" s="126">
        <f t="shared" si="43"/>
        <v>108.63145308888942</v>
      </c>
      <c r="U151" s="28"/>
      <c r="V151" s="28"/>
      <c r="W151" s="59" t="s">
        <v>60</v>
      </c>
      <c r="X151" s="52">
        <f t="shared" si="44"/>
        <v>108.63145308888942</v>
      </c>
      <c r="AA151" s="109"/>
      <c r="AB151" s="81">
        <f t="shared" si="47"/>
        <v>108.63145308888942</v>
      </c>
      <c r="AC151" s="109" t="str">
        <f t="shared" si="45"/>
        <v/>
      </c>
      <c r="AD151" s="81">
        <f t="shared" si="46"/>
        <v>108.63145308888942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97.064060282361083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9685.7031332049701</v>
      </c>
      <c r="T152" s="126">
        <f t="shared" si="43"/>
        <v>98.162593829988552</v>
      </c>
      <c r="U152" s="28"/>
      <c r="V152" s="28"/>
      <c r="W152" s="59" t="s">
        <v>60</v>
      </c>
      <c r="X152" s="52">
        <f t="shared" si="44"/>
        <v>98.162593829988552</v>
      </c>
      <c r="AA152" s="109"/>
      <c r="AB152" s="81">
        <f t="shared" si="47"/>
        <v>98.162593829988552</v>
      </c>
      <c r="AC152" s="109">
        <f t="shared" si="45"/>
        <v>98.162593829988552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101.10088729477017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37228.242371200184</v>
      </c>
      <c r="T153" s="126">
        <f t="shared" si="43"/>
        <v>107.22111221220639</v>
      </c>
      <c r="U153" s="28"/>
      <c r="V153" s="28"/>
      <c r="W153" s="59" t="s">
        <v>60</v>
      </c>
      <c r="X153" s="52">
        <f t="shared" si="44"/>
        <v>107.22111221220639</v>
      </c>
      <c r="AA153" s="109"/>
      <c r="AB153" s="81">
        <f t="shared" si="47"/>
        <v>107.22111221220639</v>
      </c>
      <c r="AC153" s="109" t="str">
        <f t="shared" si="45"/>
        <v/>
      </c>
      <c r="AD153" s="81">
        <f t="shared" si="46"/>
        <v>107.22111221220639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107.47603521479098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20743.143298908923</v>
      </c>
      <c r="T154" s="126">
        <f t="shared" si="43"/>
        <v>97.518420849555369</v>
      </c>
      <c r="U154" s="28"/>
      <c r="V154" s="28"/>
      <c r="W154" s="59" t="s">
        <v>60</v>
      </c>
      <c r="X154" s="52">
        <f t="shared" si="44"/>
        <v>97.518420849555369</v>
      </c>
      <c r="AA154" s="109"/>
      <c r="AB154" s="81">
        <f t="shared" si="47"/>
        <v>97.518420849555369</v>
      </c>
      <c r="AC154" s="109" t="str">
        <f t="shared" si="45"/>
        <v/>
      </c>
      <c r="AD154" s="81">
        <f t="shared" si="46"/>
        <v>97.518420849555369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96.796161034687557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39174.00688488243</v>
      </c>
      <c r="T155" s="126">
        <f t="shared" si="43"/>
        <v>96.281384434542801</v>
      </c>
      <c r="U155" s="28"/>
      <c r="V155" s="28"/>
      <c r="W155" s="59" t="s">
        <v>60</v>
      </c>
      <c r="X155" s="52">
        <f t="shared" si="44"/>
        <v>96.281384434542801</v>
      </c>
      <c r="AA155" s="109"/>
      <c r="AB155" s="81">
        <f t="shared" si="47"/>
        <v>96.281384434542801</v>
      </c>
      <c r="AC155" s="109" t="str">
        <f t="shared" si="45"/>
        <v/>
      </c>
      <c r="AD155" s="81">
        <f t="shared" si="46"/>
        <v>96.281384434542801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101.28123490350579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103.61180530766347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99.964770772230366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92.328663790841588</v>
      </c>
      <c r="Y158" s="47">
        <f t="shared" si="52"/>
        <v>95.536393496226893</v>
      </c>
      <c r="Z158" s="45">
        <f t="shared" si="52"/>
        <v>95.856898213988757</v>
      </c>
      <c r="AA158" s="43">
        <f t="shared" si="52"/>
        <v>91.757335303024618</v>
      </c>
      <c r="AB158" s="43">
        <f t="shared" si="52"/>
        <v>86.460415247823377</v>
      </c>
      <c r="AC158" s="47">
        <f t="shared" si="52"/>
        <v>89.667714434149673</v>
      </c>
      <c r="AD158" s="45">
        <f t="shared" si="52"/>
        <v>95.402519082192697</v>
      </c>
      <c r="AE158" s="78" t="e">
        <f t="shared" si="52"/>
        <v>#DIV/0!</v>
      </c>
      <c r="AF158" s="45">
        <f t="shared" si="52"/>
        <v>93.975915941031744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101.93011348114072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16.367387615659599</v>
      </c>
      <c r="Y159" s="260">
        <f t="shared" si="53"/>
        <v>7.7976390488464</v>
      </c>
      <c r="Z159" s="30">
        <f t="shared" si="53"/>
        <v>12.78616419695611</v>
      </c>
      <c r="AA159" s="99">
        <f t="shared" si="53"/>
        <v>20.893126557771939</v>
      </c>
      <c r="AB159" s="99">
        <f t="shared" si="53"/>
        <v>17.733000323709163</v>
      </c>
      <c r="AC159" s="260">
        <f t="shared" si="53"/>
        <v>15.684956857233031</v>
      </c>
      <c r="AD159" s="30">
        <f t="shared" si="53"/>
        <v>16.732639397511623</v>
      </c>
      <c r="AE159" s="97" t="e">
        <f t="shared" si="53"/>
        <v>#DIV/0!</v>
      </c>
      <c r="AF159" s="30">
        <f t="shared" si="53"/>
        <v>14.69467809588282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101.41815062159542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132.73477523131919</v>
      </c>
      <c r="Y160" s="109">
        <f t="shared" si="54"/>
        <v>115.5952780976928</v>
      </c>
      <c r="Z160" s="81">
        <f t="shared" si="54"/>
        <v>125.57232839391222</v>
      </c>
      <c r="AA160" s="100">
        <f t="shared" si="54"/>
        <v>141.78625311554387</v>
      </c>
      <c r="AB160" s="100">
        <f t="shared" si="54"/>
        <v>135.46600064741833</v>
      </c>
      <c r="AC160" s="109">
        <f t="shared" si="54"/>
        <v>131.36991371446607</v>
      </c>
      <c r="AD160" s="81">
        <f t="shared" si="54"/>
        <v>133.46527879502324</v>
      </c>
      <c r="AE160" s="97" t="e">
        <f t="shared" si="54"/>
        <v>#DIV/0!</v>
      </c>
      <c r="AF160" s="81">
        <f t="shared" si="54"/>
        <v>129.38935619176564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89.735823630075629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67.26522476868081</v>
      </c>
      <c r="Y161" s="80">
        <f t="shared" si="55"/>
        <v>84.404721902307202</v>
      </c>
      <c r="Z161" s="60">
        <f t="shared" si="55"/>
        <v>74.427671606087785</v>
      </c>
      <c r="AA161" s="107">
        <f t="shared" si="55"/>
        <v>58.213746884456121</v>
      </c>
      <c r="AB161" s="107">
        <f t="shared" si="55"/>
        <v>64.533999352581674</v>
      </c>
      <c r="AC161" s="80">
        <f t="shared" si="55"/>
        <v>68.630086285533935</v>
      </c>
      <c r="AD161" s="60">
        <f t="shared" si="55"/>
        <v>66.534721204976762</v>
      </c>
      <c r="AE161" s="108" t="e">
        <f t="shared" si="55"/>
        <v>#DIV/0!</v>
      </c>
      <c r="AF161" s="60">
        <f t="shared" si="55"/>
        <v>70.610643808234357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90.074198590062522</v>
      </c>
      <c r="L162" s="135" t="str">
        <f>P126</f>
        <v>116_C3-dbt_s</v>
      </c>
      <c r="M162" s="28"/>
      <c r="N162" s="28"/>
      <c r="O162" s="261" t="str">
        <f>CONCATENATE(,Q7,"  -   ",R7," :   PW-plot normalised to BS10  ")</f>
        <v xml:space="preserve">A  -   B :   PW-plot normalised to BS10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97.620844618354525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91.105107745018287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93.858506735800589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106.2772369750936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101.70343420727608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T261"/>
  <sheetViews>
    <sheetView topLeftCell="Q3" workbookViewId="0">
      <selection activeCell="AJ9" sqref="AJ9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242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3" t="s">
        <v>10</v>
      </c>
      <c r="F3" s="744"/>
      <c r="G3" s="745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46" t="s">
        <v>12</v>
      </c>
      <c r="B4" s="747"/>
      <c r="C4" s="748" t="s">
        <v>243</v>
      </c>
      <c r="D4" s="747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1</v>
      </c>
      <c r="G5" s="34">
        <v>0</v>
      </c>
      <c r="H5" s="35">
        <v>60</v>
      </c>
      <c r="J5" s="36" t="s">
        <v>19</v>
      </c>
      <c r="K5" s="37"/>
      <c r="L5" s="38"/>
      <c r="O5" s="749" t="s">
        <v>20</v>
      </c>
      <c r="P5" s="750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10</v>
      </c>
      <c r="G6" s="51">
        <v>1</v>
      </c>
      <c r="H6" s="305"/>
      <c r="J6" s="751" t="s">
        <v>25</v>
      </c>
      <c r="K6" s="752"/>
      <c r="L6" s="753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244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41" t="s">
        <v>27</v>
      </c>
      <c r="AN6" s="742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100</v>
      </c>
      <c r="G7" s="51">
        <v>0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244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80</v>
      </c>
      <c r="AJ8" s="43">
        <f>IF($F$5&gt;AH8,$F$7,IF($F$6&lt;AH8,$F$8,$F$7+(($F$8-$F$7)/2)+(SIN(RADIANS(AI8-90))*(($F$8-$F$7)/2))))</f>
        <v>100</v>
      </c>
      <c r="AK8" s="47">
        <f t="shared" ref="AK8:AK39" si="1">(AH8-G$5)/(G$6-G$5)*180</f>
        <v>900</v>
      </c>
      <c r="AL8" s="45">
        <f t="shared" ref="AL8:AL39" si="2">IF($G$5&gt;AH8,$G$7,IF($G$6&lt;AH8,$G$8,$G$7+(($G$8-$G$7)/2)+(SIN(RADIANS(AK8-90))*(($G$8-$G$7)/2))))</f>
        <v>10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100</v>
      </c>
      <c r="AJ9" s="100">
        <f t="shared" ref="AJ8:AJ39" si="3">IF($F$5&gt;AH9,$F$7,IF($F$6&lt;AH9,$F$8,$F$7+(($F$8-$F$7)/2)+(SIN(RADIANS(AI9-90))*(($F$8-$F$7)/2))))</f>
        <v>100</v>
      </c>
      <c r="AK9" s="109">
        <f t="shared" si="1"/>
        <v>1080</v>
      </c>
      <c r="AL9" s="81">
        <f t="shared" si="2"/>
        <v>10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120</v>
      </c>
      <c r="AJ10" s="100">
        <f t="shared" si="3"/>
        <v>100</v>
      </c>
      <c r="AK10" s="109">
        <f t="shared" si="1"/>
        <v>1260</v>
      </c>
      <c r="AL10" s="81">
        <f t="shared" si="2"/>
        <v>10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 t="shared" ref="S11:S42" si="4">IF(Q$43&gt;1,Q11/Q$43*R$43,0.0001)</f>
        <v>7371.6904064518712</v>
      </c>
      <c r="T11" s="123">
        <f t="shared" ref="T11:T42" si="5">IF(R11&gt;1,100*S11/R11,0.0001)</f>
        <v>50.384050348245992</v>
      </c>
      <c r="U11" s="28"/>
      <c r="V11" s="28"/>
      <c r="W11" s="98" t="s">
        <v>60</v>
      </c>
      <c r="X11" s="89">
        <f t="shared" ref="X11:X42" si="6">IF(R11&gt;1,T11,"")</f>
        <v>50.384050348245992</v>
      </c>
      <c r="Y11" s="43"/>
      <c r="Z11" s="100">
        <f>X11</f>
        <v>50.384050348245992</v>
      </c>
      <c r="AA11" s="47"/>
      <c r="AB11" s="45"/>
      <c r="AC11" s="43">
        <f t="shared" ref="AC11:AC42" si="7">IF(Q11&lt;AC$9,X11,"")</f>
        <v>50.384050348245992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140</v>
      </c>
      <c r="AJ11" s="100">
        <f t="shared" si="3"/>
        <v>100</v>
      </c>
      <c r="AK11" s="109">
        <f t="shared" si="1"/>
        <v>1440</v>
      </c>
      <c r="AL11" s="81">
        <f t="shared" si="2"/>
        <v>10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si="4"/>
        <v>6682.1281547165272</v>
      </c>
      <c r="T12" s="126">
        <f t="shared" si="5"/>
        <v>70.360410179177919</v>
      </c>
      <c r="U12" s="127"/>
      <c r="V12" s="28"/>
      <c r="W12" s="59" t="s">
        <v>60</v>
      </c>
      <c r="X12" s="52">
        <f t="shared" si="6"/>
        <v>70.360410179177919</v>
      </c>
      <c r="Y12" s="100"/>
      <c r="Z12" s="100">
        <f>X12</f>
        <v>70.360410179177919</v>
      </c>
      <c r="AA12" s="109"/>
      <c r="AB12" s="81"/>
      <c r="AC12" s="100">
        <f t="shared" si="7"/>
        <v>70.360410179177919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160</v>
      </c>
      <c r="AJ12" s="100">
        <f t="shared" si="3"/>
        <v>100</v>
      </c>
      <c r="AK12" s="109">
        <f t="shared" si="1"/>
        <v>1620</v>
      </c>
      <c r="AL12" s="81">
        <f t="shared" si="2"/>
        <v>10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4"/>
        <v>5172.9438671107009</v>
      </c>
      <c r="T13" s="126">
        <f t="shared" si="5"/>
        <v>47.49305790590067</v>
      </c>
      <c r="U13" s="127"/>
      <c r="V13" s="28"/>
      <c r="W13" s="59" t="s">
        <v>60</v>
      </c>
      <c r="X13" s="52">
        <f t="shared" si="6"/>
        <v>47.49305790590067</v>
      </c>
      <c r="Y13" s="100"/>
      <c r="Z13" s="100"/>
      <c r="AA13" s="109"/>
      <c r="AB13" s="81"/>
      <c r="AC13" s="100">
        <f t="shared" si="7"/>
        <v>47.49305790590067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180</v>
      </c>
      <c r="AJ13" s="100">
        <f t="shared" si="3"/>
        <v>100</v>
      </c>
      <c r="AK13" s="109">
        <f t="shared" si="1"/>
        <v>1800</v>
      </c>
      <c r="AL13" s="81">
        <f t="shared" si="2"/>
        <v>10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4"/>
        <v>21523.667295269432</v>
      </c>
      <c r="T14" s="126">
        <f t="shared" si="5"/>
        <v>63.885510359649253</v>
      </c>
      <c r="U14" s="127"/>
      <c r="V14" s="28"/>
      <c r="W14" s="59" t="s">
        <v>60</v>
      </c>
      <c r="X14" s="52">
        <f t="shared" si="6"/>
        <v>63.885510359649253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63.885510359649253</v>
      </c>
      <c r="AE14" s="97"/>
      <c r="AF14" s="52"/>
      <c r="AH14" s="129">
        <f>11*$H$5/60</f>
        <v>11</v>
      </c>
      <c r="AI14" s="109">
        <f t="shared" si="0"/>
        <v>200</v>
      </c>
      <c r="AJ14" s="100">
        <f t="shared" si="3"/>
        <v>100</v>
      </c>
      <c r="AK14" s="109">
        <f t="shared" si="1"/>
        <v>1980</v>
      </c>
      <c r="AL14" s="81">
        <f t="shared" si="2"/>
        <v>10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4"/>
        <v>4691.9680616298201</v>
      </c>
      <c r="T15" s="126">
        <f t="shared" si="5"/>
        <v>67.220172802719489</v>
      </c>
      <c r="U15" s="127"/>
      <c r="V15" s="28"/>
      <c r="W15" s="59" t="s">
        <v>60</v>
      </c>
      <c r="X15" s="52">
        <f t="shared" si="6"/>
        <v>67.220172802719489</v>
      </c>
      <c r="Y15" s="100"/>
      <c r="Z15" s="100">
        <f>X15</f>
        <v>67.220172802719489</v>
      </c>
      <c r="AA15" s="109"/>
      <c r="AB15" s="81"/>
      <c r="AC15" s="100">
        <f t="shared" si="7"/>
        <v>67.220172802719489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220.00000000000003</v>
      </c>
      <c r="AJ15" s="100">
        <f t="shared" si="3"/>
        <v>100</v>
      </c>
      <c r="AK15" s="109">
        <f t="shared" si="1"/>
        <v>2160</v>
      </c>
      <c r="AL15" s="81">
        <f t="shared" si="2"/>
        <v>10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4"/>
        <v>5771.7096657705733</v>
      </c>
      <c r="T16" s="126">
        <f t="shared" si="5"/>
        <v>51.468786033267108</v>
      </c>
      <c r="U16" s="127"/>
      <c r="V16" s="28"/>
      <c r="W16" s="59" t="s">
        <v>60</v>
      </c>
      <c r="X16" s="52">
        <f t="shared" si="6"/>
        <v>51.468786033267108</v>
      </c>
      <c r="Y16" s="100"/>
      <c r="Z16" s="100"/>
      <c r="AA16" s="109"/>
      <c r="AB16" s="81"/>
      <c r="AC16" s="100">
        <f t="shared" si="7"/>
        <v>51.468786033267108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240</v>
      </c>
      <c r="AJ16" s="100">
        <f t="shared" si="3"/>
        <v>100</v>
      </c>
      <c r="AK16" s="109">
        <f t="shared" si="1"/>
        <v>2340</v>
      </c>
      <c r="AL16" s="81">
        <f t="shared" si="2"/>
        <v>10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4"/>
        <v>18026.776872768125</v>
      </c>
      <c r="T17" s="126">
        <f t="shared" si="5"/>
        <v>73.199240154172756</v>
      </c>
      <c r="U17" s="130"/>
      <c r="V17" s="28"/>
      <c r="W17" s="59" t="s">
        <v>60</v>
      </c>
      <c r="X17" s="52">
        <f t="shared" si="6"/>
        <v>73.199240154172756</v>
      </c>
      <c r="Y17" s="100"/>
      <c r="Z17" s="100"/>
      <c r="AA17" s="109"/>
      <c r="AB17" s="81"/>
      <c r="AC17" s="100">
        <f t="shared" si="7"/>
        <v>73.199240154172756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260</v>
      </c>
      <c r="AJ17" s="100">
        <f t="shared" si="3"/>
        <v>100</v>
      </c>
      <c r="AK17" s="109">
        <f t="shared" si="1"/>
        <v>2520</v>
      </c>
      <c r="AL17" s="81">
        <f t="shared" si="2"/>
        <v>10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4"/>
        <v>6905.4383501183647</v>
      </c>
      <c r="T18" s="126">
        <f t="shared" si="5"/>
        <v>77.061023882584138</v>
      </c>
      <c r="U18" s="130"/>
      <c r="V18" s="28"/>
      <c r="W18" s="59" t="s">
        <v>60</v>
      </c>
      <c r="X18" s="52">
        <f t="shared" si="6"/>
        <v>77.061023882584138</v>
      </c>
      <c r="Y18" s="100"/>
      <c r="Z18" s="100">
        <f>X18</f>
        <v>77.061023882584138</v>
      </c>
      <c r="AA18" s="109"/>
      <c r="AB18" s="81"/>
      <c r="AC18" s="100">
        <f t="shared" si="7"/>
        <v>77.061023882584138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280</v>
      </c>
      <c r="AJ18" s="100">
        <f t="shared" si="3"/>
        <v>100</v>
      </c>
      <c r="AK18" s="109">
        <f t="shared" si="1"/>
        <v>2700</v>
      </c>
      <c r="AL18" s="81">
        <f t="shared" si="2"/>
        <v>10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4"/>
        <v>19280.749508486137</v>
      </c>
      <c r="T19" s="126">
        <f t="shared" si="5"/>
        <v>79.139471774765568</v>
      </c>
      <c r="U19" s="130"/>
      <c r="V19" s="28"/>
      <c r="W19" s="59" t="s">
        <v>60</v>
      </c>
      <c r="X19" s="52">
        <f t="shared" si="6"/>
        <v>79.139471774765568</v>
      </c>
      <c r="Y19" s="100"/>
      <c r="Z19" s="100">
        <f>X19</f>
        <v>79.139471774765568</v>
      </c>
      <c r="AA19" s="109"/>
      <c r="AB19" s="81"/>
      <c r="AC19" s="100" t="str">
        <f t="shared" si="7"/>
        <v/>
      </c>
      <c r="AD19" s="81">
        <f t="shared" si="8"/>
        <v>79.139471774765568</v>
      </c>
      <c r="AE19" s="97"/>
      <c r="AF19" s="52"/>
      <c r="AH19" s="129">
        <f>16*$H$5/60</f>
        <v>16</v>
      </c>
      <c r="AI19" s="109">
        <f t="shared" si="0"/>
        <v>300</v>
      </c>
      <c r="AJ19" s="100">
        <f t="shared" si="3"/>
        <v>100</v>
      </c>
      <c r="AK19" s="109">
        <f t="shared" si="1"/>
        <v>2880</v>
      </c>
      <c r="AL19" s="81">
        <f t="shared" si="2"/>
        <v>10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4"/>
        <v>2530.0308951570842</v>
      </c>
      <c r="T20" s="126">
        <f t="shared" si="5"/>
        <v>84.503369911726253</v>
      </c>
      <c r="U20" s="130"/>
      <c r="V20" s="28"/>
      <c r="W20" s="59" t="s">
        <v>60</v>
      </c>
      <c r="X20" s="52">
        <f t="shared" si="6"/>
        <v>84.503369911726253</v>
      </c>
      <c r="Y20" s="100"/>
      <c r="Z20" s="100">
        <f>X20</f>
        <v>84.503369911726253</v>
      </c>
      <c r="AA20" s="109"/>
      <c r="AB20" s="81"/>
      <c r="AC20" s="100">
        <f t="shared" si="7"/>
        <v>84.503369911726253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320</v>
      </c>
      <c r="AJ20" s="100">
        <f t="shared" si="3"/>
        <v>100</v>
      </c>
      <c r="AK20" s="109">
        <f t="shared" si="1"/>
        <v>3060</v>
      </c>
      <c r="AL20" s="81">
        <f t="shared" si="2"/>
        <v>10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4"/>
        <v>19145.781807968542</v>
      </c>
      <c r="T21" s="126">
        <f t="shared" si="5"/>
        <v>85.426476030557481</v>
      </c>
      <c r="U21" s="130"/>
      <c r="V21" s="28"/>
      <c r="W21" s="59" t="s">
        <v>60</v>
      </c>
      <c r="X21" s="52">
        <f t="shared" si="6"/>
        <v>85.426476030557481</v>
      </c>
      <c r="Y21" s="100"/>
      <c r="Z21" s="100">
        <f>X21</f>
        <v>85.426476030557481</v>
      </c>
      <c r="AA21" s="109"/>
      <c r="AB21" s="81"/>
      <c r="AC21" s="100" t="str">
        <f t="shared" si="7"/>
        <v/>
      </c>
      <c r="AD21" s="81">
        <f t="shared" si="8"/>
        <v>85.426476030557481</v>
      </c>
      <c r="AE21" s="97"/>
      <c r="AF21" s="52"/>
      <c r="AH21" s="129">
        <f>18*$H$5/60</f>
        <v>18</v>
      </c>
      <c r="AI21" s="109">
        <f t="shared" si="0"/>
        <v>340</v>
      </c>
      <c r="AJ21" s="100">
        <f t="shared" si="3"/>
        <v>100</v>
      </c>
      <c r="AK21" s="109">
        <f t="shared" si="1"/>
        <v>3240</v>
      </c>
      <c r="AL21" s="81">
        <f t="shared" si="2"/>
        <v>10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4"/>
        <v>7879.659752036272</v>
      </c>
      <c r="T22" s="126">
        <f t="shared" si="5"/>
        <v>66.315937990542608</v>
      </c>
      <c r="U22" s="28"/>
      <c r="V22" s="28"/>
      <c r="W22" s="59" t="s">
        <v>60</v>
      </c>
      <c r="X22" s="52">
        <f t="shared" si="6"/>
        <v>66.315937990542608</v>
      </c>
      <c r="Y22" s="100"/>
      <c r="Z22" s="100"/>
      <c r="AA22" s="109"/>
      <c r="AB22" s="81"/>
      <c r="AC22" s="100">
        <f t="shared" si="7"/>
        <v>66.315937990542608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360</v>
      </c>
      <c r="AJ22" s="100">
        <f t="shared" si="3"/>
        <v>100</v>
      </c>
      <c r="AK22" s="109">
        <f t="shared" si="1"/>
        <v>3420</v>
      </c>
      <c r="AL22" s="81">
        <f t="shared" si="2"/>
        <v>10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4"/>
        <v>28993.516029370461</v>
      </c>
      <c r="T23" s="126">
        <f t="shared" si="5"/>
        <v>71.067764858618176</v>
      </c>
      <c r="U23" s="28"/>
      <c r="V23" s="28"/>
      <c r="W23" s="59" t="s">
        <v>60</v>
      </c>
      <c r="X23" s="52">
        <f t="shared" si="6"/>
        <v>71.067764858618176</v>
      </c>
      <c r="Y23" s="100">
        <f>X23</f>
        <v>71.067764858618176</v>
      </c>
      <c r="Z23" s="100"/>
      <c r="AA23" s="109"/>
      <c r="AB23" s="81"/>
      <c r="AC23" s="100" t="str">
        <f t="shared" si="7"/>
        <v/>
      </c>
      <c r="AD23" s="81">
        <f t="shared" si="8"/>
        <v>71.067764858618176</v>
      </c>
      <c r="AE23" s="97"/>
      <c r="AF23" s="52"/>
      <c r="AH23" s="129">
        <f>20*$H$5/60</f>
        <v>20</v>
      </c>
      <c r="AI23" s="109">
        <f t="shared" si="0"/>
        <v>380</v>
      </c>
      <c r="AJ23" s="100">
        <f t="shared" si="3"/>
        <v>100</v>
      </c>
      <c r="AK23" s="109">
        <f t="shared" si="1"/>
        <v>3600</v>
      </c>
      <c r="AL23" s="81">
        <f t="shared" si="2"/>
        <v>10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4"/>
        <v>34713.692573125227</v>
      </c>
      <c r="T24" s="126">
        <f t="shared" si="5"/>
        <v>69.852085828085208</v>
      </c>
      <c r="U24" s="127"/>
      <c r="V24" s="28"/>
      <c r="W24" s="59" t="s">
        <v>60</v>
      </c>
      <c r="X24" s="52">
        <f t="shared" si="6"/>
        <v>69.852085828085208</v>
      </c>
      <c r="Y24" s="100">
        <f>X24</f>
        <v>69.852085828085208</v>
      </c>
      <c r="Z24" s="100"/>
      <c r="AA24" s="109"/>
      <c r="AB24" s="81"/>
      <c r="AC24" s="100" t="str">
        <f t="shared" si="7"/>
        <v/>
      </c>
      <c r="AD24" s="81">
        <f t="shared" si="8"/>
        <v>69.852085828085208</v>
      </c>
      <c r="AE24" s="97"/>
      <c r="AF24" s="52"/>
      <c r="AH24" s="129">
        <f>21*$H$5/60</f>
        <v>21</v>
      </c>
      <c r="AI24" s="109">
        <f t="shared" si="0"/>
        <v>400</v>
      </c>
      <c r="AJ24" s="100">
        <f t="shared" si="3"/>
        <v>100</v>
      </c>
      <c r="AK24" s="109">
        <f t="shared" si="1"/>
        <v>3780</v>
      </c>
      <c r="AL24" s="81">
        <f t="shared" si="2"/>
        <v>10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4"/>
        <v>147728.28311198493</v>
      </c>
      <c r="T25" s="126">
        <f t="shared" si="5"/>
        <v>82.14611263150033</v>
      </c>
      <c r="U25" s="127"/>
      <c r="V25" s="28"/>
      <c r="W25" s="59" t="s">
        <v>60</v>
      </c>
      <c r="X25" s="52">
        <f t="shared" si="6"/>
        <v>82.14611263150033</v>
      </c>
      <c r="Y25" s="100">
        <f>X25</f>
        <v>82.14611263150033</v>
      </c>
      <c r="Z25" s="100"/>
      <c r="AA25" s="109"/>
      <c r="AB25" s="81"/>
      <c r="AC25" s="100" t="str">
        <f t="shared" si="7"/>
        <v/>
      </c>
      <c r="AD25" s="81">
        <f t="shared" si="8"/>
        <v>82.14611263150033</v>
      </c>
      <c r="AE25" s="97"/>
      <c r="AF25" s="52"/>
      <c r="AH25" s="129">
        <f>22*$H$5/60</f>
        <v>22</v>
      </c>
      <c r="AI25" s="109">
        <f t="shared" si="0"/>
        <v>420</v>
      </c>
      <c r="AJ25" s="100">
        <f t="shared" si="3"/>
        <v>100</v>
      </c>
      <c r="AK25" s="109">
        <f t="shared" si="1"/>
        <v>3960</v>
      </c>
      <c r="AL25" s="81">
        <f t="shared" si="2"/>
        <v>10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4"/>
        <v>3364.3766801749389</v>
      </c>
      <c r="T26" s="126">
        <f t="shared" si="5"/>
        <v>80.97176125571454</v>
      </c>
      <c r="U26" s="127"/>
      <c r="V26" s="28"/>
      <c r="W26" s="59" t="s">
        <v>60</v>
      </c>
      <c r="X26" s="52">
        <f t="shared" si="6"/>
        <v>80.97176125571454</v>
      </c>
      <c r="Y26" s="100"/>
      <c r="Z26" s="100"/>
      <c r="AA26" s="109"/>
      <c r="AB26" s="81"/>
      <c r="AC26" s="100">
        <f t="shared" si="7"/>
        <v>80.97176125571454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440.00000000000006</v>
      </c>
      <c r="AJ26" s="100">
        <f t="shared" si="3"/>
        <v>100</v>
      </c>
      <c r="AK26" s="109">
        <f t="shared" si="1"/>
        <v>4140</v>
      </c>
      <c r="AL26" s="81">
        <f t="shared" si="2"/>
        <v>10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4"/>
        <v>23231.622196364802</v>
      </c>
      <c r="T27" s="126">
        <f t="shared" si="5"/>
        <v>89.770169621564989</v>
      </c>
      <c r="U27" s="127"/>
      <c r="V27" s="28"/>
      <c r="W27" s="59" t="s">
        <v>60</v>
      </c>
      <c r="X27" s="52">
        <f t="shared" si="6"/>
        <v>89.770169621564989</v>
      </c>
      <c r="Y27" s="100"/>
      <c r="Z27" s="100">
        <f>X27</f>
        <v>89.770169621564989</v>
      </c>
      <c r="AA27" s="109"/>
      <c r="AB27" s="81"/>
      <c r="AC27" s="100" t="str">
        <f t="shared" si="7"/>
        <v/>
      </c>
      <c r="AD27" s="81">
        <f t="shared" si="8"/>
        <v>89.770169621564989</v>
      </c>
      <c r="AE27" s="97"/>
      <c r="AF27" s="52"/>
      <c r="AH27" s="129">
        <f>24*$H$5/60</f>
        <v>24</v>
      </c>
      <c r="AI27" s="109">
        <f t="shared" si="0"/>
        <v>459.99999999999994</v>
      </c>
      <c r="AJ27" s="100">
        <f t="shared" si="3"/>
        <v>100</v>
      </c>
      <c r="AK27" s="109">
        <f t="shared" si="1"/>
        <v>4320</v>
      </c>
      <c r="AL27" s="81">
        <f t="shared" si="2"/>
        <v>10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4"/>
        <v>43292.730409661759</v>
      </c>
      <c r="T28" s="126">
        <f t="shared" si="5"/>
        <v>85.369794939386651</v>
      </c>
      <c r="U28" s="130"/>
      <c r="V28" s="28"/>
      <c r="W28" s="59" t="s">
        <v>60</v>
      </c>
      <c r="X28" s="52">
        <f t="shared" si="6"/>
        <v>85.369794939386651</v>
      </c>
      <c r="Y28" s="100"/>
      <c r="Z28" s="100">
        <f>X28</f>
        <v>85.369794939386651</v>
      </c>
      <c r="AA28" s="109"/>
      <c r="AB28" s="81"/>
      <c r="AC28" s="100" t="str">
        <f t="shared" si="7"/>
        <v/>
      </c>
      <c r="AD28" s="81">
        <f t="shared" si="8"/>
        <v>85.369794939386651</v>
      </c>
      <c r="AE28" s="97"/>
      <c r="AF28" s="52"/>
      <c r="AH28" s="129">
        <f>25*$H$5/60</f>
        <v>25</v>
      </c>
      <c r="AI28" s="109">
        <f t="shared" si="0"/>
        <v>480</v>
      </c>
      <c r="AJ28" s="100">
        <f t="shared" si="3"/>
        <v>100</v>
      </c>
      <c r="AK28" s="109">
        <f t="shared" si="1"/>
        <v>4500</v>
      </c>
      <c r="AL28" s="81">
        <f t="shared" si="2"/>
        <v>10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4"/>
        <v>17589.972314729366</v>
      </c>
      <c r="T29" s="126">
        <f t="shared" si="5"/>
        <v>91.291116435174217</v>
      </c>
      <c r="U29" s="130"/>
      <c r="V29" s="28"/>
      <c r="W29" s="59" t="s">
        <v>60</v>
      </c>
      <c r="X29" s="52">
        <f t="shared" si="6"/>
        <v>91.291116435174217</v>
      </c>
      <c r="Y29" s="100"/>
      <c r="Z29" s="100">
        <f>X29</f>
        <v>91.291116435174217</v>
      </c>
      <c r="AA29" s="109"/>
      <c r="AB29" s="81"/>
      <c r="AC29" s="100">
        <f t="shared" si="7"/>
        <v>91.291116435174217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500</v>
      </c>
      <c r="AJ29" s="100">
        <f t="shared" si="3"/>
        <v>100</v>
      </c>
      <c r="AK29" s="109">
        <f t="shared" si="1"/>
        <v>4680</v>
      </c>
      <c r="AL29" s="81">
        <f t="shared" si="2"/>
        <v>10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4"/>
        <v>14331.115836777275</v>
      </c>
      <c r="T30" s="126">
        <f t="shared" si="5"/>
        <v>76.391875462565437</v>
      </c>
      <c r="U30" s="130"/>
      <c r="V30" s="28"/>
      <c r="W30" s="59" t="s">
        <v>60</v>
      </c>
      <c r="X30" s="52">
        <f t="shared" si="6"/>
        <v>76.391875462565437</v>
      </c>
      <c r="Y30" s="100"/>
      <c r="Z30" s="100"/>
      <c r="AA30" s="109"/>
      <c r="AB30" s="81"/>
      <c r="AC30" s="100">
        <f t="shared" si="7"/>
        <v>76.391875462565437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520</v>
      </c>
      <c r="AJ30" s="100">
        <f t="shared" si="3"/>
        <v>100</v>
      </c>
      <c r="AK30" s="109">
        <f t="shared" si="1"/>
        <v>4860</v>
      </c>
      <c r="AL30" s="81">
        <f t="shared" si="2"/>
        <v>10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244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4"/>
        <v>15145.829956265297</v>
      </c>
      <c r="T31" s="126">
        <f t="shared" si="5"/>
        <v>89.276922819129368</v>
      </c>
      <c r="U31" s="130"/>
      <c r="V31" s="28"/>
      <c r="W31" s="59" t="s">
        <v>60</v>
      </c>
      <c r="X31" s="52">
        <f t="shared" si="6"/>
        <v>89.276922819129368</v>
      </c>
      <c r="Y31" s="100"/>
      <c r="Z31" s="100">
        <f>X31</f>
        <v>89.276922819129368</v>
      </c>
      <c r="AA31" s="109"/>
      <c r="AB31" s="81"/>
      <c r="AC31" s="100">
        <f t="shared" si="7"/>
        <v>89.276922819129368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540</v>
      </c>
      <c r="AJ31" s="100">
        <f t="shared" si="3"/>
        <v>100</v>
      </c>
      <c r="AK31" s="109">
        <f t="shared" si="1"/>
        <v>5040</v>
      </c>
      <c r="AL31" s="81">
        <f t="shared" si="2"/>
        <v>10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4"/>
        <v>11086.983107972555</v>
      </c>
      <c r="T32" s="126">
        <f t="shared" si="5"/>
        <v>86.86135308659162</v>
      </c>
      <c r="U32" s="130"/>
      <c r="V32" s="28"/>
      <c r="W32" s="59" t="s">
        <v>60</v>
      </c>
      <c r="X32" s="52">
        <f t="shared" si="6"/>
        <v>86.86135308659162</v>
      </c>
      <c r="Y32" s="100"/>
      <c r="Z32" s="100">
        <f>X32</f>
        <v>86.86135308659162</v>
      </c>
      <c r="AA32" s="109"/>
      <c r="AB32" s="81"/>
      <c r="AC32" s="100">
        <f t="shared" si="7"/>
        <v>86.86135308659162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560</v>
      </c>
      <c r="AJ32" s="100">
        <f t="shared" si="3"/>
        <v>100</v>
      </c>
      <c r="AK32" s="109">
        <f t="shared" si="1"/>
        <v>5220</v>
      </c>
      <c r="AL32" s="81">
        <f t="shared" si="2"/>
        <v>10</v>
      </c>
      <c r="AM32" s="109">
        <v>118</v>
      </c>
      <c r="AN32" s="81">
        <v>85</v>
      </c>
      <c r="AO32" s="59"/>
      <c r="AP32" s="100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4"/>
        <v>11536.057456967461</v>
      </c>
      <c r="T33" s="126">
        <f t="shared" si="5"/>
        <v>91.98674313824624</v>
      </c>
      <c r="U33" s="28"/>
      <c r="V33" s="28"/>
      <c r="W33" s="59" t="s">
        <v>60</v>
      </c>
      <c r="X33" s="52">
        <f t="shared" si="6"/>
        <v>91.98674313824624</v>
      </c>
      <c r="Y33" s="100"/>
      <c r="Z33" s="100"/>
      <c r="AA33" s="109"/>
      <c r="AB33" s="81"/>
      <c r="AC33" s="100">
        <f t="shared" si="7"/>
        <v>91.98674313824624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580</v>
      </c>
      <c r="AJ33" s="100">
        <f t="shared" si="3"/>
        <v>100</v>
      </c>
      <c r="AK33" s="109">
        <f t="shared" si="1"/>
        <v>5400</v>
      </c>
      <c r="AL33" s="81">
        <f t="shared" si="2"/>
        <v>10</v>
      </c>
      <c r="AM33" s="109">
        <v>118</v>
      </c>
      <c r="AN33" s="81">
        <v>85</v>
      </c>
      <c r="AO33" s="59"/>
      <c r="AP33" s="100"/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65">
        <f>IF(J$8=1,T30,0.001)</f>
        <v>76.391875462565437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46189</v>
      </c>
      <c r="S34" s="125">
        <f t="shared" si="4"/>
        <v>42058.389439473576</v>
      </c>
      <c r="T34" s="126">
        <f t="shared" si="5"/>
        <v>91.057155252275606</v>
      </c>
      <c r="U34" s="28"/>
      <c r="V34" s="28"/>
      <c r="W34" s="59" t="s">
        <v>60</v>
      </c>
      <c r="X34" s="52">
        <f t="shared" si="6"/>
        <v>91.057155252275606</v>
      </c>
      <c r="Y34" s="100"/>
      <c r="Z34" s="100">
        <f>X34</f>
        <v>91.057155252275606</v>
      </c>
      <c r="AA34" s="109"/>
      <c r="AB34" s="81"/>
      <c r="AC34" s="100" t="str">
        <f t="shared" si="7"/>
        <v/>
      </c>
      <c r="AD34" s="81">
        <f t="shared" si="8"/>
        <v>91.057155252275606</v>
      </c>
      <c r="AE34" s="97"/>
      <c r="AF34" s="52"/>
      <c r="AH34" s="129">
        <f>31*$H$5/60</f>
        <v>31</v>
      </c>
      <c r="AI34" s="109">
        <f t="shared" si="0"/>
        <v>600</v>
      </c>
      <c r="AJ34" s="100">
        <f t="shared" si="3"/>
        <v>100</v>
      </c>
      <c r="AK34" s="109">
        <f t="shared" si="1"/>
        <v>5580</v>
      </c>
      <c r="AL34" s="81">
        <f t="shared" si="2"/>
        <v>10</v>
      </c>
      <c r="AM34" s="109">
        <v>118</v>
      </c>
      <c r="AN34" s="81">
        <v>85</v>
      </c>
      <c r="AO34" s="59"/>
      <c r="AP34" s="100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92.31119956080336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4"/>
        <v>4576.6320266420571</v>
      </c>
      <c r="T35" s="126">
        <f t="shared" si="5"/>
        <v>96.798477720855686</v>
      </c>
      <c r="U35" s="28"/>
      <c r="V35" s="28"/>
      <c r="W35" s="59" t="s">
        <v>60</v>
      </c>
      <c r="X35" s="52">
        <f t="shared" si="6"/>
        <v>96.798477720855686</v>
      </c>
      <c r="Y35" s="100"/>
      <c r="Z35" s="100"/>
      <c r="AA35" s="109"/>
      <c r="AB35" s="81"/>
      <c r="AC35" s="100">
        <f t="shared" si="7"/>
        <v>96.798477720855686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620</v>
      </c>
      <c r="AJ35" s="100">
        <f t="shared" si="3"/>
        <v>100</v>
      </c>
      <c r="AK35" s="109">
        <f t="shared" si="1"/>
        <v>5760</v>
      </c>
      <c r="AL35" s="81">
        <f t="shared" si="2"/>
        <v>10</v>
      </c>
      <c r="AM35" s="109">
        <v>118</v>
      </c>
      <c r="AN35" s="81">
        <v>85</v>
      </c>
      <c r="AO35" s="59"/>
      <c r="AP35" s="100"/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91.41650361636222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4"/>
        <v>24743.26044216186</v>
      </c>
      <c r="T36" s="126">
        <f t="shared" si="5"/>
        <v>102.61803434871375</v>
      </c>
      <c r="U36" s="28"/>
      <c r="V36" s="28"/>
      <c r="W36" s="59" t="s">
        <v>60</v>
      </c>
      <c r="X36" s="52">
        <f t="shared" si="6"/>
        <v>102.61803434871375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102.61803434871375</v>
      </c>
      <c r="AE36" s="97"/>
      <c r="AF36" s="52"/>
      <c r="AH36" s="129">
        <f>33*$H$5/60</f>
        <v>33</v>
      </c>
      <c r="AI36" s="109">
        <f t="shared" si="0"/>
        <v>640</v>
      </c>
      <c r="AJ36" s="100">
        <f t="shared" si="3"/>
        <v>100</v>
      </c>
      <c r="AK36" s="109">
        <f t="shared" si="1"/>
        <v>5940</v>
      </c>
      <c r="AL36" s="81">
        <f t="shared" si="2"/>
        <v>10</v>
      </c>
      <c r="AM36" s="109">
        <v>118</v>
      </c>
      <c r="AN36" s="81">
        <v>85</v>
      </c>
      <c r="AO36" s="59"/>
      <c r="AP36" s="100"/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69">
        <f>IF(J$8=1,T46,0.001)</f>
        <v>81.132424690086708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4"/>
        <v>11690.656823014886</v>
      </c>
      <c r="T37" s="126">
        <f t="shared" si="5"/>
        <v>97.357235368211917</v>
      </c>
      <c r="U37" s="28"/>
      <c r="V37" s="28"/>
      <c r="W37" s="59" t="s">
        <v>60</v>
      </c>
      <c r="X37" s="52">
        <f t="shared" si="6"/>
        <v>97.357235368211917</v>
      </c>
      <c r="Y37" s="100"/>
      <c r="Z37" s="100"/>
      <c r="AA37" s="109"/>
      <c r="AB37" s="81"/>
      <c r="AC37" s="100">
        <f t="shared" si="7"/>
        <v>97.357235368211917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660</v>
      </c>
      <c r="AJ37" s="100">
        <f t="shared" si="3"/>
        <v>100</v>
      </c>
      <c r="AK37" s="109">
        <f t="shared" si="1"/>
        <v>6120</v>
      </c>
      <c r="AL37" s="81">
        <f t="shared" si="2"/>
        <v>10</v>
      </c>
      <c r="AM37" s="109">
        <v>118</v>
      </c>
      <c r="AN37" s="81">
        <v>85</v>
      </c>
      <c r="AO37" s="59"/>
      <c r="AP37" s="100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47.49305790590067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4"/>
        <v>7214.6370822132167</v>
      </c>
      <c r="T38" s="126">
        <f t="shared" si="5"/>
        <v>89.201744339926023</v>
      </c>
      <c r="U38" s="28"/>
      <c r="V38" s="28"/>
      <c r="W38" s="59" t="s">
        <v>60</v>
      </c>
      <c r="X38" s="52">
        <f t="shared" si="6"/>
        <v>89.201744339926023</v>
      </c>
      <c r="Y38" s="100"/>
      <c r="Z38" s="100"/>
      <c r="AA38" s="109"/>
      <c r="AB38" s="81"/>
      <c r="AC38" s="100">
        <f t="shared" si="7"/>
        <v>89.201744339926023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680</v>
      </c>
      <c r="AJ38" s="100">
        <f t="shared" si="3"/>
        <v>100</v>
      </c>
      <c r="AK38" s="109">
        <f t="shared" si="1"/>
        <v>6300</v>
      </c>
      <c r="AL38" s="81">
        <f t="shared" si="2"/>
        <v>10</v>
      </c>
      <c r="AM38" s="109">
        <v>118</v>
      </c>
      <c r="AN38" s="81">
        <v>85</v>
      </c>
      <c r="AO38" s="59"/>
      <c r="AP38" s="100"/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73.199240154172756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4"/>
        <v>341345.58439995185</v>
      </c>
      <c r="T39" s="126">
        <f t="shared" si="5"/>
        <v>92.31119956080336</v>
      </c>
      <c r="U39" s="28"/>
      <c r="V39" s="28"/>
      <c r="W39" s="59" t="s">
        <v>60</v>
      </c>
      <c r="X39" s="52">
        <f t="shared" si="6"/>
        <v>92.31119956080336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92.31119956080336</v>
      </c>
      <c r="AE39" s="97"/>
      <c r="AF39" s="52"/>
      <c r="AH39" s="129">
        <f>36*$H$5/60</f>
        <v>36</v>
      </c>
      <c r="AI39" s="109">
        <f t="shared" si="0"/>
        <v>700</v>
      </c>
      <c r="AJ39" s="100">
        <f t="shared" si="3"/>
        <v>100</v>
      </c>
      <c r="AK39" s="109">
        <f t="shared" si="1"/>
        <v>6480</v>
      </c>
      <c r="AL39" s="81">
        <f t="shared" si="2"/>
        <v>10</v>
      </c>
      <c r="AM39" s="109">
        <v>118</v>
      </c>
      <c r="AN39" s="81">
        <v>85</v>
      </c>
      <c r="AO39" s="59"/>
      <c r="AP39" s="100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102.61803434871375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4"/>
        <v>126165.35248565582</v>
      </c>
      <c r="T40" s="126">
        <f t="shared" si="5"/>
        <v>105.27992163225007</v>
      </c>
      <c r="U40" s="28"/>
      <c r="V40" s="28"/>
      <c r="W40" s="59" t="s">
        <v>60</v>
      </c>
      <c r="X40" s="52">
        <f t="shared" si="6"/>
        <v>105.27992163225007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105.27992163225007</v>
      </c>
      <c r="AE40" s="97"/>
      <c r="AF40" s="52"/>
      <c r="AH40" s="129">
        <f>37*$H$5/60</f>
        <v>37</v>
      </c>
      <c r="AI40" s="109">
        <f t="shared" ref="AI40:AI63" si="9">(AH40-F$5)/(F$6-F$5)*180</f>
        <v>720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6660</v>
      </c>
      <c r="AL40" s="81">
        <f t="shared" ref="AL40:AL63" si="12">IF($G$5&gt;AH40,$G$7,IF($G$6&lt;AH40,$G$8,$G$7+(($G$8-$G$7)/2)+(SIN(RADIANS(AK40-90))*(($G$8-$G$7)/2))))</f>
        <v>10</v>
      </c>
      <c r="AM40" s="109">
        <v>118</v>
      </c>
      <c r="AN40" s="81">
        <v>85</v>
      </c>
      <c r="AO40" s="59"/>
      <c r="AP40" s="100"/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105.27992163225007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4"/>
        <v>52023.913654054486</v>
      </c>
      <c r="T41" s="126">
        <f t="shared" si="5"/>
        <v>101.17840766668188</v>
      </c>
      <c r="U41" s="28"/>
      <c r="V41" s="28"/>
      <c r="W41" s="59" t="s">
        <v>60</v>
      </c>
      <c r="X41" s="52">
        <f t="shared" si="6"/>
        <v>101.17840766668188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101.17840766668188</v>
      </c>
      <c r="AE41" s="97"/>
      <c r="AF41" s="52"/>
      <c r="AH41" s="129">
        <f>38*$H$5/60</f>
        <v>38</v>
      </c>
      <c r="AI41" s="109">
        <f t="shared" si="9"/>
        <v>739.99999999999989</v>
      </c>
      <c r="AJ41" s="100">
        <f t="shared" si="10"/>
        <v>100</v>
      </c>
      <c r="AK41" s="109">
        <f t="shared" si="11"/>
        <v>6840</v>
      </c>
      <c r="AL41" s="81">
        <f t="shared" si="12"/>
        <v>10</v>
      </c>
      <c r="AM41" s="109">
        <v>118</v>
      </c>
      <c r="AN41" s="81">
        <v>85</v>
      </c>
      <c r="AO41" s="59"/>
      <c r="AP41" s="100"/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4"/>
        <v>305674.84813224734</v>
      </c>
      <c r="T42" s="126">
        <f t="shared" si="5"/>
        <v>91.41650361636222</v>
      </c>
      <c r="U42" s="28"/>
      <c r="V42" s="28"/>
      <c r="W42" s="59" t="s">
        <v>60</v>
      </c>
      <c r="X42" s="52">
        <f t="shared" si="6"/>
        <v>91.41650361636222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91.41650361636222</v>
      </c>
      <c r="AE42" s="97"/>
      <c r="AF42" s="52"/>
      <c r="AH42" s="129">
        <f>39*$H$5/60</f>
        <v>39</v>
      </c>
      <c r="AI42" s="109">
        <f t="shared" si="9"/>
        <v>760</v>
      </c>
      <c r="AJ42" s="100">
        <f t="shared" si="10"/>
        <v>100</v>
      </c>
      <c r="AK42" s="109">
        <f t="shared" si="11"/>
        <v>7020</v>
      </c>
      <c r="AL42" s="81">
        <f t="shared" si="12"/>
        <v>10</v>
      </c>
      <c r="AM42" s="109">
        <v>118</v>
      </c>
      <c r="AN42" s="81">
        <v>85</v>
      </c>
      <c r="AO42" s="59"/>
      <c r="AP42" s="100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84.999660335537641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IF(Q$43&gt;1,Q43/Q$43*R$43,0.0001)</f>
        <v>61160</v>
      </c>
      <c r="T43" s="126">
        <f t="shared" ref="T43:T74" si="14">IF(R43&gt;1,100*S43/R43,0.0001)</f>
        <v>100</v>
      </c>
      <c r="U43" s="28"/>
      <c r="V43" s="28"/>
      <c r="W43" s="59" t="s">
        <v>60</v>
      </c>
      <c r="X43" s="52">
        <f t="shared" ref="X43:X74" si="15">IF(R43&gt;1,T43,"")</f>
        <v>100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</v>
      </c>
      <c r="AE43" s="97"/>
      <c r="AF43" s="52"/>
      <c r="AH43" s="129">
        <f>40*$H$5/60</f>
        <v>40</v>
      </c>
      <c r="AI43" s="109">
        <f t="shared" si="9"/>
        <v>780</v>
      </c>
      <c r="AJ43" s="100">
        <f t="shared" si="10"/>
        <v>100</v>
      </c>
      <c r="AK43" s="109">
        <f t="shared" si="11"/>
        <v>7200</v>
      </c>
      <c r="AL43" s="81">
        <f t="shared" si="12"/>
        <v>10</v>
      </c>
      <c r="AM43" s="109">
        <v>118</v>
      </c>
      <c r="AN43" s="81">
        <v>85</v>
      </c>
      <c r="AO43" s="59"/>
      <c r="AP43" s="100"/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91.619087247939362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35798.34209364844</v>
      </c>
      <c r="T44" s="126">
        <f t="shared" si="14"/>
        <v>91.025076519651236</v>
      </c>
      <c r="U44" s="28"/>
      <c r="V44" s="28"/>
      <c r="W44" s="59" t="s">
        <v>60</v>
      </c>
      <c r="X44" s="52">
        <f t="shared" si="15"/>
        <v>91.025076519651236</v>
      </c>
      <c r="Y44" s="100">
        <f t="shared" ref="Y44:Y54" si="18">X44</f>
        <v>91.025076519651236</v>
      </c>
      <c r="Z44" s="100"/>
      <c r="AA44" s="109"/>
      <c r="AB44" s="81"/>
      <c r="AC44" s="100" t="str">
        <f t="shared" si="16"/>
        <v/>
      </c>
      <c r="AD44" s="81">
        <f t="shared" si="17"/>
        <v>91.025076519651236</v>
      </c>
      <c r="AE44" s="97"/>
      <c r="AF44" s="52"/>
      <c r="AH44" s="129">
        <f>41*$H$5/60</f>
        <v>41</v>
      </c>
      <c r="AI44" s="109">
        <f t="shared" si="9"/>
        <v>800</v>
      </c>
      <c r="AJ44" s="100">
        <f t="shared" si="10"/>
        <v>100</v>
      </c>
      <c r="AK44" s="109">
        <f t="shared" si="11"/>
        <v>7380</v>
      </c>
      <c r="AL44" s="81">
        <f t="shared" si="12"/>
        <v>10</v>
      </c>
      <c r="AM44" s="109">
        <v>118</v>
      </c>
      <c r="AN44" s="81">
        <v>85</v>
      </c>
      <c r="AO44" s="59"/>
      <c r="AP44" s="100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80.97176125571454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3271.1262689082373</v>
      </c>
      <c r="T45" s="126">
        <f t="shared" si="14"/>
        <v>84.437952217559044</v>
      </c>
      <c r="U45" s="28"/>
      <c r="V45" s="28"/>
      <c r="W45" s="59" t="s">
        <v>60</v>
      </c>
      <c r="X45" s="52">
        <f t="shared" si="15"/>
        <v>84.437952217559044</v>
      </c>
      <c r="Y45" s="100">
        <f t="shared" si="18"/>
        <v>84.437952217559044</v>
      </c>
      <c r="Z45" s="100"/>
      <c r="AA45" s="109"/>
      <c r="AB45" s="81"/>
      <c r="AC45" s="100">
        <f t="shared" si="16"/>
        <v>84.437952217559044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820</v>
      </c>
      <c r="AJ45" s="100">
        <f t="shared" si="10"/>
        <v>100</v>
      </c>
      <c r="AK45" s="109">
        <f t="shared" si="11"/>
        <v>7560</v>
      </c>
      <c r="AL45" s="81">
        <f t="shared" si="12"/>
        <v>10</v>
      </c>
      <c r="AM45" s="109">
        <v>118</v>
      </c>
      <c r="AN45" s="81">
        <v>85</v>
      </c>
      <c r="AO45" s="59"/>
      <c r="AP45" s="100"/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84.437952217559044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4682.1522288649039</v>
      </c>
      <c r="T46" s="126">
        <f t="shared" si="14"/>
        <v>81.132424690086708</v>
      </c>
      <c r="U46" s="28"/>
      <c r="V46" s="28"/>
      <c r="W46" s="59" t="s">
        <v>60</v>
      </c>
      <c r="X46" s="52">
        <f t="shared" si="15"/>
        <v>81.132424690086708</v>
      </c>
      <c r="Y46" s="100">
        <f t="shared" si="18"/>
        <v>81.132424690086708</v>
      </c>
      <c r="Z46" s="100"/>
      <c r="AA46" s="109"/>
      <c r="AB46" s="81"/>
      <c r="AC46" s="100">
        <f t="shared" si="16"/>
        <v>81.132424690086708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840</v>
      </c>
      <c r="AJ46" s="100">
        <f t="shared" si="10"/>
        <v>100</v>
      </c>
      <c r="AK46" s="109">
        <f t="shared" si="11"/>
        <v>7740</v>
      </c>
      <c r="AL46" s="81">
        <f t="shared" si="12"/>
        <v>10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68.411995838968124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9931.1687999037022</v>
      </c>
      <c r="T47" s="126">
        <f t="shared" si="14"/>
        <v>92.814661681343011</v>
      </c>
      <c r="U47" s="28"/>
      <c r="V47" s="28"/>
      <c r="W47" s="59" t="s">
        <v>60</v>
      </c>
      <c r="X47" s="52">
        <f t="shared" si="15"/>
        <v>92.814661681343011</v>
      </c>
      <c r="Y47" s="100">
        <f t="shared" si="18"/>
        <v>92.814661681343011</v>
      </c>
      <c r="Z47" s="100"/>
      <c r="AA47" s="109"/>
      <c r="AB47" s="81"/>
      <c r="AC47" s="100">
        <f t="shared" si="16"/>
        <v>92.814661681343011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860</v>
      </c>
      <c r="AJ47" s="100">
        <f t="shared" si="10"/>
        <v>100</v>
      </c>
      <c r="AK47" s="109">
        <f t="shared" si="11"/>
        <v>7920</v>
      </c>
      <c r="AL47" s="81">
        <f t="shared" si="12"/>
        <v>10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78.609346631186014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132673.2496087951</v>
      </c>
      <c r="T48" s="126">
        <f t="shared" si="14"/>
        <v>88.89449078633892</v>
      </c>
      <c r="U48" s="28"/>
      <c r="V48" s="28"/>
      <c r="W48" s="59" t="s">
        <v>60</v>
      </c>
      <c r="X48" s="52">
        <f t="shared" si="15"/>
        <v>88.89449078633892</v>
      </c>
      <c r="Y48" s="100">
        <f t="shared" si="18"/>
        <v>88.89449078633892</v>
      </c>
      <c r="Z48" s="100"/>
      <c r="AA48" s="109"/>
      <c r="AB48" s="81"/>
      <c r="AC48" s="100" t="str">
        <f t="shared" si="16"/>
        <v/>
      </c>
      <c r="AD48" s="81">
        <f t="shared" si="17"/>
        <v>88.89449078633892</v>
      </c>
      <c r="AE48" s="81"/>
      <c r="AF48" s="52"/>
      <c r="AH48" s="129">
        <f>45*$H$5/60</f>
        <v>45</v>
      </c>
      <c r="AI48" s="109">
        <f t="shared" si="9"/>
        <v>880.00000000000011</v>
      </c>
      <c r="AJ48" s="100">
        <f t="shared" si="10"/>
        <v>100</v>
      </c>
      <c r="AK48" s="109">
        <f t="shared" si="11"/>
        <v>8100</v>
      </c>
      <c r="AL48" s="81">
        <f t="shared" si="12"/>
        <v>10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101.72498131501935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900</v>
      </c>
      <c r="AJ49" s="100">
        <f t="shared" si="10"/>
        <v>100</v>
      </c>
      <c r="AK49" s="109">
        <f t="shared" si="11"/>
        <v>8280</v>
      </c>
      <c r="AL49" s="81">
        <f t="shared" si="12"/>
        <v>10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84.399515956948136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73653.101151546769</v>
      </c>
      <c r="T50" s="126">
        <f t="shared" si="14"/>
        <v>91.00727922742432</v>
      </c>
      <c r="U50" s="28"/>
      <c r="V50" s="28"/>
      <c r="W50" s="59" t="s">
        <v>60</v>
      </c>
      <c r="X50" s="52">
        <f t="shared" si="15"/>
        <v>91.00727922742432</v>
      </c>
      <c r="Y50" s="100">
        <f t="shared" si="18"/>
        <v>91.00727922742432</v>
      </c>
      <c r="Z50" s="100"/>
      <c r="AA50" s="109"/>
      <c r="AB50" s="81"/>
      <c r="AC50" s="100" t="str">
        <f t="shared" si="16"/>
        <v/>
      </c>
      <c r="AD50" s="81">
        <f t="shared" si="17"/>
        <v>91.00727922742432</v>
      </c>
      <c r="AE50" s="81"/>
      <c r="AF50" s="52"/>
      <c r="AH50" s="129">
        <f>47*$H$5/60</f>
        <v>47</v>
      </c>
      <c r="AI50" s="109">
        <f t="shared" si="9"/>
        <v>919.99999999999989</v>
      </c>
      <c r="AJ50" s="100">
        <f t="shared" si="10"/>
        <v>100</v>
      </c>
      <c r="AK50" s="109">
        <f t="shared" si="11"/>
        <v>8460</v>
      </c>
      <c r="AL50" s="81">
        <f t="shared" si="12"/>
        <v>10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101.17840766668188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412208.53508807125</v>
      </c>
      <c r="T51" s="126">
        <f t="shared" si="14"/>
        <v>92.348482865492855</v>
      </c>
      <c r="U51" s="28"/>
      <c r="V51" s="28"/>
      <c r="W51" s="171" t="s">
        <v>94</v>
      </c>
      <c r="X51" s="52">
        <f t="shared" si="15"/>
        <v>92.348482865492855</v>
      </c>
      <c r="Y51" s="100">
        <f t="shared" si="18"/>
        <v>92.348482865492855</v>
      </c>
      <c r="Z51" s="100"/>
      <c r="AA51" s="109"/>
      <c r="AB51" s="81"/>
      <c r="AC51" s="100" t="str">
        <f t="shared" si="16"/>
        <v/>
      </c>
      <c r="AD51" s="81">
        <f t="shared" si="17"/>
        <v>92.348482865492855</v>
      </c>
      <c r="AE51" s="81"/>
      <c r="AF51" s="52">
        <f>X51</f>
        <v>92.348482865492855</v>
      </c>
      <c r="AH51" s="129">
        <f>48*$H$5/60</f>
        <v>48</v>
      </c>
      <c r="AI51" s="109">
        <f t="shared" si="9"/>
        <v>940</v>
      </c>
      <c r="AJ51" s="100">
        <f t="shared" si="10"/>
        <v>100</v>
      </c>
      <c r="AK51" s="109">
        <f t="shared" si="11"/>
        <v>8640</v>
      </c>
      <c r="AL51" s="81">
        <f t="shared" si="12"/>
        <v>10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89.504015097465057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1846684.5195201219</v>
      </c>
      <c r="T52" s="126">
        <f t="shared" si="14"/>
        <v>95.576961112635587</v>
      </c>
      <c r="U52" s="28"/>
      <c r="V52" s="28"/>
      <c r="W52" s="171" t="s">
        <v>94</v>
      </c>
      <c r="X52" s="52">
        <f t="shared" si="15"/>
        <v>95.576961112635587</v>
      </c>
      <c r="Y52" s="100">
        <f t="shared" si="18"/>
        <v>95.576961112635587</v>
      </c>
      <c r="Z52" s="100"/>
      <c r="AA52" s="109"/>
      <c r="AB52" s="81"/>
      <c r="AC52" s="100" t="str">
        <f t="shared" si="16"/>
        <v/>
      </c>
      <c r="AD52" s="81">
        <f t="shared" si="17"/>
        <v>95.576961112635587</v>
      </c>
      <c r="AE52" s="81"/>
      <c r="AF52" s="52">
        <f>X52</f>
        <v>95.576961112635587</v>
      </c>
      <c r="AH52" s="129">
        <f>49*$H$5/60</f>
        <v>49</v>
      </c>
      <c r="AI52" s="109">
        <f t="shared" si="9"/>
        <v>960</v>
      </c>
      <c r="AJ52" s="100">
        <f t="shared" si="10"/>
        <v>100</v>
      </c>
      <c r="AK52" s="109">
        <f t="shared" si="11"/>
        <v>8820</v>
      </c>
      <c r="AL52" s="81">
        <f t="shared" si="12"/>
        <v>10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84.503369911726253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980</v>
      </c>
      <c r="AJ53" s="100">
        <f t="shared" si="10"/>
        <v>100</v>
      </c>
      <c r="AK53" s="109">
        <f t="shared" si="11"/>
        <v>9000</v>
      </c>
      <c r="AL53" s="81">
        <f t="shared" si="12"/>
        <v>10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44.802018385641858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7835.4885045941501</v>
      </c>
      <c r="T54" s="126">
        <f t="shared" si="14"/>
        <v>92.892572668573209</v>
      </c>
      <c r="U54" s="28"/>
      <c r="V54" s="28"/>
      <c r="W54" s="59" t="s">
        <v>60</v>
      </c>
      <c r="X54" s="52">
        <f t="shared" si="15"/>
        <v>92.892572668573209</v>
      </c>
      <c r="Y54" s="100">
        <f t="shared" si="18"/>
        <v>92.892572668573209</v>
      </c>
      <c r="Z54" s="100"/>
      <c r="AA54" s="109"/>
      <c r="AB54" s="81"/>
      <c r="AC54" s="100">
        <f t="shared" si="16"/>
        <v>92.892572668573209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1000</v>
      </c>
      <c r="AJ54" s="100">
        <f t="shared" si="10"/>
        <v>100</v>
      </c>
      <c r="AK54" s="109">
        <f t="shared" si="11"/>
        <v>9180</v>
      </c>
      <c r="AL54" s="81">
        <f t="shared" si="12"/>
        <v>10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55.594142191041314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3636.766039401356</v>
      </c>
      <c r="T55" s="126">
        <f t="shared" si="14"/>
        <v>82.710166918384274</v>
      </c>
      <c r="U55" s="28"/>
      <c r="V55" s="28"/>
      <c r="W55" s="59" t="s">
        <v>60</v>
      </c>
      <c r="X55" s="52">
        <f t="shared" si="15"/>
        <v>82.710166918384274</v>
      </c>
      <c r="Y55" s="100"/>
      <c r="Z55" s="100"/>
      <c r="AA55" s="109"/>
      <c r="AB55" s="81"/>
      <c r="AC55" s="100">
        <f t="shared" si="16"/>
        <v>82.710166918384274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1020</v>
      </c>
      <c r="AJ55" s="100">
        <f t="shared" si="10"/>
        <v>100</v>
      </c>
      <c r="AK55" s="109">
        <f t="shared" si="11"/>
        <v>9360</v>
      </c>
      <c r="AL55" s="81">
        <f t="shared" si="12"/>
        <v>10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66.297295778997295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20937.171287565703</v>
      </c>
      <c r="T56" s="126">
        <f t="shared" si="14"/>
        <v>88.969410137108326</v>
      </c>
      <c r="U56" s="28"/>
      <c r="V56" s="28"/>
      <c r="W56" s="59" t="s">
        <v>60</v>
      </c>
      <c r="X56" s="52">
        <f t="shared" si="15"/>
        <v>88.969410137108326</v>
      </c>
      <c r="Y56" s="100">
        <f>X56</f>
        <v>88.969410137108326</v>
      </c>
      <c r="Z56" s="100"/>
      <c r="AA56" s="109"/>
      <c r="AB56" s="81"/>
      <c r="AC56" s="100" t="str">
        <f t="shared" si="16"/>
        <v/>
      </c>
      <c r="AD56" s="81">
        <f t="shared" si="17"/>
        <v>88.969410137108326</v>
      </c>
      <c r="AE56" s="81"/>
      <c r="AF56" s="52"/>
      <c r="AH56" s="129">
        <f>53*$H$5/60</f>
        <v>53</v>
      </c>
      <c r="AI56" s="109">
        <f t="shared" si="9"/>
        <v>1040</v>
      </c>
      <c r="AJ56" s="100">
        <f t="shared" si="10"/>
        <v>100</v>
      </c>
      <c r="AK56" s="109">
        <f t="shared" si="11"/>
        <v>9540</v>
      </c>
      <c r="AL56" s="81">
        <f t="shared" si="12"/>
        <v>10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50.384050348245992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1060</v>
      </c>
      <c r="AJ57" s="100">
        <f t="shared" si="10"/>
        <v>100</v>
      </c>
      <c r="AK57" s="109">
        <f t="shared" si="11"/>
        <v>9720</v>
      </c>
      <c r="AL57" s="81">
        <f t="shared" si="12"/>
        <v>10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70.360410179177919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56163.74112265779</v>
      </c>
      <c r="T58" s="126">
        <f t="shared" si="14"/>
        <v>91.541963918077002</v>
      </c>
      <c r="U58" s="28"/>
      <c r="V58" s="28"/>
      <c r="W58" s="59" t="s">
        <v>60</v>
      </c>
      <c r="X58" s="52">
        <f t="shared" si="15"/>
        <v>91.541963918077002</v>
      </c>
      <c r="Y58" s="100">
        <f>X58</f>
        <v>91.541963918077002</v>
      </c>
      <c r="Z58" s="100"/>
      <c r="AA58" s="109"/>
      <c r="AB58" s="81"/>
      <c r="AC58" s="100" t="str">
        <f t="shared" si="16"/>
        <v/>
      </c>
      <c r="AD58" s="81">
        <f t="shared" si="17"/>
        <v>91.541963918077002</v>
      </c>
      <c r="AE58" s="81"/>
      <c r="AF58" s="52"/>
      <c r="AH58" s="129">
        <f>55*$H$5/60</f>
        <v>55</v>
      </c>
      <c r="AI58" s="109">
        <f t="shared" si="9"/>
        <v>1080</v>
      </c>
      <c r="AJ58" s="100">
        <f t="shared" si="10"/>
        <v>100</v>
      </c>
      <c r="AK58" s="109">
        <f t="shared" si="11"/>
        <v>9900</v>
      </c>
      <c r="AL58" s="81">
        <f t="shared" si="12"/>
        <v>10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67.220172802719489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62941.57364683225</v>
      </c>
      <c r="T59" s="126">
        <f t="shared" si="14"/>
        <v>92.272108904215102</v>
      </c>
      <c r="U59" s="28"/>
      <c r="V59" s="28"/>
      <c r="W59" s="59" t="s">
        <v>60</v>
      </c>
      <c r="X59" s="52">
        <f t="shared" si="15"/>
        <v>92.272108904215102</v>
      </c>
      <c r="Y59" s="100">
        <f>X59</f>
        <v>92.272108904215102</v>
      </c>
      <c r="Z59" s="100"/>
      <c r="AA59" s="109"/>
      <c r="AB59" s="81"/>
      <c r="AC59" s="100" t="str">
        <f t="shared" si="16"/>
        <v/>
      </c>
      <c r="AD59" s="81">
        <f t="shared" si="17"/>
        <v>92.272108904215102</v>
      </c>
      <c r="AE59" s="81"/>
      <c r="AF59" s="52"/>
      <c r="AH59" s="129">
        <f>56*$H$5/60</f>
        <v>56</v>
      </c>
      <c r="AI59" s="109">
        <f t="shared" si="9"/>
        <v>1100</v>
      </c>
      <c r="AJ59" s="100">
        <f t="shared" si="10"/>
        <v>100</v>
      </c>
      <c r="AK59" s="109">
        <f t="shared" si="11"/>
        <v>10080</v>
      </c>
      <c r="AL59" s="81">
        <f t="shared" si="12"/>
        <v>10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77.061023882584138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52787.094651526706</v>
      </c>
      <c r="T60" s="126">
        <f t="shared" si="14"/>
        <v>91.169420814381184</v>
      </c>
      <c r="U60" s="28"/>
      <c r="V60" s="28"/>
      <c r="W60" s="59" t="s">
        <v>60</v>
      </c>
      <c r="X60" s="52">
        <f t="shared" si="15"/>
        <v>91.169420814381184</v>
      </c>
      <c r="Y60" s="100">
        <f>X60</f>
        <v>91.169420814381184</v>
      </c>
      <c r="Z60" s="100"/>
      <c r="AA60" s="109"/>
      <c r="AB60" s="81"/>
      <c r="AC60" s="100" t="str">
        <f t="shared" si="16"/>
        <v/>
      </c>
      <c r="AD60" s="81">
        <f t="shared" si="17"/>
        <v>91.169420814381184</v>
      </c>
      <c r="AE60" s="81"/>
      <c r="AF60" s="52"/>
      <c r="AH60" s="129">
        <f>57*$H$5/60</f>
        <v>57</v>
      </c>
      <c r="AI60" s="109">
        <f t="shared" si="9"/>
        <v>1120</v>
      </c>
      <c r="AJ60" s="100">
        <f t="shared" si="10"/>
        <v>100</v>
      </c>
      <c r="AK60" s="109">
        <f t="shared" si="11"/>
        <v>10260</v>
      </c>
      <c r="AL60" s="81">
        <f t="shared" si="12"/>
        <v>10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58.757437371568898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16517.5925851623</v>
      </c>
      <c r="T61" s="126">
        <f t="shared" si="14"/>
        <v>98.248825750430044</v>
      </c>
      <c r="U61" s="28"/>
      <c r="V61" s="28"/>
      <c r="W61" s="59" t="s">
        <v>60</v>
      </c>
      <c r="X61" s="52">
        <f t="shared" si="15"/>
        <v>98.248825750430044</v>
      </c>
      <c r="Y61" s="100"/>
      <c r="Z61" s="100">
        <f>X61</f>
        <v>98.248825750430044</v>
      </c>
      <c r="AA61" s="109"/>
      <c r="AB61" s="81"/>
      <c r="AC61" s="100">
        <f t="shared" si="16"/>
        <v>98.248825750430044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1140</v>
      </c>
      <c r="AJ61" s="100">
        <f t="shared" si="10"/>
        <v>100</v>
      </c>
      <c r="AK61" s="109">
        <f t="shared" si="11"/>
        <v>10440</v>
      </c>
      <c r="AL61" s="81">
        <f t="shared" si="12"/>
        <v>10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60.857389531594954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10367.973357942463</v>
      </c>
      <c r="T62" s="126">
        <f t="shared" si="14"/>
        <v>96.707148194594382</v>
      </c>
      <c r="U62" s="28"/>
      <c r="V62" s="28"/>
      <c r="W62" s="59" t="s">
        <v>60</v>
      </c>
      <c r="X62" s="52">
        <f t="shared" si="15"/>
        <v>96.707148194594382</v>
      </c>
      <c r="Y62" s="100"/>
      <c r="Z62" s="100">
        <f>X62</f>
        <v>96.707148194594382</v>
      </c>
      <c r="AA62" s="109"/>
      <c r="AB62" s="81"/>
      <c r="AC62" s="100">
        <f t="shared" si="16"/>
        <v>96.707148194594382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1160</v>
      </c>
      <c r="AJ62" s="100">
        <f t="shared" si="10"/>
        <v>100</v>
      </c>
      <c r="AK62" s="109">
        <f t="shared" si="11"/>
        <v>10620</v>
      </c>
      <c r="AL62" s="81">
        <f t="shared" si="12"/>
        <v>10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63.71549188460353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2139.851542751675</v>
      </c>
      <c r="T63" s="126">
        <f t="shared" si="14"/>
        <v>82.747546123421301</v>
      </c>
      <c r="U63" s="28"/>
      <c r="V63" s="28"/>
      <c r="W63" s="59" t="s">
        <v>60</v>
      </c>
      <c r="X63" s="52">
        <f t="shared" si="15"/>
        <v>82.747546123421301</v>
      </c>
      <c r="Y63" s="100"/>
      <c r="Z63" s="100"/>
      <c r="AA63" s="109"/>
      <c r="AB63" s="81"/>
      <c r="AC63" s="100">
        <f t="shared" si="16"/>
        <v>82.747546123421301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1180</v>
      </c>
      <c r="AJ63" s="107">
        <f t="shared" si="10"/>
        <v>100</v>
      </c>
      <c r="AK63" s="80">
        <f t="shared" si="11"/>
        <v>10800</v>
      </c>
      <c r="AL63" s="60">
        <f t="shared" si="12"/>
        <v>10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63.792271592144573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13349.532560285679</v>
      </c>
      <c r="T64" s="126">
        <f t="shared" si="14"/>
        <v>92.269370751214254</v>
      </c>
      <c r="U64" s="28"/>
      <c r="V64" s="28"/>
     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<c r="AA64" s="109"/>
      <c r="AB64" s="81"/>
      <c r="AC64" s="100">
        <f t="shared" si="16"/>
        <v>92.269370751214254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65.412101808172537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30286.751996148138</v>
      </c>
      <c r="T65" s="126">
        <f t="shared" si="14"/>
        <v>94.643142389763241</v>
      </c>
      <c r="U65" s="28"/>
      <c r="V65" s="28"/>
      <c r="W65" s="59" t="s">
        <v>60</v>
      </c>
      <c r="X65" s="52">
        <f t="shared" si="15"/>
        <v>94.643142389763241</v>
      </c>
      <c r="Y65" s="100"/>
      <c r="Z65" s="100">
        <f>X65</f>
        <v>94.643142389763241</v>
      </c>
      <c r="AA65" s="109"/>
      <c r="AB65" s="81"/>
      <c r="AC65" s="100" t="str">
        <f t="shared" si="16"/>
        <v/>
      </c>
      <c r="AD65" s="81">
        <f t="shared" si="17"/>
        <v>94.643142389763241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68.728574567308797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71.146321305071126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22686.843477911967</v>
      </c>
      <c r="T67" s="126">
        <f t="shared" si="14"/>
        <v>94.430149751974895</v>
      </c>
      <c r="U67" s="28"/>
      <c r="V67" s="28"/>
      <c r="W67" s="59" t="s">
        <v>60</v>
      </c>
      <c r="X67" s="52">
        <f t="shared" si="15"/>
        <v>94.430149751974895</v>
      </c>
      <c r="Y67" s="100"/>
      <c r="Z67" s="100">
        <f>X67</f>
        <v>94.430149751974895</v>
      </c>
      <c r="AA67" s="109"/>
      <c r="AB67" s="81"/>
      <c r="AC67" s="100" t="str">
        <f t="shared" si="16"/>
        <v/>
      </c>
      <c r="AD67" s="81">
        <f t="shared" si="17"/>
        <v>94.430149751974895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79.139471774765568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17562.978774625848</v>
      </c>
      <c r="T68" s="126">
        <f t="shared" si="14"/>
        <v>82.957719402134273</v>
      </c>
      <c r="U68" s="28"/>
      <c r="V68" s="28"/>
      <c r="W68" s="59" t="s">
        <v>60</v>
      </c>
      <c r="X68" s="52">
        <f t="shared" si="15"/>
        <v>82.957719402134273</v>
      </c>
      <c r="Y68" s="100">
        <f>X68</f>
        <v>82.957719402134273</v>
      </c>
      <c r="Z68" s="100"/>
      <c r="AA68" s="109"/>
      <c r="AB68" s="81"/>
      <c r="AC68" s="100">
        <f t="shared" si="16"/>
        <v>82.957719402134273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85.426476030557481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12083.290133611525</v>
      </c>
      <c r="T69" s="126">
        <f t="shared" si="14"/>
        <v>90.066265158106177</v>
      </c>
      <c r="U69" s="28"/>
      <c r="V69" s="28"/>
      <c r="W69" s="59" t="s">
        <v>60</v>
      </c>
      <c r="X69" s="52">
        <f t="shared" si="15"/>
        <v>90.066265158106177</v>
      </c>
      <c r="Y69" s="100"/>
      <c r="Z69" s="100">
        <f>X69</f>
        <v>90.066265158106177</v>
      </c>
      <c r="AA69" s="109"/>
      <c r="AB69" s="81"/>
      <c r="AC69" s="100">
        <f t="shared" si="16"/>
        <v>90.066265158106177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89.770169621564989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27464.700076234803</v>
      </c>
      <c r="T70" s="126">
        <f t="shared" si="14"/>
        <v>97.666157235641691</v>
      </c>
      <c r="U70" s="28"/>
      <c r="V70" s="28"/>
      <c r="W70" s="59" t="s">
        <v>60</v>
      </c>
      <c r="X70" s="52">
        <f t="shared" si="15"/>
        <v>97.666157235641691</v>
      </c>
      <c r="Y70" s="100"/>
      <c r="Z70" s="100">
        <f>X70</f>
        <v>97.666157235641691</v>
      </c>
      <c r="AA70" s="109"/>
      <c r="AB70" s="81"/>
      <c r="AC70" s="100" t="str">
        <f t="shared" si="16"/>
        <v/>
      </c>
      <c r="AD70" s="81">
        <f t="shared" si="17"/>
        <v>97.666157235641691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85.369794939386651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91.291116435174217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85652.956706656507</v>
      </c>
      <c r="T72" s="126">
        <f t="shared" si="14"/>
        <v>99.813497613014945</v>
      </c>
      <c r="U72" s="28"/>
      <c r="V72" s="28"/>
      <c r="W72" s="59" t="s">
        <v>60</v>
      </c>
      <c r="X72" s="52">
        <f t="shared" si="15"/>
        <v>99.813497613014945</v>
      </c>
      <c r="Y72" s="100"/>
      <c r="Z72" s="100">
        <f>X72</f>
        <v>99.813497613014945</v>
      </c>
      <c r="AA72" s="109"/>
      <c r="AB72" s="81"/>
      <c r="AC72" s="100" t="str">
        <f t="shared" si="16"/>
        <v/>
      </c>
      <c r="AD72" s="81">
        <f t="shared" si="17"/>
        <v>99.813497613014945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89.276922819129368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12858.740922039884</v>
      </c>
      <c r="T73" s="126">
        <f t="shared" si="14"/>
        <v>87.290346358291259</v>
      </c>
      <c r="U73" s="28"/>
      <c r="V73" s="28"/>
      <c r="W73" s="59" t="s">
        <v>60</v>
      </c>
      <c r="X73" s="52">
        <f t="shared" si="15"/>
        <v>87.290346358291259</v>
      </c>
      <c r="Y73" s="100">
        <f>X73</f>
        <v>87.290346358291259</v>
      </c>
      <c r="Z73" s="100">
        <f>X73</f>
        <v>87.290346358291259</v>
      </c>
      <c r="AA73" s="109"/>
      <c r="AB73" s="81"/>
      <c r="AC73" s="100">
        <f t="shared" si="16"/>
        <v>87.290346358291259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86.86135308659162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180046.91249047066</v>
      </c>
      <c r="T74" s="126">
        <f t="shared" si="14"/>
        <v>97.741623548763442</v>
      </c>
      <c r="U74" s="28"/>
      <c r="V74" s="28"/>
      <c r="W74" s="59" t="s">
        <v>60</v>
      </c>
      <c r="X74" s="52">
        <f t="shared" si="15"/>
        <v>97.741623548763442</v>
      </c>
      <c r="Y74" s="100"/>
      <c r="Z74" s="100">
        <f>X74</f>
        <v>97.741623548763442</v>
      </c>
      <c r="AA74" s="109"/>
      <c r="AB74" s="81"/>
      <c r="AC74" s="100" t="str">
        <f t="shared" si="16"/>
        <v/>
      </c>
      <c r="AD74" s="81">
        <f t="shared" si="17"/>
        <v>97.741623548763442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91.057155252275606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IF(Q$43&gt;1,Q75/Q$43*R$43,0.0001)</f>
        <v>9133.6323877542818</v>
      </c>
      <c r="T75" s="126">
        <f t="shared" ref="T75:T106" si="25">IF(R75&gt;1,100*S75/R75,0.0001)</f>
        <v>85.464886195885484</v>
      </c>
      <c r="U75" s="28"/>
      <c r="V75" s="28"/>
      <c r="W75" s="59" t="s">
        <v>60</v>
      </c>
      <c r="X75" s="52">
        <f t="shared" ref="X75:X106" si="26">IF(R75&gt;1,T75,"")</f>
        <v>85.464886195885484</v>
      </c>
      <c r="Y75" s="100">
        <f>X75</f>
        <v>85.464886195885484</v>
      </c>
      <c r="Z75" s="100"/>
      <c r="AA75" s="109"/>
      <c r="AB75" s="81"/>
      <c r="AC75" s="100">
        <f t="shared" ref="AC75:AC106" si="27">IF(Q75&lt;AC$9,X75,"")</f>
        <v>85.464886195885484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91.853404833574231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55317.12554668379</v>
      </c>
      <c r="T76" s="126">
        <f t="shared" si="25"/>
        <v>98.231537205767395</v>
      </c>
      <c r="U76" s="28"/>
      <c r="V76" s="28"/>
      <c r="W76" s="59" t="s">
        <v>60</v>
      </c>
      <c r="X76" s="52">
        <f t="shared" si="26"/>
        <v>98.231537205767395</v>
      </c>
      <c r="Y76" s="100"/>
      <c r="Z76" s="100">
        <f>X76</f>
        <v>98.231537205767395</v>
      </c>
      <c r="AA76" s="109"/>
      <c r="AB76" s="81"/>
      <c r="AC76" s="100" t="str">
        <f t="shared" si="27"/>
        <v/>
      </c>
      <c r="AD76" s="81">
        <f t="shared" si="28"/>
        <v>98.231537205767395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7634.2639329133726</v>
      </c>
      <c r="T78" s="123">
        <f t="shared" si="25"/>
        <v>44.802018385641858</v>
      </c>
      <c r="U78" s="210"/>
      <c r="V78" s="210"/>
      <c r="W78" s="98" t="s">
        <v>60</v>
      </c>
      <c r="X78" s="89">
        <f t="shared" si="26"/>
        <v>44.802018385641858</v>
      </c>
      <c r="Y78" s="43"/>
      <c r="Z78" s="43"/>
      <c r="AA78" s="47"/>
      <c r="AB78" s="45">
        <f>X78</f>
        <v>44.802018385641858</v>
      </c>
      <c r="AC78" s="43">
        <f t="shared" si="27"/>
        <v>44.802018385641858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98.248825750430044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2934.9339967098663</v>
      </c>
      <c r="T79" s="126">
        <f t="shared" si="25"/>
        <v>58.757437371568898</v>
      </c>
      <c r="U79" s="28"/>
      <c r="V79" s="28"/>
      <c r="W79" s="59" t="s">
        <v>60</v>
      </c>
      <c r="X79" s="52">
        <f t="shared" si="26"/>
        <v>58.757437371568898</v>
      </c>
      <c r="Y79" s="100"/>
      <c r="Z79" s="100"/>
      <c r="AA79" s="109"/>
      <c r="AB79" s="81">
        <f>X79</f>
        <v>58.757437371568898</v>
      </c>
      <c r="AC79" s="100">
        <f t="shared" si="27"/>
        <v>58.757437371568898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96.707148194594382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85633.325041126664</v>
      </c>
      <c r="T80" s="126">
        <f t="shared" si="25"/>
        <v>55.594142191041314</v>
      </c>
      <c r="U80" s="28"/>
      <c r="V80" s="28"/>
      <c r="W80" s="171" t="s">
        <v>94</v>
      </c>
      <c r="X80" s="52">
        <f t="shared" si="26"/>
        <v>55.594142191041314</v>
      </c>
      <c r="Y80" s="100"/>
      <c r="Z80" s="100"/>
      <c r="AA80" s="109"/>
      <c r="AB80" s="81">
        <f>X80</f>
        <v>55.594142191041314</v>
      </c>
      <c r="AC80" s="100" t="str">
        <f t="shared" si="27"/>
        <v/>
      </c>
      <c r="AD80" s="81">
        <f t="shared" si="28"/>
        <v>55.594142191041314</v>
      </c>
      <c r="AE80" s="97"/>
      <c r="AF80" s="52">
        <f>X80</f>
        <v>55.594142191041314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4633.0730650403239</v>
      </c>
      <c r="T81" s="126">
        <f t="shared" si="25"/>
        <v>60.857389531594954</v>
      </c>
      <c r="U81" s="212"/>
      <c r="V81" s="28"/>
      <c r="W81" s="59" t="s">
        <v>60</v>
      </c>
      <c r="X81" s="52">
        <f t="shared" si="26"/>
        <v>60.857389531594954</v>
      </c>
      <c r="Y81" s="109"/>
      <c r="Z81" s="100"/>
      <c r="AA81" s="109"/>
      <c r="AB81" s="81">
        <f>X81</f>
        <v>60.857389531594954</v>
      </c>
      <c r="AC81" s="100">
        <f t="shared" si="27"/>
        <v>60.857389531594954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93.163194658935623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14421.912289852748</v>
      </c>
      <c r="T82" s="126">
        <f t="shared" si="25"/>
        <v>43.00683571853267</v>
      </c>
      <c r="U82" s="28"/>
      <c r="V82" s="128"/>
      <c r="W82" s="59" t="s">
        <v>60</v>
      </c>
      <c r="X82" s="52">
        <f t="shared" si="26"/>
        <v>43.00683571853267</v>
      </c>
      <c r="Y82" s="100"/>
      <c r="Z82" s="81"/>
      <c r="AA82" s="109"/>
      <c r="AB82" s="81"/>
      <c r="AC82" s="109">
        <f t="shared" si="27"/>
        <v>43.00683571853267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94.643142389763241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5830.6046623600696</v>
      </c>
      <c r="T83" s="126">
        <f t="shared" si="25"/>
        <v>63.71549188460353</v>
      </c>
      <c r="U83" s="28"/>
      <c r="V83" s="28"/>
      <c r="W83" s="59" t="s">
        <v>60</v>
      </c>
      <c r="X83" s="52">
        <f t="shared" si="26"/>
        <v>63.71549188460353</v>
      </c>
      <c r="Y83" s="99"/>
      <c r="Z83" s="99"/>
      <c r="AA83" s="109"/>
      <c r="AB83" s="81">
        <f>X83</f>
        <v>63.71549188460353</v>
      </c>
      <c r="AC83" s="109">
        <f t="shared" si="27"/>
        <v>63.71549188460353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94.430149751974895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28887.995827147617</v>
      </c>
      <c r="T84" s="126">
        <f t="shared" si="25"/>
        <v>10.381506708430704</v>
      </c>
      <c r="U84" s="28"/>
      <c r="V84" s="28"/>
      <c r="W84" s="59" t="s">
        <v>60</v>
      </c>
      <c r="X84" s="52">
        <f t="shared" si="26"/>
        <v>10.381506708430704</v>
      </c>
      <c r="Y84" s="100"/>
      <c r="Z84" s="100"/>
      <c r="AA84" s="109">
        <f>X84</f>
        <v>10.381506708430704</v>
      </c>
      <c r="AB84" s="81"/>
      <c r="AC84" s="109" t="str">
        <f t="shared" si="27"/>
        <v/>
      </c>
      <c r="AD84" s="81">
        <f t="shared" si="28"/>
        <v>10.381506708430704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97.666157235641691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5590.1167596196292</v>
      </c>
      <c r="T85" s="126">
        <f t="shared" si="25"/>
        <v>63.792271592144573</v>
      </c>
      <c r="U85" s="28"/>
      <c r="V85" s="28"/>
      <c r="W85" s="59" t="s">
        <v>60</v>
      </c>
      <c r="X85" s="52">
        <f t="shared" si="26"/>
        <v>63.792271592144573</v>
      </c>
      <c r="Y85" s="100"/>
      <c r="Z85" s="100"/>
      <c r="AA85" s="109"/>
      <c r="AB85" s="81">
        <f>X85</f>
        <v>63.792271592144573</v>
      </c>
      <c r="AC85" s="109">
        <f t="shared" si="27"/>
        <v>63.792271592144573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99.813497613014945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4395.039120491113</v>
      </c>
      <c r="T86" s="126">
        <f t="shared" si="25"/>
        <v>65.412101808172537</v>
      </c>
      <c r="U86" s="28"/>
      <c r="V86" s="28"/>
      <c r="W86" s="59" t="s">
        <v>60</v>
      </c>
      <c r="X86" s="52">
        <f t="shared" si="26"/>
        <v>65.412101808172537</v>
      </c>
      <c r="AA86" s="109"/>
      <c r="AB86" s="81">
        <f>X86</f>
        <v>65.412101808172537</v>
      </c>
      <c r="AC86" s="109">
        <f t="shared" si="27"/>
        <v>65.412101808172537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87.290346358291259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140577.44894274365</v>
      </c>
      <c r="T87" s="126">
        <f t="shared" si="25"/>
        <v>66.297295778997295</v>
      </c>
      <c r="U87" s="28"/>
      <c r="V87" s="28"/>
      <c r="W87" s="171" t="s">
        <v>94</v>
      </c>
      <c r="X87" s="52">
        <f t="shared" si="26"/>
        <v>66.297295778997295</v>
      </c>
      <c r="AA87" s="109"/>
      <c r="AB87" s="81">
        <f>X87</f>
        <v>66.297295778997295</v>
      </c>
      <c r="AC87" s="109" t="str">
        <f t="shared" si="27"/>
        <v/>
      </c>
      <c r="AD87" s="81">
        <f t="shared" si="28"/>
        <v>66.297295778997295</v>
      </c>
      <c r="AE87" s="97"/>
      <c r="AF87" s="52">
        <f>X87</f>
        <v>66.297295778997295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97.741623548763442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4942.2717971351758</v>
      </c>
      <c r="T88" s="126">
        <f t="shared" si="25"/>
        <v>68.728574567308797</v>
      </c>
      <c r="U88" s="28"/>
      <c r="V88" s="28"/>
      <c r="W88" s="59" t="s">
        <v>60</v>
      </c>
      <c r="X88" s="52">
        <f t="shared" si="26"/>
        <v>68.728574567308797</v>
      </c>
      <c r="AA88" s="109"/>
      <c r="AB88" s="81">
        <f>X88</f>
        <v>68.728574567308797</v>
      </c>
      <c r="AC88" s="109">
        <f t="shared" si="27"/>
        <v>68.728574567308797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98.231537205767395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3403.6400112346023</v>
      </c>
      <c r="T89" s="126">
        <f t="shared" si="25"/>
        <v>71.146321305071126</v>
      </c>
      <c r="U89" s="28"/>
      <c r="V89" s="28"/>
      <c r="W89" s="59" t="s">
        <v>60</v>
      </c>
      <c r="X89" s="52">
        <f t="shared" si="26"/>
        <v>71.146321305071126</v>
      </c>
      <c r="AA89" s="109"/>
      <c r="AB89" s="81">
        <f>X89</f>
        <v>71.146321305071126</v>
      </c>
      <c r="AC89" s="109">
        <f t="shared" si="27"/>
        <v>71.146321305071126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154859.48561569632</v>
      </c>
      <c r="T90" s="126">
        <f t="shared" si="25"/>
        <v>39.99439198965306</v>
      </c>
      <c r="U90" s="28"/>
      <c r="V90" s="28"/>
      <c r="W90" s="59" t="s">
        <v>60</v>
      </c>
      <c r="X90" s="52">
        <f t="shared" si="26"/>
        <v>39.99439198965306</v>
      </c>
      <c r="AA90" s="109">
        <f>X90</f>
        <v>39.99439198965306</v>
      </c>
      <c r="AB90" s="81"/>
      <c r="AC90" s="109" t="str">
        <f t="shared" si="27"/>
        <v/>
      </c>
      <c r="AD90" s="81">
        <f t="shared" si="28"/>
        <v>39.99439198965306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98.228054751023507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11688.202864823657</v>
      </c>
      <c r="T91" s="126">
        <f t="shared" si="25"/>
        <v>70.893448564466908</v>
      </c>
      <c r="U91" s="28"/>
      <c r="V91" s="28"/>
      <c r="W91" s="59" t="s">
        <v>60</v>
      </c>
      <c r="X91" s="52">
        <f t="shared" si="26"/>
        <v>70.893448564466908</v>
      </c>
      <c r="AA91" s="109"/>
      <c r="AB91" s="81"/>
      <c r="AC91" s="109">
        <f t="shared" si="27"/>
        <v>70.893448564466908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5145.9503270071818</v>
      </c>
      <c r="T92" s="126">
        <f t="shared" si="25"/>
        <v>68.411995838968124</v>
      </c>
      <c r="U92" s="28"/>
      <c r="V92" s="28"/>
      <c r="W92" s="59" t="s">
        <v>60</v>
      </c>
      <c r="X92" s="52">
        <f t="shared" si="26"/>
        <v>68.411995838968124</v>
      </c>
      <c r="Y92" s="100"/>
      <c r="Z92" s="100"/>
      <c r="AA92" s="109"/>
      <c r="AB92" s="81"/>
      <c r="AC92" s="109">
        <f t="shared" si="27"/>
        <v>68.411995838968124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98.916710891952974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4233.0778798700003</v>
      </c>
      <c r="T93" s="126">
        <f t="shared" si="25"/>
        <v>85.052800479606191</v>
      </c>
      <c r="U93" s="28"/>
      <c r="V93" s="28"/>
      <c r="W93" s="59" t="s">
        <v>60</v>
      </c>
      <c r="X93" s="52">
        <f t="shared" si="26"/>
        <v>85.052800479606191</v>
      </c>
      <c r="Y93" s="99"/>
      <c r="Z93" s="99"/>
      <c r="AA93" s="109"/>
      <c r="AB93" s="81"/>
      <c r="AC93" s="109">
        <f t="shared" si="27"/>
        <v>85.052800479606191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97.632494610285434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15182.639329133732</v>
      </c>
      <c r="T94" s="126">
        <f t="shared" si="25"/>
        <v>84.999660335537641</v>
      </c>
      <c r="U94" s="28"/>
      <c r="V94" s="28"/>
      <c r="W94" s="59" t="s">
        <v>60</v>
      </c>
      <c r="X94" s="52">
        <f t="shared" si="26"/>
        <v>84.999660335537641</v>
      </c>
      <c r="Y94" s="100"/>
      <c r="Z94" s="100"/>
      <c r="AA94" s="109"/>
      <c r="AB94" s="81"/>
      <c r="AC94" s="109">
        <f t="shared" si="27"/>
        <v>84.999660335537641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88.797499872547135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207575.41547967741</v>
      </c>
      <c r="T95" s="126">
        <f t="shared" si="25"/>
        <v>85.634128779807341</v>
      </c>
      <c r="U95" s="28"/>
      <c r="V95" s="28"/>
      <c r="W95" s="59" t="s">
        <v>60</v>
      </c>
      <c r="X95" s="52">
        <f t="shared" si="26"/>
        <v>85.634128779807341</v>
      </c>
      <c r="Y95" s="100"/>
      <c r="Z95" s="100"/>
      <c r="AA95" s="109">
        <f>X95</f>
        <v>85.634128779807341</v>
      </c>
      <c r="AB95" s="81"/>
      <c r="AC95" s="109" t="str">
        <f t="shared" si="27"/>
        <v/>
      </c>
      <c r="AD95" s="81">
        <f t="shared" si="28"/>
        <v>85.634128779807341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87.671089703601965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173217.54684428038</v>
      </c>
      <c r="T96" s="126">
        <f t="shared" si="25"/>
        <v>83.071983715454721</v>
      </c>
      <c r="U96" s="28"/>
      <c r="V96" s="28"/>
      <c r="W96" s="59" t="s">
        <v>60</v>
      </c>
      <c r="X96" s="52">
        <f t="shared" si="26"/>
        <v>83.071983715454721</v>
      </c>
      <c r="AA96" s="109">
        <f>X96</f>
        <v>83.071983715454721</v>
      </c>
      <c r="AB96" s="81"/>
      <c r="AC96" s="109" t="str">
        <f t="shared" si="27"/>
        <v/>
      </c>
      <c r="AD96" s="81">
        <f t="shared" si="28"/>
        <v>83.071983715454721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92.269370751214254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29165.293102756492</v>
      </c>
      <c r="T97" s="126">
        <f t="shared" si="25"/>
        <v>91.853404833574231</v>
      </c>
      <c r="U97" s="28"/>
      <c r="V97" s="28"/>
      <c r="W97" s="59" t="s">
        <v>60</v>
      </c>
      <c r="X97" s="52">
        <f t="shared" si="26"/>
        <v>91.853404833574231</v>
      </c>
      <c r="AA97" s="109"/>
      <c r="AB97" s="81">
        <f>X97</f>
        <v>91.853404833574231</v>
      </c>
      <c r="AC97" s="109" t="str">
        <f t="shared" si="27"/>
        <v/>
      </c>
      <c r="AD97" s="81">
        <f t="shared" si="28"/>
        <v>91.853404833574231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90.066265158106177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69339.042651366195</v>
      </c>
      <c r="T98" s="126">
        <f t="shared" si="25"/>
        <v>81.710888239746154</v>
      </c>
      <c r="U98" s="28"/>
      <c r="V98" s="28"/>
      <c r="W98" s="171" t="s">
        <v>94</v>
      </c>
      <c r="X98" s="52">
        <f t="shared" si="26"/>
        <v>81.710888239746154</v>
      </c>
      <c r="AA98" s="109">
        <f>X98</f>
        <v>81.710888239746154</v>
      </c>
      <c r="AB98" s="81"/>
      <c r="AC98" s="109" t="str">
        <f t="shared" si="27"/>
        <v/>
      </c>
      <c r="AD98" s="81">
        <f t="shared" si="28"/>
        <v>81.710888239746154</v>
      </c>
      <c r="AE98" s="97"/>
      <c r="AF98" s="52">
        <f>X98</f>
        <v>81.710888239746154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87.853498993618615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85.817953044177585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11940.960558520243</v>
      </c>
      <c r="T100" s="126">
        <f t="shared" si="25"/>
        <v>79.926108156092667</v>
      </c>
      <c r="U100" s="28"/>
      <c r="V100" s="28"/>
      <c r="W100" s="59" t="s">
        <v>60</v>
      </c>
      <c r="X100" s="52">
        <f t="shared" si="26"/>
        <v>79.926108156092667</v>
      </c>
      <c r="AA100" s="109"/>
      <c r="AB100" s="81"/>
      <c r="AC100" s="109">
        <f t="shared" si="27"/>
        <v>79.926108156092667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90.800633583464318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3266.2183525257792</v>
      </c>
      <c r="T101" s="126">
        <f t="shared" si="25"/>
        <v>78.609346631186014</v>
      </c>
      <c r="U101" s="28"/>
      <c r="V101" s="28"/>
      <c r="W101" s="59" t="s">
        <v>60</v>
      </c>
      <c r="X101" s="52">
        <f t="shared" si="26"/>
        <v>78.609346631186014</v>
      </c>
      <c r="AA101" s="109"/>
      <c r="AB101" s="81"/>
      <c r="AC101" s="109">
        <f t="shared" si="27"/>
        <v>78.609346631186014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89.334338613102574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37778.686353970232</v>
      </c>
      <c r="T102" s="126">
        <f t="shared" si="25"/>
        <v>81.680114057706106</v>
      </c>
      <c r="U102" s="28"/>
      <c r="V102" s="28"/>
      <c r="W102" s="59" t="s">
        <v>60</v>
      </c>
      <c r="X102" s="52">
        <f t="shared" si="26"/>
        <v>81.680114057706106</v>
      </c>
      <c r="AA102" s="109">
        <f>X102</f>
        <v>81.680114057706106</v>
      </c>
      <c r="AB102" s="81"/>
      <c r="AC102" s="109" t="str">
        <f t="shared" si="27"/>
        <v/>
      </c>
      <c r="AD102" s="81">
        <f t="shared" si="28"/>
        <v>81.680114057706106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92.197091075510002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27732.181519078764</v>
      </c>
      <c r="T103" s="126">
        <f t="shared" si="25"/>
        <v>91.619087247939362</v>
      </c>
      <c r="U103" s="28"/>
      <c r="V103" s="28"/>
      <c r="W103" s="59" t="s">
        <v>60</v>
      </c>
      <c r="X103" s="52">
        <f t="shared" si="26"/>
        <v>91.619087247939362</v>
      </c>
      <c r="AA103" s="109"/>
      <c r="AB103" s="81"/>
      <c r="AC103" s="109" t="str">
        <f t="shared" si="27"/>
        <v/>
      </c>
      <c r="AD103" s="81">
        <f t="shared" si="28"/>
        <v>91.619087247939362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89.384065463433416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4630.6191068490953</v>
      </c>
      <c r="T104" s="126">
        <f t="shared" si="25"/>
        <v>85.879434474204288</v>
      </c>
      <c r="U104" s="28"/>
      <c r="V104" s="28"/>
      <c r="W104" s="59" t="s">
        <v>60</v>
      </c>
      <c r="X104" s="52">
        <f t="shared" si="26"/>
        <v>85.879434474204288</v>
      </c>
      <c r="AA104" s="109"/>
      <c r="AB104" s="81"/>
      <c r="AC104" s="109">
        <f t="shared" si="27"/>
        <v>85.879434474204288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51.468786033267108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66.315937990542608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89.201744339926023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IF(Q$43&gt;1,Q107/Q$43*R$43,0.0001)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82.710166918384274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88821.01673153312</v>
      </c>
      <c r="T108" s="126">
        <f t="shared" si="34"/>
        <v>90.428841534007788</v>
      </c>
      <c r="U108" s="28"/>
      <c r="V108" s="28"/>
      <c r="W108" s="59" t="s">
        <v>60</v>
      </c>
      <c r="X108" s="52">
        <f t="shared" si="35"/>
        <v>90.428841534007788</v>
      </c>
      <c r="AA108" s="109">
        <f>X108</f>
        <v>90.428841534007788</v>
      </c>
      <c r="AB108" s="81"/>
      <c r="AC108" s="109" t="str">
        <f t="shared" si="36"/>
        <v/>
      </c>
      <c r="AD108" s="81">
        <f t="shared" si="37"/>
        <v>90.428841534007788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82.747546123421301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111301.72772138186</v>
      </c>
      <c r="T109" s="126">
        <f t="shared" si="34"/>
        <v>92.0465168595356</v>
      </c>
      <c r="U109" s="28"/>
      <c r="V109" s="28"/>
      <c r="W109" s="59" t="s">
        <v>60</v>
      </c>
      <c r="X109" s="52">
        <f t="shared" si="35"/>
        <v>92.0465168595356</v>
      </c>
      <c r="AA109" s="109">
        <f>X109</f>
        <v>92.0465168595356</v>
      </c>
      <c r="AB109" s="81"/>
      <c r="AC109" s="109" t="str">
        <f t="shared" si="36"/>
        <v/>
      </c>
      <c r="AD109" s="81">
        <f t="shared" si="37"/>
        <v>92.0465168595356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98.052500956553757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45398.226537736227</v>
      </c>
      <c r="T110" s="126">
        <f t="shared" si="34"/>
        <v>89.504015097465057</v>
      </c>
      <c r="U110" s="28"/>
      <c r="V110" s="28"/>
      <c r="W110" s="59" t="s">
        <v>60</v>
      </c>
      <c r="X110" s="52">
        <f t="shared" si="35"/>
        <v>89.504015097465057</v>
      </c>
      <c r="AA110" s="109"/>
      <c r="AB110" s="81"/>
      <c r="AC110" s="109" t="str">
        <f t="shared" si="36"/>
        <v/>
      </c>
      <c r="AD110" s="81">
        <f t="shared" si="37"/>
        <v>89.504015097465057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91.98674313824624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3570.5091682381735</v>
      </c>
      <c r="T111" s="126">
        <f t="shared" si="34"/>
        <v>97.7953757391995</v>
      </c>
      <c r="U111" s="28"/>
      <c r="V111" s="28"/>
      <c r="W111" s="59" t="s">
        <v>60</v>
      </c>
      <c r="X111" s="52">
        <f t="shared" si="35"/>
        <v>97.7953757391995</v>
      </c>
      <c r="AA111" s="109"/>
      <c r="AB111" s="81"/>
      <c r="AC111" s="109">
        <f t="shared" si="36"/>
        <v>97.7953757391995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96.798477720855686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97.357235368211917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35859.691048429158</v>
      </c>
      <c r="T113" s="126">
        <f t="shared" si="34"/>
        <v>89.86940766986406</v>
      </c>
      <c r="U113" s="28"/>
      <c r="V113" s="28"/>
      <c r="W113" s="59" t="s">
        <v>60</v>
      </c>
      <c r="X113" s="52">
        <f t="shared" si="35"/>
        <v>89.86940766986406</v>
      </c>
      <c r="AA113" s="109">
        <f>X113</f>
        <v>89.86940766986406</v>
      </c>
      <c r="AB113" s="81"/>
      <c r="AC113" s="109" t="str">
        <f t="shared" si="36"/>
        <v/>
      </c>
      <c r="AD113" s="81">
        <f t="shared" si="37"/>
        <v>89.86940766986406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70.893448564466908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85.052800479606191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79.926108156092667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3975.4122697909561</v>
      </c>
      <c r="T116" s="126">
        <f t="shared" si="34"/>
        <v>101.72498131501935</v>
      </c>
      <c r="U116" s="28"/>
      <c r="V116" s="28"/>
      <c r="W116" s="59" t="s">
        <v>60</v>
      </c>
      <c r="X116" s="52">
        <f t="shared" si="35"/>
        <v>101.72498131501935</v>
      </c>
      <c r="AA116" s="109"/>
      <c r="AB116" s="81"/>
      <c r="AC116" s="109">
        <f t="shared" si="36"/>
        <v>101.72498131501935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85.879434474204288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367207.84977731411</v>
      </c>
      <c r="T117" s="126">
        <f t="shared" si="34"/>
        <v>91.2489935434552</v>
      </c>
      <c r="U117" s="28"/>
      <c r="V117" s="28"/>
      <c r="W117" s="171" t="s">
        <v>94</v>
      </c>
      <c r="X117" s="52">
        <f t="shared" si="35"/>
        <v>91.2489935434552</v>
      </c>
      <c r="AA117" s="109">
        <f>X117</f>
        <v>91.2489935434552</v>
      </c>
      <c r="AB117" s="81"/>
      <c r="AC117" s="109" t="str">
        <f t="shared" si="36"/>
        <v/>
      </c>
      <c r="AD117" s="81">
        <f t="shared" si="37"/>
        <v>91.2489935434552</v>
      </c>
      <c r="AE117" s="97"/>
      <c r="AF117" s="52">
        <f>X117</f>
        <v>91.2489935434552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97.7953757391995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1592.6188661076114</v>
      </c>
      <c r="T118" s="126">
        <f t="shared" si="34"/>
        <v>84.399515956948136</v>
      </c>
      <c r="U118" s="28"/>
      <c r="V118" s="28"/>
      <c r="W118" s="59" t="s">
        <v>60</v>
      </c>
      <c r="X118" s="52">
        <f t="shared" si="35"/>
        <v>84.399515956948136</v>
      </c>
      <c r="AA118" s="109"/>
      <c r="AB118" s="81"/>
      <c r="AC118" s="109">
        <f t="shared" si="36"/>
        <v>84.399515956948136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95.026855462150749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5599.9325923845445</v>
      </c>
      <c r="T119" s="126">
        <f t="shared" si="34"/>
        <v>95.026855462150749</v>
      </c>
      <c r="U119" s="28"/>
      <c r="V119" s="28"/>
      <c r="W119" s="59" t="s">
        <v>60</v>
      </c>
      <c r="X119" s="52">
        <f t="shared" si="35"/>
        <v>95.026855462150749</v>
      </c>
      <c r="AA119" s="109"/>
      <c r="AB119" s="81"/>
      <c r="AC119" s="109">
        <f t="shared" si="36"/>
        <v>95.026855462150749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92.362513749141627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5911.5852826706259</v>
      </c>
      <c r="T120" s="126">
        <f t="shared" si="34"/>
        <v>98.052500956553757</v>
      </c>
      <c r="U120" s="28"/>
      <c r="V120" s="28"/>
      <c r="W120" s="59" t="s">
        <v>60</v>
      </c>
      <c r="X120" s="52">
        <f t="shared" si="35"/>
        <v>98.052500956553757</v>
      </c>
      <c r="AA120" s="109"/>
      <c r="AB120" s="81"/>
      <c r="AC120" s="109">
        <f t="shared" si="36"/>
        <v>98.052500956553757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91.992353673224372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3425.7256349556633</v>
      </c>
      <c r="T121" s="126">
        <f t="shared" si="34"/>
        <v>92.362513749141627</v>
      </c>
      <c r="U121" s="28"/>
      <c r="V121" s="28"/>
      <c r="W121" s="59" t="s">
        <v>60</v>
      </c>
      <c r="X121" s="52">
        <f t="shared" si="35"/>
        <v>92.362513749141627</v>
      </c>
      <c r="AA121" s="109"/>
      <c r="AB121" s="81"/>
      <c r="AC121" s="109">
        <f t="shared" si="36"/>
        <v>92.362513749141627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63.885510359649253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43.00683571853267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26539.557838141474</v>
      </c>
      <c r="T123" s="126">
        <f t="shared" si="34"/>
        <v>85.262177010767104</v>
      </c>
      <c r="U123" s="28"/>
      <c r="V123" s="28"/>
      <c r="W123" s="59" t="s">
        <v>60</v>
      </c>
      <c r="X123" s="52">
        <f t="shared" si="35"/>
        <v>85.262177010767104</v>
      </c>
      <c r="AA123" s="109">
        <f>X123</f>
        <v>85.262177010767104</v>
      </c>
      <c r="AB123" s="81"/>
      <c r="AC123" s="109" t="str">
        <f t="shared" si="36"/>
        <v/>
      </c>
      <c r="AD123" s="81">
        <f t="shared" si="37"/>
        <v>85.262177010767104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11913.967018416723</v>
      </c>
      <c r="T124" s="126">
        <f t="shared" si="34"/>
        <v>87.300996690970337</v>
      </c>
      <c r="U124" s="28"/>
      <c r="V124" s="28"/>
      <c r="W124" s="59" t="s">
        <v>60</v>
      </c>
      <c r="X124" s="52">
        <f t="shared" si="35"/>
        <v>87.300996690970337</v>
      </c>
      <c r="AA124" s="109">
        <f>X124</f>
        <v>87.300996690970337</v>
      </c>
      <c r="AB124" s="81"/>
      <c r="AC124" s="109">
        <f t="shared" si="36"/>
        <v>87.300996690970337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87434.53035348875</v>
      </c>
      <c r="T125" s="126">
        <f t="shared" si="34"/>
        <v>88.383772065471916</v>
      </c>
      <c r="U125" s="28"/>
      <c r="V125" s="28"/>
      <c r="W125" s="59" t="s">
        <v>60</v>
      </c>
      <c r="X125" s="52">
        <f t="shared" si="35"/>
        <v>88.383772065471916</v>
      </c>
      <c r="AA125" s="109">
        <f>X125</f>
        <v>88.383772065471916</v>
      </c>
      <c r="AB125" s="81"/>
      <c r="AC125" s="109" t="str">
        <f t="shared" si="36"/>
        <v/>
      </c>
      <c r="AD125" s="81">
        <f t="shared" si="37"/>
        <v>88.383772065471916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71.067764858618176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344894.00794446893</v>
      </c>
      <c r="T126" s="126">
        <f t="shared" si="34"/>
        <v>82.01900285239627</v>
      </c>
      <c r="U126" s="28"/>
      <c r="V126" s="28"/>
      <c r="W126" s="171" t="s">
        <v>94</v>
      </c>
      <c r="X126" s="52">
        <f t="shared" si="35"/>
        <v>82.01900285239627</v>
      </c>
      <c r="AA126" s="109">
        <f>X126</f>
        <v>82.01900285239627</v>
      </c>
      <c r="AB126" s="81"/>
      <c r="AC126" s="109" t="str">
        <f t="shared" si="36"/>
        <v/>
      </c>
      <c r="AD126" s="81">
        <f t="shared" si="37"/>
        <v>82.01900285239627</v>
      </c>
      <c r="AE126" s="81"/>
      <c r="AF126" s="52">
        <f>X126</f>
        <v>82.01900285239627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88.969410137108326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10.381506708430704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88.406363171830549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1680595.7212213618</v>
      </c>
      <c r="T130" s="126">
        <f t="shared" si="34"/>
        <v>92.059591905427055</v>
      </c>
      <c r="U130" s="28"/>
      <c r="V130" s="28"/>
      <c r="W130" s="171" t="s">
        <v>94</v>
      </c>
      <c r="X130" s="52">
        <f t="shared" si="35"/>
        <v>92.059591905427055</v>
      </c>
      <c r="AA130" s="109">
        <f>X130</f>
        <v>92.059591905427055</v>
      </c>
      <c r="AB130" s="81"/>
      <c r="AC130" s="109" t="str">
        <f t="shared" si="36"/>
        <v/>
      </c>
      <c r="AD130" s="81">
        <f t="shared" si="37"/>
        <v>92.059591905427055</v>
      </c>
      <c r="AE130" s="97"/>
      <c r="AF130" s="52">
        <f>X130</f>
        <v>92.059591905427055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84.893914200619804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892568.39706295391</v>
      </c>
      <c r="T131" s="126">
        <f t="shared" si="34"/>
        <v>97.864620244522612</v>
      </c>
      <c r="U131" s="28"/>
      <c r="V131" s="28"/>
      <c r="W131" s="171" t="s">
        <v>94</v>
      </c>
      <c r="X131" s="52">
        <f t="shared" si="35"/>
        <v>97.864620244522612</v>
      </c>
      <c r="AA131" s="109">
        <f>X131</f>
        <v>97.864620244522612</v>
      </c>
      <c r="AB131" s="81"/>
      <c r="AC131" s="109" t="str">
        <f t="shared" si="36"/>
        <v/>
      </c>
      <c r="AD131" s="81">
        <f t="shared" si="37"/>
        <v>97.864620244522612</v>
      </c>
      <c r="AE131" s="81"/>
      <c r="AF131" s="52">
        <f>X131</f>
        <v>97.864620244522612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69.852085828085208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82.14611263150033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29413.142880070616</v>
      </c>
      <c r="T133" s="126">
        <f t="shared" si="34"/>
        <v>88.139830631598144</v>
      </c>
      <c r="U133" s="28"/>
      <c r="V133" s="28"/>
      <c r="W133" s="59" t="s">
        <v>60</v>
      </c>
      <c r="X133" s="52">
        <f t="shared" si="35"/>
        <v>88.139830631598144</v>
      </c>
      <c r="AA133" s="109">
        <f>X133</f>
        <v>88.139830631598144</v>
      </c>
      <c r="AB133" s="81"/>
      <c r="AC133" s="109" t="str">
        <f t="shared" si="36"/>
        <v/>
      </c>
      <c r="AD133" s="81">
        <f t="shared" si="37"/>
        <v>88.139830631598144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88.89449078633892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91.00727922742432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41224.043654455723</v>
      </c>
      <c r="T135" s="126">
        <f t="shared" si="34"/>
        <v>92.223811307507219</v>
      </c>
      <c r="U135" s="28"/>
      <c r="V135" s="28"/>
      <c r="W135" s="171" t="s">
        <v>94</v>
      </c>
      <c r="X135" s="52">
        <f t="shared" si="35"/>
        <v>92.223811307507219</v>
      </c>
      <c r="AA135" s="109">
        <f>X135</f>
        <v>92.223811307507219</v>
      </c>
      <c r="AB135" s="81"/>
      <c r="AC135" s="109" t="str">
        <f t="shared" si="36"/>
        <v/>
      </c>
      <c r="AD135" s="81">
        <f t="shared" si="37"/>
        <v>92.223811307507219</v>
      </c>
      <c r="AE135" s="97"/>
      <c r="AF135" s="52">
        <f>X135</f>
        <v>92.223811307507219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95.576961112635587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18269.718733699796</v>
      </c>
      <c r="T136" s="126">
        <f t="shared" si="34"/>
        <v>88.890764042717834</v>
      </c>
      <c r="U136" s="28"/>
      <c r="V136" s="28"/>
      <c r="W136" s="59" t="s">
        <v>60</v>
      </c>
      <c r="X136" s="52">
        <f t="shared" si="35"/>
        <v>88.890764042717834</v>
      </c>
      <c r="AA136" s="109">
        <f>X136</f>
        <v>88.890764042717834</v>
      </c>
      <c r="AB136" s="81"/>
      <c r="AC136" s="109">
        <f t="shared" si="36"/>
        <v>88.890764042717834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92.892572668573209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2399.9711110219473</v>
      </c>
      <c r="T137" s="126">
        <f t="shared" si="34"/>
        <v>96.77302867023981</v>
      </c>
      <c r="U137" s="28"/>
      <c r="V137" s="28"/>
      <c r="W137" s="59" t="s">
        <v>60</v>
      </c>
      <c r="X137" s="52">
        <f t="shared" si="35"/>
        <v>96.77302867023981</v>
      </c>
      <c r="AA137" s="109">
        <f>X137</f>
        <v>96.77302867023981</v>
      </c>
      <c r="AB137" s="81"/>
      <c r="AC137" s="109">
        <f t="shared" si="36"/>
        <v>96.77302867023981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4613.4413995104924</v>
      </c>
      <c r="T138" s="126">
        <f t="shared" si="34"/>
        <v>93.163194658935623</v>
      </c>
      <c r="U138" s="28"/>
      <c r="V138" s="28"/>
      <c r="W138" s="59" t="s">
        <v>60</v>
      </c>
      <c r="X138" s="52">
        <f t="shared" si="35"/>
        <v>93.163194658935623</v>
      </c>
      <c r="AA138" s="109"/>
      <c r="AB138" s="81">
        <f>X138</f>
        <v>93.163194658935623</v>
      </c>
      <c r="AC138" s="109">
        <f t="shared" si="36"/>
        <v>93.163194658935623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91.541963918077002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IF(Q$43&gt;1,Q139/Q$43*R$43,0.0001)</f>
        <v>4954.5415880913215</v>
      </c>
      <c r="T139" s="126">
        <f t="shared" ref="T139:T155" si="43">IF(R139&gt;1,100*S139/R139,0.0001)</f>
        <v>92.608253983015359</v>
      </c>
      <c r="U139" s="28"/>
      <c r="V139" s="28"/>
      <c r="W139" s="59" t="s">
        <v>60</v>
      </c>
      <c r="X139" s="52">
        <f t="shared" ref="X139:X155" si="44">IF(R139&gt;1,T139,"")</f>
        <v>92.608253983015359</v>
      </c>
      <c r="AA139" s="109">
        <f>X139</f>
        <v>92.608253983015359</v>
      </c>
      <c r="AB139" s="81"/>
      <c r="AC139" s="109">
        <f t="shared" ref="AC139:AC155" si="45">IF(Q139&lt;AC$9,X139,"")</f>
        <v>92.608253983015359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92.272108904215102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2723.893592264174</v>
      </c>
      <c r="T140" s="126">
        <f t="shared" si="43"/>
        <v>91.992353673224372</v>
      </c>
      <c r="U140" s="28"/>
      <c r="V140" s="28"/>
      <c r="W140" s="59" t="s">
        <v>60</v>
      </c>
      <c r="X140" s="52">
        <f t="shared" si="44"/>
        <v>91.992353673224372</v>
      </c>
      <c r="AA140" s="109"/>
      <c r="AB140" s="81"/>
      <c r="AC140" s="109">
        <f t="shared" si="45"/>
        <v>91.992353673224372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91.169420814381184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613435.56072703935</v>
      </c>
      <c r="T141" s="126">
        <f t="shared" si="43"/>
        <v>94.345962418684664</v>
      </c>
      <c r="U141" s="28"/>
      <c r="V141" s="28"/>
      <c r="W141" s="171" t="s">
        <v>94</v>
      </c>
      <c r="X141" s="52">
        <f t="shared" si="44"/>
        <v>94.345962418684664</v>
      </c>
      <c r="AA141" s="109">
        <f>X141</f>
        <v>94.345962418684664</v>
      </c>
      <c r="AB141" s="81"/>
      <c r="AC141" s="109" t="str">
        <f t="shared" si="45"/>
        <v/>
      </c>
      <c r="AD141" s="81">
        <f t="shared" si="46"/>
        <v>94.345962418684664</v>
      </c>
      <c r="AE141" s="97"/>
      <c r="AF141" s="52">
        <f>X141</f>
        <v>94.345962418684664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39.99439198965306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6242.8696384865389</v>
      </c>
      <c r="T142" s="126">
        <f t="shared" si="43"/>
        <v>87.853498993618615</v>
      </c>
      <c r="U142" s="28"/>
      <c r="V142" s="28"/>
      <c r="W142" s="59" t="s">
        <v>60</v>
      </c>
      <c r="X142" s="52">
        <f t="shared" si="44"/>
        <v>87.853498993618615</v>
      </c>
      <c r="AA142" s="109"/>
      <c r="AB142" s="81">
        <f>X142</f>
        <v>87.853498993618615</v>
      </c>
      <c r="AC142" s="109">
        <f t="shared" si="45"/>
        <v>87.853498993618615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85.634128779807341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3580.3250010030893</v>
      </c>
      <c r="T143" s="126">
        <f t="shared" si="43"/>
        <v>85.817953044177585</v>
      </c>
      <c r="U143" s="28"/>
      <c r="V143" s="28"/>
      <c r="W143" s="59" t="s">
        <v>60</v>
      </c>
      <c r="X143" s="52">
        <f t="shared" si="44"/>
        <v>85.817953044177585</v>
      </c>
      <c r="AA143" s="109"/>
      <c r="AB143" s="81">
        <f>X143</f>
        <v>85.817953044177585</v>
      </c>
      <c r="AC143" s="109">
        <f t="shared" si="45"/>
        <v>85.817953044177585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83.071983715454721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5531.2217630301329</v>
      </c>
      <c r="T144" s="126">
        <f t="shared" si="43"/>
        <v>98.228054751023507</v>
      </c>
      <c r="U144" s="28"/>
      <c r="V144" s="28"/>
      <c r="W144" s="59" t="s">
        <v>60</v>
      </c>
      <c r="X144" s="52">
        <f t="shared" si="44"/>
        <v>98.228054751023507</v>
      </c>
      <c r="AA144" s="109"/>
      <c r="AB144" s="81">
        <f>X144</f>
        <v>98.228054751023507</v>
      </c>
      <c r="AC144" s="109">
        <f t="shared" si="45"/>
        <v>98.228054751023507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81.680114057706106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90.428841534007788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28804.56124864583</v>
      </c>
      <c r="T146" s="126">
        <f t="shared" si="43"/>
        <v>88.406363171830549</v>
      </c>
      <c r="U146" s="28"/>
      <c r="V146" s="28"/>
      <c r="W146" s="59" t="s">
        <v>60</v>
      </c>
      <c r="X146" s="52">
        <f t="shared" si="44"/>
        <v>88.406363171830549</v>
      </c>
      <c r="AA146" s="109">
        <f>X146</f>
        <v>88.406363171830549</v>
      </c>
      <c r="AB146" s="81"/>
      <c r="AC146" s="109" t="str">
        <f t="shared" si="45"/>
        <v/>
      </c>
      <c r="AD146" s="81">
        <f t="shared" si="46"/>
        <v>88.406363171830549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92.0465168595356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14986.322673835413</v>
      </c>
      <c r="T147" s="126">
        <f t="shared" si="43"/>
        <v>84.893914200619804</v>
      </c>
      <c r="U147" s="28"/>
      <c r="V147" s="28"/>
      <c r="W147" s="59" t="s">
        <v>60</v>
      </c>
      <c r="X147" s="52">
        <f t="shared" si="44"/>
        <v>84.893914200619804</v>
      </c>
      <c r="AA147" s="109">
        <f>X147</f>
        <v>84.893914200619804</v>
      </c>
      <c r="AB147" s="81"/>
      <c r="AC147" s="109">
        <f t="shared" si="45"/>
        <v>84.893914200619804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89.86940766986406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10659.994382698711</v>
      </c>
      <c r="T148" s="126">
        <f t="shared" si="43"/>
        <v>90.800633583464318</v>
      </c>
      <c r="U148" s="28"/>
      <c r="V148" s="28"/>
      <c r="W148" s="59" t="s">
        <v>60</v>
      </c>
      <c r="X148" s="52">
        <f t="shared" si="44"/>
        <v>90.800633583464318</v>
      </c>
      <c r="AA148" s="109"/>
      <c r="AB148" s="81">
        <f t="shared" ref="AB148:AB155" si="47">X148</f>
        <v>90.800633583464318</v>
      </c>
      <c r="AC148" s="109">
        <f t="shared" si="45"/>
        <v>90.800633583464318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91.2489935434552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6409.7387954901096</v>
      </c>
      <c r="T149" s="126">
        <f t="shared" si="43"/>
        <v>89.334338613102574</v>
      </c>
      <c r="U149" s="28"/>
      <c r="V149" s="28"/>
      <c r="W149" s="59" t="s">
        <v>60</v>
      </c>
      <c r="X149" s="52">
        <f t="shared" si="44"/>
        <v>89.334338613102574</v>
      </c>
      <c r="AA149" s="109"/>
      <c r="AB149" s="81">
        <f t="shared" si="47"/>
        <v>89.334338613102574</v>
      </c>
      <c r="AC149" s="109">
        <f t="shared" si="45"/>
        <v>89.334338613102574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85.262177010767104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10748.336877582955</v>
      </c>
      <c r="T150" s="126">
        <f t="shared" si="43"/>
        <v>92.197091075510002</v>
      </c>
      <c r="U150" s="28"/>
      <c r="V150" s="28"/>
      <c r="W150" s="59" t="s">
        <v>60</v>
      </c>
      <c r="X150" s="52">
        <f t="shared" si="44"/>
        <v>92.197091075510002</v>
      </c>
      <c r="AA150" s="109"/>
      <c r="AB150" s="81">
        <f t="shared" si="47"/>
        <v>92.197091075510002</v>
      </c>
      <c r="AC150" s="109">
        <f t="shared" si="45"/>
        <v>92.197091075510002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87.300996690970337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22277.03245997673</v>
      </c>
      <c r="T151" s="126">
        <f t="shared" si="43"/>
        <v>98.916710891952974</v>
      </c>
      <c r="U151" s="28"/>
      <c r="V151" s="28"/>
      <c r="W151" s="59" t="s">
        <v>60</v>
      </c>
      <c r="X151" s="52">
        <f t="shared" si="44"/>
        <v>98.916710891952974</v>
      </c>
      <c r="AA151" s="109"/>
      <c r="AB151" s="81">
        <f t="shared" si="47"/>
        <v>98.916710891952974</v>
      </c>
      <c r="AC151" s="109" t="str">
        <f t="shared" si="45"/>
        <v/>
      </c>
      <c r="AD151" s="81">
        <f t="shared" si="46"/>
        <v>98.916710891952974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88.383772065471916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8819.5257392769745</v>
      </c>
      <c r="T152" s="126">
        <f t="shared" si="43"/>
        <v>89.384065463433416</v>
      </c>
      <c r="U152" s="28"/>
      <c r="V152" s="28"/>
      <c r="W152" s="59" t="s">
        <v>60</v>
      </c>
      <c r="X152" s="52">
        <f t="shared" si="44"/>
        <v>89.384065463433416</v>
      </c>
      <c r="AA152" s="109"/>
      <c r="AB152" s="81">
        <f t="shared" si="47"/>
        <v>89.384065463433416</v>
      </c>
      <c r="AC152" s="109">
        <f t="shared" si="45"/>
        <v>89.384065463433416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92.059591905427055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33898.978453637203</v>
      </c>
      <c r="T153" s="126">
        <f t="shared" si="43"/>
        <v>97.632494610285434</v>
      </c>
      <c r="U153" s="28"/>
      <c r="V153" s="28"/>
      <c r="W153" s="59" t="s">
        <v>60</v>
      </c>
      <c r="X153" s="52">
        <f t="shared" si="44"/>
        <v>97.632494610285434</v>
      </c>
      <c r="AA153" s="109"/>
      <c r="AB153" s="81">
        <f t="shared" si="47"/>
        <v>97.632494610285434</v>
      </c>
      <c r="AC153" s="109" t="str">
        <f t="shared" si="45"/>
        <v/>
      </c>
      <c r="AD153" s="81">
        <f t="shared" si="46"/>
        <v>97.632494610285434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97.864620244522612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18888.1161978895</v>
      </c>
      <c r="T154" s="126">
        <f t="shared" si="43"/>
        <v>88.797499872547135</v>
      </c>
      <c r="U154" s="28"/>
      <c r="V154" s="28"/>
      <c r="W154" s="59" t="s">
        <v>60</v>
      </c>
      <c r="X154" s="52">
        <f t="shared" si="44"/>
        <v>88.797499872547135</v>
      </c>
      <c r="AA154" s="109"/>
      <c r="AB154" s="81">
        <f t="shared" si="47"/>
        <v>88.797499872547135</v>
      </c>
      <c r="AC154" s="109" t="str">
        <f t="shared" si="45"/>
        <v/>
      </c>
      <c r="AD154" s="81">
        <f t="shared" si="46"/>
        <v>88.797499872547135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88.139830631598144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35670.736267704531</v>
      </c>
      <c r="T155" s="126">
        <f t="shared" si="43"/>
        <v>87.671089703601965</v>
      </c>
      <c r="U155" s="28"/>
      <c r="V155" s="28"/>
      <c r="W155" s="59" t="s">
        <v>60</v>
      </c>
      <c r="X155" s="52">
        <f t="shared" si="44"/>
        <v>87.671089703601965</v>
      </c>
      <c r="AA155" s="109"/>
      <c r="AB155" s="81">
        <f t="shared" si="47"/>
        <v>87.671089703601965</v>
      </c>
      <c r="AC155" s="109" t="str">
        <f t="shared" si="45"/>
        <v/>
      </c>
      <c r="AD155" s="81">
        <f t="shared" si="46"/>
        <v>87.671089703601965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92.223811307507219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94.345962418684664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91.025076519651236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84.071854730378206</v>
      </c>
      <c r="Y158" s="47">
        <f t="shared" si="52"/>
        <v>86.992722148284301</v>
      </c>
      <c r="Z158" s="45">
        <f t="shared" si="52"/>
        <v>87.284564626727558</v>
      </c>
      <c r="AA158" s="43">
        <f t="shared" si="52"/>
        <v>83.551619262226225</v>
      </c>
      <c r="AB158" s="43">
        <f t="shared" si="52"/>
        <v>78.728394543972712</v>
      </c>
      <c r="AC158" s="47">
        <f t="shared" si="52"/>
        <v>81.648869943470785</v>
      </c>
      <c r="AD158" s="45">
        <f t="shared" si="52"/>
        <v>86.870819915254032</v>
      </c>
      <c r="AE158" s="78" t="e">
        <f t="shared" si="52"/>
        <v>#DIV/0!</v>
      </c>
      <c r="AF158" s="45">
        <f t="shared" si="52"/>
        <v>85.571795678173288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92.814661681343011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14.903677551932789</v>
      </c>
      <c r="Y159" s="260">
        <f t="shared" si="53"/>
        <v>7.1003082947201355</v>
      </c>
      <c r="Z159" s="30">
        <f t="shared" si="53"/>
        <v>11.642717383633054</v>
      </c>
      <c r="AA159" s="99">
        <f t="shared" si="53"/>
        <v>19.024686686764799</v>
      </c>
      <c r="AB159" s="99">
        <f t="shared" si="53"/>
        <v>16.147165635646346</v>
      </c>
      <c r="AC159" s="260">
        <f t="shared" si="53"/>
        <v>14.28227551674323</v>
      </c>
      <c r="AD159" s="30">
        <f t="shared" si="53"/>
        <v>15.236265433995728</v>
      </c>
      <c r="AE159" s="97" t="e">
        <f t="shared" si="53"/>
        <v>#DIV/0!</v>
      </c>
      <c r="AF159" s="30">
        <f t="shared" si="53"/>
        <v>13.380555847590243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92.348482865492855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129.80735510386558</v>
      </c>
      <c r="Y160" s="109">
        <f t="shared" si="54"/>
        <v>114.20061658944027</v>
      </c>
      <c r="Z160" s="81">
        <f t="shared" si="54"/>
        <v>123.28543476726611</v>
      </c>
      <c r="AA160" s="100">
        <f t="shared" si="54"/>
        <v>138.04937337352959</v>
      </c>
      <c r="AB160" s="100">
        <f t="shared" si="54"/>
        <v>132.29433127129269</v>
      </c>
      <c r="AC160" s="109">
        <f t="shared" si="54"/>
        <v>128.56455103348645</v>
      </c>
      <c r="AD160" s="81">
        <f t="shared" si="54"/>
        <v>130.47253086799145</v>
      </c>
      <c r="AE160" s="97" t="e">
        <f t="shared" si="54"/>
        <v>#DIV/0!</v>
      </c>
      <c r="AF160" s="81">
        <f t="shared" si="54"/>
        <v>126.76111169518049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81.710888239746154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70.192644896134425</v>
      </c>
      <c r="Y161" s="80">
        <f t="shared" si="55"/>
        <v>85.799383410559727</v>
      </c>
      <c r="Z161" s="60">
        <f t="shared" si="55"/>
        <v>76.714565232733889</v>
      </c>
      <c r="AA161" s="107">
        <f t="shared" si="55"/>
        <v>61.950626626470402</v>
      </c>
      <c r="AB161" s="107">
        <f t="shared" si="55"/>
        <v>67.705668728707309</v>
      </c>
      <c r="AC161" s="80">
        <f t="shared" si="55"/>
        <v>71.435448966513547</v>
      </c>
      <c r="AD161" s="60">
        <f t="shared" si="55"/>
        <v>69.527469132008548</v>
      </c>
      <c r="AE161" s="108" t="e">
        <f t="shared" si="55"/>
        <v>#DIV/0!</v>
      </c>
      <c r="AF161" s="60">
        <f t="shared" si="55"/>
        <v>73.238888304819511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82.01900285239627</v>
      </c>
      <c r="L162" s="135" t="str">
        <f>P126</f>
        <v>116_C3-dbt_s</v>
      </c>
      <c r="M162" s="28"/>
      <c r="N162" s="28"/>
      <c r="O162" s="261" t="str">
        <f>CONCATENATE(,Q7,"  -   ",R7," :   PW-plot normalised to phytane  ")</f>
        <v xml:space="preserve">A  -   B :   PW-plot normalised to phytane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88.890764042717834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82.957719402134273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85.464886195885484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96.77302867023981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92.608253983015359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AT261"/>
  <sheetViews>
    <sheetView topLeftCell="W15" workbookViewId="0">
      <selection activeCell="AJ9" sqref="AJ9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6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bestFit="1" customWidth="1"/>
    <col min="38" max="40" width="7.84375" style="6" bestFit="1" customWidth="1"/>
    <col min="41" max="41" width="18.4609375" bestFit="1" customWidth="1"/>
    <col min="42" max="42" width="13.53515625" style="6" bestFit="1" customWidth="1"/>
    <col min="43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4  </v>
      </c>
      <c r="M2" s="13" t="s">
        <v>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3" t="s">
        <v>10</v>
      </c>
      <c r="F3" s="744"/>
      <c r="G3" s="745"/>
      <c r="H3" s="18" t="s">
        <v>11</v>
      </c>
      <c r="J3" s="12" t="str">
        <f>CONCATENATE(" Sample ",Q6," is assumed as spill sample and sample ",R6,"as source sample")</f>
        <v xml:space="preserve"> Sample 2   is assumed as spill sample and sample 4  as source sample</v>
      </c>
      <c r="M3" s="19"/>
    </row>
    <row r="4" spans="1:46" ht="18.75" customHeight="1" x14ac:dyDescent="0.4">
      <c r="A4" s="746" t="s">
        <v>12</v>
      </c>
      <c r="B4" s="747"/>
      <c r="C4" s="748" t="s">
        <v>13</v>
      </c>
      <c r="D4" s="747"/>
      <c r="E4" s="20" t="s">
        <v>14</v>
      </c>
      <c r="F4" s="21" t="s">
        <v>15</v>
      </c>
      <c r="G4" s="22" t="s">
        <v>16</v>
      </c>
      <c r="H4" s="23" t="s">
        <v>17</v>
      </c>
      <c r="I4" s="24"/>
      <c r="J4" s="12" t="str">
        <f>CONCATENATE(" i.e. the intensities of sample  ",R6,"after normalisation are defined as 100%  ")</f>
        <v xml:space="preserve"> i.e. the intensities of sample  4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C</v>
      </c>
      <c r="D5" s="30"/>
      <c r="E5" s="32" t="s">
        <v>18</v>
      </c>
      <c r="F5" s="33">
        <v>10.89</v>
      </c>
      <c r="G5" s="34">
        <v>0</v>
      </c>
      <c r="H5" s="35">
        <v>60</v>
      </c>
      <c r="J5" s="36" t="s">
        <v>19</v>
      </c>
      <c r="K5" s="37"/>
      <c r="L5" s="38"/>
      <c r="O5" s="749" t="s">
        <v>20</v>
      </c>
      <c r="P5" s="750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4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0">
        <v>25.75</v>
      </c>
      <c r="G6" s="51">
        <v>0</v>
      </c>
      <c r="H6" s="52"/>
      <c r="J6" s="751" t="s">
        <v>25</v>
      </c>
      <c r="K6" s="752"/>
      <c r="L6" s="753"/>
      <c r="O6" s="54"/>
      <c r="P6" s="55"/>
      <c r="Q6" s="56" t="str">
        <f>LEFT(A4,3)</f>
        <v xml:space="preserve">2  </v>
      </c>
      <c r="R6" s="57" t="str">
        <f>LEFT(C4,3)</f>
        <v xml:space="preserve">4  </v>
      </c>
      <c r="S6" s="58" t="s">
        <v>26</v>
      </c>
      <c r="T6" s="57"/>
      <c r="U6" s="28"/>
      <c r="V6" s="28"/>
      <c r="W6" s="59"/>
      <c r="AF6" s="60"/>
      <c r="AH6" s="61"/>
      <c r="AI6" s="62" t="s">
        <v>15</v>
      </c>
      <c r="AJ6" s="63"/>
      <c r="AK6" s="64" t="s">
        <v>16</v>
      </c>
      <c r="AL6" s="65"/>
      <c r="AM6" s="741" t="s">
        <v>27</v>
      </c>
      <c r="AN6" s="742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0">
        <v>26.79</v>
      </c>
      <c r="G7" s="51">
        <v>0</v>
      </c>
      <c r="H7" s="67" t="s">
        <v>29</v>
      </c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C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5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5">
        <v>100.89</v>
      </c>
      <c r="G8" s="86">
        <v>100</v>
      </c>
      <c r="H8" s="87">
        <f>AP45</f>
        <v>97.616555793941828</v>
      </c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4  </v>
      </c>
      <c r="U8" s="28"/>
      <c r="V8" s="28"/>
      <c r="W8" s="94" t="s">
        <v>44</v>
      </c>
      <c r="X8" s="95" t="s">
        <v>26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-71.345895020188436</v>
      </c>
      <c r="AJ8" s="43">
        <f t="shared" ref="AJ8:AJ39" si="1">IF($F$5&gt;AH8,$F$7,IF($F$6&lt;AH8,$F$8,$F$7+(($F$8-$F$7)/2)+(SIN(RADIANS(AI8-90))*(($F$8-$F$7)/2))))</f>
        <v>26.79</v>
      </c>
      <c r="AK8" s="98" t="e">
        <f t="shared" ref="AK8:AK39" si="2">(AH8-G$5)/(G$6-G$5)*180</f>
        <v>#DIV/0!</v>
      </c>
      <c r="AL8" s="45">
        <f t="shared" ref="AL8:AL39" si="3">IF($G$5&gt;AH8,$G$7,IF($G$6&lt;AH8,$G$8,$G$7+(($G$8-$G$7)/2)+(SIN(RADIANS(AK8-90))*(($G$8-$G$7)/2))))</f>
        <v>100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-59.232839838492609</v>
      </c>
      <c r="AJ9" s="100">
        <f t="shared" si="1"/>
        <v>26.79</v>
      </c>
      <c r="AK9" s="59" t="e">
        <f t="shared" si="2"/>
        <v>#DIV/0!</v>
      </c>
      <c r="AL9" s="81">
        <f t="shared" si="3"/>
        <v>100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-47.119784656796782</v>
      </c>
      <c r="AJ10" s="100">
        <f t="shared" si="1"/>
        <v>26.79</v>
      </c>
      <c r="AK10" s="59" t="e">
        <f t="shared" si="2"/>
        <v>#DIV/0!</v>
      </c>
      <c r="AL10" s="81">
        <f t="shared" si="3"/>
        <v>100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59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23763</v>
      </c>
      <c r="S11" s="122">
        <f t="shared" ref="S11:S42" si="4">IF(Q$74&gt;1,Q11/Q$74*R$74,0.0001)</f>
        <v>8237.5600381627373</v>
      </c>
      <c r="T11" s="123">
        <f t="shared" ref="T11:T42" si="5">IF(R11&gt;1,100*S11/R11,0.0001)</f>
        <v>34.665488524861075</v>
      </c>
      <c r="U11" s="28"/>
      <c r="V11" s="28"/>
      <c r="W11" s="98" t="s">
        <v>60</v>
      </c>
      <c r="X11" s="89">
        <f t="shared" ref="X11:X42" si="6">IF(R11&gt;1,T11,"")</f>
        <v>34.665488524861075</v>
      </c>
      <c r="Y11" s="43"/>
      <c r="Z11" s="100">
        <f>X11</f>
        <v>34.665488524861075</v>
      </c>
      <c r="AA11" s="47"/>
      <c r="AB11" s="45"/>
      <c r="AC11" s="43">
        <f t="shared" ref="AC11:AC42" si="7">IF(Q11&lt;AC$9,X11,"")</f>
        <v>34.665488524861075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-35.006729475100947</v>
      </c>
      <c r="AJ11" s="100">
        <f t="shared" si="1"/>
        <v>26.79</v>
      </c>
      <c r="AK11" s="59" t="e">
        <f t="shared" si="2"/>
        <v>#DIV/0!</v>
      </c>
      <c r="AL11" s="81">
        <f t="shared" si="3"/>
        <v>100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12903</v>
      </c>
      <c r="S12" s="125">
        <f t="shared" si="4"/>
        <v>7467.0026577620274</v>
      </c>
      <c r="T12" s="126">
        <f t="shared" si="5"/>
        <v>57.870283327613947</v>
      </c>
      <c r="U12" s="127"/>
      <c r="V12" s="28"/>
      <c r="W12" s="59" t="s">
        <v>60</v>
      </c>
      <c r="X12" s="52">
        <f t="shared" si="6"/>
        <v>57.870283327613947</v>
      </c>
      <c r="Y12" s="100"/>
      <c r="Z12" s="100">
        <f>X12</f>
        <v>57.870283327613947</v>
      </c>
      <c r="AA12" s="109"/>
      <c r="AB12" s="81"/>
      <c r="AC12" s="100">
        <f t="shared" si="7"/>
        <v>57.870283327613947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-22.893674293405123</v>
      </c>
      <c r="AJ12" s="100">
        <f t="shared" si="1"/>
        <v>26.79</v>
      </c>
      <c r="AK12" s="59" t="e">
        <f t="shared" si="2"/>
        <v>#DIV/0!</v>
      </c>
      <c r="AL12" s="81">
        <f t="shared" si="3"/>
        <v>100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14144</v>
      </c>
      <c r="S13" s="125">
        <f t="shared" si="4"/>
        <v>5780.551451546954</v>
      </c>
      <c r="T13" s="126">
        <f t="shared" si="5"/>
        <v>40.869283452679255</v>
      </c>
      <c r="U13" s="127"/>
      <c r="V13" s="28"/>
      <c r="W13" s="59" t="s">
        <v>60</v>
      </c>
      <c r="X13" s="52">
        <f t="shared" si="6"/>
        <v>40.869283452679255</v>
      </c>
      <c r="Y13" s="100"/>
      <c r="Z13" s="100"/>
      <c r="AA13" s="109"/>
      <c r="AB13" s="81"/>
      <c r="AC13" s="100">
        <f t="shared" si="7"/>
        <v>40.869283452679255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-10.780619111709294</v>
      </c>
      <c r="AJ13" s="100">
        <f t="shared" si="1"/>
        <v>26.79</v>
      </c>
      <c r="AK13" s="59" t="e">
        <f t="shared" si="2"/>
        <v>#DIV/0!</v>
      </c>
      <c r="AL13" s="81">
        <f t="shared" si="3"/>
        <v>100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41435</v>
      </c>
      <c r="S14" s="125">
        <f t="shared" si="4"/>
        <v>24051.810617418563</v>
      </c>
      <c r="T14" s="126">
        <f t="shared" si="5"/>
        <v>58.047087287120945</v>
      </c>
      <c r="U14" s="127"/>
      <c r="V14" s="28"/>
      <c r="W14" s="59" t="s">
        <v>60</v>
      </c>
      <c r="X14" s="52">
        <f t="shared" si="6"/>
        <v>58.047087287120945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58.047087287120945</v>
      </c>
      <c r="AE14" s="97"/>
      <c r="AF14" s="52"/>
      <c r="AH14" s="129">
        <f>11*$H$5/60</f>
        <v>11</v>
      </c>
      <c r="AI14" s="109">
        <f t="shared" si="0"/>
        <v>1.3324360699865343</v>
      </c>
      <c r="AJ14" s="100">
        <f t="shared" si="1"/>
        <v>26.800018117952398</v>
      </c>
      <c r="AK14" s="59" t="e">
        <f t="shared" si="2"/>
        <v>#DIV/0!</v>
      </c>
      <c r="AL14" s="81">
        <f t="shared" si="3"/>
        <v>100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8799</v>
      </c>
      <c r="S15" s="125">
        <f t="shared" si="4"/>
        <v>5243.0808232247509</v>
      </c>
      <c r="T15" s="126">
        <f t="shared" si="5"/>
        <v>59.587235177005915</v>
      </c>
      <c r="U15" s="127"/>
      <c r="V15" s="28"/>
      <c r="W15" s="59" t="s">
        <v>60</v>
      </c>
      <c r="X15" s="52">
        <f t="shared" si="6"/>
        <v>59.587235177005915</v>
      </c>
      <c r="Y15" s="100"/>
      <c r="Z15" s="100">
        <f>X15</f>
        <v>59.587235177005915</v>
      </c>
      <c r="AA15" s="109"/>
      <c r="AB15" s="81"/>
      <c r="AC15" s="100">
        <f t="shared" si="7"/>
        <v>59.587235177005915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13.445491251682363</v>
      </c>
      <c r="AJ15" s="100">
        <f t="shared" si="1"/>
        <v>27.805482322647322</v>
      </c>
      <c r="AK15" s="59" t="e">
        <f t="shared" si="2"/>
        <v>#DIV/0!</v>
      </c>
      <c r="AL15" s="81">
        <f t="shared" si="3"/>
        <v>100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13585</v>
      </c>
      <c r="S16" s="125">
        <f t="shared" si="4"/>
        <v>6449.6475398664306</v>
      </c>
      <c r="T16" s="126">
        <f t="shared" si="5"/>
        <v>47.476242472332942</v>
      </c>
      <c r="U16" s="127"/>
      <c r="V16" s="28"/>
      <c r="W16" s="59" t="s">
        <v>60</v>
      </c>
      <c r="X16" s="52">
        <f t="shared" si="6"/>
        <v>47.476242472332942</v>
      </c>
      <c r="Y16" s="100"/>
      <c r="Z16" s="100"/>
      <c r="AA16" s="109"/>
      <c r="AB16" s="81"/>
      <c r="AC16" s="100">
        <f t="shared" si="7"/>
        <v>47.476242472332942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25.55854643337819</v>
      </c>
      <c r="AJ16" s="100">
        <f t="shared" si="1"/>
        <v>30.415531273004589</v>
      </c>
      <c r="AK16" s="59" t="e">
        <f t="shared" si="2"/>
        <v>#DIV/0!</v>
      </c>
      <c r="AL16" s="81">
        <f t="shared" si="3"/>
        <v>100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29544</v>
      </c>
      <c r="S17" s="125">
        <f t="shared" si="4"/>
        <v>20144.179773749489</v>
      </c>
      <c r="T17" s="126">
        <f t="shared" si="5"/>
        <v>68.183657506598593</v>
      </c>
      <c r="U17" s="130"/>
      <c r="V17" s="28"/>
      <c r="W17" s="59" t="s">
        <v>60</v>
      </c>
      <c r="X17" s="52">
        <f t="shared" si="6"/>
        <v>68.183657506598593</v>
      </c>
      <c r="Y17" s="100"/>
      <c r="Z17" s="100"/>
      <c r="AA17" s="109"/>
      <c r="AB17" s="81"/>
      <c r="AC17" s="100">
        <f t="shared" si="7"/>
        <v>68.183657506598593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37.671601615074024</v>
      </c>
      <c r="AJ17" s="100">
        <f t="shared" si="1"/>
        <v>34.513941830735675</v>
      </c>
      <c r="AK17" s="59" t="e">
        <f t="shared" si="2"/>
        <v>#DIV/0!</v>
      </c>
      <c r="AL17" s="81">
        <f t="shared" si="3"/>
        <v>100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11100</v>
      </c>
      <c r="S18" s="125">
        <f t="shared" si="4"/>
        <v>7716.5425923401926</v>
      </c>
      <c r="T18" s="126">
        <f t="shared" si="5"/>
        <v>69.51840173279453</v>
      </c>
      <c r="U18" s="130"/>
      <c r="V18" s="28"/>
      <c r="W18" s="59" t="s">
        <v>60</v>
      </c>
      <c r="X18" s="52">
        <f t="shared" si="6"/>
        <v>69.51840173279453</v>
      </c>
      <c r="Y18" s="100"/>
      <c r="Z18" s="100">
        <f>X18</f>
        <v>69.51840173279453</v>
      </c>
      <c r="AA18" s="109"/>
      <c r="AB18" s="81"/>
      <c r="AC18" s="100">
        <f t="shared" si="7"/>
        <v>69.51840173279453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49.784656796769845</v>
      </c>
      <c r="AJ18" s="100">
        <f t="shared" si="1"/>
        <v>39.918215450382604</v>
      </c>
      <c r="AK18" s="59" t="e">
        <f t="shared" si="2"/>
        <v>#DIV/0!</v>
      </c>
      <c r="AL18" s="81">
        <f t="shared" si="3"/>
        <v>100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28287</v>
      </c>
      <c r="S19" s="125">
        <f t="shared" si="4"/>
        <v>21545.442483303803</v>
      </c>
      <c r="T19" s="126">
        <f t="shared" si="5"/>
        <v>76.167294104372331</v>
      </c>
      <c r="U19" s="130"/>
      <c r="V19" s="28"/>
      <c r="W19" s="59" t="s">
        <v>60</v>
      </c>
      <c r="X19" s="52">
        <f t="shared" si="6"/>
        <v>76.167294104372331</v>
      </c>
      <c r="Y19" s="100"/>
      <c r="Z19" s="100">
        <f>X19</f>
        <v>76.167294104372331</v>
      </c>
      <c r="AA19" s="109"/>
      <c r="AB19" s="81"/>
      <c r="AC19" s="100" t="str">
        <f t="shared" si="7"/>
        <v/>
      </c>
      <c r="AD19" s="81">
        <f t="shared" si="8"/>
        <v>76.167294104372331</v>
      </c>
      <c r="AE19" s="97"/>
      <c r="AF19" s="52"/>
      <c r="AH19" s="129">
        <f>16*$H$5/60</f>
        <v>16</v>
      </c>
      <c r="AI19" s="109">
        <f t="shared" si="0"/>
        <v>61.897711978465679</v>
      </c>
      <c r="AJ19" s="100">
        <f t="shared" si="1"/>
        <v>46.387704675828004</v>
      </c>
      <c r="AK19" s="59" t="e">
        <f t="shared" si="2"/>
        <v>#DIV/0!</v>
      </c>
      <c r="AL19" s="81">
        <f t="shared" si="3"/>
        <v>100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3510</v>
      </c>
      <c r="S20" s="125">
        <f t="shared" si="4"/>
        <v>2827.2051928581163</v>
      </c>
      <c r="T20" s="126">
        <f t="shared" si="5"/>
        <v>80.54715649168422</v>
      </c>
      <c r="U20" s="130"/>
      <c r="V20" s="28"/>
      <c r="W20" s="59" t="s">
        <v>60</v>
      </c>
      <c r="X20" s="52">
        <f t="shared" si="6"/>
        <v>80.54715649168422</v>
      </c>
      <c r="Y20" s="100"/>
      <c r="Z20" s="100">
        <f>X20</f>
        <v>80.54715649168422</v>
      </c>
      <c r="AA20" s="109"/>
      <c r="AB20" s="81"/>
      <c r="AC20" s="100">
        <f t="shared" si="7"/>
        <v>80.54715649168422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74.010767160161492</v>
      </c>
      <c r="AJ20" s="100">
        <f t="shared" si="1"/>
        <v>53.634328955631581</v>
      </c>
      <c r="AK20" s="59" t="e">
        <f t="shared" si="2"/>
        <v>#DIV/0!</v>
      </c>
      <c r="AL20" s="81">
        <f t="shared" si="3"/>
        <v>100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26834</v>
      </c>
      <c r="S21" s="125">
        <f t="shared" si="4"/>
        <v>21394.621643723593</v>
      </c>
      <c r="T21" s="126">
        <f t="shared" si="5"/>
        <v>79.729528373420266</v>
      </c>
      <c r="U21" s="130"/>
      <c r="V21" s="28"/>
      <c r="W21" s="59" t="s">
        <v>60</v>
      </c>
      <c r="X21" s="52">
        <f t="shared" si="6"/>
        <v>79.729528373420266</v>
      </c>
      <c r="Y21" s="100"/>
      <c r="Z21" s="100">
        <f>X21</f>
        <v>79.729528373420266</v>
      </c>
      <c r="AA21" s="109"/>
      <c r="AB21" s="81"/>
      <c r="AC21" s="100" t="str">
        <f t="shared" si="7"/>
        <v/>
      </c>
      <c r="AD21" s="81">
        <f t="shared" si="8"/>
        <v>79.729528373420266</v>
      </c>
      <c r="AE21" s="97"/>
      <c r="AF21" s="52"/>
      <c r="AH21" s="129">
        <f>18*$H$5/60</f>
        <v>18</v>
      </c>
      <c r="AI21" s="109">
        <f t="shared" si="0"/>
        <v>86.123822341857334</v>
      </c>
      <c r="AJ21" s="100">
        <f t="shared" si="1"/>
        <v>61.335402611549164</v>
      </c>
      <c r="AK21" s="59" t="e">
        <f t="shared" si="2"/>
        <v>#DIV/0!</v>
      </c>
      <c r="AL21" s="81">
        <f t="shared" si="3"/>
        <v>100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13618</v>
      </c>
      <c r="S22" s="125">
        <f t="shared" si="4"/>
        <v>8805.1948344009816</v>
      </c>
      <c r="T22" s="126">
        <f t="shared" si="5"/>
        <v>64.658502235284047</v>
      </c>
      <c r="U22" s="28"/>
      <c r="V22" s="28"/>
      <c r="W22" s="59" t="s">
        <v>60</v>
      </c>
      <c r="X22" s="52">
        <f t="shared" si="6"/>
        <v>64.658502235284047</v>
      </c>
      <c r="Y22" s="100"/>
      <c r="Z22" s="100"/>
      <c r="AA22" s="109"/>
      <c r="AB22" s="81"/>
      <c r="AC22" s="100">
        <f t="shared" si="7"/>
        <v>64.658502235284047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98.236877523553161</v>
      </c>
      <c r="AJ22" s="100">
        <f t="shared" si="1"/>
        <v>69.148003742304013</v>
      </c>
      <c r="AK22" s="59" t="e">
        <f t="shared" si="2"/>
        <v>#DIV/0!</v>
      </c>
      <c r="AL22" s="81">
        <f t="shared" si="3"/>
        <v>100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47005</v>
      </c>
      <c r="S23" s="125">
        <f t="shared" si="4"/>
        <v>32399.058538912363</v>
      </c>
      <c r="T23" s="126">
        <f t="shared" si="5"/>
        <v>68.926834462104807</v>
      </c>
      <c r="U23" s="28"/>
      <c r="V23" s="28"/>
      <c r="W23" s="59" t="s">
        <v>60</v>
      </c>
      <c r="X23" s="52">
        <f t="shared" si="6"/>
        <v>68.926834462104807</v>
      </c>
      <c r="Y23" s="100">
        <f>X23</f>
        <v>68.926834462104807</v>
      </c>
      <c r="Z23" s="100"/>
      <c r="AA23" s="109"/>
      <c r="AB23" s="81"/>
      <c r="AC23" s="100" t="str">
        <f t="shared" si="7"/>
        <v/>
      </c>
      <c r="AD23" s="81">
        <f t="shared" si="8"/>
        <v>68.926834462104807</v>
      </c>
      <c r="AE23" s="97"/>
      <c r="AF23" s="52"/>
      <c r="AH23" s="129">
        <f>20*$H$5/60</f>
        <v>20</v>
      </c>
      <c r="AI23" s="109">
        <f t="shared" si="0"/>
        <v>110.34993270524899</v>
      </c>
      <c r="AJ23" s="100">
        <f t="shared" si="1"/>
        <v>76.724244228216023</v>
      </c>
      <c r="AK23" s="59" t="e">
        <f t="shared" si="2"/>
        <v>#DIV/0!</v>
      </c>
      <c r="AL23" s="81">
        <f t="shared" si="3"/>
        <v>100</v>
      </c>
      <c r="AM23" s="109">
        <v>118</v>
      </c>
      <c r="AN23" s="81">
        <v>85</v>
      </c>
      <c r="AO23" s="127"/>
      <c r="AP23" s="95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58014</v>
      </c>
      <c r="S24" s="125">
        <f t="shared" si="4"/>
        <v>38791.119940029981</v>
      </c>
      <c r="T24" s="126">
        <f t="shared" si="5"/>
        <v>66.865101423845928</v>
      </c>
      <c r="U24" s="127"/>
      <c r="V24" s="28"/>
      <c r="W24" s="59" t="s">
        <v>60</v>
      </c>
      <c r="X24" s="52">
        <f t="shared" si="6"/>
        <v>66.865101423845928</v>
      </c>
      <c r="Y24" s="100">
        <f>X24</f>
        <v>66.865101423845928</v>
      </c>
      <c r="Z24" s="100"/>
      <c r="AA24" s="109"/>
      <c r="AB24" s="81"/>
      <c r="AC24" s="100" t="str">
        <f t="shared" si="7"/>
        <v/>
      </c>
      <c r="AD24" s="81">
        <f t="shared" si="8"/>
        <v>66.865101423845928</v>
      </c>
      <c r="AE24" s="97"/>
      <c r="AF24" s="52"/>
      <c r="AH24" s="129">
        <f>21*$H$5/60</f>
        <v>21</v>
      </c>
      <c r="AI24" s="109">
        <f t="shared" si="0"/>
        <v>122.46298788694482</v>
      </c>
      <c r="AJ24" s="100">
        <f t="shared" si="1"/>
        <v>83.726760877081176</v>
      </c>
      <c r="AK24" s="59" t="e">
        <f t="shared" si="2"/>
        <v>#DIV/0!</v>
      </c>
      <c r="AL24" s="81">
        <f t="shared" si="3"/>
        <v>100</v>
      </c>
      <c r="AM24" s="109">
        <v>118</v>
      </c>
      <c r="AN24" s="81">
        <v>85</v>
      </c>
      <c r="AO24" s="127" t="s">
        <v>74</v>
      </c>
      <c r="AP24" s="95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207141</v>
      </c>
      <c r="S25" s="125">
        <f t="shared" si="4"/>
        <v>165080.26441324793</v>
      </c>
      <c r="T25" s="126">
        <f t="shared" si="5"/>
        <v>79.694635254849558</v>
      </c>
      <c r="U25" s="127"/>
      <c r="V25" s="28"/>
      <c r="W25" s="59" t="s">
        <v>60</v>
      </c>
      <c r="X25" s="52">
        <f t="shared" si="6"/>
        <v>79.694635254849558</v>
      </c>
      <c r="Y25" s="100">
        <f>X25</f>
        <v>79.694635254849558</v>
      </c>
      <c r="Z25" s="100"/>
      <c r="AA25" s="109"/>
      <c r="AB25" s="81"/>
      <c r="AC25" s="100" t="str">
        <f t="shared" si="7"/>
        <v/>
      </c>
      <c r="AD25" s="81">
        <f t="shared" si="8"/>
        <v>79.694635254849558</v>
      </c>
      <c r="AE25" s="97"/>
      <c r="AF25" s="52"/>
      <c r="AH25" s="129">
        <f>22*$H$5/60</f>
        <v>22</v>
      </c>
      <c r="AI25" s="109">
        <f t="shared" si="0"/>
        <v>134.57604306864064</v>
      </c>
      <c r="AJ25" s="100">
        <f t="shared" si="1"/>
        <v>89.843737904472377</v>
      </c>
      <c r="AK25" s="59" t="e">
        <f t="shared" si="2"/>
        <v>#DIV/0!</v>
      </c>
      <c r="AL25" s="81">
        <f t="shared" si="3"/>
        <v>100</v>
      </c>
      <c r="AM25" s="109">
        <v>118</v>
      </c>
      <c r="AN25" s="81">
        <v>85</v>
      </c>
      <c r="AO25" s="133"/>
      <c r="AP25" s="134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4793</v>
      </c>
      <c r="S26" s="125">
        <f t="shared" si="4"/>
        <v>3759.5522011721414</v>
      </c>
      <c r="T26" s="126">
        <f t="shared" si="5"/>
        <v>78.438393514962272</v>
      </c>
      <c r="U26" s="127"/>
      <c r="V26" s="28"/>
      <c r="W26" s="59" t="s">
        <v>60</v>
      </c>
      <c r="X26" s="52">
        <f t="shared" si="6"/>
        <v>78.438393514962272</v>
      </c>
      <c r="Y26" s="100"/>
      <c r="Z26" s="100"/>
      <c r="AA26" s="109"/>
      <c r="AB26" s="81"/>
      <c r="AC26" s="100">
        <f t="shared" si="7"/>
        <v>78.438393514962272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146.68909825033646</v>
      </c>
      <c r="AJ26" s="100">
        <f t="shared" si="1"/>
        <v>94.80279181089054</v>
      </c>
      <c r="AK26" s="59" t="e">
        <f t="shared" si="2"/>
        <v>#DIV/0!</v>
      </c>
      <c r="AL26" s="81">
        <f t="shared" si="3"/>
        <v>100</v>
      </c>
      <c r="AM26" s="109">
        <v>118</v>
      </c>
      <c r="AN26" s="81">
        <v>85</v>
      </c>
      <c r="AO26" s="136" t="s">
        <v>77</v>
      </c>
      <c r="AP26" s="13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30030</v>
      </c>
      <c r="S27" s="125">
        <f t="shared" si="4"/>
        <v>25960.379787379039</v>
      </c>
      <c r="T27" s="126">
        <f t="shared" si="5"/>
        <v>86.448151140123329</v>
      </c>
      <c r="U27" s="127"/>
      <c r="V27" s="28"/>
      <c r="W27" s="59" t="s">
        <v>60</v>
      </c>
      <c r="X27" s="52">
        <f t="shared" si="6"/>
        <v>86.448151140123329</v>
      </c>
      <c r="Y27" s="100"/>
      <c r="Z27" s="100">
        <f>X27</f>
        <v>86.448151140123329</v>
      </c>
      <c r="AA27" s="109"/>
      <c r="AB27" s="81"/>
      <c r="AC27" s="100" t="str">
        <f t="shared" si="7"/>
        <v/>
      </c>
      <c r="AD27" s="81">
        <f t="shared" si="8"/>
        <v>86.448151140123329</v>
      </c>
      <c r="AE27" s="97"/>
      <c r="AF27" s="52"/>
      <c r="AH27" s="129">
        <f>24*$H$5/60</f>
        <v>24</v>
      </c>
      <c r="AI27" s="109">
        <f t="shared" si="0"/>
        <v>158.8021534320323</v>
      </c>
      <c r="AJ27" s="100">
        <f t="shared" si="1"/>
        <v>98.383100374642495</v>
      </c>
      <c r="AK27" s="59" t="e">
        <f t="shared" si="2"/>
        <v>#DIV/0!</v>
      </c>
      <c r="AL27" s="81">
        <f t="shared" si="3"/>
        <v>100</v>
      </c>
      <c r="AM27" s="109">
        <v>118</v>
      </c>
      <c r="AN27" s="81">
        <v>85</v>
      </c>
      <c r="AO27" s="127" t="s">
        <v>79</v>
      </c>
      <c r="AP27" s="140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56411</v>
      </c>
      <c r="S28" s="125">
        <f t="shared" si="4"/>
        <v>48377.840943164781</v>
      </c>
      <c r="T28" s="126">
        <f t="shared" si="5"/>
        <v>85.759587568319617</v>
      </c>
      <c r="U28" s="130"/>
      <c r="V28" s="28"/>
      <c r="W28" s="59" t="s">
        <v>60</v>
      </c>
      <c r="X28" s="52">
        <f t="shared" si="6"/>
        <v>85.759587568319617</v>
      </c>
      <c r="Y28" s="100"/>
      <c r="Z28" s="100">
        <f>X28</f>
        <v>85.759587568319617</v>
      </c>
      <c r="AA28" s="109"/>
      <c r="AB28" s="81"/>
      <c r="AC28" s="100" t="str">
        <f t="shared" si="7"/>
        <v/>
      </c>
      <c r="AD28" s="81">
        <f t="shared" si="8"/>
        <v>85.759587568319617</v>
      </c>
      <c r="AE28" s="97"/>
      <c r="AF28" s="52"/>
      <c r="AH28" s="129">
        <f>25*$H$5/60</f>
        <v>25</v>
      </c>
      <c r="AI28" s="109">
        <f t="shared" si="0"/>
        <v>170.91520861372814</v>
      </c>
      <c r="AJ28" s="100">
        <f t="shared" si="1"/>
        <v>100.42523566727363</v>
      </c>
      <c r="AK28" s="59" t="e">
        <f t="shared" si="2"/>
        <v>#DIV/0!</v>
      </c>
      <c r="AL28" s="81">
        <f t="shared" si="3"/>
        <v>100</v>
      </c>
      <c r="AM28" s="109">
        <v>118</v>
      </c>
      <c r="AN28" s="81">
        <v>85</v>
      </c>
      <c r="AO28" s="127" t="s">
        <v>81</v>
      </c>
      <c r="AP28" s="142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22091</v>
      </c>
      <c r="S29" s="125">
        <f t="shared" si="4"/>
        <v>19656.068692926263</v>
      </c>
      <c r="T29" s="126">
        <f t="shared" si="5"/>
        <v>88.977722569943708</v>
      </c>
      <c r="U29" s="130"/>
      <c r="V29" s="28"/>
      <c r="W29" s="59" t="s">
        <v>60</v>
      </c>
      <c r="X29" s="52">
        <f t="shared" si="6"/>
        <v>88.977722569943708</v>
      </c>
      <c r="Y29" s="100"/>
      <c r="Z29" s="100">
        <f>X29</f>
        <v>88.977722569943708</v>
      </c>
      <c r="AA29" s="109"/>
      <c r="AB29" s="81"/>
      <c r="AC29" s="100">
        <f t="shared" si="7"/>
        <v>88.977722569943708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183.02826379542395</v>
      </c>
      <c r="AJ29" s="100">
        <f t="shared" si="1"/>
        <v>100.89</v>
      </c>
      <c r="AK29" s="59" t="e">
        <f t="shared" si="2"/>
        <v>#DIV/0!</v>
      </c>
      <c r="AL29" s="81">
        <f t="shared" si="3"/>
        <v>100</v>
      </c>
      <c r="AM29" s="109">
        <v>118</v>
      </c>
      <c r="AN29" s="81">
        <v>85</v>
      </c>
      <c r="AO29" s="133"/>
      <c r="AP29" s="140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19969</v>
      </c>
      <c r="S30" s="125">
        <f t="shared" si="4"/>
        <v>16014.430966335014</v>
      </c>
      <c r="T30" s="126">
        <f t="shared" si="5"/>
        <v>80.196459343657736</v>
      </c>
      <c r="U30" s="130"/>
      <c r="V30" s="28"/>
      <c r="W30" s="59" t="s">
        <v>60</v>
      </c>
      <c r="X30" s="52">
        <f t="shared" si="6"/>
        <v>80.196459343657736</v>
      </c>
      <c r="Y30" s="100"/>
      <c r="Z30" s="100"/>
      <c r="AA30" s="109"/>
      <c r="AB30" s="81"/>
      <c r="AC30" s="100">
        <f t="shared" si="7"/>
        <v>80.196459343657736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195.14131897711979</v>
      </c>
      <c r="AJ30" s="100">
        <f t="shared" si="1"/>
        <v>100.89</v>
      </c>
      <c r="AK30" s="59" t="e">
        <f t="shared" si="2"/>
        <v>#DIV/0!</v>
      </c>
      <c r="AL30" s="81">
        <f t="shared" si="3"/>
        <v>100</v>
      </c>
      <c r="AM30" s="109">
        <v>118</v>
      </c>
      <c r="AN30" s="81">
        <v>85</v>
      </c>
      <c r="AO30" s="144"/>
      <c r="AP30" s="8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26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17886</v>
      </c>
      <c r="S31" s="125">
        <f t="shared" si="4"/>
        <v>16924.840397982829</v>
      </c>
      <c r="T31" s="126">
        <f t="shared" si="5"/>
        <v>94.626190305170695</v>
      </c>
      <c r="U31" s="130"/>
      <c r="V31" s="28"/>
      <c r="W31" s="59" t="s">
        <v>60</v>
      </c>
      <c r="X31" s="52">
        <f t="shared" si="6"/>
        <v>94.626190305170695</v>
      </c>
      <c r="Y31" s="100"/>
      <c r="Z31" s="100">
        <f>X31</f>
        <v>94.626190305170695</v>
      </c>
      <c r="AA31" s="109"/>
      <c r="AB31" s="81"/>
      <c r="AC31" s="100">
        <f t="shared" si="7"/>
        <v>94.626190305170695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207.25437415881561</v>
      </c>
      <c r="AJ31" s="100">
        <f t="shared" si="1"/>
        <v>100.89</v>
      </c>
      <c r="AK31" s="59" t="e">
        <f t="shared" si="2"/>
        <v>#DIV/0!</v>
      </c>
      <c r="AL31" s="81">
        <f t="shared" si="3"/>
        <v>100</v>
      </c>
      <c r="AM31" s="109">
        <v>118</v>
      </c>
      <c r="AN31" s="81">
        <v>85</v>
      </c>
      <c r="AO31" s="144" t="str">
        <f>P65</f>
        <v>55_27Ts</v>
      </c>
      <c r="AP31" s="52">
        <f>IF(T65&gt;50,T65,"")</f>
        <v>100.66086610492864</v>
      </c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4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14553</v>
      </c>
      <c r="S32" s="125">
        <f t="shared" si="4"/>
        <v>12389.246422243423</v>
      </c>
      <c r="T32" s="126">
        <f t="shared" si="5"/>
        <v>85.131906976179636</v>
      </c>
      <c r="U32" s="130"/>
      <c r="V32" s="28"/>
      <c r="W32" s="59" t="s">
        <v>60</v>
      </c>
      <c r="X32" s="52">
        <f t="shared" si="6"/>
        <v>85.131906976179636</v>
      </c>
      <c r="Y32" s="100"/>
      <c r="Z32" s="100">
        <f>X32</f>
        <v>85.131906976179636</v>
      </c>
      <c r="AA32" s="109"/>
      <c r="AB32" s="81"/>
      <c r="AC32" s="100">
        <f t="shared" si="7"/>
        <v>85.131906976179636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219.36742934051145</v>
      </c>
      <c r="AJ32" s="100">
        <f t="shared" si="1"/>
        <v>100.89</v>
      </c>
      <c r="AK32" s="59" t="e">
        <f t="shared" si="2"/>
        <v>#DIV/0!</v>
      </c>
      <c r="AL32" s="81">
        <f t="shared" si="3"/>
        <v>100</v>
      </c>
      <c r="AM32" s="109">
        <v>118</v>
      </c>
      <c r="AN32" s="81">
        <v>85</v>
      </c>
      <c r="AO32" s="144"/>
      <c r="AP32" s="52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14095</v>
      </c>
      <c r="S33" s="125">
        <f t="shared" si="4"/>
        <v>12891.06848848303</v>
      </c>
      <c r="T33" s="126">
        <f t="shared" si="5"/>
        <v>91.458449723185751</v>
      </c>
      <c r="U33" s="28"/>
      <c r="V33" s="28"/>
      <c r="W33" s="59" t="s">
        <v>60</v>
      </c>
      <c r="X33" s="52">
        <f t="shared" si="6"/>
        <v>91.458449723185751</v>
      </c>
      <c r="Y33" s="100"/>
      <c r="Z33" s="100"/>
      <c r="AA33" s="109"/>
      <c r="AB33" s="81"/>
      <c r="AC33" s="100">
        <f t="shared" si="7"/>
        <v>91.458449723185751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231.48048452220729</v>
      </c>
      <c r="AJ33" s="100">
        <f t="shared" si="1"/>
        <v>100.89</v>
      </c>
      <c r="AK33" s="59" t="e">
        <f t="shared" si="2"/>
        <v>#DIV/0!</v>
      </c>
      <c r="AL33" s="81">
        <f t="shared" si="3"/>
        <v>100</v>
      </c>
      <c r="AM33" s="109">
        <v>118</v>
      </c>
      <c r="AN33" s="81">
        <v>85</v>
      </c>
      <c r="AO33" s="144" t="s">
        <v>86</v>
      </c>
      <c r="AP33" s="52">
        <f>IF(T67&gt;50,T67,"")</f>
        <v>93.690129106366228</v>
      </c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49">
        <f>IF(J$8=1,T30,0.001)</f>
        <v>80.196459343657736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50632</v>
      </c>
      <c r="S34" s="125">
        <f t="shared" si="4"/>
        <v>46998.51581027668</v>
      </c>
      <c r="T34" s="126">
        <f t="shared" si="5"/>
        <v>92.823739552608387</v>
      </c>
      <c r="U34" s="28"/>
      <c r="V34" s="28"/>
      <c r="W34" s="59" t="s">
        <v>60</v>
      </c>
      <c r="X34" s="52">
        <f t="shared" si="6"/>
        <v>92.823739552608387</v>
      </c>
      <c r="Y34" s="100"/>
      <c r="Z34" s="100">
        <f>X34</f>
        <v>92.823739552608387</v>
      </c>
      <c r="AA34" s="109"/>
      <c r="AB34" s="81"/>
      <c r="AC34" s="100" t="str">
        <f t="shared" si="7"/>
        <v/>
      </c>
      <c r="AD34" s="81">
        <f t="shared" si="8"/>
        <v>92.823739552608387</v>
      </c>
      <c r="AE34" s="97"/>
      <c r="AF34" s="52"/>
      <c r="AH34" s="129">
        <f>31*$H$5/60</f>
        <v>31</v>
      </c>
      <c r="AI34" s="109">
        <f t="shared" si="0"/>
        <v>243.5935397039031</v>
      </c>
      <c r="AJ34" s="100">
        <f t="shared" si="1"/>
        <v>100.89</v>
      </c>
      <c r="AK34" s="59" t="e">
        <f t="shared" si="2"/>
        <v>#DIV/0!</v>
      </c>
      <c r="AL34" s="81">
        <f t="shared" si="3"/>
        <v>100</v>
      </c>
      <c r="AM34" s="109">
        <v>118</v>
      </c>
      <c r="AN34" s="81">
        <v>85</v>
      </c>
      <c r="AO34" s="144"/>
      <c r="AP34" s="52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96.451005571469054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5663</v>
      </c>
      <c r="S35" s="125">
        <f t="shared" si="4"/>
        <v>5114.1975603107539</v>
      </c>
      <c r="T35" s="126">
        <f t="shared" si="5"/>
        <v>90.308980404569198</v>
      </c>
      <c r="U35" s="28"/>
      <c r="V35" s="28"/>
      <c r="W35" s="59" t="s">
        <v>60</v>
      </c>
      <c r="X35" s="52">
        <f t="shared" si="6"/>
        <v>90.308980404569198</v>
      </c>
      <c r="Y35" s="100"/>
      <c r="Z35" s="100"/>
      <c r="AA35" s="109"/>
      <c r="AB35" s="81"/>
      <c r="AC35" s="100">
        <f t="shared" si="7"/>
        <v>90.308980404569198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255.70659488559895</v>
      </c>
      <c r="AJ35" s="100">
        <f t="shared" si="1"/>
        <v>100.89</v>
      </c>
      <c r="AK35" s="59" t="e">
        <f t="shared" si="2"/>
        <v>#DIV/0!</v>
      </c>
      <c r="AL35" s="81">
        <f t="shared" si="3"/>
        <v>100</v>
      </c>
      <c r="AM35" s="109">
        <v>118</v>
      </c>
      <c r="AN35" s="81">
        <v>85</v>
      </c>
      <c r="AO35" s="144" t="s">
        <v>87</v>
      </c>
      <c r="AP35" s="52">
        <f>IF(T69&gt;50,T69,"")</f>
        <v>92.363215254488679</v>
      </c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91.782598789572091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28220</v>
      </c>
      <c r="S36" s="125">
        <f t="shared" si="4"/>
        <v>27649.573190677387</v>
      </c>
      <c r="T36" s="126">
        <f t="shared" si="5"/>
        <v>97.978643482201946</v>
      </c>
      <c r="U36" s="28"/>
      <c r="V36" s="28"/>
      <c r="W36" s="59" t="s">
        <v>60</v>
      </c>
      <c r="X36" s="52">
        <f t="shared" si="6"/>
        <v>97.978643482201946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97.978643482201946</v>
      </c>
      <c r="AE36" s="97"/>
      <c r="AF36" s="52"/>
      <c r="AH36" s="129">
        <f>33*$H$5/60</f>
        <v>33</v>
      </c>
      <c r="AI36" s="109">
        <f t="shared" si="0"/>
        <v>267.81965006729473</v>
      </c>
      <c r="AJ36" s="100">
        <f t="shared" si="1"/>
        <v>100.89</v>
      </c>
      <c r="AK36" s="59" t="e">
        <f t="shared" si="2"/>
        <v>#DIV/0!</v>
      </c>
      <c r="AL36" s="81">
        <f t="shared" si="3"/>
        <v>100</v>
      </c>
      <c r="AM36" s="109">
        <v>118</v>
      </c>
      <c r="AN36" s="81">
        <v>85</v>
      </c>
      <c r="AO36" s="144" t="s">
        <v>88</v>
      </c>
      <c r="AP36" s="52">
        <f>IF(T70&gt;50,T70,"")</f>
        <v>101.07251689784644</v>
      </c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53">
        <f>IF(J$8=1,T46,0.001)</f>
        <v>78.032990826124461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12949</v>
      </c>
      <c r="S37" s="125">
        <f t="shared" si="4"/>
        <v>13063.826904729454</v>
      </c>
      <c r="T37" s="126">
        <f t="shared" si="5"/>
        <v>100.88676272090086</v>
      </c>
      <c r="U37" s="28"/>
      <c r="V37" s="28"/>
      <c r="W37" s="59" t="s">
        <v>60</v>
      </c>
      <c r="X37" s="52">
        <f t="shared" si="6"/>
        <v>100.88676272090086</v>
      </c>
      <c r="Y37" s="100"/>
      <c r="Z37" s="100"/>
      <c r="AA37" s="109"/>
      <c r="AB37" s="81"/>
      <c r="AC37" s="100">
        <f t="shared" si="7"/>
        <v>100.88676272090086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279.93270524899054</v>
      </c>
      <c r="AJ37" s="100">
        <f t="shared" si="1"/>
        <v>100.89</v>
      </c>
      <c r="AK37" s="59" t="e">
        <f t="shared" si="2"/>
        <v>#DIV/0!</v>
      </c>
      <c r="AL37" s="81">
        <f t="shared" si="3"/>
        <v>100</v>
      </c>
      <c r="AM37" s="109">
        <v>118</v>
      </c>
      <c r="AN37" s="81">
        <v>85</v>
      </c>
      <c r="AO37" s="144"/>
      <c r="AP37" s="52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40.869283452679255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9049</v>
      </c>
      <c r="S38" s="125">
        <f t="shared" si="4"/>
        <v>8062.0594248330381</v>
      </c>
      <c r="T38" s="126">
        <f t="shared" si="5"/>
        <v>89.093374127893014</v>
      </c>
      <c r="U38" s="28"/>
      <c r="V38" s="28"/>
      <c r="W38" s="59" t="s">
        <v>60</v>
      </c>
      <c r="X38" s="52">
        <f t="shared" si="6"/>
        <v>89.093374127893014</v>
      </c>
      <c r="Y38" s="100"/>
      <c r="Z38" s="100"/>
      <c r="AA38" s="109"/>
      <c r="AB38" s="81"/>
      <c r="AC38" s="100">
        <f t="shared" si="7"/>
        <v>89.093374127893014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292.04576043068641</v>
      </c>
      <c r="AJ38" s="100">
        <f t="shared" si="1"/>
        <v>100.89</v>
      </c>
      <c r="AK38" s="59" t="e">
        <f t="shared" si="2"/>
        <v>#DIV/0!</v>
      </c>
      <c r="AL38" s="81">
        <f t="shared" si="3"/>
        <v>100</v>
      </c>
      <c r="AM38" s="109">
        <v>118</v>
      </c>
      <c r="AN38" s="81">
        <v>85</v>
      </c>
      <c r="AO38" s="144" t="s">
        <v>89</v>
      </c>
      <c r="AP38" s="52">
        <f>IF(T72&gt;50,T72,"")</f>
        <v>103.16527479298152</v>
      </c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68.183657506598593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395475</v>
      </c>
      <c r="S39" s="125">
        <f t="shared" si="4"/>
        <v>381439.61428376724</v>
      </c>
      <c r="T39" s="126">
        <f t="shared" si="5"/>
        <v>96.451005571469054</v>
      </c>
      <c r="U39" s="28"/>
      <c r="V39" s="28"/>
      <c r="W39" s="59" t="s">
        <v>60</v>
      </c>
      <c r="X39" s="52">
        <f t="shared" si="6"/>
        <v>96.451005571469054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96.451005571469054</v>
      </c>
      <c r="AE39" s="97"/>
      <c r="AF39" s="52"/>
      <c r="AH39" s="129">
        <f>36*$H$5/60</f>
        <v>36</v>
      </c>
      <c r="AI39" s="109">
        <f t="shared" si="0"/>
        <v>304.15881561238223</v>
      </c>
      <c r="AJ39" s="100">
        <f t="shared" si="1"/>
        <v>100.89</v>
      </c>
      <c r="AK39" s="59" t="e">
        <f t="shared" si="2"/>
        <v>#DIV/0!</v>
      </c>
      <c r="AL39" s="81">
        <f t="shared" si="3"/>
        <v>100</v>
      </c>
      <c r="AM39" s="109">
        <v>118</v>
      </c>
      <c r="AN39" s="81">
        <v>85</v>
      </c>
      <c r="AO39" s="144"/>
      <c r="AP39" s="52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97.978643482201946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127089</v>
      </c>
      <c r="S40" s="125">
        <f t="shared" si="4"/>
        <v>140984.57864249693</v>
      </c>
      <c r="T40" s="126">
        <f t="shared" si="5"/>
        <v>110.93373827986446</v>
      </c>
      <c r="U40" s="28"/>
      <c r="V40" s="28"/>
      <c r="W40" s="59" t="s">
        <v>60</v>
      </c>
      <c r="X40" s="52">
        <f t="shared" si="6"/>
        <v>110.93373827986446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110.93373827986446</v>
      </c>
      <c r="AE40" s="97"/>
      <c r="AF40" s="52"/>
      <c r="AH40" s="129">
        <f>37*$H$5/60</f>
        <v>37</v>
      </c>
      <c r="AI40" s="109">
        <f t="shared" ref="AI40:AI63" si="9">(AH40-F$5)/(F$6-F$5)*180</f>
        <v>316.27187079407804</v>
      </c>
      <c r="AJ40" s="100">
        <f t="shared" ref="AJ40:AJ63" si="10">IF($F$5&gt;AH40,$F$7,IF($F$6&lt;AH40,$F$8,$F$7+(($F$8-$F$7)/2)+(SIN(RADIANS(AI40-90))*(($F$8-$F$7)/2))))</f>
        <v>100.89</v>
      </c>
      <c r="AK40" s="59" t="e">
        <f t="shared" ref="AK40:AK63" si="11">(AH40-G$5)/(G$6-G$5)*180</f>
        <v>#DIV/0!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144" t="s">
        <v>90</v>
      </c>
      <c r="AP40" s="52">
        <f>IF(T73&gt;50,T73,"")</f>
        <v>90.37746220749159</v>
      </c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110.93373827986446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56759</v>
      </c>
      <c r="S41" s="125">
        <f t="shared" si="4"/>
        <v>58134.578165462721</v>
      </c>
      <c r="T41" s="126">
        <f t="shared" si="5"/>
        <v>102.42354193249128</v>
      </c>
      <c r="U41" s="28"/>
      <c r="V41" s="28"/>
      <c r="W41" s="59" t="s">
        <v>60</v>
      </c>
      <c r="X41" s="52">
        <f t="shared" si="6"/>
        <v>102.42354193249128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102.42354193249128</v>
      </c>
      <c r="AE41" s="97"/>
      <c r="AF41" s="52"/>
      <c r="AH41" s="129">
        <f>38*$H$5/60</f>
        <v>38</v>
      </c>
      <c r="AI41" s="109">
        <f t="shared" si="9"/>
        <v>328.38492597577391</v>
      </c>
      <c r="AJ41" s="100">
        <f t="shared" si="10"/>
        <v>100.89</v>
      </c>
      <c r="AK41" s="59" t="e">
        <f t="shared" si="11"/>
        <v>#DIV/0!</v>
      </c>
      <c r="AL41" s="81">
        <f t="shared" si="12"/>
        <v>100</v>
      </c>
      <c r="AM41" s="109">
        <v>118</v>
      </c>
      <c r="AN41" s="81">
        <v>85</v>
      </c>
      <c r="AO41" s="144" t="s">
        <v>91</v>
      </c>
      <c r="AP41" s="52">
        <f>IF(T74&gt;50,T74,"")</f>
        <v>100</v>
      </c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100.55435418144289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372161</v>
      </c>
      <c r="S42" s="125">
        <f t="shared" si="4"/>
        <v>341579.03748125938</v>
      </c>
      <c r="T42" s="126">
        <f t="shared" si="5"/>
        <v>91.782598789572091</v>
      </c>
      <c r="U42" s="28"/>
      <c r="V42" s="28"/>
      <c r="W42" s="59" t="s">
        <v>60</v>
      </c>
      <c r="X42" s="52">
        <f t="shared" si="6"/>
        <v>91.782598789572091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91.782598789572091</v>
      </c>
      <c r="AE42" s="97"/>
      <c r="AF42" s="52"/>
      <c r="AH42" s="129">
        <f>39*$H$5/60</f>
        <v>39</v>
      </c>
      <c r="AI42" s="109">
        <f t="shared" si="9"/>
        <v>340.49798115746972</v>
      </c>
      <c r="AJ42" s="100">
        <f t="shared" si="10"/>
        <v>100.89</v>
      </c>
      <c r="AK42" s="59" t="e">
        <f t="shared" si="11"/>
        <v>#DIV/0!</v>
      </c>
      <c r="AL42" s="81">
        <f t="shared" si="12"/>
        <v>100</v>
      </c>
      <c r="AM42" s="109">
        <v>118</v>
      </c>
      <c r="AN42" s="81">
        <v>85</v>
      </c>
      <c r="AO42" s="144"/>
      <c r="AP42" s="52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82.676152985877749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67967</v>
      </c>
      <c r="S43" s="125">
        <f t="shared" ref="S43:S74" si="13">IF(Q$74&gt;1,Q43/Q$74*R$74,0.0001)</f>
        <v>68343.777906501287</v>
      </c>
      <c r="T43" s="126">
        <f t="shared" ref="T43:T74" si="14">IF(R43&gt;1,100*S43/R43,0.0001)</f>
        <v>100.55435418144289</v>
      </c>
      <c r="U43" s="28"/>
      <c r="V43" s="28"/>
      <c r="W43" s="59" t="s">
        <v>60</v>
      </c>
      <c r="X43" s="52">
        <f t="shared" ref="X43:X74" si="15">IF(R43&gt;1,T43,"")</f>
        <v>100.55435418144289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100.55435418144289</v>
      </c>
      <c r="AE43" s="97"/>
      <c r="AF43" s="52"/>
      <c r="AH43" s="129">
        <f>40*$H$5/60</f>
        <v>40</v>
      </c>
      <c r="AI43" s="109">
        <f t="shared" si="9"/>
        <v>352.61103633916554</v>
      </c>
      <c r="AJ43" s="100">
        <f t="shared" si="10"/>
        <v>100.89</v>
      </c>
      <c r="AK43" s="59" t="e">
        <f t="shared" si="11"/>
        <v>#DIV/0!</v>
      </c>
      <c r="AL43" s="81">
        <f t="shared" si="12"/>
        <v>100</v>
      </c>
      <c r="AM43" s="109">
        <v>118</v>
      </c>
      <c r="AN43" s="81">
        <v>85</v>
      </c>
      <c r="AO43" s="144" t="s">
        <v>92</v>
      </c>
      <c r="AP43" s="52">
        <f>IF(T76&gt;50,T76,"")</f>
        <v>99.602981987431477</v>
      </c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89.8977989037718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41858</v>
      </c>
      <c r="S44" s="125">
        <f t="shared" si="13"/>
        <v>40003.171050838217</v>
      </c>
      <c r="T44" s="126">
        <f t="shared" si="14"/>
        <v>95.568758781686213</v>
      </c>
      <c r="U44" s="28"/>
      <c r="V44" s="28"/>
      <c r="W44" s="59" t="s">
        <v>60</v>
      </c>
      <c r="X44" s="52">
        <f t="shared" si="15"/>
        <v>95.568758781686213</v>
      </c>
      <c r="Y44" s="100">
        <f t="shared" ref="Y44:Y54" si="18">X44</f>
        <v>95.568758781686213</v>
      </c>
      <c r="Z44" s="100"/>
      <c r="AA44" s="109"/>
      <c r="AB44" s="81"/>
      <c r="AC44" s="100" t="str">
        <f t="shared" si="16"/>
        <v/>
      </c>
      <c r="AD44" s="81">
        <f t="shared" si="17"/>
        <v>95.568758781686213</v>
      </c>
      <c r="AE44" s="97"/>
      <c r="AF44" s="52"/>
      <c r="AH44" s="129">
        <f>41*$H$5/60</f>
        <v>41</v>
      </c>
      <c r="AI44" s="109">
        <f t="shared" si="9"/>
        <v>364.72409152086141</v>
      </c>
      <c r="AJ44" s="100">
        <f t="shared" si="10"/>
        <v>100.89</v>
      </c>
      <c r="AK44" s="59" t="e">
        <f t="shared" si="11"/>
        <v>#DIV/0!</v>
      </c>
      <c r="AL44" s="81">
        <f t="shared" si="12"/>
        <v>100</v>
      </c>
      <c r="AM44" s="109">
        <v>118</v>
      </c>
      <c r="AN44" s="81">
        <v>85</v>
      </c>
      <c r="AO44" s="144"/>
      <c r="AP44" s="87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78.438393514962272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4005</v>
      </c>
      <c r="S45" s="125">
        <f t="shared" si="13"/>
        <v>3655.3487120076325</v>
      </c>
      <c r="T45" s="126">
        <f t="shared" si="14"/>
        <v>91.26963076173864</v>
      </c>
      <c r="U45" s="28"/>
      <c r="V45" s="28"/>
      <c r="W45" s="59" t="s">
        <v>60</v>
      </c>
      <c r="X45" s="52">
        <f t="shared" si="15"/>
        <v>91.26963076173864</v>
      </c>
      <c r="Y45" s="100">
        <f t="shared" si="18"/>
        <v>91.26963076173864</v>
      </c>
      <c r="Z45" s="100"/>
      <c r="AA45" s="109"/>
      <c r="AB45" s="81"/>
      <c r="AC45" s="100">
        <f t="shared" si="16"/>
        <v>91.26963076173864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376.83714670255722</v>
      </c>
      <c r="AJ45" s="100">
        <f t="shared" si="10"/>
        <v>100.89</v>
      </c>
      <c r="AK45" s="59" t="e">
        <f t="shared" si="11"/>
        <v>#DIV/0!</v>
      </c>
      <c r="AL45" s="81">
        <f t="shared" si="12"/>
        <v>100</v>
      </c>
      <c r="AM45" s="109">
        <v>118</v>
      </c>
      <c r="AN45" s="81">
        <v>85</v>
      </c>
      <c r="AO45" s="166" t="s">
        <v>93</v>
      </c>
      <c r="AP45" s="87">
        <f>AVERAGE(AP31:AP44)</f>
        <v>97.616555793941828</v>
      </c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91.26963076173864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6705</v>
      </c>
      <c r="S46" s="125">
        <f t="shared" si="13"/>
        <v>5232.1120348916447</v>
      </c>
      <c r="T46" s="126">
        <f t="shared" si="14"/>
        <v>78.032990826124461</v>
      </c>
      <c r="U46" s="28"/>
      <c r="V46" s="28"/>
      <c r="W46" s="59" t="s">
        <v>60</v>
      </c>
      <c r="X46" s="52">
        <f t="shared" si="15"/>
        <v>78.032990826124461</v>
      </c>
      <c r="Y46" s="100">
        <f t="shared" si="18"/>
        <v>78.032990826124461</v>
      </c>
      <c r="Z46" s="100"/>
      <c r="AA46" s="109"/>
      <c r="AB46" s="81"/>
      <c r="AC46" s="100">
        <f t="shared" si="16"/>
        <v>78.032990826124461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388.95020188425303</v>
      </c>
      <c r="AJ46" s="100">
        <f t="shared" si="10"/>
        <v>100.89</v>
      </c>
      <c r="AK46" s="59" t="e">
        <f t="shared" si="11"/>
        <v>#DIV/0!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64.336398340019159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11895</v>
      </c>
      <c r="S47" s="125">
        <f t="shared" si="13"/>
        <v>11097.671596020173</v>
      </c>
      <c r="T47" s="126">
        <f t="shared" si="14"/>
        <v>93.296944901388599</v>
      </c>
      <c r="U47" s="28"/>
      <c r="V47" s="28"/>
      <c r="W47" s="59" t="s">
        <v>60</v>
      </c>
      <c r="X47" s="52">
        <f t="shared" si="15"/>
        <v>93.296944901388599</v>
      </c>
      <c r="Y47" s="100">
        <f t="shared" si="18"/>
        <v>93.296944901388599</v>
      </c>
      <c r="Z47" s="100"/>
      <c r="AA47" s="109"/>
      <c r="AB47" s="81"/>
      <c r="AC47" s="100">
        <f t="shared" si="16"/>
        <v>93.296944901388599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401.06325706594885</v>
      </c>
      <c r="AJ47" s="100">
        <f t="shared" si="10"/>
        <v>100.89</v>
      </c>
      <c r="AK47" s="59" t="e">
        <f t="shared" si="11"/>
        <v>#DIV/0!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76.149891880681807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159678</v>
      </c>
      <c r="S48" s="125">
        <f t="shared" si="13"/>
        <v>148256.88530734633</v>
      </c>
      <c r="T48" s="126">
        <f t="shared" si="14"/>
        <v>92.847408727154857</v>
      </c>
      <c r="U48" s="28"/>
      <c r="V48" s="28"/>
      <c r="W48" s="59" t="s">
        <v>60</v>
      </c>
      <c r="X48" s="52">
        <f t="shared" si="15"/>
        <v>92.847408727154857</v>
      </c>
      <c r="Y48" s="100">
        <f t="shared" si="18"/>
        <v>92.847408727154857</v>
      </c>
      <c r="Z48" s="100"/>
      <c r="AA48" s="109"/>
      <c r="AB48" s="81"/>
      <c r="AC48" s="100" t="str">
        <f t="shared" si="16"/>
        <v/>
      </c>
      <c r="AD48" s="81">
        <f t="shared" si="17"/>
        <v>92.847408727154857</v>
      </c>
      <c r="AE48" s="81"/>
      <c r="AF48" s="52"/>
      <c r="AH48" s="129">
        <f>45*$H$5/60</f>
        <v>45</v>
      </c>
      <c r="AI48" s="109">
        <f t="shared" si="9"/>
        <v>413.17631224764472</v>
      </c>
      <c r="AJ48" s="100">
        <f t="shared" si="10"/>
        <v>100.89</v>
      </c>
      <c r="AK48" s="59" t="e">
        <f t="shared" si="11"/>
        <v>#DIV/0!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103.52736599645772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425.28936742934053</v>
      </c>
      <c r="AJ49" s="100">
        <f t="shared" si="10"/>
        <v>100.89</v>
      </c>
      <c r="AK49" s="59" t="e">
        <f t="shared" si="11"/>
        <v>#DIV/0!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83.435813738700276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85740</v>
      </c>
      <c r="S50" s="125">
        <f t="shared" si="13"/>
        <v>82304.303257462176</v>
      </c>
      <c r="T50" s="126">
        <f t="shared" si="14"/>
        <v>95.9928892669258</v>
      </c>
      <c r="U50" s="28"/>
      <c r="V50" s="28"/>
      <c r="W50" s="59" t="s">
        <v>60</v>
      </c>
      <c r="X50" s="52">
        <f t="shared" si="15"/>
        <v>95.9928892669258</v>
      </c>
      <c r="Y50" s="100">
        <f t="shared" si="18"/>
        <v>95.9928892669258</v>
      </c>
      <c r="Z50" s="100"/>
      <c r="AA50" s="109"/>
      <c r="AB50" s="81"/>
      <c r="AC50" s="100" t="str">
        <f t="shared" si="16"/>
        <v/>
      </c>
      <c r="AD50" s="81">
        <f t="shared" si="17"/>
        <v>95.9928892669258</v>
      </c>
      <c r="AE50" s="81"/>
      <c r="AF50" s="52"/>
      <c r="AH50" s="129">
        <f>47*$H$5/60</f>
        <v>47</v>
      </c>
      <c r="AI50" s="109">
        <f t="shared" si="9"/>
        <v>437.40242261103634</v>
      </c>
      <c r="AJ50" s="100">
        <f t="shared" si="10"/>
        <v>100.89</v>
      </c>
      <c r="AK50" s="59" t="e">
        <f t="shared" si="11"/>
        <v>#DIV/0!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102.42354193249128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486750</v>
      </c>
      <c r="S51" s="125">
        <f t="shared" si="13"/>
        <v>460626.03945754393</v>
      </c>
      <c r="T51" s="126">
        <f t="shared" si="14"/>
        <v>94.632981912181606</v>
      </c>
      <c r="U51" s="28"/>
      <c r="V51" s="28"/>
      <c r="W51" s="171" t="s">
        <v>94</v>
      </c>
      <c r="X51" s="52">
        <f t="shared" si="15"/>
        <v>94.632981912181606</v>
      </c>
      <c r="Y51" s="100">
        <f t="shared" si="18"/>
        <v>94.632981912181606</v>
      </c>
      <c r="Z51" s="100"/>
      <c r="AA51" s="109"/>
      <c r="AB51" s="81"/>
      <c r="AC51" s="100" t="str">
        <f t="shared" si="16"/>
        <v/>
      </c>
      <c r="AD51" s="81">
        <f t="shared" si="17"/>
        <v>94.632981912181606</v>
      </c>
      <c r="AE51" s="81"/>
      <c r="AF51" s="52">
        <f>X51</f>
        <v>94.632981912181606</v>
      </c>
      <c r="AH51" s="129">
        <f>48*$H$5/60</f>
        <v>48</v>
      </c>
      <c r="AI51" s="109">
        <f t="shared" si="9"/>
        <v>449.51547779273221</v>
      </c>
      <c r="AJ51" s="100">
        <f t="shared" si="10"/>
        <v>100.89</v>
      </c>
      <c r="AK51" s="59" t="e">
        <f t="shared" si="11"/>
        <v>#DIV/0!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83.672515323463742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2077735</v>
      </c>
      <c r="S52" s="125">
        <f t="shared" si="13"/>
        <v>2063593.7976693471</v>
      </c>
      <c r="T52" s="126">
        <f t="shared" si="14"/>
        <v>99.319393361970953</v>
      </c>
      <c r="U52" s="28"/>
      <c r="V52" s="28"/>
      <c r="W52" s="171" t="s">
        <v>94</v>
      </c>
      <c r="X52" s="52">
        <f t="shared" si="15"/>
        <v>99.319393361970953</v>
      </c>
      <c r="Y52" s="100">
        <f t="shared" si="18"/>
        <v>99.319393361970953</v>
      </c>
      <c r="Z52" s="100"/>
      <c r="AA52" s="109"/>
      <c r="AB52" s="81"/>
      <c r="AC52" s="100" t="str">
        <f t="shared" si="16"/>
        <v/>
      </c>
      <c r="AD52" s="81">
        <f t="shared" si="17"/>
        <v>99.319393361970953</v>
      </c>
      <c r="AE52" s="81"/>
      <c r="AF52" s="52">
        <f>X52</f>
        <v>99.319393361970953</v>
      </c>
      <c r="AH52" s="129">
        <f>49*$H$5/60</f>
        <v>49</v>
      </c>
      <c r="AI52" s="109">
        <f t="shared" si="9"/>
        <v>461.62853297442803</v>
      </c>
      <c r="AJ52" s="100">
        <f t="shared" si="10"/>
        <v>100.89</v>
      </c>
      <c r="AK52" s="59" t="e">
        <f t="shared" si="11"/>
        <v>#DIV/0!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80.54715649168422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473.74158815612384</v>
      </c>
      <c r="AJ53" s="100">
        <f t="shared" si="10"/>
        <v>100.89</v>
      </c>
      <c r="AK53" s="59" t="e">
        <f t="shared" si="11"/>
        <v>#DIV/0!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26.788215556344053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8941</v>
      </c>
      <c r="S54" s="125">
        <f t="shared" si="13"/>
        <v>8755.8352869020036</v>
      </c>
      <c r="T54" s="126">
        <f t="shared" si="14"/>
        <v>97.929037992417008</v>
      </c>
      <c r="U54" s="28"/>
      <c r="V54" s="28"/>
      <c r="W54" s="59" t="s">
        <v>60</v>
      </c>
      <c r="X54" s="52">
        <f t="shared" si="15"/>
        <v>97.929037992417008</v>
      </c>
      <c r="Y54" s="100">
        <f t="shared" si="18"/>
        <v>97.929037992417008</v>
      </c>
      <c r="Z54" s="100"/>
      <c r="AA54" s="109"/>
      <c r="AB54" s="81"/>
      <c r="AC54" s="100">
        <f t="shared" si="16"/>
        <v>97.929037992417008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485.85464333781971</v>
      </c>
      <c r="AJ54" s="100">
        <f t="shared" si="10"/>
        <v>100.89</v>
      </c>
      <c r="AK54" s="59" t="e">
        <f t="shared" si="11"/>
        <v>#DIV/0!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41.158078528855413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5067</v>
      </c>
      <c r="S55" s="125">
        <f t="shared" si="13"/>
        <v>4063.9360774158381</v>
      </c>
      <c r="T55" s="126">
        <f t="shared" si="14"/>
        <v>80.203988107673936</v>
      </c>
      <c r="U55" s="28"/>
      <c r="V55" s="28"/>
      <c r="W55" s="59" t="s">
        <v>60</v>
      </c>
      <c r="X55" s="52">
        <f t="shared" si="15"/>
        <v>80.203988107673936</v>
      </c>
      <c r="Y55" s="100"/>
      <c r="Z55" s="100"/>
      <c r="AA55" s="109"/>
      <c r="AB55" s="81"/>
      <c r="AC55" s="100">
        <f t="shared" si="16"/>
        <v>80.203988107673936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497.96769851951552</v>
      </c>
      <c r="AJ55" s="100">
        <f t="shared" si="10"/>
        <v>100.89</v>
      </c>
      <c r="AK55" s="59" t="e">
        <f t="shared" si="11"/>
        <v>#DIV/0!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53.699937823068957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26693</v>
      </c>
      <c r="S56" s="125">
        <f t="shared" si="13"/>
        <v>23396.425514515471</v>
      </c>
      <c r="T56" s="126">
        <f t="shared" si="14"/>
        <v>87.650041263685125</v>
      </c>
      <c r="U56" s="28"/>
      <c r="V56" s="28"/>
      <c r="W56" s="59" t="s">
        <v>60</v>
      </c>
      <c r="X56" s="52">
        <f t="shared" si="15"/>
        <v>87.650041263685125</v>
      </c>
      <c r="Y56" s="100">
        <f>X56</f>
        <v>87.650041263685125</v>
      </c>
      <c r="Z56" s="100"/>
      <c r="AA56" s="109"/>
      <c r="AB56" s="81"/>
      <c r="AC56" s="100" t="str">
        <f t="shared" si="16"/>
        <v/>
      </c>
      <c r="AD56" s="81">
        <f t="shared" si="17"/>
        <v>87.650041263685125</v>
      </c>
      <c r="AE56" s="81"/>
      <c r="AF56" s="52"/>
      <c r="AH56" s="129">
        <f>53*$H$5/60</f>
        <v>53</v>
      </c>
      <c r="AI56" s="109">
        <f t="shared" si="9"/>
        <v>510.08075370121134</v>
      </c>
      <c r="AJ56" s="100">
        <f t="shared" si="10"/>
        <v>100.89</v>
      </c>
      <c r="AK56" s="59" t="e">
        <f t="shared" si="11"/>
        <v>#DIV/0!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34.665488524861075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522.19380888290721</v>
      </c>
      <c r="AJ57" s="100">
        <f t="shared" si="10"/>
        <v>100.89</v>
      </c>
      <c r="AK57" s="59" t="e">
        <f t="shared" si="11"/>
        <v>#DIV/0!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57.870283327613947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67209</v>
      </c>
      <c r="S58" s="125">
        <f t="shared" si="13"/>
        <v>62760.664644950251</v>
      </c>
      <c r="T58" s="126">
        <f t="shared" si="14"/>
        <v>93.381339768409376</v>
      </c>
      <c r="U58" s="28"/>
      <c r="V58" s="28"/>
      <c r="W58" s="59" t="s">
        <v>60</v>
      </c>
      <c r="X58" s="52">
        <f t="shared" si="15"/>
        <v>93.381339768409376</v>
      </c>
      <c r="Y58" s="100">
        <f>X58</f>
        <v>93.381339768409376</v>
      </c>
      <c r="Z58" s="100"/>
      <c r="AA58" s="109"/>
      <c r="AB58" s="81"/>
      <c r="AC58" s="100" t="str">
        <f t="shared" si="16"/>
        <v/>
      </c>
      <c r="AD58" s="81">
        <f t="shared" si="17"/>
        <v>93.381339768409376</v>
      </c>
      <c r="AE58" s="81"/>
      <c r="AF58" s="52"/>
      <c r="AH58" s="129">
        <f>55*$H$5/60</f>
        <v>55</v>
      </c>
      <c r="AI58" s="109">
        <f t="shared" si="9"/>
        <v>534.30686406460291</v>
      </c>
      <c r="AJ58" s="100">
        <f t="shared" si="10"/>
        <v>100.89</v>
      </c>
      <c r="AK58" s="59" t="e">
        <f t="shared" si="11"/>
        <v>#DIV/0!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59.587235177005915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72192</v>
      </c>
      <c r="S59" s="125">
        <f t="shared" si="13"/>
        <v>70334.612988960056</v>
      </c>
      <c r="T59" s="126">
        <f t="shared" si="14"/>
        <v>97.427156733377728</v>
      </c>
      <c r="U59" s="28"/>
      <c r="V59" s="28"/>
      <c r="W59" s="59" t="s">
        <v>60</v>
      </c>
      <c r="X59" s="52">
        <f t="shared" si="15"/>
        <v>97.427156733377728</v>
      </c>
      <c r="Y59" s="100">
        <f>X59</f>
        <v>97.427156733377728</v>
      </c>
      <c r="Z59" s="100"/>
      <c r="AA59" s="109"/>
      <c r="AB59" s="81"/>
      <c r="AC59" s="100" t="str">
        <f t="shared" si="16"/>
        <v/>
      </c>
      <c r="AD59" s="81">
        <f t="shared" si="17"/>
        <v>97.427156733377728</v>
      </c>
      <c r="AE59" s="81"/>
      <c r="AF59" s="52"/>
      <c r="AH59" s="129">
        <f>56*$H$5/60</f>
        <v>56</v>
      </c>
      <c r="AI59" s="109">
        <f t="shared" si="9"/>
        <v>546.41991924629872</v>
      </c>
      <c r="AJ59" s="100">
        <f t="shared" si="10"/>
        <v>100.89</v>
      </c>
      <c r="AK59" s="59" t="e">
        <f t="shared" si="11"/>
        <v>#DIV/0!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69.51840173279453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63642</v>
      </c>
      <c r="S60" s="125">
        <f t="shared" si="13"/>
        <v>58987.401458361725</v>
      </c>
      <c r="T60" s="126">
        <f t="shared" si="14"/>
        <v>92.68627864988801</v>
      </c>
      <c r="U60" s="28"/>
      <c r="V60" s="28"/>
      <c r="W60" s="59" t="s">
        <v>60</v>
      </c>
      <c r="X60" s="52">
        <f t="shared" si="15"/>
        <v>92.68627864988801</v>
      </c>
      <c r="Y60" s="100">
        <f>X60</f>
        <v>92.68627864988801</v>
      </c>
      <c r="Z60" s="100"/>
      <c r="AA60" s="109"/>
      <c r="AB60" s="81"/>
      <c r="AC60" s="100" t="str">
        <f t="shared" si="16"/>
        <v/>
      </c>
      <c r="AD60" s="81">
        <f t="shared" si="17"/>
        <v>92.68627864988801</v>
      </c>
      <c r="AE60" s="81"/>
      <c r="AF60" s="52"/>
      <c r="AH60" s="129">
        <f>57*$H$5/60</f>
        <v>57</v>
      </c>
      <c r="AI60" s="109">
        <f t="shared" si="9"/>
        <v>558.53297442799465</v>
      </c>
      <c r="AJ60" s="100">
        <f t="shared" si="10"/>
        <v>100.89</v>
      </c>
      <c r="AK60" s="59" t="e">
        <f t="shared" si="11"/>
        <v>#DIV/0!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45.985245535596555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18423</v>
      </c>
      <c r="S61" s="125">
        <f t="shared" si="13"/>
        <v>18457.728567534414</v>
      </c>
      <c r="T61" s="126">
        <f t="shared" si="14"/>
        <v>100.1885065816339</v>
      </c>
      <c r="U61" s="28"/>
      <c r="V61" s="28"/>
      <c r="W61" s="59" t="s">
        <v>60</v>
      </c>
      <c r="X61" s="52">
        <f t="shared" si="15"/>
        <v>100.1885065816339</v>
      </c>
      <c r="Y61" s="100"/>
      <c r="Z61" s="100">
        <f>X61</f>
        <v>100.1885065816339</v>
      </c>
      <c r="AA61" s="109"/>
      <c r="AB61" s="81"/>
      <c r="AC61" s="100">
        <f t="shared" si="16"/>
        <v>100.1885065816339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570.64602960969046</v>
      </c>
      <c r="AJ61" s="100">
        <f t="shared" si="10"/>
        <v>100.89</v>
      </c>
      <c r="AK61" s="59" t="e">
        <f t="shared" si="11"/>
        <v>#DIV/0!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46.887050291850343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11644</v>
      </c>
      <c r="S62" s="125">
        <f t="shared" si="13"/>
        <v>11585.782676843397</v>
      </c>
      <c r="T62" s="126">
        <f t="shared" si="14"/>
        <v>99.500022989036395</v>
      </c>
      <c r="U62" s="28"/>
      <c r="V62" s="28"/>
      <c r="W62" s="59" t="s">
        <v>60</v>
      </c>
      <c r="X62" s="52">
        <f t="shared" si="15"/>
        <v>99.500022989036395</v>
      </c>
      <c r="Y62" s="100"/>
      <c r="Z62" s="100">
        <f>X62</f>
        <v>99.500022989036395</v>
      </c>
      <c r="AA62" s="109"/>
      <c r="AB62" s="81"/>
      <c r="AC62" s="100">
        <f t="shared" si="16"/>
        <v>99.500022989036395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582.75908479138627</v>
      </c>
      <c r="AJ62" s="100">
        <f t="shared" si="10"/>
        <v>100.89</v>
      </c>
      <c r="AK62" s="59" t="e">
        <f t="shared" si="11"/>
        <v>#DIV/0!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51.105657462272085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3011</v>
      </c>
      <c r="S63" s="125">
        <f t="shared" si="13"/>
        <v>2391.1958566171456</v>
      </c>
      <c r="T63" s="126">
        <f t="shared" si="14"/>
        <v>79.415338977653462</v>
      </c>
      <c r="U63" s="28"/>
      <c r="V63" s="28"/>
      <c r="W63" s="59" t="s">
        <v>60</v>
      </c>
      <c r="X63" s="52">
        <f t="shared" si="15"/>
        <v>79.415338977653462</v>
      </c>
      <c r="Y63" s="100"/>
      <c r="Z63" s="100"/>
      <c r="AA63" s="109"/>
      <c r="AB63" s="81"/>
      <c r="AC63" s="100">
        <f t="shared" si="16"/>
        <v>79.415338977653462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594.87213997308208</v>
      </c>
      <c r="AJ63" s="107">
        <f t="shared" si="10"/>
        <v>100.89</v>
      </c>
      <c r="AK63" s="184" t="e">
        <f t="shared" si="11"/>
        <v>#DIV/0!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C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50.807035019959052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16089</v>
      </c>
      <c r="S64" s="125">
        <f t="shared" si="13"/>
        <v>14917.552133024397</v>
      </c>
      <c r="T64" s="126">
        <f t="shared" si="14"/>
        <v>92.718951662778281</v>
      </c>
      <c r="U64" s="28"/>
      <c r="V64" s="28"/>
      <c r="W64" s="59" t="s">
        <v>60</v>
      </c>
      <c r="X64" s="52">
        <f t="shared" si="15"/>
        <v>92.718951662778281</v>
      </c>
      <c r="Y64" s="100"/>
      <c r="Z64" s="100">
        <f>X64</f>
        <v>92.718951662778281</v>
      </c>
      <c r="AA64" s="109"/>
      <c r="AB64" s="81"/>
      <c r="AC64" s="100">
        <f t="shared" si="16"/>
        <v>92.718951662778281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56.218806961404411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33622</v>
      </c>
      <c r="S65" s="125">
        <f t="shared" si="13"/>
        <v>33844.196401799105</v>
      </c>
      <c r="T65" s="126">
        <f t="shared" si="14"/>
        <v>100.66086610492864</v>
      </c>
      <c r="U65" s="28"/>
      <c r="V65" s="28"/>
      <c r="W65" s="59" t="s">
        <v>60</v>
      </c>
      <c r="X65" s="52">
        <f t="shared" si="15"/>
        <v>100.66086610492864</v>
      </c>
      <c r="Y65" s="100"/>
      <c r="Z65" s="100">
        <f>X65</f>
        <v>100.66086610492864</v>
      </c>
      <c r="AA65" s="109"/>
      <c r="AB65" s="81"/>
      <c r="AC65" s="100" t="str">
        <f t="shared" si="16"/>
        <v/>
      </c>
      <c r="AD65" s="81">
        <f t="shared" si="17"/>
        <v>100.66086610492864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17</v>
      </c>
      <c r="I66" s="93"/>
      <c r="J66" s="177">
        <f>IF(J$14=1,O88,0.001)</f>
        <v>15.49</v>
      </c>
      <c r="K66" s="178">
        <f>IF(J$14=1,T88,0.001)</f>
        <v>60.703285620124845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48" t="s">
        <v>104</v>
      </c>
      <c r="B67" s="197">
        <f>IF(AND(Q11&gt;1,Q12&gt;1),100*(Q11/(Q12)),0.0001)</f>
        <v>110.31950055086301</v>
      </c>
      <c r="C67" s="198">
        <f>IF(AND(R11&gt;1,R12&gt;1),100*(R11/(R12)),0.0001)</f>
        <v>184.16647291327598</v>
      </c>
      <c r="D67" s="186">
        <f t="shared" ref="D67:D98" si="20">AVERAGE(B67:C67)</f>
        <v>147.24298673206948</v>
      </c>
      <c r="E67" s="186">
        <f t="shared" ref="E67:E98" si="21">ABS(B67-C67)</f>
        <v>73.84697236241297</v>
      </c>
      <c r="F67" s="186">
        <f t="shared" ref="F67:F98" si="22">IF(D67&gt;0,E67/D67*100,0.0001)</f>
        <v>50.153133946398768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64.585283656046286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27059</v>
      </c>
      <c r="S67" s="125">
        <f t="shared" si="13"/>
        <v>25351.612034891641</v>
      </c>
      <c r="T67" s="126">
        <f t="shared" si="14"/>
        <v>93.690129106366228</v>
      </c>
      <c r="U67" s="28"/>
      <c r="V67" s="28"/>
      <c r="W67" s="59" t="s">
        <v>60</v>
      </c>
      <c r="X67" s="52">
        <f t="shared" si="15"/>
        <v>93.690129106366228</v>
      </c>
      <c r="Y67" s="100"/>
      <c r="Z67" s="100">
        <f>X67</f>
        <v>93.690129106366228</v>
      </c>
      <c r="AA67" s="109"/>
      <c r="AB67" s="81"/>
      <c r="AC67" s="100" t="str">
        <f t="shared" si="16"/>
        <v/>
      </c>
      <c r="AD67" s="81">
        <f t="shared" si="17"/>
        <v>93.690129106366228</v>
      </c>
      <c r="AE67" s="81"/>
      <c r="AF67" s="52"/>
      <c r="AH67" s="191"/>
    </row>
    <row r="68" spans="1:34" ht="18.75" customHeight="1" x14ac:dyDescent="0.4">
      <c r="A68" s="48" t="s">
        <v>105</v>
      </c>
      <c r="B68" s="196">
        <f>IF(AND(Q11&gt;1,Q18&gt;1),100*(Q11/(Q18)),0.0001)</f>
        <v>106.75195451314853</v>
      </c>
      <c r="C68" s="202">
        <f>IF(AND(R11&gt;1,R18&gt;1),100*(R11/(R18)),0.0001)</f>
        <v>214.08108108108107</v>
      </c>
      <c r="D68" s="12">
        <f t="shared" si="20"/>
        <v>160.41651779711481</v>
      </c>
      <c r="E68" s="12">
        <f t="shared" si="21"/>
        <v>107.32912656793253</v>
      </c>
      <c r="F68" s="12">
        <f t="shared" si="22"/>
        <v>66.906530600343771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76.167294104372331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23224</v>
      </c>
      <c r="S68" s="125">
        <f t="shared" si="13"/>
        <v>19625.904525010221</v>
      </c>
      <c r="T68" s="126">
        <f t="shared" si="14"/>
        <v>84.506995026740526</v>
      </c>
      <c r="U68" s="28"/>
      <c r="V68" s="28"/>
      <c r="W68" s="59" t="s">
        <v>60</v>
      </c>
      <c r="X68" s="52">
        <f t="shared" si="15"/>
        <v>84.506995026740526</v>
      </c>
      <c r="Y68" s="100">
        <f>X68</f>
        <v>84.506995026740526</v>
      </c>
      <c r="Z68" s="100"/>
      <c r="AA68" s="109"/>
      <c r="AB68" s="81"/>
      <c r="AC68" s="100">
        <f t="shared" si="16"/>
        <v>84.506995026740526</v>
      </c>
      <c r="AD68" s="81" t="str">
        <f t="shared" si="17"/>
        <v/>
      </c>
      <c r="AE68" s="81"/>
      <c r="AF68" s="52"/>
    </row>
    <row r="69" spans="1:34" ht="18.75" customHeight="1" x14ac:dyDescent="0.4">
      <c r="A69" s="48" t="s">
        <v>106</v>
      </c>
      <c r="B69" s="196">
        <f>IF(AND(Q13&gt;1,Q14&gt;1),100*(Q13/(Q14)),0.0001)</f>
        <v>24.03374757724319</v>
      </c>
      <c r="C69" s="202">
        <f>IF(AND(R13&gt;1,R14&gt;1),100*(R13/(R14)),0.0001)</f>
        <v>34.135392783878366</v>
      </c>
      <c r="D69" s="12">
        <f t="shared" si="20"/>
        <v>29.084570180560778</v>
      </c>
      <c r="E69" s="12">
        <f t="shared" si="21"/>
        <v>10.101645206635176</v>
      </c>
      <c r="F69" s="12">
        <f t="shared" si="22"/>
        <v>34.731973496334504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79.729528373420266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14619</v>
      </c>
      <c r="S69" s="125">
        <f t="shared" si="13"/>
        <v>13502.578438053699</v>
      </c>
      <c r="T69" s="126">
        <f t="shared" si="14"/>
        <v>92.363215254488679</v>
      </c>
      <c r="U69" s="28"/>
      <c r="V69" s="28"/>
      <c r="W69" s="59" t="s">
        <v>60</v>
      </c>
      <c r="X69" s="52">
        <f t="shared" si="15"/>
        <v>92.363215254488679</v>
      </c>
      <c r="Y69" s="100"/>
      <c r="Z69" s="100">
        <f>X69</f>
        <v>92.363215254488679</v>
      </c>
      <c r="AA69" s="109"/>
      <c r="AB69" s="81"/>
      <c r="AC69" s="100">
        <f t="shared" si="16"/>
        <v>92.363215254488679</v>
      </c>
      <c r="AD69" s="81" t="str">
        <f t="shared" si="17"/>
        <v/>
      </c>
      <c r="AE69" s="81"/>
      <c r="AF69" s="52"/>
    </row>
    <row r="70" spans="1:34" ht="18.75" customHeight="1" x14ac:dyDescent="0.4">
      <c r="A70" s="48" t="s">
        <v>107</v>
      </c>
      <c r="B70" s="196">
        <f>IF(AND(Q15&gt;1,Q18&gt;1),100*(Q15/(Q18)),0.0001)</f>
        <v>67.945984363894809</v>
      </c>
      <c r="C70" s="202">
        <f>IF(AND(R15&gt;1,R18&gt;1),100*(R15/(R18)),0.0001)</f>
        <v>79.270270270270274</v>
      </c>
      <c r="D70" s="12">
        <f t="shared" si="20"/>
        <v>73.608127317082534</v>
      </c>
      <c r="E70" s="12">
        <f t="shared" si="21"/>
        <v>11.324285906375465</v>
      </c>
      <c r="F70" s="12">
        <f t="shared" si="22"/>
        <v>15.384559177268178</v>
      </c>
      <c r="G70" s="194">
        <f t="shared" si="23"/>
        <v>1</v>
      </c>
      <c r="I70" s="93"/>
      <c r="J70" s="177">
        <f>IF(J$15=1,O27,0.001)</f>
        <v>21.44</v>
      </c>
      <c r="K70" s="178">
        <f>IF(J$15=1,T27,0.001)</f>
        <v>86.448151140123329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30365</v>
      </c>
      <c r="S70" s="125">
        <f t="shared" si="13"/>
        <v>30690.669756031071</v>
      </c>
      <c r="T70" s="126">
        <f t="shared" si="14"/>
        <v>101.07251689784644</v>
      </c>
      <c r="U70" s="28"/>
      <c r="V70" s="28"/>
      <c r="W70" s="59" t="s">
        <v>60</v>
      </c>
      <c r="X70" s="52">
        <f t="shared" si="15"/>
        <v>101.07251689784644</v>
      </c>
      <c r="Y70" s="100"/>
      <c r="Z70" s="100">
        <f>X70</f>
        <v>101.07251689784644</v>
      </c>
      <c r="AA70" s="109"/>
      <c r="AB70" s="81"/>
      <c r="AC70" s="100" t="str">
        <f t="shared" si="16"/>
        <v/>
      </c>
      <c r="AD70" s="81">
        <f t="shared" si="17"/>
        <v>101.07251689784644</v>
      </c>
      <c r="AF70" s="52"/>
    </row>
    <row r="71" spans="1:34" ht="18.75" customHeight="1" x14ac:dyDescent="0.4">
      <c r="A71" s="48" t="s">
        <v>108</v>
      </c>
      <c r="B71" s="196">
        <f>IF(AND(Q16&gt;1,Q22&gt;1),100*(Q16/(Q22)),0.0001)</f>
        <v>73.248209280597948</v>
      </c>
      <c r="C71" s="202">
        <f>IF(AND(R16&gt;1,R22&gt;1),100*(R16/(R22)),0.0001)</f>
        <v>99.757673667205168</v>
      </c>
      <c r="D71" s="12">
        <f t="shared" si="20"/>
        <v>86.502941473901558</v>
      </c>
      <c r="E71" s="12">
        <f t="shared" si="21"/>
        <v>26.50946438660722</v>
      </c>
      <c r="F71" s="12">
        <f t="shared" si="22"/>
        <v>30.645737514724029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85.759587568319617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48" t="s">
        <v>109</v>
      </c>
      <c r="B72" s="196">
        <f>IF(AND(Q18&gt;1,Q17&gt;1),100*(Q18/(Q17)),0.0001)</f>
        <v>38.306561393955896</v>
      </c>
      <c r="C72" s="202">
        <f>IF(AND(R18&gt;1,R17&gt;1),100*(R18/(R17)),0.0001)</f>
        <v>37.571080422420792</v>
      </c>
      <c r="D72" s="12">
        <f t="shared" si="20"/>
        <v>37.938820908188347</v>
      </c>
      <c r="E72" s="12">
        <f t="shared" si="21"/>
        <v>0.73548097153510383</v>
      </c>
      <c r="F72" s="12">
        <f t="shared" si="22"/>
        <v>1.9385973362613509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88.977722569943708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92777</v>
      </c>
      <c r="S72" s="125">
        <f t="shared" si="13"/>
        <v>95713.646994684474</v>
      </c>
      <c r="T72" s="126">
        <f t="shared" si="14"/>
        <v>103.16527479298152</v>
      </c>
      <c r="U72" s="28"/>
      <c r="V72" s="28"/>
      <c r="W72" s="59" t="s">
        <v>60</v>
      </c>
      <c r="X72" s="52">
        <f t="shared" si="15"/>
        <v>103.16527479298152</v>
      </c>
      <c r="Y72" s="100"/>
      <c r="Z72" s="100">
        <f>X72</f>
        <v>103.16527479298152</v>
      </c>
      <c r="AA72" s="109"/>
      <c r="AB72" s="81"/>
      <c r="AC72" s="100" t="str">
        <f t="shared" si="16"/>
        <v/>
      </c>
      <c r="AD72" s="81">
        <f t="shared" si="17"/>
        <v>103.16527479298152</v>
      </c>
      <c r="AE72" s="97"/>
      <c r="AF72" s="52"/>
    </row>
    <row r="73" spans="1:34" ht="18.75" customHeight="1" x14ac:dyDescent="0.4">
      <c r="A73" s="48" t="s">
        <v>110</v>
      </c>
      <c r="B73" s="196">
        <f>IF(AND(Q19&gt;1,Q21&gt;1),100*(Q19/(Q21)),0.0001)</f>
        <v>100.70494744937196</v>
      </c>
      <c r="C73" s="202">
        <f>IF(AND(R19&gt;1,R21&gt;1),100*(R19/(R21)),0.0001)</f>
        <v>105.4147723037937</v>
      </c>
      <c r="D73" s="12">
        <f t="shared" si="20"/>
        <v>103.05985987658283</v>
      </c>
      <c r="E73" s="12">
        <f t="shared" si="21"/>
        <v>4.7098248544217398</v>
      </c>
      <c r="F73" s="12">
        <f t="shared" si="22"/>
        <v>4.5699895769913637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94.626190305170695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15899</v>
      </c>
      <c r="S73" s="125">
        <f t="shared" si="13"/>
        <v>14369.112716369089</v>
      </c>
      <c r="T73" s="126">
        <f t="shared" si="14"/>
        <v>90.37746220749159</v>
      </c>
      <c r="U73" s="28"/>
      <c r="V73" s="28"/>
      <c r="W73" s="59" t="s">
        <v>60</v>
      </c>
      <c r="X73" s="52">
        <f t="shared" si="15"/>
        <v>90.37746220749159</v>
      </c>
      <c r="Y73" s="100">
        <f>X73</f>
        <v>90.37746220749159</v>
      </c>
      <c r="Z73" s="100">
        <f>X73</f>
        <v>90.37746220749159</v>
      </c>
      <c r="AA73" s="109"/>
      <c r="AB73" s="81"/>
      <c r="AC73" s="100">
        <f t="shared" si="16"/>
        <v>90.37746220749159</v>
      </c>
      <c r="AD73" s="81" t="str">
        <f t="shared" si="17"/>
        <v/>
      </c>
      <c r="AE73" s="97"/>
      <c r="AF73" s="52"/>
    </row>
    <row r="74" spans="1:34" ht="18.75" customHeight="1" x14ac:dyDescent="0.4">
      <c r="A74" s="48" t="s">
        <v>111</v>
      </c>
      <c r="B74" s="196">
        <f>IF(AND(Q20&gt;1,Q21&gt;1),100*(Q20/(Q21)),0.0001)</f>
        <v>13.21456036913612</v>
      </c>
      <c r="C74" s="202">
        <f>IF(AND(R20&gt;1,R21&gt;1),100*(R20/(R21)),0.0001)</f>
        <v>13.080420362227024</v>
      </c>
      <c r="D74" s="12">
        <f t="shared" si="20"/>
        <v>13.147490365681572</v>
      </c>
      <c r="E74" s="12">
        <f t="shared" si="21"/>
        <v>0.13414000690909589</v>
      </c>
      <c r="F74" s="12">
        <f t="shared" si="22"/>
        <v>1.0202708135024521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85.131906976179636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201195</v>
      </c>
      <c r="S74" s="125">
        <f t="shared" si="13"/>
        <v>201195</v>
      </c>
      <c r="T74" s="126">
        <f t="shared" si="14"/>
        <v>100</v>
      </c>
      <c r="U74" s="28"/>
      <c r="V74" s="28"/>
      <c r="W74" s="59" t="s">
        <v>60</v>
      </c>
      <c r="X74" s="52">
        <f t="shared" si="15"/>
        <v>100</v>
      </c>
      <c r="Y74" s="100"/>
      <c r="Z74" s="100">
        <f>X74</f>
        <v>100</v>
      </c>
      <c r="AA74" s="109"/>
      <c r="AB74" s="81"/>
      <c r="AC74" s="100" t="str">
        <f t="shared" si="16"/>
        <v/>
      </c>
      <c r="AD74" s="81">
        <f t="shared" si="17"/>
        <v>100</v>
      </c>
      <c r="AE74" s="97"/>
      <c r="AF74" s="52"/>
    </row>
    <row r="75" spans="1:34" ht="18.75" customHeight="1" x14ac:dyDescent="0.4">
      <c r="A75" s="48" t="s">
        <v>112</v>
      </c>
      <c r="B75" s="196">
        <f>IF(AND(Q23&gt;1,Q24&gt;1),100*(Q23/(Q24)),0.0001)</f>
        <v>83.521843630708332</v>
      </c>
      <c r="C75" s="202">
        <f>IF(AND(R23&gt;1,R24&gt;1),100*(R23/(R24)),0.0001)</f>
        <v>81.023546040610881</v>
      </c>
      <c r="D75" s="12">
        <f t="shared" si="20"/>
        <v>82.272694835659607</v>
      </c>
      <c r="E75" s="12">
        <f t="shared" si="21"/>
        <v>2.4982975900974509</v>
      </c>
      <c r="F75" s="12">
        <f t="shared" si="22"/>
        <v>3.0366060028637945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92.823739552608387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11853</v>
      </c>
      <c r="S75" s="125">
        <f t="shared" ref="S75:S106" si="24">IF(Q$74&gt;1,Q75/Q$74*R$74,0.0001)</f>
        <v>10206.457543955295</v>
      </c>
      <c r="T75" s="126">
        <f t="shared" ref="T75:T106" si="25">IF(R75&gt;1,100*S75/R75,0.0001)</f>
        <v>86.108643752259297</v>
      </c>
      <c r="U75" s="28"/>
      <c r="V75" s="28"/>
      <c r="W75" s="59" t="s">
        <v>60</v>
      </c>
      <c r="X75" s="52">
        <f t="shared" ref="X75:X106" si="26">IF(R75&gt;1,T75,"")</f>
        <v>86.108643752259297</v>
      </c>
      <c r="Y75" s="100">
        <f>X75</f>
        <v>86.108643752259297</v>
      </c>
      <c r="Z75" s="100"/>
      <c r="AA75" s="109"/>
      <c r="AB75" s="81"/>
      <c r="AC75" s="100">
        <f t="shared" ref="AC75:AC106" si="27">IF(Q75&lt;AC$9,X75,"")</f>
        <v>86.108643752259297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48" t="s">
        <v>113</v>
      </c>
      <c r="B76" s="196">
        <f>IF(AND(Q24&gt;1,Q25&gt;1),100*(Q24/(Q25)),0.0001)</f>
        <v>23.498338870431894</v>
      </c>
      <c r="C76" s="202">
        <f>IF(AND(R24&gt;1,R25&gt;1),100*(R24/(R25)),0.0001)</f>
        <v>28.007009718018161</v>
      </c>
      <c r="D76" s="12">
        <f t="shared" si="20"/>
        <v>25.752674294225027</v>
      </c>
      <c r="E76" s="12">
        <f t="shared" si="21"/>
        <v>4.5086708475862665</v>
      </c>
      <c r="F76" s="12">
        <f t="shared" si="22"/>
        <v>17.507583080788329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84.676173282604694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62061</v>
      </c>
      <c r="S76" s="125">
        <f t="shared" si="24"/>
        <v>61814.606651219845</v>
      </c>
      <c r="T76" s="126">
        <f t="shared" si="25"/>
        <v>99.602981987431477</v>
      </c>
      <c r="U76" s="28"/>
      <c r="V76" s="28"/>
      <c r="W76" s="59" t="s">
        <v>60</v>
      </c>
      <c r="X76" s="52">
        <f t="shared" si="26"/>
        <v>99.602981987431477</v>
      </c>
      <c r="Y76" s="100"/>
      <c r="Z76" s="100">
        <f>X76</f>
        <v>99.602981987431477</v>
      </c>
      <c r="AA76" s="109"/>
      <c r="AB76" s="81"/>
      <c r="AC76" s="100" t="str">
        <f t="shared" si="27"/>
        <v/>
      </c>
      <c r="AD76" s="81">
        <f t="shared" si="28"/>
        <v>99.602981987431477</v>
      </c>
      <c r="AE76" s="97"/>
      <c r="AF76" s="52"/>
    </row>
    <row r="77" spans="1:34" ht="18.75" customHeight="1" x14ac:dyDescent="0.4">
      <c r="A77" s="48" t="s">
        <v>114</v>
      </c>
      <c r="B77" s="196">
        <f>IF(AND(Q27&gt;1,Q28&gt;1),100*(Q27/(Q28)),0.0001)</f>
        <v>53.661716358689496</v>
      </c>
      <c r="C77" s="202">
        <f>IF(AND(R27&gt;1,R28&gt;1),100*(R27/(R28)),0.0001)</f>
        <v>53.234298275159098</v>
      </c>
      <c r="D77" s="12">
        <f t="shared" si="20"/>
        <v>53.448007316924297</v>
      </c>
      <c r="E77" s="12">
        <f t="shared" si="21"/>
        <v>0.42741808353039801</v>
      </c>
      <c r="F77" s="12">
        <f t="shared" si="22"/>
        <v>0.79968946455943202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48" t="s">
        <v>116</v>
      </c>
      <c r="B78" s="196">
        <f>IF(AND(Q26&gt;1,Q30&gt;1),100*(Q26/(Q30)),0.0001)</f>
        <v>23.476027397260275</v>
      </c>
      <c r="C78" s="202">
        <f>IF(AND(R26&gt;1,R30&gt;1),100*(R26/(R30)),0.0001)</f>
        <v>24.002203415293703</v>
      </c>
      <c r="D78" s="12">
        <f t="shared" si="20"/>
        <v>23.739115406276987</v>
      </c>
      <c r="E78" s="12">
        <f t="shared" si="21"/>
        <v>0.52617601803342851</v>
      </c>
      <c r="F78" s="12">
        <f t="shared" si="22"/>
        <v>2.2164937868506231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31846</v>
      </c>
      <c r="S78" s="122">
        <f t="shared" si="24"/>
        <v>8530.9751260733265</v>
      </c>
      <c r="T78" s="123">
        <f t="shared" si="25"/>
        <v>26.788215556344053</v>
      </c>
      <c r="U78" s="210"/>
      <c r="V78" s="210"/>
      <c r="W78" s="98" t="s">
        <v>60</v>
      </c>
      <c r="X78" s="89">
        <f t="shared" si="26"/>
        <v>26.788215556344053</v>
      </c>
      <c r="Y78" s="43"/>
      <c r="Z78" s="43"/>
      <c r="AA78" s="47"/>
      <c r="AB78" s="45">
        <f>X78</f>
        <v>26.788215556344053</v>
      </c>
      <c r="AC78" s="43">
        <f t="shared" si="27"/>
        <v>26.788215556344053</v>
      </c>
      <c r="AD78" s="45" t="str">
        <f t="shared" si="28"/>
        <v/>
      </c>
      <c r="AE78" s="78"/>
      <c r="AF78" s="89"/>
    </row>
    <row r="79" spans="1:34" ht="18.75" customHeight="1" x14ac:dyDescent="0.4">
      <c r="A79" s="48" t="s">
        <v>117</v>
      </c>
      <c r="B79" s="196">
        <f>IF(AND(Q28&gt;1,Q29&gt;1),100*(Q28/(Q29)),0.0001)</f>
        <v>246.12165178571428</v>
      </c>
      <c r="C79" s="202">
        <f>IF(AND(R28&gt;1,R29&gt;1),100*(R28/(R29)),0.0001)</f>
        <v>255.35738536055405</v>
      </c>
      <c r="D79" s="12">
        <f t="shared" si="20"/>
        <v>250.73951857313415</v>
      </c>
      <c r="E79" s="12">
        <f t="shared" si="21"/>
        <v>9.2357335748397702</v>
      </c>
      <c r="F79" s="12">
        <f t="shared" si="22"/>
        <v>3.6833976659909506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100.1885065816339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7132</v>
      </c>
      <c r="S79" s="125">
        <f t="shared" si="24"/>
        <v>3279.6677115987463</v>
      </c>
      <c r="T79" s="126">
        <f t="shared" si="25"/>
        <v>45.985245535596555</v>
      </c>
      <c r="U79" s="28"/>
      <c r="V79" s="28"/>
      <c r="W79" s="59" t="s">
        <v>60</v>
      </c>
      <c r="X79" s="52">
        <f t="shared" si="26"/>
        <v>45.985245535596555</v>
      </c>
      <c r="Y79" s="100"/>
      <c r="Z79" s="100"/>
      <c r="AA79" s="109"/>
      <c r="AB79" s="81">
        <f>X79</f>
        <v>45.985245535596555</v>
      </c>
      <c r="AC79" s="100">
        <f t="shared" si="27"/>
        <v>45.985245535596555</v>
      </c>
      <c r="AD79" s="81" t="str">
        <f t="shared" si="28"/>
        <v/>
      </c>
      <c r="AE79" s="97"/>
      <c r="AF79" s="52"/>
    </row>
    <row r="80" spans="1:34" ht="18.75" customHeight="1" x14ac:dyDescent="0.4">
      <c r="A80" s="48" t="s">
        <v>118</v>
      </c>
      <c r="B80" s="196">
        <f>IF(AND(Q31&gt;1,Q32&gt;1),100*(Q31/(Q32)),0.0001)</f>
        <v>136.60911907923861</v>
      </c>
      <c r="C80" s="202">
        <f>IF(AND(R31&gt;1,R32&gt;1),100*(R31/(R32)),0.0001)</f>
        <v>122.90249433106577</v>
      </c>
      <c r="D80" s="12">
        <f t="shared" si="20"/>
        <v>129.7558067051522</v>
      </c>
      <c r="E80" s="12">
        <f t="shared" si="21"/>
        <v>13.706624748172842</v>
      </c>
      <c r="F80" s="12">
        <f t="shared" si="22"/>
        <v>10.563399894171052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99.500022989036395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232498</v>
      </c>
      <c r="S80" s="125">
        <f t="shared" si="24"/>
        <v>95691.709418018261</v>
      </c>
      <c r="T80" s="126">
        <f t="shared" si="25"/>
        <v>41.158078528855413</v>
      </c>
      <c r="U80" s="28"/>
      <c r="V80" s="28"/>
      <c r="W80" s="171" t="s">
        <v>94</v>
      </c>
      <c r="X80" s="52">
        <f t="shared" si="26"/>
        <v>41.158078528855413</v>
      </c>
      <c r="Y80" s="100"/>
      <c r="Z80" s="100"/>
      <c r="AA80" s="109"/>
      <c r="AB80" s="81">
        <f>X80</f>
        <v>41.158078528855413</v>
      </c>
      <c r="AC80" s="100" t="str">
        <f t="shared" si="27"/>
        <v/>
      </c>
      <c r="AD80" s="81">
        <f t="shared" si="28"/>
        <v>41.158078528855413</v>
      </c>
      <c r="AE80" s="97"/>
      <c r="AF80" s="52">
        <f>X80</f>
        <v>41.158078528855413</v>
      </c>
    </row>
    <row r="81" spans="1:33" ht="18.75" customHeight="1" x14ac:dyDescent="0.4">
      <c r="A81" s="48" t="s">
        <v>119</v>
      </c>
      <c r="B81" s="196">
        <f>IF(AND(Q33&gt;1,Q35&gt;1),100*(Q33/(Q35)),0.0001)</f>
        <v>252.06434316353889</v>
      </c>
      <c r="C81" s="202">
        <f>IF(AND(R33&gt;1,R35&gt;1),100*(R33/(R35)),0.0001)</f>
        <v>248.89634469362528</v>
      </c>
      <c r="D81" s="12">
        <f t="shared" si="20"/>
        <v>250.4803439285821</v>
      </c>
      <c r="E81" s="12">
        <f t="shared" si="21"/>
        <v>3.1679984699136128</v>
      </c>
      <c r="F81" s="12">
        <f t="shared" si="22"/>
        <v>1.2647692909655557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11042</v>
      </c>
      <c r="S81" s="125">
        <f t="shared" si="24"/>
        <v>5177.2680932261146</v>
      </c>
      <c r="T81" s="126">
        <f t="shared" si="25"/>
        <v>46.887050291850343</v>
      </c>
      <c r="U81" s="212"/>
      <c r="V81" s="28"/>
      <c r="W81" s="59" t="s">
        <v>60</v>
      </c>
      <c r="X81" s="52">
        <f t="shared" si="26"/>
        <v>46.887050291850343</v>
      </c>
      <c r="Y81" s="109"/>
      <c r="Z81" s="100"/>
      <c r="AA81" s="109"/>
      <c r="AB81" s="81">
        <f>X81</f>
        <v>46.887050291850343</v>
      </c>
      <c r="AC81" s="100">
        <f t="shared" si="27"/>
        <v>46.887050291850343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48" t="s">
        <v>120</v>
      </c>
      <c r="B82" s="196">
        <f>IF(AND(Q34&gt;1,Q36&gt;1),100*(Q34/(Q36)),0.0001)</f>
        <v>169.97917286521869</v>
      </c>
      <c r="C82" s="202">
        <f>IF(AND(R34&gt;1,R36&gt;1),100*(R34/(R36)),0.0001)</f>
        <v>179.41885187810064</v>
      </c>
      <c r="D82" s="12">
        <f t="shared" si="20"/>
        <v>174.69901237165965</v>
      </c>
      <c r="E82" s="12">
        <f t="shared" si="21"/>
        <v>9.4396790128819532</v>
      </c>
      <c r="F82" s="12">
        <f t="shared" si="22"/>
        <v>5.4033957517743207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96.959385302988579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47213</v>
      </c>
      <c r="S82" s="125">
        <f t="shared" si="24"/>
        <v>16115.892258416246</v>
      </c>
      <c r="T82" s="126">
        <f t="shared" si="25"/>
        <v>34.134438096321453</v>
      </c>
      <c r="U82" s="28"/>
      <c r="V82" s="128"/>
      <c r="W82" s="59" t="s">
        <v>60</v>
      </c>
      <c r="X82" s="52">
        <f t="shared" si="26"/>
        <v>34.134438096321453</v>
      </c>
      <c r="Y82" s="100"/>
      <c r="Z82" s="81"/>
      <c r="AA82" s="109"/>
      <c r="AB82" s="81"/>
      <c r="AC82" s="109">
        <f t="shared" si="27"/>
        <v>34.134438096321453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48" t="s">
        <v>121</v>
      </c>
      <c r="B83" s="196">
        <f>IF(AND(Q36&gt;1,Q37&gt;1),100*(Q36/(Q37)),0.0001)</f>
        <v>211.64987405541561</v>
      </c>
      <c r="C83" s="202">
        <f>IF(AND(R36&gt;1,R37&gt;1),100*(R36/(R37)),0.0001)</f>
        <v>217.93188663217236</v>
      </c>
      <c r="D83" s="12">
        <f t="shared" si="20"/>
        <v>214.79088034379399</v>
      </c>
      <c r="E83" s="12">
        <f t="shared" si="21"/>
        <v>6.2820125767567561</v>
      </c>
      <c r="F83" s="12">
        <f t="shared" si="22"/>
        <v>2.9247110336815862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100.66086610492864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12749</v>
      </c>
      <c r="S83" s="125">
        <f t="shared" si="24"/>
        <v>6515.4602698650679</v>
      </c>
      <c r="T83" s="126">
        <f t="shared" si="25"/>
        <v>51.105657462272085</v>
      </c>
      <c r="U83" s="28"/>
      <c r="V83" s="28"/>
      <c r="W83" s="59" t="s">
        <v>60</v>
      </c>
      <c r="X83" s="52">
        <f t="shared" si="26"/>
        <v>51.105657462272085</v>
      </c>
      <c r="Y83" s="99"/>
      <c r="Z83" s="99"/>
      <c r="AA83" s="109"/>
      <c r="AB83" s="81">
        <f>X83</f>
        <v>51.105657462272085</v>
      </c>
      <c r="AC83" s="109">
        <f t="shared" si="27"/>
        <v>51.105657462272085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48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15.942846068464913</v>
      </c>
      <c r="D84" s="12">
        <f t="shared" si="20"/>
        <v>14.905385298383401</v>
      </c>
      <c r="E84" s="12">
        <f t="shared" si="21"/>
        <v>2.074921540163027</v>
      </c>
      <c r="F84" s="12">
        <f t="shared" si="22"/>
        <v>13.920616600149662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93.690129106366228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377219</v>
      </c>
      <c r="S84" s="125">
        <f t="shared" si="24"/>
        <v>32281.144064331471</v>
      </c>
      <c r="T84" s="126">
        <f t="shared" si="25"/>
        <v>8.5576665184763936</v>
      </c>
      <c r="U84" s="28"/>
      <c r="V84" s="28"/>
      <c r="W84" s="59" t="s">
        <v>60</v>
      </c>
      <c r="X84" s="52">
        <f t="shared" si="26"/>
        <v>8.5576665184763936</v>
      </c>
      <c r="Y84" s="100"/>
      <c r="Z84" s="100"/>
      <c r="AA84" s="109">
        <f>X84</f>
        <v>8.5576665184763936</v>
      </c>
      <c r="AB84" s="81"/>
      <c r="AC84" s="109" t="str">
        <f t="shared" si="27"/>
        <v/>
      </c>
      <c r="AD84" s="81">
        <f t="shared" si="28"/>
        <v>8.5576665184763936</v>
      </c>
      <c r="AE84" s="81"/>
      <c r="AF84" s="52"/>
      <c r="AG84" s="100"/>
    </row>
    <row r="85" spans="1:33" ht="18.75" customHeight="1" x14ac:dyDescent="0.4">
      <c r="A85" s="48" t="s">
        <v>123</v>
      </c>
      <c r="B85" s="196">
        <f>IF(AND(Q39&gt;1,Q40&gt;1),100*(Q39/(Q40)),0.0001)</f>
        <v>270.55414000350106</v>
      </c>
      <c r="C85" s="202">
        <f>IF(AND(R39&gt;1,R40&gt;1),100*(R39/(R40)),0.0001)</f>
        <v>311.17956707504192</v>
      </c>
      <c r="D85" s="12">
        <f t="shared" si="20"/>
        <v>290.86685353927146</v>
      </c>
      <c r="E85" s="12">
        <f t="shared" si="21"/>
        <v>40.625427071540855</v>
      </c>
      <c r="F85" s="12">
        <f t="shared" si="22"/>
        <v>13.967018440640505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101.07251689784644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12295</v>
      </c>
      <c r="S85" s="125">
        <f t="shared" si="24"/>
        <v>6246.7249557039659</v>
      </c>
      <c r="T85" s="126">
        <f t="shared" si="25"/>
        <v>50.807035019959052</v>
      </c>
      <c r="U85" s="28"/>
      <c r="V85" s="28"/>
      <c r="W85" s="59" t="s">
        <v>60</v>
      </c>
      <c r="X85" s="52">
        <f t="shared" si="26"/>
        <v>50.807035019959052</v>
      </c>
      <c r="Y85" s="100"/>
      <c r="Z85" s="100"/>
      <c r="AA85" s="109"/>
      <c r="AB85" s="81">
        <f>X85</f>
        <v>50.807035019959052</v>
      </c>
      <c r="AC85" s="109">
        <f t="shared" si="27"/>
        <v>50.807035019959052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48" t="s">
        <v>124</v>
      </c>
      <c r="B86" s="196">
        <f>IF(AND(Q40&gt;1,Q43&gt;1),100*(Q40/(Q43)),0.0001)</f>
        <v>206.28736508446016</v>
      </c>
      <c r="C86" s="202">
        <f>IF(AND(R40&gt;1,R43&gt;1),100*(R40/(R43)),0.0001)</f>
        <v>186.98633160210102</v>
      </c>
      <c r="D86" s="12">
        <f t="shared" si="20"/>
        <v>196.63684834328058</v>
      </c>
      <c r="E86" s="12">
        <f t="shared" si="21"/>
        <v>19.301033482359145</v>
      </c>
      <c r="F86" s="12">
        <f t="shared" si="22"/>
        <v>9.8155730449179046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103.16527479298152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8736</v>
      </c>
      <c r="S86" s="125">
        <f t="shared" si="24"/>
        <v>4911.2749761482892</v>
      </c>
      <c r="T86" s="126">
        <f t="shared" si="25"/>
        <v>56.218806961404411</v>
      </c>
      <c r="U86" s="28"/>
      <c r="V86" s="28"/>
      <c r="W86" s="59" t="s">
        <v>60</v>
      </c>
      <c r="X86" s="52">
        <f t="shared" si="26"/>
        <v>56.218806961404411</v>
      </c>
      <c r="AA86" s="109"/>
      <c r="AB86" s="81">
        <f>X86</f>
        <v>56.218806961404411</v>
      </c>
      <c r="AC86" s="109">
        <f t="shared" si="27"/>
        <v>56.218806961404411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48" t="s">
        <v>125</v>
      </c>
      <c r="B87" s="196">
        <f>IF(AND(Q42&gt;1,Q43&gt;1),100*(Q42/(Q43)),0.0001)</f>
        <v>499.7953697387955</v>
      </c>
      <c r="C87" s="202">
        <f>IF(AND(R42&gt;1,R43&gt;1),100*(R42/(R43)),0.0001)</f>
        <v>547.56131652125305</v>
      </c>
      <c r="D87" s="12">
        <f t="shared" si="20"/>
        <v>523.67834313002425</v>
      </c>
      <c r="E87" s="12">
        <f t="shared" si="21"/>
        <v>47.765946782457547</v>
      </c>
      <c r="F87" s="12">
        <f t="shared" si="22"/>
        <v>9.1212377615160847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90.37746220749159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292532</v>
      </c>
      <c r="S87" s="125">
        <f t="shared" si="24"/>
        <v>157089.50211258008</v>
      </c>
      <c r="T87" s="126">
        <f t="shared" si="25"/>
        <v>53.699937823068957</v>
      </c>
      <c r="U87" s="28"/>
      <c r="V87" s="28"/>
      <c r="W87" s="171" t="s">
        <v>94</v>
      </c>
      <c r="X87" s="52">
        <f t="shared" si="26"/>
        <v>53.699937823068957</v>
      </c>
      <c r="AA87" s="109"/>
      <c r="AB87" s="81">
        <f>X87</f>
        <v>53.699937823068957</v>
      </c>
      <c r="AC87" s="109" t="str">
        <f t="shared" si="27"/>
        <v/>
      </c>
      <c r="AD87" s="81">
        <f t="shared" si="28"/>
        <v>53.699937823068957</v>
      </c>
      <c r="AE87" s="97"/>
      <c r="AF87" s="52">
        <f>X87</f>
        <v>53.699937823068957</v>
      </c>
      <c r="AG87" s="100"/>
    </row>
    <row r="88" spans="1:33" ht="18.75" customHeight="1" x14ac:dyDescent="0.4">
      <c r="A88" s="48" t="s">
        <v>126</v>
      </c>
      <c r="B88" s="196">
        <f>IF(AND(Q44&gt;1,Q47&gt;1),100*(Q44/(Q47)),0.0001)</f>
        <v>360.4645416357796</v>
      </c>
      <c r="C88" s="202">
        <f>IF(AND(R44&gt;1,R47&gt;1),100*(R44/(R47)),0.0001)</f>
        <v>351.8957545187053</v>
      </c>
      <c r="D88" s="12">
        <f t="shared" si="20"/>
        <v>356.18014807724245</v>
      </c>
      <c r="E88" s="12">
        <f t="shared" si="21"/>
        <v>8.5687871170742937</v>
      </c>
      <c r="F88" s="12">
        <f t="shared" si="22"/>
        <v>2.4057452846069447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100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9098</v>
      </c>
      <c r="S88" s="125">
        <f t="shared" si="24"/>
        <v>5522.7849257189582</v>
      </c>
      <c r="T88" s="126">
        <f t="shared" si="25"/>
        <v>60.703285620124845</v>
      </c>
      <c r="U88" s="28"/>
      <c r="V88" s="28"/>
      <c r="W88" s="59" t="s">
        <v>60</v>
      </c>
      <c r="X88" s="52">
        <f t="shared" si="26"/>
        <v>60.703285620124845</v>
      </c>
      <c r="AA88" s="109"/>
      <c r="AB88" s="81">
        <f>X88</f>
        <v>60.703285620124845</v>
      </c>
      <c r="AC88" s="109">
        <f t="shared" si="27"/>
        <v>60.703285620124845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48" t="s">
        <v>127</v>
      </c>
      <c r="B89" s="196">
        <f>IF(AND(Q45&gt;1,Q46&gt;1),100*(Q45/(Q46)),0.0001)</f>
        <v>69.863731656184484</v>
      </c>
      <c r="C89" s="202">
        <f>IF(AND(R45&gt;1,R46&gt;1),100*(R45/(R46)),0.0001)</f>
        <v>59.731543624161077</v>
      </c>
      <c r="D89" s="12">
        <f t="shared" si="20"/>
        <v>64.79763764017278</v>
      </c>
      <c r="E89" s="12">
        <f t="shared" si="21"/>
        <v>10.132188032023407</v>
      </c>
      <c r="F89" s="12">
        <f t="shared" si="22"/>
        <v>15.636662694847574</v>
      </c>
      <c r="G89" s="194">
        <f t="shared" si="23"/>
        <v>1</v>
      </c>
      <c r="I89" s="93"/>
      <c r="J89" s="177">
        <f>IF(J$18=1,O76,0.001)</f>
        <v>48.93</v>
      </c>
      <c r="K89" s="178">
        <f>IF(J$18=1,T76,0.001)</f>
        <v>99.602981987431477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5889</v>
      </c>
      <c r="S89" s="125">
        <f t="shared" si="24"/>
        <v>3803.4273545045662</v>
      </c>
      <c r="T89" s="126">
        <f t="shared" si="25"/>
        <v>64.585283656046286</v>
      </c>
      <c r="U89" s="28"/>
      <c r="V89" s="28"/>
      <c r="W89" s="59" t="s">
        <v>60</v>
      </c>
      <c r="X89" s="52">
        <f t="shared" si="26"/>
        <v>64.585283656046286</v>
      </c>
      <c r="AA89" s="109"/>
      <c r="AB89" s="81">
        <f>X89</f>
        <v>64.585283656046286</v>
      </c>
      <c r="AC89" s="109">
        <f t="shared" si="27"/>
        <v>64.585283656046286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48" t="s">
        <v>128</v>
      </c>
      <c r="B90" s="196">
        <f>IF(AND(Q48&gt;1,Q50&gt;1),100*(Q48/(Q50)),0.0001)</f>
        <v>180.13260478443394</v>
      </c>
      <c r="C90" s="202">
        <f>IF(AND(R48&gt;1,R50&gt;1),100*(R48/(R50)),0.0001)</f>
        <v>186.23512946116165</v>
      </c>
      <c r="D90" s="12">
        <f t="shared" si="20"/>
        <v>183.18386712279778</v>
      </c>
      <c r="E90" s="12">
        <f t="shared" si="21"/>
        <v>6.102524676727711</v>
      </c>
      <c r="F90" s="12">
        <f t="shared" si="22"/>
        <v>3.3313657870520159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467769</v>
      </c>
      <c r="S90" s="125">
        <f t="shared" si="24"/>
        <v>173049.08913724957</v>
      </c>
      <c r="T90" s="126">
        <f t="shared" si="25"/>
        <v>36.994561233696452</v>
      </c>
      <c r="U90" s="28"/>
      <c r="V90" s="28"/>
      <c r="W90" s="59" t="s">
        <v>60</v>
      </c>
      <c r="X90" s="52">
        <f t="shared" si="26"/>
        <v>36.994561233696452</v>
      </c>
      <c r="AA90" s="109">
        <f>X90</f>
        <v>36.994561233696452</v>
      </c>
      <c r="AB90" s="81"/>
      <c r="AC90" s="109" t="str">
        <f t="shared" si="27"/>
        <v/>
      </c>
      <c r="AD90" s="81">
        <f t="shared" si="28"/>
        <v>36.994561233696452</v>
      </c>
      <c r="AE90" s="97"/>
      <c r="AF90" s="52"/>
      <c r="AG90" s="100"/>
    </row>
    <row r="91" spans="1:33" ht="18.75" customHeight="1" x14ac:dyDescent="0.4">
      <c r="A91" s="48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94.901155008526459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18744</v>
      </c>
      <c r="S91" s="125">
        <f t="shared" si="24"/>
        <v>13061.084707646178</v>
      </c>
      <c r="T91" s="126">
        <f t="shared" si="25"/>
        <v>69.681416494057714</v>
      </c>
      <c r="U91" s="28"/>
      <c r="V91" s="28"/>
      <c r="W91" s="59" t="s">
        <v>60</v>
      </c>
      <c r="X91" s="52">
        <f t="shared" si="26"/>
        <v>69.681416494057714</v>
      </c>
      <c r="AA91" s="109"/>
      <c r="AB91" s="81"/>
      <c r="AC91" s="109">
        <f t="shared" si="27"/>
        <v>69.681416494057714</v>
      </c>
      <c r="AD91" s="81" t="str">
        <f t="shared" si="28"/>
        <v/>
      </c>
      <c r="AE91" s="97"/>
      <c r="AF91" s="52"/>
    </row>
    <row r="92" spans="1:33" ht="18.75" customHeight="1" x14ac:dyDescent="0.4">
      <c r="A92" s="48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23.426952907853984</v>
      </c>
      <c r="D92" s="12">
        <f t="shared" si="20"/>
        <v>22.874249469861176</v>
      </c>
      <c r="E92" s="12">
        <f t="shared" si="21"/>
        <v>1.105406875985615</v>
      </c>
      <c r="F92" s="12">
        <f t="shared" si="22"/>
        <v>4.8325383416058534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8938</v>
      </c>
      <c r="S92" s="125">
        <f t="shared" si="24"/>
        <v>5750.387283630912</v>
      </c>
      <c r="T92" s="126">
        <f t="shared" si="25"/>
        <v>64.336398340019159</v>
      </c>
      <c r="U92" s="28"/>
      <c r="V92" s="28"/>
      <c r="W92" s="59" t="s">
        <v>60</v>
      </c>
      <c r="X92" s="52">
        <f t="shared" si="26"/>
        <v>64.336398340019159</v>
      </c>
      <c r="Y92" s="100"/>
      <c r="Z92" s="100"/>
      <c r="AA92" s="109"/>
      <c r="AB92" s="81"/>
      <c r="AC92" s="109">
        <f t="shared" si="27"/>
        <v>64.336398340019159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48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12.385028812056738</v>
      </c>
      <c r="D93" s="12">
        <f t="shared" si="20"/>
        <v>12.416928613209937</v>
      </c>
      <c r="E93" s="12">
        <f t="shared" si="21"/>
        <v>6.3799602306394476E-2</v>
      </c>
      <c r="F93" s="12">
        <f t="shared" si="22"/>
        <v>0.5138114608996005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102.59083091689455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5859</v>
      </c>
      <c r="S93" s="125">
        <f t="shared" si="24"/>
        <v>4730.2899686520377</v>
      </c>
      <c r="T93" s="126">
        <f t="shared" si="25"/>
        <v>80.735449200410272</v>
      </c>
      <c r="U93" s="28"/>
      <c r="V93" s="28"/>
      <c r="W93" s="59" t="s">
        <v>60</v>
      </c>
      <c r="X93" s="52">
        <f t="shared" si="26"/>
        <v>80.735449200410272</v>
      </c>
      <c r="Y93" s="99"/>
      <c r="Z93" s="99"/>
      <c r="AA93" s="109"/>
      <c r="AB93" s="81"/>
      <c r="AC93" s="109">
        <f t="shared" si="27"/>
        <v>80.735449200410272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48" t="s">
        <v>132</v>
      </c>
      <c r="B94" s="196">
        <f>IF(AND(Q55&gt;1,Q63&gt;1),100*(Q55/(Q63)),0.0001)</f>
        <v>169.95412844036696</v>
      </c>
      <c r="C94" s="202">
        <f>IF(AND(R55&gt;1,R63&gt;1),100*(R55/(R63)),0.0001)</f>
        <v>168.28296247093988</v>
      </c>
      <c r="D94" s="12">
        <f t="shared" si="20"/>
        <v>169.11854545565342</v>
      </c>
      <c r="E94" s="12">
        <f t="shared" si="21"/>
        <v>1.6711659694270793</v>
      </c>
      <c r="F94" s="12">
        <f t="shared" si="22"/>
        <v>0.9881624542858285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110.3557376577002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20521</v>
      </c>
      <c r="S94" s="125">
        <f t="shared" si="24"/>
        <v>16965.973354231974</v>
      </c>
      <c r="T94" s="126">
        <f t="shared" si="25"/>
        <v>82.676152985877749</v>
      </c>
      <c r="U94" s="28"/>
      <c r="V94" s="28"/>
      <c r="W94" s="59" t="s">
        <v>60</v>
      </c>
      <c r="X94" s="52">
        <f t="shared" si="26"/>
        <v>82.676152985877749</v>
      </c>
      <c r="Y94" s="100"/>
      <c r="Z94" s="100"/>
      <c r="AA94" s="109"/>
      <c r="AB94" s="81"/>
      <c r="AC94" s="109">
        <f t="shared" si="27"/>
        <v>82.676152985877749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48" t="s">
        <v>133</v>
      </c>
      <c r="B95" s="196">
        <f>IF(AND(Q56&gt;1,Q59&gt;1),100*(Q56/(Q59)),0.0001)</f>
        <v>33.264454754571325</v>
      </c>
      <c r="C95" s="202">
        <f>IF(AND(R56&gt;1,R59&gt;1),100*(R56/(R59)),0.0001)</f>
        <v>36.975011081560282</v>
      </c>
      <c r="D95" s="12">
        <f t="shared" si="20"/>
        <v>35.119732918065807</v>
      </c>
      <c r="E95" s="12">
        <f t="shared" si="21"/>
        <v>3.7105563269889572</v>
      </c>
      <c r="F95" s="12">
        <f t="shared" si="22"/>
        <v>10.565445744264826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94.899918843485267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279046</v>
      </c>
      <c r="S95" s="125">
        <f t="shared" si="24"/>
        <v>231956.96688019627</v>
      </c>
      <c r="T95" s="126">
        <f t="shared" si="25"/>
        <v>83.124992610607663</v>
      </c>
      <c r="U95" s="28"/>
      <c r="V95" s="28"/>
      <c r="W95" s="59" t="s">
        <v>60</v>
      </c>
      <c r="X95" s="52">
        <f t="shared" si="26"/>
        <v>83.124992610607663</v>
      </c>
      <c r="Y95" s="100"/>
      <c r="Z95" s="100"/>
      <c r="AA95" s="109">
        <f>X95</f>
        <v>83.124992610607663</v>
      </c>
      <c r="AB95" s="81"/>
      <c r="AC95" s="109" t="str">
        <f t="shared" si="27"/>
        <v/>
      </c>
      <c r="AD95" s="81">
        <f t="shared" si="28"/>
        <v>83.124992610607663</v>
      </c>
      <c r="AE95" s="81"/>
      <c r="AF95" s="52"/>
      <c r="AG95" s="100"/>
    </row>
    <row r="96" spans="1:33" ht="18.75" customHeight="1" x14ac:dyDescent="0.4">
      <c r="A96" s="48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88.51808043904829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234904</v>
      </c>
      <c r="S96" s="125">
        <f t="shared" si="24"/>
        <v>193563.46551724139</v>
      </c>
      <c r="T96" s="126">
        <f t="shared" si="25"/>
        <v>82.401093858444895</v>
      </c>
      <c r="U96" s="28"/>
      <c r="V96" s="28"/>
      <c r="W96" s="59" t="s">
        <v>60</v>
      </c>
      <c r="X96" s="52">
        <f t="shared" si="26"/>
        <v>82.401093858444895</v>
      </c>
      <c r="AA96" s="109">
        <f>X96</f>
        <v>82.401093858444895</v>
      </c>
      <c r="AB96" s="81"/>
      <c r="AC96" s="109" t="str">
        <f t="shared" si="27"/>
        <v/>
      </c>
      <c r="AD96" s="81">
        <f t="shared" si="28"/>
        <v>82.401093858444895</v>
      </c>
      <c r="AE96" s="97"/>
      <c r="AF96" s="52"/>
    </row>
    <row r="97" spans="1:32" ht="18.75" customHeight="1" x14ac:dyDescent="0.4">
      <c r="A97" s="48" t="s">
        <v>135</v>
      </c>
      <c r="B97" s="196">
        <f>IF(AND(Q58&gt;1,Q59&gt;1),100*(Q58/(Q59)),0.0001)</f>
        <v>89.231548988264649</v>
      </c>
      <c r="C97" s="202">
        <f>IF(AND(R58&gt;1,R59&gt;1),100*(R58/(R59)),0.0001)</f>
        <v>93.097573138297875</v>
      </c>
      <c r="D97" s="12">
        <f t="shared" si="20"/>
        <v>91.164561063281269</v>
      </c>
      <c r="E97" s="12">
        <f t="shared" si="21"/>
        <v>3.8660241500332262</v>
      </c>
      <c r="F97" s="12">
        <f t="shared" si="22"/>
        <v>4.2407094433873835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92.718951662778281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38489</v>
      </c>
      <c r="S97" s="125">
        <f t="shared" si="24"/>
        <v>32591.012334741721</v>
      </c>
      <c r="T97" s="126">
        <f t="shared" si="25"/>
        <v>84.676173282604694</v>
      </c>
      <c r="U97" s="28"/>
      <c r="V97" s="28"/>
      <c r="W97" s="59" t="s">
        <v>60</v>
      </c>
      <c r="X97" s="52">
        <f t="shared" si="26"/>
        <v>84.676173282604694</v>
      </c>
      <c r="AA97" s="109"/>
      <c r="AB97" s="81">
        <f>X97</f>
        <v>84.676173282604694</v>
      </c>
      <c r="AC97" s="109" t="str">
        <f t="shared" si="27"/>
        <v/>
      </c>
      <c r="AD97" s="81">
        <f t="shared" si="28"/>
        <v>84.676173282604694</v>
      </c>
      <c r="AE97" s="97"/>
      <c r="AF97" s="52"/>
    </row>
    <row r="98" spans="1:32" ht="18.75" customHeight="1" x14ac:dyDescent="0.4">
      <c r="A98" s="48" t="s">
        <v>136</v>
      </c>
      <c r="B98" s="196">
        <f>IF(AND(Q60&gt;1,Q59&gt;1),100*(Q60/(Q59)),0.0001)</f>
        <v>83.86681741978245</v>
      </c>
      <c r="C98" s="202">
        <f>IF(AND(R60&gt;1,R59&gt;1),100*(R60/(R59)),0.0001)</f>
        <v>88.1565824468085</v>
      </c>
      <c r="D98" s="12">
        <f t="shared" si="20"/>
        <v>86.011699933295475</v>
      </c>
      <c r="E98" s="12">
        <f t="shared" si="21"/>
        <v>4.2897650270260499</v>
      </c>
      <c r="F98" s="12">
        <f t="shared" si="22"/>
        <v>4.9874203513625295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92.363215254488679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102967</v>
      </c>
      <c r="S98" s="125">
        <f t="shared" si="24"/>
        <v>77483.520785062006</v>
      </c>
      <c r="T98" s="126">
        <f t="shared" si="25"/>
        <v>75.250828697604092</v>
      </c>
      <c r="U98" s="28"/>
      <c r="V98" s="28"/>
      <c r="W98" s="171" t="s">
        <v>94</v>
      </c>
      <c r="X98" s="52">
        <f t="shared" si="26"/>
        <v>75.250828697604092</v>
      </c>
      <c r="AA98" s="109">
        <f>X98</f>
        <v>75.250828697604092</v>
      </c>
      <c r="AB98" s="81"/>
      <c r="AC98" s="109" t="str">
        <f t="shared" si="27"/>
        <v/>
      </c>
      <c r="AD98" s="81">
        <f t="shared" si="28"/>
        <v>75.250828697604092</v>
      </c>
      <c r="AE98" s="97"/>
      <c r="AF98" s="52">
        <f>X98</f>
        <v>75.250828697604092</v>
      </c>
    </row>
    <row r="99" spans="1:32" ht="18.75" customHeight="1" x14ac:dyDescent="0.4">
      <c r="A99" s="48" t="s">
        <v>137</v>
      </c>
      <c r="B99" s="196">
        <f>IF(AND(Q61&gt;1,Q62&gt;1),100*(Q61/(Q62)),0.0001)</f>
        <v>159.31360946745562</v>
      </c>
      <c r="C99" s="202">
        <f>IF(AND(R61&gt;1,R62&gt;1),100*(R61/(R62)),0.0001)</f>
        <v>158.21882514599795</v>
      </c>
      <c r="D99" s="12">
        <f t="shared" ref="D99:D130" si="29">AVERAGE(B99:C99)</f>
        <v>158.76621730672679</v>
      </c>
      <c r="E99" s="12">
        <f t="shared" ref="E99:E130" si="30">ABS(B99-C99)</f>
        <v>1.0947843214576665</v>
      </c>
      <c r="F99" s="12">
        <f t="shared" ref="F99:F130" si="31">IF(D99&gt;0,E99/D99*100,0.0001)</f>
        <v>0.6895574764136434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87.684129962990539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48" t="s">
        <v>138</v>
      </c>
      <c r="B100" s="196">
        <f>IF(AND(Q64&gt;1,Q69&gt;1),100*(Q64/Q69),0.0001)</f>
        <v>110.47928513403737</v>
      </c>
      <c r="C100" s="202">
        <f>IF(AND(R64&gt;1,R69&gt;1),100*(R64/R69),0.0001)</f>
        <v>110.05540734660373</v>
      </c>
      <c r="D100" s="12">
        <f t="shared" si="29"/>
        <v>110.26734624032055</v>
      </c>
      <c r="E100" s="12">
        <f t="shared" si="30"/>
        <v>0.42387778743363924</v>
      </c>
      <c r="F100" s="12">
        <f t="shared" si="31"/>
        <v>0.3844091672523115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86.262732740415629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17179</v>
      </c>
      <c r="S100" s="125">
        <f t="shared" si="24"/>
        <v>13343.531007223661</v>
      </c>
      <c r="T100" s="126">
        <f t="shared" si="25"/>
        <v>77.67350257421073</v>
      </c>
      <c r="U100" s="28"/>
      <c r="V100" s="28"/>
      <c r="W100" s="59" t="s">
        <v>60</v>
      </c>
      <c r="X100" s="52">
        <f t="shared" si="26"/>
        <v>77.67350257421073</v>
      </c>
      <c r="AA100" s="109"/>
      <c r="AB100" s="81"/>
      <c r="AC100" s="109">
        <f t="shared" si="27"/>
        <v>77.67350257421073</v>
      </c>
      <c r="AD100" s="81" t="str">
        <f t="shared" si="28"/>
        <v/>
      </c>
      <c r="AE100" s="97"/>
      <c r="AF100" s="52"/>
    </row>
    <row r="101" spans="1:32" ht="18.75" customHeight="1" x14ac:dyDescent="0.4">
      <c r="A101" s="48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16.711150873530652</v>
      </c>
      <c r="D101" s="12">
        <f t="shared" si="29"/>
        <v>16.766370039463979</v>
      </c>
      <c r="E101" s="12">
        <f t="shared" si="30"/>
        <v>0.11043833186664997</v>
      </c>
      <c r="F101" s="12">
        <f t="shared" si="31"/>
        <v>0.65868957685357576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92.88914636426469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4793</v>
      </c>
      <c r="S101" s="125">
        <f t="shared" si="24"/>
        <v>3649.8643178410794</v>
      </c>
      <c r="T101" s="126">
        <f t="shared" si="25"/>
        <v>76.149891880681807</v>
      </c>
      <c r="U101" s="28"/>
      <c r="V101" s="28"/>
      <c r="W101" s="59" t="s">
        <v>60</v>
      </c>
      <c r="X101" s="52">
        <f t="shared" si="26"/>
        <v>76.149891880681807</v>
      </c>
      <c r="AA101" s="109"/>
      <c r="AB101" s="81"/>
      <c r="AC101" s="109">
        <f t="shared" si="27"/>
        <v>76.149891880681807</v>
      </c>
      <c r="AD101" s="81" t="str">
        <f t="shared" si="28"/>
        <v/>
      </c>
      <c r="AE101" s="97"/>
      <c r="AF101" s="52"/>
    </row>
    <row r="102" spans="1:32" ht="18.75" customHeight="1" x14ac:dyDescent="0.4">
      <c r="A102" s="48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91.476612790783292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51892</v>
      </c>
      <c r="S102" s="125">
        <f t="shared" si="24"/>
        <v>42216.12409704239</v>
      </c>
      <c r="T102" s="126">
        <f t="shared" si="25"/>
        <v>81.353819658217816</v>
      </c>
      <c r="U102" s="28"/>
      <c r="V102" s="28"/>
      <c r="W102" s="59" t="s">
        <v>60</v>
      </c>
      <c r="X102" s="52">
        <f t="shared" si="26"/>
        <v>81.353819658217816</v>
      </c>
      <c r="AA102" s="109">
        <f>X102</f>
        <v>81.353819658217816</v>
      </c>
      <c r="AB102" s="81"/>
      <c r="AC102" s="109" t="str">
        <f t="shared" si="27"/>
        <v/>
      </c>
      <c r="AD102" s="81">
        <f t="shared" si="28"/>
        <v>81.353819658217816</v>
      </c>
      <c r="AE102" s="97"/>
      <c r="AF102" s="52"/>
    </row>
    <row r="103" spans="1:32" ht="18.75" customHeight="1" x14ac:dyDescent="0.4">
      <c r="A103" s="48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13.449141380252987</v>
      </c>
      <c r="D103" s="12">
        <f t="shared" si="29"/>
        <v>13.024829651554871</v>
      </c>
      <c r="E103" s="12">
        <f t="shared" si="30"/>
        <v>0.84862345739623457</v>
      </c>
      <c r="F103" s="12">
        <f t="shared" si="31"/>
        <v>6.5154284554879229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93.114374949618266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34472</v>
      </c>
      <c r="S103" s="125">
        <f t="shared" si="24"/>
        <v>30989.569238108215</v>
      </c>
      <c r="T103" s="126">
        <f t="shared" si="25"/>
        <v>89.8977989037718</v>
      </c>
      <c r="U103" s="28"/>
      <c r="V103" s="28"/>
      <c r="W103" s="59" t="s">
        <v>60</v>
      </c>
      <c r="X103" s="52">
        <f t="shared" si="26"/>
        <v>89.8977989037718</v>
      </c>
      <c r="AA103" s="109"/>
      <c r="AB103" s="81"/>
      <c r="AC103" s="109" t="str">
        <f t="shared" si="27"/>
        <v/>
      </c>
      <c r="AD103" s="81">
        <f t="shared" si="28"/>
        <v>89.8977989037718</v>
      </c>
      <c r="AE103" s="97"/>
      <c r="AF103" s="52"/>
    </row>
    <row r="104" spans="1:32" ht="18.75" customHeight="1" x14ac:dyDescent="0.4">
      <c r="A104" s="48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15.092323367876936</v>
      </c>
      <c r="D104" s="12">
        <f t="shared" si="29"/>
        <v>15.17325722707599</v>
      </c>
      <c r="E104" s="12">
        <f t="shared" si="30"/>
        <v>0.16186771839810632</v>
      </c>
      <c r="F104" s="12">
        <f t="shared" si="31"/>
        <v>1.0667961135547133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90.400443196623527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6021</v>
      </c>
      <c r="S104" s="125">
        <f t="shared" si="24"/>
        <v>5174.5258961428381</v>
      </c>
      <c r="T104" s="126">
        <f t="shared" si="25"/>
        <v>85.941303706076042</v>
      </c>
      <c r="U104" s="28"/>
      <c r="V104" s="28"/>
      <c r="W104" s="59" t="s">
        <v>60</v>
      </c>
      <c r="X104" s="52">
        <f t="shared" si="26"/>
        <v>85.941303706076042</v>
      </c>
      <c r="AA104" s="109"/>
      <c r="AB104" s="81"/>
      <c r="AC104" s="109">
        <f t="shared" si="27"/>
        <v>85.941303706076042</v>
      </c>
      <c r="AD104" s="81" t="str">
        <f t="shared" si="28"/>
        <v/>
      </c>
      <c r="AE104" s="97"/>
      <c r="AF104" s="52"/>
    </row>
    <row r="105" spans="1:32" ht="18.75" customHeight="1" x14ac:dyDescent="0.4">
      <c r="A105" s="48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47.476242472332942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48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46.112974974527198</v>
      </c>
      <c r="D106" s="12">
        <f t="shared" si="29"/>
        <v>46.842776161108496</v>
      </c>
      <c r="E106" s="12">
        <f t="shared" si="30"/>
        <v>1.4596023731625962</v>
      </c>
      <c r="F106" s="12">
        <f t="shared" si="31"/>
        <v>3.1159604378325469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64.658502235284047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48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7.9022838539725138</v>
      </c>
      <c r="D107" s="12">
        <f t="shared" si="29"/>
        <v>7.5220837288126168</v>
      </c>
      <c r="E107" s="12">
        <f t="shared" si="30"/>
        <v>0.76040025031979397</v>
      </c>
      <c r="F107" s="12">
        <f t="shared" si="31"/>
        <v>10.108904363921848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89.093374127893014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IF(Q$74&gt;1,Q107/Q$74*R$74,0.0001)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48" t="s">
        <v>146</v>
      </c>
      <c r="B108" s="196">
        <f>IF(AND(Q75&gt;1,Q68&gt;1),100*(Q75/(Q68)),0.0001)</f>
        <v>52.00503004051977</v>
      </c>
      <c r="C108" s="202">
        <f>IF(AND(R75&gt;1,R68&gt;1),100*(R75/(R68)),0.0001)</f>
        <v>51.037719600413368</v>
      </c>
      <c r="D108" s="12">
        <f t="shared" si="29"/>
        <v>51.521374820466569</v>
      </c>
      <c r="E108" s="12">
        <f t="shared" si="30"/>
        <v>0.96731044010640233</v>
      </c>
      <c r="F108" s="12">
        <f t="shared" si="31"/>
        <v>1.877493454856612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80.203988107673936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111301</v>
      </c>
      <c r="S108" s="125">
        <f t="shared" si="33"/>
        <v>99253.823429194497</v>
      </c>
      <c r="T108" s="126">
        <f t="shared" si="34"/>
        <v>89.176039235222063</v>
      </c>
      <c r="U108" s="28"/>
      <c r="V108" s="28"/>
      <c r="W108" s="59" t="s">
        <v>60</v>
      </c>
      <c r="X108" s="52">
        <f t="shared" si="35"/>
        <v>89.176039235222063</v>
      </c>
      <c r="AA108" s="109">
        <f>X108</f>
        <v>89.176039235222063</v>
      </c>
      <c r="AB108" s="81"/>
      <c r="AC108" s="109" t="str">
        <f t="shared" si="36"/>
        <v/>
      </c>
      <c r="AD108" s="81">
        <f t="shared" si="37"/>
        <v>89.176039235222063</v>
      </c>
      <c r="AE108" s="97"/>
      <c r="AF108" s="52"/>
    </row>
    <row r="109" spans="1:32" ht="18.75" customHeight="1" x14ac:dyDescent="0.4">
      <c r="A109" s="48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30.846193990904347</v>
      </c>
      <c r="D109" s="12">
        <f t="shared" si="29"/>
        <v>30.784961517736484</v>
      </c>
      <c r="E109" s="12">
        <f t="shared" si="30"/>
        <v>0.12246494633572169</v>
      </c>
      <c r="F109" s="12">
        <f t="shared" si="31"/>
        <v>0.39780769667411991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79.415338977653462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138625</v>
      </c>
      <c r="S109" s="125">
        <f t="shared" si="33"/>
        <v>124375.09090909091</v>
      </c>
      <c r="T109" s="126">
        <f t="shared" si="34"/>
        <v>89.72053447003853</v>
      </c>
      <c r="U109" s="28"/>
      <c r="V109" s="28"/>
      <c r="W109" s="59" t="s">
        <v>60</v>
      </c>
      <c r="X109" s="52">
        <f t="shared" si="35"/>
        <v>89.72053447003853</v>
      </c>
      <c r="AA109" s="109">
        <f>X109</f>
        <v>89.72053447003853</v>
      </c>
      <c r="AB109" s="81"/>
      <c r="AC109" s="109" t="str">
        <f t="shared" si="36"/>
        <v/>
      </c>
      <c r="AD109" s="81">
        <f t="shared" si="37"/>
        <v>89.72053447003853</v>
      </c>
      <c r="AE109" s="97"/>
      <c r="AF109" s="52"/>
    </row>
    <row r="110" spans="1:32" ht="18.75" customHeight="1" x14ac:dyDescent="0.4">
      <c r="A110" s="55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105.35809846273035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60630</v>
      </c>
      <c r="S110" s="125">
        <f t="shared" si="33"/>
        <v>50730.646040616062</v>
      </c>
      <c r="T110" s="126">
        <f t="shared" si="34"/>
        <v>83.672515323463742</v>
      </c>
      <c r="U110" s="28"/>
      <c r="V110" s="28"/>
      <c r="W110" s="59" t="s">
        <v>60</v>
      </c>
      <c r="X110" s="52">
        <f t="shared" si="35"/>
        <v>83.672515323463742</v>
      </c>
      <c r="AA110" s="109"/>
      <c r="AB110" s="81"/>
      <c r="AC110" s="109" t="str">
        <f t="shared" si="36"/>
        <v/>
      </c>
      <c r="AD110" s="81">
        <f t="shared" si="37"/>
        <v>83.672515323463742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97.731767874426637</v>
      </c>
      <c r="D111" s="12">
        <f t="shared" si="29"/>
        <v>167.99038460299226</v>
      </c>
      <c r="E111" s="12">
        <f t="shared" si="30"/>
        <v>140.51723345713128</v>
      </c>
      <c r="F111" s="218">
        <f t="shared" si="31"/>
        <v>83.645997828514027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91.458449723185751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3740</v>
      </c>
      <c r="S111" s="125">
        <f t="shared" si="33"/>
        <v>3989.8967561673708</v>
      </c>
      <c r="T111" s="126">
        <f t="shared" si="34"/>
        <v>106.68173144832544</v>
      </c>
      <c r="U111" s="28"/>
      <c r="V111" s="28"/>
      <c r="W111" s="59" t="s">
        <v>60</v>
      </c>
      <c r="X111" s="52">
        <f t="shared" si="35"/>
        <v>106.68173144832544</v>
      </c>
      <c r="AA111" s="109"/>
      <c r="AB111" s="81"/>
      <c r="AC111" s="109">
        <f t="shared" si="36"/>
        <v>106.68173144832544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215.20557869951097</v>
      </c>
      <c r="D112" s="12">
        <f t="shared" si="29"/>
        <v>187.1578740955182</v>
      </c>
      <c r="E112" s="12">
        <f t="shared" si="30"/>
        <v>56.09540920798554</v>
      </c>
      <c r="F112" s="218">
        <f t="shared" si="31"/>
        <v>29.972241071383721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90.308980404569198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58.007320048800324</v>
      </c>
      <c r="D113" s="12">
        <f t="shared" si="29"/>
        <v>55.254757478307098</v>
      </c>
      <c r="E113" s="12">
        <f t="shared" si="30"/>
        <v>5.5051251409864506</v>
      </c>
      <c r="F113" s="218">
        <f t="shared" si="31"/>
        <v>9.9631694938625888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100.88676272090086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43426</v>
      </c>
      <c r="S113" s="125">
        <f t="shared" si="33"/>
        <v>40071.725977920134</v>
      </c>
      <c r="T113" s="126">
        <f t="shared" si="34"/>
        <v>92.275885363423143</v>
      </c>
      <c r="U113" s="28"/>
      <c r="V113" s="28"/>
      <c r="W113" s="59" t="s">
        <v>60</v>
      </c>
      <c r="X113" s="52">
        <f t="shared" si="35"/>
        <v>92.275885363423143</v>
      </c>
      <c r="AA113" s="109">
        <f>X113</f>
        <v>92.275885363423143</v>
      </c>
      <c r="AB113" s="81"/>
      <c r="AC113" s="109" t="str">
        <f t="shared" si="36"/>
        <v/>
      </c>
      <c r="AD113" s="81">
        <f t="shared" si="37"/>
        <v>92.275885363423143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81.639194139194132</v>
      </c>
      <c r="D114" s="12">
        <f t="shared" si="29"/>
        <v>74.208765132131958</v>
      </c>
      <c r="E114" s="12">
        <f t="shared" si="30"/>
        <v>14.860858014124332</v>
      </c>
      <c r="F114" s="218">
        <f t="shared" si="31"/>
        <v>20.025744920649093</v>
      </c>
      <c r="G114" s="194">
        <f t="shared" si="32"/>
        <v>1</v>
      </c>
      <c r="I114" s="93"/>
      <c r="J114" s="222">
        <f>IF(J$22=1,O91,0.001)</f>
        <v>18.989999999999998</v>
      </c>
      <c r="K114" s="223">
        <f>IF(J$22=1,T91,0.001)</f>
        <v>69.681416494057714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79.477800719237564</v>
      </c>
      <c r="D115" s="12">
        <f t="shared" si="29"/>
        <v>70.196603812469391</v>
      </c>
      <c r="E115" s="12">
        <f t="shared" si="30"/>
        <v>18.562393813536346</v>
      </c>
      <c r="F115" s="218">
        <f t="shared" si="31"/>
        <v>26.443435729634274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80.735449200410272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113.94473271388922</v>
      </c>
      <c r="D116" s="12">
        <f t="shared" si="29"/>
        <v>90.474817616778154</v>
      </c>
      <c r="E116" s="12">
        <f t="shared" si="30"/>
        <v>46.939830194222139</v>
      </c>
      <c r="F116" s="218">
        <f t="shared" si="31"/>
        <v>51.881652188616691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77.67350257421073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4291</v>
      </c>
      <c r="S116" s="125">
        <f t="shared" si="33"/>
        <v>4442.3592749080008</v>
      </c>
      <c r="T116" s="126">
        <f t="shared" si="34"/>
        <v>103.52736599645772</v>
      </c>
      <c r="U116" s="28"/>
      <c r="V116" s="28"/>
      <c r="W116" s="59" t="s">
        <v>60</v>
      </c>
      <c r="X116" s="52">
        <f t="shared" si="35"/>
        <v>103.52736599645772</v>
      </c>
      <c r="AA116" s="109"/>
      <c r="AB116" s="81"/>
      <c r="AC116" s="109">
        <f t="shared" si="36"/>
        <v>103.52736599645772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53.054054054054056</v>
      </c>
      <c r="D117" s="12">
        <f t="shared" si="29"/>
        <v>51.171661000019213</v>
      </c>
      <c r="E117" s="12">
        <f t="shared" si="30"/>
        <v>3.7647861080696927</v>
      </c>
      <c r="F117" s="218">
        <f t="shared" si="31"/>
        <v>7.3571700321947322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85.941303706076042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473437</v>
      </c>
      <c r="S117" s="125">
        <f t="shared" si="33"/>
        <v>410339.62934441876</v>
      </c>
      <c r="T117" s="126">
        <f t="shared" si="34"/>
        <v>86.672488492538349</v>
      </c>
      <c r="U117" s="28"/>
      <c r="V117" s="28"/>
      <c r="W117" s="171" t="s">
        <v>94</v>
      </c>
      <c r="X117" s="52">
        <f t="shared" si="35"/>
        <v>86.672488492538349</v>
      </c>
      <c r="AA117" s="109">
        <f>X117</f>
        <v>86.672488492538349</v>
      </c>
      <c r="AB117" s="81"/>
      <c r="AC117" s="109" t="str">
        <f t="shared" si="36"/>
        <v/>
      </c>
      <c r="AD117" s="81">
        <f t="shared" si="37"/>
        <v>86.672488492538349</v>
      </c>
      <c r="AE117" s="97"/>
      <c r="AF117" s="52">
        <f>X117</f>
        <v>86.672488492538349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11.63098435771844</v>
      </c>
      <c r="D118" s="12">
        <f t="shared" si="29"/>
        <v>9.8618192691211952</v>
      </c>
      <c r="E118" s="12">
        <f t="shared" si="30"/>
        <v>3.5383301771944868</v>
      </c>
      <c r="F118" s="218">
        <f t="shared" si="31"/>
        <v>35.879081543032513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106.68173144832544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2133</v>
      </c>
      <c r="S118" s="125">
        <f t="shared" si="33"/>
        <v>1779.6859070464768</v>
      </c>
      <c r="T118" s="126">
        <f t="shared" si="34"/>
        <v>83.435813738700276</v>
      </c>
      <c r="U118" s="28"/>
      <c r="V118" s="28"/>
      <c r="W118" s="59" t="s">
        <v>60</v>
      </c>
      <c r="X118" s="52">
        <f t="shared" si="35"/>
        <v>83.435813738700276</v>
      </c>
      <c r="AA118" s="109"/>
      <c r="AB118" s="81"/>
      <c r="AC118" s="109">
        <f t="shared" si="36"/>
        <v>83.435813738700276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37.020066361194502</v>
      </c>
      <c r="D119" s="12">
        <f t="shared" si="29"/>
        <v>32.405242936125575</v>
      </c>
      <c r="E119" s="12">
        <f t="shared" si="30"/>
        <v>9.2296468501378506</v>
      </c>
      <c r="F119" s="218">
        <f t="shared" si="31"/>
        <v>28.481955430269529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88.460471360433587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7074</v>
      </c>
      <c r="S119" s="125">
        <f t="shared" si="33"/>
        <v>6257.6937440370721</v>
      </c>
      <c r="T119" s="126">
        <f t="shared" si="34"/>
        <v>88.460471360433587</v>
      </c>
      <c r="U119" s="28"/>
      <c r="V119" s="28"/>
      <c r="W119" s="59" t="s">
        <v>60</v>
      </c>
      <c r="X119" s="52">
        <f t="shared" si="35"/>
        <v>88.460471360433587</v>
      </c>
      <c r="AA119" s="109"/>
      <c r="AB119" s="81"/>
      <c r="AC119" s="109">
        <f t="shared" si="36"/>
        <v>88.460471360433587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319.91807475678445</v>
      </c>
      <c r="D120" s="12">
        <f t="shared" si="29"/>
        <v>298.01700839288497</v>
      </c>
      <c r="E120" s="12">
        <f t="shared" si="30"/>
        <v>43.802132727798949</v>
      </c>
      <c r="F120" s="218">
        <f t="shared" si="31"/>
        <v>14.697863374983367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98.535576016835407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6270</v>
      </c>
      <c r="S120" s="125">
        <f t="shared" si="33"/>
        <v>6605.9527736131931</v>
      </c>
      <c r="T120" s="126">
        <f t="shared" si="34"/>
        <v>105.35809846273035</v>
      </c>
      <c r="U120" s="28"/>
      <c r="V120" s="28"/>
      <c r="W120" s="59" t="s">
        <v>60</v>
      </c>
      <c r="X120" s="52">
        <f t="shared" si="35"/>
        <v>105.35809846273035</v>
      </c>
      <c r="AA120" s="109"/>
      <c r="AB120" s="81"/>
      <c r="AC120" s="109">
        <f t="shared" si="36"/>
        <v>105.35809846273035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150.49176704608246</v>
      </c>
      <c r="D121" s="12">
        <f t="shared" si="29"/>
        <v>129.85472706045618</v>
      </c>
      <c r="E121" s="12">
        <f t="shared" si="30"/>
        <v>41.274079971252533</v>
      </c>
      <c r="F121" s="218">
        <f t="shared" si="31"/>
        <v>31.784811308437504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90.241291504208803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3885</v>
      </c>
      <c r="S121" s="125">
        <f t="shared" si="33"/>
        <v>3828.1071282540552</v>
      </c>
      <c r="T121" s="126">
        <f t="shared" si="34"/>
        <v>98.535576016835407</v>
      </c>
      <c r="U121" s="28"/>
      <c r="V121" s="28"/>
      <c r="W121" s="59" t="s">
        <v>60</v>
      </c>
      <c r="X121" s="52">
        <f t="shared" si="35"/>
        <v>98.535576016835407</v>
      </c>
      <c r="AA121" s="109"/>
      <c r="AB121" s="81"/>
      <c r="AC121" s="109">
        <f t="shared" si="36"/>
        <v>98.535576016835407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68.229600609810149</v>
      </c>
      <c r="D122" s="12">
        <f t="shared" si="29"/>
        <v>67.798623000744556</v>
      </c>
      <c r="E122" s="12">
        <f t="shared" si="30"/>
        <v>0.86195521813120024</v>
      </c>
      <c r="F122" s="218">
        <f t="shared" si="31"/>
        <v>1.2713462014143477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58.047087287120945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84.181102757251494</v>
      </c>
      <c r="D123" s="12">
        <f t="shared" si="29"/>
        <v>83.814554783364002</v>
      </c>
      <c r="E123" s="12">
        <f t="shared" si="30"/>
        <v>0.73309594777497011</v>
      </c>
      <c r="F123" s="218">
        <f t="shared" si="31"/>
        <v>0.87466425094043354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34.134438096321453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33767</v>
      </c>
      <c r="S123" s="125">
        <f t="shared" si="33"/>
        <v>29656.861455635815</v>
      </c>
      <c r="T123" s="126">
        <f t="shared" si="34"/>
        <v>87.8279428306803</v>
      </c>
      <c r="U123" s="28"/>
      <c r="V123" s="28"/>
      <c r="W123" s="59" t="s">
        <v>60</v>
      </c>
      <c r="X123" s="52">
        <f t="shared" si="35"/>
        <v>87.8279428306803</v>
      </c>
      <c r="AA123" s="109">
        <f>X123</f>
        <v>87.8279428306803</v>
      </c>
      <c r="AB123" s="81"/>
      <c r="AC123" s="109" t="str">
        <f t="shared" si="36"/>
        <v/>
      </c>
      <c r="AD123" s="81">
        <f t="shared" si="37"/>
        <v>87.8279428306803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14832</v>
      </c>
      <c r="S124" s="125">
        <f t="shared" si="33"/>
        <v>13313.366839307617</v>
      </c>
      <c r="T124" s="126">
        <f t="shared" si="34"/>
        <v>89.761103285515219</v>
      </c>
      <c r="U124" s="28"/>
      <c r="V124" s="28"/>
      <c r="W124" s="59" t="s">
        <v>60</v>
      </c>
      <c r="X124" s="52">
        <f t="shared" si="35"/>
        <v>89.761103285515219</v>
      </c>
      <c r="AA124" s="109">
        <f>X124</f>
        <v>89.761103285515219</v>
      </c>
      <c r="AB124" s="81"/>
      <c r="AC124" s="109">
        <f t="shared" si="36"/>
        <v>89.761103285515219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103714</v>
      </c>
      <c r="S125" s="125">
        <f t="shared" si="33"/>
        <v>97704.482077143242</v>
      </c>
      <c r="T125" s="126">
        <f t="shared" si="34"/>
        <v>94.205683010146416</v>
      </c>
      <c r="U125" s="28"/>
      <c r="V125" s="28"/>
      <c r="W125" s="59" t="s">
        <v>60</v>
      </c>
      <c r="X125" s="52">
        <f t="shared" si="35"/>
        <v>94.205683010146416</v>
      </c>
      <c r="AA125" s="109">
        <f>X125</f>
        <v>94.205683010146416</v>
      </c>
      <c r="AB125" s="81"/>
      <c r="AC125" s="109" t="str">
        <f t="shared" si="36"/>
        <v/>
      </c>
      <c r="AD125" s="81">
        <f t="shared" si="37"/>
        <v>94.205683010146416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68.926834462104807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452307</v>
      </c>
      <c r="S126" s="125">
        <f t="shared" si="33"/>
        <v>385404.83126618509</v>
      </c>
      <c r="T126" s="126">
        <f t="shared" si="34"/>
        <v>85.208681551730379</v>
      </c>
      <c r="U126" s="28"/>
      <c r="V126" s="28"/>
      <c r="W126" s="171" t="s">
        <v>94</v>
      </c>
      <c r="X126" s="52">
        <f t="shared" si="35"/>
        <v>85.208681551730379</v>
      </c>
      <c r="AA126" s="109">
        <f>X126</f>
        <v>85.208681551730379</v>
      </c>
      <c r="AB126" s="81"/>
      <c r="AC126" s="109" t="str">
        <f t="shared" si="36"/>
        <v/>
      </c>
      <c r="AD126" s="81">
        <f t="shared" si="37"/>
        <v>85.208681551730379</v>
      </c>
      <c r="AE126" s="81"/>
      <c r="AF126" s="52">
        <f>X126</f>
        <v>85.208681551730379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80.289269612263297</v>
      </c>
      <c r="D127" s="12">
        <f t="shared" si="29"/>
        <v>80.045640185794753</v>
      </c>
      <c r="E127" s="12">
        <f t="shared" si="30"/>
        <v>0.4872588529370887</v>
      </c>
      <c r="F127" s="218">
        <f t="shared" si="31"/>
        <v>0.60872628641123638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87.650041263685125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35.325485858745459</v>
      </c>
      <c r="D128" s="12">
        <f t="shared" si="29"/>
        <v>35.66846088257887</v>
      </c>
      <c r="E128" s="12">
        <f t="shared" si="30"/>
        <v>0.68595004766681456</v>
      </c>
      <c r="F128" s="218">
        <f t="shared" si="31"/>
        <v>1.9231276895433556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8.5576665184763936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90.16473672511853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1914676</v>
      </c>
      <c r="S130" s="125">
        <f t="shared" si="33"/>
        <v>1877996.4146790244</v>
      </c>
      <c r="T130" s="126">
        <f t="shared" si="34"/>
        <v>98.084292834872542</v>
      </c>
      <c r="U130" s="28"/>
      <c r="V130" s="28"/>
      <c r="W130" s="171" t="s">
        <v>94</v>
      </c>
      <c r="X130" s="52">
        <f t="shared" si="35"/>
        <v>98.084292834872542</v>
      </c>
      <c r="AA130" s="109">
        <f>X130</f>
        <v>98.084292834872542</v>
      </c>
      <c r="AB130" s="81"/>
      <c r="AC130" s="109" t="str">
        <f t="shared" si="36"/>
        <v/>
      </c>
      <c r="AD130" s="81">
        <f t="shared" si="37"/>
        <v>98.084292834872542</v>
      </c>
      <c r="AE130" s="97"/>
      <c r="AF130" s="52">
        <f>X130</f>
        <v>98.084292834872542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83.595056095292037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1073060</v>
      </c>
      <c r="S131" s="125">
        <f t="shared" si="33"/>
        <v>997408.37631184398</v>
      </c>
      <c r="T131" s="126">
        <f t="shared" si="34"/>
        <v>92.949916715919329</v>
      </c>
      <c r="U131" s="28"/>
      <c r="V131" s="28"/>
      <c r="W131" s="171" t="s">
        <v>94</v>
      </c>
      <c r="X131" s="52">
        <f t="shared" si="35"/>
        <v>92.949916715919329</v>
      </c>
      <c r="AA131" s="109">
        <f>X131</f>
        <v>92.949916715919329</v>
      </c>
      <c r="AB131" s="81"/>
      <c r="AC131" s="109" t="str">
        <f t="shared" si="36"/>
        <v/>
      </c>
      <c r="AD131" s="81">
        <f t="shared" si="37"/>
        <v>92.949916715919329</v>
      </c>
      <c r="AE131" s="81"/>
      <c r="AF131" s="52">
        <f>X131</f>
        <v>92.949916715919329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66.865101423845928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14.300865842605626</v>
      </c>
      <c r="D133" s="12">
        <f t="shared" si="38"/>
        <v>13.963511787426867</v>
      </c>
      <c r="E133" s="12">
        <f t="shared" si="39"/>
        <v>0.67470811035751943</v>
      </c>
      <c r="F133" s="218">
        <f t="shared" si="40"/>
        <v>4.8319371274856895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79.694635254849558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32500</v>
      </c>
      <c r="S133" s="125">
        <f t="shared" si="33"/>
        <v>32867.974240152653</v>
      </c>
      <c r="T133" s="126">
        <f t="shared" si="34"/>
        <v>101.13222843123894</v>
      </c>
      <c r="U133" s="28"/>
      <c r="V133" s="28"/>
      <c r="W133" s="59" t="s">
        <v>60</v>
      </c>
      <c r="X133" s="52">
        <f t="shared" si="35"/>
        <v>101.13222843123894</v>
      </c>
      <c r="AA133" s="109">
        <f>X133</f>
        <v>101.13222843123894</v>
      </c>
      <c r="AB133" s="81"/>
      <c r="AC133" s="109" t="str">
        <f t="shared" si="36"/>
        <v/>
      </c>
      <c r="AD133" s="81">
        <f t="shared" si="37"/>
        <v>101.13222843123894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23.623161307709502</v>
      </c>
      <c r="D134" s="12">
        <f t="shared" si="38"/>
        <v>22.072644739327359</v>
      </c>
      <c r="E134" s="12">
        <f t="shared" si="39"/>
        <v>3.1010331367642863</v>
      </c>
      <c r="F134" s="218">
        <f t="shared" si="40"/>
        <v>14.049214189721004</v>
      </c>
      <c r="G134" s="194">
        <f t="shared" si="41"/>
        <v>1</v>
      </c>
      <c r="I134" s="93"/>
      <c r="J134" s="232">
        <f>IF(J$25=1,O48,0.001)</f>
        <v>30.18</v>
      </c>
      <c r="K134" s="233">
        <f>IF(J$25=1,T48,0.001)</f>
        <v>92.847408727154857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95.9928892669258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47269</v>
      </c>
      <c r="S135" s="125">
        <f t="shared" si="33"/>
        <v>46066.16880196266</v>
      </c>
      <c r="T135" s="126">
        <f t="shared" si="34"/>
        <v>97.455348752803445</v>
      </c>
      <c r="U135" s="28"/>
      <c r="V135" s="28"/>
      <c r="W135" s="171" t="s">
        <v>94</v>
      </c>
      <c r="X135" s="52">
        <f t="shared" si="35"/>
        <v>97.455348752803445</v>
      </c>
      <c r="AA135" s="109">
        <f>X135</f>
        <v>97.455348752803445</v>
      </c>
      <c r="AB135" s="81"/>
      <c r="AC135" s="109" t="str">
        <f t="shared" si="36"/>
        <v/>
      </c>
      <c r="AD135" s="81">
        <f t="shared" si="37"/>
        <v>97.455348752803445</v>
      </c>
      <c r="AE135" s="97"/>
      <c r="AF135" s="52">
        <f>X135</f>
        <v>97.455348752803445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99.319393361970953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22579</v>
      </c>
      <c r="S136" s="125">
        <f t="shared" si="33"/>
        <v>20415.657284993868</v>
      </c>
      <c r="T136" s="126">
        <f t="shared" si="34"/>
        <v>90.41878420210756</v>
      </c>
      <c r="U136" s="28"/>
      <c r="V136" s="28"/>
      <c r="W136" s="59" t="s">
        <v>60</v>
      </c>
      <c r="X136" s="52">
        <f t="shared" si="35"/>
        <v>90.41878420210756</v>
      </c>
      <c r="AA136" s="109">
        <f>X136</f>
        <v>90.41878420210756</v>
      </c>
      <c r="AB136" s="81"/>
      <c r="AC136" s="109">
        <f t="shared" si="36"/>
        <v>90.41878420210756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97.929037992417008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2704</v>
      </c>
      <c r="S137" s="125">
        <f t="shared" si="33"/>
        <v>2681.8687474444596</v>
      </c>
      <c r="T137" s="126">
        <f t="shared" si="34"/>
        <v>99.181536517916399</v>
      </c>
      <c r="U137" s="28"/>
      <c r="V137" s="28"/>
      <c r="W137" s="59" t="s">
        <v>60</v>
      </c>
      <c r="X137" s="52">
        <f t="shared" si="35"/>
        <v>99.181536517916399</v>
      </c>
      <c r="AA137" s="109">
        <f>X137</f>
        <v>99.181536517916399</v>
      </c>
      <c r="AB137" s="81"/>
      <c r="AC137" s="109">
        <f t="shared" si="36"/>
        <v>99.181536517916399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546.19033501334127</v>
      </c>
      <c r="D138" s="12">
        <f t="shared" si="38"/>
        <v>576.29336570486885</v>
      </c>
      <c r="E138" s="12">
        <f t="shared" si="39"/>
        <v>60.206061383055157</v>
      </c>
      <c r="F138" s="218">
        <f t="shared" si="40"/>
        <v>10.447120332439825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5317</v>
      </c>
      <c r="S138" s="125">
        <f t="shared" si="33"/>
        <v>5155.3305165599022</v>
      </c>
      <c r="T138" s="126">
        <f t="shared" si="34"/>
        <v>96.959385302988579</v>
      </c>
      <c r="U138" s="28"/>
      <c r="V138" s="28"/>
      <c r="W138" s="59" t="s">
        <v>60</v>
      </c>
      <c r="X138" s="52">
        <f t="shared" si="35"/>
        <v>96.959385302988579</v>
      </c>
      <c r="AA138" s="109"/>
      <c r="AB138" s="81">
        <f>X138</f>
        <v>96.959385302988579</v>
      </c>
      <c r="AC138" s="109">
        <f t="shared" si="36"/>
        <v>96.959385302988579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93.381339768409376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5780</v>
      </c>
      <c r="S139" s="125">
        <f t="shared" ref="S139:S155" si="42">IF(Q$74&gt;1,Q139/Q$74*R$74,0.0001)</f>
        <v>5536.495911135341</v>
      </c>
      <c r="T139" s="126">
        <f t="shared" ref="T139:T155" si="43">IF(R139&gt;1,100*S139/R139,0.0001)</f>
        <v>95.787126490230804</v>
      </c>
      <c r="U139" s="28"/>
      <c r="V139" s="28"/>
      <c r="W139" s="59" t="s">
        <v>60</v>
      </c>
      <c r="X139" s="52">
        <f t="shared" ref="X139:X155" si="44">IF(R139&gt;1,T139,"")</f>
        <v>95.787126490230804</v>
      </c>
      <c r="AA139" s="109">
        <f>X139</f>
        <v>95.787126490230804</v>
      </c>
      <c r="AB139" s="81"/>
      <c r="AC139" s="109">
        <f t="shared" ref="AC139:AC155" si="45">IF(Q139&lt;AC$9,X139,"")</f>
        <v>95.787126490230804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46.782006920415228</v>
      </c>
      <c r="D140" s="12">
        <f t="shared" si="38"/>
        <v>47.610914307161551</v>
      </c>
      <c r="E140" s="12">
        <f t="shared" si="39"/>
        <v>1.6578147734926461</v>
      </c>
      <c r="F140" s="218">
        <f t="shared" si="40"/>
        <v>3.4820057493482754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97.427156733377728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3373</v>
      </c>
      <c r="S140" s="125">
        <f t="shared" si="42"/>
        <v>3043.8387624369634</v>
      </c>
      <c r="T140" s="126">
        <f t="shared" si="43"/>
        <v>90.241291504208803</v>
      </c>
      <c r="U140" s="28"/>
      <c r="V140" s="28"/>
      <c r="W140" s="59" t="s">
        <v>60</v>
      </c>
      <c r="X140" s="52">
        <f t="shared" si="44"/>
        <v>90.241291504208803</v>
      </c>
      <c r="AA140" s="109"/>
      <c r="AB140" s="81"/>
      <c r="AC140" s="109">
        <f t="shared" si="45"/>
        <v>90.241291504208803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24.888046848088187</v>
      </c>
      <c r="D141" s="12">
        <f t="shared" si="38"/>
        <v>26.549095381568193</v>
      </c>
      <c r="E141" s="12">
        <f t="shared" si="39"/>
        <v>3.3220970669600156</v>
      </c>
      <c r="F141" s="218">
        <f t="shared" si="40"/>
        <v>12.513033002496929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92.68627864988801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730196</v>
      </c>
      <c r="S141" s="125">
        <f t="shared" si="42"/>
        <v>685488.94248330372</v>
      </c>
      <c r="T141" s="126">
        <f t="shared" si="43"/>
        <v>93.877389424661828</v>
      </c>
      <c r="U141" s="28"/>
      <c r="V141" s="28"/>
      <c r="W141" s="171" t="s">
        <v>94</v>
      </c>
      <c r="X141" s="52">
        <f t="shared" si="44"/>
        <v>93.877389424661828</v>
      </c>
      <c r="AA141" s="109">
        <f>X141</f>
        <v>93.877389424661828</v>
      </c>
      <c r="AB141" s="81"/>
      <c r="AC141" s="109" t="str">
        <f t="shared" si="45"/>
        <v/>
      </c>
      <c r="AD141" s="81">
        <f t="shared" si="46"/>
        <v>93.877389424661828</v>
      </c>
      <c r="AE141" s="97"/>
      <c r="AF141" s="52">
        <f>X141</f>
        <v>93.877389424661828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3.2371579810631474</v>
      </c>
      <c r="D142" s="12">
        <f t="shared" si="38"/>
        <v>3.1546291472713857</v>
      </c>
      <c r="E142" s="12">
        <f t="shared" si="39"/>
        <v>0.16505766758352358</v>
      </c>
      <c r="F142" s="218">
        <f t="shared" si="40"/>
        <v>5.2322368138356659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36.994561233696452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7956</v>
      </c>
      <c r="S142" s="125">
        <f t="shared" si="42"/>
        <v>6976.1493798555266</v>
      </c>
      <c r="T142" s="126">
        <f t="shared" si="43"/>
        <v>87.684129962990539</v>
      </c>
      <c r="U142" s="28"/>
      <c r="V142" s="28"/>
      <c r="W142" s="59" t="s">
        <v>60</v>
      </c>
      <c r="X142" s="52">
        <f t="shared" si="44"/>
        <v>87.684129962990539</v>
      </c>
      <c r="AA142" s="109"/>
      <c r="AB142" s="81">
        <f>X142</f>
        <v>87.684129962990539</v>
      </c>
      <c r="AC142" s="109">
        <f t="shared" si="45"/>
        <v>87.684129962990539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178.20096840213648</v>
      </c>
      <c r="D143" s="12">
        <f t="shared" si="38"/>
        <v>185.20331701587094</v>
      </c>
      <c r="E143" s="12">
        <f t="shared" si="39"/>
        <v>14.004697227468881</v>
      </c>
      <c r="F143" s="218">
        <f t="shared" si="40"/>
        <v>7.5617961131164595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83.124992610607663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4638</v>
      </c>
      <c r="S143" s="125">
        <f t="shared" si="42"/>
        <v>4000.865544500477</v>
      </c>
      <c r="T143" s="126">
        <f t="shared" si="43"/>
        <v>86.262732740415629</v>
      </c>
      <c r="U143" s="28"/>
      <c r="V143" s="28"/>
      <c r="W143" s="59" t="s">
        <v>60</v>
      </c>
      <c r="X143" s="52">
        <f t="shared" si="44"/>
        <v>86.262732740415629</v>
      </c>
      <c r="AA143" s="109"/>
      <c r="AB143" s="81">
        <f>X143</f>
        <v>86.262732740415629</v>
      </c>
      <c r="AC143" s="109">
        <f t="shared" si="45"/>
        <v>86.262732740415629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118.3177398642451</v>
      </c>
      <c r="D144" s="215">
        <f t="shared" si="38"/>
        <v>120.09376141793223</v>
      </c>
      <c r="E144" s="215">
        <f t="shared" si="39"/>
        <v>3.5520431073742742</v>
      </c>
      <c r="F144" s="216">
        <f t="shared" si="40"/>
        <v>2.9577249187932324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82.401093858444895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6513</v>
      </c>
      <c r="S144" s="125">
        <f t="shared" si="42"/>
        <v>6180.9122257053286</v>
      </c>
      <c r="T144" s="126">
        <f t="shared" si="43"/>
        <v>94.901155008526459</v>
      </c>
      <c r="U144" s="28"/>
      <c r="V144" s="28"/>
      <c r="W144" s="59" t="s">
        <v>60</v>
      </c>
      <c r="X144" s="52">
        <f t="shared" si="44"/>
        <v>94.901155008526459</v>
      </c>
      <c r="AA144" s="109"/>
      <c r="AB144" s="81">
        <f>X144</f>
        <v>94.901155008526459</v>
      </c>
      <c r="AC144" s="109">
        <f t="shared" si="45"/>
        <v>94.901155008526459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81.353819658217816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89.176039235222063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35699</v>
      </c>
      <c r="S146" s="125">
        <f t="shared" si="42"/>
        <v>32187.909363500068</v>
      </c>
      <c r="T146" s="126">
        <f t="shared" si="43"/>
        <v>90.16473672511853</v>
      </c>
      <c r="U146" s="28"/>
      <c r="V146" s="28"/>
      <c r="W146" s="59" t="s">
        <v>60</v>
      </c>
      <c r="X146" s="52">
        <f t="shared" si="44"/>
        <v>90.16473672511853</v>
      </c>
      <c r="AA146" s="109">
        <f>X146</f>
        <v>90.16473672511853</v>
      </c>
      <c r="AB146" s="81"/>
      <c r="AC146" s="109" t="str">
        <f t="shared" si="45"/>
        <v/>
      </c>
      <c r="AD146" s="81">
        <f t="shared" si="46"/>
        <v>90.16473672511853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89.72053447003853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20033</v>
      </c>
      <c r="S147" s="125">
        <f t="shared" si="42"/>
        <v>16746.597587569853</v>
      </c>
      <c r="T147" s="126">
        <f t="shared" si="43"/>
        <v>83.595056095292037</v>
      </c>
      <c r="U147" s="28"/>
      <c r="V147" s="28"/>
      <c r="W147" s="59" t="s">
        <v>60</v>
      </c>
      <c r="X147" s="52">
        <f t="shared" si="44"/>
        <v>83.595056095292037</v>
      </c>
      <c r="AA147" s="109">
        <f>X147</f>
        <v>83.595056095292037</v>
      </c>
      <c r="AB147" s="81"/>
      <c r="AC147" s="109">
        <f t="shared" si="45"/>
        <v>83.595056095292037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92.275885363423143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12824</v>
      </c>
      <c r="S148" s="125">
        <f t="shared" si="42"/>
        <v>11912.104129753305</v>
      </c>
      <c r="T148" s="126">
        <f t="shared" si="43"/>
        <v>92.88914636426469</v>
      </c>
      <c r="U148" s="28"/>
      <c r="V148" s="28"/>
      <c r="W148" s="59" t="s">
        <v>60</v>
      </c>
      <c r="X148" s="52">
        <f t="shared" si="44"/>
        <v>92.88914636426469</v>
      </c>
      <c r="AA148" s="109"/>
      <c r="AB148" s="81">
        <f t="shared" ref="AB148:AB155" si="47">X148</f>
        <v>92.88914636426469</v>
      </c>
      <c r="AC148" s="109">
        <f t="shared" si="45"/>
        <v>92.88914636426469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C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86.672488492538349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7830</v>
      </c>
      <c r="S149" s="125">
        <f t="shared" si="42"/>
        <v>7162.6187815183321</v>
      </c>
      <c r="T149" s="126">
        <f t="shared" si="43"/>
        <v>91.476612790783292</v>
      </c>
      <c r="U149" s="28"/>
      <c r="V149" s="28"/>
      <c r="W149" s="59" t="s">
        <v>60</v>
      </c>
      <c r="X149" s="52">
        <f t="shared" si="44"/>
        <v>91.476612790783292</v>
      </c>
      <c r="AA149" s="109"/>
      <c r="AB149" s="81">
        <f t="shared" si="47"/>
        <v>91.476612790783292</v>
      </c>
      <c r="AC149" s="109">
        <f t="shared" si="45"/>
        <v>91.476612790783292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87.8279428306803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12899</v>
      </c>
      <c r="S150" s="125">
        <f t="shared" si="42"/>
        <v>12010.823224751261</v>
      </c>
      <c r="T150" s="126">
        <f t="shared" si="43"/>
        <v>93.114374949618266</v>
      </c>
      <c r="U150" s="28"/>
      <c r="V150" s="28"/>
      <c r="W150" s="59" t="s">
        <v>60</v>
      </c>
      <c r="X150" s="52">
        <f t="shared" si="44"/>
        <v>93.114374949618266</v>
      </c>
      <c r="AA150" s="109"/>
      <c r="AB150" s="81">
        <f t="shared" si="47"/>
        <v>93.114374949618266</v>
      </c>
      <c r="AC150" s="109">
        <f t="shared" si="45"/>
        <v>93.114374949618266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89.761103285515219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24265</v>
      </c>
      <c r="S151" s="125">
        <f t="shared" si="42"/>
        <v>24893.665121984464</v>
      </c>
      <c r="T151" s="126">
        <f t="shared" si="43"/>
        <v>102.59083091689455</v>
      </c>
      <c r="U151" s="28"/>
      <c r="V151" s="28"/>
      <c r="W151" s="59" t="s">
        <v>60</v>
      </c>
      <c r="X151" s="52">
        <f t="shared" si="44"/>
        <v>102.59083091689455</v>
      </c>
      <c r="AA151" s="109"/>
      <c r="AB151" s="81">
        <f t="shared" si="47"/>
        <v>102.59083091689455</v>
      </c>
      <c r="AC151" s="109" t="str">
        <f t="shared" si="45"/>
        <v/>
      </c>
      <c r="AD151" s="81">
        <f t="shared" si="46"/>
        <v>102.59083091689455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184.16647291327598</v>
      </c>
      <c r="D152" s="174">
        <f t="shared" ref="D152:D183" si="49">AVERAGE(B152:C152)</f>
        <v>147.24298673206948</v>
      </c>
      <c r="E152" s="174">
        <f t="shared" ref="E152:E183" si="50">IF(G152=1,(B152-C152)/D152*100,"")</f>
        <v>-50.153133946398768</v>
      </c>
      <c r="F152" s="71">
        <f t="shared" ref="F152:F183" si="51">IF(AND(D152&gt;0.01,G152=1),E152*E152,"")</f>
        <v>2515.3368446454165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94.205683010146416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10902</v>
      </c>
      <c r="S152" s="125">
        <f t="shared" si="42"/>
        <v>9855.456317295897</v>
      </c>
      <c r="T152" s="126">
        <f t="shared" si="43"/>
        <v>90.400443196623527</v>
      </c>
      <c r="U152" s="28"/>
      <c r="V152" s="28"/>
      <c r="W152" s="59" t="s">
        <v>60</v>
      </c>
      <c r="X152" s="52">
        <f t="shared" si="44"/>
        <v>90.400443196623527</v>
      </c>
      <c r="AA152" s="109"/>
      <c r="AB152" s="81">
        <f t="shared" si="47"/>
        <v>90.400443196623527</v>
      </c>
      <c r="AC152" s="109">
        <f t="shared" si="45"/>
        <v>90.400443196623527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214.08108108108107</v>
      </c>
      <c r="D153" s="177">
        <f t="shared" si="49"/>
        <v>160.41651779711481</v>
      </c>
      <c r="E153" s="177">
        <f t="shared" si="50"/>
        <v>-66.906530600343771</v>
      </c>
      <c r="F153" s="91">
        <f t="shared" si="51"/>
        <v>4476.4838369747376</v>
      </c>
      <c r="G153" s="249">
        <v>1</v>
      </c>
      <c r="I153" s="93"/>
      <c r="J153" s="232">
        <f>IF(J$25=1,O130,0.001)</f>
        <v>34.51</v>
      </c>
      <c r="K153" s="233">
        <f>IF(J$25=1,T130,0.001)</f>
        <v>98.084292834872542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34326</v>
      </c>
      <c r="S153" s="125">
        <f t="shared" si="42"/>
        <v>37880.710508382173</v>
      </c>
      <c r="T153" s="126">
        <f t="shared" si="43"/>
        <v>110.3557376577002</v>
      </c>
      <c r="U153" s="28"/>
      <c r="V153" s="28"/>
      <c r="W153" s="59" t="s">
        <v>60</v>
      </c>
      <c r="X153" s="52">
        <f t="shared" si="44"/>
        <v>110.3557376577002</v>
      </c>
      <c r="AA153" s="109"/>
      <c r="AB153" s="81">
        <f t="shared" si="47"/>
        <v>110.3557376577002</v>
      </c>
      <c r="AC153" s="109" t="str">
        <f t="shared" si="45"/>
        <v/>
      </c>
      <c r="AD153" s="81">
        <f t="shared" si="46"/>
        <v>110.3557376577002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34.135392783878366</v>
      </c>
      <c r="D154" s="177">
        <f t="shared" si="49"/>
        <v>29.084570180560778</v>
      </c>
      <c r="E154" s="177">
        <f t="shared" si="50"/>
        <v>-34.731973496334504</v>
      </c>
      <c r="F154" s="91">
        <f t="shared" si="51"/>
        <v>1206.3099829500825</v>
      </c>
      <c r="G154" s="249">
        <v>1</v>
      </c>
      <c r="I154" s="93"/>
      <c r="J154" s="232">
        <f>IF(J$25=1,O131,0.001)</f>
        <v>36.89</v>
      </c>
      <c r="K154" s="233">
        <f>IF(J$25=1,T131,0.001)</f>
        <v>92.949916715919329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22241</v>
      </c>
      <c r="S154" s="125">
        <f t="shared" si="42"/>
        <v>21106.690949979558</v>
      </c>
      <c r="T154" s="126">
        <f t="shared" si="43"/>
        <v>94.899918843485267</v>
      </c>
      <c r="U154" s="28"/>
      <c r="V154" s="28"/>
      <c r="W154" s="59" t="s">
        <v>60</v>
      </c>
      <c r="X154" s="52">
        <f t="shared" si="44"/>
        <v>94.899918843485267</v>
      </c>
      <c r="AA154" s="109"/>
      <c r="AB154" s="81">
        <f t="shared" si="47"/>
        <v>94.899918843485267</v>
      </c>
      <c r="AC154" s="109" t="str">
        <f t="shared" si="45"/>
        <v/>
      </c>
      <c r="AD154" s="81">
        <f t="shared" si="46"/>
        <v>94.899918843485267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79.270270270270274</v>
      </c>
      <c r="D155" s="177">
        <f t="shared" si="49"/>
        <v>73.608127317082534</v>
      </c>
      <c r="E155" s="177">
        <f t="shared" si="50"/>
        <v>-15.384559177268178</v>
      </c>
      <c r="F155" s="91">
        <f t="shared" si="51"/>
        <v>236.68466107886653</v>
      </c>
      <c r="G155" s="249">
        <v>1</v>
      </c>
      <c r="I155" s="93"/>
      <c r="J155" s="232">
        <f>IF(J$25=1,O133,0.001)</f>
        <v>36.89</v>
      </c>
      <c r="K155" s="233">
        <f>IF(J$25=1,T133,0.001)</f>
        <v>101.13222843123894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45031</v>
      </c>
      <c r="S155" s="125">
        <f t="shared" si="42"/>
        <v>39860.576802507836</v>
      </c>
      <c r="T155" s="126">
        <f t="shared" si="43"/>
        <v>88.51808043904829</v>
      </c>
      <c r="U155" s="28"/>
      <c r="V155" s="28"/>
      <c r="W155" s="59" t="s">
        <v>60</v>
      </c>
      <c r="X155" s="52">
        <f t="shared" si="44"/>
        <v>88.51808043904829</v>
      </c>
      <c r="AA155" s="109"/>
      <c r="AB155" s="81">
        <f t="shared" si="47"/>
        <v>88.51808043904829</v>
      </c>
      <c r="AC155" s="109" t="str">
        <f t="shared" si="45"/>
        <v/>
      </c>
      <c r="AD155" s="81">
        <f t="shared" si="46"/>
        <v>88.51808043904829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99.757673667205168</v>
      </c>
      <c r="D156" s="177">
        <f t="shared" si="49"/>
        <v>86.502941473901558</v>
      </c>
      <c r="E156" s="177">
        <f t="shared" si="50"/>
        <v>-30.645737514724029</v>
      </c>
      <c r="F156" s="91">
        <f t="shared" si="51"/>
        <v>939.1612278213637</v>
      </c>
      <c r="G156" s="249">
        <v>1</v>
      </c>
      <c r="I156" s="93"/>
      <c r="J156" s="232">
        <f>IF(J$25=1,O135,0.001)</f>
        <v>37.97</v>
      </c>
      <c r="K156" s="233">
        <f>IF(J$25=1,T135,0.001)</f>
        <v>97.455348752803445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37.571080422420792</v>
      </c>
      <c r="D157" s="177">
        <f t="shared" si="49"/>
        <v>37.938820908188347</v>
      </c>
      <c r="E157" s="177">
        <f t="shared" si="50"/>
        <v>1.9385973362613509</v>
      </c>
      <c r="F157" s="91">
        <f t="shared" si="51"/>
        <v>3.7581596321596051</v>
      </c>
      <c r="G157" s="249">
        <v>1</v>
      </c>
      <c r="I157" s="93"/>
      <c r="J157" s="232">
        <f>IF(J$25=1,O141,0.001)</f>
        <v>40.74</v>
      </c>
      <c r="K157" s="233">
        <f>IF(J$25=1,T141,0.001)</f>
        <v>93.877389424661828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105.4147723037937</v>
      </c>
      <c r="D158" s="177">
        <f t="shared" si="49"/>
        <v>103.05985987658283</v>
      </c>
      <c r="E158" s="177">
        <f t="shared" si="50"/>
        <v>-4.5699895769913637</v>
      </c>
      <c r="F158" s="91">
        <f t="shared" si="51"/>
        <v>20.884804733809702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95.568758781686213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83.117394794863486</v>
      </c>
      <c r="Y158" s="47">
        <f t="shared" si="52"/>
        <v>88.763922372328423</v>
      </c>
      <c r="Z158" s="45">
        <f t="shared" si="52"/>
        <v>86.04969222621169</v>
      </c>
      <c r="AA158" s="43">
        <f t="shared" si="52"/>
        <v>84.382405708604281</v>
      </c>
      <c r="AB158" s="43">
        <f t="shared" si="52"/>
        <v>74.4637964309333</v>
      </c>
      <c r="AC158" s="47">
        <f t="shared" si="52"/>
        <v>79.574437141268035</v>
      </c>
      <c r="AD158" s="45">
        <f t="shared" si="52"/>
        <v>87.21012173953406</v>
      </c>
      <c r="AE158" s="78" t="e">
        <f t="shared" si="52"/>
        <v>#DIV/0!</v>
      </c>
      <c r="AF158" s="45">
        <f t="shared" si="52"/>
        <v>83.482667099655174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13.080420362227024</v>
      </c>
      <c r="D159" s="177">
        <f t="shared" si="49"/>
        <v>13.147490365681572</v>
      </c>
      <c r="E159" s="177">
        <f t="shared" si="50"/>
        <v>1.0202708135024521</v>
      </c>
      <c r="F159" s="91">
        <f t="shared" si="51"/>
        <v>1.0409525328849554</v>
      </c>
      <c r="G159" s="249">
        <v>1</v>
      </c>
      <c r="I159" s="93"/>
      <c r="J159" s="258">
        <f>IF(J$26=1,O47,0.001)</f>
        <v>30.11</v>
      </c>
      <c r="K159" s="259">
        <f>IF(J$26=1,T47,0.001)</f>
        <v>93.296944901388599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18.829072601688228</v>
      </c>
      <c r="Y159" s="260">
        <f t="shared" si="53"/>
        <v>9.3783887699631912</v>
      </c>
      <c r="Z159" s="30">
        <f t="shared" si="53"/>
        <v>16.625841604258071</v>
      </c>
      <c r="AA159" s="99">
        <f t="shared" si="53"/>
        <v>20.400770867236435</v>
      </c>
      <c r="AB159" s="99">
        <f t="shared" si="53"/>
        <v>23.719216838544227</v>
      </c>
      <c r="AC159" s="260">
        <f t="shared" si="53"/>
        <v>19.040335159675578</v>
      </c>
      <c r="AD159" s="30">
        <f t="shared" si="53"/>
        <v>17.879911380626204</v>
      </c>
      <c r="AE159" s="97" t="e">
        <f t="shared" si="53"/>
        <v>#DIV/0!</v>
      </c>
      <c r="AF159" s="30">
        <f t="shared" si="53"/>
        <v>19.34050879388348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81.023546040610881</v>
      </c>
      <c r="D160" s="177">
        <f t="shared" si="49"/>
        <v>82.272694835659607</v>
      </c>
      <c r="E160" s="177">
        <f t="shared" si="50"/>
        <v>3.0366060028637945</v>
      </c>
      <c r="F160" s="91">
        <f t="shared" si="51"/>
        <v>9.2209760166284305</v>
      </c>
      <c r="G160" s="249">
        <v>1</v>
      </c>
      <c r="I160" s="93"/>
      <c r="J160" s="258">
        <f>IF(J$26=1,O51,0.001)</f>
        <v>31.53</v>
      </c>
      <c r="K160" s="259">
        <f>IF(J$26=1,T51,0.001)</f>
        <v>94.632981912181606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137.65814520337645</v>
      </c>
      <c r="Y160" s="109">
        <f t="shared" si="54"/>
        <v>118.75677753992639</v>
      </c>
      <c r="Z160" s="81">
        <f t="shared" si="54"/>
        <v>133.25168320851614</v>
      </c>
      <c r="AA160" s="100">
        <f t="shared" si="54"/>
        <v>140.80154173447286</v>
      </c>
      <c r="AB160" s="100">
        <f t="shared" si="54"/>
        <v>147.43843367708845</v>
      </c>
      <c r="AC160" s="109">
        <f t="shared" si="54"/>
        <v>138.08067031935116</v>
      </c>
      <c r="AD160" s="81">
        <f t="shared" si="54"/>
        <v>135.75982276125239</v>
      </c>
      <c r="AE160" s="97" t="e">
        <f t="shared" si="54"/>
        <v>#DIV/0!</v>
      </c>
      <c r="AF160" s="81">
        <f t="shared" si="54"/>
        <v>138.68101758776697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28.007009718018161</v>
      </c>
      <c r="D161" s="177">
        <f t="shared" si="49"/>
        <v>25.752674294225027</v>
      </c>
      <c r="E161" s="177">
        <f t="shared" si="50"/>
        <v>-17.507583080788329</v>
      </c>
      <c r="F161" s="91">
        <f t="shared" si="51"/>
        <v>306.51546533070575</v>
      </c>
      <c r="G161" s="249">
        <v>1</v>
      </c>
      <c r="I161" s="93"/>
      <c r="J161" s="258">
        <f>IF(J$26=1,O98,0.001)</f>
        <v>20.13</v>
      </c>
      <c r="K161" s="259">
        <f>IF(J$26=1,T98,0.001)</f>
        <v>75.250828697604092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62.341854796623544</v>
      </c>
      <c r="Y161" s="80">
        <f t="shared" si="55"/>
        <v>81.243222460073611</v>
      </c>
      <c r="Z161" s="60">
        <f t="shared" si="55"/>
        <v>66.748316791483859</v>
      </c>
      <c r="AA161" s="107">
        <f t="shared" si="55"/>
        <v>59.19845826552713</v>
      </c>
      <c r="AB161" s="107">
        <f t="shared" si="55"/>
        <v>52.561566322911546</v>
      </c>
      <c r="AC161" s="80">
        <f t="shared" si="55"/>
        <v>61.919329680648843</v>
      </c>
      <c r="AD161" s="60">
        <f t="shared" si="55"/>
        <v>64.240177238747592</v>
      </c>
      <c r="AE161" s="108" t="e">
        <f t="shared" si="55"/>
        <v>#DIV/0!</v>
      </c>
      <c r="AF161" s="60">
        <f t="shared" si="55"/>
        <v>61.318982412233041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53.234298275159098</v>
      </c>
      <c r="D162" s="177">
        <f t="shared" si="49"/>
        <v>53.448007316924297</v>
      </c>
      <c r="E162" s="177">
        <f t="shared" si="50"/>
        <v>0.79968946455943202</v>
      </c>
      <c r="F162" s="91">
        <f t="shared" si="51"/>
        <v>0.63950323972735112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85.208681551730379</v>
      </c>
      <c r="L162" s="135" t="str">
        <f>P126</f>
        <v>116_C3-dbt_s</v>
      </c>
      <c r="M162" s="28"/>
      <c r="N162" s="28"/>
      <c r="O162" s="261" t="str">
        <f>CONCATENATE(,Q7,"  -   ",R7," :   PW-plot normalised to hopane  ")</f>
        <v xml:space="preserve">A  -   C :   PW-plot normalised to hopane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24.002203415293703</v>
      </c>
      <c r="D163" s="177">
        <f t="shared" si="49"/>
        <v>23.739115406276987</v>
      </c>
      <c r="E163" s="177">
        <f t="shared" si="50"/>
        <v>-2.2164937868506231</v>
      </c>
      <c r="F163" s="91">
        <f t="shared" si="51"/>
        <v>4.9128447071474159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90.41878420210756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255.35738536055405</v>
      </c>
      <c r="D164" s="177">
        <f t="shared" si="49"/>
        <v>250.73951857313415</v>
      </c>
      <c r="E164" s="177">
        <f t="shared" si="50"/>
        <v>-3.6833976659909506</v>
      </c>
      <c r="F164" s="91">
        <f t="shared" si="51"/>
        <v>13.567418365827583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122.90249433106577</v>
      </c>
      <c r="D165" s="177">
        <f t="shared" si="49"/>
        <v>129.7558067051522</v>
      </c>
      <c r="E165" s="177">
        <f t="shared" si="50"/>
        <v>10.563399894171052</v>
      </c>
      <c r="F165" s="91">
        <f t="shared" si="51"/>
        <v>111.58541732417299</v>
      </c>
      <c r="G165" s="249">
        <v>1</v>
      </c>
      <c r="I165" s="93"/>
      <c r="J165" s="232">
        <f>IF(J$27=1,O68,0.001)</f>
        <v>46</v>
      </c>
      <c r="K165" s="233">
        <f>IF(J$27=1,T68,0.001)</f>
        <v>84.506995026740526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248.89634469362528</v>
      </c>
      <c r="D166" s="177">
        <f t="shared" si="49"/>
        <v>250.4803439285821</v>
      </c>
      <c r="E166" s="177">
        <f t="shared" si="50"/>
        <v>1.2647692909655557</v>
      </c>
      <c r="F166" s="91">
        <f t="shared" si="51"/>
        <v>1.5996413593695145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179.41885187810064</v>
      </c>
      <c r="D167" s="177">
        <f t="shared" si="49"/>
        <v>174.69901237165965</v>
      </c>
      <c r="E167" s="177">
        <f t="shared" si="50"/>
        <v>-5.4033957517743207</v>
      </c>
      <c r="F167" s="91">
        <f t="shared" si="51"/>
        <v>29.196685650292778</v>
      </c>
      <c r="G167" s="249">
        <v>1</v>
      </c>
      <c r="I167" s="93"/>
      <c r="J167" s="232">
        <f>IF(J$27=1,O75,0.001)</f>
        <v>47.95</v>
      </c>
      <c r="K167" s="233">
        <f>IF(J$27=1,T75,0.001)</f>
        <v>86.108643752259297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217.93188663217236</v>
      </c>
      <c r="D168" s="177">
        <f t="shared" si="49"/>
        <v>214.79088034379399</v>
      </c>
      <c r="E168" s="177">
        <f t="shared" si="50"/>
        <v>-2.9247110336815862</v>
      </c>
      <c r="F168" s="91">
        <f t="shared" si="51"/>
        <v>8.5539346305388122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99.181536517916399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15.942846068464913</v>
      </c>
      <c r="D169" s="177">
        <f t="shared" si="49"/>
        <v>14.905385298383401</v>
      </c>
      <c r="E169" s="177">
        <f t="shared" si="50"/>
        <v>-13.920616600149662</v>
      </c>
      <c r="F169" s="91">
        <f t="shared" si="51"/>
        <v>193.78356652836234</v>
      </c>
      <c r="G169" s="249">
        <v>1</v>
      </c>
      <c r="I169" s="93"/>
      <c r="J169" s="232">
        <f>IF(J$27=1,O139,0.001)</f>
        <v>40.08</v>
      </c>
      <c r="K169" s="233">
        <f>IF(J$27=1,T139,0.001)</f>
        <v>95.787126490230804</v>
      </c>
      <c r="L169" s="132" t="str">
        <f>P139</f>
        <v>130_C21 TA</v>
      </c>
      <c r="M169" s="28"/>
      <c r="N169" s="28"/>
      <c r="O169" s="273" t="str">
        <f>CONCATENATE(Q7,"  -   ",R7)</f>
        <v>A  -   C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311.17956707504192</v>
      </c>
      <c r="D170" s="177">
        <f t="shared" si="49"/>
        <v>290.86685353927146</v>
      </c>
      <c r="E170" s="177">
        <f t="shared" si="50"/>
        <v>-13.967018440640505</v>
      </c>
      <c r="F170" s="91">
        <f t="shared" si="51"/>
        <v>195.07760412119191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186.98633160210102</v>
      </c>
      <c r="D171" s="177">
        <f t="shared" si="49"/>
        <v>196.63684834328058</v>
      </c>
      <c r="E171" s="177">
        <f t="shared" si="50"/>
        <v>9.8155730449179046</v>
      </c>
      <c r="F171" s="91">
        <f t="shared" si="51"/>
        <v>96.345474200118943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41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547.56131652125305</v>
      </c>
      <c r="D172" s="177">
        <f t="shared" si="49"/>
        <v>523.67834313002425</v>
      </c>
      <c r="E172" s="177">
        <f t="shared" si="50"/>
        <v>-9.1212377615160847</v>
      </c>
      <c r="F172" s="91">
        <f t="shared" si="51"/>
        <v>83.196978302106956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4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351.8957545187053</v>
      </c>
      <c r="D173" s="177">
        <f t="shared" si="49"/>
        <v>356.18014807724245</v>
      </c>
      <c r="E173" s="177">
        <f t="shared" si="50"/>
        <v>2.4057452846069447</v>
      </c>
      <c r="F173" s="91">
        <f t="shared" si="51"/>
        <v>5.7876103744085494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59.731543624161077</v>
      </c>
      <c r="D174" s="177">
        <f t="shared" si="49"/>
        <v>64.79763764017278</v>
      </c>
      <c r="E174" s="177">
        <f t="shared" si="50"/>
        <v>15.636662694847574</v>
      </c>
      <c r="F174" s="91">
        <f t="shared" si="51"/>
        <v>244.50522023243781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186.23512946116165</v>
      </c>
      <c r="D175" s="177">
        <f t="shared" si="49"/>
        <v>183.18386712279778</v>
      </c>
      <c r="E175" s="177">
        <f t="shared" si="50"/>
        <v>-3.3313657870520159</v>
      </c>
      <c r="F175" s="91">
        <f t="shared" si="51"/>
        <v>11.097998007140697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23.426952907853984</v>
      </c>
      <c r="D177" s="177">
        <f t="shared" si="49"/>
        <v>22.874249469861176</v>
      </c>
      <c r="E177" s="177">
        <f t="shared" si="50"/>
        <v>-4.8325383416058534</v>
      </c>
      <c r="F177" s="91">
        <f t="shared" si="51"/>
        <v>23.353426823090651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12.385028812056738</v>
      </c>
      <c r="D178" s="177">
        <f t="shared" si="49"/>
        <v>12.416928613209937</v>
      </c>
      <c r="E178" s="177">
        <f t="shared" si="50"/>
        <v>0.5138114608996005</v>
      </c>
      <c r="F178" s="91">
        <f t="shared" si="51"/>
        <v>0.2640022173517817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168.28296247093988</v>
      </c>
      <c r="D179" s="177">
        <f t="shared" si="49"/>
        <v>169.11854545565342</v>
      </c>
      <c r="E179" s="177">
        <f t="shared" si="50"/>
        <v>0.9881624542858285</v>
      </c>
      <c r="F179" s="91">
        <f t="shared" si="51"/>
        <v>0.97646503606019208</v>
      </c>
      <c r="G179" s="249">
        <v>1</v>
      </c>
      <c r="I179" s="211"/>
      <c r="J179" s="174" t="s">
        <v>93</v>
      </c>
      <c r="K179" s="89">
        <f>AVERAGE(K34:K178)</f>
        <v>71.652940340399539</v>
      </c>
      <c r="L179" s="176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36.975011081560282</v>
      </c>
      <c r="D180" s="177">
        <f t="shared" si="49"/>
        <v>35.119732918065807</v>
      </c>
      <c r="E180" s="177">
        <f t="shared" si="50"/>
        <v>-10.565445744264826</v>
      </c>
      <c r="F180" s="91">
        <f t="shared" si="51"/>
        <v>111.62864377500372</v>
      </c>
      <c r="G180" s="249">
        <v>1</v>
      </c>
      <c r="J180" s="282" t="s">
        <v>229</v>
      </c>
      <c r="K180" s="111">
        <f>STDEV(K34:K178)</f>
        <v>33.652020119955722</v>
      </c>
      <c r="L180" s="183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93.097573138297875</v>
      </c>
      <c r="D182" s="177">
        <f t="shared" si="49"/>
        <v>91.164561063281269</v>
      </c>
      <c r="E182" s="177">
        <f t="shared" si="50"/>
        <v>-4.2407094433873835</v>
      </c>
      <c r="F182" s="91">
        <f t="shared" si="51"/>
        <v>17.983616583234934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88.1565824468085</v>
      </c>
      <c r="D183" s="177">
        <f t="shared" si="49"/>
        <v>86.011699933295475</v>
      </c>
      <c r="E183" s="177">
        <f t="shared" si="50"/>
        <v>-4.9874203513625295</v>
      </c>
      <c r="F183" s="91">
        <f t="shared" si="51"/>
        <v>24.874361761185138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158.21882514599795</v>
      </c>
      <c r="D184" s="177">
        <f t="shared" ref="D184:D215" si="59">AVERAGE(B184:C184)</f>
        <v>158.76621730672679</v>
      </c>
      <c r="E184" s="177">
        <f t="shared" ref="E184:E215" si="60">IF(G184=1,(B184-C184)/D184*100,"")</f>
        <v>0.6895574764136434</v>
      </c>
      <c r="F184" s="91">
        <f t="shared" ref="F184:F215" si="61">IF(AND(D184&gt;0.01,G184=1),E184*E184,"")</f>
        <v>0.47548951327795236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110.05540734660373</v>
      </c>
      <c r="D185" s="177">
        <f t="shared" si="59"/>
        <v>110.26734624032055</v>
      </c>
      <c r="E185" s="177">
        <f t="shared" si="60"/>
        <v>0.3844091672523115</v>
      </c>
      <c r="F185" s="91">
        <f t="shared" si="61"/>
        <v>0.14777040786761561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16.711150873530652</v>
      </c>
      <c r="D186" s="177">
        <f t="shared" si="59"/>
        <v>16.766370039463979</v>
      </c>
      <c r="E186" s="177">
        <f t="shared" si="60"/>
        <v>0.65868957685357576</v>
      </c>
      <c r="F186" s="91">
        <f t="shared" si="61"/>
        <v>0.43387195865554268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13.449141380252987</v>
      </c>
      <c r="D188" s="177">
        <f t="shared" si="59"/>
        <v>13.024829651554871</v>
      </c>
      <c r="E188" s="177">
        <f t="shared" si="60"/>
        <v>-6.5154284554879229</v>
      </c>
      <c r="F188" s="91">
        <f t="shared" si="61"/>
        <v>42.450807958581741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15.092323367876936</v>
      </c>
      <c r="D189" s="177">
        <f t="shared" si="59"/>
        <v>15.17325722707599</v>
      </c>
      <c r="E189" s="177">
        <f t="shared" si="60"/>
        <v>1.0667961135547133</v>
      </c>
      <c r="F189" s="91">
        <f t="shared" si="61"/>
        <v>1.1380539478954408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46.112974974527198</v>
      </c>
      <c r="D191" s="177">
        <f t="shared" si="59"/>
        <v>46.842776161108496</v>
      </c>
      <c r="E191" s="177">
        <f t="shared" si="60"/>
        <v>3.1159604378325469</v>
      </c>
      <c r="F191" s="91">
        <f t="shared" si="61"/>
        <v>9.7092094501375978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7.9022838539725138</v>
      </c>
      <c r="D192" s="177">
        <f t="shared" si="59"/>
        <v>7.5220837288126168</v>
      </c>
      <c r="E192" s="177">
        <f t="shared" si="60"/>
        <v>-10.108904363921848</v>
      </c>
      <c r="F192" s="91">
        <f t="shared" si="61"/>
        <v>102.18994743891818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51.037719600413368</v>
      </c>
      <c r="D193" s="177">
        <f t="shared" si="59"/>
        <v>51.521374820466569</v>
      </c>
      <c r="E193" s="177">
        <f t="shared" si="60"/>
        <v>1.877493454856612</v>
      </c>
      <c r="F193" s="91">
        <f t="shared" si="61"/>
        <v>3.524981673029417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30.846193990904347</v>
      </c>
      <c r="D194" s="177">
        <f t="shared" si="59"/>
        <v>30.784961517736484</v>
      </c>
      <c r="E194" s="177">
        <f t="shared" si="60"/>
        <v>-0.39780769667411991</v>
      </c>
      <c r="F194" s="91">
        <f t="shared" si="61"/>
        <v>0.15825096353316859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97.731767874426637</v>
      </c>
      <c r="D196" s="177">
        <f t="shared" si="59"/>
        <v>167.99038460299226</v>
      </c>
      <c r="E196" s="177">
        <f t="shared" si="60"/>
        <v>83.645997828514027</v>
      </c>
      <c r="F196" s="91">
        <f t="shared" si="61"/>
        <v>6996.6529527277735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215.20557869951097</v>
      </c>
      <c r="D197" s="177">
        <f t="shared" si="59"/>
        <v>187.1578740955182</v>
      </c>
      <c r="E197" s="177">
        <f t="shared" si="60"/>
        <v>-29.972241071383721</v>
      </c>
      <c r="F197" s="91">
        <f t="shared" si="61"/>
        <v>898.33523484114119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58.007320048800324</v>
      </c>
      <c r="D198" s="177">
        <f t="shared" si="59"/>
        <v>55.254757478307098</v>
      </c>
      <c r="E198" s="177">
        <f t="shared" si="60"/>
        <v>-9.9631694938625888</v>
      </c>
      <c r="F198" s="91">
        <f t="shared" si="61"/>
        <v>99.264746363434114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81.639194139194132</v>
      </c>
      <c r="D199" s="177">
        <f t="shared" si="59"/>
        <v>74.208765132131958</v>
      </c>
      <c r="E199" s="177">
        <f t="shared" si="60"/>
        <v>-20.025744920649093</v>
      </c>
      <c r="F199" s="91">
        <f t="shared" si="61"/>
        <v>401.03045962690294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79.477800719237564</v>
      </c>
      <c r="D200" s="177">
        <f t="shared" si="59"/>
        <v>70.196603812469391</v>
      </c>
      <c r="E200" s="177">
        <f t="shared" si="60"/>
        <v>-26.443435729634274</v>
      </c>
      <c r="F200" s="91">
        <f t="shared" si="61"/>
        <v>699.25529318729855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113.94473271388922</v>
      </c>
      <c r="D201" s="177">
        <f t="shared" si="59"/>
        <v>90.474817616778154</v>
      </c>
      <c r="E201" s="177">
        <f t="shared" si="60"/>
        <v>-51.881652188616691</v>
      </c>
      <c r="F201" s="91">
        <f t="shared" si="61"/>
        <v>2691.7058338205952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53.054054054054056</v>
      </c>
      <c r="D202" s="177">
        <f t="shared" si="59"/>
        <v>51.171661000019213</v>
      </c>
      <c r="E202" s="177">
        <f t="shared" si="60"/>
        <v>-7.3571700321947322</v>
      </c>
      <c r="F202" s="91">
        <f t="shared" si="61"/>
        <v>54.127950882624233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11.63098435771844</v>
      </c>
      <c r="D203" s="177">
        <f t="shared" si="59"/>
        <v>9.8618192691211952</v>
      </c>
      <c r="E203" s="177">
        <f t="shared" si="60"/>
        <v>-35.879081543032513</v>
      </c>
      <c r="F203" s="91">
        <f t="shared" si="61"/>
        <v>1287.3084923715762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37.020066361194502</v>
      </c>
      <c r="D204" s="177">
        <f t="shared" si="59"/>
        <v>32.405242936125575</v>
      </c>
      <c r="E204" s="177">
        <f t="shared" si="60"/>
        <v>-28.481955430269529</v>
      </c>
      <c r="F204" s="91">
        <f t="shared" si="61"/>
        <v>811.22178513185997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319.91807475678445</v>
      </c>
      <c r="D205" s="177">
        <f t="shared" si="59"/>
        <v>298.01700839288497</v>
      </c>
      <c r="E205" s="177">
        <f t="shared" si="60"/>
        <v>-14.697863374983367</v>
      </c>
      <c r="F205" s="91">
        <f t="shared" si="61"/>
        <v>216.02718778967744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150.49176704608246</v>
      </c>
      <c r="D206" s="177">
        <f t="shared" si="59"/>
        <v>129.85472706045618</v>
      </c>
      <c r="E206" s="177">
        <f t="shared" si="60"/>
        <v>-31.784811308437504</v>
      </c>
      <c r="F206" s="91">
        <f t="shared" si="61"/>
        <v>1010.2742299129767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68.229600609810149</v>
      </c>
      <c r="D207" s="177">
        <f t="shared" si="59"/>
        <v>67.798623000744556</v>
      </c>
      <c r="E207" s="177">
        <f t="shared" si="60"/>
        <v>-1.2713462014143477</v>
      </c>
      <c r="F207" s="91">
        <f t="shared" si="61"/>
        <v>1.6163211638506911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84.181102757251494</v>
      </c>
      <c r="D208" s="177">
        <f t="shared" si="59"/>
        <v>83.814554783364002</v>
      </c>
      <c r="E208" s="177">
        <f t="shared" si="60"/>
        <v>-0.87466425094043354</v>
      </c>
      <c r="F208" s="91">
        <f t="shared" si="61"/>
        <v>0.76503755187318967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80.289269612263297</v>
      </c>
      <c r="D212" s="177">
        <f t="shared" si="59"/>
        <v>80.045640185794753</v>
      </c>
      <c r="E212" s="177">
        <f t="shared" si="60"/>
        <v>-0.60872628641123638</v>
      </c>
      <c r="F212" s="91">
        <f t="shared" si="61"/>
        <v>0.37054769176801461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35.325485858745459</v>
      </c>
      <c r="D213" s="177">
        <f t="shared" si="59"/>
        <v>35.66846088257887</v>
      </c>
      <c r="E213" s="177">
        <f t="shared" si="60"/>
        <v>1.9231276895433556</v>
      </c>
      <c r="F213" s="91">
        <f t="shared" si="61"/>
        <v>3.6984201102883651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14.300865842605626</v>
      </c>
      <c r="D218" s="177">
        <f t="shared" si="64"/>
        <v>13.963511787426867</v>
      </c>
      <c r="E218" s="177">
        <f t="shared" si="65"/>
        <v>-4.8319371274856895</v>
      </c>
      <c r="F218" s="91">
        <f t="shared" si="66"/>
        <v>23.347616403974655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23.623161307709502</v>
      </c>
      <c r="D219" s="177">
        <f t="shared" si="64"/>
        <v>22.072644739327359</v>
      </c>
      <c r="E219" s="177">
        <f t="shared" si="65"/>
        <v>-14.049214189721004</v>
      </c>
      <c r="F219" s="91">
        <f t="shared" si="66"/>
        <v>197.38041934865802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546.19033501334127</v>
      </c>
      <c r="D223" s="177">
        <f t="shared" si="64"/>
        <v>576.29336570486885</v>
      </c>
      <c r="E223" s="177">
        <f t="shared" si="65"/>
        <v>10.447120332439825</v>
      </c>
      <c r="F223" s="91">
        <f t="shared" si="66"/>
        <v>109.14232324047759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46.782006920415228</v>
      </c>
      <c r="D225" s="177">
        <f t="shared" si="64"/>
        <v>47.610914307161551</v>
      </c>
      <c r="E225" s="177">
        <f t="shared" si="65"/>
        <v>3.4820057493482754</v>
      </c>
      <c r="F225" s="91">
        <f t="shared" si="66"/>
        <v>12.124364038494445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24.888046848088187</v>
      </c>
      <c r="D226" s="177">
        <f t="shared" si="64"/>
        <v>26.549095381568193</v>
      </c>
      <c r="E226" s="177">
        <f t="shared" si="65"/>
        <v>12.513033002496929</v>
      </c>
      <c r="F226" s="91">
        <f t="shared" si="66"/>
        <v>156.57599492157732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3.2371579810631474</v>
      </c>
      <c r="D227" s="177">
        <f t="shared" si="64"/>
        <v>3.1546291472713857</v>
      </c>
      <c r="E227" s="177">
        <f t="shared" si="65"/>
        <v>-5.2322368138356659</v>
      </c>
      <c r="F227" s="91">
        <f t="shared" si="66"/>
        <v>27.3763020760572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178.20096840213648</v>
      </c>
      <c r="D228" s="177">
        <f t="shared" si="64"/>
        <v>185.20331701587094</v>
      </c>
      <c r="E228" s="177">
        <f t="shared" si="65"/>
        <v>7.5617961131164595</v>
      </c>
      <c r="F228" s="91">
        <f t="shared" si="66"/>
        <v>57.180760456343194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118.3177398642451</v>
      </c>
      <c r="D229" s="177">
        <f t="shared" si="64"/>
        <v>120.09376141793223</v>
      </c>
      <c r="E229" s="177">
        <f t="shared" si="65"/>
        <v>2.9577249187932324</v>
      </c>
      <c r="F229" s="111">
        <f t="shared" si="66"/>
        <v>8.7481366952504338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11054.555708267324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11.904834025844897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15763.530410354473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18.511765007782433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26818.086118621795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14.706287364709068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Compounds</vt:lpstr>
      <vt:lpstr>Database</vt:lpstr>
      <vt:lpstr>Database ratios</vt:lpstr>
      <vt:lpstr>Data sheet</vt:lpstr>
      <vt:lpstr>Comp Eval BS10</vt:lpstr>
      <vt:lpstr>Comp Eval phy</vt:lpstr>
      <vt:lpstr>Comp Eval hopane</vt:lpstr>
      <vt:lpstr>'Data sheet'!Print_Area</vt:lpstr>
      <vt:lpstr>Database!Print_Area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 Yi Hii</dc:creator>
  <cp:lastModifiedBy>Zan Yi Hii</cp:lastModifiedBy>
  <dcterms:created xsi:type="dcterms:W3CDTF">2023-12-17T03:05:15Z</dcterms:created>
  <dcterms:modified xsi:type="dcterms:W3CDTF">2024-03-17T10:52:31Z</dcterms:modified>
</cp:coreProperties>
</file>